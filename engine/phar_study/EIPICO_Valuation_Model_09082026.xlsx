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.000000"/>
    <numFmt numFmtId="165" formatCode="0.0%"/>
    <numFmt numFmtId="166" formatCode="0.000"/>
    <numFmt numFmtId="167" formatCode="0.0&quot;x&quot;"/>
    <numFmt numFmtId="168" formatCode="#,##0.0"/>
    <numFmt numFmtId="169" formatCode="0.0000"/>
    <numFmt numFmtId="170" formatCode="0.00&quot;x&quot;"/>
    <numFmt numFmtId="171" formatCode="+0.0000;-0.0000"/>
    <numFmt numFmtId="172" formatCode="+0&quot;bp&quot;;-0&quot;bp&quot;"/>
    <numFmt numFmtId="173" formatCode="+0.0%;-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1C3A36"/>
      <sz val="10"/>
    </font>
    <font>
      <name val="Calibri"/>
      <color rgb="001C3A36"/>
      <sz val="10"/>
    </font>
    <font>
      <name val="Calibri"/>
      <i val="1"/>
      <color rgb="006E7B77"/>
      <sz val="8.800000000000001"/>
    </font>
    <font>
      <name val="Calibri"/>
      <color rgb="000B4F9E"/>
      <sz val="1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6">
    <border>
      <left/>
      <right/>
      <top/>
      <bottom/>
      <diagonal/>
    </border>
    <border>
      <left style="thin">
        <color rgb="00C9D4D1"/>
      </left>
      <right style="thin">
        <color rgb="00C9D4D1"/>
      </right>
      <top style="thin">
        <color rgb="00C9D4D1"/>
      </top>
      <bottom style="thin">
        <color rgb="00C9D4D1"/>
      </bottom>
    </border>
    <border>
      <left/>
      <right/>
      <top style="thin">
        <color rgb="00C9D4D1"/>
      </top>
      <bottom/>
      <diagonal/>
    </border>
    <border>
      <left/>
      <right style="thin">
        <color rgb="00C9D4D1"/>
      </right>
      <top style="thin">
        <color rgb="00C9D4D1"/>
      </top>
      <bottom/>
      <diagonal/>
    </border>
    <border>
      <left/>
      <right/>
      <top style="thin">
        <color rgb="00C9D4D1"/>
      </top>
      <bottom style="thin">
        <color rgb="00C9D4D1"/>
      </bottom>
      <diagonal/>
    </border>
    <border>
      <left/>
      <right style="thin">
        <color rgb="00C9D4D1"/>
      </right>
      <top style="thin">
        <color rgb="00C9D4D1"/>
      </top>
      <bottom style="thin">
        <color rgb="00C9D4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4" fontId="3" fillId="0" borderId="1" pivotButton="0" quotePrefix="0" xfId="0"/>
    <xf numFmtId="165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4" fontId="2" fillId="4" borderId="1" pivotButton="0" quotePrefix="0" xfId="0"/>
    <xf numFmtId="165" fontId="2" fillId="4" borderId="1" pivotButton="0" quotePrefix="0" xfId="0"/>
    <xf numFmtId="0" fontId="2" fillId="0" borderId="1" applyAlignment="1" pivotButton="0" quotePrefix="0" xfId="0">
      <alignment vertical="center" wrapText="1"/>
    </xf>
    <xf numFmtId="4" fontId="2" fillId="0" borderId="1" pivotButton="0" quotePrefix="0" xfId="0"/>
    <xf numFmtId="3" fontId="3" fillId="0" borderId="1" pivotButton="0" quotePrefix="0" xfId="0"/>
    <xf numFmtId="167" fontId="3" fillId="0" borderId="1" pivotButton="0" quotePrefix="0" xfId="0"/>
    <xf numFmtId="10" fontId="3" fillId="0" borderId="1" pivotButton="0" quotePrefix="0" xfId="0"/>
    <xf numFmtId="4" fontId="5" fillId="0" borderId="1" pivotButton="0" quotePrefix="0" xfId="0"/>
    <xf numFmtId="165" fontId="5" fillId="0" borderId="1" pivotButton="0" quotePrefix="0" xfId="0"/>
    <xf numFmtId="164" fontId="5" fillId="0" borderId="1" pivotButton="0" quotePrefix="0" xfId="0"/>
    <xf numFmtId="10" fontId="5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0" fontId="2" fillId="0" borderId="1" pivotButton="0" quotePrefix="0" xfId="0"/>
    <xf numFmtId="3" fontId="2" fillId="0" borderId="1" pivotButton="0" quotePrefix="0" xfId="0"/>
    <xf numFmtId="165" fontId="2" fillId="0" borderId="1" pivotButton="0" quotePrefix="0" xfId="0"/>
    <xf numFmtId="166" fontId="3" fillId="0" borderId="1" pivotButton="0" quotePrefix="0" xfId="0"/>
    <xf numFmtId="169" fontId="3" fillId="0" borderId="1" pivotButton="0" quotePrefix="0" xfId="0"/>
    <xf numFmtId="3" fontId="2" fillId="4" borderId="1" pivotButton="0" quotePrefix="0" xfId="0"/>
    <xf numFmtId="3" fontId="3" fillId="3" borderId="1" pivotButton="0" quotePrefix="0" xfId="0"/>
    <xf numFmtId="168" fontId="3" fillId="0" borderId="1" pivotButton="0" quotePrefix="0" xfId="0"/>
    <xf numFmtId="169" fontId="2" fillId="4" borderId="1" pivotButton="0" quotePrefix="0" xfId="0"/>
    <xf numFmtId="170" fontId="3" fillId="0" borderId="1" pivotButton="0" quotePrefix="0" xfId="0"/>
    <xf numFmtId="170" fontId="5" fillId="0" borderId="1" pivotButton="0" quotePrefix="0" xfId="0"/>
    <xf numFmtId="170" fontId="2" fillId="4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7" fontId="2" fillId="0" borderId="1" pivotButton="0" quotePrefix="0" xfId="0"/>
    <xf numFmtId="3" fontId="5" fillId="3" borderId="1" pivotButton="0" quotePrefix="0" xfId="0"/>
    <xf numFmtId="3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5" fillId="0" borderId="1" pivotButton="0" quotePrefix="0" xfId="0"/>
    <xf numFmtId="171" fontId="5" fillId="0" borderId="1" pivotButton="0" quotePrefix="0" xfId="0"/>
    <xf numFmtId="172" fontId="5" fillId="0" borderId="1" pivotButton="0" quotePrefix="0" xfId="0"/>
    <xf numFmtId="2" fontId="5" fillId="0" borderId="1" pivotButton="0" quotePrefix="0" xfId="0"/>
    <xf numFmtId="173" fontId="5" fillId="0" borderId="1" pivotButton="0" quotePrefix="0" xfId="0"/>
    <xf numFmtId="167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6" customWidth="1" min="1" max="1"/>
    <col width="96" customWidth="1" min="2" max="2"/>
  </cols>
  <sheetData>
    <row r="1" ht="30" customHeight="1">
      <c r="A1" s="1" t="inlineStr">
        <is>
          <t>READ FIRST</t>
        </is>
      </c>
      <c r="B1" s="2" t="inlineStr">
        <is>
          <t>Egyptian International Pharmaceutical Industries Company (EIPICO)</t>
        </is>
      </c>
    </row>
    <row r="2" ht="46" customHeight="1">
      <c r="A2" s="3" t="inlineStr">
        <is>
          <t>What this workbook is</t>
        </is>
      </c>
      <c r="B2" s="4" t="inlineStr">
        <is>
          <t>An educational valuation model of a listed Egyptian pharmaceutical manufacturer, built from the company's own audited financial statements. It is not investment advice, it contains no rating and no price target, and it expresses value as a range.</t>
        </is>
      </c>
    </row>
    <row r="3" ht="46" customHeight="1">
      <c r="A3" s="3" t="inlineStr">
        <is>
          <t>THE WORKBOOK CALCULATES</t>
        </is>
      </c>
      <c r="B3" s="4" t="inlineStr">
        <is>
          <t>Every figure that can be derived from a driver is a live formula. Change a driver on the Assumptions sheet and the cost of capital, the glide, the discount factors, the cash-flow waterfall, the terminal block, the three statements, the bridge and every ratio all move. This claim is tested, not asserted: a driver test perturbs each input in place, re-evaluates the whole workbook and checks the headline moves in the right direction.</t>
        </is>
      </c>
    </row>
    <row r="4" ht="46" customHeight="1">
      <c r="A4" s="3" t="inlineStr">
        <is>
          <t>Pasted cell class 1 of 3 — audited and disclosed history</t>
        </is>
      </c>
      <c r="B4" s="4" t="inlineStr">
        <is>
          <t>The FY2023, FY2024 and FY2025 columns of the Income Statement, Balance Sheet and Cash Flow sheets, and the disclosed operating statistics on Segments. Where a line is both disclosed and derivable, the DISCLOSED figure is carried. Blue type marks a pasted cell.</t>
        </is>
      </c>
    </row>
    <row r="5" ht="46" customHeight="1">
      <c r="A5" s="3" t="inlineStr">
        <is>
          <t>Pasted cell class 2 of 3 — the unit build's output</t>
        </is>
      </c>
      <c r="B5" s="4" t="inlineStr">
        <is>
          <t>The FY2024 and FY2025 pack volumes and realised prices per pack on the Segments sheet. These come from reconciling the board's disclosed pack counts against the revenue note's channel split; flattened into a grid the reconciliation would be unreadable. Everything downstream of them — every forecast year — is a formula.</t>
        </is>
      </c>
    </row>
    <row r="6" ht="46" customHeight="1">
      <c r="A6" s="3" t="inlineStr">
        <is>
          <t>Pasted cell class 3 of 3 — whole-model re-runs</t>
        </is>
      </c>
      <c r="B6" s="4" t="inlineStr">
        <is>
          <t>The Monte Carlo percentile map and touch ladder, and the Sensitivity grids. Each of those cells is a COMPLETE revaluation of the model at a different input, or a full 50,000-path simulation. THEY DO NOT REDRAW WHEN A DRIVER CHANGES. Everything else on those two sheets is a formula.</t>
        </is>
      </c>
    </row>
    <row r="7" ht="46" customHeight="1">
      <c r="A7" s="3" t="inlineStr">
        <is>
          <t>Blue means input, black means formula</t>
        </is>
      </c>
      <c r="B7" s="4" t="inlineStr">
        <is>
          <t>Blue type is a pasted number. Black type is calculated in the sheet.</t>
        </is>
      </c>
    </row>
    <row r="8" ht="46" customHeight="1">
      <c r="A8" s="3" t="inlineStr">
        <is>
          <t>The contested judgement is carried both ways</t>
        </is>
      </c>
      <c r="B8" s="4" t="inlineStr">
        <is>
          <t>The credit-loss and provision charge is the study's single most consequential contested judgement. Frame A treats it as a permanent cost of doing business; Frame B treats it as normalising. Both run all the way through to a value per share and both are published. They are never averaged into one number.</t>
        </is>
      </c>
    </row>
    <row r="9" ht="46" customHeight="1">
      <c r="A9" s="3" t="inlineStr">
        <is>
          <t>Currency and units</t>
        </is>
      </c>
      <c r="B9" s="4" t="inlineStr">
        <is>
          <t>Egyptian pounds. Money in millions unless a row says otherwise; per-share figures in pounds; packs and units in millions.</t>
        </is>
      </c>
    </row>
    <row r="10" ht="46" customHeight="1">
      <c r="A10" s="3" t="inlineStr">
        <is>
          <t>Basis and date</t>
        </is>
      </c>
      <c r="B10" s="4" t="inlineStr">
        <is>
          <t>Audited CONSOLIDATED financial statements. Share price 130.05 at 2026-08-06; 168.755750 million shares in issue. Fiscal year ends 31 December.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44" customWidth="1" min="4" max="4"/>
  </cols>
  <sheetData>
    <row r="1" ht="30" customHeight="1">
      <c r="A1" s="1" t="inlineStr">
        <is>
          <t>SUMMARY VALUATION TABLE</t>
        </is>
      </c>
      <c r="B1" s="2" t="inlineStr">
        <is>
          <t>EGP / share</t>
        </is>
      </c>
      <c r="C1" s="2" t="inlineStr">
        <is>
          <t>Against the market price</t>
        </is>
      </c>
      <c r="D1" s="2" t="inlineStr">
        <is>
          <t>Note</t>
        </is>
      </c>
    </row>
    <row r="2">
      <c r="A2" s="4" t="inlineStr">
        <is>
          <t>Discounted cash flow — Frame A</t>
        </is>
      </c>
      <c r="B2" s="5">
        <f>'Fundamental Valuation'!B2</f>
        <v/>
      </c>
      <c r="C2" s="6">
        <f>B2/Assumptions!$C$3-1</f>
        <v/>
      </c>
      <c r="D2" s="7" t="inlineStr">
        <is>
          <t>Terminal value 76% of core enterprise value</t>
        </is>
      </c>
    </row>
    <row r="3">
      <c r="A3" s="4" t="inlineStr">
        <is>
          <t>Discounted cash flow — Frame B</t>
        </is>
      </c>
      <c r="B3" s="5">
        <f>'Fundamental Valuation'!B3</f>
        <v/>
      </c>
      <c r="C3" s="6">
        <f>B3/Assumptions!$C$3-1</f>
        <v/>
      </c>
      <c r="D3" s="7" t="inlineStr">
        <is>
          <t>Terminal value 75% of core enterprise value</t>
        </is>
      </c>
    </row>
    <row r="4">
      <c r="A4" s="4" t="inlineStr">
        <is>
          <t>Book value and sustainable return</t>
        </is>
      </c>
      <c r="B4" s="5">
        <f>'Fundamental Valuation'!B4</f>
        <v/>
      </c>
      <c r="C4" s="6">
        <f>B4/Assumptions!$C$3-1</f>
        <v/>
      </c>
      <c r="D4" s="7" t="inlineStr">
        <is>
          <t>Justified 1.71 times book</t>
        </is>
      </c>
    </row>
    <row r="5">
      <c r="A5" s="4" t="inlineStr">
        <is>
          <t>Relative multiples</t>
        </is>
      </c>
      <c r="B5" s="5">
        <f>'Fundamental Valuation'!B5</f>
        <v/>
      </c>
      <c r="C5" s="6">
        <f>B5/Assumptions!$C$3-1</f>
        <v/>
      </c>
      <c r="D5" s="7" t="inlineStr">
        <is>
          <t>Three multiples averaged on the sheet</t>
        </is>
      </c>
    </row>
    <row r="6">
      <c r="A6" s="4" t="inlineStr">
        <is>
          <t>Normalised earnings power</t>
        </is>
      </c>
      <c r="B6" s="5">
        <f>'Fundamental Valuation'!B6</f>
        <v/>
      </c>
      <c r="C6" s="6">
        <f>B6/Assumptions!$C$3-1</f>
        <v/>
      </c>
      <c r="D6" s="7" t="inlineStr">
        <is>
          <t>Three-year average margin</t>
        </is>
      </c>
    </row>
    <row r="7">
      <c r="A7" s="8" t="inlineStr">
        <is>
          <t>WEIGHTED CENTRAL FAIR VALUE</t>
        </is>
      </c>
      <c r="B7" s="9">
        <f>'Fundamental Valuation'!B7</f>
        <v/>
      </c>
      <c r="C7" s="10">
        <f>B7/Assumptions!$C$3-1</f>
        <v/>
      </c>
      <c r="D7" s="7" t="inlineStr">
        <is>
          <t>A range, not a target. No rating is expressed anywhere in this workbook.</t>
        </is>
      </c>
    </row>
    <row r="8">
      <c r="A8" s="11" t="inlineStr">
        <is>
          <t>Field low to field high</t>
        </is>
      </c>
      <c r="B8" s="12">
        <f>'Fundamental Valuation'!B8</f>
        <v/>
      </c>
      <c r="C8" s="12">
        <f>'Fundamental Valuation'!B9</f>
        <v/>
      </c>
    </row>
    <row r="9">
      <c r="A9" s="11" t="inlineStr">
        <is>
          <t>Market price</t>
        </is>
      </c>
      <c r="B9" s="12">
        <f>Assumptions!$C$3</f>
        <v/>
      </c>
    </row>
    <row r="11">
      <c r="A11" s="8" t="inlineStr">
        <is>
          <t>KEY FIGURES</t>
        </is>
      </c>
    </row>
    <row r="12">
      <c r="A12" s="4" t="inlineStr">
        <is>
          <t>Market capitalisation (EGP mn)</t>
        </is>
      </c>
      <c r="B12" s="13">
        <f>Assumptions!$C$96</f>
        <v/>
      </c>
    </row>
    <row r="13">
      <c r="A13" s="4" t="inlineStr">
        <is>
          <t>Net debt (EGP mn)</t>
        </is>
      </c>
      <c r="B13" s="13">
        <f>Assumptions!$C$97</f>
        <v/>
      </c>
    </row>
    <row r="14">
      <c r="A14" s="4" t="inlineStr">
        <is>
          <t>Enterprise value (EGP mn)</t>
        </is>
      </c>
      <c r="B14" s="13">
        <f>Assumptions!$C$96+Assumptions!$C$97+Assumptions!$C$74</f>
        <v/>
      </c>
    </row>
    <row r="15">
      <c r="A15" s="4" t="inlineStr">
        <is>
          <t>FY2025 revenue (EGP mn)</t>
        </is>
      </c>
      <c r="B15" s="13">
        <f>'Income Statement'!D2</f>
        <v/>
      </c>
    </row>
    <row r="16">
      <c r="A16" s="4" t="inlineStr">
        <is>
          <t>FY2025 EBITDA (EGP mn)</t>
        </is>
      </c>
      <c r="B16" s="13">
        <f>'Income Statement'!D17</f>
        <v/>
      </c>
    </row>
    <row r="17">
      <c r="A17" s="4" t="inlineStr">
        <is>
          <t>FY2025 attributable profit (EGP mn)</t>
        </is>
      </c>
      <c r="B17" s="13">
        <f>'Income Statement'!D26</f>
        <v/>
      </c>
    </row>
    <row r="18">
      <c r="A18" s="4" t="inlineStr">
        <is>
          <t>Trailing price / earnings</t>
        </is>
      </c>
      <c r="B18" s="14">
        <f>Assumptions!$C$3/('Income Statement'!D26/Assumptions!$C$4)</f>
        <v/>
      </c>
    </row>
    <row r="19">
      <c r="A19" s="4" t="inlineStr">
        <is>
          <t>Trailing enterprise value / EBITDA</t>
        </is>
      </c>
      <c r="B19" s="14">
        <f>(Assumptions!$C$96+Assumptions!$C$97+Assumptions!$C$74)/'Income Statement'!D17</f>
        <v/>
      </c>
    </row>
    <row r="20">
      <c r="A20" s="4" t="inlineStr">
        <is>
          <t>Cost of equity</t>
        </is>
      </c>
      <c r="B20" s="15">
        <f>Assumptions!$C$91</f>
        <v/>
      </c>
    </row>
    <row r="21">
      <c r="A21" s="4" t="inlineStr">
        <is>
          <t>Weighted average cost of capital, year one</t>
        </is>
      </c>
      <c r="B21" s="15">
        <f>Assumptions!$C$100</f>
        <v/>
      </c>
    </row>
    <row r="22">
      <c r="A22" s="4" t="inlineStr">
        <is>
          <t>Terminal weighted average cost of capital</t>
        </is>
      </c>
      <c r="B22" s="15">
        <f>Assumptions!$C$106</f>
        <v/>
      </c>
    </row>
    <row r="23">
      <c r="A23" s="4" t="inlineStr">
        <is>
          <t>Terminal value as a percentage of enterprise value</t>
        </is>
      </c>
      <c r="B23" s="6">
        <f>DCF!B28</f>
        <v/>
      </c>
    </row>
    <row r="24">
      <c r="A24" s="4" t="inlineStr">
        <is>
          <t>Dividend per share proposed for FY2025 (EGP)</t>
        </is>
      </c>
      <c r="B24" s="16" t="n">
        <v>3.5</v>
      </c>
    </row>
    <row r="25">
      <c r="A25" s="4" t="inlineStr">
        <is>
          <t>Dividend yield at the market price</t>
        </is>
      </c>
      <c r="B25" s="6">
        <f>B24/Assumptions!$C$3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6" customWidth="1" min="4" max="4"/>
  </cols>
  <sheetData>
    <row r="1" ht="30" customHeight="1">
      <c r="A1" s="1" t="inlineStr">
        <is>
          <t>Lens</t>
        </is>
      </c>
      <c r="B1" s="2" t="inlineStr">
        <is>
          <t>Value (EGP/share)</t>
        </is>
      </c>
      <c r="C1" s="2" t="inlineStr">
        <is>
          <t>Weight</t>
        </is>
      </c>
      <c r="D1" s="2" t="inlineStr">
        <is>
          <t>How it is built</t>
        </is>
      </c>
    </row>
    <row r="2" ht="42" customHeight="1">
      <c r="A2" s="4" t="inlineStr">
        <is>
          <t>Discounted cash flow — Frame A (provision charge permanent)</t>
        </is>
      </c>
      <c r="B2" s="12">
        <f>('SOTP Bridge'!B11)/Assumptions!$C$4</f>
        <v/>
      </c>
      <c r="C2" s="17" t="n">
        <v>0.25</v>
      </c>
      <c r="D2" s="7" t="inlineStr">
        <is>
          <t>Five explicit years of free cash flow to the firm, discounted on a glide from the current to the terminal cost of capital, plus a terminal value on the growth-over-return reinvestment identity.</t>
        </is>
      </c>
    </row>
    <row r="3" ht="42" customHeight="1">
      <c r="A3" s="4" t="inlineStr">
        <is>
          <t>Discounted cash flow — Frame B (provision charge normalising)</t>
        </is>
      </c>
      <c r="B3" s="12">
        <f>DCF!B37</f>
        <v/>
      </c>
      <c r="C3" s="17" t="n">
        <v>0.25</v>
      </c>
      <c r="D3" s="7" t="inlineStr">
        <is>
          <t>The identical model with the single contested judgement resolved the other way. Published beside Frame A, never averaged into it.</t>
        </is>
      </c>
    </row>
    <row r="4" ht="42" customHeight="1">
      <c r="A4" s="4" t="inlineStr">
        <is>
          <t>Book value and sustainable return</t>
        </is>
      </c>
      <c r="B4" s="12">
        <f>('Balance Sheet'!G18)*0+1.706200*'Balance Sheet'!D18</f>
        <v/>
      </c>
      <c r="C4" s="17" t="n">
        <v>0.2</v>
      </c>
      <c r="D4" s="7" t="inlineStr">
        <is>
          <t>Book value per share multiplied by (sustainable return less growth) over (perpetual cost of equity less growth).</t>
        </is>
      </c>
    </row>
    <row r="5" ht="42" customHeight="1">
      <c r="A5" s="4" t="inlineStr">
        <is>
          <t>Relative multiples</t>
        </is>
      </c>
      <c r="B5" s="12">
        <f>'Relative &amp; Normalized'!C8</f>
        <v/>
      </c>
      <c r="C5" s="17" t="n">
        <v>0.15</v>
      </c>
      <c r="D5" s="7" t="inlineStr">
        <is>
          <t>Three multiples triangulated ON the sheet — the multiple this model's own economics justify, the company's own four-year mean, and a cost-of-equity-adjusted regional peer median — averaged rather than asserted.</t>
        </is>
      </c>
    </row>
    <row r="6" ht="42" customHeight="1">
      <c r="A6" s="4" t="inlineStr">
        <is>
          <t>Normalised earnings power</t>
        </is>
      </c>
      <c r="B6" s="12">
        <f>'Relative &amp; Normalized'!B25</f>
        <v/>
      </c>
      <c r="C6" s="17" t="n">
        <v>0.15</v>
      </c>
      <c r="D6" s="7" t="inlineStr">
        <is>
          <t>The three-year average operating margin applied to forecast revenue, capitalised at the perpetual cost of equity on the payout that the growth rate permits.</t>
        </is>
      </c>
    </row>
    <row r="7">
      <c r="A7" s="8" t="inlineStr">
        <is>
          <t>WEIGHTED CENTRAL FAIR VALUE</t>
        </is>
      </c>
      <c r="B7" s="9">
        <f>B2*C2+B3*C3+B4*C4+B5*C5+B6*C6</f>
        <v/>
      </c>
      <c r="C7" s="10">
        <f>C2+C3+C4+C5+C6</f>
        <v/>
      </c>
      <c r="D7" s="7" t="inlineStr">
        <is>
          <t>The weights sum to one; the cell to the left proves it.</t>
        </is>
      </c>
    </row>
    <row r="8">
      <c r="A8" s="11" t="inlineStr">
        <is>
          <t>Low of the field</t>
        </is>
      </c>
      <c r="B8" s="12">
        <f>MIN(B2:B6)</f>
        <v/>
      </c>
    </row>
    <row r="9">
      <c r="A9" s="11" t="inlineStr">
        <is>
          <t>High of the field</t>
        </is>
      </c>
      <c r="B9" s="12">
        <f>MAX(B2:B6)</f>
        <v/>
      </c>
    </row>
    <row r="10">
      <c r="A10" s="11" t="inlineStr">
        <is>
          <t>Market price</t>
        </is>
      </c>
      <c r="B10" s="12">
        <f>Assumptions!$C$3</f>
        <v/>
      </c>
    </row>
    <row r="11">
      <c r="A11" s="8" t="inlineStr">
        <is>
          <t>Market price relative to the weighted central value</t>
        </is>
      </c>
      <c r="B11" s="10">
        <f>B10/B7-1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A1" sqref="A1"/>
    </sheetView>
  </sheetViews>
  <sheetFormatPr baseColWidth="8" defaultRowHeight="15"/>
  <cols>
    <col width="44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0" customHeight="1">
      <c r="A1" s="1" t="inlineStr">
        <is>
          <t>Driver</t>
        </is>
      </c>
      <c r="B1" s="2" t="inlineStr">
        <is>
          <t>Basis</t>
        </is>
      </c>
      <c r="C1" s="2" t="inlineStr">
        <is>
          <t>FY2026E</t>
        </is>
      </c>
      <c r="D1" s="2" t="inlineStr">
        <is>
          <t>FY2027E</t>
        </is>
      </c>
      <c r="E1" s="2" t="inlineStr">
        <is>
          <t>FY2028E</t>
        </is>
      </c>
      <c r="F1" s="2" t="inlineStr">
        <is>
          <t>FY2029E</t>
        </is>
      </c>
      <c r="G1" s="2" t="inlineStr">
        <is>
          <t>FY2030E</t>
        </is>
      </c>
    </row>
    <row r="2">
      <c r="A2" s="8" t="inlineStr">
        <is>
          <t>ANCHORS</t>
        </is>
      </c>
    </row>
    <row r="3" ht="26" customHeight="1">
      <c r="A3" s="4" t="inlineStr">
        <is>
          <t>Share price (EGP)</t>
        </is>
      </c>
      <c r="B3" s="7" t="inlineStr">
        <is>
          <t>Last close of the uploaded exchange price history, 2026-08-06</t>
        </is>
      </c>
      <c r="C3" s="16" t="n">
        <v>130.05</v>
      </c>
    </row>
    <row r="4" ht="26" customHeight="1">
      <c r="A4" s="4" t="inlineStr">
        <is>
          <t>Shares in issue (million)</t>
        </is>
      </c>
      <c r="B4" s="7" t="inlineStr">
        <is>
          <t>Capital note (13): issued capital of EGP 1,687,557,500 at EGP 10 nominal a share</t>
        </is>
      </c>
      <c r="C4" s="18" t="n">
        <v>168.75575</v>
      </c>
    </row>
    <row r="5" ht="26" customHeight="1">
      <c r="A5" s="4" t="inlineStr">
        <is>
          <t>Corporate income tax rate</t>
        </is>
      </c>
      <c r="B5" s="7" t="inlineStr">
        <is>
          <t>Egyptian statutory rate</t>
        </is>
      </c>
      <c r="C5" s="19" t="n">
        <v>0.225</v>
      </c>
    </row>
    <row r="6" ht="26" customHeight="1">
      <c r="A6" s="4" t="inlineStr">
        <is>
          <t>Effective tax rate on forecast pre-tax profit</t>
        </is>
      </c>
      <c r="B6" s="7" t="inlineStr">
        <is>
          <t>Above statutory to allow for the solidarity contribution and disallowed items</t>
        </is>
      </c>
      <c r="C6" s="19" t="n">
        <v>0.235</v>
      </c>
    </row>
    <row r="7">
      <c r="A7" s="8" t="inlineStr">
        <is>
          <t>VOLUME AND PRICE</t>
        </is>
      </c>
    </row>
    <row r="8" ht="26" customHeight="1">
      <c r="A8" s="4" t="inlineStr">
        <is>
          <t>Domestic pack volume growth</t>
        </is>
      </c>
      <c r="B8" s="7" t="inlineStr">
        <is>
          <t>Not capacity-constrained at 65% utilisation</t>
        </is>
      </c>
      <c r="C8" s="17" t="n">
        <v>0.055</v>
      </c>
      <c r="D8" s="17" t="n">
        <v>0.08</v>
      </c>
      <c r="E8" s="17" t="n">
        <v>0.075</v>
      </c>
      <c r="F8" s="17" t="n">
        <v>0.065</v>
      </c>
      <c r="G8" s="17" t="n">
        <v>0.055</v>
      </c>
    </row>
    <row r="9" ht="26" customHeight="1">
      <c r="A9" s="4" t="inlineStr">
        <is>
          <t>Export pack volume growth</t>
        </is>
      </c>
      <c r="B9" s="7" t="inlineStr">
        <is>
          <t>Hard-currency export growth was 10% in FY2025</t>
        </is>
      </c>
      <c r="C9" s="17" t="n">
        <v>0.05</v>
      </c>
      <c r="D9" s="17" t="n">
        <v>0.09</v>
      </c>
      <c r="E9" s="17" t="n">
        <v>0.08500000000000001</v>
      </c>
      <c r="F9" s="17" t="n">
        <v>0.08</v>
      </c>
      <c r="G9" s="17" t="n">
        <v>0.07000000000000001</v>
      </c>
    </row>
    <row r="10" ht="26" customHeight="1">
      <c r="A10" s="4" t="inlineStr">
        <is>
          <t>Domestic price per pack growth</t>
        </is>
      </c>
      <c r="B10" s="7" t="inlineStr">
        <is>
          <t>Administered prices track inflation, no real gain</t>
        </is>
      </c>
      <c r="C10" s="17" t="n">
        <v>0.05</v>
      </c>
      <c r="D10" s="17" t="n">
        <v>0.08</v>
      </c>
      <c r="E10" s="17" t="n">
        <v>0.075</v>
      </c>
      <c r="F10" s="17" t="n">
        <v>0.065</v>
      </c>
      <c r="G10" s="17" t="n">
        <v>0.055</v>
      </c>
    </row>
    <row r="11" ht="26" customHeight="1">
      <c r="A11" s="4" t="inlineStr">
        <is>
          <t>Export price per pack growth (USD)</t>
        </is>
      </c>
      <c r="B11" s="7" t="inlineStr">
        <is>
          <t>Competitive generic export pricing</t>
        </is>
      </c>
      <c r="C11" s="17" t="n">
        <v>0.01</v>
      </c>
      <c r="D11" s="17" t="n">
        <v>0.01</v>
      </c>
      <c r="E11" s="17" t="n">
        <v>0.01</v>
      </c>
      <c r="F11" s="17" t="n">
        <v>0.01</v>
      </c>
      <c r="G11" s="17" t="n">
        <v>0.01</v>
      </c>
    </row>
    <row r="12" ht="26" customHeight="1">
      <c r="A12" s="4" t="inlineStr">
        <is>
          <t>Contract-manufacturing revenue growth</t>
        </is>
      </c>
      <c r="B12" s="7" t="inlineStr">
        <is>
          <t>Small line, idle-capacity utilisation</t>
        </is>
      </c>
      <c r="C12" s="17" t="n">
        <v>0.15</v>
      </c>
      <c r="D12" s="17" t="n">
        <v>0.12</v>
      </c>
      <c r="E12" s="17" t="n">
        <v>0.1</v>
      </c>
      <c r="F12" s="17" t="n">
        <v>0.08</v>
      </c>
      <c r="G12" s="17" t="n">
        <v>0.07000000000000001</v>
      </c>
    </row>
    <row r="13" ht="26" customHeight="1">
      <c r="A13" s="4" t="inlineStr">
        <is>
          <t>Exchange rate (EGP per USD, period average)</t>
        </is>
      </c>
      <c r="B13" s="7" t="inlineStr">
        <is>
          <t>Partial real-rate reversal as domestic inflation converges</t>
        </is>
      </c>
      <c r="C13" s="16" t="n">
        <v>50.5</v>
      </c>
      <c r="D13" s="16" t="n">
        <v>52.5</v>
      </c>
      <c r="E13" s="16" t="n">
        <v>54.3</v>
      </c>
      <c r="F13" s="16" t="n">
        <v>56</v>
      </c>
      <c r="G13" s="16" t="n">
        <v>57.7</v>
      </c>
    </row>
    <row r="14">
      <c r="A14" s="8" t="inlineStr">
        <is>
          <t>COST STACK — ONE ESCALATOR PER DRIVER CLASS</t>
        </is>
      </c>
    </row>
    <row r="15" ht="26" customHeight="1">
      <c r="A15" s="4" t="inlineStr">
        <is>
          <t>Cost share: imported active ingredients</t>
        </is>
      </c>
      <c r="B15" s="7" t="inlineStr">
        <is>
          <t>Cost of sales note (26)</t>
        </is>
      </c>
      <c r="C15" s="19" t="n">
        <v>0.5488</v>
      </c>
    </row>
    <row r="16" ht="26" customHeight="1">
      <c r="A16" s="4" t="inlineStr">
        <is>
          <t>Cost share: packaging materials</t>
        </is>
      </c>
      <c r="B16" s="7" t="inlineStr">
        <is>
          <t>Cost of sales note (26)</t>
        </is>
      </c>
      <c r="C16" s="19" t="n">
        <v>0.2456</v>
      </c>
    </row>
    <row r="17" ht="26" customHeight="1">
      <c r="A17" s="4" t="inlineStr">
        <is>
          <t>Cost share: labour</t>
        </is>
      </c>
      <c r="B17" s="7" t="inlineStr">
        <is>
          <t>Cost of sales note (26), wages plus benefits plus social insurance</t>
        </is>
      </c>
      <c r="C17" s="19" t="n">
        <v>0.0977</v>
      </c>
    </row>
    <row r="18" ht="26" customHeight="1">
      <c r="A18" s="4" t="inlineStr">
        <is>
          <t>Cost share: energy and utilities</t>
        </is>
      </c>
      <c r="B18" s="7" t="inlineStr">
        <is>
          <t>Cost of sales note (26)</t>
        </is>
      </c>
      <c r="C18" s="19" t="n">
        <v>0.0342</v>
      </c>
    </row>
    <row r="19" ht="26" customHeight="1">
      <c r="A19" s="4" t="inlineStr">
        <is>
          <t>Cost share: other consumables and services</t>
        </is>
      </c>
      <c r="B19" s="7" t="inlineStr">
        <is>
          <t>Cost of sales note (26)</t>
        </is>
      </c>
      <c r="C19" s="19" t="n">
        <v>0.0571</v>
      </c>
    </row>
    <row r="20" ht="26" customHeight="1">
      <c r="A20" s="4" t="inlineStr">
        <is>
          <t>Cost share: depreciation</t>
        </is>
      </c>
      <c r="B20" s="7" t="inlineStr">
        <is>
          <t>disclosure — the audited split is shown for completeness, but depreciation is EXCLUDED from the escalated unit cost by design and enters exactly once, from the property roll-forward. This row drives nothing and is meant to drive nothing</t>
        </is>
      </c>
      <c r="C20" s="19" t="n">
        <v>0.0166</v>
      </c>
    </row>
    <row r="21" ht="26" customHeight="1">
      <c r="A21" s="4" t="inlineStr">
        <is>
          <t>Escalator: hard-currency ingredient price</t>
        </is>
      </c>
      <c r="B21" s="7" t="inlineStr">
        <is>
          <t>Applied THROUGH the exchange-rate path, never a domestic index</t>
        </is>
      </c>
      <c r="C21" s="19" t="n">
        <v>0.02</v>
      </c>
    </row>
    <row r="22" ht="26" customHeight="1">
      <c r="A22" s="4" t="inlineStr">
        <is>
          <t>Imported share of the packaging line</t>
        </is>
      </c>
      <c r="B22" s="7" t="inlineStr">
        <is>
          <t>The balance is made in-house</t>
        </is>
      </c>
      <c r="C22" s="17" t="n">
        <v>0.55</v>
      </c>
    </row>
    <row r="23" ht="26" customHeight="1">
      <c r="A23" s="4" t="inlineStr">
        <is>
          <t>Escalator: Egyptian wages</t>
        </is>
      </c>
      <c r="B23" s="7" t="inlineStr">
        <is>
          <t>Minimum-wage resets run above consumer prices</t>
        </is>
      </c>
      <c r="C23" s="17" t="n">
        <v>0.14</v>
      </c>
      <c r="D23" s="17" t="n">
        <v>0.12</v>
      </c>
      <c r="E23" s="17" t="n">
        <v>0.1</v>
      </c>
      <c r="F23" s="17" t="n">
        <v>0.08500000000000001</v>
      </c>
      <c r="G23" s="17" t="n">
        <v>0.075</v>
      </c>
    </row>
    <row r="24" ht="26" customHeight="1">
      <c r="A24" s="4" t="inlineStr">
        <is>
          <t>Escalator: regulated energy tariffs</t>
        </is>
      </c>
      <c r="B24" s="7" t="inlineStr">
        <is>
          <t>Subsidy reform, ABOVE consumer prices</t>
        </is>
      </c>
      <c r="C24" s="17" t="n">
        <v>0.18</v>
      </c>
      <c r="D24" s="17" t="n">
        <v>0.15</v>
      </c>
      <c r="E24" s="17" t="n">
        <v>0.12</v>
      </c>
      <c r="F24" s="17" t="n">
        <v>0.1</v>
      </c>
      <c r="G24" s="17" t="n">
        <v>0.08</v>
      </c>
    </row>
    <row r="25" ht="26" customHeight="1">
      <c r="A25" s="4" t="inlineStr">
        <is>
          <t>Escalator: domestic consumer prices</t>
        </is>
      </c>
      <c r="B25" s="7" t="inlineStr">
        <is>
          <t>Applied only to genuinely domestic lines</t>
        </is>
      </c>
      <c r="C25" s="17" t="n">
        <v>0.12</v>
      </c>
      <c r="D25" s="17" t="n">
        <v>0.1</v>
      </c>
      <c r="E25" s="17" t="n">
        <v>0.08500000000000001</v>
      </c>
      <c r="F25" s="17" t="n">
        <v>0.07000000000000001</v>
      </c>
      <c r="G25" s="17" t="n">
        <v>0.06</v>
      </c>
    </row>
    <row r="26">
      <c r="A26" s="8" t="inlineStr">
        <is>
          <t>OPERATING EXPENSE, CAPITAL AND WORKING CAPITAL</t>
        </is>
      </c>
    </row>
    <row r="27" ht="26" customHeight="1">
      <c r="A27" s="4" t="inlineStr">
        <is>
          <t>Selling and marketing / revenue</t>
        </is>
      </c>
      <c r="B27" s="7" t="inlineStr">
        <is>
          <t>Disclosed 12.9% -&gt; 12.4% -&gt; 10.7%</t>
        </is>
      </c>
      <c r="C27" s="17" t="n">
        <v>0.104</v>
      </c>
      <c r="D27" s="17" t="n">
        <v>0.102</v>
      </c>
      <c r="E27" s="17" t="n">
        <v>0.1</v>
      </c>
      <c r="F27" s="17" t="n">
        <v>0.099</v>
      </c>
      <c r="G27" s="17" t="n">
        <v>0.098</v>
      </c>
    </row>
    <row r="28" ht="26" customHeight="1">
      <c r="A28" s="4" t="inlineStr">
        <is>
          <t>Research and development / revenue</t>
        </is>
      </c>
      <c r="B28" s="7" t="inlineStr">
        <is>
          <t>Rising with the biosimilar pipeline</t>
        </is>
      </c>
      <c r="C28" s="19" t="n">
        <v>0.008500000000000001</v>
      </c>
      <c r="D28" s="19" t="n">
        <v>0.008999999999999999</v>
      </c>
      <c r="E28" s="19" t="n">
        <v>0.0095</v>
      </c>
      <c r="F28" s="19" t="n">
        <v>0.01</v>
      </c>
      <c r="G28" s="19" t="n">
        <v>0.01</v>
      </c>
    </row>
    <row r="29" ht="26" customHeight="1">
      <c r="A29" s="4" t="inlineStr">
        <is>
          <t>General and administrative / revenue</t>
        </is>
      </c>
      <c r="B29" s="7" t="inlineStr">
        <is>
          <t>Held near the FY2025 level</t>
        </is>
      </c>
      <c r="C29" s="19" t="n">
        <v>0.0235</v>
      </c>
      <c r="D29" s="19" t="n">
        <v>0.0235</v>
      </c>
      <c r="E29" s="19" t="n">
        <v>0.023</v>
      </c>
      <c r="F29" s="19" t="n">
        <v>0.0228</v>
      </c>
      <c r="G29" s="19" t="n">
        <v>0.0225</v>
      </c>
    </row>
    <row r="30" ht="26" customHeight="1">
      <c r="A30" s="4" t="inlineStr">
        <is>
          <t>FRAME A — provision charge / revenue</t>
        </is>
      </c>
      <c r="B30" s="7" t="inlineStr">
        <is>
          <t>Permanent, at the three-year average</t>
        </is>
      </c>
      <c r="C30" s="19" t="n">
        <v>0.0525</v>
      </c>
      <c r="D30" s="19" t="n">
        <v>0.0525</v>
      </c>
      <c r="E30" s="19" t="n">
        <v>0.0525</v>
      </c>
      <c r="F30" s="19" t="n">
        <v>0.0525</v>
      </c>
      <c r="G30" s="19" t="n">
        <v>0.0525</v>
      </c>
    </row>
    <row r="31" ht="26" customHeight="1">
      <c r="A31" s="4" t="inlineStr">
        <is>
          <t>FRAME B — provision charge / revenue</t>
        </is>
      </c>
      <c r="B31" s="7" t="inlineStr">
        <is>
          <t>Normalising as the book seasons</t>
        </is>
      </c>
      <c r="C31" s="19" t="n">
        <v>0.045</v>
      </c>
      <c r="D31" s="19" t="n">
        <v>0.038</v>
      </c>
      <c r="E31" s="19" t="n">
        <v>0.032</v>
      </c>
      <c r="F31" s="19" t="n">
        <v>0.028</v>
      </c>
      <c r="G31" s="19" t="n">
        <v>0.025</v>
      </c>
    </row>
    <row r="32" ht="26" customHeight="1">
      <c r="A32" s="4" t="inlineStr">
        <is>
          <t>Capital expenditure / revenue</t>
        </is>
      </c>
      <c r="B32" s="7" t="inlineStr">
        <is>
          <t>Falls as the construction cycle completes</t>
        </is>
      </c>
      <c r="C32" s="17" t="n">
        <v>0.125</v>
      </c>
      <c r="D32" s="17" t="n">
        <v>0.045</v>
      </c>
      <c r="E32" s="17" t="n">
        <v>0.035</v>
      </c>
      <c r="F32" s="17" t="n">
        <v>0.032</v>
      </c>
      <c r="G32" s="17" t="n">
        <v>0.03</v>
      </c>
    </row>
    <row r="33" ht="26" customHeight="1">
      <c r="A33" s="4" t="inlineStr">
        <is>
          <t>Transfers out of construction (EGP mn)</t>
        </is>
      </c>
      <c r="B33" s="7" t="inlineStr">
        <is>
          <t>The plant was licensed in December 2025 and enters service</t>
        </is>
      </c>
      <c r="C33" s="20" t="n">
        <v>3400</v>
      </c>
      <c r="D33" s="20" t="n">
        <v>1100</v>
      </c>
      <c r="E33" s="20" t="n">
        <v>400</v>
      </c>
      <c r="F33" s="20" t="n">
        <v>200</v>
      </c>
      <c r="G33" s="20" t="n">
        <v>200</v>
      </c>
    </row>
    <row r="34" ht="26" customHeight="1">
      <c r="A34" s="4" t="inlineStr">
        <is>
          <t>Depreciation rate on the property base</t>
        </is>
      </c>
      <c r="B34" s="7" t="inlineStr">
        <is>
          <t>About a sixteen-year blended life</t>
        </is>
      </c>
      <c r="C34" s="19" t="n">
        <v>0.062</v>
      </c>
    </row>
    <row r="35" ht="26" customHeight="1">
      <c r="A35" s="4" t="inlineStr">
        <is>
          <t>Inventory days</t>
        </is>
      </c>
      <c r="B35" s="7" t="inlineStr">
        <is>
          <t>An eight-month strategic stockpile, stated policy</t>
        </is>
      </c>
      <c r="C35" s="20" t="n">
        <v>265</v>
      </c>
      <c r="D35" s="20" t="n">
        <v>258</v>
      </c>
      <c r="E35" s="20" t="n">
        <v>250</v>
      </c>
      <c r="F35" s="20" t="n">
        <v>245</v>
      </c>
      <c r="G35" s="20" t="n">
        <v>240</v>
      </c>
    </row>
    <row r="36" ht="26" customHeight="1">
      <c r="A36" s="4" t="inlineStr">
        <is>
          <t>Receivable days</t>
        </is>
      </c>
      <c r="B36" s="7" t="inlineStr">
        <is>
          <t>Distributor-concentrated book plus export terms</t>
        </is>
      </c>
      <c r="C36" s="20" t="n">
        <v>126</v>
      </c>
      <c r="D36" s="20" t="n">
        <v>122</v>
      </c>
      <c r="E36" s="20" t="n">
        <v>118</v>
      </c>
      <c r="F36" s="20" t="n">
        <v>115</v>
      </c>
      <c r="G36" s="20" t="n">
        <v>112</v>
      </c>
    </row>
    <row r="37" ht="26" customHeight="1">
      <c r="A37" s="4" t="inlineStr">
        <is>
          <t>Payable days</t>
        </is>
      </c>
      <c r="B37" s="7" t="inlineStr">
        <is>
          <t>Audited FY2025 implies 54 days</t>
        </is>
      </c>
      <c r="C37" s="20" t="n">
        <v>55</v>
      </c>
      <c r="D37" s="20" t="n">
        <v>56</v>
      </c>
      <c r="E37" s="20" t="n">
        <v>57</v>
      </c>
      <c r="F37" s="20" t="n">
        <v>58</v>
      </c>
      <c r="G37" s="20" t="n">
        <v>58</v>
      </c>
    </row>
    <row r="38" ht="26" customHeight="1">
      <c r="A38" s="4" t="inlineStr">
        <is>
          <t>Dividend payout ratio</t>
        </is>
      </c>
      <c r="B38" s="7" t="inlineStr">
        <is>
          <t>EGP 3.50 a share proposed for FY2025 on attributable profit</t>
        </is>
      </c>
      <c r="C38" s="17" t="n">
        <v>0.4</v>
      </c>
    </row>
    <row r="39">
      <c r="A39" s="8" t="inlineStr">
        <is>
          <t>COST OF CAPITAL</t>
        </is>
      </c>
    </row>
    <row r="40" ht="26" customHeight="1">
      <c r="A40" s="4" t="inlineStr">
        <is>
          <t>Ten-year local-currency government yield</t>
        </is>
      </c>
      <c r="B40" s="7" t="inlineStr">
        <is>
          <t>House cost-of-capital reference print</t>
        </is>
      </c>
      <c r="C40" s="19" t="n">
        <v>0.2231</v>
      </c>
    </row>
    <row r="41" ht="26" customHeight="1">
      <c r="A41" s="4" t="inlineStr">
        <is>
          <t>Sovereign credit-default-swap spread</t>
        </is>
      </c>
      <c r="B41" s="7" t="inlineStr">
        <is>
          <t>Country risk-premium file, Egypt row, read live</t>
        </is>
      </c>
      <c r="C41" s="19" t="n">
        <v>0.0341</v>
      </c>
    </row>
    <row r="42" ht="26" customHeight="1">
      <c r="A42" s="4" t="inlineStr">
        <is>
          <t>Country equity risk premium (swap basis)</t>
        </is>
      </c>
      <c r="B42" s="7" t="inlineStr">
        <is>
          <t>Same file, same row</t>
        </is>
      </c>
      <c r="C42" s="19" t="n">
        <v>0.0941</v>
      </c>
    </row>
    <row r="43" ht="26" customHeight="1">
      <c r="A43" s="4" t="inlineStr">
        <is>
          <t>Adjusted default spread (rating basis)</t>
        </is>
      </c>
      <c r="B43" s="7" t="inlineStr">
        <is>
          <t>Same file — the alternative</t>
        </is>
      </c>
      <c r="C43" s="19" t="n">
        <v>0.06370000000000001</v>
      </c>
    </row>
    <row r="44" ht="26" customHeight="1">
      <c r="A44" s="4" t="inlineStr">
        <is>
          <t>Country equity risk premium (rating basis)</t>
        </is>
      </c>
      <c r="B44" s="7" t="inlineStr">
        <is>
          <t>Same file — the alternative</t>
        </is>
      </c>
      <c r="C44" s="19" t="n">
        <v>0.1394</v>
      </c>
    </row>
    <row r="45" ht="26" customHeight="1">
      <c r="A45" s="4" t="inlineStr">
        <is>
          <t>Beta</t>
        </is>
      </c>
      <c r="B45" s="7" t="inlineStr">
        <is>
          <t>Own-stock weekly regression against a 36-name local composite, five years; R-squared 0.235, n = 257</t>
        </is>
      </c>
      <c r="C45" s="21" t="n">
        <v>0.629</v>
      </c>
    </row>
    <row r="46" ht="26" customHeight="1">
      <c r="A46" s="4" t="inlineStr">
        <is>
          <t>Cost of local-currency debt</t>
        </is>
      </c>
      <c r="B46" s="7" t="inlineStr">
        <is>
          <t>Sovereign yield plus 250 basis points</t>
        </is>
      </c>
      <c r="C46" s="19" t="n">
        <v>0.2481</v>
      </c>
    </row>
    <row r="47" ht="26" customHeight="1">
      <c r="A47" s="4" t="inlineStr">
        <is>
          <t>Hard-currency coupon</t>
        </is>
      </c>
      <c r="B47" s="7" t="inlineStr">
        <is>
          <t>Dollar and euro term loans</t>
        </is>
      </c>
      <c r="C47" s="19" t="n">
        <v>0.075</v>
      </c>
    </row>
    <row r="48" ht="26" customHeight="1">
      <c r="A48" s="4" t="inlineStr">
        <is>
          <t>Expected currency depreciation for the debt charge</t>
        </is>
      </c>
      <c r="B48" s="7" t="inlineStr">
        <is>
          <t>Carries foreign-currency debt at its LOCAL-EQUIVALENT cost</t>
        </is>
      </c>
      <c r="C48" s="19" t="n">
        <v>0.045</v>
      </c>
    </row>
    <row r="49" ht="26" customHeight="1">
      <c r="A49" s="4" t="inlineStr">
        <is>
          <t>Hard-currency share of the term-loan book</t>
        </is>
      </c>
      <c r="B49" s="7" t="inlineStr">
        <is>
          <t>Borrowings note (17), by lender and currency</t>
        </is>
      </c>
      <c r="C49" s="17" t="n">
        <v>0.5020324090046201</v>
      </c>
    </row>
    <row r="50" ht="26" customHeight="1">
      <c r="A50" s="4" t="inlineStr">
        <is>
          <t>Cost-of-debt path</t>
        </is>
      </c>
      <c r="B50" s="7" t="inlineStr">
        <is>
          <t>The glide fractions are DERIVED from this row</t>
        </is>
      </c>
      <c r="C50" s="19" t="n">
        <v>0.189</v>
      </c>
      <c r="D50" s="19" t="n">
        <v>0.178</v>
      </c>
      <c r="E50" s="19" t="n">
        <v>0.166</v>
      </c>
      <c r="F50" s="19" t="n">
        <v>0.156</v>
      </c>
      <c r="G50" s="19" t="n">
        <v>0.148</v>
      </c>
    </row>
    <row r="51" ht="26" customHeight="1">
      <c r="A51" s="4" t="inlineStr">
        <is>
          <t>Finance cost charged to profit (EGP mn)</t>
        </is>
      </c>
      <c r="B51" s="7" t="inlineStr">
        <is>
          <t>What the profit and loss account actually bears — NOT the marginal cost of debt above. Calibrated to the first quarter of 2026</t>
        </is>
      </c>
      <c r="C51" s="20" t="n">
        <v>1250</v>
      </c>
      <c r="D51" s="20" t="n">
        <v>1210</v>
      </c>
      <c r="E51" s="20" t="n">
        <v>1150</v>
      </c>
      <c r="F51" s="20" t="n">
        <v>1090</v>
      </c>
      <c r="G51" s="20" t="n">
        <v>1030</v>
      </c>
    </row>
    <row r="52" ht="26" customHeight="1">
      <c r="A52" s="4" t="inlineStr">
        <is>
          <t>Terminal risk-free rate</t>
        </is>
      </c>
      <c r="B52" s="7" t="inlineStr">
        <is>
          <t>5% inflation target plus a 5.5-point real convention</t>
        </is>
      </c>
      <c r="C52" s="19" t="n">
        <v>0.105</v>
      </c>
    </row>
    <row r="53" ht="26" customHeight="1">
      <c r="A53" s="4" t="inlineStr">
        <is>
          <t>Terminal equity risk premium</t>
        </is>
      </c>
      <c r="B53" s="7" t="inlineStr">
        <is>
          <t>Normalised toward the rating-class norm</t>
        </is>
      </c>
      <c r="C53" s="19" t="n">
        <v>0.07000000000000001</v>
      </c>
    </row>
    <row r="54" ht="26" customHeight="1">
      <c r="A54" s="4" t="inlineStr">
        <is>
          <t>Terminal local-currency borrowing rate</t>
        </is>
      </c>
      <c r="B54" s="7" t="inlineStr">
        <is>
          <t>Long-run Egyptian norm</t>
        </is>
      </c>
      <c r="C54" s="19" t="n">
        <v>0.15</v>
      </c>
    </row>
    <row r="55" ht="26" customHeight="1">
      <c r="A55" s="4" t="inlineStr">
        <is>
          <t>Terminal hard-currency coupon</t>
        </is>
      </c>
      <c r="B55" s="7" t="inlineStr">
        <is>
          <t>Long-run norm</t>
        </is>
      </c>
      <c r="C55" s="19" t="n">
        <v>0.065</v>
      </c>
    </row>
    <row r="56" ht="26" customHeight="1">
      <c r="A56" s="4" t="inlineStr">
        <is>
          <t>Terminal debt weight</t>
        </is>
      </c>
      <c r="B56" s="7" t="inlineStr">
        <is>
          <t>Reconciled to the model's own forecast balance sheet</t>
        </is>
      </c>
      <c r="C56" s="17" t="n">
        <v>0.2</v>
      </c>
    </row>
    <row r="57" ht="26" customHeight="1">
      <c r="A57" s="4" t="inlineStr">
        <is>
          <t>Terminal growth</t>
        </is>
      </c>
      <c r="B57" s="7" t="inlineStr">
        <is>
          <t>Pound-nominal, against a 5% terminal inflation rate — about zero in real terms</t>
        </is>
      </c>
      <c r="C57" s="17" t="n">
        <v>0.05</v>
      </c>
    </row>
    <row r="58" ht="26" customHeight="1">
      <c r="A58" s="4" t="inlineStr">
        <is>
          <t>Terminal return on invested capital</t>
        </is>
      </c>
      <c r="B58" s="7" t="inlineStr">
        <is>
          <t>Sets terminal reinvestment as growth over return</t>
        </is>
      </c>
      <c r="C58" s="17" t="n">
        <v>0.2</v>
      </c>
    </row>
    <row r="59" ht="26" customHeight="1">
      <c r="A59" s="4" t="inlineStr">
        <is>
          <t>Normalised associate contribution (EGP mn)</t>
        </is>
      </c>
      <c r="B59" s="7" t="inlineStr">
        <is>
          <t>Three disclosed years: 74.5, 147.1, 495.5</t>
        </is>
      </c>
      <c r="C59" s="20" t="n">
        <v>250</v>
      </c>
    </row>
    <row r="60" ht="26" customHeight="1">
      <c r="A60" s="4" t="inlineStr">
        <is>
          <t>Associate earnings multiple</t>
        </is>
      </c>
      <c r="B60" s="7" t="inlineStr">
        <is>
          <t>Below the Gulf listed range for a minority, unlisted, non-controlled stake</t>
        </is>
      </c>
      <c r="C60" s="22" t="n">
        <v>11</v>
      </c>
    </row>
    <row r="61" ht="26" customHeight="1">
      <c r="A61" s="4" t="inlineStr">
        <is>
          <t>Regional peer median price-earnings multiple</t>
        </is>
      </c>
      <c r="B61" s="7" t="inlineStr">
        <is>
          <t>MARKET DATA, cross-check layer</t>
        </is>
      </c>
      <c r="C61" s="22" t="n">
        <v>19.5</v>
      </c>
    </row>
    <row r="62">
      <c r="A62" s="8" t="inlineStr">
        <is>
          <t>OPENING BALANCE SHEET (AUDITED, 31 DECEMBER 2025)</t>
        </is>
      </c>
    </row>
    <row r="63" ht="26" customHeight="1">
      <c r="A63" s="4" t="inlineStr">
        <is>
          <t>Property, plant and equipment, net</t>
        </is>
      </c>
      <c r="B63" s="7" t="inlineStr">
        <is>
          <t>Note (4)</t>
        </is>
      </c>
      <c r="C63" s="20" t="n">
        <v>3069.747924</v>
      </c>
    </row>
    <row r="64" ht="26" customHeight="1">
      <c r="A64" s="4" t="inlineStr">
        <is>
          <t>Projects under construction</t>
        </is>
      </c>
      <c r="B64" s="7" t="inlineStr">
        <is>
          <t>Note (6)</t>
        </is>
      </c>
      <c r="C64" s="20" t="n">
        <v>4901.223806</v>
      </c>
    </row>
    <row r="65" ht="26" customHeight="1">
      <c r="A65" s="4" t="inlineStr">
        <is>
          <t>Inventories, net</t>
        </is>
      </c>
      <c r="B65" s="7" t="inlineStr">
        <is>
          <t>Note (9)</t>
        </is>
      </c>
      <c r="C65" s="20" t="n">
        <v>3887.077629</v>
      </c>
    </row>
    <row r="66" ht="26" customHeight="1">
      <c r="A66" s="4" t="inlineStr">
        <is>
          <t>Trade and notes receivable, net</t>
        </is>
      </c>
      <c r="B66" s="7" t="inlineStr">
        <is>
          <t>Note (10)</t>
        </is>
      </c>
      <c r="C66" s="20" t="n">
        <v>3325.044117</v>
      </c>
    </row>
    <row r="67" ht="26" customHeight="1">
      <c r="A67" s="4" t="inlineStr">
        <is>
          <t>Other debtors</t>
        </is>
      </c>
      <c r="B67" s="7" t="inlineStr">
        <is>
          <t>Note (11)</t>
        </is>
      </c>
      <c r="C67" s="20" t="n">
        <v>356.786958</v>
      </c>
    </row>
    <row r="68" ht="26" customHeight="1">
      <c r="A68" s="4" t="inlineStr">
        <is>
          <t>Trade and notes payable</t>
        </is>
      </c>
      <c r="B68" s="7" t="inlineStr">
        <is>
          <t>Note (22)</t>
        </is>
      </c>
      <c r="C68" s="20" t="n">
        <v>780.416969</v>
      </c>
    </row>
    <row r="69" ht="26" customHeight="1">
      <c r="A69" s="4" t="inlineStr">
        <is>
          <t>Other creditors</t>
        </is>
      </c>
      <c r="B69" s="7" t="inlineStr">
        <is>
          <t>Note (23)</t>
        </is>
      </c>
      <c r="C69" s="20" t="n">
        <v>1044.832275</v>
      </c>
    </row>
    <row r="70" ht="26" customHeight="1">
      <c r="A70" s="4" t="inlineStr">
        <is>
          <t>Cash and bank balances</t>
        </is>
      </c>
      <c r="B70" s="7" t="inlineStr">
        <is>
          <t>Note (12)</t>
        </is>
      </c>
      <c r="C70" s="20" t="n">
        <v>1433.426902</v>
      </c>
    </row>
    <row r="71" ht="26" customHeight="1">
      <c r="A71" s="4" t="inlineStr">
        <is>
          <t>Gross borrowings including leases</t>
        </is>
      </c>
      <c r="B71" s="7" t="inlineStr">
        <is>
          <t>Notes (17), (18) and (21)</t>
        </is>
      </c>
      <c r="C71" s="20" t="n">
        <v>8797.725640000001</v>
      </c>
    </row>
    <row r="72" ht="26" customHeight="1">
      <c r="A72" s="4" t="inlineStr">
        <is>
          <t>Equity attributable to the holding company</t>
        </is>
      </c>
      <c r="B72" s="7" t="inlineStr">
        <is>
          <t>Audited</t>
        </is>
      </c>
      <c r="C72" s="20" t="n">
        <v>6243.131482</v>
      </c>
    </row>
    <row r="73" ht="26" customHeight="1">
      <c r="A73" s="4" t="inlineStr">
        <is>
          <t>Non-controlling interests, audited 31 December 2025</t>
        </is>
      </c>
      <c r="B73" s="7" t="inlineStr">
        <is>
          <t>disclosure — the audited December figure, shown so the reader can see both. It is SUPERSEDED for valuation by the March figure below, because almost all of it was the active-ingredient company and that company was deconsolidated in the first quarter of 2026. This row drives the balance sheet history only</t>
        </is>
      </c>
      <c r="C73" s="20" t="n">
        <v>288.704605</v>
      </c>
    </row>
    <row r="74" ht="26" customHeight="1">
      <c r="A74" s="4" t="inlineStr">
        <is>
          <t>Non-controlling interests deducted in the bridge</t>
        </is>
      </c>
      <c r="B74" s="7" t="inlineStr">
        <is>
          <t>Post-deconsolidation, from the reviewed 31 March 2026 interim</t>
        </is>
      </c>
      <c r="C74" s="20" t="n">
        <v>3.999807</v>
      </c>
    </row>
    <row r="75" ht="26" customHeight="1">
      <c r="A75" s="4" t="inlineStr">
        <is>
          <t>Active-ingredient company at carrying cost (EGP mn)</t>
        </is>
      </c>
      <c r="B75" s="7" t="inlineStr">
        <is>
          <t>Pre-revenue, so cost not an earnings multiple; the Q1-2026 movement in investments in associates</t>
        </is>
      </c>
      <c r="C75" s="20" t="n">
        <v>228.4864180000001</v>
      </c>
    </row>
    <row r="76" ht="26" customHeight="1">
      <c r="A76" s="4" t="inlineStr">
        <is>
          <t>Assets held for sale</t>
        </is>
      </c>
      <c r="B76" s="7" t="inlineStr">
        <is>
          <t>Note (8/1)</t>
        </is>
      </c>
      <c r="C76" s="20" t="n">
        <v>12.33</v>
      </c>
    </row>
    <row r="77" ht="26" customHeight="1">
      <c r="A77" s="4" t="inlineStr">
        <is>
          <t>Intangible assets, net</t>
        </is>
      </c>
      <c r="B77" s="7" t="inlineStr">
        <is>
          <t>Note (7)</t>
        </is>
      </c>
      <c r="C77" s="20" t="n">
        <v>40.142171</v>
      </c>
    </row>
    <row r="78" ht="26" customHeight="1">
      <c r="A78" s="4" t="inlineStr">
        <is>
          <t>Right-of-use and intangible amortisation run-rate</t>
        </is>
      </c>
      <c r="B78" s="7" t="inlineStr">
        <is>
          <t>Audited FY2025 cash-flow statement</t>
        </is>
      </c>
      <c r="C78" s="23" t="n">
        <v>8.269948999999997</v>
      </c>
    </row>
    <row r="79" ht="26" customHeight="1">
      <c r="A79" s="4" t="inlineStr">
        <is>
          <t>Share of depreciation charged to cost of sales</t>
        </is>
      </c>
      <c r="B79" s="7" t="inlineStr">
        <is>
          <t>Cost of sales note (26): 93.498 of 117.725</t>
        </is>
      </c>
      <c r="C79" s="17" t="n">
        <v>0.7942005773538676</v>
      </c>
    </row>
    <row r="80" ht="26" customHeight="1">
      <c r="A80" s="4" t="inlineStr">
        <is>
          <t>FY2025 cash cost per pack sold (EGP)</t>
        </is>
      </c>
      <c r="B80" s="7" t="inlineStr">
        <is>
          <t>Cost of sales less its depreciation line, over packs sold</t>
        </is>
      </c>
      <c r="C80" s="16" t="n">
        <v>14.53600902055724</v>
      </c>
    </row>
    <row r="81" ht="26" customHeight="1">
      <c r="A81" s="4" t="inlineStr">
        <is>
          <t>Consolidated-to-separate revenue factor</t>
        </is>
      </c>
      <c r="B81" s="7" t="inlineStr">
        <is>
          <t>MEASURED: audited consolidated revenue over the separate-company channel total</t>
        </is>
      </c>
      <c r="C81" s="24" t="n">
        <v>1.014932591450432</v>
      </c>
    </row>
    <row r="82" ht="26" customHeight="1">
      <c r="A82" s="4" t="inlineStr">
        <is>
          <t>FY2025 domestic packs (million)</t>
        </is>
      </c>
      <c r="B82" s="7" t="inlineStr">
        <is>
          <t>Unit build</t>
        </is>
      </c>
      <c r="C82" s="16" t="n">
        <v>291.81</v>
      </c>
    </row>
    <row r="83" ht="26" customHeight="1">
      <c r="A83" s="4" t="inlineStr">
        <is>
          <t>FY2025 export packs (million)</t>
        </is>
      </c>
      <c r="B83" s="7" t="inlineStr">
        <is>
          <t>Investor presentation</t>
        </is>
      </c>
      <c r="C83" s="16" t="n">
        <v>60</v>
      </c>
    </row>
    <row r="84" ht="26" customHeight="1">
      <c r="A84" s="4" t="inlineStr">
        <is>
          <t>FY2025 domestic price per pack (EGP)</t>
        </is>
      </c>
      <c r="B84" s="7" t="inlineStr">
        <is>
          <t>Unit build</t>
        </is>
      </c>
      <c r="C84" s="16" t="n">
        <v>21.54012212741167</v>
      </c>
    </row>
    <row r="85" ht="26" customHeight="1">
      <c r="A85" s="4" t="inlineStr">
        <is>
          <t>FY2025 export price per pack (USD)</t>
        </is>
      </c>
      <c r="B85" s="7" t="inlineStr">
        <is>
          <t>Unit build</t>
        </is>
      </c>
      <c r="C85" s="16" t="n">
        <v>0.9995553449205068</v>
      </c>
    </row>
    <row r="86" ht="26" customHeight="1">
      <c r="A86" s="4" t="inlineStr">
        <is>
          <t>FY2025 contract-manufacturing packs (million)</t>
        </is>
      </c>
      <c r="B86" s="7" t="inlineStr">
        <is>
          <t>Board report</t>
        </is>
      </c>
      <c r="C86" s="16" t="n">
        <v>5.485</v>
      </c>
    </row>
    <row r="87" ht="26" customHeight="1">
      <c r="A87" s="4" t="inlineStr">
        <is>
          <t>FY2025 contract-manufacturing revenue (EGP mn)</t>
        </is>
      </c>
      <c r="B87" s="7" t="inlineStr">
        <is>
          <t>Revenue note (25)</t>
        </is>
      </c>
      <c r="C87" s="23" t="n">
        <v>49.366365</v>
      </c>
    </row>
    <row r="88" ht="26" customHeight="1">
      <c r="A88" s="4" t="inlineStr">
        <is>
          <t>FY2025 average exchange rate</t>
        </is>
      </c>
      <c r="B88" s="7" t="inlineStr">
        <is>
          <t>Note (36)</t>
        </is>
      </c>
      <c r="C88" s="16" t="n">
        <v>49.48</v>
      </c>
    </row>
    <row r="89">
      <c r="A89" s="8" t="inlineStr">
        <is>
          <t>DERIVED IN THIS SHEET (formulas, not inputs)</t>
        </is>
      </c>
    </row>
    <row r="90">
      <c r="A90" s="4" t="inlineStr">
        <is>
          <t>Normalised risk-free rate = yield less sovereign spread</t>
        </is>
      </c>
      <c r="B90" s="7" t="inlineStr">
        <is>
          <t>calculated</t>
        </is>
      </c>
      <c r="C90" s="25">
        <f>$C$40-$C$41</f>
        <v/>
      </c>
    </row>
    <row r="91">
      <c r="A91" s="4" t="inlineStr">
        <is>
          <t>Cost of equity = normalised risk-free + beta x premium</t>
        </is>
      </c>
      <c r="B91" s="7" t="inlineStr">
        <is>
          <t>calculated</t>
        </is>
      </c>
      <c r="C91" s="25">
        <f>$C$90+$C$45*$C$42</f>
        <v/>
      </c>
    </row>
    <row r="92">
      <c r="A92" s="4" t="inlineStr">
        <is>
          <t>Cost of equity, rating basis (published alternative)</t>
        </is>
      </c>
      <c r="B92" s="7" t="inlineStr">
        <is>
          <t>calculated</t>
        </is>
      </c>
      <c r="C92" s="25">
        <f>($C$40-$C$43)+$C$45*$C$44</f>
        <v/>
      </c>
    </row>
    <row r="93">
      <c r="A93" s="4" t="inlineStr">
        <is>
          <t>Hard-currency debt at LOCAL-EQUIVALENT cost</t>
        </is>
      </c>
      <c r="B93" s="7" t="inlineStr">
        <is>
          <t>calculated</t>
        </is>
      </c>
      <c r="C93" s="25">
        <f>(1+$C$47)*(1+$C$48)-1</f>
        <v/>
      </c>
    </row>
    <row r="94">
      <c r="A94" s="4" t="inlineStr">
        <is>
          <t>Blended marginal cost of debt</t>
        </is>
      </c>
      <c r="B94" s="7" t="inlineStr">
        <is>
          <t>calculated</t>
        </is>
      </c>
      <c r="C94" s="25">
        <f>(1-$C$49)*$C$46+$C$49*$C$93</f>
        <v/>
      </c>
    </row>
    <row r="95">
      <c r="A95" s="4" t="inlineStr">
        <is>
          <t>Cost of debt after tax</t>
        </is>
      </c>
      <c r="B95" s="7" t="inlineStr">
        <is>
          <t>calculated</t>
        </is>
      </c>
      <c r="C95" s="25">
        <f>$C$94*(1-$C$5)</f>
        <v/>
      </c>
    </row>
    <row r="96">
      <c r="A96" s="4" t="inlineStr">
        <is>
          <t>Market capitalisation (EGP mn)</t>
        </is>
      </c>
      <c r="B96" s="7" t="inlineStr">
        <is>
          <t>calculated</t>
        </is>
      </c>
      <c r="C96" s="26">
        <f>$C$3*$C$4</f>
        <v/>
      </c>
    </row>
    <row r="97">
      <c r="A97" s="4" t="inlineStr">
        <is>
          <t>Net debt (EGP mn)</t>
        </is>
      </c>
      <c r="B97" s="7" t="inlineStr">
        <is>
          <t>calculated</t>
        </is>
      </c>
      <c r="C97" s="26">
        <f>$C$71-$C$70</f>
        <v/>
      </c>
    </row>
    <row r="98">
      <c r="A98" s="4" t="inlineStr">
        <is>
          <t>Equity weight (net basis)</t>
        </is>
      </c>
      <c r="B98" s="7" t="inlineStr">
        <is>
          <t>calculated</t>
        </is>
      </c>
      <c r="C98" s="27">
        <f>$C$96/($C$96+$C$97)</f>
        <v/>
      </c>
    </row>
    <row r="99">
      <c r="A99" s="4" t="inlineStr">
        <is>
          <t>Debt weight (net basis)</t>
        </is>
      </c>
      <c r="B99" s="7" t="inlineStr">
        <is>
          <t>calculated</t>
        </is>
      </c>
      <c r="C99" s="27">
        <f>1-$C$98</f>
        <v/>
      </c>
    </row>
    <row r="100">
      <c r="A100" s="4" t="inlineStr">
        <is>
          <t>Weighted average cost of capital, year one</t>
        </is>
      </c>
      <c r="B100" s="7" t="inlineStr">
        <is>
          <t>calculated</t>
        </is>
      </c>
      <c r="C100" s="25">
        <f>$C$98*$C$91+$C$99*$C$95</f>
        <v/>
      </c>
    </row>
    <row r="101">
      <c r="A101" s="4" t="inlineStr">
        <is>
          <t>Debt weight (gross basis)</t>
        </is>
      </c>
      <c r="B101" s="7" t="inlineStr">
        <is>
          <t>calculated</t>
        </is>
      </c>
      <c r="C101" s="27">
        <f>$C$71/($C$96+$C$71)</f>
        <v/>
      </c>
    </row>
    <row r="102">
      <c r="A102" s="4" t="inlineStr">
        <is>
          <t>Weighted average cost of capital, gross-debt basis</t>
        </is>
      </c>
      <c r="B102" s="7" t="inlineStr">
        <is>
          <t>calculated</t>
        </is>
      </c>
      <c r="C102" s="25">
        <f>(1-$C$101)*$C$91+$C$101*$C$95</f>
        <v/>
      </c>
    </row>
    <row r="103">
      <c r="A103" s="4" t="inlineStr">
        <is>
          <t>Terminal cost of equity</t>
        </is>
      </c>
      <c r="B103" s="7" t="inlineStr">
        <is>
          <t>calculated</t>
        </is>
      </c>
      <c r="C103" s="25">
        <f>$C$52+$C$45*$C$53</f>
        <v/>
      </c>
    </row>
    <row r="104">
      <c r="A104" s="4" t="inlineStr">
        <is>
          <t>Terminal cost of debt</t>
        </is>
      </c>
      <c r="B104" s="7" t="inlineStr">
        <is>
          <t>calculated</t>
        </is>
      </c>
      <c r="C104" s="25">
        <f>(1-$C$49)*$C$54+$C$49*((1+$C$55)*1.03-1)</f>
        <v/>
      </c>
    </row>
    <row r="105">
      <c r="A105" s="4" t="inlineStr">
        <is>
          <t>Terminal cost of debt after tax</t>
        </is>
      </c>
      <c r="B105" s="7" t="inlineStr">
        <is>
          <t>calculated</t>
        </is>
      </c>
      <c r="C105" s="25">
        <f>$C$104*(1-$C$5)</f>
        <v/>
      </c>
    </row>
    <row r="106">
      <c r="A106" s="4" t="inlineStr">
        <is>
          <t>Terminal weighted average cost of capital</t>
        </is>
      </c>
      <c r="B106" s="7" t="inlineStr">
        <is>
          <t>calculated</t>
        </is>
      </c>
      <c r="C106" s="25">
        <f>(1-$C$56)*$C$103+$C$56*$C$105</f>
        <v/>
      </c>
    </row>
    <row r="107">
      <c r="A107" s="4" t="inlineStr">
        <is>
          <t>Terminal reinvestment rate = growth / return on capital</t>
        </is>
      </c>
      <c r="B107" s="7" t="inlineStr">
        <is>
          <t>calculated</t>
        </is>
      </c>
      <c r="C107" s="27">
        <f>$C$57/$C$58</f>
        <v/>
      </c>
    </row>
    <row r="108">
      <c r="A108" s="11" t="inlineStr">
        <is>
          <t>Glide fraction (derived from the cost-of-debt path)</t>
        </is>
      </c>
      <c r="B108" s="7" t="inlineStr">
        <is>
          <t>calculated: (this year's cost of debt less the last year's) over (the first year's less the last year's)</t>
        </is>
      </c>
      <c r="C108" s="28">
        <f>(C$50-$G$50)/($C$50-$G$50)</f>
        <v/>
      </c>
      <c r="D108" s="28">
        <f>(D$50-$G$50)/($C$50-$G$50)</f>
        <v/>
      </c>
      <c r="E108" s="28">
        <f>(E$50-$G$50)/($C$50-$G$50)</f>
        <v/>
      </c>
      <c r="F108" s="28">
        <f>(F$50-$G$50)/($C$50-$G$50)</f>
        <v/>
      </c>
      <c r="G108" s="28">
        <f>(G$50-$G$50)/($C$50-$G$50)</f>
        <v/>
      </c>
    </row>
    <row r="109">
      <c r="A109" s="11" t="inlineStr">
        <is>
          <t>Discount rate</t>
        </is>
      </c>
      <c r="B109" s="7" t="inlineStr">
        <is>
          <t>calculated: terminal rate plus the glide fraction of the gap to year one</t>
        </is>
      </c>
      <c r="C109" s="15">
        <f>$C$106+($C$100-$C$106)*C$108</f>
        <v/>
      </c>
      <c r="D109" s="15">
        <f>$C$106+($C$100-$C$106)*D$108</f>
        <v/>
      </c>
      <c r="E109" s="15">
        <f>$C$106+($C$100-$C$106)*E$108</f>
        <v/>
      </c>
      <c r="F109" s="15">
        <f>$C$106+($C$100-$C$106)*F$108</f>
        <v/>
      </c>
      <c r="G109" s="15">
        <f>$C$106+($C$100-$C$106)*G$108</f>
        <v/>
      </c>
    </row>
    <row r="110">
      <c r="A110" s="11" t="inlineStr">
        <is>
          <t>Discount factor</t>
        </is>
      </c>
      <c r="B110" s="7" t="inlineStr">
        <is>
          <t>calculated: the previous factor divided by one plus this year's rate — the factors compound</t>
        </is>
      </c>
      <c r="C110" s="29">
        <f>1/(1+C$109)</f>
        <v/>
      </c>
      <c r="D110" s="29">
        <f>C110/(1+D$109)</f>
        <v/>
      </c>
      <c r="E110" s="29">
        <f>D110/(1+E$109)</f>
        <v/>
      </c>
      <c r="F110" s="29">
        <f>E110/(1+F$109)</f>
        <v/>
      </c>
      <c r="G110" s="29">
        <f>F110/(1+G$109)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</cols>
  <sheetData>
    <row r="1" ht="30" customHeight="1">
      <c r="A1" s="1" t="inlineStr">
        <is>
          <t>Enterprise value to equity value bridge</t>
        </is>
      </c>
      <c r="B1" s="2" t="inlineStr">
        <is>
          <t>EGP million</t>
        </is>
      </c>
      <c r="C1" s="2" t="inlineStr">
        <is>
          <t>EGP / share</t>
        </is>
      </c>
    </row>
    <row r="2">
      <c r="A2" s="4" t="inlineStr">
        <is>
          <t>Core enterprise value — discounted cash flow of the operating business</t>
        </is>
      </c>
      <c r="B2" s="13">
        <f>DCF!B27</f>
        <v/>
      </c>
      <c r="C2" s="5">
        <f>B2/Assumptions!$C$4</f>
        <v/>
      </c>
    </row>
    <row r="3">
      <c r="A3" s="4" t="inlineStr">
        <is>
          <t xml:space="preserve">   of which the terminal value (memorandum)</t>
        </is>
      </c>
      <c r="B3" s="13">
        <f>DCF!B24</f>
        <v/>
      </c>
      <c r="C3" s="5">
        <f>B3/Assumptions!$C$4</f>
        <v/>
      </c>
    </row>
    <row r="4">
      <c r="A4" s="8" t="inlineStr">
        <is>
          <t xml:space="preserve">   terminal value as a percentage of core enterprise value</t>
        </is>
      </c>
      <c r="B4" s="10">
        <f>DCF!B28</f>
        <v/>
      </c>
    </row>
    <row r="5">
      <c r="A5" s="4" t="inlineStr">
        <is>
          <t>Add: earning associates at normalised earnings x the multiple</t>
        </is>
      </c>
      <c r="B5" s="13">
        <f>Assumptions!$C$59*Assumptions!$C$60</f>
        <v/>
      </c>
      <c r="C5" s="5">
        <f>B5/Assumptions!$C$4</f>
        <v/>
      </c>
    </row>
    <row r="6">
      <c r="A6" s="4" t="inlineStr">
        <is>
          <t>Add: the pre-revenue active-ingredient company at carrying cost</t>
        </is>
      </c>
      <c r="B6" s="13">
        <f>Assumptions!$C$75</f>
        <v/>
      </c>
      <c r="C6" s="5">
        <f>B6/Assumptions!$C$4</f>
        <v/>
      </c>
    </row>
    <row r="7">
      <c r="A7" s="4" t="inlineStr">
        <is>
          <t>Add: assets held for sale</t>
        </is>
      </c>
      <c r="B7" s="13">
        <f>Assumptions!$C$76</f>
        <v/>
      </c>
      <c r="C7" s="5">
        <f>B7/Assumptions!$C$4</f>
        <v/>
      </c>
    </row>
    <row r="8">
      <c r="A8" s="8" t="inlineStr">
        <is>
          <t>TOTAL ENTERPRISE VALUE</t>
        </is>
      </c>
      <c r="B8" s="30">
        <f>B2+B5+B6+B7</f>
        <v/>
      </c>
      <c r="C8" s="9">
        <f>B8/Assumptions!$C$4</f>
        <v/>
      </c>
    </row>
    <row r="9">
      <c r="A9" s="4" t="inlineStr">
        <is>
          <t>Less: net debt</t>
        </is>
      </c>
      <c r="B9" s="13">
        <f>-Assumptions!$C$97</f>
        <v/>
      </c>
      <c r="C9" s="5">
        <f>B9/Assumptions!$C$4</f>
        <v/>
      </c>
    </row>
    <row r="10">
      <c r="A10" s="4" t="inlineStr">
        <is>
          <t>Less: non-controlling interests, post-deconsolidation</t>
        </is>
      </c>
      <c r="B10" s="13">
        <f>-Assumptions!$C$74</f>
        <v/>
      </c>
      <c r="C10" s="5">
        <f>B10/Assumptions!$C$4</f>
        <v/>
      </c>
    </row>
    <row r="11">
      <c r="A11" s="8" t="inlineStr">
        <is>
          <t>EQUITY VALUE</t>
        </is>
      </c>
      <c r="B11" s="30">
        <f>B8+B9+B10</f>
        <v/>
      </c>
      <c r="C11" s="9">
        <f>B11/Assumptions!$C$4</f>
        <v/>
      </c>
    </row>
    <row r="13">
      <c r="A13" s="8" t="inlineStr">
        <is>
          <t>Value per share — Frame A</t>
        </is>
      </c>
      <c r="B13" s="30">
        <f>B11</f>
        <v/>
      </c>
      <c r="C13" s="9">
        <f>B13/Assumptions!$C$4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Volume and price build</t>
        </is>
      </c>
      <c r="B1" s="2" t="inlineStr">
        <is>
          <t>FY2024</t>
        </is>
      </c>
      <c r="C1" s="2" t="inlineStr">
        <is>
          <t>FY2025</t>
        </is>
      </c>
      <c r="D1" s="2" t="inlineStr">
        <is>
          <t>FY2026E</t>
        </is>
      </c>
      <c r="E1" s="2" t="inlineStr">
        <is>
          <t>FY2027E</t>
        </is>
      </c>
      <c r="F1" s="2" t="inlineStr">
        <is>
          <t>FY2028E</t>
        </is>
      </c>
      <c r="G1" s="2" t="inlineStr">
        <is>
          <t>FY2029E</t>
        </is>
      </c>
      <c r="H1" s="2" t="inlineStr">
        <is>
          <t>FY2030E</t>
        </is>
      </c>
    </row>
    <row r="2">
      <c r="A2" s="11" t="inlineStr">
        <is>
          <t>Domestic packs sold (million)</t>
        </is>
      </c>
      <c r="B2" s="16" t="n">
        <v>244.272</v>
      </c>
      <c r="C2" s="16" t="n">
        <v>291.81</v>
      </c>
      <c r="D2" s="5">
        <f>Assumptions!$C$82*(1+Assumptions!C$8)</f>
        <v/>
      </c>
      <c r="E2" s="5">
        <f>D2*(1+Assumptions!D$8)</f>
        <v/>
      </c>
      <c r="F2" s="5">
        <f>E2*(1+Assumptions!E$8)</f>
        <v/>
      </c>
      <c r="G2" s="5">
        <f>F2*(1+Assumptions!F$8)</f>
        <v/>
      </c>
      <c r="H2" s="5">
        <f>G2*(1+Assumptions!G$8)</f>
        <v/>
      </c>
    </row>
    <row r="3">
      <c r="A3" s="11" t="inlineStr">
        <is>
          <t>Export packs sold (million)</t>
        </is>
      </c>
      <c r="B3" s="16" t="n">
        <v>54.7</v>
      </c>
      <c r="C3" s="16" t="n">
        <v>60</v>
      </c>
      <c r="D3" s="5">
        <f>Assumptions!$C$83*(1+Assumptions!C$9)</f>
        <v/>
      </c>
      <c r="E3" s="5">
        <f>D3*(1+Assumptions!D$9)</f>
        <v/>
      </c>
      <c r="F3" s="5">
        <f>E3*(1+Assumptions!E$9)</f>
        <v/>
      </c>
      <c r="G3" s="5">
        <f>F3*(1+Assumptions!F$9)</f>
        <v/>
      </c>
      <c r="H3" s="5">
        <f>G3*(1+Assumptions!G$9)</f>
        <v/>
      </c>
    </row>
    <row r="4">
      <c r="A4" s="11" t="inlineStr">
        <is>
          <t>Domestic realised price per pack (EGP)</t>
        </is>
      </c>
      <c r="B4" s="16" t="n">
        <v>19.76517940246938</v>
      </c>
      <c r="C4" s="16" t="n">
        <v>21.54012212741167</v>
      </c>
      <c r="D4" s="5">
        <f>Assumptions!$C$84*(1+Assumptions!C$10)</f>
        <v/>
      </c>
      <c r="E4" s="5">
        <f>D4*(1+Assumptions!D$10)</f>
        <v/>
      </c>
      <c r="F4" s="5">
        <f>E4*(1+Assumptions!E$10)</f>
        <v/>
      </c>
      <c r="G4" s="5">
        <f>F4*(1+Assumptions!F$10)</f>
        <v/>
      </c>
      <c r="H4" s="5">
        <f>G4*(1+Assumptions!G$10)</f>
        <v/>
      </c>
    </row>
    <row r="5">
      <c r="A5" s="11" t="inlineStr">
        <is>
          <t>Export realised price per pack (USD)</t>
        </is>
      </c>
      <c r="B5" s="16" t="n">
        <v>0.9574086731220066</v>
      </c>
      <c r="C5" s="16" t="n">
        <v>0.9995553449205068</v>
      </c>
      <c r="D5" s="5">
        <f>Assumptions!$C$85*(1+Assumptions!C$11)</f>
        <v/>
      </c>
      <c r="E5" s="5">
        <f>D5*(1+Assumptions!D$11)</f>
        <v/>
      </c>
      <c r="F5" s="5">
        <f>E5*(1+Assumptions!E$11)</f>
        <v/>
      </c>
      <c r="G5" s="5">
        <f>F5*(1+Assumptions!F$11)</f>
        <v/>
      </c>
      <c r="H5" s="5">
        <f>G5*(1+Assumptions!G$11)</f>
        <v/>
      </c>
    </row>
    <row r="6">
      <c r="A6" s="11" t="inlineStr">
        <is>
          <t>Exchange rate (EGP per USD)</t>
        </is>
      </c>
      <c r="B6" s="16" t="n">
        <v>47.74</v>
      </c>
      <c r="C6" s="16" t="n">
        <v>49.48</v>
      </c>
      <c r="D6" s="5">
        <f>Assumptions!C$13</f>
        <v/>
      </c>
      <c r="E6" s="5">
        <f>Assumptions!D$13</f>
        <v/>
      </c>
      <c r="F6" s="5">
        <f>Assumptions!E$13</f>
        <v/>
      </c>
      <c r="G6" s="5">
        <f>Assumptions!F$13</f>
        <v/>
      </c>
      <c r="H6" s="5">
        <f>Assumptions!G$13</f>
        <v/>
      </c>
    </row>
    <row r="7">
      <c r="A7" s="3" t="inlineStr">
        <is>
          <t>Domestic revenue (EGP mn)</t>
        </is>
      </c>
      <c r="B7" s="20" t="n">
        <v>4828.079903</v>
      </c>
      <c r="C7" s="20" t="n">
        <v>6285.623038000001</v>
      </c>
      <c r="D7" s="31">
        <f>D2*D4</f>
        <v/>
      </c>
      <c r="E7" s="31">
        <f>E2*E4</f>
        <v/>
      </c>
      <c r="F7" s="31">
        <f>F2*F4</f>
        <v/>
      </c>
      <c r="G7" s="31">
        <f>G2*G4</f>
        <v/>
      </c>
      <c r="H7" s="31">
        <f>H2*H4</f>
        <v/>
      </c>
    </row>
    <row r="8">
      <c r="A8" s="3" t="inlineStr">
        <is>
          <t>Export revenue (EGP mn)</t>
        </is>
      </c>
      <c r="B8" s="20" t="n">
        <v>2500.155946</v>
      </c>
      <c r="C8" s="20" t="n">
        <v>2967.479908</v>
      </c>
      <c r="D8" s="31">
        <f>D3*D5*D6</f>
        <v/>
      </c>
      <c r="E8" s="31">
        <f>E3*E5*E6</f>
        <v/>
      </c>
      <c r="F8" s="31">
        <f>F3*F5*F6</f>
        <v/>
      </c>
      <c r="G8" s="31">
        <f>G3*G5*G6</f>
        <v/>
      </c>
      <c r="H8" s="31">
        <f>H3*H5*H6</f>
        <v/>
      </c>
    </row>
    <row r="9">
      <c r="A9" s="11" t="inlineStr">
        <is>
          <t>Contract-manufacturing revenue (EGP mn)</t>
        </is>
      </c>
      <c r="B9" s="23" t="n">
        <v>35.835829</v>
      </c>
      <c r="C9" s="23" t="n">
        <v>49.366365</v>
      </c>
      <c r="D9" s="32">
        <f>Assumptions!$C$87*(1+Assumptions!C$12)</f>
        <v/>
      </c>
      <c r="E9" s="32">
        <f>D9*(1+Assumptions!D$12)</f>
        <v/>
      </c>
      <c r="F9" s="32">
        <f>E9*(1+Assumptions!E$12)</f>
        <v/>
      </c>
      <c r="G9" s="32">
        <f>F9*(1+Assumptions!F$12)</f>
        <v/>
      </c>
      <c r="H9" s="32">
        <f>G9*(1+Assumptions!G$12)</f>
        <v/>
      </c>
    </row>
    <row r="10">
      <c r="A10" s="11" t="inlineStr">
        <is>
          <t>Total packs sold (million)</t>
        </is>
      </c>
      <c r="B10" s="16" t="n">
        <v>307.846</v>
      </c>
      <c r="C10" s="16" t="n">
        <v>357.295</v>
      </c>
      <c r="D10" s="5">
        <f>D2+D3+Assumptions!$C$86</f>
        <v/>
      </c>
      <c r="E10" s="5">
        <f>E2+E3+Assumptions!$C$86</f>
        <v/>
      </c>
      <c r="F10" s="5">
        <f>F2+F3+Assumptions!$C$86</f>
        <v/>
      </c>
      <c r="G10" s="5">
        <f>G2+G3+Assumptions!$C$86</f>
        <v/>
      </c>
      <c r="H10" s="5">
        <f>H2+H3+Assumptions!$C$86</f>
        <v/>
      </c>
    </row>
    <row r="11">
      <c r="A11" s="8" t="inlineStr">
        <is>
          <t>REVENUE, consolidated (EGP mn)</t>
        </is>
      </c>
      <c r="B11" s="20" t="n">
        <v>7590.545643</v>
      </c>
      <c r="C11" s="20" t="n">
        <v>9441.379305</v>
      </c>
      <c r="D11" s="30">
        <f>(D7+D8+D9)*Assumptions!$C$81</f>
        <v/>
      </c>
      <c r="E11" s="30">
        <f>(E7+E8+E9)*Assumptions!$C$81</f>
        <v/>
      </c>
      <c r="F11" s="30">
        <f>(F7+F8+F9)*Assumptions!$C$81</f>
        <v/>
      </c>
      <c r="G11" s="30">
        <f>(G7+G8+G9)*Assumptions!$C$81</f>
        <v/>
      </c>
      <c r="H11" s="30">
        <f>(H7+H8+H9)*Assumptions!$C$81</f>
        <v/>
      </c>
    </row>
    <row r="13">
      <c r="A13" s="8" t="inlineStr">
        <is>
          <t>DISCLOSED CAPACITY AND UTILISATION</t>
        </is>
      </c>
    </row>
    <row r="14">
      <c r="A14" s="4" t="inlineStr">
        <is>
          <t>Units produced (million)</t>
        </is>
      </c>
      <c r="B14" s="20" t="n">
        <v>2143.68</v>
      </c>
      <c r="C14" s="20" t="n">
        <v>2207.95</v>
      </c>
    </row>
    <row r="15">
      <c r="A15" s="4" t="inlineStr">
        <is>
          <t>Available capacity (million units)</t>
        </is>
      </c>
      <c r="B15" s="20" t="n">
        <v>3383.06</v>
      </c>
      <c r="C15" s="20" t="n">
        <v>3383.06</v>
      </c>
    </row>
    <row r="16">
      <c r="A16" s="11" t="inlineStr">
        <is>
          <t>Capacity utilisation</t>
        </is>
      </c>
      <c r="B16" s="6">
        <f>B14/B15</f>
        <v/>
      </c>
      <c r="C16" s="6">
        <f>C14/C15</f>
        <v/>
      </c>
    </row>
    <row r="17">
      <c r="A17" s="4" t="inlineStr">
        <is>
          <t>Registered preparations produced</t>
        </is>
      </c>
      <c r="B17" s="20" t="n">
        <v>401</v>
      </c>
      <c r="C17" s="20" t="n">
        <v>414</v>
      </c>
    </row>
    <row r="18">
      <c r="A18" s="4" t="inlineStr">
        <is>
          <t>Average headcount</t>
        </is>
      </c>
      <c r="B18" s="20" t="n">
        <v>4880</v>
      </c>
      <c r="C18" s="20" t="n">
        <v>4981</v>
      </c>
    </row>
    <row r="19">
      <c r="A19" s="11" t="inlineStr">
        <is>
          <t>Revenue per employee (EGP)</t>
        </is>
      </c>
      <c r="B19" s="13">
        <f>B11*1000000/B18</f>
        <v/>
      </c>
      <c r="C19" s="13">
        <f>C11*1000000/C18</f>
        <v/>
      </c>
    </row>
    <row r="21">
      <c r="A21" s="8" t="inlineStr">
        <is>
          <t>COST ESCALATOR INDEX (base FY2025 = 1.000)</t>
        </is>
      </c>
    </row>
    <row r="22">
      <c r="A22" s="4" t="inlineStr">
        <is>
          <t>Imported active ingredients</t>
        </is>
      </c>
      <c r="D22" s="29">
        <f>((1+Assumptions!$C$21)*(Segments!D6/Assumptions!$C$88))</f>
        <v/>
      </c>
      <c r="E22" s="29">
        <f>D22*((1+Assumptions!$C$21)*(Segments!E6/Segments!D6))</f>
        <v/>
      </c>
      <c r="F22" s="29">
        <f>E22*((1+Assumptions!$C$21)*(Segments!F6/Segments!E6))</f>
        <v/>
      </c>
      <c r="G22" s="29">
        <f>F22*((1+Assumptions!$C$21)*(Segments!G6/Segments!F6))</f>
        <v/>
      </c>
      <c r="H22" s="29">
        <f>G22*((1+Assumptions!$C$21)*(Segments!H6/Segments!G6))</f>
        <v/>
      </c>
    </row>
    <row r="23">
      <c r="A23" s="4" t="inlineStr">
        <is>
          <t>Packaging materials</t>
        </is>
      </c>
      <c r="D23" s="29">
        <f>(Assumptions!$C$22*(1+Assumptions!$C$21)*(Segments!D6/Assumptions!$C$88)+(1-Assumptions!$C$22)*(1+Assumptions!C$25))</f>
        <v/>
      </c>
      <c r="E23" s="29">
        <f>D23*(Assumptions!$C$22*(1+Assumptions!$C$21)*(Segments!E6/Segments!D6)+(1-Assumptions!$C$22)*(1+Assumptions!D$25))</f>
        <v/>
      </c>
      <c r="F23" s="29">
        <f>E23*(Assumptions!$C$22*(1+Assumptions!$C$21)*(Segments!F6/Segments!E6)+(1-Assumptions!$C$22)*(1+Assumptions!E$25))</f>
        <v/>
      </c>
      <c r="G23" s="29">
        <f>F23*(Assumptions!$C$22*(1+Assumptions!$C$21)*(Segments!G6/Segments!F6)+(1-Assumptions!$C$22)*(1+Assumptions!F$25))</f>
        <v/>
      </c>
      <c r="H23" s="29">
        <f>G23*(Assumptions!$C$22*(1+Assumptions!$C$21)*(Segments!H6/Segments!G6)+(1-Assumptions!$C$22)*(1+Assumptions!G$25))</f>
        <v/>
      </c>
    </row>
    <row r="24">
      <c r="A24" s="4" t="inlineStr">
        <is>
          <t>Labour</t>
        </is>
      </c>
      <c r="D24" s="29">
        <f>(1+Assumptions!C$23)</f>
        <v/>
      </c>
      <c r="E24" s="29">
        <f>D24*(1+Assumptions!D$23)</f>
        <v/>
      </c>
      <c r="F24" s="29">
        <f>E24*(1+Assumptions!E$23)</f>
        <v/>
      </c>
      <c r="G24" s="29">
        <f>F24*(1+Assumptions!F$23)</f>
        <v/>
      </c>
      <c r="H24" s="29">
        <f>G24*(1+Assumptions!G$23)</f>
        <v/>
      </c>
    </row>
    <row r="25">
      <c r="A25" s="4" t="inlineStr">
        <is>
          <t>Energy and utilities</t>
        </is>
      </c>
      <c r="D25" s="29">
        <f>(1+Assumptions!C$24)</f>
        <v/>
      </c>
      <c r="E25" s="29">
        <f>D25*(1+Assumptions!D$24)</f>
        <v/>
      </c>
      <c r="F25" s="29">
        <f>E25*(1+Assumptions!E$24)</f>
        <v/>
      </c>
      <c r="G25" s="29">
        <f>F25*(1+Assumptions!F$24)</f>
        <v/>
      </c>
      <c r="H25" s="29">
        <f>G25*(1+Assumptions!G$24)</f>
        <v/>
      </c>
    </row>
    <row r="26">
      <c r="A26" s="4" t="inlineStr">
        <is>
          <t>Other consumables and services</t>
        </is>
      </c>
      <c r="D26" s="29">
        <f>(1+Assumptions!C$25)</f>
        <v/>
      </c>
      <c r="E26" s="29">
        <f>D26*(1+Assumptions!D$25)</f>
        <v/>
      </c>
      <c r="F26" s="29">
        <f>E26*(1+Assumptions!E$25)</f>
        <v/>
      </c>
      <c r="G26" s="29">
        <f>F26*(1+Assumptions!F$25)</f>
        <v/>
      </c>
      <c r="H26" s="29">
        <f>G26*(1+Assumptions!G$25)</f>
        <v/>
      </c>
    </row>
    <row r="27">
      <c r="A27" s="8" t="inlineStr">
        <is>
          <t>Blended cash-cost index</t>
        </is>
      </c>
      <c r="D27" s="33">
        <f>(Assumptions!$C$15*D22+Assumptions!$C$16*D23+Assumptions!$C$17*D24+Assumptions!$C$18*D25+Assumptions!$C$19*D26)/(Assumptions!$C$15+Assumptions!$C$16+Assumptions!$C$17+Assumptions!$C$18+Assumptions!$C$19)</f>
        <v/>
      </c>
      <c r="E27" s="33">
        <f>(Assumptions!$C$15*E22+Assumptions!$C$16*E23+Assumptions!$C$17*E24+Assumptions!$C$18*E25+Assumptions!$C$19*E26)/(Assumptions!$C$15+Assumptions!$C$16+Assumptions!$C$17+Assumptions!$C$18+Assumptions!$C$19)</f>
        <v/>
      </c>
      <c r="F27" s="33">
        <f>(Assumptions!$C$15*F22+Assumptions!$C$16*F23+Assumptions!$C$17*F24+Assumptions!$C$18*F25+Assumptions!$C$19*F26)/(Assumptions!$C$15+Assumptions!$C$16+Assumptions!$C$17+Assumptions!$C$18+Assumptions!$C$19)</f>
        <v/>
      </c>
      <c r="G27" s="33">
        <f>(Assumptions!$C$15*G22+Assumptions!$C$16*G23+Assumptions!$C$17*G24+Assumptions!$C$18*G25+Assumptions!$C$19*G26)/(Assumptions!$C$15+Assumptions!$C$16+Assumptions!$C$17+Assumptions!$C$18+Assumptions!$C$19)</f>
        <v/>
      </c>
      <c r="H27" s="33">
        <f>(Assumptions!$C$15*H22+Assumptions!$C$16*H23+Assumptions!$C$17*H24+Assumptions!$C$18*H25+Assumptions!$C$19*H26)/(Assumptions!$C$15+Assumptions!$C$16+Assumptions!$C$17+Assumptions!$C$18+Assumptions!$C$19)</f>
        <v/>
      </c>
    </row>
    <row r="28">
      <c r="A28" s="11" t="inlineStr">
        <is>
          <t>Cash cost per pack (EGP)</t>
        </is>
      </c>
      <c r="D28" s="12">
        <f>Assumptions!$C$80*D27</f>
        <v/>
      </c>
      <c r="E28" s="12">
        <f>Assumptions!$C$80*E27</f>
        <v/>
      </c>
      <c r="F28" s="12">
        <f>Assumptions!$C$80*F27</f>
        <v/>
      </c>
      <c r="G28" s="12">
        <f>Assumptions!$C$80*G27</f>
        <v/>
      </c>
      <c r="H28" s="12">
        <f>Assumptions!$C$80*H27</f>
        <v/>
      </c>
    </row>
    <row r="30">
      <c r="A30" s="8" t="inlineStr">
        <is>
          <t>PROPERTY ROLL-FORWARD (EGP mn)</t>
        </is>
      </c>
    </row>
    <row r="31">
      <c r="A31" s="4" t="inlineStr">
        <is>
          <t>Opening property, plant and equipment</t>
        </is>
      </c>
      <c r="D31" s="13">
        <f>Assumptions!$C$63</f>
        <v/>
      </c>
      <c r="E31" s="13">
        <f>D35</f>
        <v/>
      </c>
      <c r="F31" s="13">
        <f>E35</f>
        <v/>
      </c>
      <c r="G31" s="13">
        <f>F35</f>
        <v/>
      </c>
      <c r="H31" s="13">
        <f>G35</f>
        <v/>
      </c>
    </row>
    <row r="32">
      <c r="A32" s="4" t="inlineStr">
        <is>
          <t>Transfers in from construction</t>
        </is>
      </c>
      <c r="D32" s="13">
        <f>Assumptions!C$33</f>
        <v/>
      </c>
      <c r="E32" s="13">
        <f>Assumptions!D$33</f>
        <v/>
      </c>
      <c r="F32" s="13">
        <f>Assumptions!E$33</f>
        <v/>
      </c>
      <c r="G32" s="13">
        <f>Assumptions!F$33</f>
        <v/>
      </c>
      <c r="H32" s="13">
        <f>Assumptions!G$33</f>
        <v/>
      </c>
    </row>
    <row r="33">
      <c r="A33" s="4" t="inlineStr">
        <is>
          <t>Depreciation charge</t>
        </is>
      </c>
      <c r="D33" s="13">
        <f>-Assumptions!$C$34*(D31+D32/2)</f>
        <v/>
      </c>
      <c r="E33" s="13">
        <f>-Assumptions!$C$34*(E31+E32/2)</f>
        <v/>
      </c>
      <c r="F33" s="13">
        <f>-Assumptions!$C$34*(F31+F32/2)</f>
        <v/>
      </c>
      <c r="G33" s="13">
        <f>-Assumptions!$C$34*(G31+G32/2)</f>
        <v/>
      </c>
      <c r="H33" s="13">
        <f>-Assumptions!$C$34*(H31+H32/2)</f>
        <v/>
      </c>
    </row>
    <row r="34">
      <c r="A34" s="4" t="inlineStr">
        <is>
          <t>Amortisation of right-of-use and intangible assets</t>
        </is>
      </c>
      <c r="D34" s="32">
        <f>-Assumptions!$C$78</f>
        <v/>
      </c>
      <c r="E34" s="32">
        <f>-Assumptions!$C$78</f>
        <v/>
      </c>
      <c r="F34" s="32">
        <f>-Assumptions!$C$78</f>
        <v/>
      </c>
      <c r="G34" s="32">
        <f>-Assumptions!$C$78</f>
        <v/>
      </c>
      <c r="H34" s="32">
        <f>-Assumptions!$C$78</f>
        <v/>
      </c>
    </row>
    <row r="35">
      <c r="A35" s="8" t="inlineStr">
        <is>
          <t>Closing property, plant and equipment</t>
        </is>
      </c>
      <c r="D35" s="30">
        <f>D31+D32+D33</f>
        <v/>
      </c>
      <c r="E35" s="30">
        <f>E31+E32+E33</f>
        <v/>
      </c>
      <c r="F35" s="30">
        <f>F31+F32+F33</f>
        <v/>
      </c>
      <c r="G35" s="30">
        <f>G31+G32+G33</f>
        <v/>
      </c>
      <c r="H35" s="30">
        <f>H31+H32+H33</f>
        <v/>
      </c>
    </row>
    <row r="36">
      <c r="A36" s="4" t="inlineStr">
        <is>
          <t>Capital expenditure</t>
        </is>
      </c>
      <c r="D36" s="13">
        <f>D11*Assumptions!C$32</f>
        <v/>
      </c>
      <c r="E36" s="13">
        <f>E11*Assumptions!D$32</f>
        <v/>
      </c>
      <c r="F36" s="13">
        <f>F11*Assumptions!E$32</f>
        <v/>
      </c>
      <c r="G36" s="13">
        <f>G11*Assumptions!F$32</f>
        <v/>
      </c>
      <c r="H36" s="13">
        <f>H11*Assumptions!G$32</f>
        <v/>
      </c>
    </row>
    <row r="37">
      <c r="A37" s="11" t="inlineStr">
        <is>
          <t>Total depreciation and amortisation</t>
        </is>
      </c>
      <c r="D37" s="26">
        <f>-D33-D34</f>
        <v/>
      </c>
      <c r="E37" s="26">
        <f>-E33-E34</f>
        <v/>
      </c>
      <c r="F37" s="26">
        <f>-F33-F34</f>
        <v/>
      </c>
      <c r="G37" s="26">
        <f>-G33-G34</f>
        <v/>
      </c>
      <c r="H37" s="26">
        <f>-H33-H34</f>
        <v/>
      </c>
    </row>
    <row r="38">
      <c r="A38" s="4" t="inlineStr">
        <is>
          <t>Opening construction balance</t>
        </is>
      </c>
      <c r="D38" s="13">
        <f>Assumptions!$C$64</f>
        <v/>
      </c>
      <c r="E38" s="13">
        <f>D40</f>
        <v/>
      </c>
      <c r="F38" s="13">
        <f>E40</f>
        <v/>
      </c>
      <c r="G38" s="13">
        <f>F40</f>
        <v/>
      </c>
      <c r="H38" s="13">
        <f>G40</f>
        <v/>
      </c>
    </row>
    <row r="39">
      <c r="A39" s="4" t="inlineStr">
        <is>
          <t>Additions less transfers out</t>
        </is>
      </c>
      <c r="D39" s="13">
        <f>D36-D32</f>
        <v/>
      </c>
      <c r="E39" s="13">
        <f>E36-E32</f>
        <v/>
      </c>
      <c r="F39" s="13">
        <f>F36-F32</f>
        <v/>
      </c>
      <c r="G39" s="13">
        <f>G36-G32</f>
        <v/>
      </c>
      <c r="H39" s="13">
        <f>H36-H32</f>
        <v/>
      </c>
    </row>
    <row r="40">
      <c r="A40" s="8" t="inlineStr">
        <is>
          <t>Closing construction balance</t>
        </is>
      </c>
      <c r="D40" s="30">
        <f>D38+D39</f>
        <v/>
      </c>
      <c r="E40" s="30">
        <f>E38+E39</f>
        <v/>
      </c>
      <c r="F40" s="30">
        <f>F38+F39</f>
        <v/>
      </c>
      <c r="G40" s="30">
        <f>G38+G39</f>
        <v/>
      </c>
      <c r="H40" s="30">
        <f>H38+H39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0" customWidth="1" min="4" max="4"/>
  </cols>
  <sheetData>
    <row r="1" ht="30" customHeight="1">
      <c r="A1" s="1" t="inlineStr">
        <is>
          <t>Triangulation</t>
        </is>
      </c>
      <c r="B1" s="2" t="inlineStr">
        <is>
          <t>Multiple</t>
        </is>
      </c>
      <c r="C1" s="2" t="inlineStr">
        <is>
          <t>Value (EGP/share)</t>
        </is>
      </c>
      <c r="D1" s="2" t="inlineStr">
        <is>
          <t>Note</t>
        </is>
      </c>
    </row>
    <row r="2">
      <c r="A2" s="4" t="inlineStr">
        <is>
          <t>FY2026E attributable earnings per share — Frame A</t>
        </is>
      </c>
      <c r="B2" s="5">
        <f>'Income Statement'!E27</f>
        <v/>
      </c>
    </row>
    <row r="3">
      <c r="A3" s="4" t="inlineStr">
        <is>
          <t>FY2026E attributable earnings per share — Frame B</t>
        </is>
      </c>
      <c r="B3" s="5">
        <f>((DCF!B31-Assumptions!C$51)*(1-Assumptions!$C$6)+Assumptions!$C$59-18.0)/Assumptions!$C$4</f>
        <v/>
      </c>
    </row>
    <row r="4">
      <c r="A4" s="11" t="inlineStr">
        <is>
          <t>Average of the two frames — the base for the multiples below</t>
        </is>
      </c>
      <c r="B4" s="12">
        <f>AVERAGE(B2:B3)</f>
        <v/>
      </c>
    </row>
    <row r="5">
      <c r="A5" s="4" t="inlineStr">
        <is>
          <t>Justified forward multiple from this model</t>
        </is>
      </c>
      <c r="B5" s="34">
        <f>(1-Assumptions!$C$57/0.21896499)/(Assumptions!$C$103-Assumptions!$C$57)</f>
        <v/>
      </c>
      <c r="C5" s="5">
        <f>B5*B4</f>
        <v/>
      </c>
      <c r="D5" s="7" t="inlineStr">
        <is>
          <t>Built from this model's own sustainable return and perpetual cost of equity</t>
        </is>
      </c>
    </row>
    <row r="6">
      <c r="A6" s="4" t="inlineStr">
        <is>
          <t>The company's own four-year mean multiple</t>
        </is>
      </c>
      <c r="B6" s="35" t="n">
        <v>6.662777133225662</v>
      </c>
      <c r="C6" s="5">
        <f>B6*B4</f>
        <v/>
      </c>
      <c r="D6" s="7" t="inlineStr">
        <is>
          <t>Year-end closes against audited attributable profit</t>
        </is>
      </c>
    </row>
    <row r="7">
      <c r="A7" s="4" t="inlineStr">
        <is>
          <t>Regional peer median, cost-of-equity adjusted</t>
        </is>
      </c>
      <c r="B7" s="34">
        <f>Assumptions!$C$61*(0.10-Assumptions!$C$57)/(Assumptions!$C$103-Assumptions!$C$57)</f>
        <v/>
      </c>
      <c r="C7" s="5">
        <f>B7*B4</f>
        <v/>
      </c>
      <c r="D7" s="7" t="inlineStr">
        <is>
          <t>The peers face a cost of equity near 10%, not this one</t>
        </is>
      </c>
    </row>
    <row r="8">
      <c r="A8" s="8" t="inlineStr">
        <is>
          <t>AVERAGE OF THE THREE — the relative lens</t>
        </is>
      </c>
      <c r="B8" s="36">
        <f>AVERAGE(B5:B7)</f>
        <v/>
      </c>
      <c r="C8" s="9">
        <f>AVERAGE(C5:C7)</f>
        <v/>
      </c>
    </row>
    <row r="10">
      <c r="A10" s="8" t="inlineStr">
        <is>
          <t>THE COMPANY'S OWN TRADED MULTIPLE HISTORY</t>
        </is>
      </c>
    </row>
    <row r="11" ht="30" customHeight="1">
      <c r="A11" s="37" t="inlineStr">
        <is>
          <t>Year</t>
        </is>
      </c>
      <c r="B11" s="38" t="inlineStr">
        <is>
          <t>Year-end close</t>
        </is>
      </c>
      <c r="C11" s="38" t="inlineStr">
        <is>
          <t>Attributable EPS</t>
        </is>
      </c>
      <c r="D11" s="38" t="inlineStr">
        <is>
          <t>Price / earnings</t>
        </is>
      </c>
    </row>
    <row r="12">
      <c r="A12" s="4" t="inlineStr">
        <is>
          <t>2022</t>
        </is>
      </c>
      <c r="B12" s="16" t="n">
        <v>28.08</v>
      </c>
      <c r="C12" s="16" t="n">
        <v>5.919508553450875</v>
      </c>
      <c r="D12" s="14">
        <f>B12/C12</f>
        <v/>
      </c>
    </row>
    <row r="13">
      <c r="A13" s="4" t="inlineStr">
        <is>
          <t>2023</t>
        </is>
      </c>
      <c r="B13" s="16" t="n">
        <v>36.5</v>
      </c>
      <c r="C13" s="16" t="n">
        <v>5.527972632990657</v>
      </c>
      <c r="D13" s="14">
        <f>B13/C13</f>
        <v/>
      </c>
    </row>
    <row r="14">
      <c r="A14" s="4" t="inlineStr">
        <is>
          <t>2024</t>
        </is>
      </c>
      <c r="B14" s="16" t="n">
        <v>45.91</v>
      </c>
      <c r="C14" s="16" t="n">
        <v>7.365880505459453</v>
      </c>
      <c r="D14" s="14">
        <f>B14/C14</f>
        <v/>
      </c>
    </row>
    <row r="15">
      <c r="A15" s="4" t="inlineStr">
        <is>
          <t>2025</t>
        </is>
      </c>
      <c r="B15" s="16" t="n">
        <v>77.5</v>
      </c>
      <c r="C15" s="16" t="n">
        <v>8.54286565050376</v>
      </c>
      <c r="D15" s="14">
        <f>B15/C15</f>
        <v/>
      </c>
    </row>
    <row r="16">
      <c r="A16" s="11" t="inlineStr">
        <is>
          <t>Four-year mean</t>
        </is>
      </c>
      <c r="D16" s="39">
        <f>AVERAGE(D12:D15)</f>
        <v/>
      </c>
    </row>
    <row r="17">
      <c r="A17" s="11" t="inlineStr">
        <is>
          <t>Trailing multiple at the market price today</t>
        </is>
      </c>
      <c r="B17" s="5">
        <f>Assumptions!$C$3</f>
        <v/>
      </c>
      <c r="C17" s="5">
        <f>'Income Statement'!D27*162.016024/Assumptions!$C$4</f>
        <v/>
      </c>
      <c r="D17" s="39">
        <f>B17/C17</f>
        <v/>
      </c>
    </row>
    <row r="19">
      <c r="A19" s="8" t="inlineStr">
        <is>
          <t>NORMALISED EARNINGS POWER</t>
        </is>
      </c>
    </row>
    <row r="20">
      <c r="A20" s="4" t="inlineStr">
        <is>
          <t>Three-year average operating margin</t>
        </is>
      </c>
      <c r="B20" s="6">
        <f>AVERAGE('Income Statement'!B15/'Income Statement'!B2,'Income Statement'!C15/'Income Statement'!C2,'Income Statement'!D15/'Income Statement'!D2)</f>
        <v/>
      </c>
    </row>
    <row r="21">
      <c r="A21" s="4" t="inlineStr">
        <is>
          <t>FY2027E revenue</t>
        </is>
      </c>
      <c r="B21" s="13">
        <f>'Income Statement'!F2</f>
        <v/>
      </c>
    </row>
    <row r="22">
      <c r="A22" s="4" t="inlineStr">
        <is>
          <t>Normalised operating profit</t>
        </is>
      </c>
      <c r="B22" s="13">
        <f>B20*B21</f>
        <v/>
      </c>
    </row>
    <row r="23">
      <c r="A23" s="4" t="inlineStr">
        <is>
          <t>Normalised earnings per share</t>
        </is>
      </c>
      <c r="B23" s="5">
        <f>((B22-2.0-Assumptions!D$51)*(1-Assumptions!$C$6)+Assumptions!$C$59-18.0)/Assumptions!$C$4</f>
        <v/>
      </c>
    </row>
    <row r="24">
      <c r="A24" s="4" t="inlineStr">
        <is>
          <t>Payout the growth rate permits</t>
        </is>
      </c>
      <c r="B24" s="6">
        <f>1-Assumptions!$C$57/0.21896499</f>
        <v/>
      </c>
    </row>
    <row r="25">
      <c r="A25" s="8" t="inlineStr">
        <is>
          <t>NORMALISED EARNINGS POWER VALUE</t>
        </is>
      </c>
      <c r="B25" s="9">
        <f>B23*B24/(Assumptions!$C$103-Assumptions!$C$57)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30" customHeight="1">
      <c r="A1" s="1" t="inlineStr">
        <is>
          <t>EGP million</t>
        </is>
      </c>
      <c r="B1" s="2" t="inlineStr">
        <is>
          <t>FY2026E</t>
        </is>
      </c>
      <c r="C1" s="2" t="inlineStr">
        <is>
          <t>FY2027E</t>
        </is>
      </c>
      <c r="D1" s="2" t="inlineStr">
        <is>
          <t>FY2028E</t>
        </is>
      </c>
      <c r="E1" s="2" t="inlineStr">
        <is>
          <t>FY2029E</t>
        </is>
      </c>
      <c r="F1" s="2" t="inlineStr">
        <is>
          <t>FY2030E</t>
        </is>
      </c>
      <c r="G1" s="2" t="inlineStr">
        <is>
          <t>Terminal</t>
        </is>
      </c>
    </row>
    <row r="2">
      <c r="A2" s="4" t="inlineStr">
        <is>
          <t>Revenue</t>
        </is>
      </c>
      <c r="B2" s="13">
        <f>'Income Statement'!E2</f>
        <v/>
      </c>
      <c r="C2" s="13">
        <f>'Income Statement'!F2</f>
        <v/>
      </c>
      <c r="D2" s="13">
        <f>'Income Statement'!G2</f>
        <v/>
      </c>
      <c r="E2" s="13">
        <f>'Income Statement'!H2</f>
        <v/>
      </c>
      <c r="F2" s="13">
        <f>'Income Statement'!I2</f>
        <v/>
      </c>
    </row>
    <row r="3">
      <c r="A3" s="11" t="inlineStr">
        <is>
          <t>EBITDA</t>
        </is>
      </c>
      <c r="B3" s="26">
        <f>'Income Statement'!E17</f>
        <v/>
      </c>
      <c r="C3" s="26">
        <f>'Income Statement'!F17</f>
        <v/>
      </c>
      <c r="D3" s="26">
        <f>'Income Statement'!G17</f>
        <v/>
      </c>
      <c r="E3" s="26">
        <f>'Income Statement'!H17</f>
        <v/>
      </c>
      <c r="F3" s="26">
        <f>'Income Statement'!I17</f>
        <v/>
      </c>
    </row>
    <row r="4">
      <c r="A4" s="4" t="inlineStr">
        <is>
          <t>EBITDA margin = EBITDA / revenue</t>
        </is>
      </c>
      <c r="B4" s="6">
        <f>B3/B2</f>
        <v/>
      </c>
      <c r="C4" s="6">
        <f>C3/C2</f>
        <v/>
      </c>
      <c r="D4" s="6">
        <f>D3/D2</f>
        <v/>
      </c>
      <c r="E4" s="6">
        <f>E3/E2</f>
        <v/>
      </c>
      <c r="F4" s="6">
        <f>F3/F2</f>
        <v/>
      </c>
    </row>
    <row r="5">
      <c r="A5" s="4" t="inlineStr">
        <is>
          <t>Less depreciation and amortisation</t>
        </is>
      </c>
      <c r="B5" s="13">
        <f>-Segments!D37</f>
        <v/>
      </c>
      <c r="C5" s="13">
        <f>-Segments!E37</f>
        <v/>
      </c>
      <c r="D5" s="13">
        <f>-Segments!F37</f>
        <v/>
      </c>
      <c r="E5" s="13">
        <f>-Segments!G37</f>
        <v/>
      </c>
      <c r="F5" s="13">
        <f>-Segments!H37</f>
        <v/>
      </c>
    </row>
    <row r="6">
      <c r="A6" s="11" t="inlineStr">
        <is>
          <t>EBIT = EBITDA less depreciation and amortisation</t>
        </is>
      </c>
      <c r="B6" s="26">
        <f>B3+B5</f>
        <v/>
      </c>
      <c r="C6" s="26">
        <f>C3+C5</f>
        <v/>
      </c>
      <c r="D6" s="26">
        <f>D3+D5</f>
        <v/>
      </c>
      <c r="E6" s="26">
        <f>E3+E5</f>
        <v/>
      </c>
      <c r="F6" s="26">
        <f>F3+F5</f>
        <v/>
      </c>
    </row>
    <row r="7">
      <c r="A7" s="4" t="inlineStr">
        <is>
          <t>Tax rate</t>
        </is>
      </c>
      <c r="B7" s="15">
        <f>Assumptions!$C$5</f>
        <v/>
      </c>
      <c r="C7" s="15">
        <f>Assumptions!$C$5</f>
        <v/>
      </c>
      <c r="D7" s="15">
        <f>Assumptions!$C$5</f>
        <v/>
      </c>
      <c r="E7" s="15">
        <f>Assumptions!$C$5</f>
        <v/>
      </c>
      <c r="F7" s="15">
        <f>Assumptions!$C$5</f>
        <v/>
      </c>
    </row>
    <row r="8">
      <c r="A8" s="8" t="inlineStr">
        <is>
          <t>NOPAT = EBIT x (1 less the tax rate)</t>
        </is>
      </c>
      <c r="B8" s="30">
        <f>B6*(1-B7)</f>
        <v/>
      </c>
      <c r="C8" s="30">
        <f>C6*(1-C7)</f>
        <v/>
      </c>
      <c r="D8" s="30">
        <f>D6*(1-D7)</f>
        <v/>
      </c>
      <c r="E8" s="30">
        <f>E6*(1-E7)</f>
        <v/>
      </c>
      <c r="F8" s="30">
        <f>F6*(1-F7)</f>
        <v/>
      </c>
    </row>
    <row r="9">
      <c r="A9" s="4" t="inlineStr">
        <is>
          <t>Add back depreciation and amortisation</t>
        </is>
      </c>
      <c r="B9" s="13">
        <f>Segments!D37</f>
        <v/>
      </c>
      <c r="C9" s="13">
        <f>Segments!E37</f>
        <v/>
      </c>
      <c r="D9" s="13">
        <f>Segments!F37</f>
        <v/>
      </c>
      <c r="E9" s="13">
        <f>Segments!G37</f>
        <v/>
      </c>
      <c r="F9" s="13">
        <f>Segments!H37</f>
        <v/>
      </c>
    </row>
    <row r="10">
      <c r="A10" s="4" t="inlineStr">
        <is>
          <t>Less capital expenditure</t>
        </is>
      </c>
      <c r="B10" s="13">
        <f>-Segments!D36</f>
        <v/>
      </c>
      <c r="C10" s="13">
        <f>-Segments!E36</f>
        <v/>
      </c>
      <c r="D10" s="13">
        <f>-Segments!F36</f>
        <v/>
      </c>
      <c r="E10" s="13">
        <f>-Segments!G36</f>
        <v/>
      </c>
      <c r="F10" s="13">
        <f>-Segments!H36</f>
        <v/>
      </c>
    </row>
    <row r="11">
      <c r="A11" s="4" t="inlineStr">
        <is>
          <t>Less the increase in working capital</t>
        </is>
      </c>
      <c r="B11" s="13">
        <f>'Cash Flow'!E7</f>
        <v/>
      </c>
      <c r="C11" s="13">
        <f>'Cash Flow'!F7</f>
        <v/>
      </c>
      <c r="D11" s="13">
        <f>'Cash Flow'!G7</f>
        <v/>
      </c>
      <c r="E11" s="13">
        <f>'Cash Flow'!H7</f>
        <v/>
      </c>
      <c r="F11" s="13">
        <f>'Cash Flow'!I7</f>
        <v/>
      </c>
    </row>
    <row r="12">
      <c r="A12" s="8" t="inlineStr">
        <is>
          <t>FREE CASH FLOW TO THE FIRM</t>
        </is>
      </c>
      <c r="B12" s="30">
        <f>B8+B9+B10+B11</f>
        <v/>
      </c>
      <c r="C12" s="30">
        <f>C8+C9+C10+C11</f>
        <v/>
      </c>
      <c r="D12" s="30">
        <f>D8+D9+D10+D11</f>
        <v/>
      </c>
      <c r="E12" s="30">
        <f>E8+E9+E10+E11</f>
        <v/>
      </c>
      <c r="F12" s="30">
        <f>F8+F9+F10+F11</f>
        <v/>
      </c>
    </row>
    <row r="13">
      <c r="A13" s="4" t="inlineStr">
        <is>
          <t>Discount rate</t>
        </is>
      </c>
      <c r="B13" s="15">
        <f>Assumptions!C$109</f>
        <v/>
      </c>
      <c r="C13" s="15">
        <f>Assumptions!D$109</f>
        <v/>
      </c>
      <c r="D13" s="15">
        <f>Assumptions!E$109</f>
        <v/>
      </c>
      <c r="E13" s="15">
        <f>Assumptions!F$109</f>
        <v/>
      </c>
      <c r="F13" s="15">
        <f>Assumptions!G$109</f>
        <v/>
      </c>
    </row>
    <row r="14">
      <c r="A14" s="4" t="inlineStr">
        <is>
          <t>Discount factor</t>
        </is>
      </c>
      <c r="B14" s="29">
        <f>Assumptions!C$110</f>
        <v/>
      </c>
      <c r="C14" s="29">
        <f>Assumptions!D$110</f>
        <v/>
      </c>
      <c r="D14" s="29">
        <f>Assumptions!E$110</f>
        <v/>
      </c>
      <c r="E14" s="29">
        <f>Assumptions!F$110</f>
        <v/>
      </c>
      <c r="F14" s="29">
        <f>Assumptions!G$110</f>
        <v/>
      </c>
    </row>
    <row r="15">
      <c r="A15" s="8" t="inlineStr">
        <is>
          <t>PRESENT VALUE OF FREE CASH FLOW TO THE FIRM</t>
        </is>
      </c>
      <c r="B15" s="30">
        <f>B12*B14</f>
        <v/>
      </c>
      <c r="C15" s="30">
        <f>C12*C14</f>
        <v/>
      </c>
      <c r="D15" s="30">
        <f>D12*D14</f>
        <v/>
      </c>
      <c r="E15" s="30">
        <f>E12*E14</f>
        <v/>
      </c>
      <c r="F15" s="30">
        <f>F12*F14</f>
        <v/>
      </c>
    </row>
    <row r="17">
      <c r="A17" s="8" t="inlineStr">
        <is>
          <t>TERMINAL BLOCK</t>
        </is>
      </c>
    </row>
    <row r="18">
      <c r="A18" s="4" t="inlineStr">
        <is>
          <t>Terminal NOPAT = final-year NOPAT x (1 + growth)</t>
        </is>
      </c>
      <c r="B18" s="13">
        <f>F8*(1+Assumptions!$C$57)</f>
        <v/>
      </c>
    </row>
    <row r="19">
      <c r="A19" s="4" t="inlineStr">
        <is>
          <t>Terminal reinvestment rate = growth / return on invested capital</t>
        </is>
      </c>
      <c r="B19" s="6">
        <f>Assumptions!$C$57/Assumptions!$C$58</f>
        <v/>
      </c>
    </row>
    <row r="20">
      <c r="A20" s="4" t="inlineStr">
        <is>
          <t>Terminal free cash flow = terminal NOPAT x (1 less reinvestment)</t>
        </is>
      </c>
      <c r="B20" s="13">
        <f>B18*(1-B19)</f>
        <v/>
      </c>
    </row>
    <row r="21">
      <c r="A21" s="4" t="inlineStr">
        <is>
          <t>Terminal discount rate</t>
        </is>
      </c>
      <c r="B21" s="15">
        <f>Assumptions!$C$106</f>
        <v/>
      </c>
    </row>
    <row r="22">
      <c r="A22" s="4" t="inlineStr">
        <is>
          <t>Terminal growth</t>
        </is>
      </c>
      <c r="B22" s="6">
        <f>Assumptions!$C$57</f>
        <v/>
      </c>
    </row>
    <row r="23">
      <c r="A23" s="11" t="inlineStr">
        <is>
          <t>TERMINAL VALUE</t>
        </is>
      </c>
      <c r="B23" s="26">
        <f>B20/(B21-B22)</f>
        <v/>
      </c>
    </row>
    <row r="24">
      <c r="A24" s="11" t="inlineStr">
        <is>
          <t>Present value of the terminal value</t>
        </is>
      </c>
      <c r="B24" s="26">
        <f>B23*F14</f>
        <v/>
      </c>
    </row>
    <row r="26">
      <c r="A26" s="11" t="inlineStr">
        <is>
          <t>Sum of the present values of forecast free cash flow</t>
        </is>
      </c>
      <c r="B26" s="26">
        <f>SUM(B15:F15)</f>
        <v/>
      </c>
    </row>
    <row r="27">
      <c r="A27" s="8" t="inlineStr">
        <is>
          <t>CORE ENTERPRISE VALUE</t>
        </is>
      </c>
      <c r="B27" s="30">
        <f>B26+B24</f>
        <v/>
      </c>
    </row>
    <row r="28">
      <c r="A28" s="8" t="inlineStr">
        <is>
          <t>Terminal value as a percentage of core enterprise value</t>
        </is>
      </c>
      <c r="B28" s="10">
        <f>B24/B27</f>
        <v/>
      </c>
    </row>
    <row r="30">
      <c r="A30" s="8" t="inlineStr">
        <is>
          <t>FRAME B — THE SAME MODEL WITH THE CONTESTED JUDGEMENT RESOLVED THE OTHER WAY</t>
        </is>
      </c>
    </row>
    <row r="31">
      <c r="A31" s="4" t="inlineStr">
        <is>
          <t>EBIT on Frame B = Frame A EBIT plus the difference in the provision charge</t>
        </is>
      </c>
      <c r="B31" s="13">
        <f>B6+('Income Statement'!E12-'Income Statement'!E11)</f>
        <v/>
      </c>
      <c r="C31" s="13">
        <f>C6+('Income Statement'!F12-'Income Statement'!F11)</f>
        <v/>
      </c>
      <c r="D31" s="13">
        <f>D6+('Income Statement'!G12-'Income Statement'!G11)</f>
        <v/>
      </c>
      <c r="E31" s="13">
        <f>E6+('Income Statement'!H12-'Income Statement'!H11)</f>
        <v/>
      </c>
      <c r="F31" s="13">
        <f>F6+('Income Statement'!I12-'Income Statement'!I11)</f>
        <v/>
      </c>
    </row>
    <row r="32">
      <c r="A32" s="4" t="inlineStr">
        <is>
          <t>NOPAT on Frame B</t>
        </is>
      </c>
      <c r="B32" s="13">
        <f>B31*(1-B7)</f>
        <v/>
      </c>
      <c r="C32" s="13">
        <f>C31*(1-C7)</f>
        <v/>
      </c>
      <c r="D32" s="13">
        <f>D31*(1-D7)</f>
        <v/>
      </c>
      <c r="E32" s="13">
        <f>E31*(1-E7)</f>
        <v/>
      </c>
      <c r="F32" s="13">
        <f>F31*(1-F7)</f>
        <v/>
      </c>
    </row>
    <row r="33">
      <c r="A33" s="4" t="inlineStr">
        <is>
          <t>Free cash flow to the firm on Frame B</t>
        </is>
      </c>
      <c r="B33" s="13">
        <f>B32+B9+B10+B11</f>
        <v/>
      </c>
      <c r="C33" s="13">
        <f>C32+C9+C10+C11</f>
        <v/>
      </c>
      <c r="D33" s="13">
        <f>D32+D9+D10+D11</f>
        <v/>
      </c>
      <c r="E33" s="13">
        <f>E32+E9+E10+E11</f>
        <v/>
      </c>
      <c r="F33" s="13">
        <f>F32+F9+F10+F11</f>
        <v/>
      </c>
    </row>
    <row r="34">
      <c r="A34" s="4" t="inlineStr">
        <is>
          <t>Present value of free cash flow on Frame B</t>
        </is>
      </c>
      <c r="B34" s="13">
        <f>B33*B14</f>
        <v/>
      </c>
      <c r="C34" s="13">
        <f>C33*C14</f>
        <v/>
      </c>
      <c r="D34" s="13">
        <f>D33*D14</f>
        <v/>
      </c>
      <c r="E34" s="13">
        <f>E33*E14</f>
        <v/>
      </c>
      <c r="F34" s="13">
        <f>F33*F14</f>
        <v/>
      </c>
    </row>
    <row r="35">
      <c r="A35" s="4" t="inlineStr">
        <is>
          <t>Terminal value on Frame B</t>
        </is>
      </c>
      <c r="B35" s="13">
        <f>F32*(1+Assumptions!$C$57)*(1-B19)/(B21-B22)</f>
        <v/>
      </c>
    </row>
    <row r="36">
      <c r="A36" s="11" t="inlineStr">
        <is>
          <t>Core enterprise value on Frame B</t>
        </is>
      </c>
      <c r="B36" s="26">
        <f>SUM(B34:F34)+B35*F14</f>
        <v/>
      </c>
    </row>
    <row r="37">
      <c r="A37" s="8" t="inlineStr">
        <is>
          <t>VALUE PER SHARE ON FRAME B</t>
        </is>
      </c>
      <c r="B37" s="9">
        <f>(B36+Assumptions!$C$59*Assumptions!$C$60+Assumptions!$C$75+Assumptions!$C$76-Assumptions!$C$97-Assumptions!$C$74)/Assumptions!$C$4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3" t="inlineStr">
        <is>
          <t>Revenue</t>
        </is>
      </c>
      <c r="B2" s="40" t="n">
        <v>5231.665571</v>
      </c>
      <c r="C2" s="40" t="n">
        <v>7590.545643</v>
      </c>
      <c r="D2" s="40" t="n">
        <v>9441.379305</v>
      </c>
      <c r="E2" s="41">
        <f>Segments!D11</f>
        <v/>
      </c>
      <c r="F2" s="41">
        <f>Segments!E11</f>
        <v/>
      </c>
      <c r="G2" s="41">
        <f>Segments!F11</f>
        <v/>
      </c>
      <c r="H2" s="41">
        <f>Segments!G11</f>
        <v/>
      </c>
      <c r="I2" s="41">
        <f>Segments!H11</f>
        <v/>
      </c>
    </row>
    <row r="3">
      <c r="A3" s="4" t="inlineStr">
        <is>
          <t>Cost of sales</t>
        </is>
      </c>
      <c r="B3" s="20" t="n">
        <v>-2896.343413</v>
      </c>
      <c r="C3" s="20" t="n">
        <v>-4184.382863</v>
      </c>
      <c r="D3" s="20" t="n">
        <v>-5287.140903</v>
      </c>
      <c r="E3" s="13">
        <f>-(E4+E5)</f>
        <v/>
      </c>
      <c r="F3" s="13">
        <f>-(F4+F5)</f>
        <v/>
      </c>
      <c r="G3" s="13">
        <f>-(G4+G5)</f>
        <v/>
      </c>
      <c r="H3" s="13">
        <f>-(H4+H5)</f>
        <v/>
      </c>
      <c r="I3" s="13">
        <f>-(I4+I5)</f>
        <v/>
      </c>
    </row>
    <row r="4">
      <c r="A4" s="7" t="inlineStr">
        <is>
          <t xml:space="preserve">   of which cash cost (packs x cash cost per pack, escalated)</t>
        </is>
      </c>
      <c r="B4" s="20" t="n">
        <v>2896.343413</v>
      </c>
      <c r="C4" s="20" t="n">
        <v>4184.382863</v>
      </c>
      <c r="D4" s="20" t="n">
        <v>5193.643343000001</v>
      </c>
      <c r="E4" s="13">
        <f>Segments!D10*Assumptions!$C$80*Segments!D$27</f>
        <v/>
      </c>
      <c r="F4" s="13">
        <f>Segments!E10*Assumptions!$C$80*Segments!E$27</f>
        <v/>
      </c>
      <c r="G4" s="13">
        <f>Segments!F10*Assumptions!$C$80*Segments!F$27</f>
        <v/>
      </c>
      <c r="H4" s="13">
        <f>Segments!G10*Assumptions!$C$80*Segments!G$27</f>
        <v/>
      </c>
      <c r="I4" s="13">
        <f>Segments!H10*Assumptions!$C$80*Segments!H$27</f>
        <v/>
      </c>
    </row>
    <row r="5">
      <c r="A5" s="7" t="inlineStr">
        <is>
          <t xml:space="preserve">   of which depreciation charged to production</t>
        </is>
      </c>
      <c r="B5" s="20" t="n">
        <v>0</v>
      </c>
      <c r="C5" s="20" t="n">
        <v>0</v>
      </c>
      <c r="D5" s="20" t="n">
        <v>93.49755999999999</v>
      </c>
      <c r="E5" s="13">
        <f>Segments!D$37*Assumptions!$C$79</f>
        <v/>
      </c>
      <c r="F5" s="13">
        <f>Segments!E$37*Assumptions!$C$79</f>
        <v/>
      </c>
      <c r="G5" s="13">
        <f>Segments!F$37*Assumptions!$C$79</f>
        <v/>
      </c>
      <c r="H5" s="13">
        <f>Segments!G$37*Assumptions!$C$79</f>
        <v/>
      </c>
      <c r="I5" s="13">
        <f>Segments!H$37*Assumptions!$C$79</f>
        <v/>
      </c>
    </row>
    <row r="6">
      <c r="A6" s="8" t="inlineStr">
        <is>
          <t>Gross profit</t>
        </is>
      </c>
      <c r="B6" s="30">
        <f>B2+B3</f>
        <v/>
      </c>
      <c r="C6" s="30">
        <f>C2+C3</f>
        <v/>
      </c>
      <c r="D6" s="30">
        <f>D2+D3</f>
        <v/>
      </c>
      <c r="E6" s="30">
        <f>E2+E3</f>
        <v/>
      </c>
      <c r="F6" s="30">
        <f>F2+F3</f>
        <v/>
      </c>
      <c r="G6" s="30">
        <f>G2+G3</f>
        <v/>
      </c>
      <c r="H6" s="30">
        <f>H2+H3</f>
        <v/>
      </c>
      <c r="I6" s="30">
        <f>I2+I3</f>
        <v/>
      </c>
    </row>
    <row r="7">
      <c r="A7" s="4" t="inlineStr">
        <is>
          <t>Gross margin</t>
        </is>
      </c>
      <c r="B7" s="6">
        <f>B6/B2</f>
        <v/>
      </c>
      <c r="C7" s="6">
        <f>C6/C2</f>
        <v/>
      </c>
      <c r="D7" s="6">
        <f>D6/D2</f>
        <v/>
      </c>
      <c r="E7" s="6">
        <f>E6/E2</f>
        <v/>
      </c>
      <c r="F7" s="6">
        <f>F6/F2</f>
        <v/>
      </c>
      <c r="G7" s="6">
        <f>G6/G2</f>
        <v/>
      </c>
      <c r="H7" s="6">
        <f>H6/H2</f>
        <v/>
      </c>
      <c r="I7" s="6">
        <f>I6/I2</f>
        <v/>
      </c>
    </row>
    <row r="8">
      <c r="A8" s="4" t="inlineStr">
        <is>
          <t>Selling and marketing</t>
        </is>
      </c>
      <c r="B8" s="20" t="n">
        <v>-648.291681</v>
      </c>
      <c r="C8" s="20" t="n">
        <v>-915.021183</v>
      </c>
      <c r="D8" s="20" t="n">
        <v>-1000.128922</v>
      </c>
      <c r="E8" s="13">
        <f>-E2*Assumptions!C$27</f>
        <v/>
      </c>
      <c r="F8" s="13">
        <f>-F2*Assumptions!D$27</f>
        <v/>
      </c>
      <c r="G8" s="13">
        <f>-G2*Assumptions!E$27</f>
        <v/>
      </c>
      <c r="H8" s="13">
        <f>-H2*Assumptions!F$27</f>
        <v/>
      </c>
      <c r="I8" s="13">
        <f>-I2*Assumptions!G$27</f>
        <v/>
      </c>
    </row>
    <row r="9">
      <c r="A9" s="4" t="inlineStr">
        <is>
          <t>Research and development</t>
        </is>
      </c>
      <c r="B9" s="20" t="n">
        <v>-43.227785</v>
      </c>
      <c r="C9" s="20" t="n">
        <v>-70.460824</v>
      </c>
      <c r="D9" s="20" t="n">
        <v>-70.935883</v>
      </c>
      <c r="E9" s="13">
        <f>-E2*Assumptions!C$28</f>
        <v/>
      </c>
      <c r="F9" s="13">
        <f>-F2*Assumptions!D$28</f>
        <v/>
      </c>
      <c r="G9" s="13">
        <f>-G2*Assumptions!E$28</f>
        <v/>
      </c>
      <c r="H9" s="13">
        <f>-H2*Assumptions!F$28</f>
        <v/>
      </c>
      <c r="I9" s="13">
        <f>-I2*Assumptions!G$28</f>
        <v/>
      </c>
    </row>
    <row r="10">
      <c r="A10" s="4" t="inlineStr">
        <is>
          <t>General and administrative</t>
        </is>
      </c>
      <c r="B10" s="20" t="n">
        <v>-147.460991</v>
      </c>
      <c r="C10" s="20" t="n">
        <v>-188.492929</v>
      </c>
      <c r="D10" s="20" t="n">
        <v>-221.13686</v>
      </c>
      <c r="E10" s="13">
        <f>-E2*Assumptions!C$29</f>
        <v/>
      </c>
      <c r="F10" s="13">
        <f>-F2*Assumptions!D$29</f>
        <v/>
      </c>
      <c r="G10" s="13">
        <f>-G2*Assumptions!E$29</f>
        <v/>
      </c>
      <c r="H10" s="13">
        <f>-H2*Assumptions!F$29</f>
        <v/>
      </c>
      <c r="I10" s="13">
        <f>-I2*Assumptions!G$29</f>
        <v/>
      </c>
    </row>
    <row r="11">
      <c r="A11" s="4" t="inlineStr">
        <is>
          <t>Credit losses, inventory write-downs and provisions — FRAME A</t>
        </is>
      </c>
      <c r="B11" s="20" t="n">
        <v>-265</v>
      </c>
      <c r="C11" s="20" t="n">
        <v>-702</v>
      </c>
      <c r="D11" s="20" t="n">
        <v>-494.218374</v>
      </c>
      <c r="E11" s="13">
        <f>-E2*Assumptions!C$30</f>
        <v/>
      </c>
      <c r="F11" s="13">
        <f>-F2*Assumptions!D$30</f>
        <v/>
      </c>
      <c r="G11" s="13">
        <f>-G2*Assumptions!E$30</f>
        <v/>
      </c>
      <c r="H11" s="13">
        <f>-H2*Assumptions!F$30</f>
        <v/>
      </c>
      <c r="I11" s="13">
        <f>-I2*Assumptions!G$30</f>
        <v/>
      </c>
    </row>
    <row r="12">
      <c r="A12" s="7" t="inlineStr">
        <is>
          <t>The same charge on FRAME B (memorandum)</t>
        </is>
      </c>
      <c r="B12" s="20" t="n">
        <v>-265</v>
      </c>
      <c r="C12" s="20" t="n">
        <v>-702</v>
      </c>
      <c r="D12" s="20" t="n">
        <v>-494.218374</v>
      </c>
      <c r="E12" s="13">
        <f>-E2*Assumptions!C$31</f>
        <v/>
      </c>
      <c r="F12" s="13">
        <f>-F2*Assumptions!D$31</f>
        <v/>
      </c>
      <c r="G12" s="13">
        <f>-G2*Assumptions!E$31</f>
        <v/>
      </c>
      <c r="H12" s="13">
        <f>-H2*Assumptions!F$31</f>
        <v/>
      </c>
      <c r="I12" s="13">
        <f>-I2*Assumptions!G$31</f>
        <v/>
      </c>
    </row>
    <row r="13">
      <c r="A13" s="4" t="inlineStr">
        <is>
          <t>Board remuneration and attendance</t>
        </is>
      </c>
      <c r="B13" s="23" t="n">
        <v>-2.02</v>
      </c>
      <c r="C13" s="23" t="n">
        <v>-1.58</v>
      </c>
      <c r="D13" s="23" t="n">
        <v>-1.828</v>
      </c>
      <c r="E13" s="23" t="n">
        <v>-2</v>
      </c>
      <c r="F13" s="23" t="n">
        <v>-2</v>
      </c>
      <c r="G13" s="23" t="n">
        <v>-2</v>
      </c>
      <c r="H13" s="23" t="n">
        <v>-2</v>
      </c>
      <c r="I13" s="23" t="n">
        <v>-2</v>
      </c>
    </row>
    <row r="14">
      <c r="A14" s="4" t="inlineStr">
        <is>
          <t>Depreciation charged to selling and administrative expense</t>
        </is>
      </c>
      <c r="B14" s="23" t="n">
        <v>0</v>
      </c>
      <c r="C14" s="23" t="n">
        <v>0</v>
      </c>
      <c r="D14" s="23" t="n">
        <v>0</v>
      </c>
      <c r="E14" s="32">
        <f>-Segments!D37*(1-Assumptions!$C$79)</f>
        <v/>
      </c>
      <c r="F14" s="32">
        <f>-Segments!E37*(1-Assumptions!$C$79)</f>
        <v/>
      </c>
      <c r="G14" s="32">
        <f>-Segments!F37*(1-Assumptions!$C$79)</f>
        <v/>
      </c>
      <c r="H14" s="32">
        <f>-Segments!G37*(1-Assumptions!$C$79)</f>
        <v/>
      </c>
      <c r="I14" s="32">
        <f>-Segments!H37*(1-Assumptions!$C$79)</f>
        <v/>
      </c>
    </row>
    <row r="15">
      <c r="A15" s="8" t="inlineStr">
        <is>
          <t>Operating profit (EBIT)</t>
        </is>
      </c>
      <c r="B15" s="30">
        <f>B6+B8+B9+B10+B11+B13+B14</f>
        <v/>
      </c>
      <c r="C15" s="30">
        <f>C6+C8+C9+C10+C11+C13+C14</f>
        <v/>
      </c>
      <c r="D15" s="30">
        <f>D6+D8+D9+D10+D11+D13+D14</f>
        <v/>
      </c>
      <c r="E15" s="30">
        <f>E6+E8+E9+E10+E11+E13+E14</f>
        <v/>
      </c>
      <c r="F15" s="30">
        <f>F6+F8+F9+F10+F11+F13+F14</f>
        <v/>
      </c>
      <c r="G15" s="30">
        <f>G6+G8+G9+G10+G11+G13+G14</f>
        <v/>
      </c>
      <c r="H15" s="30">
        <f>H6+H8+H9+H10+H11+H13+H14</f>
        <v/>
      </c>
      <c r="I15" s="30">
        <f>I6+I8+I9+I10+I11+I13+I14</f>
        <v/>
      </c>
    </row>
    <row r="16">
      <c r="A16" s="4" t="inlineStr">
        <is>
          <t>Depreciation and amortisation (memorandum)</t>
        </is>
      </c>
      <c r="B16" s="20" t="n">
        <v>105.249745</v>
      </c>
      <c r="C16" s="20" t="n">
        <v>102.811854</v>
      </c>
      <c r="D16" s="20" t="n">
        <v>117.725374</v>
      </c>
      <c r="E16" s="13">
        <f>Segments!D$37</f>
        <v/>
      </c>
      <c r="F16" s="13">
        <f>Segments!E$37</f>
        <v/>
      </c>
      <c r="G16" s="13">
        <f>Segments!F$37</f>
        <v/>
      </c>
      <c r="H16" s="13">
        <f>Segments!G$37</f>
        <v/>
      </c>
      <c r="I16" s="13">
        <f>Segments!H$37</f>
        <v/>
      </c>
    </row>
    <row r="17">
      <c r="A17" s="11" t="inlineStr">
        <is>
          <t>EBITDA</t>
        </is>
      </c>
      <c r="B17" s="26">
        <f>B15+B16</f>
        <v/>
      </c>
      <c r="C17" s="26">
        <f>C15+C16</f>
        <v/>
      </c>
      <c r="D17" s="26">
        <f>D15+D16</f>
        <v/>
      </c>
      <c r="E17" s="26">
        <f>E15+E16</f>
        <v/>
      </c>
      <c r="F17" s="26">
        <f>F15+F16</f>
        <v/>
      </c>
      <c r="G17" s="26">
        <f>G15+G16</f>
        <v/>
      </c>
      <c r="H17" s="26">
        <f>H15+H16</f>
        <v/>
      </c>
      <c r="I17" s="26">
        <f>I15+I16</f>
        <v/>
      </c>
    </row>
    <row r="18">
      <c r="A18" s="4" t="inlineStr">
        <is>
          <t>Finance costs</t>
        </is>
      </c>
      <c r="B18" s="20" t="n">
        <v>-407.7052</v>
      </c>
      <c r="C18" s="20" t="n">
        <v>-960.131966</v>
      </c>
      <c r="D18" s="20" t="n">
        <v>-1332.946559</v>
      </c>
      <c r="E18" s="13">
        <f>-Assumptions!C$51</f>
        <v/>
      </c>
      <c r="F18" s="13">
        <f>-Assumptions!D$51</f>
        <v/>
      </c>
      <c r="G18" s="13">
        <f>-Assumptions!E$51</f>
        <v/>
      </c>
      <c r="H18" s="13">
        <f>-Assumptions!F$51</f>
        <v/>
      </c>
      <c r="I18" s="13">
        <f>-Assumptions!G$51</f>
        <v/>
      </c>
    </row>
    <row r="19">
      <c r="A19" s="4" t="inlineStr">
        <is>
          <t>Share of results of associates</t>
        </is>
      </c>
      <c r="B19" s="20" t="n">
        <v>74.508447</v>
      </c>
      <c r="C19" s="20" t="n">
        <v>151.580926</v>
      </c>
      <c r="D19" s="20" t="n">
        <v>512.084638</v>
      </c>
      <c r="E19" s="13">
        <f>Assumptions!$C$59</f>
        <v/>
      </c>
      <c r="F19" s="13">
        <f>Assumptions!$C$59</f>
        <v/>
      </c>
      <c r="G19" s="13">
        <f>Assumptions!$C$59</f>
        <v/>
      </c>
      <c r="H19" s="13">
        <f>Assumptions!$C$59</f>
        <v/>
      </c>
      <c r="I19" s="13">
        <f>Assumptions!$C$59</f>
        <v/>
      </c>
    </row>
    <row r="20">
      <c r="A20" s="4" t="inlineStr">
        <is>
          <t>Dividend distribution tax</t>
        </is>
      </c>
      <c r="B20" s="23" t="n">
        <v>-4.123733</v>
      </c>
      <c r="C20" s="23" t="n">
        <v>-4.468933</v>
      </c>
      <c r="D20" s="23" t="n">
        <v>-16.58542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</row>
    <row r="21">
      <c r="A21" s="4" t="inlineStr">
        <is>
          <t>Interest income, exchange differences and other income</t>
        </is>
      </c>
      <c r="B21" s="20" t="n">
        <v>191.254269</v>
      </c>
      <c r="C21" s="20" t="n">
        <v>814.782229</v>
      </c>
      <c r="D21" s="20" t="n">
        <v>267.358836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0</v>
      </c>
    </row>
    <row r="22">
      <c r="A22" s="8" t="inlineStr">
        <is>
          <t>Profit before tax</t>
        </is>
      </c>
      <c r="B22" s="30">
        <f>B15+B18+B19+B21+B20</f>
        <v/>
      </c>
      <c r="C22" s="30">
        <f>C15+C18+C19+C21+C20</f>
        <v/>
      </c>
      <c r="D22" s="30">
        <f>D15+D18+D19+D21+D20</f>
        <v/>
      </c>
      <c r="E22" s="30">
        <f>E15+E18+E19+E21+E20</f>
        <v/>
      </c>
      <c r="F22" s="30">
        <f>F15+F18+F19+F21+F20</f>
        <v/>
      </c>
      <c r="G22" s="30">
        <f>G15+G18+G19+G21+G20</f>
        <v/>
      </c>
      <c r="H22" s="30">
        <f>H15+H18+H19+H21+H20</f>
        <v/>
      </c>
      <c r="I22" s="30">
        <f>I15+I18+I19+I21+I20</f>
        <v/>
      </c>
    </row>
    <row r="23">
      <c r="A23" s="4" t="inlineStr">
        <is>
          <t>Income tax and the statutory solidarity contribution</t>
        </is>
      </c>
      <c r="B23" s="20" t="n">
        <v>-259.949154</v>
      </c>
      <c r="C23" s="20" t="n">
        <v>-433.446496</v>
      </c>
      <c r="D23" s="20" t="n">
        <v>-338.008843</v>
      </c>
      <c r="E23" s="13">
        <f>-(E22-E19)*Assumptions!$C$6</f>
        <v/>
      </c>
      <c r="F23" s="13">
        <f>-(F22-F19)*Assumptions!$C$6</f>
        <v/>
      </c>
      <c r="G23" s="13">
        <f>-(G22-G19)*Assumptions!$C$6</f>
        <v/>
      </c>
      <c r="H23" s="13">
        <f>-(H22-H19)*Assumptions!$C$6</f>
        <v/>
      </c>
      <c r="I23" s="13">
        <f>-(I22-I19)*Assumptions!$C$6</f>
        <v/>
      </c>
    </row>
    <row r="24">
      <c r="A24" s="8" t="inlineStr">
        <is>
          <t>Profit for the year</t>
        </is>
      </c>
      <c r="B24" s="30">
        <f>B22+B23</f>
        <v/>
      </c>
      <c r="C24" s="30">
        <f>C22+C23</f>
        <v/>
      </c>
      <c r="D24" s="30">
        <f>D22+D23</f>
        <v/>
      </c>
      <c r="E24" s="30">
        <f>E22+E23</f>
        <v/>
      </c>
      <c r="F24" s="30">
        <f>F22+F23</f>
        <v/>
      </c>
      <c r="G24" s="30">
        <f>G22+G23</f>
        <v/>
      </c>
      <c r="H24" s="30">
        <f>H22+H23</f>
        <v/>
      </c>
      <c r="I24" s="30">
        <f>I22+I23</f>
        <v/>
      </c>
    </row>
    <row r="25">
      <c r="A25" s="4" t="inlineStr">
        <is>
          <t>Less non-controlling interests</t>
        </is>
      </c>
      <c r="B25" s="23" t="n">
        <v>-0.9886149999999816</v>
      </c>
      <c r="C25" s="23" t="n">
        <v>-1.206525000000056</v>
      </c>
      <c r="D25" s="23" t="n">
        <v>-16.23531500000013</v>
      </c>
      <c r="E25" s="23" t="n">
        <v>-18</v>
      </c>
      <c r="F25" s="23" t="n">
        <v>-18</v>
      </c>
      <c r="G25" s="23" t="n">
        <v>-18</v>
      </c>
      <c r="H25" s="23" t="n">
        <v>-18</v>
      </c>
      <c r="I25" s="23" t="n">
        <v>-18</v>
      </c>
    </row>
    <row r="26">
      <c r="A26" s="8" t="inlineStr">
        <is>
          <t>Profit attributable to the holding company</t>
        </is>
      </c>
      <c r="B26" s="30">
        <f>B24+B25</f>
        <v/>
      </c>
      <c r="C26" s="30">
        <f>C24+C25</f>
        <v/>
      </c>
      <c r="D26" s="30">
        <f>D24+D25</f>
        <v/>
      </c>
      <c r="E26" s="30">
        <f>E24+E25</f>
        <v/>
      </c>
      <c r="F26" s="30">
        <f>F24+F25</f>
        <v/>
      </c>
      <c r="G26" s="30">
        <f>G24+G25</f>
        <v/>
      </c>
      <c r="H26" s="30">
        <f>H24+H25</f>
        <v/>
      </c>
      <c r="I26" s="30">
        <f>I24+I25</f>
        <v/>
      </c>
    </row>
    <row r="27">
      <c r="A27" s="11" t="inlineStr">
        <is>
          <t>Earnings per share (EGP)</t>
        </is>
      </c>
      <c r="B27" s="12">
        <f>B26/148.75575</f>
        <v/>
      </c>
      <c r="C27" s="12">
        <f>C26/148.75575</f>
        <v/>
      </c>
      <c r="D27" s="12">
        <f>D26/162.016024</f>
        <v/>
      </c>
      <c r="E27" s="12">
        <f>E26/Assumptions!$C$4</f>
        <v/>
      </c>
      <c r="F27" s="12">
        <f>F26/Assumptions!$C$4</f>
        <v/>
      </c>
      <c r="G27" s="12">
        <f>G26/Assumptions!$C$4</f>
        <v/>
      </c>
      <c r="H27" s="12">
        <f>H26/Assumptions!$C$4</f>
        <v/>
      </c>
      <c r="I27" s="12">
        <f>I26/Assumptions!$C$4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4" t="inlineStr">
        <is>
          <t>Property, plant and equipment, net</t>
        </is>
      </c>
      <c r="B2" s="20" t="n">
        <v>963.645369</v>
      </c>
      <c r="C2" s="20" t="n">
        <v>1045.230507</v>
      </c>
      <c r="D2" s="13">
        <f>Assumptions!$C$63</f>
        <v/>
      </c>
      <c r="E2" s="13">
        <f>Segments!D35</f>
        <v/>
      </c>
      <c r="F2" s="13">
        <f>Segments!E35</f>
        <v/>
      </c>
      <c r="G2" s="13">
        <f>Segments!F35</f>
        <v/>
      </c>
      <c r="H2" s="13">
        <f>Segments!G35</f>
        <v/>
      </c>
      <c r="I2" s="13">
        <f>Segments!H35</f>
        <v/>
      </c>
    </row>
    <row r="3">
      <c r="A3" s="4" t="inlineStr">
        <is>
          <t>Projects under construction</t>
        </is>
      </c>
      <c r="B3" s="20" t="n">
        <v>3058.211677</v>
      </c>
      <c r="C3" s="20" t="n">
        <v>5693.566382</v>
      </c>
      <c r="D3" s="13">
        <f>Assumptions!$C$64</f>
        <v/>
      </c>
      <c r="E3" s="13">
        <f>Segments!D40</f>
        <v/>
      </c>
      <c r="F3" s="13">
        <f>Segments!E40</f>
        <v/>
      </c>
      <c r="G3" s="13">
        <f>Segments!F40</f>
        <v/>
      </c>
      <c r="H3" s="13">
        <f>Segments!G40</f>
        <v/>
      </c>
      <c r="I3" s="13">
        <f>Segments!H40</f>
        <v/>
      </c>
    </row>
    <row r="4">
      <c r="A4" s="4" t="inlineStr">
        <is>
          <t>Associates, intangibles, right-of-use, deferred tax and assets held for sale</t>
        </is>
      </c>
      <c r="B4" s="20" t="n">
        <v>483.145342</v>
      </c>
      <c r="C4" s="20" t="n">
        <v>519.214192</v>
      </c>
      <c r="D4" s="20" t="n">
        <v>1299.598913</v>
      </c>
      <c r="E4" s="13">
        <f>D4</f>
        <v/>
      </c>
      <c r="F4" s="13">
        <f>D4</f>
        <v/>
      </c>
      <c r="G4" s="13">
        <f>D4</f>
        <v/>
      </c>
      <c r="H4" s="13">
        <f>D4</f>
        <v/>
      </c>
      <c r="I4" s="13">
        <f>D4</f>
        <v/>
      </c>
    </row>
    <row r="5">
      <c r="A5" s="4" t="inlineStr">
        <is>
          <t>Inventories, net</t>
        </is>
      </c>
      <c r="B5" s="20" t="n">
        <v>2242.39573</v>
      </c>
      <c r="C5" s="20" t="n">
        <v>3584.699946</v>
      </c>
      <c r="D5" s="13">
        <f>Assumptions!$C$65</f>
        <v/>
      </c>
      <c r="E5" s="13">
        <f>('Income Statement'!E3*-1)*Assumptions!C$35/365</f>
        <v/>
      </c>
      <c r="F5" s="13">
        <f>('Income Statement'!F3*-1)*Assumptions!D$35/365</f>
        <v/>
      </c>
      <c r="G5" s="13">
        <f>('Income Statement'!G3*-1)*Assumptions!E$35/365</f>
        <v/>
      </c>
      <c r="H5" s="13">
        <f>('Income Statement'!H3*-1)*Assumptions!F$35/365</f>
        <v/>
      </c>
      <c r="I5" s="13">
        <f>('Income Statement'!I3*-1)*Assumptions!G$35/365</f>
        <v/>
      </c>
    </row>
    <row r="6">
      <c r="A6" s="4" t="inlineStr">
        <is>
          <t>Trade and notes receivable, net</t>
        </is>
      </c>
      <c r="B6" s="20" t="n">
        <v>2357.855472</v>
      </c>
      <c r="C6" s="20" t="n">
        <v>3049.275231</v>
      </c>
      <c r="D6" s="13">
        <f>Assumptions!$C$66</f>
        <v/>
      </c>
      <c r="E6" s="13">
        <f>'Income Statement'!E2*Assumptions!C$36/365</f>
        <v/>
      </c>
      <c r="F6" s="13">
        <f>'Income Statement'!F2*Assumptions!D$36/365</f>
        <v/>
      </c>
      <c r="G6" s="13">
        <f>'Income Statement'!G2*Assumptions!E$36/365</f>
        <v/>
      </c>
      <c r="H6" s="13">
        <f>'Income Statement'!H2*Assumptions!F$36/365</f>
        <v/>
      </c>
      <c r="I6" s="13">
        <f>'Income Statement'!I2*Assumptions!G$36/365</f>
        <v/>
      </c>
    </row>
    <row r="7">
      <c r="A7" s="4" t="inlineStr">
        <is>
          <t>Other debtors and debit balances</t>
        </is>
      </c>
      <c r="B7" s="20" t="n">
        <v>197.731029</v>
      </c>
      <c r="C7" s="20" t="n">
        <v>185.584353</v>
      </c>
      <c r="D7" s="13">
        <f>Assumptions!$C$67</f>
        <v/>
      </c>
      <c r="E7" s="13">
        <f>'Income Statement'!E2/9441.379305*Assumptions!$C$67</f>
        <v/>
      </c>
      <c r="F7" s="13">
        <f>'Income Statement'!F2/9441.379305*Assumptions!$C$67</f>
        <v/>
      </c>
      <c r="G7" s="13">
        <f>'Income Statement'!G2/9441.379305*Assumptions!$C$67</f>
        <v/>
      </c>
      <c r="H7" s="13">
        <f>'Income Statement'!H2/9441.379305*Assumptions!$C$67</f>
        <v/>
      </c>
      <c r="I7" s="13">
        <f>'Income Statement'!I2/9441.379305*Assumptions!$C$67</f>
        <v/>
      </c>
    </row>
    <row r="8">
      <c r="A8" s="4" t="inlineStr">
        <is>
          <t>Cash and bank balances</t>
        </is>
      </c>
      <c r="B8" s="20" t="n">
        <v>675.798245</v>
      </c>
      <c r="C8" s="20" t="n">
        <v>1295.38686</v>
      </c>
      <c r="D8" s="13">
        <f>Assumptions!$C$70</f>
        <v/>
      </c>
      <c r="E8" s="13">
        <f>Assumptions!$C$70</f>
        <v/>
      </c>
      <c r="F8" s="13">
        <f>Assumptions!$C$70</f>
        <v/>
      </c>
      <c r="G8" s="13">
        <f>Assumptions!$C$70</f>
        <v/>
      </c>
      <c r="H8" s="13">
        <f>Assumptions!$C$70</f>
        <v/>
      </c>
      <c r="I8" s="13">
        <f>Assumptions!$C$70</f>
        <v/>
      </c>
    </row>
    <row r="9">
      <c r="A9" s="8" t="inlineStr">
        <is>
          <t>TOTAL ASSETS</t>
        </is>
      </c>
      <c r="B9" s="30">
        <f>SUM(B2:B8)</f>
        <v/>
      </c>
      <c r="C9" s="30">
        <f>SUM(C2:C8)</f>
        <v/>
      </c>
      <c r="D9" s="30">
        <f>SUM(D2:D8)</f>
        <v/>
      </c>
      <c r="E9" s="30">
        <f>SUM(E2:E8)</f>
        <v/>
      </c>
      <c r="F9" s="30">
        <f>SUM(F2:F8)</f>
        <v/>
      </c>
      <c r="G9" s="30">
        <f>SUM(G2:G8)</f>
        <v/>
      </c>
      <c r="H9" s="30">
        <f>SUM(H2:H8)</f>
        <v/>
      </c>
      <c r="I9" s="30">
        <f>SUM(I2:I8)</f>
        <v/>
      </c>
    </row>
    <row r="10">
      <c r="A10" s="4" t="inlineStr">
        <is>
          <t>Trade and notes payable</t>
        </is>
      </c>
      <c r="B10" s="20" t="n">
        <v>176.353891</v>
      </c>
      <c r="C10" s="20" t="n">
        <v>410.391619</v>
      </c>
      <c r="D10" s="13">
        <f>Assumptions!$C$68</f>
        <v/>
      </c>
      <c r="E10" s="13">
        <f>('Income Statement'!E3*-1)*Assumptions!C$37/365</f>
        <v/>
      </c>
      <c r="F10" s="13">
        <f>('Income Statement'!F3*-1)*Assumptions!D$37/365</f>
        <v/>
      </c>
      <c r="G10" s="13">
        <f>('Income Statement'!G3*-1)*Assumptions!E$37/365</f>
        <v/>
      </c>
      <c r="H10" s="13">
        <f>('Income Statement'!H3*-1)*Assumptions!F$37/365</f>
        <v/>
      </c>
      <c r="I10" s="13">
        <f>('Income Statement'!I3*-1)*Assumptions!G$37/365</f>
        <v/>
      </c>
    </row>
    <row r="11">
      <c r="A11" s="4" t="inlineStr">
        <is>
          <t>Other creditors and credit balances</t>
        </is>
      </c>
      <c r="B11" s="20" t="n">
        <v>230.675384</v>
      </c>
      <c r="C11" s="20" t="n">
        <v>367.42118</v>
      </c>
      <c r="D11" s="13">
        <f>Assumptions!$C$69</f>
        <v/>
      </c>
      <c r="E11" s="13">
        <f>'Income Statement'!E2/9441.379305*Assumptions!$C$69</f>
        <v/>
      </c>
      <c r="F11" s="13">
        <f>'Income Statement'!F2/9441.379305*Assumptions!$C$69</f>
        <v/>
      </c>
      <c r="G11" s="13">
        <f>'Income Statement'!G2/9441.379305*Assumptions!$C$69</f>
        <v/>
      </c>
      <c r="H11" s="13">
        <f>'Income Statement'!H2/9441.379305*Assumptions!$C$69</f>
        <v/>
      </c>
      <c r="I11" s="13">
        <f>'Income Statement'!I2/9441.379305*Assumptions!$C$69</f>
        <v/>
      </c>
    </row>
    <row r="12">
      <c r="A12" s="4" t="inlineStr">
        <is>
          <t>Provisions, income tax payable and deferred tax</t>
        </is>
      </c>
      <c r="B12" s="20" t="n">
        <v>435.0793929999999</v>
      </c>
      <c r="C12" s="20" t="n">
        <v>737.373915</v>
      </c>
      <c r="D12" s="20" t="n">
        <v>1117.660628</v>
      </c>
      <c r="E12" s="13">
        <f>D12</f>
        <v/>
      </c>
      <c r="F12" s="13">
        <f>D12</f>
        <v/>
      </c>
      <c r="G12" s="13">
        <f>D12</f>
        <v/>
      </c>
      <c r="H12" s="13">
        <f>D12</f>
        <v/>
      </c>
      <c r="I12" s="13">
        <f>D12</f>
        <v/>
      </c>
    </row>
    <row r="13">
      <c r="A13" s="4" t="inlineStr">
        <is>
          <t>Gross borrowings including leases</t>
        </is>
      </c>
      <c r="B13" s="20" t="n">
        <v>4879.973467999999</v>
      </c>
      <c r="C13" s="20" t="n">
        <v>9200.032863</v>
      </c>
      <c r="D13" s="13">
        <f>Assumptions!$C$71</f>
        <v/>
      </c>
      <c r="E13" s="13">
        <f>Assumptions!$C$71</f>
        <v/>
      </c>
      <c r="F13" s="13">
        <f>Assumptions!$C$71</f>
        <v/>
      </c>
      <c r="G13" s="13">
        <f>Assumptions!$C$71</f>
        <v/>
      </c>
      <c r="H13" s="13">
        <f>Assumptions!$C$71</f>
        <v/>
      </c>
      <c r="I13" s="13">
        <f>Assumptions!$C$71</f>
        <v/>
      </c>
    </row>
    <row r="14">
      <c r="A14" s="11" t="inlineStr">
        <is>
          <t>Equity attributable to the holding company</t>
        </is>
      </c>
      <c r="B14" s="20" t="n">
        <v>4257.40809</v>
      </c>
      <c r="C14" s="20" t="n">
        <v>4653.769234</v>
      </c>
      <c r="D14" s="13">
        <f>Assumptions!$C$72</f>
        <v/>
      </c>
      <c r="E14" s="26">
        <f>Assumptions!$C$72+'Income Statement'!E26*(1-Assumptions!$C$38)</f>
        <v/>
      </c>
      <c r="F14" s="26">
        <f>E14+'Income Statement'!F26*(1-Assumptions!$C$38)</f>
        <v/>
      </c>
      <c r="G14" s="26">
        <f>F14+'Income Statement'!G26*(1-Assumptions!$C$38)</f>
        <v/>
      </c>
      <c r="H14" s="26">
        <f>G14+'Income Statement'!H26*(1-Assumptions!$C$38)</f>
        <v/>
      </c>
      <c r="I14" s="26">
        <f>H14+'Income Statement'!I26*(1-Assumptions!$C$38)</f>
        <v/>
      </c>
    </row>
    <row r="15">
      <c r="A15" s="4" t="inlineStr">
        <is>
          <t>Non-controlling interests</t>
        </is>
      </c>
      <c r="B15" s="20" t="n">
        <v>3.394945</v>
      </c>
      <c r="C15" s="20" t="n">
        <v>3.816172</v>
      </c>
      <c r="D15" s="13">
        <f>Assumptions!$C$73</f>
        <v/>
      </c>
      <c r="E15" s="13">
        <f>Assumptions!$C$74</f>
        <v/>
      </c>
      <c r="F15" s="13">
        <f>Assumptions!$C$74</f>
        <v/>
      </c>
      <c r="G15" s="13">
        <f>Assumptions!$C$74</f>
        <v/>
      </c>
      <c r="H15" s="13">
        <f>Assumptions!$C$74</f>
        <v/>
      </c>
      <c r="I15" s="13">
        <f>Assumptions!$C$74</f>
        <v/>
      </c>
    </row>
    <row r="16">
      <c r="A16" s="8" t="inlineStr">
        <is>
          <t>NET DEBT</t>
        </is>
      </c>
      <c r="B16" s="30">
        <f>B13-B8</f>
        <v/>
      </c>
      <c r="C16" s="30">
        <f>C13-C8</f>
        <v/>
      </c>
      <c r="D16" s="30">
        <f>D13-D8</f>
        <v/>
      </c>
    </row>
    <row r="17">
      <c r="A17" s="11" t="inlineStr">
        <is>
          <t>Net working capital</t>
        </is>
      </c>
      <c r="B17" s="26">
        <f>B5+B6+B7-B10-B11</f>
        <v/>
      </c>
      <c r="C17" s="26">
        <f>C5+C6+C7-C10-C11</f>
        <v/>
      </c>
      <c r="D17" s="26">
        <f>D5+D6+D7-D10-D11</f>
        <v/>
      </c>
      <c r="E17" s="26">
        <f>E5+E6+E7-E10-E11</f>
        <v/>
      </c>
      <c r="F17" s="26">
        <f>F5+F6+F7-F10-F11</f>
        <v/>
      </c>
      <c r="G17" s="26">
        <f>G5+G6+G7-G10-G11</f>
        <v/>
      </c>
      <c r="H17" s="26">
        <f>H5+H6+H7-H10-H11</f>
        <v/>
      </c>
      <c r="I17" s="26">
        <f>I5+I6+I7-I10-I11</f>
        <v/>
      </c>
    </row>
    <row r="18">
      <c r="A18" s="11" t="inlineStr">
        <is>
          <t>Book value per share (EGP)</t>
        </is>
      </c>
      <c r="B18" s="12">
        <f>B14/148.75575</f>
        <v/>
      </c>
      <c r="C18" s="12">
        <f>C14/148.75575</f>
        <v/>
      </c>
      <c r="D18" s="12">
        <f>D14/168.75575</f>
        <v/>
      </c>
      <c r="E18" s="12">
        <f>E14/Assumptions!$C$4</f>
        <v/>
      </c>
      <c r="F18" s="12">
        <f>F14/Assumptions!$C$4</f>
        <v/>
      </c>
      <c r="G18" s="12">
        <f>G14/Assumptions!$C$4</f>
        <v/>
      </c>
      <c r="H18" s="12">
        <f>H14/Assumptions!$C$4</f>
        <v/>
      </c>
      <c r="I18" s="12">
        <f>I14/Assumptions!$C$4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4" t="inlineStr">
        <is>
          <t>Operating profit (EBIT)</t>
        </is>
      </c>
      <c r="B2" s="13">
        <f>'Income Statement'!B15</f>
        <v/>
      </c>
      <c r="C2" s="13">
        <f>'Income Statement'!C15</f>
        <v/>
      </c>
      <c r="D2" s="13">
        <f>'Income Statement'!D15</f>
        <v/>
      </c>
      <c r="E2" s="13">
        <f>'Income Statement'!E15</f>
        <v/>
      </c>
      <c r="F2" s="13">
        <f>'Income Statement'!F15</f>
        <v/>
      </c>
      <c r="G2" s="13">
        <f>'Income Statement'!G15</f>
        <v/>
      </c>
      <c r="H2" s="13">
        <f>'Income Statement'!H15</f>
        <v/>
      </c>
      <c r="I2" s="13">
        <f>'Income Statement'!I15</f>
        <v/>
      </c>
    </row>
    <row r="3">
      <c r="A3" s="4" t="inlineStr">
        <is>
          <t>Tax on operating profit at the statutory rate</t>
        </is>
      </c>
      <c r="B3" s="13">
        <f>-B2*Assumptions!$C$5</f>
        <v/>
      </c>
      <c r="C3" s="13">
        <f>-C2*Assumptions!$C$5</f>
        <v/>
      </c>
      <c r="D3" s="13">
        <f>-D2*Assumptions!$C$5</f>
        <v/>
      </c>
      <c r="E3" s="13">
        <f>-E2*Assumptions!$C$5</f>
        <v/>
      </c>
      <c r="F3" s="13">
        <f>-F2*Assumptions!$C$5</f>
        <v/>
      </c>
      <c r="G3" s="13">
        <f>-G2*Assumptions!$C$5</f>
        <v/>
      </c>
      <c r="H3" s="13">
        <f>-H2*Assumptions!$C$5</f>
        <v/>
      </c>
      <c r="I3" s="13">
        <f>-I2*Assumptions!$C$5</f>
        <v/>
      </c>
    </row>
    <row r="4">
      <c r="A4" s="8" t="inlineStr">
        <is>
          <t>Operating profit after tax (NOPAT)</t>
        </is>
      </c>
      <c r="B4" s="30">
        <f>B2+B3</f>
        <v/>
      </c>
      <c r="C4" s="30">
        <f>C2+C3</f>
        <v/>
      </c>
      <c r="D4" s="30">
        <f>D2+D3</f>
        <v/>
      </c>
      <c r="E4" s="30">
        <f>E2+E3</f>
        <v/>
      </c>
      <c r="F4" s="30">
        <f>F2+F3</f>
        <v/>
      </c>
      <c r="G4" s="30">
        <f>G2+G3</f>
        <v/>
      </c>
      <c r="H4" s="30">
        <f>H2+H3</f>
        <v/>
      </c>
      <c r="I4" s="30">
        <f>I2+I3</f>
        <v/>
      </c>
    </row>
    <row r="5">
      <c r="A5" s="4" t="inlineStr">
        <is>
          <t>Add back depreciation and amortisation</t>
        </is>
      </c>
      <c r="B5" s="13">
        <f>'Income Statement'!B16</f>
        <v/>
      </c>
      <c r="C5" s="13">
        <f>'Income Statement'!C16</f>
        <v/>
      </c>
      <c r="D5" s="13">
        <f>'Income Statement'!D16</f>
        <v/>
      </c>
      <c r="E5" s="13">
        <f>'Income Statement'!E16</f>
        <v/>
      </c>
      <c r="F5" s="13">
        <f>'Income Statement'!F16</f>
        <v/>
      </c>
      <c r="G5" s="13">
        <f>'Income Statement'!G16</f>
        <v/>
      </c>
      <c r="H5" s="13">
        <f>'Income Statement'!H16</f>
        <v/>
      </c>
      <c r="I5" s="13">
        <f>'Income Statement'!I16</f>
        <v/>
      </c>
    </row>
    <row r="6">
      <c r="A6" s="4" t="inlineStr">
        <is>
          <t>Less capital expenditure</t>
        </is>
      </c>
      <c r="B6" s="20" t="n">
        <v>-2290.194556</v>
      </c>
      <c r="C6" s="20" t="n">
        <v>-2846.239746</v>
      </c>
      <c r="D6" s="20" t="n">
        <v>-1354.665231</v>
      </c>
      <c r="E6" s="13">
        <f>-Segments!D36</f>
        <v/>
      </c>
      <c r="F6" s="13">
        <f>-Segments!E36</f>
        <v/>
      </c>
      <c r="G6" s="13">
        <f>-Segments!F36</f>
        <v/>
      </c>
      <c r="H6" s="13">
        <f>-Segments!G36</f>
        <v/>
      </c>
      <c r="I6" s="13">
        <f>-Segments!H36</f>
        <v/>
      </c>
    </row>
    <row r="7">
      <c r="A7" s="4" t="inlineStr">
        <is>
          <t>Less the increase in working capital</t>
        </is>
      </c>
      <c r="B7" s="20" t="n">
        <v>-835.715133</v>
      </c>
      <c r="C7" s="20" t="n">
        <v>-2426.81348</v>
      </c>
      <c r="D7" s="20" t="n">
        <v>-428.2194999999999</v>
      </c>
      <c r="E7" s="13">
        <f>-('Balance Sheet'!E17-'Balance Sheet'!D17)</f>
        <v/>
      </c>
      <c r="F7" s="13">
        <f>-('Balance Sheet'!F17-'Balance Sheet'!E17)</f>
        <v/>
      </c>
      <c r="G7" s="13">
        <f>-('Balance Sheet'!G17-'Balance Sheet'!F17)</f>
        <v/>
      </c>
      <c r="H7" s="13">
        <f>-('Balance Sheet'!H17-'Balance Sheet'!G17)</f>
        <v/>
      </c>
      <c r="I7" s="13">
        <f>-('Balance Sheet'!I17-'Balance Sheet'!H17)</f>
        <v/>
      </c>
    </row>
    <row r="8">
      <c r="A8" s="8" t="inlineStr">
        <is>
          <t>FREE CASH FLOW TO THE FIRM</t>
        </is>
      </c>
      <c r="E8" s="30">
        <f>E4+E5+E6+E7</f>
        <v/>
      </c>
      <c r="F8" s="30">
        <f>F4+F5+F6+F7</f>
        <v/>
      </c>
      <c r="G8" s="30">
        <f>G4+G5+G6+G7</f>
        <v/>
      </c>
      <c r="H8" s="30">
        <f>H4+H5+H6+H7</f>
        <v/>
      </c>
      <c r="I8" s="30">
        <f>I4+I5+I6+I7</f>
        <v/>
      </c>
    </row>
    <row r="10">
      <c r="A10" s="3" t="inlineStr">
        <is>
          <t>Memorandum — audited operating, investing and financing cash flow</t>
        </is>
      </c>
    </row>
    <row r="11">
      <c r="A11" s="4" t="inlineStr">
        <is>
          <t>Net cash from operating activities</t>
        </is>
      </c>
      <c r="B11" s="20" t="n">
        <v>92.483752</v>
      </c>
      <c r="C11" s="20" t="n">
        <v>-1274.488135</v>
      </c>
      <c r="D11" s="20" t="n">
        <v>1093.516116</v>
      </c>
    </row>
    <row r="12">
      <c r="A12" s="4" t="inlineStr">
        <is>
          <t>Net cash used in investing activities</t>
        </is>
      </c>
      <c r="B12" s="20" t="n">
        <v>-2329.639953</v>
      </c>
      <c r="C12" s="20" t="n">
        <v>-2679.028944</v>
      </c>
      <c r="D12" s="20" t="n">
        <v>-1201.726573</v>
      </c>
    </row>
    <row r="13">
      <c r="A13" s="4" t="inlineStr">
        <is>
          <t>Net cash from financing activities</t>
        </is>
      </c>
      <c r="B13" s="20" t="n">
        <v>2209.824906</v>
      </c>
      <c r="C13" s="20" t="n">
        <v>3853.615013</v>
      </c>
      <c r="D13" s="20" t="n">
        <v>262.411958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11" t="inlineStr">
        <is>
          <t>Revenue</t>
        </is>
      </c>
      <c r="B2" s="13">
        <f>'Income Statement'!B2</f>
        <v/>
      </c>
      <c r="C2" s="13">
        <f>'Income Statement'!C2</f>
        <v/>
      </c>
      <c r="D2" s="13">
        <f>'Income Statement'!D2</f>
        <v/>
      </c>
      <c r="E2" s="13">
        <f>'Income Statement'!E2</f>
        <v/>
      </c>
      <c r="F2" s="13">
        <f>'Income Statement'!F2</f>
        <v/>
      </c>
      <c r="G2" s="13">
        <f>'Income Statement'!G2</f>
        <v/>
      </c>
      <c r="H2" s="13">
        <f>'Income Statement'!H2</f>
        <v/>
      </c>
      <c r="I2" s="13">
        <f>'Income Statement'!I2</f>
        <v/>
      </c>
    </row>
    <row r="3">
      <c r="A3" s="11" t="inlineStr">
        <is>
          <t>Gross profit</t>
        </is>
      </c>
      <c r="B3" s="13">
        <f>'Income Statement'!B6</f>
        <v/>
      </c>
      <c r="C3" s="13">
        <f>'Income Statement'!C6</f>
        <v/>
      </c>
      <c r="D3" s="13">
        <f>'Income Statement'!D6</f>
        <v/>
      </c>
      <c r="E3" s="13">
        <f>'Income Statement'!E6</f>
        <v/>
      </c>
      <c r="F3" s="13">
        <f>'Income Statement'!F6</f>
        <v/>
      </c>
      <c r="G3" s="13">
        <f>'Income Statement'!G6</f>
        <v/>
      </c>
      <c r="H3" s="13">
        <f>'Income Statement'!H6</f>
        <v/>
      </c>
      <c r="I3" s="13">
        <f>'Income Statement'!I6</f>
        <v/>
      </c>
    </row>
    <row r="4">
      <c r="A4" s="11" t="inlineStr">
        <is>
          <t>EBITDA</t>
        </is>
      </c>
      <c r="B4" s="13">
        <f>'Income Statement'!B17</f>
        <v/>
      </c>
      <c r="C4" s="13">
        <f>'Income Statement'!C17</f>
        <v/>
      </c>
      <c r="D4" s="13">
        <f>'Income Statement'!D17</f>
        <v/>
      </c>
      <c r="E4" s="13">
        <f>'Income Statement'!E17</f>
        <v/>
      </c>
      <c r="F4" s="13">
        <f>'Income Statement'!F17</f>
        <v/>
      </c>
      <c r="G4" s="13">
        <f>'Income Statement'!G17</f>
        <v/>
      </c>
      <c r="H4" s="13">
        <f>'Income Statement'!H17</f>
        <v/>
      </c>
      <c r="I4" s="13">
        <f>'Income Statement'!I17</f>
        <v/>
      </c>
    </row>
    <row r="5">
      <c r="A5" s="11" t="inlineStr">
        <is>
          <t>Operating profit</t>
        </is>
      </c>
      <c r="B5" s="13">
        <f>'Income Statement'!B15</f>
        <v/>
      </c>
      <c r="C5" s="13">
        <f>'Income Statement'!C15</f>
        <v/>
      </c>
      <c r="D5" s="13">
        <f>'Income Statement'!D15</f>
        <v/>
      </c>
      <c r="E5" s="13">
        <f>'Income Statement'!E15</f>
        <v/>
      </c>
      <c r="F5" s="13">
        <f>'Income Statement'!F15</f>
        <v/>
      </c>
      <c r="G5" s="13">
        <f>'Income Statement'!G15</f>
        <v/>
      </c>
      <c r="H5" s="13">
        <f>'Income Statement'!H15</f>
        <v/>
      </c>
      <c r="I5" s="13">
        <f>'Income Statement'!I15</f>
        <v/>
      </c>
    </row>
    <row r="6">
      <c r="A6" s="11" t="inlineStr">
        <is>
          <t>Profit before tax</t>
        </is>
      </c>
      <c r="B6" s="13">
        <f>'Income Statement'!B22</f>
        <v/>
      </c>
      <c r="C6" s="13">
        <f>'Income Statement'!C22</f>
        <v/>
      </c>
      <c r="D6" s="13">
        <f>'Income Statement'!D22</f>
        <v/>
      </c>
      <c r="E6" s="13">
        <f>'Income Statement'!E22</f>
        <v/>
      </c>
      <c r="F6" s="13">
        <f>'Income Statement'!F22</f>
        <v/>
      </c>
      <c r="G6" s="13">
        <f>'Income Statement'!G22</f>
        <v/>
      </c>
      <c r="H6" s="13">
        <f>'Income Statement'!H22</f>
        <v/>
      </c>
      <c r="I6" s="13">
        <f>'Income Statement'!I22</f>
        <v/>
      </c>
    </row>
    <row r="7">
      <c r="A7" s="11" t="inlineStr">
        <is>
          <t>Profit attributable to the holding company</t>
        </is>
      </c>
      <c r="B7" s="13">
        <f>'Income Statement'!B26</f>
        <v/>
      </c>
      <c r="C7" s="13">
        <f>'Income Statement'!C26</f>
        <v/>
      </c>
      <c r="D7" s="13">
        <f>'Income Statement'!D26</f>
        <v/>
      </c>
      <c r="E7" s="13">
        <f>'Income Statement'!E26</f>
        <v/>
      </c>
      <c r="F7" s="13">
        <f>'Income Statement'!F26</f>
        <v/>
      </c>
      <c r="G7" s="13">
        <f>'Income Statement'!G26</f>
        <v/>
      </c>
      <c r="H7" s="13">
        <f>'Income Statement'!H26</f>
        <v/>
      </c>
      <c r="I7" s="13">
        <f>'Income Statement'!I26</f>
        <v/>
      </c>
    </row>
    <row r="8">
      <c r="A8" s="4" t="inlineStr">
        <is>
          <t>Gross margin</t>
        </is>
      </c>
      <c r="B8" s="6">
        <f>'Income Statement'!B6/'Income Statement'!B2</f>
        <v/>
      </c>
      <c r="C8" s="6">
        <f>'Income Statement'!C6/'Income Statement'!C2</f>
        <v/>
      </c>
      <c r="D8" s="6">
        <f>'Income Statement'!D6/'Income Statement'!D2</f>
        <v/>
      </c>
      <c r="E8" s="6">
        <f>'Income Statement'!E6/'Income Statement'!E2</f>
        <v/>
      </c>
      <c r="F8" s="6">
        <f>'Income Statement'!F6/'Income Statement'!F2</f>
        <v/>
      </c>
      <c r="G8" s="6">
        <f>'Income Statement'!G6/'Income Statement'!G2</f>
        <v/>
      </c>
      <c r="H8" s="6">
        <f>'Income Statement'!H6/'Income Statement'!H2</f>
        <v/>
      </c>
      <c r="I8" s="6">
        <f>'Income Statement'!I6/'Income Statement'!I2</f>
        <v/>
      </c>
    </row>
    <row r="9">
      <c r="A9" s="4" t="inlineStr">
        <is>
          <t>EBITDA margin</t>
        </is>
      </c>
      <c r="B9" s="6">
        <f>'Income Statement'!B17/'Income Statement'!B2</f>
        <v/>
      </c>
      <c r="C9" s="6">
        <f>'Income Statement'!C17/'Income Statement'!C2</f>
        <v/>
      </c>
      <c r="D9" s="6">
        <f>'Income Statement'!D17/'Income Statement'!D2</f>
        <v/>
      </c>
      <c r="E9" s="6">
        <f>'Income Statement'!E17/'Income Statement'!E2</f>
        <v/>
      </c>
      <c r="F9" s="6">
        <f>'Income Statement'!F17/'Income Statement'!F2</f>
        <v/>
      </c>
      <c r="G9" s="6">
        <f>'Income Statement'!G17/'Income Statement'!G2</f>
        <v/>
      </c>
      <c r="H9" s="6">
        <f>'Income Statement'!H17/'Income Statement'!H2</f>
        <v/>
      </c>
      <c r="I9" s="6">
        <f>'Income Statement'!I17/'Income Statement'!I2</f>
        <v/>
      </c>
    </row>
    <row r="10">
      <c r="A10" s="4" t="inlineStr">
        <is>
          <t>Operating margin</t>
        </is>
      </c>
      <c r="B10" s="6">
        <f>'Income Statement'!B15/'Income Statement'!B2</f>
        <v/>
      </c>
      <c r="C10" s="6">
        <f>'Income Statement'!C15/'Income Statement'!C2</f>
        <v/>
      </c>
      <c r="D10" s="6">
        <f>'Income Statement'!D15/'Income Statement'!D2</f>
        <v/>
      </c>
      <c r="E10" s="6">
        <f>'Income Statement'!E15/'Income Statement'!E2</f>
        <v/>
      </c>
      <c r="F10" s="6">
        <f>'Income Statement'!F15/'Income Statement'!F2</f>
        <v/>
      </c>
      <c r="G10" s="6">
        <f>'Income Statement'!G15/'Income Statement'!G2</f>
        <v/>
      </c>
      <c r="H10" s="6">
        <f>'Income Statement'!H15/'Income Statement'!H2</f>
        <v/>
      </c>
      <c r="I10" s="6">
        <f>'Income Statement'!I15/'Income Statement'!I2</f>
        <v/>
      </c>
    </row>
    <row r="11">
      <c r="A11" s="4" t="inlineStr">
        <is>
          <t>Net margin</t>
        </is>
      </c>
      <c r="B11" s="6">
        <f>'Income Statement'!B26/'Income Statement'!B2</f>
        <v/>
      </c>
      <c r="C11" s="6">
        <f>'Income Statement'!C26/'Income Statement'!C2</f>
        <v/>
      </c>
      <c r="D11" s="6">
        <f>'Income Statement'!D26/'Income Statement'!D2</f>
        <v/>
      </c>
      <c r="E11" s="6">
        <f>'Income Statement'!E26/'Income Statement'!E2</f>
        <v/>
      </c>
      <c r="F11" s="6">
        <f>'Income Statement'!F26/'Income Statement'!F2</f>
        <v/>
      </c>
      <c r="G11" s="6">
        <f>'Income Statement'!G26/'Income Statement'!G2</f>
        <v/>
      </c>
      <c r="H11" s="6">
        <f>'Income Statement'!H26/'Income Statement'!H2</f>
        <v/>
      </c>
      <c r="I11" s="6">
        <f>'Income Statement'!I26/'Income Statement'!I2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44" customWidth="1" min="4" max="4"/>
  </cols>
  <sheetData>
    <row r="1" ht="30" customHeight="1">
      <c r="A1" s="1" t="inlineStr">
        <is>
          <t>Probabilistic price map</t>
        </is>
      </c>
      <c r="B1" s="2" t="inlineStr">
        <is>
          <t>One month</t>
        </is>
      </c>
      <c r="C1" s="2" t="inlineStr">
        <is>
          <t>Three months</t>
        </is>
      </c>
      <c r="D1" s="2" t="inlineStr">
        <is>
          <t>Note</t>
        </is>
      </c>
    </row>
    <row r="2">
      <c r="A2" s="8" t="inlineStr">
        <is>
          <t>THESE CELLS ARE A WHOLE-MODEL RE-RUN — 50,000 simulated price paths each. They do NOT redraw when a driver on the Assumptions sheet changes.</t>
        </is>
      </c>
      <c r="B2" s="42" t="n"/>
      <c r="C2" s="42" t="n"/>
      <c r="D2" s="43" t="n"/>
    </row>
    <row r="3">
      <c r="A3" s="4" t="inlineStr">
        <is>
          <t>Anchor price (EGP)</t>
        </is>
      </c>
      <c r="B3" s="16" t="n">
        <v>130.05</v>
      </c>
      <c r="C3" s="16" t="n">
        <v>130.05</v>
      </c>
      <c r="D3" s="7" t="inlineStr">
        <is>
          <t>Anchored 2026-08-06</t>
        </is>
      </c>
    </row>
    <row r="4">
      <c r="A4" s="4" t="inlineStr">
        <is>
          <t>Check date</t>
        </is>
      </c>
      <c r="B4" s="44" t="inlineStr">
        <is>
          <t>2026-09-06</t>
        </is>
      </c>
      <c r="C4" s="44" t="inlineStr">
        <is>
          <t>2026-11-08</t>
        </is>
      </c>
      <c r="D4" s="7" t="inlineStr">
        <is>
          <t>A calendar date, resolved to the exchange's first real trading session</t>
        </is>
      </c>
    </row>
    <row r="5">
      <c r="A5" s="4" t="inlineStr">
        <is>
          <t>5th percentile of the simulated distribution</t>
        </is>
      </c>
      <c r="B5" s="16" t="n">
        <v>103.8007679145783</v>
      </c>
      <c r="C5" s="16" t="n">
        <v>94.39540498598306</v>
      </c>
    </row>
    <row r="6">
      <c r="A6" s="4" t="inlineStr">
        <is>
          <t>25th percentile of the simulated distribution</t>
        </is>
      </c>
      <c r="B6" s="16" t="n">
        <v>120.563279729777</v>
      </c>
      <c r="C6" s="16" t="n">
        <v>118.416837770352</v>
      </c>
    </row>
    <row r="7">
      <c r="A7" s="4" t="inlineStr">
        <is>
          <t>50th percentile of the simulated distribution</t>
        </is>
      </c>
      <c r="B7" s="16" t="n">
        <v>131.6933256819726</v>
      </c>
      <c r="C7" s="16" t="n">
        <v>135.3037034307837</v>
      </c>
    </row>
    <row r="8">
      <c r="A8" s="4" t="inlineStr">
        <is>
          <t>75th percentile of the simulated distribution</t>
        </is>
      </c>
      <c r="B8" s="16" t="n">
        <v>143.9429398845258</v>
      </c>
      <c r="C8" s="16" t="n">
        <v>154.3933534707429</v>
      </c>
    </row>
    <row r="9">
      <c r="A9" s="4" t="inlineStr">
        <is>
          <t>95th percentile of the simulated distribution</t>
        </is>
      </c>
      <c r="B9" s="16" t="n">
        <v>167.1694824698633</v>
      </c>
      <c r="C9" s="16" t="n">
        <v>193.8196590270854</v>
      </c>
    </row>
    <row r="10">
      <c r="A10" s="4" t="inlineStr">
        <is>
          <t>Probability of finishing above the anchor</t>
        </is>
      </c>
      <c r="B10" s="17" t="n">
        <v>0.5380200000000001</v>
      </c>
      <c r="C10" s="17" t="n">
        <v>0.58168</v>
      </c>
    </row>
    <row r="11">
      <c r="A11" s="4" t="inlineStr">
        <is>
          <t>Probability of finishing 10% or more above</t>
        </is>
      </c>
      <c r="B11" s="17" t="n">
        <v>0.26388</v>
      </c>
      <c r="C11" s="17" t="n">
        <v>0.38614</v>
      </c>
    </row>
    <row r="12">
      <c r="A12" s="4" t="inlineStr">
        <is>
          <t>Probability of finishing 10% or more below</t>
        </is>
      </c>
      <c r="B12" s="17" t="n">
        <v>0.1869</v>
      </c>
      <c r="C12" s="17" t="n">
        <v>0.23222</v>
      </c>
    </row>
    <row r="13">
      <c r="A13" s="4" t="inlineStr">
        <is>
          <t>Probability of TOUCHING 10% above at any point</t>
        </is>
      </c>
      <c r="B13" s="17" t="n">
        <v>0.43044</v>
      </c>
      <c r="C13" s="17" t="n">
        <v>0.63828</v>
      </c>
    </row>
    <row r="14">
      <c r="A14" s="4" t="inlineStr">
        <is>
          <t>Probability of TOUCHING 10% below at any point</t>
        </is>
      </c>
      <c r="B14" s="17" t="n">
        <v>0.3294</v>
      </c>
      <c r="C14" s="17" t="n">
        <v>0.47868</v>
      </c>
    </row>
    <row r="15">
      <c r="A15" s="4" t="inlineStr">
        <is>
          <t>Annualised volatility used</t>
        </is>
      </c>
      <c r="B15" s="17" t="n">
        <v>0.6289831589091174</v>
      </c>
      <c r="C15" s="17" t="n">
        <v>0.5355493395100334</v>
      </c>
    </row>
    <row r="17">
      <c r="A17" s="8" t="inlineStr">
        <is>
          <t>CALIBRATION EVIDENCE</t>
        </is>
      </c>
    </row>
    <row r="18" ht="30" customHeight="1">
      <c r="A18" s="37" t="inlineStr">
        <is>
          <t>Window set</t>
        </is>
      </c>
      <c r="B18" s="38" t="inlineStr">
        <is>
          <t>Windows</t>
        </is>
      </c>
      <c r="C18" s="38" t="inlineStr">
        <is>
          <t>Skill against the benchmark</t>
        </is>
      </c>
      <c r="D18" s="38" t="inlineStr">
        <is>
          <t>Probability-transform uniformity</t>
        </is>
      </c>
    </row>
    <row r="19">
      <c r="A19" s="4" t="inlineStr">
        <is>
          <t>Full cleaned history (2012-05-23 to 2026-03-24)</t>
        </is>
      </c>
      <c r="B19" s="20" t="n">
        <v>56</v>
      </c>
      <c r="C19" s="45" t="n">
        <v>-0.01771436655010961</v>
      </c>
      <c r="D19" s="7" t="inlineStr">
        <is>
          <t>chi-square p = 0.166, Kolmogorov-Smirnov p = 0.478 — roughly uniform</t>
        </is>
      </c>
    </row>
    <row r="20">
      <c r="A20" s="4" t="inlineStr">
        <is>
          <t>Last five years of origins (2021-09-19 to 2026-03-24)</t>
        </is>
      </c>
      <c r="B20" s="20" t="n">
        <v>19</v>
      </c>
      <c r="C20" s="45" t="n">
        <v>0.002147922911274858</v>
      </c>
      <c r="D20" s="7" t="inlineStr">
        <is>
          <t>chi-square p = 0.447, Kolmogorov-Smirnov p = 0.676 — roughly uniform</t>
        </is>
      </c>
    </row>
    <row r="21">
      <c r="A21" s="4" t="inlineStr">
        <is>
          <t>Post-break window set (2022-06-20 to 2026-03-24)</t>
        </is>
      </c>
      <c r="B21" s="20" t="n">
        <v>16</v>
      </c>
      <c r="C21" s="45" t="n">
        <v>-0.01085817085606799</v>
      </c>
      <c r="D21" s="7" t="inlineStr">
        <is>
          <t>chi-square p = 0.331, Kolmogorov-Smirnov p = 0.144 — roughly uniform</t>
        </is>
      </c>
    </row>
  </sheetData>
  <mergeCells count="1"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Value per share (EGP) — each cell is a COMPLETE revaluation</t>
        </is>
      </c>
      <c r="B1" s="2" t="inlineStr"/>
      <c r="C1" s="2" t="inlineStr"/>
      <c r="D1" s="2" t="inlineStr"/>
      <c r="E1" s="2" t="inlineStr"/>
      <c r="F1" s="2" t="inlineStr"/>
    </row>
    <row r="2">
      <c r="A2" s="8" t="inlineStr">
        <is>
          <t>THESE GRIDS ARE WHOLE-MODEL RE-RUNS. Each cell re-runs the entire model at a different input. They do NOT redraw when a driver on the Assumptions sheet changes.</t>
        </is>
      </c>
      <c r="B2" s="42" t="n"/>
      <c r="C2" s="42" t="n"/>
      <c r="D2" s="42" t="n"/>
      <c r="E2" s="42" t="n"/>
      <c r="F2" s="43" t="n"/>
    </row>
    <row r="4">
      <c r="A4" s="3" t="inlineStr">
        <is>
          <t>Shift in the cost of equity (basis points)</t>
        </is>
      </c>
      <c r="B4" s="46" t="n">
        <v>-200</v>
      </c>
      <c r="C4" s="46" t="n">
        <v>-100</v>
      </c>
      <c r="D4" s="46" t="n">
        <v>0</v>
      </c>
      <c r="E4" s="46" t="n">
        <v>100</v>
      </c>
      <c r="F4" s="46" t="n">
        <v>200</v>
      </c>
    </row>
    <row r="5">
      <c r="A5" s="4" t="inlineStr">
        <is>
          <t>Value per share</t>
        </is>
      </c>
      <c r="B5" s="16" t="n">
        <v>89.84813331120365</v>
      </c>
      <c r="C5" s="16" t="n">
        <v>77.40004473614924</v>
      </c>
      <c r="D5" s="16" t="n">
        <v>67.22333140666257</v>
      </c>
      <c r="E5" s="16" t="n">
        <v>58.75172925757619</v>
      </c>
      <c r="F5" s="16" t="n">
        <v>51.59264778644084</v>
      </c>
    </row>
    <row r="7">
      <c r="A7" s="3" t="inlineStr">
        <is>
          <t>Terminal growth</t>
        </is>
      </c>
      <c r="B7" s="17" t="n">
        <v>0.03</v>
      </c>
      <c r="C7" s="17" t="n">
        <v>0.04</v>
      </c>
      <c r="D7" s="17" t="n">
        <v>0.05</v>
      </c>
      <c r="E7" s="17" t="n">
        <v>0.06</v>
      </c>
      <c r="F7" s="17" t="n">
        <v>0.07000000000000001</v>
      </c>
    </row>
    <row r="8">
      <c r="A8" s="4" t="inlineStr">
        <is>
          <t>Value per share</t>
        </is>
      </c>
      <c r="B8" s="16" t="n">
        <v>60.61098456535337</v>
      </c>
      <c r="C8" s="16" t="n">
        <v>63.62132658565152</v>
      </c>
      <c r="D8" s="16" t="n">
        <v>67.22333140666257</v>
      </c>
      <c r="E8" s="16" t="n">
        <v>71.64355690919623</v>
      </c>
      <c r="F8" s="16" t="n">
        <v>77.24115581160892</v>
      </c>
    </row>
    <row r="10">
      <c r="A10" s="3" t="inlineStr">
        <is>
          <t>Beta</t>
        </is>
      </c>
      <c r="B10" s="47" t="n">
        <v>0.45</v>
      </c>
      <c r="C10" s="47" t="n">
        <v>0.55</v>
      </c>
      <c r="D10" s="47" t="n">
        <v>0.629</v>
      </c>
      <c r="E10" s="47" t="n">
        <v>0.75</v>
      </c>
      <c r="F10" s="47" t="n">
        <v>0.9</v>
      </c>
    </row>
    <row r="11">
      <c r="A11" s="4" t="inlineStr">
        <is>
          <t>Value per share</t>
        </is>
      </c>
      <c r="B11" s="16" t="n">
        <v>80.97758075566436</v>
      </c>
      <c r="C11" s="16" t="n">
        <v>72.88120797264808</v>
      </c>
      <c r="D11" s="16" t="n">
        <v>67.22333140666257</v>
      </c>
      <c r="E11" s="16" t="n">
        <v>59.59720934796569</v>
      </c>
      <c r="F11" s="16" t="n">
        <v>51.55825479216958</v>
      </c>
    </row>
    <row r="13">
      <c r="A13" s="3" t="inlineStr">
        <is>
          <t>Provision charge as a share of revenue</t>
        </is>
      </c>
      <c r="B13" s="19" t="n">
        <v>0.025</v>
      </c>
      <c r="C13" s="19" t="n">
        <v>0.035</v>
      </c>
      <c r="D13" s="19" t="n">
        <v>0.0525</v>
      </c>
      <c r="E13" s="19" t="n">
        <v>0.065</v>
      </c>
      <c r="F13" s="19" t="n">
        <v>0.08</v>
      </c>
    </row>
    <row r="14">
      <c r="A14" s="4" t="inlineStr">
        <is>
          <t>Value per share</t>
        </is>
      </c>
      <c r="B14" s="16" t="n">
        <v>80.96631184285123</v>
      </c>
      <c r="C14" s="16" t="n">
        <v>75.9688644115099</v>
      </c>
      <c r="D14" s="16" t="n">
        <v>67.22333140666257</v>
      </c>
      <c r="E14" s="16" t="n">
        <v>60.97652211748589</v>
      </c>
      <c r="F14" s="16" t="n">
        <v>53.48035097047391</v>
      </c>
    </row>
    <row r="16">
      <c r="A16" s="3" t="inlineStr">
        <is>
          <t>Exchange-rate path, scaled</t>
        </is>
      </c>
      <c r="B16" s="35" t="n">
        <v>0.9</v>
      </c>
      <c r="C16" s="35" t="n">
        <v>0.95</v>
      </c>
      <c r="D16" s="35" t="n">
        <v>1</v>
      </c>
      <c r="E16" s="35" t="n">
        <v>1.05</v>
      </c>
      <c r="F16" s="35" t="n">
        <v>1.1</v>
      </c>
    </row>
    <row r="17">
      <c r="A17" s="4" t="inlineStr">
        <is>
          <t>Value per share</t>
        </is>
      </c>
      <c r="B17" s="16" t="n">
        <v>75.77915145840042</v>
      </c>
      <c r="C17" s="16" t="n">
        <v>71.50124143253151</v>
      </c>
      <c r="D17" s="16" t="n">
        <v>67.22333140666257</v>
      </c>
      <c r="E17" s="16" t="n">
        <v>62.94542138079377</v>
      </c>
      <c r="F17" s="16" t="n">
        <v>58.66751135492491</v>
      </c>
    </row>
    <row r="19">
      <c r="A19" s="3" t="inlineStr">
        <is>
          <t>Shift in domestic volume growth</t>
        </is>
      </c>
      <c r="B19" s="48" t="n">
        <v>-0.04</v>
      </c>
      <c r="C19" s="48" t="n">
        <v>-0.02</v>
      </c>
      <c r="D19" s="48" t="n">
        <v>0</v>
      </c>
      <c r="E19" s="48" t="n">
        <v>0.02</v>
      </c>
      <c r="F19" s="48" t="n">
        <v>0.04</v>
      </c>
    </row>
    <row r="20">
      <c r="A20" s="4" t="inlineStr">
        <is>
          <t>Value per share</t>
        </is>
      </c>
      <c r="B20" s="16" t="n">
        <v>64.48888551420453</v>
      </c>
      <c r="C20" s="16" t="n">
        <v>65.79955269637973</v>
      </c>
      <c r="D20" s="16" t="n">
        <v>67.22333140666257</v>
      </c>
      <c r="E20" s="16" t="n">
        <v>68.76686082035675</v>
      </c>
      <c r="F20" s="16" t="n">
        <v>70.43703306905046</v>
      </c>
    </row>
    <row r="22">
      <c r="A22" s="3" t="inlineStr">
        <is>
          <t>Depreciation rate</t>
        </is>
      </c>
      <c r="B22" s="19" t="n">
        <v>0.045</v>
      </c>
      <c r="C22" s="19" t="n">
        <v>0.055</v>
      </c>
      <c r="D22" s="19" t="n">
        <v>0.062</v>
      </c>
      <c r="E22" s="19" t="n">
        <v>0.07000000000000001</v>
      </c>
      <c r="F22" s="19" t="n">
        <v>0.08</v>
      </c>
    </row>
    <row r="23">
      <c r="A23" s="4" t="inlineStr">
        <is>
          <t>Value per share</t>
        </is>
      </c>
      <c r="B23" s="16" t="n">
        <v>68.74251908404773</v>
      </c>
      <c r="C23" s="16" t="n">
        <v>67.82143868221461</v>
      </c>
      <c r="D23" s="16" t="n">
        <v>67.22333140666257</v>
      </c>
      <c r="E23" s="16" t="n">
        <v>66.5851120616971</v>
      </c>
      <c r="F23" s="16" t="n">
        <v>65.85282935351343</v>
      </c>
    </row>
    <row r="25">
      <c r="A25" s="3" t="inlineStr">
        <is>
          <t>Cost of equity shift x terminal growth</t>
        </is>
      </c>
      <c r="B25" s="17" t="n">
        <v>0.03</v>
      </c>
      <c r="C25" s="17" t="n">
        <v>0.04</v>
      </c>
      <c r="D25" s="17" t="n">
        <v>0.05</v>
      </c>
      <c r="E25" s="17" t="n">
        <v>0.06</v>
      </c>
      <c r="F25" s="17" t="n">
        <v>0.07000000000000001</v>
      </c>
    </row>
    <row r="26">
      <c r="A26" s="4" t="inlineStr">
        <is>
          <t>-200 basis points</t>
        </is>
      </c>
      <c r="B26" s="16" t="n">
        <v>77.93685732648191</v>
      </c>
      <c r="C26" s="16" t="n">
        <v>83.22074223232461</v>
      </c>
      <c r="D26" s="16" t="n">
        <v>89.84813331120365</v>
      </c>
      <c r="E26" s="16" t="n">
        <v>98.4655073447705</v>
      </c>
      <c r="F26" s="16" t="n">
        <v>110.2133447489563</v>
      </c>
    </row>
    <row r="27">
      <c r="A27" s="4" t="inlineStr">
        <is>
          <t>-100 basis points</t>
        </is>
      </c>
      <c r="B27" s="16" t="n">
        <v>68.56936454400906</v>
      </c>
      <c r="C27" s="16" t="n">
        <v>72.54138606364246</v>
      </c>
      <c r="D27" s="16" t="n">
        <v>77.40004473614924</v>
      </c>
      <c r="E27" s="16" t="n">
        <v>83.52345939528244</v>
      </c>
      <c r="F27" s="16" t="n">
        <v>91.54038313643774</v>
      </c>
    </row>
    <row r="28">
      <c r="A28" s="4" t="inlineStr">
        <is>
          <t>+0 basis points</t>
        </is>
      </c>
      <c r="B28" s="16" t="n">
        <v>60.61098456535337</v>
      </c>
      <c r="C28" s="16" t="n">
        <v>63.62132658565152</v>
      </c>
      <c r="D28" s="16" t="n">
        <v>67.22333140666257</v>
      </c>
      <c r="E28" s="16" t="n">
        <v>71.64355690919623</v>
      </c>
      <c r="F28" s="16" t="n">
        <v>77.24115581160892</v>
      </c>
    </row>
    <row r="29">
      <c r="A29" s="4" t="inlineStr">
        <is>
          <t>+100 basis points</t>
        </is>
      </c>
      <c r="B29" s="16" t="n">
        <v>53.77017620527427</v>
      </c>
      <c r="C29" s="16" t="n">
        <v>56.06284342175879</v>
      </c>
      <c r="D29" s="16" t="n">
        <v>58.75172925757619</v>
      </c>
      <c r="E29" s="16" t="n">
        <v>61.9744957996253</v>
      </c>
      <c r="F29" s="16" t="n">
        <v>65.94093058669804</v>
      </c>
    </row>
    <row r="30">
      <c r="A30" s="4" t="inlineStr">
        <is>
          <t>+200 basis points</t>
        </is>
      </c>
      <c r="B30" s="16" t="n">
        <v>47.83046185324169</v>
      </c>
      <c r="C30" s="16" t="n">
        <v>49.57954652586658</v>
      </c>
      <c r="D30" s="16" t="n">
        <v>51.59264778644084</v>
      </c>
      <c r="E30" s="16" t="n">
        <v>53.95371731221135</v>
      </c>
      <c r="F30" s="16" t="n">
        <v>56.78651981901907</v>
      </c>
    </row>
    <row r="32">
      <c r="A32" s="8" t="inlineStr">
        <is>
          <t>THE CRUX — reverse valuation</t>
        </is>
      </c>
    </row>
    <row r="33">
      <c r="A33" s="4" t="inlineStr">
        <is>
          <t>Additional FY2030E revenue required to reach the market price (EGP mn)</t>
        </is>
      </c>
      <c r="B33" s="20" t="n">
        <v>6641.916975726794</v>
      </c>
    </row>
    <row r="34">
      <c r="A34" s="4" t="inlineStr">
        <is>
          <t xml:space="preserve">   as a share of FY2030E revenue</t>
        </is>
      </c>
      <c r="B34" s="17" t="n">
        <v>0.2762141296512998</v>
      </c>
    </row>
    <row r="35">
      <c r="A35" s="4" t="inlineStr">
        <is>
          <t xml:space="preserve">   in US dollars a year (mn)</t>
        </is>
      </c>
      <c r="B35" s="20" t="n">
        <v>115.1112127508976</v>
      </c>
    </row>
    <row r="36">
      <c r="A36" s="4" t="inlineStr">
        <is>
          <t xml:space="preserve">   as a multiple of the plant's stated USD 100 million cost</t>
        </is>
      </c>
      <c r="B36" s="35" t="n">
        <v>1.151112127508976</v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/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11" t="inlineStr">
        <is>
          <t>Earnings per share (EGP)</t>
        </is>
      </c>
      <c r="B2" s="5">
        <f>'Income Statement'!B27</f>
        <v/>
      </c>
      <c r="C2" s="5">
        <f>'Income Statement'!C27</f>
        <v/>
      </c>
      <c r="D2" s="5">
        <f>'Income Statement'!D27</f>
        <v/>
      </c>
      <c r="E2" s="5">
        <f>'Income Statement'!E27</f>
        <v/>
      </c>
      <c r="F2" s="5">
        <f>'Income Statement'!F27</f>
        <v/>
      </c>
      <c r="G2" s="5">
        <f>'Income Statement'!G27</f>
        <v/>
      </c>
      <c r="H2" s="5">
        <f>'Income Statement'!H27</f>
        <v/>
      </c>
      <c r="I2" s="5">
        <f>'Income Statement'!I27</f>
        <v/>
      </c>
    </row>
    <row r="3">
      <c r="A3" s="11" t="inlineStr">
        <is>
          <t>Book value per share (EGP)</t>
        </is>
      </c>
      <c r="B3" s="5">
        <f>'Balance Sheet'!B18</f>
        <v/>
      </c>
      <c r="C3" s="5">
        <f>'Balance Sheet'!C18</f>
        <v/>
      </c>
      <c r="D3" s="5">
        <f>'Balance Sheet'!D18</f>
        <v/>
      </c>
      <c r="E3" s="5">
        <f>'Balance Sheet'!E18</f>
        <v/>
      </c>
      <c r="F3" s="5">
        <f>'Balance Sheet'!F18</f>
        <v/>
      </c>
      <c r="G3" s="5">
        <f>'Balance Sheet'!G18</f>
        <v/>
      </c>
      <c r="H3" s="5">
        <f>'Balance Sheet'!H18</f>
        <v/>
      </c>
      <c r="I3" s="5">
        <f>'Balance Sheet'!I18</f>
        <v/>
      </c>
    </row>
    <row r="4">
      <c r="A4" s="4" t="inlineStr">
        <is>
          <t>Dividend per share (EGP)</t>
        </is>
      </c>
      <c r="B4" s="16" t="n">
        <v>2</v>
      </c>
      <c r="C4" s="16" t="n">
        <v>3</v>
      </c>
      <c r="D4" s="16" t="n">
        <v>3.5</v>
      </c>
      <c r="E4" s="5">
        <f>'Income Statement'!E27*Assumptions!$C$38</f>
        <v/>
      </c>
      <c r="F4" s="5">
        <f>'Income Statement'!F27*Assumptions!$C$38</f>
        <v/>
      </c>
      <c r="G4" s="5">
        <f>'Income Statement'!G27*Assumptions!$C$38</f>
        <v/>
      </c>
      <c r="H4" s="5">
        <f>'Income Statement'!H27*Assumptions!$C$38</f>
        <v/>
      </c>
      <c r="I4" s="5">
        <f>'Income Statement'!I27*Assumptions!$C$38</f>
        <v/>
      </c>
    </row>
    <row r="5">
      <c r="A5" s="4" t="inlineStr">
        <is>
          <t>Return on average equity</t>
        </is>
      </c>
      <c r="E5" s="6">
        <f>'Income Statement'!E26/(('Balance Sheet'!D14+'Balance Sheet'!E14)/2)</f>
        <v/>
      </c>
      <c r="F5" s="6">
        <f>'Income Statement'!F26/(('Balance Sheet'!E14+'Balance Sheet'!F14)/2)</f>
        <v/>
      </c>
      <c r="G5" s="6">
        <f>'Income Statement'!G26/(('Balance Sheet'!F14+'Balance Sheet'!G14)/2)</f>
        <v/>
      </c>
      <c r="H5" s="6">
        <f>'Income Statement'!H26/(('Balance Sheet'!G14+'Balance Sheet'!H14)/2)</f>
        <v/>
      </c>
      <c r="I5" s="6">
        <f>'Income Statement'!I26/(('Balance Sheet'!H14+'Balance Sheet'!I14)/2)</f>
        <v/>
      </c>
    </row>
    <row r="6">
      <c r="A6" s="4" t="inlineStr">
        <is>
          <t>Net debt / EBITDA</t>
        </is>
      </c>
      <c r="E6" s="34">
        <f>('Balance Sheet'!E13-Assumptions!$C$70)/'Income Statement'!E17</f>
        <v/>
      </c>
      <c r="F6" s="34">
        <f>('Balance Sheet'!F13-Assumptions!$C$70)/'Income Statement'!F17</f>
        <v/>
      </c>
      <c r="G6" s="34">
        <f>('Balance Sheet'!G13-Assumptions!$C$70)/'Income Statement'!G17</f>
        <v/>
      </c>
      <c r="H6" s="34">
        <f>('Balance Sheet'!H13-Assumptions!$C$70)/'Income Statement'!H17</f>
        <v/>
      </c>
      <c r="I6" s="34">
        <f>('Balance Sheet'!I13-Assumptions!$C$70)/'Income Statement'!I17</f>
        <v/>
      </c>
    </row>
    <row r="7">
      <c r="A7" s="4" t="inlineStr">
        <is>
          <t>Inventory days</t>
        </is>
      </c>
      <c r="E7" s="13">
        <f>Assumptions!C$35</f>
        <v/>
      </c>
      <c r="F7" s="13">
        <f>Assumptions!D$35</f>
        <v/>
      </c>
      <c r="G7" s="13">
        <f>Assumptions!E$35</f>
        <v/>
      </c>
      <c r="H7" s="13">
        <f>Assumptions!F$35</f>
        <v/>
      </c>
      <c r="I7" s="13">
        <f>Assumptions!G$35</f>
        <v/>
      </c>
    </row>
    <row r="8">
      <c r="A8" s="4" t="inlineStr">
        <is>
          <t>Receivable days</t>
        </is>
      </c>
      <c r="E8" s="13">
        <f>Assumptions!C$36</f>
        <v/>
      </c>
      <c r="F8" s="13">
        <f>Assumptions!D$36</f>
        <v/>
      </c>
      <c r="G8" s="13">
        <f>Assumptions!E$36</f>
        <v/>
      </c>
      <c r="H8" s="13">
        <f>Assumptions!F$36</f>
        <v/>
      </c>
      <c r="I8" s="13">
        <f>Assumptions!G$36</f>
        <v/>
      </c>
    </row>
    <row r="9">
      <c r="A9" s="4" t="inlineStr">
        <is>
          <t>Payable days</t>
        </is>
      </c>
      <c r="E9" s="13">
        <f>Assumptions!C$37</f>
        <v/>
      </c>
      <c r="F9" s="13">
        <f>Assumptions!D$37</f>
        <v/>
      </c>
      <c r="G9" s="13">
        <f>Assumptions!E$37</f>
        <v/>
      </c>
      <c r="H9" s="13">
        <f>Assumptions!F$37</f>
        <v/>
      </c>
      <c r="I9" s="13">
        <f>Assumptions!G$37</f>
        <v/>
      </c>
    </row>
    <row r="10">
      <c r="A10" s="11" t="inlineStr">
        <is>
          <t>Cash conversion cycle (days)</t>
        </is>
      </c>
      <c r="E10" s="26">
        <f>E7+E8-E9</f>
        <v/>
      </c>
      <c r="F10" s="26">
        <f>F7+F8-F9</f>
        <v/>
      </c>
      <c r="G10" s="26">
        <f>G7+G8-G9</f>
        <v/>
      </c>
      <c r="H10" s="26">
        <f>H7+H8-H9</f>
        <v/>
      </c>
      <c r="I10" s="26">
        <f>I7+I8-I9</f>
        <v/>
      </c>
    </row>
    <row r="11">
      <c r="A11" s="4" t="inlineStr">
        <is>
          <t>Return on invested capital</t>
        </is>
      </c>
      <c r="E11" s="6">
        <f>('Income Statement'!E15*(1-Assumptions!$C$5))/('Balance Sheet'!E2+'Balance Sheet'!E3+'Balance Sheet'!E17+Assumptions!$C$77)</f>
        <v/>
      </c>
      <c r="F11" s="6">
        <f>('Income Statement'!F15*(1-Assumptions!$C$5))/('Balance Sheet'!F2+'Balance Sheet'!F3+'Balance Sheet'!F17+Assumptions!$C$77)</f>
        <v/>
      </c>
      <c r="G11" s="6">
        <f>('Income Statement'!G15*(1-Assumptions!$C$5))/('Balance Sheet'!G2+'Balance Sheet'!G3+'Balance Sheet'!G17+Assumptions!$C$77)</f>
        <v/>
      </c>
      <c r="H11" s="6">
        <f>('Income Statement'!H15*(1-Assumptions!$C$5))/('Balance Sheet'!H2+'Balance Sheet'!H3+'Balance Sheet'!H17+Assumptions!$C$77)</f>
        <v/>
      </c>
      <c r="I11" s="6">
        <f>('Income Statement'!I15*(1-Assumptions!$C$5))/('Balance Sheet'!I2+'Balance Sheet'!I3+'Balance Sheet'!I17+Assumptions!$C$77)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44" customWidth="1" min="4" max="4"/>
  </cols>
  <sheetData>
    <row r="1" ht="30" customHeight="1">
      <c r="A1" s="1" t="inlineStr">
        <is>
          <t>Peer / reference</t>
        </is>
      </c>
      <c r="B1" s="2" t="inlineStr">
        <is>
          <t>Multiple</t>
        </is>
      </c>
      <c r="C1" s="2" t="inlineStr">
        <is>
          <t>Basis</t>
        </is>
      </c>
      <c r="D1" s="2" t="inlineStr">
        <is>
          <t>Provenance</t>
        </is>
      </c>
    </row>
    <row r="2">
      <c r="A2" s="8" t="inlineStr">
        <is>
          <t>Peer multiples are MARKET DATA and sit in the cross-check layer. No peer figure is used to build any historical number for the subject company.</t>
        </is>
      </c>
      <c r="B2" s="42" t="n"/>
      <c r="C2" s="42" t="n"/>
      <c r="D2" s="43" t="n"/>
    </row>
    <row r="3">
      <c r="A3" s="4" t="inlineStr">
        <is>
          <t>Listed Saudi Arabian generics manufacturer</t>
        </is>
      </c>
      <c r="B3" s="22" t="n">
        <v>26.7</v>
      </c>
      <c r="C3" s="4" t="inlineStr">
        <is>
          <t>Trailing price / earnings</t>
        </is>
      </c>
      <c r="D3" s="7" t="inlineStr">
        <is>
          <t>Public-comparables service, 2025 basis — cross-check only</t>
        </is>
      </c>
    </row>
    <row r="4">
      <c r="A4" s="4" t="inlineStr">
        <is>
          <t>Regional and international generic manufacturers, mid-cap</t>
        </is>
      </c>
      <c r="B4" s="22" t="n">
        <v>16</v>
      </c>
      <c r="C4" s="4" t="inlineStr">
        <is>
          <t>Trailing price / earnings</t>
        </is>
      </c>
      <c r="D4" s="7" t="inlineStr">
        <is>
          <t>Range observed across the peer set — cross-check only</t>
        </is>
      </c>
    </row>
    <row r="5">
      <c r="A5" s="11" t="inlineStr">
        <is>
          <t>PEER MEDIAN USED</t>
        </is>
      </c>
      <c r="B5" s="22" t="n">
        <v>19.5</v>
      </c>
      <c r="C5" s="4" t="inlineStr">
        <is>
          <t>Trailing price / earnings</t>
        </is>
      </c>
      <c r="D5" s="7" t="inlineStr">
        <is>
          <t>Struck between the two above; the lens runs a 13-26 times band</t>
        </is>
      </c>
    </row>
    <row r="6">
      <c r="A6" s="8" t="inlineStr">
        <is>
          <t>The subject company today</t>
        </is>
      </c>
      <c r="B6" s="49">
        <f>Assumptions!$C$3/('Income Statement'!D26/Assumptions!$C$4)</f>
        <v/>
      </c>
      <c r="C6" s="4" t="inlineStr">
        <is>
          <t>Trailing price / earnings</t>
        </is>
      </c>
      <c r="D6" s="7" t="inlineStr">
        <is>
          <t>Computed in this sheet from the audited attributable profit and the market price</t>
        </is>
      </c>
    </row>
    <row r="7">
      <c r="A7" s="11" t="inlineStr">
        <is>
          <t>The subject company's own four-year mean</t>
        </is>
      </c>
      <c r="B7" s="39">
        <f>'Relative &amp; Normalized'!D16</f>
        <v/>
      </c>
      <c r="C7" s="4" t="inlineStr">
        <is>
          <t>Trailing price / earnings</t>
        </is>
      </c>
      <c r="D7" s="7" t="inlineStr">
        <is>
          <t>Computed from year-end closes and audited profit — entirely primary</t>
        </is>
      </c>
    </row>
    <row r="8">
      <c r="A8" s="8" t="inlineStr">
        <is>
          <t>Discount of the subject to the peer median</t>
        </is>
      </c>
      <c r="B8" s="10">
        <f>B6/B5-1</f>
        <v/>
      </c>
      <c r="D8" s="7" t="inlineStr">
        <is>
          <t>The peers face a cost of equity near 10%; this company's perpetual cost of equity is 14.9% and its current cost of equity 24.8%. The discount is not an anomaly to be closed.</t>
        </is>
      </c>
    </row>
    <row r="10">
      <c r="A10" s="8" t="inlineStr">
        <is>
          <t>SECTOR OPERATING BENCHMARKS (the subject, computed here)</t>
        </is>
      </c>
    </row>
    <row r="11">
      <c r="A11" s="4" t="inlineStr">
        <is>
          <t>Gross margin, FY2025</t>
        </is>
      </c>
      <c r="B11" s="6">
        <f>'Income Statement'!D7</f>
        <v/>
      </c>
    </row>
    <row r="12">
      <c r="A12" s="4" t="inlineStr">
        <is>
          <t>EBITDA margin, FY2025</t>
        </is>
      </c>
      <c r="B12" s="6">
        <f>'Income Statement'!D17/'Income Statement'!D2</f>
        <v/>
      </c>
    </row>
    <row r="13">
      <c r="A13" s="4" t="inlineStr">
        <is>
          <t>Return on average equity, FY2025</t>
        </is>
      </c>
      <c r="B13" s="17" t="n">
        <v>0.264599584335609</v>
      </c>
    </row>
    <row r="14">
      <c r="A14" s="4" t="inlineStr">
        <is>
          <t>Capacity utilisation, FY2025</t>
        </is>
      </c>
      <c r="B14" s="6">
        <f>Segments!C16</f>
        <v/>
      </c>
    </row>
    <row r="15">
      <c r="A15" s="4" t="inlineStr">
        <is>
          <t>Cash conversion cycle, FY2025 (days)</t>
        </is>
      </c>
      <c r="B15" s="20" t="n">
        <v>343.0145217463265</v>
      </c>
    </row>
    <row r="16">
      <c r="A16" s="4" t="inlineStr">
        <is>
          <t>Export share of revenue, FY2025</t>
        </is>
      </c>
      <c r="B16" s="17" t="n">
        <v>0.314305761069092</v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2026-08-09T07:40:16Z</dcterms:created>
  <dcterms:modified xmlns:dcterms="http://purl.org/dc/terms/" xmlns:xsi="http://www.w3.org/2001/XMLSchema-instance" xsi:type="dcterms:W3CDTF">2026-08-09T07:40:16Z</dcterms:modified>
</cp:coreProperties>
</file>