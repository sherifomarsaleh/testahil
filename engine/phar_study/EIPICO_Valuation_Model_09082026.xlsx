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2"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3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3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3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Blue means input, black means formula</t>
        </is>
      </c>
      <c r="B7" s="4" t="inlineStr">
        <is>
          <t>Blue type is a pasted number. Black type is calculated in the sheet.</t>
        </is>
      </c>
    </row>
    <row r="8" ht="46" customHeight="1">
      <c r="A8" s="3" t="inlineStr">
        <is>
          <t>The contested judgement is carried both ways</t>
        </is>
      </c>
      <c r="B8"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9" ht="46" customHeight="1">
      <c r="A9" s="3" t="inlineStr">
        <is>
          <t>Currency and units</t>
        </is>
      </c>
      <c r="B9" s="4" t="inlineStr">
        <is>
          <t>Egyptian pounds. Money in millions unless a row says otherwise; per-share figures in pounds; packs and units in millions.</t>
        </is>
      </c>
    </row>
    <row r="10" ht="46" customHeight="1">
      <c r="A10" s="3" t="inlineStr">
        <is>
          <t>Basis and date</t>
        </is>
      </c>
      <c r="B10" s="4" t="inlineStr">
        <is>
          <t>Audited CONSOLIDATED financial statements. Share price 130.05 at 2026-08-06;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74% of core enterprise value, 62% of total</t>
        </is>
      </c>
    </row>
    <row r="3">
      <c r="A3" s="4" t="inlineStr">
        <is>
          <t>Discounted cash flow — Frame B</t>
        </is>
      </c>
      <c r="B3" s="5">
        <f>'Fundamental Valuation'!B3</f>
        <v/>
      </c>
      <c r="C3" s="6">
        <f>B3/Assumptions!$C$3-1</f>
        <v/>
      </c>
      <c r="D3" s="7" t="inlineStr">
        <is>
          <t>Terminal value 75% of core enterprise value, 64% of total</t>
        </is>
      </c>
    </row>
    <row r="4">
      <c r="A4" s="4" t="inlineStr">
        <is>
          <t>Book value and sustainable return</t>
        </is>
      </c>
      <c r="B4" s="5">
        <f>'Fundamental Valuation'!B4</f>
        <v/>
      </c>
      <c r="C4" s="6">
        <f>B4/Assumptions!$C$3-1</f>
        <v/>
      </c>
      <c r="D4" s="7" t="inlineStr">
        <is>
          <t>Justified 1.70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WEIGHTED CENTRE — FRAME A</t>
        </is>
      </c>
      <c r="B7" s="9">
        <f>'Fundamental Valuation'!B7</f>
        <v/>
      </c>
      <c r="C7" s="10">
        <f>B7/Assumptions!$C$3-1</f>
        <v/>
      </c>
      <c r="D7" s="7" t="inlineStr">
        <is>
          <t>A range, not a target. No rating is expressed anywhere in this workbook.</t>
        </is>
      </c>
    </row>
    <row r="8">
      <c r="A8" s="8" t="inlineStr">
        <is>
          <t>WEIGHTED CENTRE — FRAME B</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Valuation'!B9</f>
        <v/>
      </c>
      <c r="C9" s="12">
        <f>'Fundamental Valuation'!B10</f>
        <v/>
      </c>
    </row>
    <row r="10">
      <c r="A10" s="11" t="inlineStr">
        <is>
          <t>Market price</t>
        </is>
      </c>
      <c r="B10" s="12">
        <f>Assumptions!$C$3</f>
        <v/>
      </c>
    </row>
    <row r="12">
      <c r="A12" s="8" t="inlineStr">
        <is>
          <t>KEY FIGURES</t>
        </is>
      </c>
    </row>
    <row r="13">
      <c r="A13" s="4" t="inlineStr">
        <is>
          <t>Market capitalisation (EGP mn)</t>
        </is>
      </c>
      <c r="B13" s="13">
        <f>Assumptions!$C$102</f>
        <v/>
      </c>
    </row>
    <row r="14">
      <c r="A14" s="4" t="inlineStr">
        <is>
          <t>Net debt (EGP mn)</t>
        </is>
      </c>
      <c r="B14" s="13">
        <f>Assumptions!$C$103</f>
        <v/>
      </c>
    </row>
    <row r="15">
      <c r="A15" s="4" t="inlineStr">
        <is>
          <t>Enterprise value (EGP mn)</t>
        </is>
      </c>
      <c r="B15" s="13">
        <f>Assumptions!$C$102+Assumptions!$C$103+Assumptions!$C$79</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(Assumptions!$C$102+Assumptions!$C$103+Assumptions!$C$79)/'Income Statement'!D17</f>
        <v/>
      </c>
    </row>
    <row r="21">
      <c r="A21" s="4" t="inlineStr">
        <is>
          <t>Cost of equity</t>
        </is>
      </c>
      <c r="B21" s="15">
        <f>Assumptions!$C$97</f>
        <v/>
      </c>
    </row>
    <row r="22">
      <c r="A22" s="4" t="inlineStr">
        <is>
          <t>Weighted average cost of capital, year one</t>
        </is>
      </c>
      <c r="B22" s="15">
        <f>Assumptions!$C$106</f>
        <v/>
      </c>
    </row>
    <row r="23">
      <c r="A23" s="4" t="inlineStr">
        <is>
          <t>Terminal weighted average cost of capital</t>
        </is>
      </c>
      <c r="B23" s="15">
        <f>Assumptions!$C$112</f>
        <v/>
      </c>
    </row>
    <row r="24">
      <c r="A24" s="4" t="inlineStr">
        <is>
          <t>Terminal value as a percentage of enterprise value</t>
        </is>
      </c>
      <c r="B24" s="6">
        <f>DCF!B31</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DCF!B42</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Normalized'!B6-Assumptions!$C$62)/(Assumptions!$C$109-Assumptions!$C$62))*'Balance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WEIGHTED CENTRE — FRAME A</t>
        </is>
      </c>
      <c r="B7" s="9">
        <f>B2*C2+B4*C4+B5*C5+B6*C6</f>
        <v/>
      </c>
      <c r="C7" s="10">
        <f>C2+C4+C5+C6</f>
        <v/>
      </c>
      <c r="D7" s="7" t="inlineStr">
        <is>
          <t>The discounted-cash-flow weight in full on Frame A, beside the three lenses that do not turn on the contested judgement. The weights sum to one; the cell to the left proves it.</t>
        </is>
      </c>
    </row>
    <row r="8" ht="42" customHeight="1">
      <c r="A8" s="8" t="inlineStr">
        <is>
          <t>WEIGHTED CENTRE — FRAME B</t>
        </is>
      </c>
      <c r="B8" s="9">
        <f>B3*C3+B4*C4+B5*C5+B6*C6</f>
        <v/>
      </c>
      <c r="C8" s="10">
        <f>C3+C4+C5+C6</f>
        <v/>
      </c>
      <c r="D8" s="7" t="inlineStr">
        <is>
          <t>THE TWO CENTRES ARE NOT AVERAGED. Weighting both frames inside one number is a straight average of them, which is exactly what this study says it never does.</t>
        </is>
      </c>
    </row>
    <row r="9">
      <c r="A9" s="11" t="inlineStr">
        <is>
          <t>Low of the field</t>
        </is>
      </c>
      <c r="B9" s="12">
        <f>MIN(B2:B6)</f>
        <v/>
      </c>
    </row>
    <row r="10">
      <c r="A10" s="11" t="inlineStr">
        <is>
          <t>High of the field</t>
        </is>
      </c>
      <c r="B10" s="12">
        <f>MAX(B2:B6)</f>
        <v/>
      </c>
    </row>
    <row r="11">
      <c r="A11" s="11" t="inlineStr">
        <is>
          <t>Market price</t>
        </is>
      </c>
      <c r="B11" s="12">
        <f>Assumptions!$C$3</f>
        <v/>
      </c>
    </row>
    <row r="12">
      <c r="A12" s="8" t="inlineStr">
        <is>
          <t>Market price relative to the Frame A centre</t>
        </is>
      </c>
      <c r="B12" s="10">
        <f>B11/B7-1</f>
        <v/>
      </c>
    </row>
    <row r="13">
      <c r="A13" s="8" t="inlineStr">
        <is>
          <t>Market price relative to the Frame B centre</t>
        </is>
      </c>
      <c r="B13" s="10">
        <f>B11/B8-1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5"/>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2026-08-06</t>
        </is>
      </c>
      <c r="C3" s="16" t="n">
        <v>130.05</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0.05</v>
      </c>
      <c r="D14" s="17" t="n">
        <v>0.08</v>
      </c>
      <c r="E14" s="17" t="n">
        <v>0.075</v>
      </c>
      <c r="F14" s="17" t="n">
        <v>0.065</v>
      </c>
      <c r="G14" s="17" t="n">
        <v>0.055</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50.5</v>
      </c>
      <c r="D17" s="16" t="n">
        <v>52.5</v>
      </c>
      <c r="E17" s="16" t="n">
        <v>54.3</v>
      </c>
      <c r="F17" s="16" t="n">
        <v>56</v>
      </c>
      <c r="G17" s="16" t="n">
        <v>57.7</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0.12</v>
      </c>
      <c r="D29" s="17" t="n">
        <v>0.1</v>
      </c>
      <c r="E29" s="17" t="n">
        <v>0.08500000000000001</v>
      </c>
      <c r="F29" s="17" t="n">
        <v>0.07000000000000001</v>
      </c>
      <c r="G29" s="17" t="n">
        <v>0.06</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0.629</v>
      </c>
    </row>
    <row r="50" ht="26" customHeight="1">
      <c r="A50" s="4" t="inlineStr">
        <is>
          <t>Cost of local-currency debt</t>
        </is>
      </c>
      <c r="B50" s="7" t="inlineStr">
        <is>
          <t>Sovereign yield plus 250 basis points</t>
        </is>
      </c>
      <c r="C50" s="21" t="n">
        <v>0.2481</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0.251247066000691</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0.398408806312907</v>
      </c>
    </row>
    <row r="62" ht="26" customHeight="1">
      <c r="A62" s="4" t="inlineStr">
        <is>
          <t>Terminal growth</t>
        </is>
      </c>
      <c r="B62" s="7" t="inlineStr">
        <is>
          <t>Pound-nominal, against a 5% terminal inflation rate — about zero in real terms</t>
        </is>
      </c>
      <c r="C62" s="17" t="n">
        <v>0.05</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c r="A66" s="8" t="inlineStr">
        <is>
          <t>OPENING BALANCE SHEET (AUDITED, 31 DECEMBER 2025)</t>
        </is>
      </c>
    </row>
    <row r="67" ht="26" customHeight="1">
      <c r="A67" s="4" t="inlineStr">
        <is>
          <t>Property, plant and equipment, net</t>
        </is>
      </c>
      <c r="B67" s="7" t="inlineStr">
        <is>
          <t>Note (4)</t>
        </is>
      </c>
      <c r="C67" s="19" t="n">
        <v>3069.747924</v>
      </c>
    </row>
    <row r="68" ht="26" customHeight="1">
      <c r="A68" s="4" t="inlineStr">
        <is>
          <t>Projects under construction</t>
        </is>
      </c>
      <c r="B68" s="7" t="inlineStr">
        <is>
          <t>Note (6)</t>
        </is>
      </c>
      <c r="C68" s="19" t="n">
        <v>4901.223806</v>
      </c>
    </row>
    <row r="69" ht="26" customHeight="1">
      <c r="A69" s="4" t="inlineStr">
        <is>
          <t>Inventories, net</t>
        </is>
      </c>
      <c r="B69" s="7" t="inlineStr">
        <is>
          <t>Note (9)</t>
        </is>
      </c>
      <c r="C69" s="19" t="n">
        <v>3887.077629</v>
      </c>
    </row>
    <row r="70" ht="26" customHeight="1">
      <c r="A70" s="4" t="inlineStr">
        <is>
          <t>Trade and notes receivable, net</t>
        </is>
      </c>
      <c r="B70" s="7" t="inlineStr">
        <is>
          <t>Note (10)</t>
        </is>
      </c>
      <c r="C70" s="19" t="n">
        <v>3325.044117</v>
      </c>
    </row>
    <row r="71" ht="26" customHeight="1">
      <c r="A71" s="4" t="inlineStr">
        <is>
          <t>Other debtors</t>
        </is>
      </c>
      <c r="B71" s="7" t="inlineStr">
        <is>
          <t>Note (11)</t>
        </is>
      </c>
      <c r="C71" s="19" t="n">
        <v>356.786958</v>
      </c>
    </row>
    <row r="72" ht="26" customHeight="1">
      <c r="A72" s="4" t="inlineStr">
        <is>
          <t>Trade and notes payable</t>
        </is>
      </c>
      <c r="B72" s="7" t="inlineStr">
        <is>
          <t>Note (22)</t>
        </is>
      </c>
      <c r="C72" s="19" t="n">
        <v>780.416969</v>
      </c>
    </row>
    <row r="73" ht="26" customHeight="1">
      <c r="A73" s="4" t="inlineStr">
        <is>
          <t>Other creditors</t>
        </is>
      </c>
      <c r="B73" s="7" t="inlineStr">
        <is>
          <t>Note (23)</t>
        </is>
      </c>
      <c r="C73" s="19" t="n">
        <v>1044.832275</v>
      </c>
    </row>
    <row r="74" ht="26" customHeight="1">
      <c r="A74" s="4" t="inlineStr">
        <is>
          <t>Cash and bank balances</t>
        </is>
      </c>
      <c r="B74" s="7" t="inlineStr">
        <is>
          <t>Note (12)</t>
        </is>
      </c>
      <c r="C74" s="19" t="n">
        <v>1433.426902</v>
      </c>
    </row>
    <row r="75" ht="26" customHeight="1">
      <c r="A75" s="4" t="inlineStr">
        <is>
          <t>Gross borrowings including leases</t>
        </is>
      </c>
      <c r="B75" s="7" t="inlineStr">
        <is>
          <t>Notes (17), (18) and (21)</t>
        </is>
      </c>
      <c r="C75" s="19" t="n">
        <v>8797.725640000001</v>
      </c>
    </row>
    <row r="76" ht="26" customHeight="1">
      <c r="A76" s="4" t="inlineStr">
        <is>
          <t>Attributable profit, FY2025 (EGP mn)</t>
        </is>
      </c>
      <c r="B76" s="7" t="inlineStr">
        <is>
          <t>Audited — the trailing earnings base for every trailing multiple</t>
        </is>
      </c>
      <c r="C76" s="19" t="n">
        <v>1441.6577</v>
      </c>
    </row>
    <row r="77" ht="26" customHeight="1">
      <c r="A77" s="4" t="inlineStr">
        <is>
          <t>Equity attributable to the holding company</t>
        </is>
      </c>
      <c r="B77" s="7" t="inlineStr">
        <is>
          <t>Audited</t>
        </is>
      </c>
      <c r="C77" s="19" t="n">
        <v>6243.131482</v>
      </c>
    </row>
    <row r="78" ht="26" customHeight="1">
      <c r="A78" s="4" t="inlineStr">
        <is>
          <t>Non-controlling interests, audited 31 December 2025</t>
        </is>
      </c>
      <c r="B78"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8" s="19" t="n">
        <v>288.704605</v>
      </c>
    </row>
    <row r="79" ht="26" customHeight="1">
      <c r="A79" s="4" t="inlineStr">
        <is>
          <t>Non-controlling interests deducted in the bridge</t>
        </is>
      </c>
      <c r="B79" s="7" t="inlineStr">
        <is>
          <t>Post-deconsolidation, from the reviewed 31 March 2026 interim</t>
        </is>
      </c>
      <c r="C79" s="19" t="n">
        <v>3.999807</v>
      </c>
    </row>
    <row r="80" ht="26" customHeight="1">
      <c r="A80" s="4" t="inlineStr">
        <is>
          <t>Active-ingredient company at carrying cost (EGP mn)</t>
        </is>
      </c>
      <c r="B80" s="7" t="inlineStr">
        <is>
          <t>Pre-revenue, so cost not an earnings multiple; the Q1-2026 movement in investments in associates</t>
        </is>
      </c>
      <c r="C80" s="19" t="n">
        <v>228.4864180000001</v>
      </c>
    </row>
    <row r="81" ht="26" customHeight="1">
      <c r="A81" s="4" t="inlineStr">
        <is>
          <t>Assets held for sale</t>
        </is>
      </c>
      <c r="B81" s="7" t="inlineStr">
        <is>
          <t>Note (8/1)</t>
        </is>
      </c>
      <c r="C81" s="19" t="n">
        <v>12.33</v>
      </c>
    </row>
    <row r="82" ht="26" customHeight="1">
      <c r="A82" s="4" t="inlineStr">
        <is>
          <t>Intangible assets, net</t>
        </is>
      </c>
      <c r="B82" s="7" t="inlineStr">
        <is>
          <t>Note (7)</t>
        </is>
      </c>
      <c r="C82" s="19" t="n">
        <v>40.142171</v>
      </c>
    </row>
    <row r="83" ht="26" customHeight="1">
      <c r="A83" s="4" t="inlineStr">
        <is>
          <t>Right-of-use and intangible amortisation run-rate</t>
        </is>
      </c>
      <c r="B83" s="7" t="inlineStr">
        <is>
          <t>Audited FY2025 cash-flow statement</t>
        </is>
      </c>
      <c r="C83" s="25" t="n">
        <v>8.269948999999997</v>
      </c>
    </row>
    <row r="84" ht="26" customHeight="1">
      <c r="A84" s="4" t="inlineStr">
        <is>
          <t>Share of depreciation charged to cost of sales</t>
        </is>
      </c>
      <c r="B84" s="7" t="inlineStr">
        <is>
          <t>Cost of sales note (26): 93.498 of 117.725</t>
        </is>
      </c>
      <c r="C84" s="17" t="n">
        <v>0.7942005773538676</v>
      </c>
    </row>
    <row r="85" ht="26" customHeight="1">
      <c r="A85" s="4" t="inlineStr">
        <is>
          <t>FY2025 cash cost per pack sold (EGP)</t>
        </is>
      </c>
      <c r="B85" s="7" t="inlineStr">
        <is>
          <t>Cost of sales less its depreciation line, over packs sold</t>
        </is>
      </c>
      <c r="C85" s="16" t="n">
        <v>14.53600902055724</v>
      </c>
    </row>
    <row r="86" ht="26" customHeight="1">
      <c r="A86" s="4" t="inlineStr">
        <is>
          <t>Consolidated-to-separate revenue factor</t>
        </is>
      </c>
      <c r="B86" s="7" t="inlineStr">
        <is>
          <t>MEASURED: audited consolidated revenue over the separate-company channel total</t>
        </is>
      </c>
      <c r="C86" s="26" t="n">
        <v>1.014932591450432</v>
      </c>
    </row>
    <row r="87" ht="26" customHeight="1">
      <c r="A87" s="4" t="inlineStr">
        <is>
          <t>FY2025 packs sold of the company's OWN preparations (million)</t>
        </is>
      </c>
      <c r="B87" s="7" t="inlineStr">
        <is>
          <t>Board report, sales-indicators table</t>
        </is>
      </c>
      <c r="C87" s="18" t="n">
        <v>351.81</v>
      </c>
    </row>
    <row r="88" ht="26" customHeight="1">
      <c r="A88" s="4" t="inlineStr">
        <is>
          <t>FY2025 export packs (million)</t>
        </is>
      </c>
      <c r="B88" s="7" t="inlineStr">
        <is>
          <t>Investor presentation</t>
        </is>
      </c>
      <c r="C88" s="18" t="n">
        <v>60</v>
      </c>
    </row>
    <row r="89" ht="26" customHeight="1">
      <c r="A89" s="4" t="inlineStr">
        <is>
          <t>FY2025 export revenue (EGP mn)</t>
        </is>
      </c>
      <c r="B89" s="7" t="inlineStr">
        <is>
          <t>Revenue note (25)</t>
        </is>
      </c>
      <c r="C89" s="19" t="n">
        <v>2967.479908</v>
      </c>
    </row>
    <row r="90" ht="26" customHeight="1">
      <c r="A90" s="4" t="inlineStr">
        <is>
          <t>FY2025 sales value of the company's OWN preparations (EGP mn)</t>
        </is>
      </c>
      <c r="B90" s="7" t="inlineStr">
        <is>
          <t>Board report, sales-indicators table</t>
        </is>
      </c>
      <c r="C90" s="19" t="n">
        <v>9160.147999999999</v>
      </c>
    </row>
    <row r="91" ht="26" customHeight="1">
      <c r="A91" s="4" t="inlineStr">
        <is>
          <t>FY2025 sales value of CONTRACT-MANUFACTURED preparations (EGP mn)</t>
        </is>
      </c>
      <c r="B91" s="7" t="inlineStr">
        <is>
          <t>Board report, sales-indicators table — product value, not the fee the company books</t>
        </is>
      </c>
      <c r="C91" s="19" t="n">
        <v>142.321</v>
      </c>
    </row>
    <row r="92" ht="26" customHeight="1">
      <c r="A92" s="4" t="inlineStr">
        <is>
          <t>FY2025 contract-manufactured packs (million)</t>
        </is>
      </c>
      <c r="B92" s="7" t="inlineStr">
        <is>
          <t>Board report</t>
        </is>
      </c>
      <c r="C92" s="18" t="n">
        <v>5.485</v>
      </c>
    </row>
    <row r="93" ht="26" customHeight="1">
      <c r="A93" s="4" t="inlineStr">
        <is>
          <t>FY2025 contract-manufacturing FEE revenue (EGP mn)</t>
        </is>
      </c>
      <c r="B93"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3" s="25" t="n">
        <v>49.366365</v>
      </c>
    </row>
    <row r="94" ht="26" customHeight="1">
      <c r="A94" s="4" t="inlineStr">
        <is>
          <t>FY2025 average exchange rate</t>
        </is>
      </c>
      <c r="B94" s="7" t="inlineStr">
        <is>
          <t>Note (36)</t>
        </is>
      </c>
      <c r="C94" s="16" t="n">
        <v>49.48</v>
      </c>
    </row>
    <row r="95">
      <c r="A95" s="8" t="inlineStr">
        <is>
          <t>DERIVED IN THIS SHEET (formulas, not inputs)</t>
        </is>
      </c>
    </row>
    <row r="96">
      <c r="A96" s="4" t="inlineStr">
        <is>
          <t>Normalised risk-free rate = yield less sovereign spread</t>
        </is>
      </c>
      <c r="B96" s="7" t="inlineStr">
        <is>
          <t>calculated</t>
        </is>
      </c>
      <c r="C96" s="27">
        <f>$C$44-$C$45</f>
        <v/>
      </c>
    </row>
    <row r="97">
      <c r="A97" s="4" t="inlineStr">
        <is>
          <t>Cost of equity = normalised risk-free + beta x premium</t>
        </is>
      </c>
      <c r="B97" s="7" t="inlineStr">
        <is>
          <t>calculated</t>
        </is>
      </c>
      <c r="C97" s="27">
        <f>$C$96+$C$49*$C$46</f>
        <v/>
      </c>
    </row>
    <row r="98">
      <c r="A98" s="4" t="inlineStr">
        <is>
          <t>Cost of equity, rating basis (published alternative)</t>
        </is>
      </c>
      <c r="B98" s="7" t="inlineStr">
        <is>
          <t>calculated</t>
        </is>
      </c>
      <c r="C98" s="27">
        <f>($C$44-$C$47)+$C$49*$C$48</f>
        <v/>
      </c>
    </row>
    <row r="99">
      <c r="A99" s="4" t="inlineStr">
        <is>
          <t>Hard-currency debt at LOCAL-EQUIVALENT cost</t>
        </is>
      </c>
      <c r="B99" s="7" t="inlineStr">
        <is>
          <t>calculated</t>
        </is>
      </c>
      <c r="C99" s="27">
        <f>(1+$C$51)*(1+$C$52)-1</f>
        <v/>
      </c>
    </row>
    <row r="100">
      <c r="A100" s="4" t="inlineStr">
        <is>
          <t>Blended marginal cost of debt</t>
        </is>
      </c>
      <c r="B100" s="7" t="inlineStr">
        <is>
          <t>calculated</t>
        </is>
      </c>
      <c r="C100" s="27">
        <f>(1-$C$53)*$C$50+$C$53*$C$99</f>
        <v/>
      </c>
    </row>
    <row r="101">
      <c r="A101" s="4" t="inlineStr">
        <is>
          <t>Cost of debt after tax</t>
        </is>
      </c>
      <c r="B101" s="7" t="inlineStr">
        <is>
          <t>calculated</t>
        </is>
      </c>
      <c r="C101" s="27">
        <f>$C$100*(1-$C$9)</f>
        <v/>
      </c>
    </row>
    <row r="102">
      <c r="A102" s="4" t="inlineStr">
        <is>
          <t>Market capitalisation (EGP mn)</t>
        </is>
      </c>
      <c r="B102" s="7" t="inlineStr">
        <is>
          <t>calculated</t>
        </is>
      </c>
      <c r="C102" s="28">
        <f>$C$3*$C$8</f>
        <v/>
      </c>
    </row>
    <row r="103">
      <c r="A103" s="4" t="inlineStr">
        <is>
          <t>Net debt (EGP mn)</t>
        </is>
      </c>
      <c r="B103" s="7" t="inlineStr">
        <is>
          <t>calculated</t>
        </is>
      </c>
      <c r="C103" s="28">
        <f>$C$75-$C$74</f>
        <v/>
      </c>
    </row>
    <row r="104">
      <c r="A104" s="4" t="inlineStr">
        <is>
          <t>Equity weight (net basis)</t>
        </is>
      </c>
      <c r="B104" s="7" t="inlineStr">
        <is>
          <t>calculated</t>
        </is>
      </c>
      <c r="C104" s="29">
        <f>$C$102/($C$102+$C$103)</f>
        <v/>
      </c>
    </row>
    <row r="105">
      <c r="A105" s="4" t="inlineStr">
        <is>
          <t>Debt weight (net basis)</t>
        </is>
      </c>
      <c r="B105" s="7" t="inlineStr">
        <is>
          <t>calculated</t>
        </is>
      </c>
      <c r="C105" s="29">
        <f>1-$C$104</f>
        <v/>
      </c>
    </row>
    <row r="106">
      <c r="A106" s="4" t="inlineStr">
        <is>
          <t>Weighted average cost of capital, year one</t>
        </is>
      </c>
      <c r="B106" s="7" t="inlineStr">
        <is>
          <t>calculated</t>
        </is>
      </c>
      <c r="C106" s="27">
        <f>$C$104*$C$97+$C$105*$C$101</f>
        <v/>
      </c>
    </row>
    <row r="107">
      <c r="A107" s="4" t="inlineStr">
        <is>
          <t>Debt weight (gross basis)</t>
        </is>
      </c>
      <c r="B107" s="7" t="inlineStr">
        <is>
          <t>calculated</t>
        </is>
      </c>
      <c r="C107" s="29">
        <f>$C$75/($C$102+$C$75)</f>
        <v/>
      </c>
    </row>
    <row r="108">
      <c r="A108" s="4" t="inlineStr">
        <is>
          <t>Weighted average cost of capital, gross-debt basis</t>
        </is>
      </c>
      <c r="B108" s="7" t="inlineStr">
        <is>
          <t>calculated</t>
        </is>
      </c>
      <c r="C108" s="27">
        <f>(1-$C$107)*$C$97+$C$107*$C$101</f>
        <v/>
      </c>
    </row>
    <row r="109">
      <c r="A109" s="4" t="inlineStr">
        <is>
          <t>Terminal cost of equity</t>
        </is>
      </c>
      <c r="B109" s="7" t="inlineStr">
        <is>
          <t>calculated</t>
        </is>
      </c>
      <c r="C109" s="27">
        <f>$C$56+$C$49*$C$57</f>
        <v/>
      </c>
    </row>
    <row r="110">
      <c r="A110" s="4" t="inlineStr">
        <is>
          <t>Terminal cost of debt</t>
        </is>
      </c>
      <c r="B110" s="7" t="inlineStr">
        <is>
          <t>calculated</t>
        </is>
      </c>
      <c r="C110" s="27">
        <f>(1-$C$53)*$C$58+$C$53*((1+$C$59)*1.03-1)</f>
        <v/>
      </c>
    </row>
    <row r="111">
      <c r="A111" s="4" t="inlineStr">
        <is>
          <t>Terminal cost of debt after tax</t>
        </is>
      </c>
      <c r="B111" s="7" t="inlineStr">
        <is>
          <t>calculated</t>
        </is>
      </c>
      <c r="C111" s="27">
        <f>$C$110*(1-$C$9)</f>
        <v/>
      </c>
    </row>
    <row r="112">
      <c r="A112" s="4" t="inlineStr">
        <is>
          <t>Terminal weighted average cost of capital</t>
        </is>
      </c>
      <c r="B112" s="7" t="inlineStr">
        <is>
          <t>calculated</t>
        </is>
      </c>
      <c r="C112" s="27">
        <f>(1-$C$60)*$C$109+$C$60*$C$111</f>
        <v/>
      </c>
    </row>
    <row r="113">
      <c r="A113" s="11" t="inlineStr">
        <is>
          <t>Glide fraction (derived from the convergence path — SHAPE only)</t>
        </is>
      </c>
      <c r="B113" s="7" t="inlineStr">
        <is>
          <t>calculated: (this year's cost of debt less the last year's) over (the first year's less the last year's)</t>
        </is>
      </c>
      <c r="C113" s="30">
        <f>(C$54-$G$54)/($C$54-$G$54)</f>
        <v/>
      </c>
      <c r="D113" s="30">
        <f>(D$54-$G$54)/($C$54-$G$54)</f>
        <v/>
      </c>
      <c r="E113" s="30">
        <f>(E$54-$G$54)/($C$54-$G$54)</f>
        <v/>
      </c>
      <c r="F113" s="30">
        <f>(F$54-$G$54)/($C$54-$G$54)</f>
        <v/>
      </c>
      <c r="G113" s="30">
        <f>(G$54-$G$54)/($C$54-$G$54)</f>
        <v/>
      </c>
    </row>
    <row r="114">
      <c r="A114" s="11" t="inlineStr">
        <is>
          <t>Discount rate</t>
        </is>
      </c>
      <c r="B114" s="7" t="inlineStr">
        <is>
          <t>calculated: terminal rate plus the glide fraction of the gap to year one</t>
        </is>
      </c>
      <c r="C114" s="15">
        <f>$C$112+($C$106-$C$112)*C$113</f>
        <v/>
      </c>
      <c r="D114" s="15">
        <f>$C$112+($C$106-$C$112)*D$113</f>
        <v/>
      </c>
      <c r="E114" s="15">
        <f>$C$112+($C$106-$C$112)*E$113</f>
        <v/>
      </c>
      <c r="F114" s="15">
        <f>$C$112+($C$106-$C$112)*F$113</f>
        <v/>
      </c>
      <c r="G114" s="15">
        <f>$C$112+($C$106-$C$112)*G$113</f>
        <v/>
      </c>
    </row>
    <row r="115">
      <c r="A115" s="11" t="inlineStr">
        <is>
          <t>Discount factor</t>
        </is>
      </c>
      <c r="B115" s="7" t="inlineStr">
        <is>
          <t>calculated: the previous factor divided by one plus this year's rate — the factors compound</t>
        </is>
      </c>
      <c r="C115" s="31">
        <f>1/(1+C$114)</f>
        <v/>
      </c>
      <c r="D115" s="31">
        <f>C115/(1+D$114)</f>
        <v/>
      </c>
      <c r="E115" s="31">
        <f>D115/(1+E$114)</f>
        <v/>
      </c>
      <c r="F115" s="31">
        <f>E115/(1+F$114)</f>
        <v/>
      </c>
      <c r="G115" s="31">
        <f>F115/(1+G$114)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DCF!B30</f>
        <v/>
      </c>
      <c r="C2" s="5">
        <f>B2/Assumptions!$C$8</f>
        <v/>
      </c>
    </row>
    <row r="3">
      <c r="A3" s="4" t="inlineStr">
        <is>
          <t xml:space="preserve">   of which the terminal value (memorandum)</t>
        </is>
      </c>
      <c r="B3" s="13">
        <f>DCF!B27</f>
        <v/>
      </c>
      <c r="C3" s="5">
        <f>B3/Assumptions!$C$8</f>
        <v/>
      </c>
    </row>
    <row r="4">
      <c r="A4" s="8" t="inlineStr">
        <is>
          <t xml:space="preserve">   terminal value as a percentage of core enterprise value</t>
        </is>
      </c>
      <c r="B4" s="10">
        <f>DCF!B31</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Assumptions!$C$80</f>
        <v/>
      </c>
      <c r="C6" s="5">
        <f>B6/Assumptions!$C$8</f>
        <v/>
      </c>
    </row>
    <row r="7">
      <c r="A7" s="4" t="inlineStr">
        <is>
          <t>Add: assets held for sale</t>
        </is>
      </c>
      <c r="B7" s="13">
        <f>Assumptions!$C$81</f>
        <v/>
      </c>
      <c r="C7" s="5">
        <f>B7/Assumptions!$C$8</f>
        <v/>
      </c>
    </row>
    <row r="8">
      <c r="A8" s="8" t="inlineStr">
        <is>
          <t>TOTAL ENTERPRISE VALUE</t>
        </is>
      </c>
      <c r="B8" s="32">
        <f>B2+B5+B6+B7</f>
        <v/>
      </c>
      <c r="C8" s="9">
        <f>B8/Assumptions!$C$8</f>
        <v/>
      </c>
    </row>
    <row r="9">
      <c r="A9" s="4" t="inlineStr">
        <is>
          <t>Less: net debt</t>
        </is>
      </c>
      <c r="B9" s="13">
        <f>-Assumptions!$C$103</f>
        <v/>
      </c>
      <c r="C9" s="5">
        <f>B9/Assumptions!$C$8</f>
        <v/>
      </c>
    </row>
    <row r="10">
      <c r="A10" s="4" t="inlineStr">
        <is>
          <t>Less: non-controlling interests, post-deconsolidation</t>
        </is>
      </c>
      <c r="B10" s="13">
        <f>-Assumptions!$C$79</f>
        <v/>
      </c>
      <c r="C10" s="5">
        <f>B10/Assumptions!$C$8</f>
        <v/>
      </c>
    </row>
    <row r="11">
      <c r="A11" s="8" t="inlineStr">
        <is>
          <t>EQUITY VALUE</t>
        </is>
      </c>
      <c r="B11" s="32">
        <f>B8+B9+B10</f>
        <v/>
      </c>
      <c r="C11" s="9">
        <f>B11/Assumptions!$C$8</f>
        <v/>
      </c>
    </row>
    <row r="13">
      <c r="A13" s="8" t="inlineStr">
        <is>
          <t>Value per share — Frame A</t>
        </is>
      </c>
      <c r="B13" s="32">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3">
        <f>Assumptions!$C$87-Assumptions!$C$88</f>
        <v/>
      </c>
      <c r="D2" s="5">
        <f>C2*(1+Assumptions!C$12)</f>
        <v/>
      </c>
      <c r="E2" s="5">
        <f>D2*(1+Assumptions!D$12)</f>
        <v/>
      </c>
      <c r="F2" s="5">
        <f>E2*(1+Assumptions!E$12)</f>
        <v/>
      </c>
      <c r="G2" s="5">
        <f>F2*(1+Assumptions!F$12)</f>
        <v/>
      </c>
      <c r="H2" s="5">
        <f>G2*(1+Assumptions!G$12)</f>
        <v/>
      </c>
    </row>
    <row r="3">
      <c r="A3" s="11" t="inlineStr">
        <is>
          <t>Export packs sold (million)</t>
        </is>
      </c>
      <c r="B3" s="16" t="n">
        <v>54.7</v>
      </c>
      <c r="C3" s="33">
        <f>Assumptions!$C$88</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Assumptions!$C$90-C8</f>
        <v/>
      </c>
      <c r="D7" s="34">
        <f>D2*D4</f>
        <v/>
      </c>
      <c r="E7" s="34">
        <f>E2*E4</f>
        <v/>
      </c>
      <c r="F7" s="34">
        <f>F2*F4</f>
        <v/>
      </c>
      <c r="G7" s="34">
        <f>G2*G4</f>
        <v/>
      </c>
      <c r="H7" s="34">
        <f>H2*H4</f>
        <v/>
      </c>
    </row>
    <row r="8">
      <c r="A8" s="3" t="inlineStr">
        <is>
          <t>Export revenue (EGP mn)</t>
        </is>
      </c>
      <c r="B8" s="19" t="n">
        <v>2500.155946</v>
      </c>
      <c r="C8" s="13">
        <f>Assumptions!$C$89</f>
        <v/>
      </c>
      <c r="D8" s="34">
        <f>D3*D5*D6</f>
        <v/>
      </c>
      <c r="E8" s="34">
        <f>E3*E5*E6</f>
        <v/>
      </c>
      <c r="F8" s="34">
        <f>F3*F5*F6</f>
        <v/>
      </c>
      <c r="G8" s="34">
        <f>G3*G5*G6</f>
        <v/>
      </c>
      <c r="H8" s="34">
        <f>H3*H5*H6</f>
        <v/>
      </c>
    </row>
    <row r="9">
      <c r="A9" s="11" t="inlineStr">
        <is>
          <t>Contract-manufactured packs (million)</t>
        </is>
      </c>
      <c r="B9" s="18" t="n">
        <v>8.874000000000001</v>
      </c>
      <c r="C9" s="33">
        <f>Assumptions!$C$92</f>
        <v/>
      </c>
      <c r="D9" s="33">
        <f>C9*(1+Assumptions!C$16)</f>
        <v/>
      </c>
      <c r="E9" s="33">
        <f>D9*(1+Assumptions!D$16)</f>
        <v/>
      </c>
      <c r="F9" s="33">
        <f>E9*(1+Assumptions!E$16)</f>
        <v/>
      </c>
      <c r="G9" s="33">
        <f>F9*(1+Assumptions!F$16)</f>
        <v/>
      </c>
      <c r="H9" s="33">
        <f>G9*(1+Assumptions!G$16)</f>
        <v/>
      </c>
    </row>
    <row r="10">
      <c r="A10" s="11" t="inlineStr">
        <is>
          <t>Contract-manufacturing FEE per pack (EGP)</t>
        </is>
      </c>
      <c r="B10" s="5">
        <f>35.835829/B9</f>
        <v/>
      </c>
      <c r="C10" s="5">
        <f>Assumptions!$C$93/C9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(Assumptions!$C$91-Assumptions!$C$93)/C9</f>
        <v/>
      </c>
      <c r="D11" s="5">
        <f>C11*(1+Assumptions!C$14)</f>
        <v/>
      </c>
      <c r="E11" s="5">
        <f>D11*(1+Assumptions!D$14)</f>
        <v/>
      </c>
      <c r="F11" s="5">
        <f>E11*(1+Assumptions!E$14)</f>
        <v/>
      </c>
      <c r="G11" s="5">
        <f>F11*(1+Assumptions!F$14)</f>
        <v/>
      </c>
      <c r="H11" s="5">
        <f>G11*(1+Assumptions!G$14)</f>
        <v/>
      </c>
    </row>
    <row r="12">
      <c r="A12" s="3" t="inlineStr">
        <is>
          <t>Contract-manufacturing revenue — fee (EGP mn)</t>
        </is>
      </c>
      <c r="B12" s="35">
        <f>B9*B10</f>
        <v/>
      </c>
      <c r="C12" s="35">
        <f>C9*C10</f>
        <v/>
      </c>
      <c r="D12" s="36">
        <f>D9*D10</f>
        <v/>
      </c>
      <c r="E12" s="36">
        <f>E9*E10</f>
        <v/>
      </c>
      <c r="F12" s="36">
        <f>F9*F10</f>
        <v/>
      </c>
      <c r="G12" s="36">
        <f>G9*G10</f>
        <v/>
      </c>
      <c r="H12" s="36">
        <f>H9*H10</f>
        <v/>
      </c>
    </row>
    <row r="13">
      <c r="A13" s="3" t="inlineStr">
        <is>
          <t>Contract product resold through own channels (EGP mn)</t>
        </is>
      </c>
      <c r="B13" s="35">
        <f>B9*B11</f>
        <v/>
      </c>
      <c r="C13" s="35">
        <f>C9*C11</f>
        <v/>
      </c>
      <c r="D13" s="36">
        <f>D9*D11</f>
        <v/>
      </c>
      <c r="E13" s="36">
        <f>E9*E11</f>
        <v/>
      </c>
      <c r="F13" s="36">
        <f>F9*F11</f>
        <v/>
      </c>
      <c r="G13" s="36">
        <f>G9*G11</f>
        <v/>
      </c>
      <c r="H13" s="36">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2">
        <f>(D7+D8+D12+D13)*Assumptions!$C$86</f>
        <v/>
      </c>
      <c r="E15" s="32">
        <f>(E7+E8+E12+E13)*Assumptions!$C$86</f>
        <v/>
      </c>
      <c r="F15" s="32">
        <f>(F7+F8+F12+F13)*Assumptions!$C$86</f>
        <v/>
      </c>
      <c r="G15" s="32">
        <f>(G7+G8+G12+G13)*Assumptions!$C$86</f>
        <v/>
      </c>
      <c r="H15" s="32">
        <f>(H7+H8+H12+H13)*Assumptions!$C$86</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1">
        <f>((1+Assumptions!$C$25)*(Segments!D6/Assumptions!$C$94))</f>
        <v/>
      </c>
      <c r="E26" s="31">
        <f>D26*((1+Assumptions!$C$25)*(Segments!E6/Segments!D6))</f>
        <v/>
      </c>
      <c r="F26" s="31">
        <f>E26*((1+Assumptions!$C$25)*(Segments!F6/Segments!E6))</f>
        <v/>
      </c>
      <c r="G26" s="31">
        <f>F26*((1+Assumptions!$C$25)*(Segments!G6/Segments!F6))</f>
        <v/>
      </c>
      <c r="H26" s="31">
        <f>G26*((1+Assumptions!$C$25)*(Segments!H6/Segments!G6))</f>
        <v/>
      </c>
    </row>
    <row r="27">
      <c r="A27" s="4" t="inlineStr">
        <is>
          <t>Packaging materials</t>
        </is>
      </c>
      <c r="D27" s="31">
        <f>(Assumptions!$C$26*(1+Assumptions!$C$25)*(Segments!D6/Assumptions!$C$94)+(1-Assumptions!$C$26)*(1+Assumptions!C$29))</f>
        <v/>
      </c>
      <c r="E27" s="31">
        <f>D27*(Assumptions!$C$26*(1+Assumptions!$C$25)*(Segments!E6/Segments!D6)+(1-Assumptions!$C$26)*(1+Assumptions!D$29))</f>
        <v/>
      </c>
      <c r="F27" s="31">
        <f>E27*(Assumptions!$C$26*(1+Assumptions!$C$25)*(Segments!F6/Segments!E6)+(1-Assumptions!$C$26)*(1+Assumptions!E$29))</f>
        <v/>
      </c>
      <c r="G27" s="31">
        <f>F27*(Assumptions!$C$26*(1+Assumptions!$C$25)*(Segments!G6/Segments!F6)+(1-Assumptions!$C$26)*(1+Assumptions!F$29))</f>
        <v/>
      </c>
      <c r="H27" s="31">
        <f>G27*(Assumptions!$C$26*(1+Assumptions!$C$25)*(Segments!H6/Segments!G6)+(1-Assumptions!$C$26)*(1+Assumptions!G$29))</f>
        <v/>
      </c>
    </row>
    <row r="28">
      <c r="A28" s="4" t="inlineStr">
        <is>
          <t>Labour</t>
        </is>
      </c>
      <c r="D28" s="31">
        <f>(1+Assumptions!C$27)</f>
        <v/>
      </c>
      <c r="E28" s="31">
        <f>D28*(1+Assumptions!D$27)</f>
        <v/>
      </c>
      <c r="F28" s="31">
        <f>E28*(1+Assumptions!E$27)</f>
        <v/>
      </c>
      <c r="G28" s="31">
        <f>F28*(1+Assumptions!F$27)</f>
        <v/>
      </c>
      <c r="H28" s="31">
        <f>G28*(1+Assumptions!G$27)</f>
        <v/>
      </c>
    </row>
    <row r="29">
      <c r="A29" s="4" t="inlineStr">
        <is>
          <t>Energy and utilities</t>
        </is>
      </c>
      <c r="D29" s="31">
        <f>(1+Assumptions!C$28)</f>
        <v/>
      </c>
      <c r="E29" s="31">
        <f>D29*(1+Assumptions!D$28)</f>
        <v/>
      </c>
      <c r="F29" s="31">
        <f>E29*(1+Assumptions!E$28)</f>
        <v/>
      </c>
      <c r="G29" s="31">
        <f>F29*(1+Assumptions!F$28)</f>
        <v/>
      </c>
      <c r="H29" s="31">
        <f>G29*(1+Assumptions!G$28)</f>
        <v/>
      </c>
    </row>
    <row r="30">
      <c r="A30" s="4" t="inlineStr">
        <is>
          <t>Other consumables and services</t>
        </is>
      </c>
      <c r="D30" s="31">
        <f>(1+Assumptions!C$29)</f>
        <v/>
      </c>
      <c r="E30" s="31">
        <f>D30*(1+Assumptions!D$29)</f>
        <v/>
      </c>
      <c r="F30" s="31">
        <f>E30*(1+Assumptions!E$29)</f>
        <v/>
      </c>
      <c r="G30" s="31">
        <f>F30*(1+Assumptions!F$29)</f>
        <v/>
      </c>
      <c r="H30" s="31">
        <f>G30*(1+Assumptions!G$29)</f>
        <v/>
      </c>
    </row>
    <row r="31">
      <c r="A31" s="8" t="inlineStr">
        <is>
          <t>Blended cash-cost index</t>
        </is>
      </c>
      <c r="D31" s="37">
        <f>(Assumptions!$C$19*D26+Assumptions!$C$20*D27+Assumptions!$C$21*D28+Assumptions!$C$22*D29+Assumptions!$C$23*D30)/(Assumptions!$C$19+Assumptions!$C$20+Assumptions!$C$21+Assumptions!$C$22+Assumptions!$C$23)</f>
        <v/>
      </c>
      <c r="E31" s="37">
        <f>(Assumptions!$C$19*E26+Assumptions!$C$20*E27+Assumptions!$C$21*E28+Assumptions!$C$22*E29+Assumptions!$C$23*E30)/(Assumptions!$C$19+Assumptions!$C$20+Assumptions!$C$21+Assumptions!$C$22+Assumptions!$C$23)</f>
        <v/>
      </c>
      <c r="F31" s="37">
        <f>(Assumptions!$C$19*F26+Assumptions!$C$20*F27+Assumptions!$C$21*F28+Assumptions!$C$22*F29+Assumptions!$C$23*F30)/(Assumptions!$C$19+Assumptions!$C$20+Assumptions!$C$21+Assumptions!$C$22+Assumptions!$C$23)</f>
        <v/>
      </c>
      <c r="G31" s="37">
        <f>(Assumptions!$C$19*G26+Assumptions!$C$20*G27+Assumptions!$C$21*G28+Assumptions!$C$22*G29+Assumptions!$C$23*G30)/(Assumptions!$C$19+Assumptions!$C$20+Assumptions!$C$21+Assumptions!$C$22+Assumptions!$C$23)</f>
        <v/>
      </c>
      <c r="H31" s="37">
        <f>(Assumptions!$C$19*H26+Assumptions!$C$20*H27+Assumptions!$C$21*H28+Assumptions!$C$22*H29+Assumptions!$C$23*H30)/(Assumptions!$C$19+Assumptions!$C$20+Assumptions!$C$21+Assumptions!$C$22+Assumptions!$C$23)</f>
        <v/>
      </c>
    </row>
    <row r="32">
      <c r="A32" s="11" t="inlineStr">
        <is>
          <t>Cash cost per pack (EGP)</t>
        </is>
      </c>
      <c r="D32" s="12">
        <f>Assumptions!$C$85*D31</f>
        <v/>
      </c>
      <c r="E32" s="12">
        <f>Assumptions!$C$85*E31</f>
        <v/>
      </c>
      <c r="F32" s="12">
        <f>Assumptions!$C$85*F31</f>
        <v/>
      </c>
      <c r="G32" s="12">
        <f>Assumptions!$C$85*G31</f>
        <v/>
      </c>
      <c r="H32" s="12">
        <f>Assumptions!$C$85*H31</f>
        <v/>
      </c>
    </row>
    <row r="34">
      <c r="A34" s="8" t="inlineStr">
        <is>
          <t>PROPERTY ROLL-FORWARD (EGP mn)</t>
        </is>
      </c>
    </row>
    <row r="35">
      <c r="A35" s="4" t="inlineStr">
        <is>
          <t>Opening property, plant and equipment</t>
        </is>
      </c>
      <c r="D35" s="13">
        <f>Assumptions!$C$67</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5">
        <f>-Assumptions!$C$83</f>
        <v/>
      </c>
      <c r="E38" s="35">
        <f>-Assumptions!$C$83</f>
        <v/>
      </c>
      <c r="F38" s="35">
        <f>-Assumptions!$C$83</f>
        <v/>
      </c>
      <c r="G38" s="35">
        <f>-Assumptions!$C$83</f>
        <v/>
      </c>
      <c r="H38" s="35">
        <f>-Assumptions!$C$83</f>
        <v/>
      </c>
    </row>
    <row r="39">
      <c r="A39" s="8" t="inlineStr">
        <is>
          <t>Closing property, plant and equipment</t>
        </is>
      </c>
      <c r="D39" s="32">
        <f>D35+D36+D37</f>
        <v/>
      </c>
      <c r="E39" s="32">
        <f>E35+E36+E37</f>
        <v/>
      </c>
      <c r="F39" s="32">
        <f>F35+F36+F37</f>
        <v/>
      </c>
      <c r="G39" s="32">
        <f>G35+G36+G37</f>
        <v/>
      </c>
      <c r="H39" s="32">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Assumptions!$C$68</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2">
        <f>D42+D43</f>
        <v/>
      </c>
      <c r="E44" s="32">
        <f>E42+E43</f>
        <v/>
      </c>
      <c r="F44" s="32">
        <f>F42+F43</f>
        <v/>
      </c>
      <c r="G44" s="32">
        <f>G42+G43</f>
        <v/>
      </c>
      <c r="H44" s="32">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8">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((DCF!B35-Assumptions!C$55)*(1-Assumptions!$C$10)+Assumptions!$C$63-18.0)/Assumptions!$C$8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Assumptions!$C$76/Assumptions!$C$8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39" t="inlineStr">
        <is>
          <t>Year</t>
        </is>
      </c>
      <c r="B16" s="40" t="inlineStr">
        <is>
          <t>Year-end close</t>
        </is>
      </c>
      <c r="C16" s="40" t="inlineStr">
        <is>
          <t>Attributable EPS</t>
        </is>
      </c>
      <c r="D16" s="40" t="inlineStr">
        <is>
          <t>Price / earnings</t>
        </is>
      </c>
    </row>
    <row r="17">
      <c r="A17" s="4" t="inlineStr">
        <is>
          <t>2022</t>
        </is>
      </c>
      <c r="B17" s="16" t="n">
        <v>28.08</v>
      </c>
      <c r="C17" s="5">
        <f>Assumptions!$C$7/Assumptions!$C$4</f>
        <v/>
      </c>
      <c r="D17" s="41">
        <f>B17/C17</f>
        <v/>
      </c>
    </row>
    <row r="18">
      <c r="A18" s="4" t="inlineStr">
        <is>
          <t>2023</t>
        </is>
      </c>
      <c r="B18" s="16" t="n">
        <v>36.5</v>
      </c>
      <c r="C18" s="5">
        <f>'Income Statement'!B26/Assumptions!$C$5</f>
        <v/>
      </c>
      <c r="D18" s="41">
        <f>B18/C18</f>
        <v/>
      </c>
    </row>
    <row r="19">
      <c r="A19" s="4" t="inlineStr">
        <is>
          <t>2024</t>
        </is>
      </c>
      <c r="B19" s="16" t="n">
        <v>45.91</v>
      </c>
      <c r="C19" s="5">
        <f>'Income Statement'!C26/Assumptions!$C$5</f>
        <v/>
      </c>
      <c r="D19" s="41">
        <f>B19/C19</f>
        <v/>
      </c>
    </row>
    <row r="20">
      <c r="A20" s="4" t="inlineStr">
        <is>
          <t>2025</t>
        </is>
      </c>
      <c r="B20" s="16" t="n">
        <v>77.5</v>
      </c>
      <c r="C20" s="5">
        <f>'Income Statement'!D26/Assumptions!$C$6</f>
        <v/>
      </c>
      <c r="D20" s="41">
        <f>B20/C20</f>
        <v/>
      </c>
    </row>
    <row r="21">
      <c r="A21" s="11" t="inlineStr">
        <is>
          <t>Four-year mean</t>
        </is>
      </c>
      <c r="D21" s="42">
        <f>AVERAGE(D17:D20)</f>
        <v/>
      </c>
    </row>
    <row r="22">
      <c r="A22" s="11" t="inlineStr">
        <is>
          <t>Trailing multiple today — on the share count IN ISSUE</t>
        </is>
      </c>
      <c r="B22" s="5">
        <f>Assumptions!$C$3</f>
        <v/>
      </c>
      <c r="C22" s="5">
        <f>B12</f>
        <v/>
      </c>
      <c r="D22" s="42">
        <f>B22/C22</f>
        <v/>
      </c>
    </row>
    <row r="23">
      <c r="A23" s="11" t="inlineStr">
        <is>
          <t>Trailing multiple today — on the AUDITED WEIGHTED-AVERAGE count for FY2025</t>
        </is>
      </c>
      <c r="B23" s="5">
        <f>Assumptions!$C$3</f>
        <v/>
      </c>
      <c r="C23" s="5">
        <f>Assumptions!$C$76/162.016024</f>
        <v/>
      </c>
      <c r="D23" s="42">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1">
        <f>B7/(Assumptions!$C$109-Assumptions!$C$62)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1">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1">
        <f>Assumptions!$C$65*(0.10-Assumptions!$C$62)/(Assumptions!$C$109-Assumptions!$C$62)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3">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1-Assumptions!$C$62/0.21812391</f>
        <v/>
      </c>
    </row>
    <row r="37">
      <c r="A37" s="8" t="inlineStr">
        <is>
          <t>NORMALISED EARNINGS POWER VALUE</t>
        </is>
      </c>
      <c r="B37" s="9">
        <f>B35*B36/(Assumptions!$C$109-Assumptions!$C$62)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2">
        <f>B6*(1-B7)</f>
        <v/>
      </c>
      <c r="C8" s="32">
        <f>C6*(1-C7)</f>
        <v/>
      </c>
      <c r="D8" s="32">
        <f>D6*(1-D7)</f>
        <v/>
      </c>
      <c r="E8" s="32">
        <f>E6*(1-E7)</f>
        <v/>
      </c>
      <c r="F8" s="32">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2">
        <f>B8+B9+B10+B11</f>
        <v/>
      </c>
      <c r="C12" s="32">
        <f>C8+C9+C10+C11</f>
        <v/>
      </c>
      <c r="D12" s="32">
        <f>D8+D9+D10+D11</f>
        <v/>
      </c>
      <c r="E12" s="32">
        <f>E8+E9+E10+E11</f>
        <v/>
      </c>
      <c r="F12" s="32">
        <f>F8+F9+F10+F11</f>
        <v/>
      </c>
    </row>
    <row r="13">
      <c r="A13" s="4" t="inlineStr">
        <is>
          <t>Discount rate</t>
        </is>
      </c>
      <c r="B13" s="15">
        <f>Assumptions!C$114</f>
        <v/>
      </c>
      <c r="C13" s="15">
        <f>Assumptions!D$114</f>
        <v/>
      </c>
      <c r="D13" s="15">
        <f>Assumptions!E$114</f>
        <v/>
      </c>
      <c r="E13" s="15">
        <f>Assumptions!F$114</f>
        <v/>
      </c>
      <c r="F13" s="15">
        <f>Assumptions!G$114</f>
        <v/>
      </c>
    </row>
    <row r="14">
      <c r="A14" s="4" t="inlineStr">
        <is>
          <t>Discount factor</t>
        </is>
      </c>
      <c r="B14" s="31">
        <f>Assumptions!C$115</f>
        <v/>
      </c>
      <c r="C14" s="31">
        <f>Assumptions!D$115</f>
        <v/>
      </c>
      <c r="D14" s="31">
        <f>Assumptions!E$115</f>
        <v/>
      </c>
      <c r="E14" s="31">
        <f>Assumptions!F$115</f>
        <v/>
      </c>
      <c r="F14" s="31">
        <f>Assumptions!G$115</f>
        <v/>
      </c>
    </row>
    <row r="15">
      <c r="A15" s="8" t="inlineStr">
        <is>
          <t>PRESENT VALUE OF FREE CASH FLOW TO THE FIRM</t>
        </is>
      </c>
      <c r="B15" s="32">
        <f>B12*B14</f>
        <v/>
      </c>
      <c r="C15" s="32">
        <f>C12*C14</f>
        <v/>
      </c>
      <c r="D15" s="32">
        <f>D12*D14</f>
        <v/>
      </c>
      <c r="E15" s="32">
        <f>E12*E14</f>
        <v/>
      </c>
      <c r="F15" s="32">
        <f>F12*F14</f>
        <v/>
      </c>
    </row>
    <row r="17">
      <c r="A17" s="8" t="inlineStr">
        <is>
          <t>TERMINAL BLOCK</t>
        </is>
      </c>
    </row>
    <row r="18">
      <c r="A18" s="4" t="inlineStr">
        <is>
          <t>Invested capital at FY2030E — property, construction, working capital and intangibles</t>
        </is>
      </c>
      <c r="B18" s="13">
        <f>'Balance Sheet'!I2+'Balance Sheet'!I3+'Balance Sheet'!I19+Assumptions!$C$82</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 final-year NOPAT x (1 + growth), less the depreciation the parked construction balance has never been charged</t>
        </is>
      </c>
      <c r="B21" s="13">
        <f>F8*(1+Assumptions!$C$62)-B20*(1-Assumptions!$C$10)</f>
        <v/>
      </c>
    </row>
    <row r="22">
      <c r="A22" s="4" t="inlineStr">
        <is>
          <t>Terminal reinvestment rate = growth / the return the model itself earns in FY2030E</t>
        </is>
      </c>
      <c r="B22" s="6">
        <f>Assumptions!$C$62/B19</f>
        <v/>
      </c>
    </row>
    <row r="23">
      <c r="A23" s="4" t="inlineStr">
        <is>
          <t>Terminal free cash flow = terminal NOPAT x (1 less reinvestment)</t>
        </is>
      </c>
      <c r="B23" s="13">
        <f>B21*(1-B22)</f>
        <v/>
      </c>
    </row>
    <row r="24">
      <c r="A24" s="4" t="inlineStr">
        <is>
          <t>Terminal discount rate</t>
        </is>
      </c>
      <c r="B24" s="15">
        <f>Assumptions!$C$112</f>
        <v/>
      </c>
    </row>
    <row r="25">
      <c r="A25" s="4" t="inlineStr">
        <is>
          <t>Terminal growth</t>
        </is>
      </c>
      <c r="B25" s="6">
        <f>Assumptions!$C$62</f>
        <v/>
      </c>
    </row>
    <row r="26">
      <c r="A26" s="11" t="inlineStr">
        <is>
          <t>TERMINAL VALUE</t>
        </is>
      </c>
      <c r="B26" s="28">
        <f>B23/(B24-B25)</f>
        <v/>
      </c>
    </row>
    <row r="27">
      <c r="A27" s="11" t="inlineStr">
        <is>
          <t>Present value of the terminal value</t>
        </is>
      </c>
      <c r="B27" s="28">
        <f>B26*F14</f>
        <v/>
      </c>
    </row>
    <row r="29">
      <c r="A29" s="11" t="inlineStr">
        <is>
          <t>Sum of the present values of forecast free cash flow</t>
        </is>
      </c>
      <c r="B29" s="28">
        <f>SUM(B15:F15)</f>
        <v/>
      </c>
    </row>
    <row r="30">
      <c r="A30" s="8" t="inlineStr">
        <is>
          <t>CORE ENTERPRISE VALUE</t>
        </is>
      </c>
      <c r="B30" s="32">
        <f>B29+B27</f>
        <v/>
      </c>
    </row>
    <row r="31">
      <c r="A31" s="8" t="inlineStr">
        <is>
          <t>Terminal value as a percentage of CORE enterprise value</t>
        </is>
      </c>
      <c r="B31" s="10">
        <f>B27/B30</f>
        <v/>
      </c>
    </row>
    <row r="32">
      <c r="A32" s="11" t="inlineStr">
        <is>
          <t>Terminal value as a percentage of TOTAL enterprise value (both are published)</t>
        </is>
      </c>
      <c r="B32" s="29">
        <f>B27/(B30+Assumptions!$C$63*Assumptions!$C$64+Assumptions!$C$80+Assumptions!$C$81)</f>
        <v/>
      </c>
    </row>
    <row r="34">
      <c r="A34" s="8" t="inlineStr">
        <is>
          <t>FRAME B — THE SAME MODEL WITH THE CONTESTED JUDGEMENT RESOLVED THE OTHER WAY</t>
        </is>
      </c>
    </row>
    <row r="35">
      <c r="A35" s="4" t="inlineStr">
        <is>
          <t>EBIT on Frame B = Frame A EBIT plus the difference in the provision charge</t>
        </is>
      </c>
      <c r="B35" s="13">
        <f>B6+('Income Statement'!E12-'Income Statement'!E11)</f>
        <v/>
      </c>
      <c r="C35" s="13">
        <f>C6+('Income Statement'!F12-'Income Statement'!F11)</f>
        <v/>
      </c>
      <c r="D35" s="13">
        <f>D6+('Income Statement'!G12-'Income Statement'!G11)</f>
        <v/>
      </c>
      <c r="E35" s="13">
        <f>E6+('Income Statement'!H12-'Income Statement'!H11)</f>
        <v/>
      </c>
      <c r="F35" s="13">
        <f>F6+('Income Statement'!I12-'Income Statement'!I11)</f>
        <v/>
      </c>
    </row>
    <row r="36">
      <c r="A36" s="4" t="inlineStr">
        <is>
          <t>NOPAT on Frame B</t>
        </is>
      </c>
      <c r="B36" s="13">
        <f>B35*(1-B7)</f>
        <v/>
      </c>
      <c r="C36" s="13">
        <f>C35*(1-C7)</f>
        <v/>
      </c>
      <c r="D36" s="13">
        <f>D35*(1-D7)</f>
        <v/>
      </c>
      <c r="E36" s="13">
        <f>E35*(1-E7)</f>
        <v/>
      </c>
      <c r="F36" s="13">
        <f>F35*(1-F7)</f>
        <v/>
      </c>
    </row>
    <row r="37">
      <c r="A37" s="4" t="inlineStr">
        <is>
          <t>Free cash flow to the firm on Frame B</t>
        </is>
      </c>
      <c r="B37" s="13">
        <f>B36+B9+B10+B11</f>
        <v/>
      </c>
      <c r="C37" s="13">
        <f>C36+C9+C10+C11</f>
        <v/>
      </c>
      <c r="D37" s="13">
        <f>D36+D9+D10+D11</f>
        <v/>
      </c>
      <c r="E37" s="13">
        <f>E36+E9+E10+E11</f>
        <v/>
      </c>
      <c r="F37" s="13">
        <f>F36+F9+F10+F11</f>
        <v/>
      </c>
    </row>
    <row r="38">
      <c r="A38" s="4" t="inlineStr">
        <is>
          <t>Present value of free cash flow on Frame B</t>
        </is>
      </c>
      <c r="B38" s="13">
        <f>B37*B14</f>
        <v/>
      </c>
      <c r="C38" s="13">
        <f>C37*C14</f>
        <v/>
      </c>
      <c r="D38" s="13">
        <f>D37*D14</f>
        <v/>
      </c>
      <c r="E38" s="13">
        <f>E37*E14</f>
        <v/>
      </c>
      <c r="F38" s="13">
        <f>F37*F14</f>
        <v/>
      </c>
    </row>
    <row r="39">
      <c r="A39" s="4" t="inlineStr">
        <is>
          <t>Return on invested capital, FY2030E — Frame B's own</t>
        </is>
      </c>
      <c r="B39" s="15">
        <f>F36/B18</f>
        <v/>
      </c>
    </row>
    <row r="40">
      <c r="A40" s="4" t="inlineStr">
        <is>
          <t>Terminal value on Frame B</t>
        </is>
      </c>
      <c r="B40" s="13">
        <f>(F36*(1+Assumptions!$C$62)-B20*(1-Assumptions!$C$10))*(1-Assumptions!$C$62/B39)/(B24-B25)</f>
        <v/>
      </c>
    </row>
    <row r="41">
      <c r="A41" s="11" t="inlineStr">
        <is>
          <t>Core enterprise value on Frame B</t>
        </is>
      </c>
      <c r="B41" s="28">
        <f>SUM(B38:F38)+B40*F14</f>
        <v/>
      </c>
    </row>
    <row r="42">
      <c r="A42" s="8" t="inlineStr">
        <is>
          <t>VALUE PER SHARE ON FRAME B</t>
        </is>
      </c>
      <c r="B42" s="9">
        <f>(B41+Assumptions!$C$63*Assumptions!$C$64+Assumptions!$C$80+Assumptions!$C$81-Assumptions!$C$103-Assumptions!$C$79)/Assumptions!$C$8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4" t="n">
        <v>5231.665571</v>
      </c>
      <c r="C2" s="44" t="n">
        <v>7590.545643</v>
      </c>
      <c r="D2" s="44" t="n">
        <v>9441.379305</v>
      </c>
      <c r="E2" s="45">
        <f>Segments!D15</f>
        <v/>
      </c>
      <c r="F2" s="45">
        <f>Segments!E15</f>
        <v/>
      </c>
      <c r="G2" s="45">
        <f>Segments!F15</f>
        <v/>
      </c>
      <c r="H2" s="45">
        <f>Segments!G15</f>
        <v/>
      </c>
      <c r="I2" s="45">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Segments!D14*Assumptions!$C$85*Segments!D$31</f>
        <v/>
      </c>
      <c r="F4" s="13">
        <f>Segments!E14*Assumptions!$C$85*Segments!E$31</f>
        <v/>
      </c>
      <c r="G4" s="13">
        <f>Segments!F14*Assumptions!$C$85*Segments!F$31</f>
        <v/>
      </c>
      <c r="H4" s="13">
        <f>Segments!G14*Assumptions!$C$85*Segments!G$31</f>
        <v/>
      </c>
      <c r="I4" s="13">
        <f>Segments!H14*Assumptions!$C$85*Segments!H$31</f>
        <v/>
      </c>
    </row>
    <row r="5">
      <c r="A5" s="7" t="inlineStr">
        <is>
          <t xml:space="preserve">   of which depreciation charged to production</t>
        </is>
      </c>
      <c r="B5" s="19" t="n">
        <v>0</v>
      </c>
      <c r="C5" s="19" t="n">
        <v>0</v>
      </c>
      <c r="D5" s="19" t="n">
        <v>93.49755999999999</v>
      </c>
      <c r="E5" s="13">
        <f>Segments!D$41*Assumptions!$C$84</f>
        <v/>
      </c>
      <c r="F5" s="13">
        <f>Segments!E$41*Assumptions!$C$84</f>
        <v/>
      </c>
      <c r="G5" s="13">
        <f>Segments!F$41*Assumptions!$C$84</f>
        <v/>
      </c>
      <c r="H5" s="13">
        <f>Segments!G$41*Assumptions!$C$84</f>
        <v/>
      </c>
      <c r="I5" s="13">
        <f>Segments!H$41*Assumptions!$C$84</f>
        <v/>
      </c>
    </row>
    <row r="6">
      <c r="A6" s="8" t="inlineStr">
        <is>
          <t>Gross profit</t>
        </is>
      </c>
      <c r="B6" s="32">
        <f>B2+B3</f>
        <v/>
      </c>
      <c r="C6" s="32">
        <f>C2+C3</f>
        <v/>
      </c>
      <c r="D6" s="32">
        <f>D2+D3</f>
        <v/>
      </c>
      <c r="E6" s="32">
        <f>E2+E3</f>
        <v/>
      </c>
      <c r="F6" s="32">
        <f>F2+F3</f>
        <v/>
      </c>
      <c r="G6" s="32">
        <f>G2+G3</f>
        <v/>
      </c>
      <c r="H6" s="32">
        <f>H2+H3</f>
        <v/>
      </c>
      <c r="I6" s="32">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5">
        <f>-Segments!D41*(1-Assumptions!$C$84)</f>
        <v/>
      </c>
      <c r="F14" s="35">
        <f>-Segments!E41*(1-Assumptions!$C$84)</f>
        <v/>
      </c>
      <c r="G14" s="35">
        <f>-Segments!F41*(1-Assumptions!$C$84)</f>
        <v/>
      </c>
      <c r="H14" s="35">
        <f>-Segments!G41*(1-Assumptions!$C$84)</f>
        <v/>
      </c>
      <c r="I14" s="35">
        <f>-Segments!H41*(1-Assumptions!$C$84)</f>
        <v/>
      </c>
    </row>
    <row r="15">
      <c r="A15" s="8" t="inlineStr">
        <is>
          <t>Operating profit (EBIT)</t>
        </is>
      </c>
      <c r="B15" s="32">
        <f>B6+B8+B9+B10+B11+B13+B14</f>
        <v/>
      </c>
      <c r="C15" s="32">
        <f>C6+C8+C9+C10+C11+C13+C14</f>
        <v/>
      </c>
      <c r="D15" s="32">
        <f>D6+D8+D9+D10+D11+D13+D14</f>
        <v/>
      </c>
      <c r="E15" s="32">
        <f>E6+E8+E9+E10+E11+E13+E14</f>
        <v/>
      </c>
      <c r="F15" s="32">
        <f>F6+F8+F9+F10+F11+F13+F14</f>
        <v/>
      </c>
      <c r="G15" s="32">
        <f>G6+G8+G9+G10+G11+G13+G14</f>
        <v/>
      </c>
      <c r="H15" s="32">
        <f>H6+H8+H9+H10+H11+H13+H14</f>
        <v/>
      </c>
      <c r="I15" s="32">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2">
        <f>B15+B18+B19+B21+B20</f>
        <v/>
      </c>
      <c r="C22" s="32">
        <f>C15+C18+C19+C21+C20</f>
        <v/>
      </c>
      <c r="D22" s="32">
        <f>D15+D18+D19+D21+D20</f>
        <v/>
      </c>
      <c r="E22" s="32">
        <f>E15+E18+E19+E21+E20</f>
        <v/>
      </c>
      <c r="F22" s="32">
        <f>F15+F18+F19+F21+F20</f>
        <v/>
      </c>
      <c r="G22" s="32">
        <f>G15+G18+G19+G21+G20</f>
        <v/>
      </c>
      <c r="H22" s="32">
        <f>H15+H18+H19+H21+H20</f>
        <v/>
      </c>
      <c r="I22" s="32">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2">
        <f>B22+B23</f>
        <v/>
      </c>
      <c r="C24" s="32">
        <f>C22+C23</f>
        <v/>
      </c>
      <c r="D24" s="32">
        <f>D22+D23</f>
        <v/>
      </c>
      <c r="E24" s="32">
        <f>E22+E23</f>
        <v/>
      </c>
      <c r="F24" s="32">
        <f>F22+F23</f>
        <v/>
      </c>
      <c r="G24" s="32">
        <f>G22+G23</f>
        <v/>
      </c>
      <c r="H24" s="32">
        <f>H22+H23</f>
        <v/>
      </c>
      <c r="I24" s="32">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2">
        <f>B24+B25</f>
        <v/>
      </c>
      <c r="C26" s="32">
        <f>C24+C25</f>
        <v/>
      </c>
      <c r="D26" s="32">
        <f>D24+D25</f>
        <v/>
      </c>
      <c r="E26" s="32">
        <f>E24+E25</f>
        <v/>
      </c>
      <c r="F26" s="32">
        <f>F24+F25</f>
        <v/>
      </c>
      <c r="G26" s="32">
        <f>G24+G25</f>
        <v/>
      </c>
      <c r="H26" s="32">
        <f>H24+H25</f>
        <v/>
      </c>
      <c r="I26" s="32">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Assumptions!$C$67</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Assumptions!$C$68</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Assumptions!$C$69</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Assumptions!$C$70</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Assumptions!$C$71</f>
        <v/>
      </c>
      <c r="E7" s="13">
        <f>'Income Statement'!E2/9441.379305*Assumptions!$C$71</f>
        <v/>
      </c>
      <c r="F7" s="13">
        <f>'Income Statement'!F2/9441.379305*Assumptions!$C$71</f>
        <v/>
      </c>
      <c r="G7" s="13">
        <f>'Income Statement'!G2/9441.379305*Assumptions!$C$71</f>
        <v/>
      </c>
      <c r="H7" s="13">
        <f>'Income Statement'!H2/9441.379305*Assumptions!$C$71</f>
        <v/>
      </c>
      <c r="I7" s="13">
        <f>'Income Statement'!I2/9441.379305*Assumptions!$C$71</f>
        <v/>
      </c>
    </row>
    <row r="8">
      <c r="A8" s="4" t="inlineStr">
        <is>
          <t>Cash and bank balances</t>
        </is>
      </c>
      <c r="B8" s="19" t="n">
        <v>675.798245</v>
      </c>
      <c r="C8" s="19" t="n">
        <v>1295.38686</v>
      </c>
      <c r="D8" s="13">
        <f>Assumptions!$C$74</f>
        <v/>
      </c>
      <c r="E8" s="13">
        <f>Assumptions!$C$74</f>
        <v/>
      </c>
      <c r="F8" s="13">
        <f>Assumptions!$C$74</f>
        <v/>
      </c>
      <c r="G8" s="13">
        <f>Assumptions!$C$74</f>
        <v/>
      </c>
      <c r="H8" s="13">
        <f>Assumptions!$C$74</f>
        <v/>
      </c>
      <c r="I8" s="13">
        <f>Assumptions!$C$74</f>
        <v/>
      </c>
    </row>
    <row r="9">
      <c r="A9" s="8" t="inlineStr">
        <is>
          <t>TOTAL ASSETS</t>
        </is>
      </c>
      <c r="B9" s="32">
        <f>SUM(B2:B8)</f>
        <v/>
      </c>
      <c r="C9" s="32">
        <f>SUM(C2:C8)</f>
        <v/>
      </c>
      <c r="D9" s="32">
        <f>SUM(D2:D8)</f>
        <v/>
      </c>
      <c r="E9" s="32">
        <f>SUM(E2:E8)</f>
        <v/>
      </c>
      <c r="F9" s="32">
        <f>SUM(F2:F8)</f>
        <v/>
      </c>
      <c r="G9" s="32">
        <f>SUM(G2:G8)</f>
        <v/>
      </c>
      <c r="H9" s="32">
        <f>SUM(H2:H8)</f>
        <v/>
      </c>
      <c r="I9" s="32">
        <f>SUM(I2:I8)</f>
        <v/>
      </c>
    </row>
    <row r="10">
      <c r="A10" s="4" t="inlineStr">
        <is>
          <t>Trade and notes payable</t>
        </is>
      </c>
      <c r="B10" s="19" t="n">
        <v>176.353891</v>
      </c>
      <c r="C10" s="19" t="n">
        <v>410.391619</v>
      </c>
      <c r="D10" s="13">
        <f>Assumptions!$C$72</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Assumptions!$C$73</f>
        <v/>
      </c>
      <c r="E11" s="13">
        <f>'Income Statement'!E2/9441.379305*Assumptions!$C$73</f>
        <v/>
      </c>
      <c r="F11" s="13">
        <f>'Income Statement'!F2/9441.379305*Assumptions!$C$73</f>
        <v/>
      </c>
      <c r="G11" s="13">
        <f>'Income Statement'!G2/9441.379305*Assumptions!$C$73</f>
        <v/>
      </c>
      <c r="H11" s="13">
        <f>'Income Statement'!H2/9441.379305*Assumptions!$C$73</f>
        <v/>
      </c>
      <c r="I11" s="13">
        <f>'Income Statement'!I2/9441.379305*Assumptions!$C$73</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Assumptions!$C$75</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Assumptions!$C$77</f>
        <v/>
      </c>
      <c r="E14" s="28">
        <f>Assumptions!$C$77+'Income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Assumptions!$C$78</f>
        <v/>
      </c>
      <c r="E15" s="13">
        <f>Assumptions!$C$79</f>
        <v/>
      </c>
      <c r="F15" s="13">
        <f>Assumptions!$C$79</f>
        <v/>
      </c>
      <c r="G15" s="13">
        <f>Assumptions!$C$79</f>
        <v/>
      </c>
      <c r="H15" s="13">
        <f>Assumptions!$C$79</f>
        <v/>
      </c>
      <c r="I15" s="13">
        <f>Assumptions!$C$79</f>
        <v/>
      </c>
    </row>
    <row r="16">
      <c r="A16" s="8" t="inlineStr">
        <is>
          <t>TOTAL LIABILITIES AND EQUITY</t>
        </is>
      </c>
      <c r="B16" s="32">
        <f>B10+B11+B12+B13+B14+B15</f>
        <v/>
      </c>
      <c r="C16" s="32">
        <f>C10+C11+C12+C13+C14+C15</f>
        <v/>
      </c>
      <c r="D16" s="32">
        <f>D10+D11+D12+D13+D14+D15</f>
        <v/>
      </c>
      <c r="E16" s="32">
        <f>E10+E11+E12+E13+E14+E15</f>
        <v/>
      </c>
      <c r="F16" s="32">
        <f>F10+F11+F12+F13+F14+F15</f>
        <v/>
      </c>
      <c r="G16" s="32">
        <f>G10+G11+G12+G13+G14+G15</f>
        <v/>
      </c>
      <c r="H16" s="32">
        <f>H10+H11+H12+H13+H14+H15</f>
        <v/>
      </c>
      <c r="I16" s="32">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2">
        <f>B13-B8</f>
        <v/>
      </c>
      <c r="C18" s="32">
        <f>C13-C8</f>
        <v/>
      </c>
      <c r="D18" s="32">
        <f>D13-D8</f>
        <v/>
      </c>
      <c r="E18" s="32">
        <f>E13-E8</f>
        <v/>
      </c>
      <c r="F18" s="32">
        <f>F13-F8</f>
        <v/>
      </c>
      <c r="G18" s="32">
        <f>G13-G8</f>
        <v/>
      </c>
      <c r="H18" s="32">
        <f>H13-H8</f>
        <v/>
      </c>
      <c r="I18" s="32">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2">
        <f>B2+B3</f>
        <v/>
      </c>
      <c r="C4" s="32">
        <f>C2+C3</f>
        <v/>
      </c>
      <c r="D4" s="32">
        <f>D2+D3</f>
        <v/>
      </c>
      <c r="E4" s="32">
        <f>E2+E3</f>
        <v/>
      </c>
      <c r="F4" s="32">
        <f>F2+F3</f>
        <v/>
      </c>
      <c r="G4" s="32">
        <f>G2+G3</f>
        <v/>
      </c>
      <c r="H4" s="32">
        <f>H2+H3</f>
        <v/>
      </c>
      <c r="I4" s="32">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2">
        <f>E4+E5+E6+E7</f>
        <v/>
      </c>
      <c r="F8" s="32">
        <f>F4+F5+F6+F7</f>
        <v/>
      </c>
      <c r="G8" s="32">
        <f>G4+G5+G6+G7</f>
        <v/>
      </c>
      <c r="H8" s="32">
        <f>H4+H5+H6+H7</f>
        <v/>
      </c>
      <c r="I8" s="32">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6" t="n"/>
      <c r="C2" s="46" t="n"/>
      <c r="D2" s="47" t="n"/>
    </row>
    <row r="3">
      <c r="A3" s="4" t="inlineStr">
        <is>
          <t>Anchor price (EGP)</t>
        </is>
      </c>
      <c r="B3" s="16" t="n">
        <v>130.05</v>
      </c>
      <c r="C3" s="16" t="n">
        <v>130.05</v>
      </c>
      <c r="D3" s="7" t="inlineStr">
        <is>
          <t>Anchored 2026-08-06</t>
        </is>
      </c>
    </row>
    <row r="4">
      <c r="A4" s="4" t="inlineStr">
        <is>
          <t>Check date</t>
        </is>
      </c>
      <c r="B4" s="48" t="inlineStr">
        <is>
          <t>2026-09-06</t>
        </is>
      </c>
      <c r="C4" s="48"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39" t="inlineStr">
        <is>
          <t>Window set</t>
        </is>
      </c>
      <c r="B18" s="40" t="inlineStr">
        <is>
          <t>Windows</t>
        </is>
      </c>
      <c r="C18" s="40" t="inlineStr">
        <is>
          <t>Skill against the benchmark</t>
        </is>
      </c>
      <c r="D18" s="40" t="inlineStr">
        <is>
          <t>Probability-transform uniformity</t>
        </is>
      </c>
    </row>
    <row r="19">
      <c r="A19" s="4" t="inlineStr">
        <is>
          <t>Full cleaned history (2012-05-23 to 2026-03-24)</t>
        </is>
      </c>
      <c r="B19" s="19" t="n">
        <v>56</v>
      </c>
      <c r="C19" s="49" t="n">
        <v>-0.01771436655010961</v>
      </c>
      <c r="D19" s="7" t="inlineStr">
        <is>
          <t>chi-square p = 0.166, Kolmogorov-Smirnov p = 0.478 — roughly uniform</t>
        </is>
      </c>
    </row>
    <row r="20">
      <c r="A20" s="4" t="inlineStr">
        <is>
          <t>Last five years of origins (2021-09-19 to 2026-03-24)</t>
        </is>
      </c>
      <c r="B20" s="19" t="n">
        <v>19</v>
      </c>
      <c r="C20" s="49" t="n">
        <v>0.002147922911274858</v>
      </c>
      <c r="D20" s="7" t="inlineStr">
        <is>
          <t>chi-square p = 0.447, Kolmogorov-Smirnov p = 0.676 — roughly uniform</t>
        </is>
      </c>
    </row>
    <row r="21">
      <c r="A21" s="4" t="inlineStr">
        <is>
          <t>Post-break window set (2022-06-20 to 2026-03-24)</t>
        </is>
      </c>
      <c r="B21" s="19" t="n">
        <v>16</v>
      </c>
      <c r="C21" s="49"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6" t="n"/>
      <c r="C2" s="46" t="n"/>
      <c r="D2" s="46" t="n"/>
      <c r="E2" s="46" t="n"/>
      <c r="F2" s="47" t="n"/>
    </row>
    <row r="4">
      <c r="A4" s="3" t="inlineStr">
        <is>
          <t>Shift in the cost of equity (basis points)</t>
        </is>
      </c>
      <c r="B4" s="50" t="n">
        <v>-200</v>
      </c>
      <c r="C4" s="50" t="n">
        <v>-100</v>
      </c>
      <c r="D4" s="50" t="n">
        <v>0</v>
      </c>
      <c r="E4" s="50" t="n">
        <v>100</v>
      </c>
      <c r="F4" s="50" t="n">
        <v>200</v>
      </c>
    </row>
    <row r="5">
      <c r="A5" s="4" t="inlineStr">
        <is>
          <t>Value per share</t>
        </is>
      </c>
      <c r="B5" s="16" t="n">
        <v>77.29589290051553</v>
      </c>
      <c r="C5" s="16" t="n">
        <v>66.74301308250047</v>
      </c>
      <c r="D5" s="16" t="n">
        <v>58.04356316438152</v>
      </c>
      <c r="E5" s="16" t="n">
        <v>50.75027515072584</v>
      </c>
      <c r="F5" s="16" t="n">
        <v>44.54905891123189</v>
      </c>
    </row>
    <row r="7">
      <c r="A7" s="3" t="inlineStr">
        <is>
          <t>Terminal growth</t>
        </is>
      </c>
      <c r="B7" s="17" t="n">
        <v>0.03</v>
      </c>
      <c r="C7" s="17" t="n">
        <v>0.04</v>
      </c>
      <c r="D7" s="17" t="n">
        <v>0.05</v>
      </c>
      <c r="E7" s="17" t="n">
        <v>0.06</v>
      </c>
      <c r="F7" s="17" t="n">
        <v>0.07000000000000001</v>
      </c>
    </row>
    <row r="8">
      <c r="A8" s="4" t="inlineStr">
        <is>
          <t>Value per share</t>
        </is>
      </c>
      <c r="B8" s="16" t="n">
        <v>54.19932760616772</v>
      </c>
      <c r="C8" s="16" t="n">
        <v>55.97105249260597</v>
      </c>
      <c r="D8" s="16" t="n">
        <v>58.04356316438152</v>
      </c>
      <c r="E8" s="16" t="n">
        <v>60.53620600076448</v>
      </c>
      <c r="F8" s="16" t="n">
        <v>63.64109038776664</v>
      </c>
    </row>
    <row r="10">
      <c r="A10" s="3" t="inlineStr">
        <is>
          <t>Beta</t>
        </is>
      </c>
      <c r="B10" s="51" t="n">
        <v>0.45</v>
      </c>
      <c r="C10" s="51" t="n">
        <v>0.55</v>
      </c>
      <c r="D10" s="51" t="n">
        <v>0.629</v>
      </c>
      <c r="E10" s="51" t="n">
        <v>0.75</v>
      </c>
      <c r="F10" s="51" t="n">
        <v>0.9</v>
      </c>
    </row>
    <row r="11">
      <c r="A11" s="4" t="inlineStr">
        <is>
          <t>Value per share</t>
        </is>
      </c>
      <c r="B11" s="16" t="n">
        <v>69.84088801144183</v>
      </c>
      <c r="C11" s="16" t="n">
        <v>62.91034125538415</v>
      </c>
      <c r="D11" s="16" t="n">
        <v>58.04356316438152</v>
      </c>
      <c r="E11" s="16" t="n">
        <v>51.4521683412368</v>
      </c>
      <c r="F11" s="16" t="n">
        <v>44.46342676007655</v>
      </c>
    </row>
    <row r="13">
      <c r="A13" s="3" t="inlineStr">
        <is>
          <t>Provision charge as a share of revenue</t>
        </is>
      </c>
      <c r="B13" s="21" t="n">
        <v>0.025</v>
      </c>
      <c r="C13" s="21" t="n">
        <v>0.035</v>
      </c>
      <c r="D13" s="21" t="n">
        <v>0.0525</v>
      </c>
      <c r="E13" s="21" t="n">
        <v>0.065</v>
      </c>
      <c r="F13" s="21" t="n">
        <v>0.08</v>
      </c>
    </row>
    <row r="14">
      <c r="A14" s="4" t="inlineStr">
        <is>
          <t>Value per share</t>
        </is>
      </c>
      <c r="B14" s="16" t="n">
        <v>74.64279440856899</v>
      </c>
      <c r="C14" s="16" t="n">
        <v>68.60284325666746</v>
      </c>
      <c r="D14" s="16" t="n">
        <v>58.04356316438152</v>
      </c>
      <c r="E14" s="16" t="n">
        <v>50.51108196144131</v>
      </c>
      <c r="F14" s="16" t="n">
        <v>41.48545024215522</v>
      </c>
    </row>
    <row r="16">
      <c r="A16" s="3" t="inlineStr">
        <is>
          <t>Exchange-rate path, scaled</t>
        </is>
      </c>
      <c r="B16" s="24" t="n">
        <v>0.9</v>
      </c>
      <c r="C16" s="24" t="n">
        <v>0.95</v>
      </c>
      <c r="D16" s="24" t="n">
        <v>1</v>
      </c>
      <c r="E16" s="24" t="n">
        <v>1.05</v>
      </c>
      <c r="F16" s="24" t="n">
        <v>1.1</v>
      </c>
    </row>
    <row r="17">
      <c r="A17" s="4" t="inlineStr">
        <is>
          <t>Value per share</t>
        </is>
      </c>
      <c r="B17" s="16" t="n">
        <v>68.94051402078955</v>
      </c>
      <c r="C17" s="16" t="n">
        <v>63.48963636605803</v>
      </c>
      <c r="D17" s="16" t="n">
        <v>58.04356316438152</v>
      </c>
      <c r="E17" s="16" t="n">
        <v>52.60271140089909</v>
      </c>
      <c r="F17" s="16" t="n">
        <v>47.16754775265088</v>
      </c>
    </row>
    <row r="19">
      <c r="A19" s="3" t="inlineStr">
        <is>
          <t>Shift in domestic volume growth</t>
        </is>
      </c>
      <c r="B19" s="52" t="n">
        <v>-0.04</v>
      </c>
      <c r="C19" s="52" t="n">
        <v>-0.02</v>
      </c>
      <c r="D19" s="52" t="n">
        <v>0</v>
      </c>
      <c r="E19" s="52" t="n">
        <v>0.02</v>
      </c>
      <c r="F19" s="52" t="n">
        <v>0.04</v>
      </c>
    </row>
    <row r="20">
      <c r="A20" s="4" t="inlineStr">
        <is>
          <t>Value per share</t>
        </is>
      </c>
      <c r="B20" s="16" t="n">
        <v>56.50638310547686</v>
      </c>
      <c r="C20" s="16" t="n">
        <v>57.23625199428405</v>
      </c>
      <c r="D20" s="16" t="n">
        <v>58.04356316438152</v>
      </c>
      <c r="E20" s="16" t="n">
        <v>58.93310192687731</v>
      </c>
      <c r="F20" s="16" t="n">
        <v>59.90984223453741</v>
      </c>
    </row>
    <row r="22">
      <c r="A22" s="3" t="inlineStr">
        <is>
          <t>Depreciation rate</t>
        </is>
      </c>
      <c r="B22" s="21" t="n">
        <v>0.045</v>
      </c>
      <c r="C22" s="21" t="n">
        <v>0.055</v>
      </c>
      <c r="D22" s="21" t="n">
        <v>0.062</v>
      </c>
      <c r="E22" s="21" t="n">
        <v>0.07000000000000001</v>
      </c>
      <c r="F22" s="21" t="n">
        <v>0.08</v>
      </c>
    </row>
    <row r="23">
      <c r="A23" s="4" t="inlineStr">
        <is>
          <t>Value per share</t>
        </is>
      </c>
      <c r="B23" s="16" t="n">
        <v>60.21623559180343</v>
      </c>
      <c r="C23" s="16" t="n">
        <v>58.90647160099854</v>
      </c>
      <c r="D23" s="16" t="n">
        <v>58.04356316438152</v>
      </c>
      <c r="E23" s="16" t="n">
        <v>57.10944765905171</v>
      </c>
      <c r="F23" s="16" t="n">
        <v>56.01651400062947</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69.40058103952305</v>
      </c>
      <c r="C26" s="16" t="n">
        <v>72.92267594034055</v>
      </c>
      <c r="D26" s="16" t="n">
        <v>77.29589290051553</v>
      </c>
      <c r="E26" s="16" t="n">
        <v>82.94134866765025</v>
      </c>
      <c r="F26" s="16" t="n">
        <v>90.61284023318153</v>
      </c>
    </row>
    <row r="27">
      <c r="A27" s="4" t="inlineStr">
        <is>
          <t>-100 basis points</t>
        </is>
      </c>
      <c r="B27" s="16" t="n">
        <v>61.20967522657672</v>
      </c>
      <c r="C27" s="16" t="n">
        <v>63.71911223049474</v>
      </c>
      <c r="D27" s="16" t="n">
        <v>66.74301308250047</v>
      </c>
      <c r="E27" s="16" t="n">
        <v>70.5079448271878</v>
      </c>
      <c r="F27" s="16" t="n">
        <v>75.39640303480886</v>
      </c>
    </row>
    <row r="28">
      <c r="A28" s="4" t="inlineStr">
        <is>
          <t>+0 basis points</t>
        </is>
      </c>
      <c r="B28" s="16" t="n">
        <v>54.19932760616772</v>
      </c>
      <c r="C28" s="16" t="n">
        <v>55.97105249260597</v>
      </c>
      <c r="D28" s="16" t="n">
        <v>58.04356316438152</v>
      </c>
      <c r="E28" s="16" t="n">
        <v>60.53620600076448</v>
      </c>
      <c r="F28" s="16" t="n">
        <v>63.64109038776664</v>
      </c>
    </row>
    <row r="29">
      <c r="A29" s="4" t="inlineStr">
        <is>
          <t>+100 basis points</t>
        </is>
      </c>
      <c r="B29" s="16" t="n">
        <v>48.13449081209406</v>
      </c>
      <c r="C29" s="16" t="n">
        <v>49.36102634801223</v>
      </c>
      <c r="D29" s="16" t="n">
        <v>50.75027515072584</v>
      </c>
      <c r="E29" s="16" t="n">
        <v>52.36098143954015</v>
      </c>
      <c r="F29" s="16" t="n">
        <v>54.28403585960935</v>
      </c>
    </row>
    <row r="30">
      <c r="A30" s="4" t="inlineStr">
        <is>
          <t>+200 basis points</t>
        </is>
      </c>
      <c r="B30" s="16" t="n">
        <v>42.83851934755974</v>
      </c>
      <c r="C30" s="16" t="n">
        <v>43.65755701531543</v>
      </c>
      <c r="D30" s="16" t="n">
        <v>44.54905891123189</v>
      </c>
      <c r="E30" s="16" t="n">
        <v>45.53702422829129</v>
      </c>
      <c r="F30" s="16" t="n">
        <v>46.65736489261532</v>
      </c>
    </row>
    <row r="32">
      <c r="A32" s="8" t="inlineStr">
        <is>
          <t>THE CRUX — reverse valuation</t>
        </is>
      </c>
    </row>
    <row r="33">
      <c r="A33" s="4" t="inlineStr">
        <is>
          <t>Additional FY2030E revenue required to reach the market price (EGP mn)</t>
        </is>
      </c>
      <c r="B33" s="19" t="n">
        <v>6930.883371175429</v>
      </c>
    </row>
    <row r="34">
      <c r="A34" s="4" t="inlineStr">
        <is>
          <t xml:space="preserve">   as a share of FY2030E revenue</t>
        </is>
      </c>
      <c r="B34" s="17" t="n">
        <v>0.2840609235494332</v>
      </c>
    </row>
    <row r="35">
      <c r="A35" s="4" t="inlineStr">
        <is>
          <t xml:space="preserve">   in US dollars a year (mn)</t>
        </is>
      </c>
      <c r="B35" s="19" t="n">
        <v>120.119295860926</v>
      </c>
    </row>
    <row r="36">
      <c r="A36" s="4" t="inlineStr">
        <is>
          <t xml:space="preserve">   as a multiple of the plant's stated USD 100 million cost</t>
        </is>
      </c>
      <c r="B36" s="24" t="n">
        <v>1.20119295860926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1">
        <f>('Balance Sheet'!E13-Assumptions!$C$74)/'Income Statement'!E17</f>
        <v/>
      </c>
      <c r="F6" s="41">
        <f>('Balance Sheet'!F13-Assumptions!$C$74)/'Income Statement'!F17</f>
        <v/>
      </c>
      <c r="G6" s="41">
        <f>('Balance Sheet'!G13-Assumptions!$C$74)/'Income Statement'!G17</f>
        <v/>
      </c>
      <c r="H6" s="41">
        <f>('Balance Sheet'!H13-Assumptions!$C$74)/'Income Statement'!H17</f>
        <v/>
      </c>
      <c r="I6" s="41">
        <f>('Balance Sheet'!I13-Assumptions!$C$74)/'Income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Sheet'!E19+Assumptions!$C$82)</f>
        <v/>
      </c>
      <c r="F11" s="6">
        <f>('Income Statement'!F15*(1-Assumptions!$C$10))/('Balance Sheet'!F2+'Balance Sheet'!F3+'Balance Sheet'!F19+Assumptions!$C$82)</f>
        <v/>
      </c>
      <c r="G11" s="6">
        <f>('Income Statement'!G15*(1-Assumptions!$C$10))/('Balance Sheet'!G2+'Balance Sheet'!G3+'Balance Sheet'!G19+Assumptions!$C$82)</f>
        <v/>
      </c>
      <c r="H11" s="6">
        <f>('Income Statement'!H15*(1-Assumptions!$C$10))/('Balance Sheet'!H2+'Balance Sheet'!H3+'Balance Sheet'!H19+Assumptions!$C$82)</f>
        <v/>
      </c>
      <c r="I11" s="6">
        <f>('Income Statement'!I15*(1-Assumptions!$C$10))/('Balance Sheet'!I2+'Balance Sheet'!I3+'Balance Sheet'!I19+Assumptions!$C$82)</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6" t="n"/>
      <c r="C2" s="46" t="n"/>
      <c r="D2" s="47"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2">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3">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2">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2026-08-09T10:10:12Z</dcterms:created>
  <dcterms:modified xmlns:dcterms="http://purl.org/dc/terms/" xmlns:xsi="http://www.w3.org/2001/XMLSchema-instance" xsi:type="dcterms:W3CDTF">2026-08-09T10:10:12Z</dcterms:modified>
</cp:coreProperties>
</file>