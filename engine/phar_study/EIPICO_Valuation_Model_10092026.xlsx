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2" fontId="5"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68% of total</t>
        </is>
      </c>
    </row>
    <row r="3">
      <c r="A3" s="4" t="inlineStr">
        <is>
          <t>Discounted cash flow — Frame B</t>
        </is>
      </c>
      <c r="B3" s="5">
        <f>'Fundamental Valuation'!B3</f>
        <v/>
      </c>
      <c r="C3" s="6">
        <f>B3/Assumptions!$C$3-1</f>
        <v/>
      </c>
      <c r="D3" s="7" t="inlineStr">
        <is>
          <t>Terminal value 78% of core enterprise value, 69% of total</t>
        </is>
      </c>
    </row>
    <row r="4">
      <c r="A4" s="4" t="inlineStr">
        <is>
          <t>Book value and sustainable return</t>
        </is>
      </c>
      <c r="B4" s="5">
        <f>'Fundamental Valuation'!B4</f>
        <v/>
      </c>
      <c r="C4" s="6">
        <f>B4/Assumptions!$C$3-1</f>
        <v/>
      </c>
      <c r="D4" s="7" t="inlineStr">
        <is>
          <t>Justified 1.92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Assumptions!$C$114</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Normalized'!B6-Assumptions!$C$62)/(Assumptions!$C$111-Assumptions!$C$62))*'Balance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7"/>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0.16</v>
      </c>
      <c r="D14" s="17" t="n">
        <v>0.12</v>
      </c>
      <c r="E14" s="17" t="n">
        <v>0.09</v>
      </c>
      <c r="F14" s="17" t="n">
        <v>0.075</v>
      </c>
      <c r="G14" s="17" t="n">
        <v>0.07000000000000001</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0.255</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0.3622543626257113</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ht="26" customHeight="1">
      <c r="A110" s="4" t="inlineStr">
        <is>
          <t>Terminal beta — reverts to the market, not the measured beta</t>
        </is>
      </c>
      <c r="B110" s="7" t="inlineStr">
        <is>
          <t>a perpetuity is long enough for a company's sensitivity to the market to be the market's own; carrying the measured beta for ever is an assumption, not a measurement. Committed by the model as beta_terminal</t>
        </is>
      </c>
      <c r="C110" s="30" t="n">
        <v>1</v>
      </c>
    </row>
    <row r="111">
      <c r="A111" s="4" t="inlineStr">
        <is>
          <t>Terminal cost of equity</t>
        </is>
      </c>
      <c r="B111" s="7" t="inlineStr">
        <is>
          <t>calculated</t>
        </is>
      </c>
      <c r="C111" s="27">
        <f>$C$56+$C$110*$C$57</f>
        <v/>
      </c>
    </row>
    <row r="112">
      <c r="A112" s="4" t="inlineStr">
        <is>
          <t>Terminal cost of debt</t>
        </is>
      </c>
      <c r="B112" s="7" t="inlineStr">
        <is>
          <t>calculated</t>
        </is>
      </c>
      <c r="C112" s="27">
        <f>(1-$C$53)*$C$58+$C$53*((1+$C$59)*1.03-1)</f>
        <v/>
      </c>
    </row>
    <row r="113">
      <c r="A113" s="4" t="inlineStr">
        <is>
          <t>Terminal cost of debt after tax</t>
        </is>
      </c>
      <c r="B113" s="7" t="inlineStr">
        <is>
          <t>calculated</t>
        </is>
      </c>
      <c r="C113" s="27">
        <f>$C$112*(1-$C$9)</f>
        <v/>
      </c>
    </row>
    <row r="114">
      <c r="A114" s="4" t="inlineStr">
        <is>
          <t>Terminal weighted average cost of capital</t>
        </is>
      </c>
      <c r="B114" s="7" t="inlineStr">
        <is>
          <t>calculated</t>
        </is>
      </c>
      <c r="C114" s="27">
        <f>(1-$C$60)*$C$111+$C$60*$C$113</f>
        <v/>
      </c>
    </row>
    <row r="115">
      <c r="A115" s="11" t="inlineStr">
        <is>
          <t>Glide fraction (derived from the convergence path — SHAPE only)</t>
        </is>
      </c>
      <c r="B115" s="7" t="inlineStr">
        <is>
          <t>calculated: (this year's cost of debt less the last year's) over (the first year's less the last year's)</t>
        </is>
      </c>
      <c r="C115" s="31">
        <f>(C$54-$G$54)/($C$54-$G$54)</f>
        <v/>
      </c>
      <c r="D115" s="31">
        <f>(D$54-$G$54)/($C$54-$G$54)</f>
        <v/>
      </c>
      <c r="E115" s="31">
        <f>(E$54-$G$54)/($C$54-$G$54)</f>
        <v/>
      </c>
      <c r="F115" s="31">
        <f>(F$54-$G$54)/($C$54-$G$54)</f>
        <v/>
      </c>
      <c r="G115" s="31">
        <f>(G$54-$G$54)/($C$54-$G$54)</f>
        <v/>
      </c>
    </row>
    <row r="116">
      <c r="A116" s="11" t="inlineStr">
        <is>
          <t>Discount rate</t>
        </is>
      </c>
      <c r="B116" s="7" t="inlineStr">
        <is>
          <t>calculated: terminal rate plus the glide fraction of the gap to year one</t>
        </is>
      </c>
      <c r="C116" s="15">
        <f>$C$114+($C$107-$C$114)*C$115</f>
        <v/>
      </c>
      <c r="D116" s="15">
        <f>$C$114+($C$107-$C$114)*D$115</f>
        <v/>
      </c>
      <c r="E116" s="15">
        <f>$C$114+($C$107-$C$114)*E$115</f>
        <v/>
      </c>
      <c r="F116" s="15">
        <f>$C$114+($C$107-$C$114)*F$115</f>
        <v/>
      </c>
      <c r="G116" s="15">
        <f>$C$114+($C$107-$C$114)*G$115</f>
        <v/>
      </c>
    </row>
    <row r="117">
      <c r="A117" s="11" t="inlineStr">
        <is>
          <t>Discount factor</t>
        </is>
      </c>
      <c r="B117" s="7" t="inlineStr">
        <is>
          <t>calculated: the previous factor divided by one plus this year's rate — the factors compound</t>
        </is>
      </c>
      <c r="C117" s="32">
        <f>1/(1+C$116)</f>
        <v/>
      </c>
      <c r="D117" s="32">
        <f>C117/(1+D$116)</f>
        <v/>
      </c>
      <c r="E117" s="32">
        <f>D117/(1+E$116)</f>
        <v/>
      </c>
      <c r="F117" s="32">
        <f>E117/(1+F$116)</f>
        <v/>
      </c>
      <c r="G117" s="32">
        <f>F117/(1+G$116)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3">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3">
        <f>B8+B9+B10</f>
        <v/>
      </c>
      <c r="C11" s="9">
        <f>B11/Assumptions!$C$8</f>
        <v/>
      </c>
    </row>
    <row r="13">
      <c r="A13" s="8" t="inlineStr">
        <is>
          <t>Value per share — Frame A</t>
        </is>
      </c>
      <c r="B13" s="33">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4">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4">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5">
        <f>D2*D4</f>
        <v/>
      </c>
      <c r="E7" s="35">
        <f>E2*E4</f>
        <v/>
      </c>
      <c r="F7" s="35">
        <f>F2*F4</f>
        <v/>
      </c>
      <c r="G7" s="35">
        <f>G2*G4</f>
        <v/>
      </c>
      <c r="H7" s="35">
        <f>H2*H4</f>
        <v/>
      </c>
    </row>
    <row r="8">
      <c r="A8" s="3" t="inlineStr">
        <is>
          <t>Export revenue (EGP mn)</t>
        </is>
      </c>
      <c r="B8" s="19" t="n">
        <v>2500.155946</v>
      </c>
      <c r="C8" s="13">
        <f>Assumptions!$C$90</f>
        <v/>
      </c>
      <c r="D8" s="35">
        <f>D3*D5*D6</f>
        <v/>
      </c>
      <c r="E8" s="35">
        <f>E3*E5*E6</f>
        <v/>
      </c>
      <c r="F8" s="35">
        <f>F3*F5*F6</f>
        <v/>
      </c>
      <c r="G8" s="35">
        <f>G3*G5*G6</f>
        <v/>
      </c>
      <c r="H8" s="35">
        <f>H3*H5*H6</f>
        <v/>
      </c>
    </row>
    <row r="9">
      <c r="A9" s="11" t="inlineStr">
        <is>
          <t>Contract-manufactured packs (million)</t>
        </is>
      </c>
      <c r="B9" s="18" t="n">
        <v>8.874000000000001</v>
      </c>
      <c r="C9" s="34">
        <f>Assumptions!$C$93</f>
        <v/>
      </c>
      <c r="D9" s="34">
        <f>C9*(1+Assumptions!C$16)</f>
        <v/>
      </c>
      <c r="E9" s="34">
        <f>D9*(1+Assumptions!D$16)</f>
        <v/>
      </c>
      <c r="F9" s="34">
        <f>E9*(1+Assumptions!E$16)</f>
        <v/>
      </c>
      <c r="G9" s="34">
        <f>F9*(1+Assumptions!F$16)</f>
        <v/>
      </c>
      <c r="H9" s="34">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6">
        <f>B9*B10</f>
        <v/>
      </c>
      <c r="C12" s="36">
        <f>C9*C10</f>
        <v/>
      </c>
      <c r="D12" s="37">
        <f>D9*D10</f>
        <v/>
      </c>
      <c r="E12" s="37">
        <f>E9*E10</f>
        <v/>
      </c>
      <c r="F12" s="37">
        <f>F9*F10</f>
        <v/>
      </c>
      <c r="G12" s="37">
        <f>G9*G10</f>
        <v/>
      </c>
      <c r="H12" s="37">
        <f>H9*H10</f>
        <v/>
      </c>
    </row>
    <row r="13">
      <c r="A13" s="3" t="inlineStr">
        <is>
          <t>Contract product resold through own channels (EGP mn)</t>
        </is>
      </c>
      <c r="B13" s="36">
        <f>B9*B11</f>
        <v/>
      </c>
      <c r="C13" s="36">
        <f>C9*C11</f>
        <v/>
      </c>
      <c r="D13" s="37">
        <f>D9*D11</f>
        <v/>
      </c>
      <c r="E13" s="37">
        <f>E9*E11</f>
        <v/>
      </c>
      <c r="F13" s="37">
        <f>F9*F11</f>
        <v/>
      </c>
      <c r="G13" s="37">
        <f>G9*G11</f>
        <v/>
      </c>
      <c r="H13" s="37">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3">
        <f>(D7+D8+D12+D13)*Assumptions!$C$87</f>
        <v/>
      </c>
      <c r="E15" s="33">
        <f>(E7+E8+E12+E13)*Assumptions!$C$87</f>
        <v/>
      </c>
      <c r="F15" s="33">
        <f>(F7+F8+F12+F13)*Assumptions!$C$87</f>
        <v/>
      </c>
      <c r="G15" s="33">
        <f>(G7+G8+G12+G13)*Assumptions!$C$87</f>
        <v/>
      </c>
      <c r="H15" s="33">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2">
        <f>((1+Assumptions!$C$25)*(Segments!D6/Assumptions!$C$95))</f>
        <v/>
      </c>
      <c r="E26" s="32">
        <f>D26*((1+Assumptions!$C$25)*(Segments!E6/Segments!D6))</f>
        <v/>
      </c>
      <c r="F26" s="32">
        <f>E26*((1+Assumptions!$C$25)*(Segments!F6/Segments!E6))</f>
        <v/>
      </c>
      <c r="G26" s="32">
        <f>F26*((1+Assumptions!$C$25)*(Segments!G6/Segments!F6))</f>
        <v/>
      </c>
      <c r="H26" s="32">
        <f>G26*((1+Assumptions!$C$25)*(Segments!H6/Segments!G6))</f>
        <v/>
      </c>
    </row>
    <row r="27">
      <c r="A27" s="4" t="inlineStr">
        <is>
          <t>Packaging materials</t>
        </is>
      </c>
      <c r="D27" s="32">
        <f>(Assumptions!$C$26*(1+Assumptions!$C$25)*(Segments!D6/Assumptions!$C$95)+(1-Assumptions!$C$26)*(1+Assumptions!C$29))</f>
        <v/>
      </c>
      <c r="E27" s="32">
        <f>D27*(Assumptions!$C$26*(1+Assumptions!$C$25)*(Segments!E6/Segments!D6)+(1-Assumptions!$C$26)*(1+Assumptions!D$29))</f>
        <v/>
      </c>
      <c r="F27" s="32">
        <f>E27*(Assumptions!$C$26*(1+Assumptions!$C$25)*(Segments!F6/Segments!E6)+(1-Assumptions!$C$26)*(1+Assumptions!E$29))</f>
        <v/>
      </c>
      <c r="G27" s="32">
        <f>F27*(Assumptions!$C$26*(1+Assumptions!$C$25)*(Segments!G6/Segments!F6)+(1-Assumptions!$C$26)*(1+Assumptions!F$29))</f>
        <v/>
      </c>
      <c r="H27" s="32">
        <f>G27*(Assumptions!$C$26*(1+Assumptions!$C$25)*(Segments!H6/Segments!G6)+(1-Assumptions!$C$26)*(1+Assumptions!G$29))</f>
        <v/>
      </c>
    </row>
    <row r="28">
      <c r="A28" s="4" t="inlineStr">
        <is>
          <t>Labour</t>
        </is>
      </c>
      <c r="D28" s="32">
        <f>(1+Assumptions!C$27)</f>
        <v/>
      </c>
      <c r="E28" s="32">
        <f>D28*(1+Assumptions!D$27)</f>
        <v/>
      </c>
      <c r="F28" s="32">
        <f>E28*(1+Assumptions!E$27)</f>
        <v/>
      </c>
      <c r="G28" s="32">
        <f>F28*(1+Assumptions!F$27)</f>
        <v/>
      </c>
      <c r="H28" s="32">
        <f>G28*(1+Assumptions!G$27)</f>
        <v/>
      </c>
    </row>
    <row r="29">
      <c r="A29" s="4" t="inlineStr">
        <is>
          <t>Energy and utilities</t>
        </is>
      </c>
      <c r="D29" s="32">
        <f>(1+Assumptions!C$28)</f>
        <v/>
      </c>
      <c r="E29" s="32">
        <f>D29*(1+Assumptions!D$28)</f>
        <v/>
      </c>
      <c r="F29" s="32">
        <f>E29*(1+Assumptions!E$28)</f>
        <v/>
      </c>
      <c r="G29" s="32">
        <f>F29*(1+Assumptions!F$28)</f>
        <v/>
      </c>
      <c r="H29" s="32">
        <f>G29*(1+Assumptions!G$28)</f>
        <v/>
      </c>
    </row>
    <row r="30">
      <c r="A30" s="4" t="inlineStr">
        <is>
          <t>Other consumables and services</t>
        </is>
      </c>
      <c r="D30" s="32">
        <f>(1+Assumptions!C$29)</f>
        <v/>
      </c>
      <c r="E30" s="32">
        <f>D30*(1+Assumptions!D$29)</f>
        <v/>
      </c>
      <c r="F30" s="32">
        <f>E30*(1+Assumptions!E$29)</f>
        <v/>
      </c>
      <c r="G30" s="32">
        <f>F30*(1+Assumptions!F$29)</f>
        <v/>
      </c>
      <c r="H30" s="32">
        <f>G30*(1+Assumptions!G$29)</f>
        <v/>
      </c>
    </row>
    <row r="31">
      <c r="A31" s="8" t="inlineStr">
        <is>
          <t>Blended cash-cost index</t>
        </is>
      </c>
      <c r="D31" s="38">
        <f>(Assumptions!$C$19*D26+Assumptions!$C$20*D27+Assumptions!$C$21*D28+Assumptions!$C$22*D29+Assumptions!$C$23*D30)/(Assumptions!$C$19+Assumptions!$C$20+Assumptions!$C$21+Assumptions!$C$22+Assumptions!$C$23)</f>
        <v/>
      </c>
      <c r="E31" s="38">
        <f>(Assumptions!$C$19*E26+Assumptions!$C$20*E27+Assumptions!$C$21*E28+Assumptions!$C$22*E29+Assumptions!$C$23*E30)/(Assumptions!$C$19+Assumptions!$C$20+Assumptions!$C$21+Assumptions!$C$22+Assumptions!$C$23)</f>
        <v/>
      </c>
      <c r="F31" s="38">
        <f>(Assumptions!$C$19*F26+Assumptions!$C$20*F27+Assumptions!$C$21*F28+Assumptions!$C$22*F29+Assumptions!$C$23*F30)/(Assumptions!$C$19+Assumptions!$C$20+Assumptions!$C$21+Assumptions!$C$22+Assumptions!$C$23)</f>
        <v/>
      </c>
      <c r="G31" s="38">
        <f>(Assumptions!$C$19*G26+Assumptions!$C$20*G27+Assumptions!$C$21*G28+Assumptions!$C$22*G29+Assumptions!$C$23*G30)/(Assumptions!$C$19+Assumptions!$C$20+Assumptions!$C$21+Assumptions!$C$22+Assumptions!$C$23)</f>
        <v/>
      </c>
      <c r="H31" s="38">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6">
        <f>-Assumptions!$C$84</f>
        <v/>
      </c>
      <c r="E38" s="36">
        <f>-Assumptions!$C$84</f>
        <v/>
      </c>
      <c r="F38" s="36">
        <f>-Assumptions!$C$84</f>
        <v/>
      </c>
      <c r="G38" s="36">
        <f>-Assumptions!$C$84</f>
        <v/>
      </c>
      <c r="H38" s="36">
        <f>-Assumptions!$C$84</f>
        <v/>
      </c>
    </row>
    <row r="39">
      <c r="A39" s="8" t="inlineStr">
        <is>
          <t>Closing property, plant and equipment</t>
        </is>
      </c>
      <c r="D39" s="33">
        <f>D35+D36+D37</f>
        <v/>
      </c>
      <c r="E39" s="33">
        <f>E35+E36+E37</f>
        <v/>
      </c>
      <c r="F39" s="33">
        <f>F35+F36+F37</f>
        <v/>
      </c>
      <c r="G39" s="33">
        <f>G35+G36+G37</f>
        <v/>
      </c>
      <c r="H39" s="33">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3">
        <f>D42+D43</f>
        <v/>
      </c>
      <c r="E44" s="33">
        <f>E42+E43</f>
        <v/>
      </c>
      <c r="F44" s="33">
        <f>F42+F43</f>
        <v/>
      </c>
      <c r="G44" s="33">
        <f>G42+G43</f>
        <v/>
      </c>
      <c r="H44" s="33">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9">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40" t="inlineStr">
        <is>
          <t>Year</t>
        </is>
      </c>
      <c r="B16" s="41" t="inlineStr">
        <is>
          <t>Year-end close</t>
        </is>
      </c>
      <c r="C16" s="41" t="inlineStr">
        <is>
          <t>Attributable EPS</t>
        </is>
      </c>
      <c r="D16" s="41" t="inlineStr">
        <is>
          <t>Price / earnings</t>
        </is>
      </c>
    </row>
    <row r="17">
      <c r="A17" s="4" t="inlineStr">
        <is>
          <t>2022</t>
        </is>
      </c>
      <c r="B17" s="16" t="n">
        <v>28.08</v>
      </c>
      <c r="C17" s="5">
        <f>Assumptions!$C$7/Assumptions!$C$4</f>
        <v/>
      </c>
      <c r="D17" s="42">
        <f>B17/C17</f>
        <v/>
      </c>
    </row>
    <row r="18">
      <c r="A18" s="4" t="inlineStr">
        <is>
          <t>2023</t>
        </is>
      </c>
      <c r="B18" s="16" t="n">
        <v>36.5</v>
      </c>
      <c r="C18" s="5">
        <f>'Income Statement'!B26/Assumptions!$C$5</f>
        <v/>
      </c>
      <c r="D18" s="42">
        <f>B18/C18</f>
        <v/>
      </c>
    </row>
    <row r="19">
      <c r="A19" s="4" t="inlineStr">
        <is>
          <t>2024</t>
        </is>
      </c>
      <c r="B19" s="16" t="n">
        <v>45.91</v>
      </c>
      <c r="C19" s="5">
        <f>'Income Statement'!C26/Assumptions!$C$5</f>
        <v/>
      </c>
      <c r="D19" s="42">
        <f>B19/C19</f>
        <v/>
      </c>
    </row>
    <row r="20">
      <c r="A20" s="4" t="inlineStr">
        <is>
          <t>2025</t>
        </is>
      </c>
      <c r="B20" s="16" t="n">
        <v>77.5</v>
      </c>
      <c r="C20" s="5">
        <f>'Income Statement'!D26/Assumptions!$C$6</f>
        <v/>
      </c>
      <c r="D20" s="42">
        <f>B20/C20</f>
        <v/>
      </c>
    </row>
    <row r="21">
      <c r="A21" s="11" t="inlineStr">
        <is>
          <t>Four-year mean</t>
        </is>
      </c>
      <c r="D21" s="43">
        <f>AVERAGE(D17:D20)</f>
        <v/>
      </c>
    </row>
    <row r="22">
      <c r="A22" s="11" t="inlineStr">
        <is>
          <t>Trailing multiple today — on the share count IN ISSUE</t>
        </is>
      </c>
      <c r="B22" s="5">
        <f>Assumptions!$C$3</f>
        <v/>
      </c>
      <c r="C22" s="5">
        <f>B12</f>
        <v/>
      </c>
      <c r="D22" s="43">
        <f>B22/C22</f>
        <v/>
      </c>
    </row>
    <row r="23">
      <c r="A23" s="11" t="inlineStr">
        <is>
          <t>Trailing multiple today — on the AUDITED WEIGHTED-AVERAGE count for FY2025</t>
        </is>
      </c>
      <c r="B23" s="5">
        <f>Assumptions!$C$3</f>
        <v/>
      </c>
      <c r="C23" s="5">
        <f>Assumptions!$C$77/162.016024</f>
        <v/>
      </c>
      <c r="D23" s="43">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2">
        <f>B7/(Assumptions!$C$111-Assumptions!$C$62)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2">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2">
        <f>Assumptions!$C$65*(Assumptions!$C$66-Assumptions!$C$62)/(Assumptions!$C$111-Assumptions!$C$62)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4">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1-Assumptions!$C$62/0.27108978</f>
        <v/>
      </c>
    </row>
    <row r="37">
      <c r="A37" s="8" t="inlineStr">
        <is>
          <t>NORMALISED EARNINGS POWER VALUE</t>
        </is>
      </c>
      <c r="B37" s="9">
        <f>B35*B36/(Assumptions!$C$111-Assumptions!$C$62)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3">
        <f>B6*(1-B7)</f>
        <v/>
      </c>
      <c r="C8" s="33">
        <f>C6*(1-C7)</f>
        <v/>
      </c>
      <c r="D8" s="33">
        <f>D6*(1-D7)</f>
        <v/>
      </c>
      <c r="E8" s="33">
        <f>E6*(1-E7)</f>
        <v/>
      </c>
      <c r="F8" s="33">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3">
        <f>B8+B9+B10+B11</f>
        <v/>
      </c>
      <c r="C12" s="33">
        <f>C8+C9+C10+C11</f>
        <v/>
      </c>
      <c r="D12" s="33">
        <f>D8+D9+D10+D11</f>
        <v/>
      </c>
      <c r="E12" s="33">
        <f>E8+E9+E10+E11</f>
        <v/>
      </c>
      <c r="F12" s="33">
        <f>F8+F9+F10+F11</f>
        <v/>
      </c>
    </row>
    <row r="13">
      <c r="A13" s="4" t="inlineStr">
        <is>
          <t>Discount rate</t>
        </is>
      </c>
      <c r="B13" s="15">
        <f>Assumptions!C$116</f>
        <v/>
      </c>
      <c r="C13" s="15">
        <f>Assumptions!D$116</f>
        <v/>
      </c>
      <c r="D13" s="15">
        <f>Assumptions!E$116</f>
        <v/>
      </c>
      <c r="E13" s="15">
        <f>Assumptions!F$116</f>
        <v/>
      </c>
      <c r="F13" s="15">
        <f>Assumptions!G$116</f>
        <v/>
      </c>
    </row>
    <row r="14">
      <c r="A14" s="4" t="inlineStr">
        <is>
          <t>Discount factor</t>
        </is>
      </c>
      <c r="B14" s="32">
        <f>Assumptions!C$117</f>
        <v/>
      </c>
      <c r="C14" s="32">
        <f>Assumptions!D$117</f>
        <v/>
      </c>
      <c r="D14" s="32">
        <f>Assumptions!E$117</f>
        <v/>
      </c>
      <c r="E14" s="32">
        <f>Assumptions!F$117</f>
        <v/>
      </c>
      <c r="F14" s="32">
        <f>Assumptions!G$117</f>
        <v/>
      </c>
    </row>
    <row r="15">
      <c r="A15" s="8" t="inlineStr">
        <is>
          <t>PRESENT VALUE OF FREE CASH FLOW TO THE FIRM</t>
        </is>
      </c>
      <c r="B15" s="33">
        <f>B12*B14</f>
        <v/>
      </c>
      <c r="C15" s="33">
        <f>C12*C14</f>
        <v/>
      </c>
      <c r="D15" s="33">
        <f>D12*D14</f>
        <v/>
      </c>
      <c r="E15" s="33">
        <f>E12*E14</f>
        <v/>
      </c>
      <c r="F15" s="33">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-755.175131</f>
        <v/>
      </c>
    </row>
    <row r="26">
      <c r="A26" s="4" t="inlineStr">
        <is>
          <t>Terminal free cash flow to the firm</t>
        </is>
      </c>
      <c r="B26" s="13">
        <f>B21+B22+B23+B24+B25</f>
        <v/>
      </c>
    </row>
    <row r="27">
      <c r="A27" s="4" t="inlineStr">
        <is>
          <t>Terminal discount rate</t>
        </is>
      </c>
      <c r="B27" s="15">
        <f>Assumptions!$C$114</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3">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B43+-1006.891528</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5" t="n">
        <v>5231.665571</v>
      </c>
      <c r="C2" s="45" t="n">
        <v>7590.545643</v>
      </c>
      <c r="D2" s="45" t="n">
        <v>9441.379305</v>
      </c>
      <c r="E2" s="46">
        <f>Segments!D15</f>
        <v/>
      </c>
      <c r="F2" s="46">
        <f>Segments!E15</f>
        <v/>
      </c>
      <c r="G2" s="46">
        <f>Segments!F15</f>
        <v/>
      </c>
      <c r="H2" s="46">
        <f>Segments!G15</f>
        <v/>
      </c>
      <c r="I2" s="46">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3">
        <f>B2+B3</f>
        <v/>
      </c>
      <c r="C6" s="33">
        <f>C2+C3</f>
        <v/>
      </c>
      <c r="D6" s="33">
        <f>D2+D3</f>
        <v/>
      </c>
      <c r="E6" s="33">
        <f>E2+E3</f>
        <v/>
      </c>
      <c r="F6" s="33">
        <f>F2+F3</f>
        <v/>
      </c>
      <c r="G6" s="33">
        <f>G2+G3</f>
        <v/>
      </c>
      <c r="H6" s="33">
        <f>H2+H3</f>
        <v/>
      </c>
      <c r="I6" s="33">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6">
        <f>-Segments!D41*(1-Assumptions!$C$85)</f>
        <v/>
      </c>
      <c r="F14" s="36">
        <f>-Segments!E41*(1-Assumptions!$C$85)</f>
        <v/>
      </c>
      <c r="G14" s="36">
        <f>-Segments!F41*(1-Assumptions!$C$85)</f>
        <v/>
      </c>
      <c r="H14" s="36">
        <f>-Segments!G41*(1-Assumptions!$C$85)</f>
        <v/>
      </c>
      <c r="I14" s="36">
        <f>-Segments!H41*(1-Assumptions!$C$85)</f>
        <v/>
      </c>
    </row>
    <row r="15">
      <c r="A15" s="8" t="inlineStr">
        <is>
          <t>Operating profit (EBIT)</t>
        </is>
      </c>
      <c r="B15" s="33">
        <f>B6+B8+B9+B10+B11+B13+B14</f>
        <v/>
      </c>
      <c r="C15" s="33">
        <f>C6+C8+C9+C10+C11+C13+C14</f>
        <v/>
      </c>
      <c r="D15" s="33">
        <f>D6+D8+D9+D10+D11+D13+D14</f>
        <v/>
      </c>
      <c r="E15" s="33">
        <f>E6+E8+E9+E10+E11+E13+E14</f>
        <v/>
      </c>
      <c r="F15" s="33">
        <f>F6+F8+F9+F10+F11+F13+F14</f>
        <v/>
      </c>
      <c r="G15" s="33">
        <f>G6+G8+G9+G10+G11+G13+G14</f>
        <v/>
      </c>
      <c r="H15" s="33">
        <f>H6+H8+H9+H10+H11+H13+H14</f>
        <v/>
      </c>
      <c r="I15" s="33">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3">
        <f>B15+B18+B19+B21+B20</f>
        <v/>
      </c>
      <c r="C22" s="33">
        <f>C15+C18+C19+C21+C20</f>
        <v/>
      </c>
      <c r="D22" s="33">
        <f>D15+D18+D19+D21+D20</f>
        <v/>
      </c>
      <c r="E22" s="33">
        <f>E15+E18+E19+E21+E20</f>
        <v/>
      </c>
      <c r="F22" s="33">
        <f>F15+F18+F19+F21+F20</f>
        <v/>
      </c>
      <c r="G22" s="33">
        <f>G15+G18+G19+G21+G20</f>
        <v/>
      </c>
      <c r="H22" s="33">
        <f>H15+H18+H19+H21+H20</f>
        <v/>
      </c>
      <c r="I22" s="33">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3">
        <f>B22+B23</f>
        <v/>
      </c>
      <c r="C24" s="33">
        <f>C22+C23</f>
        <v/>
      </c>
      <c r="D24" s="33">
        <f>D22+D23</f>
        <v/>
      </c>
      <c r="E24" s="33">
        <f>E22+E23</f>
        <v/>
      </c>
      <c r="F24" s="33">
        <f>F22+F23</f>
        <v/>
      </c>
      <c r="G24" s="33">
        <f>G22+G23</f>
        <v/>
      </c>
      <c r="H24" s="33">
        <f>H22+H23</f>
        <v/>
      </c>
      <c r="I24" s="33">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3">
        <f>B24+B25</f>
        <v/>
      </c>
      <c r="C26" s="33">
        <f>C24+C25</f>
        <v/>
      </c>
      <c r="D26" s="33">
        <f>D24+D25</f>
        <v/>
      </c>
      <c r="E26" s="33">
        <f>E24+E25</f>
        <v/>
      </c>
      <c r="F26" s="33">
        <f>F24+F25</f>
        <v/>
      </c>
      <c r="G26" s="33">
        <f>G24+G25</f>
        <v/>
      </c>
      <c r="H26" s="33">
        <f>H24+H25</f>
        <v/>
      </c>
      <c r="I26" s="33">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3">
        <f>SUM(B2:B8)</f>
        <v/>
      </c>
      <c r="C9" s="33">
        <f>SUM(C2:C8)</f>
        <v/>
      </c>
      <c r="D9" s="33">
        <f>SUM(D2:D8)</f>
        <v/>
      </c>
      <c r="E9" s="33">
        <f>SUM(E2:E8)</f>
        <v/>
      </c>
      <c r="F9" s="33">
        <f>SUM(F2:F8)</f>
        <v/>
      </c>
      <c r="G9" s="33">
        <f>SUM(G2:G8)</f>
        <v/>
      </c>
      <c r="H9" s="33">
        <f>SUM(H2:H8)</f>
        <v/>
      </c>
      <c r="I9" s="33">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3">
        <f>B10+B11+B12+B13+B14+B15</f>
        <v/>
      </c>
      <c r="C16" s="33">
        <f>C10+C11+C12+C13+C14+C15</f>
        <v/>
      </c>
      <c r="D16" s="33">
        <f>D10+D11+D12+D13+D14+D15</f>
        <v/>
      </c>
      <c r="E16" s="33">
        <f>E10+E11+E12+E13+E14+E15</f>
        <v/>
      </c>
      <c r="F16" s="33">
        <f>F10+F11+F12+F13+F14+F15</f>
        <v/>
      </c>
      <c r="G16" s="33">
        <f>G10+G11+G12+G13+G14+G15</f>
        <v/>
      </c>
      <c r="H16" s="33">
        <f>H10+H11+H12+H13+H14+H15</f>
        <v/>
      </c>
      <c r="I16" s="33">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3">
        <f>B13-B8</f>
        <v/>
      </c>
      <c r="C18" s="33">
        <f>C13-C8</f>
        <v/>
      </c>
      <c r="D18" s="33">
        <f>D13-D8</f>
        <v/>
      </c>
      <c r="E18" s="33">
        <f>E13-E8</f>
        <v/>
      </c>
      <c r="F18" s="33">
        <f>F13-F8</f>
        <v/>
      </c>
      <c r="G18" s="33">
        <f>G13-G8</f>
        <v/>
      </c>
      <c r="H18" s="33">
        <f>H13-H8</f>
        <v/>
      </c>
      <c r="I18" s="33">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3">
        <f>B2+B3</f>
        <v/>
      </c>
      <c r="C4" s="33">
        <f>C2+C3</f>
        <v/>
      </c>
      <c r="D4" s="33">
        <f>D2+D3</f>
        <v/>
      </c>
      <c r="E4" s="33">
        <f>E2+E3</f>
        <v/>
      </c>
      <c r="F4" s="33">
        <f>F2+F3</f>
        <v/>
      </c>
      <c r="G4" s="33">
        <f>G2+G3</f>
        <v/>
      </c>
      <c r="H4" s="33">
        <f>H2+H3</f>
        <v/>
      </c>
      <c r="I4" s="33">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3">
        <f>E4+E5+E6+E7</f>
        <v/>
      </c>
      <c r="F8" s="33">
        <f>F4+F5+F6+F7</f>
        <v/>
      </c>
      <c r="G8" s="33">
        <f>G4+G5+G6+G7</f>
        <v/>
      </c>
      <c r="H8" s="33">
        <f>H4+H5+H6+H7</f>
        <v/>
      </c>
      <c r="I8" s="33">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7" t="n"/>
      <c r="C2" s="47" t="n"/>
      <c r="D2" s="48" t="n"/>
    </row>
    <row r="3">
      <c r="A3" s="4" t="inlineStr">
        <is>
          <t>Anchor price (EGP)</t>
        </is>
      </c>
      <c r="B3" s="16" t="n">
        <v>130.05</v>
      </c>
      <c r="C3" s="16" t="n">
        <v>130.05</v>
      </c>
      <c r="D3" s="7" t="inlineStr">
        <is>
          <t>Anchored 2026-08-06</t>
        </is>
      </c>
    </row>
    <row r="4">
      <c r="A4" s="4" t="inlineStr">
        <is>
          <t>Check date</t>
        </is>
      </c>
      <c r="B4" s="49" t="inlineStr">
        <is>
          <t>2026-09-06</t>
        </is>
      </c>
      <c r="C4" s="49" t="inlineStr">
        <is>
          <t>2026-11-08</t>
        </is>
      </c>
      <c r="D4" s="7" t="inlineStr">
        <is>
          <t>A calendar date, resolved to the exchange's first real trading session</t>
        </is>
      </c>
    </row>
    <row r="5">
      <c r="A5" s="4" t="inlineStr">
        <is>
          <t>5th percentile of the simulated distribution</t>
        </is>
      </c>
      <c r="B5" s="16" t="n">
        <v>104.9105272908218</v>
      </c>
      <c r="C5" s="16" t="n">
        <v>96.08964646722389</v>
      </c>
    </row>
    <row r="6">
      <c r="A6" s="4" t="inlineStr">
        <is>
          <t>25th percentile of the simulated distribution</t>
        </is>
      </c>
      <c r="B6" s="16" t="n">
        <v>121.951229622625</v>
      </c>
      <c r="C6" s="16" t="n">
        <v>120.5086214711495</v>
      </c>
    </row>
    <row r="7">
      <c r="A7" s="4" t="inlineStr">
        <is>
          <t>50th percentile of the simulated distribution</t>
        </is>
      </c>
      <c r="B7" s="16" t="n">
        <v>132.7208728267296</v>
      </c>
      <c r="C7" s="16" t="n">
        <v>136.8658343216828</v>
      </c>
    </row>
    <row r="8">
      <c r="A8" s="4" t="inlineStr">
        <is>
          <t>75th percentile of the simulated distribution</t>
        </is>
      </c>
      <c r="B8" s="16" t="n">
        <v>144.4479983997303</v>
      </c>
      <c r="C8" s="16" t="n">
        <v>155.4373533791256</v>
      </c>
    </row>
    <row r="9">
      <c r="A9" s="4" t="inlineStr">
        <is>
          <t>95th percentile of the simulated distribution</t>
        </is>
      </c>
      <c r="B9" s="16" t="n">
        <v>167.8488827718508</v>
      </c>
      <c r="C9" s="16" t="n">
        <v>194.5986082406631</v>
      </c>
    </row>
    <row r="10">
      <c r="A10" s="4" t="inlineStr">
        <is>
          <t>Probability of finishing above the anchor</t>
        </is>
      </c>
      <c r="B10" s="17" t="n">
        <v>0.56606</v>
      </c>
      <c r="C10" s="17" t="n">
        <v>0.60784</v>
      </c>
    </row>
    <row r="11">
      <c r="A11" s="4" t="inlineStr">
        <is>
          <t>Probability of finishing 10% or more above</t>
        </is>
      </c>
      <c r="B11" s="17" t="n">
        <v>0.27418</v>
      </c>
      <c r="C11" s="17" t="n">
        <v>0.40504</v>
      </c>
    </row>
    <row r="12">
      <c r="A12" s="4" t="inlineStr">
        <is>
          <t>Probability of finishing 10% or more below</t>
        </is>
      </c>
      <c r="B12" s="17" t="n">
        <v>0.16364</v>
      </c>
      <c r="C12" s="17" t="n">
        <v>0.20604</v>
      </c>
    </row>
    <row r="13">
      <c r="A13" s="4" t="inlineStr">
        <is>
          <t>Probability of TOUCHING 10% above at any point</t>
        </is>
      </c>
      <c r="B13" s="17" t="n">
        <v>0.43642</v>
      </c>
      <c r="C13" s="17" t="n">
        <v>0.64934</v>
      </c>
    </row>
    <row r="14">
      <c r="A14" s="4" t="inlineStr">
        <is>
          <t>Probability of TOUCHING 10% below at any point</t>
        </is>
      </c>
      <c r="B14" s="17" t="n">
        <v>0.29892</v>
      </c>
      <c r="C14" s="17" t="n">
        <v>0.4396</v>
      </c>
    </row>
    <row r="15">
      <c r="A15" s="4" t="inlineStr">
        <is>
          <t>Annualised volatility used</t>
        </is>
      </c>
      <c r="B15" s="17" t="n">
        <v>0.6289831589091174</v>
      </c>
      <c r="C15" s="17" t="n">
        <v>0.5355493395100334</v>
      </c>
    </row>
    <row r="17">
      <c r="A17" s="8" t="inlineStr">
        <is>
          <t>CALIBRATION EVIDENCE</t>
        </is>
      </c>
    </row>
    <row r="18" ht="30" customHeight="1">
      <c r="A18" s="40" t="inlineStr">
        <is>
          <t>Window set</t>
        </is>
      </c>
      <c r="B18" s="41" t="inlineStr">
        <is>
          <t>Windows</t>
        </is>
      </c>
      <c r="C18" s="41" t="inlineStr">
        <is>
          <t>Skill against the benchmark</t>
        </is>
      </c>
      <c r="D18" s="41" t="inlineStr">
        <is>
          <t>Probability-transform uniformity</t>
        </is>
      </c>
    </row>
    <row r="19">
      <c r="A19" s="4" t="inlineStr">
        <is>
          <t>Full cleaned history (2012-05-23 to 2026-03-24)</t>
        </is>
      </c>
      <c r="B19" s="19" t="n">
        <v>56</v>
      </c>
      <c r="C19" s="50" t="n">
        <v>-0.01771436655010961</v>
      </c>
      <c r="D19" s="7" t="inlineStr">
        <is>
          <t>chi-square p = 0.166, Kolmogorov-Smirnov p = 0.478 — roughly uniform</t>
        </is>
      </c>
    </row>
    <row r="20">
      <c r="A20" s="4" t="inlineStr">
        <is>
          <t>Last five years of origins (2021-09-19 to 2026-03-24)</t>
        </is>
      </c>
      <c r="B20" s="19" t="n">
        <v>19</v>
      </c>
      <c r="C20" s="50" t="n">
        <v>0.002147922911274858</v>
      </c>
      <c r="D20" s="7" t="inlineStr">
        <is>
          <t>chi-square p = 0.447, Kolmogorov-Smirnov p = 0.676 — roughly uniform</t>
        </is>
      </c>
    </row>
    <row r="21">
      <c r="A21" s="4" t="inlineStr">
        <is>
          <t>Post-break window set (2022-06-20 to 2026-03-24)</t>
        </is>
      </c>
      <c r="B21" s="19" t="n">
        <v>16</v>
      </c>
      <c r="C21" s="50"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7" t="n"/>
      <c r="C2" s="47" t="n"/>
      <c r="D2" s="47" t="n"/>
      <c r="E2" s="47" t="n"/>
      <c r="F2" s="48" t="n"/>
    </row>
    <row r="4">
      <c r="A4" s="3" t="inlineStr">
        <is>
          <t>Shift in the cost of equity (basis points)</t>
        </is>
      </c>
      <c r="B4" s="51" t="n">
        <v>-200</v>
      </c>
      <c r="C4" s="51" t="n">
        <v>-100</v>
      </c>
      <c r="D4" s="51" t="n">
        <v>0</v>
      </c>
      <c r="E4" s="51" t="n">
        <v>100</v>
      </c>
      <c r="F4" s="51" t="n">
        <v>200</v>
      </c>
    </row>
    <row r="5">
      <c r="A5" s="4" t="inlineStr">
        <is>
          <t>Value per share</t>
        </is>
      </c>
      <c r="B5" s="16" t="n">
        <v>111.8970197888694</v>
      </c>
      <c r="C5" s="16" t="n">
        <v>97.27518652578942</v>
      </c>
      <c r="D5" s="16" t="n">
        <v>85.24648033266337</v>
      </c>
      <c r="E5" s="16" t="n">
        <v>75.18184914786232</v>
      </c>
      <c r="F5" s="16" t="n">
        <v>66.64034543916641</v>
      </c>
    </row>
    <row r="7">
      <c r="A7" s="3" t="inlineStr">
        <is>
          <t>Terminal growth</t>
        </is>
      </c>
      <c r="B7" s="17" t="n">
        <v>0.03</v>
      </c>
      <c r="C7" s="17" t="n">
        <v>0.04</v>
      </c>
      <c r="D7" s="17" t="n">
        <v>0.05</v>
      </c>
      <c r="E7" s="17" t="n">
        <v>0.06</v>
      </c>
      <c r="F7" s="17" t="n">
        <v>0.07000000000000001</v>
      </c>
    </row>
    <row r="8">
      <c r="A8" s="4" t="inlineStr">
        <is>
          <t>Value per share</t>
        </is>
      </c>
      <c r="B8" s="16" t="n">
        <v>62.88157922448156</v>
      </c>
      <c r="C8" s="16" t="n">
        <v>67.07295775526596</v>
      </c>
      <c r="D8" s="16" t="n">
        <v>72.01935510321825</v>
      </c>
      <c r="E8" s="16" t="n">
        <v>77.95987153831324</v>
      </c>
      <c r="F8" s="16" t="n">
        <v>85.24648033266337</v>
      </c>
    </row>
    <row r="10">
      <c r="A10" s="3" t="inlineStr">
        <is>
          <t>Beta</t>
        </is>
      </c>
      <c r="B10" s="30" t="n">
        <v>0.45</v>
      </c>
      <c r="C10" s="30" t="n">
        <v>0.55</v>
      </c>
      <c r="D10" s="30" t="n">
        <v>0.6658188407423365</v>
      </c>
      <c r="E10" s="30" t="n">
        <v>0.75</v>
      </c>
      <c r="F10" s="30" t="n">
        <v>0.9</v>
      </c>
    </row>
    <row r="11">
      <c r="A11" s="4" t="inlineStr">
        <is>
          <t>Value per share</t>
        </is>
      </c>
      <c r="B11" s="16" t="n">
        <v>88.59403146910748</v>
      </c>
      <c r="C11" s="16" t="n">
        <v>87.02663693440269</v>
      </c>
      <c r="D11" s="16" t="n">
        <v>85.24648033266337</v>
      </c>
      <c r="E11" s="16" t="n">
        <v>83.97576515160245</v>
      </c>
      <c r="F11" s="16" t="n">
        <v>81.75858809871139</v>
      </c>
    </row>
    <row r="13">
      <c r="A13" s="3" t="inlineStr">
        <is>
          <t>Provision charge as a share of revenue</t>
        </is>
      </c>
      <c r="B13" s="21" t="n">
        <v>0.025</v>
      </c>
      <c r="C13" s="21" t="n">
        <v>0.035</v>
      </c>
      <c r="D13" s="21" t="n">
        <v>0.0525</v>
      </c>
      <c r="E13" s="21" t="n">
        <v>0.065</v>
      </c>
      <c r="F13" s="21" t="n">
        <v>0.08</v>
      </c>
    </row>
    <row r="14">
      <c r="A14" s="4" t="inlineStr">
        <is>
          <t>Value per share</t>
        </is>
      </c>
      <c r="B14" s="16" t="n">
        <v>104.6939065410785</v>
      </c>
      <c r="C14" s="16" t="n">
        <v>97.62211519256394</v>
      </c>
      <c r="D14" s="16" t="n">
        <v>85.24648033266337</v>
      </c>
      <c r="E14" s="16" t="n">
        <v>76.40674114702009</v>
      </c>
      <c r="F14" s="16" t="n">
        <v>65.79905412424819</v>
      </c>
    </row>
    <row r="16">
      <c r="A16" s="3" t="inlineStr">
        <is>
          <t>Exchange-rate path, scaled</t>
        </is>
      </c>
      <c r="B16" s="24" t="n">
        <v>0.9</v>
      </c>
      <c r="C16" s="24" t="n">
        <v>0.95</v>
      </c>
      <c r="D16" s="24" t="n">
        <v>1</v>
      </c>
      <c r="E16" s="24" t="n">
        <v>1.05</v>
      </c>
      <c r="F16" s="24" t="n">
        <v>1.1</v>
      </c>
    </row>
    <row r="17">
      <c r="A17" s="4" t="inlineStr">
        <is>
          <t>Value per share</t>
        </is>
      </c>
      <c r="B17" s="16" t="n">
        <v>98.2098508172061</v>
      </c>
      <c r="C17" s="16" t="n">
        <v>91.72816557493466</v>
      </c>
      <c r="D17" s="16" t="n">
        <v>85.24648033266337</v>
      </c>
      <c r="E17" s="16" t="n">
        <v>78.76479509039191</v>
      </c>
      <c r="F17" s="16" t="n">
        <v>72.28310984812053</v>
      </c>
    </row>
    <row r="19">
      <c r="A19" s="3" t="inlineStr">
        <is>
          <t>Shift in domestic volume growth</t>
        </is>
      </c>
      <c r="B19" s="52" t="n">
        <v>-0.04</v>
      </c>
      <c r="C19" s="52" t="n">
        <v>-0.02</v>
      </c>
      <c r="D19" s="52" t="n">
        <v>0</v>
      </c>
      <c r="E19" s="52" t="n">
        <v>0.02</v>
      </c>
      <c r="F19" s="52" t="n">
        <v>0.04</v>
      </c>
    </row>
    <row r="20">
      <c r="A20" s="4" t="inlineStr">
        <is>
          <t>Value per share</t>
        </is>
      </c>
      <c r="B20" s="16" t="n">
        <v>82.45938147348832</v>
      </c>
      <c r="C20" s="16" t="n">
        <v>83.79246589461503</v>
      </c>
      <c r="D20" s="16" t="n">
        <v>85.24648033266337</v>
      </c>
      <c r="E20" s="16" t="n">
        <v>86.8286485079402</v>
      </c>
      <c r="F20" s="16" t="n">
        <v>88.54647231967209</v>
      </c>
    </row>
    <row r="22">
      <c r="A22" s="3" t="inlineStr">
        <is>
          <t>Depreciation rate</t>
        </is>
      </c>
      <c r="B22" s="21" t="n">
        <v>0.045</v>
      </c>
      <c r="C22" s="21" t="n">
        <v>0.055</v>
      </c>
      <c r="D22" s="21" t="n">
        <v>0.062</v>
      </c>
      <c r="E22" s="21" t="n">
        <v>0.07000000000000001</v>
      </c>
      <c r="F22" s="21" t="n">
        <v>0.08</v>
      </c>
    </row>
    <row r="23">
      <c r="A23" s="4" t="inlineStr">
        <is>
          <t>Value per share</t>
        </is>
      </c>
      <c r="B23" s="16" t="n">
        <v>90.58215156252788</v>
      </c>
      <c r="C23" s="16" t="n">
        <v>87.37679410780088</v>
      </c>
      <c r="D23" s="16" t="n">
        <v>85.24648033266337</v>
      </c>
      <c r="E23" s="16" t="n">
        <v>82.92213412642026</v>
      </c>
      <c r="F23" s="16" t="n">
        <v>80.1761478719565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77.62715389634869</v>
      </c>
      <c r="C26" s="16" t="n">
        <v>83.69626264945717</v>
      </c>
      <c r="D26" s="16" t="n">
        <v>91.06014984352457</v>
      </c>
      <c r="E26" s="16" t="n">
        <v>100.2053409468678</v>
      </c>
      <c r="F26" s="16" t="n">
        <v>111.8970197888694</v>
      </c>
    </row>
    <row r="27">
      <c r="A27" s="4" t="inlineStr">
        <is>
          <t>-100 basis points</t>
        </is>
      </c>
      <c r="B27" s="16" t="n">
        <v>69.77120454458131</v>
      </c>
      <c r="C27" s="16" t="n">
        <v>74.79304549706271</v>
      </c>
      <c r="D27" s="16" t="n">
        <v>80.7968705152677</v>
      </c>
      <c r="E27" s="16" t="n">
        <v>88.12018767938225</v>
      </c>
      <c r="F27" s="16" t="n">
        <v>97.27518652578942</v>
      </c>
    </row>
    <row r="28">
      <c r="A28" s="4" t="inlineStr">
        <is>
          <t>+0 basis points</t>
        </is>
      </c>
      <c r="B28" s="16" t="n">
        <v>62.88157922448156</v>
      </c>
      <c r="C28" s="16" t="n">
        <v>67.07295775526596</v>
      </c>
      <c r="D28" s="16" t="n">
        <v>72.01935510321825</v>
      </c>
      <c r="E28" s="16" t="n">
        <v>77.95987153831324</v>
      </c>
      <c r="F28" s="16" t="n">
        <v>85.24648033266337</v>
      </c>
    </row>
    <row r="29">
      <c r="A29" s="4" t="inlineStr">
        <is>
          <t>+100 basis points</t>
        </is>
      </c>
      <c r="B29" s="16" t="n">
        <v>56.79406728633221</v>
      </c>
      <c r="C29" s="16" t="n">
        <v>60.31883324517074</v>
      </c>
      <c r="D29" s="16" t="n">
        <v>64.43094947944664</v>
      </c>
      <c r="E29" s="16" t="n">
        <v>69.30286242568583</v>
      </c>
      <c r="F29" s="16" t="n">
        <v>75.18184914786232</v>
      </c>
    </row>
    <row r="30">
      <c r="A30" s="4" t="inlineStr">
        <is>
          <t>+200 basis points</t>
        </is>
      </c>
      <c r="B30" s="16" t="n">
        <v>51.3795256709253</v>
      </c>
      <c r="C30" s="16" t="n">
        <v>54.3634422097047</v>
      </c>
      <c r="D30" s="16" t="n">
        <v>57.80889741833875</v>
      </c>
      <c r="E30" s="16" t="n">
        <v>61.8421940918188</v>
      </c>
      <c r="F30" s="16" t="n">
        <v>66.64034543916641</v>
      </c>
    </row>
    <row r="32">
      <c r="A32" s="8" t="inlineStr">
        <is>
          <t>THE CRUX — reverse valuation</t>
        </is>
      </c>
    </row>
    <row r="33">
      <c r="A33" s="4" t="inlineStr">
        <is>
          <t>Additional FY2030E revenue required to reach the market price (EGP mn)</t>
        </is>
      </c>
      <c r="B33" s="19" t="n">
        <v>4238.94571426909</v>
      </c>
    </row>
    <row r="34">
      <c r="A34" s="4" t="inlineStr">
        <is>
          <t xml:space="preserve">   as a share of FY2030E revenue</t>
        </is>
      </c>
      <c r="B34" s="17" t="n">
        <v>0.1685442382213203</v>
      </c>
    </row>
    <row r="35">
      <c r="A35" s="4" t="inlineStr">
        <is>
          <t xml:space="preserve">   in US dollars a year (mn)</t>
        </is>
      </c>
      <c r="B35" s="19" t="n">
        <v>60.45799355433216</v>
      </c>
    </row>
    <row r="36">
      <c r="A36" s="4" t="inlineStr">
        <is>
          <t xml:space="preserve">   as a multiple of the plant's stated USD 100 million cost</t>
        </is>
      </c>
      <c r="B36" s="24" t="n">
        <v>0.6045799355433216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2">
        <f>('Balance Sheet'!E13-Assumptions!$C$75)/'Income Statement'!E17</f>
        <v/>
      </c>
      <c r="F6" s="42">
        <f>('Balance Sheet'!F13-Assumptions!$C$75)/'Income Statement'!F17</f>
        <v/>
      </c>
      <c r="G6" s="42">
        <f>('Balance Sheet'!G13-Assumptions!$C$75)/'Income Statement'!G17</f>
        <v/>
      </c>
      <c r="H6" s="42">
        <f>('Balance Sheet'!H13-Assumptions!$C$75)/'Income Statement'!H17</f>
        <v/>
      </c>
      <c r="I6" s="42">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7" t="n"/>
      <c r="C2" s="47" t="n"/>
      <c r="D2" s="48"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3">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4">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3">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2026-09-13T08:19:42Z</dcterms:created>
  <dcterms:modified xmlns:dcterms="http://purl.org/dc/terms/" xmlns:xsi="http://www.w3.org/2001/XMLSchema-instance" xsi:type="dcterms:W3CDTF">2026-09-13T08:19:42Z</dcterms:modified>
</cp:coreProperties>
</file>