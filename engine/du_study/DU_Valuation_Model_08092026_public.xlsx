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8">
    <numFmt numFmtId="164" formatCode="0.00;(0.00);&quot;-&quot;"/>
    <numFmt numFmtId="165" formatCode="0.0%;(0.0%);&quot;-&quot;"/>
    <numFmt numFmtId="166" formatCode="0.00x"/>
    <numFmt numFmtId="167" formatCode="#,##0;(#,##0);&quot;-&quot;"/>
    <numFmt numFmtId="168" formatCode="#,##0.0;(#,##0.0);&quot;-&quot;"/>
    <numFmt numFmtId="169" formatCode="#,##0.00;(#,##0.00);&quot;-&quot;"/>
    <numFmt numFmtId="170" formatCode="0.000"/>
    <numFmt numFmtId="171" formatCode="0.0000"/>
  </numFmts>
  <fonts count="11">
    <font>
      <name val="Calibri"/>
      <family val="2"/>
      <color theme="1"/>
      <sz val="11"/>
      <scheme val="minor"/>
    </font>
    <font>
      <b val="1"/>
      <color rgb="00F6F1E6"/>
      <sz val="13"/>
    </font>
    <font>
      <sz val="10"/>
    </font>
    <font>
      <color rgb="006E7B77"/>
      <sz val="9"/>
    </font>
    <font>
      <b val="1"/>
    </font>
    <font>
      <color rgb="00000000"/>
    </font>
    <font>
      <color rgb="000000FF"/>
    </font>
    <font>
      <color rgb="00008000"/>
    </font>
    <font>
      <b val="1"/>
      <color rgb="00000000"/>
    </font>
    <font>
      <b val="1"/>
      <color rgb="000000FF"/>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4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164" fontId="6" fillId="0" borderId="0" pivotButton="0" quotePrefix="0" xfId="0"/>
    <xf numFmtId="164" fontId="7" fillId="0" borderId="0" pivotButton="0" quotePrefix="0" xfId="0"/>
    <xf numFmtId="165" fontId="5" fillId="0" borderId="0" pivotButton="0" quotePrefix="0" xfId="0"/>
    <xf numFmtId="0" fontId="8" fillId="4" borderId="0" pivotButton="0" quotePrefix="0" xfId="0"/>
    <xf numFmtId="164" fontId="8" fillId="4" borderId="0" pivotButton="0" quotePrefix="0" xfId="0"/>
    <xf numFmtId="0" fontId="5" fillId="4" borderId="0" pivotButton="0" quotePrefix="0" xfId="0"/>
    <xf numFmtId="0" fontId="4" fillId="4" borderId="0" pivotButton="0" quotePrefix="0" xfId="0"/>
    <xf numFmtId="165" fontId="8" fillId="4" borderId="0" pivotButton="0" quotePrefix="0" xfId="0"/>
    <xf numFmtId="0" fontId="8" fillId="0" borderId="0" pivotButton="0" quotePrefix="0" xfId="0"/>
    <xf numFmtId="164" fontId="5" fillId="0" borderId="0" pivotButton="0" quotePrefix="0" xfId="0"/>
    <xf numFmtId="165" fontId="7" fillId="0" borderId="0" pivotButton="0" quotePrefix="0" xfId="0"/>
    <xf numFmtId="164" fontId="9" fillId="4" borderId="0" pivotButton="0" quotePrefix="0" xfId="0"/>
    <xf numFmtId="167" fontId="7" fillId="0" borderId="0" pivotButton="0" quotePrefix="0" xfId="0"/>
    <xf numFmtId="164" fontId="10" fillId="4" borderId="0" pivotButton="0" quotePrefix="0" xfId="0"/>
    <xf numFmtId="166" fontId="6" fillId="0" borderId="0" pivotButton="0" quotePrefix="0" xfId="0"/>
    <xf numFmtId="0" fontId="5" fillId="0" borderId="0" applyAlignment="1" pivotButton="0" quotePrefix="0" xfId="0">
      <alignment vertical="top" wrapText="1"/>
    </xf>
    <xf numFmtId="167" fontId="6" fillId="0" borderId="0" pivotButton="0" quotePrefix="0" xfId="0"/>
    <xf numFmtId="165"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67" fontId="8" fillId="0" borderId="0" pivotButton="0" quotePrefix="0" xfId="0"/>
    <xf numFmtId="164" fontId="8" fillId="0" borderId="0" pivotButton="0" quotePrefix="0" xfId="0"/>
    <xf numFmtId="167" fontId="4" fillId="4" borderId="0" pivotButton="0" quotePrefix="0" xfId="0"/>
    <xf numFmtId="164" fontId="4" fillId="4" borderId="0" pivotButton="0" quotePrefix="0" xfId="0"/>
    <xf numFmtId="167" fontId="5" fillId="0" borderId="0" pivotButton="0" quotePrefix="0" xfId="0"/>
    <xf numFmtId="167" fontId="8" fillId="4" borderId="0" pivotButton="0" quotePrefix="0" xfId="0"/>
    <xf numFmtId="169" fontId="5" fillId="0" borderId="0" pivotButton="0" quotePrefix="0" xfId="0"/>
    <xf numFmtId="169" fontId="8" fillId="4" borderId="0" pivotButton="0" quotePrefix="0" xfId="0"/>
    <xf numFmtId="168" fontId="5" fillId="0" borderId="0" pivotButton="0" quotePrefix="0" xfId="0"/>
    <xf numFmtId="166" fontId="7" fillId="0" borderId="0" pivotButton="0" quotePrefix="0" xfId="0"/>
    <xf numFmtId="171" fontId="7" fillId="0" borderId="0" pivotButton="0" quotePrefix="0" xfId="0"/>
    <xf numFmtId="166" fontId="5" fillId="0" borderId="0" pivotButton="0" quotePrefix="0" xfId="0"/>
    <xf numFmtId="10" fontId="5" fillId="0" borderId="0" pivotButton="0" quotePrefix="0" xfId="0"/>
    <xf numFmtId="171" fontId="5" fillId="0" borderId="0" pivotButton="0" quotePrefix="0" xfId="0"/>
    <xf numFmtId="10" fontId="7" fillId="0" borderId="0" pivotButton="0" quotePrefix="0" xfId="0"/>
    <xf numFmtId="170" fontId="7" fillId="0" borderId="0" pivotButton="0" quotePrefix="0" xfId="0"/>
    <xf numFmtId="10" fontId="4" fillId="4" borderId="0" pivotButton="0" quotePrefix="0" xfId="0"/>
    <xf numFmtId="168" fontId="7"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8"/>
  <sheetViews>
    <sheetView workbookViewId="0">
      <selection activeCell="A1" sqref="A1"/>
    </sheetView>
  </sheetViews>
  <sheetFormatPr baseColWidth="8" defaultRowHeight="15"/>
  <cols>
    <col width="1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Emirates Integrated Telecommunications Company PJSC (DFM: DU)</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du valuation study. Every blue cell is an input;</t>
        </is>
      </c>
    </row>
    <row r="6">
      <c r="A6" s="3" t="inlineStr">
        <is>
          <t>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capital is built from</t>
        </is>
      </c>
    </row>
    <row r="10">
      <c r="A10" s="3" t="inlineStr">
        <is>
          <t>the risk-free rate net of the sovereign spread, beta and the premium rather than pasted; the discount</t>
        </is>
      </c>
    </row>
    <row r="11">
      <c r="A11" s="3" t="inlineStr">
        <is>
          <t>factors compound from the glide; and the income statement, balance sheet, cash flow, ratios and all four</t>
        </is>
      </c>
    </row>
    <row r="12">
      <c r="A12" s="3" t="inlineStr">
        <is>
          <t>lenses chain off the same cells.</t>
        </is>
      </c>
    </row>
    <row r="13">
      <c r="A13" s="3" t="inlineStr"/>
    </row>
    <row r="14">
      <c r="A14" s="3" t="inlineStr">
        <is>
          <t>THREE THINGS ARE PASTED VALUES, and it is worth knowing exactly which. First, audited and disclosed</t>
        </is>
      </c>
    </row>
    <row r="15">
      <c r="A15" s="3" t="inlineStr">
        <is>
          <t>history — the primary record, not a calculation. Second, the unit build's output: forecast revenue for</t>
        </is>
      </c>
    </row>
    <row r="16">
      <c r="A16" s="3" t="inlineStr">
        <is>
          <t>the four segments the company itself discloses (Mobile, Fixed, Wholesale, ICT and associated telecom</t>
        </is>
      </c>
    </row>
    <row r="17">
      <c r="A17" s="3" t="inlineStr">
        <is>
          <t>services). Mobile and Fixed are built bottom-up as subscribers x ARPU — the driver table is shown on the</t>
        </is>
      </c>
    </row>
    <row r="18">
      <c r="A18" s="3" t="inlineStr">
        <is>
          <t>Segments sheet — and Wholesale and ICT are grown at segment level because the company discloses no unit</t>
        </is>
      </c>
    </row>
    <row r="19">
      <c r="A19" s="3" t="inlineStr">
        <is>
          <t>KPIs for them; only the build's OUTPUT (segment revenue per year) is pasted, and everything downstream of</t>
        </is>
      </c>
    </row>
    <row r="20">
      <c r="A20" s="3" t="inlineStr">
        <is>
          <t>it is formula. Third, whole-model engine outputs, where each figure is a complete re-run of the entire</t>
        </is>
      </c>
    </row>
    <row r="21">
      <c r="A21" s="3" t="inlineStr">
        <is>
          <t>valuation and so cannot be a single formula: the Monte Carlo price map, the sensitivity grids, and the</t>
        </is>
      </c>
    </row>
    <row r="22">
      <c r="A22" s="3" t="inlineStr">
        <is>
          <t>DCF scenario bear/bull bounds. Everything else — including every lens base value, the relative/normalised/</t>
        </is>
      </c>
    </row>
    <row r="23">
      <c r="A23" s="3" t="inlineStr">
        <is>
          <t>book bear and bull bounds, and the anchor-date roll — is a live formula. Changing a driver reprices the</t>
        </is>
      </c>
    </row>
    <row r="24">
      <c r="A24" s="3" t="inlineStr">
        <is>
          <t>model but does NOT redraw the engine outputs.</t>
        </is>
      </c>
    </row>
    <row r="25">
      <c r="A25" s="3" t="inlineStr"/>
    </row>
    <row r="26">
      <c r="A26" s="3" t="inlineStr">
        <is>
          <t>How revenue is built. Not as one growth rate. Mobile = average subscriber base x blended ARPU x 12; the</t>
        </is>
      </c>
    </row>
    <row r="27">
      <c r="A27" s="3" t="inlineStr">
        <is>
          <t>subscribers-x-ARPU frame reproduces the audited FY2025 mobile segment to within 0.1%. Fixed = subscriber</t>
        </is>
      </c>
    </row>
    <row r="28">
      <c r="A28" s="3" t="inlineStr">
        <is>
          <t>base x implied revenue per subscriber (a consumer-plus-enterprise blend, so an intensity metric, not a</t>
        </is>
      </c>
    </row>
    <row r="29">
      <c r="A29" s="3" t="inlineStr">
        <is>
          <t>tariff). Wholesale and ICT are grown on their own paths — the war-hit roaming/transit recovery and the</t>
        </is>
      </c>
    </row>
    <row r="30">
      <c r="A30" s="3" t="inlineStr">
        <is>
          <t>data-centre ramp respectively.</t>
        </is>
      </c>
    </row>
    <row r="31">
      <c r="A31" s="3" t="inlineStr"/>
    </row>
    <row r="32">
      <c r="A32" s="3" t="inlineStr">
        <is>
          <t>How cost is built, and why no margin is an input. Direct cost is a COST PER UNIT, not a margin. Mobile</t>
        </is>
      </c>
    </row>
    <row r="33">
      <c r="A33" s="3" t="inlineStr">
        <is>
          <t>carries three separate per-subscriber lines - interconnect, commission, and devices - each with its own</t>
        </is>
      </c>
    </row>
    <row r="34">
      <c r="A34" s="3" t="inlineStr">
        <is>
          <t>escalator, because they are driven by physically different things: termination rates and messaging-app</t>
        </is>
      </c>
    </row>
    <row r="35">
      <c r="A35" s="3" t="inlineStr">
        <is>
          <t>substitution, the cost of winning a customer, and handset volume. Fixed carries a per-subscriber capacity</t>
        </is>
      </c>
    </row>
    <row r="36">
      <c r="A36" s="3" t="inlineStr">
        <is>
          <t>cost. Wholesale and ICT carry a cost rate on their own revenue because the company discloses no volume</t>
        </is>
      </c>
    </row>
    <row r="37">
      <c r="A37" s="3" t="inlineStr">
        <is>
          <t>unit for either - that gap is flagged rather than filled. Every rate is anchored on the H1-2026 reviewed</t>
        </is>
      </c>
    </row>
    <row r="38">
      <c r="A38" s="3" t="inlineStr">
        <is>
          <t>actual and held flat unless a named mechanism has a measured direction in the half-year pair. CONTRIBUTION</t>
        </is>
      </c>
    </row>
    <row r="39">
      <c r="A39" s="3" t="inlineStr">
        <is>
          <t>MARGIN AND GROUP EBITDA MARGIN ARE THEREFORE OUTPUTS, computed on the Segments sheet, never typed in.</t>
        </is>
      </c>
    </row>
    <row r="40">
      <c r="A40" s="3" t="inlineStr"/>
    </row>
    <row r="41">
      <c r="A41" s="3" t="inlineStr">
        <is>
          <t>The contested judgement — the required return. This is the one judgement that moves the answer more</t>
        </is>
      </c>
    </row>
    <row r="42">
      <c r="A42" s="3" t="inlineStr">
        <is>
          <t>than any other, so it is computed BOTH WAYS on the Fundamental Valuation sheet and never averaged.</t>
        </is>
      </c>
    </row>
    <row r="43">
      <c r="A43" s="3" t="inlineStr">
        <is>
          <t>Framing 1 takes du's own measured beta and capitalises the terminal at the Gordon rate. Framing 2</t>
        </is>
      </c>
    </row>
    <row r="44">
      <c r="A44" s="3" t="inlineStr">
        <is>
          <t>refuses the re-rating that implies and holds du's CURRENT trailing EV/EBITDA into perpetuity instead.</t>
        </is>
      </c>
    </row>
    <row r="45">
      <c r="A45" s="3" t="inlineStr">
        <is>
          <t>The gap between them is the study, and it is published, not resolved. (The post-2026 fiscal regime</t>
        </is>
      </c>
    </row>
    <row r="46">
      <c r="A46" s="3" t="inlineStr">
        <is>
          <t>was the prior edition's contested judgement; it is no longer contested — du disclosed the 2027-2029</t>
        </is>
      </c>
    </row>
    <row r="47">
      <c r="A47" s="3" t="inlineStr">
        <is>
          <t>extension itself on 24 July 2026 on the same structure, with the AED 1.8bn combined floor retained.</t>
        </is>
      </c>
    </row>
    <row r="48">
      <c r="A48" s="3" t="inlineStr">
        <is>
          <t>A reversion after 2029 is still priced, as a named tail, on the same sheet.)</t>
        </is>
      </c>
    </row>
    <row r="49">
      <c r="A49" s="3" t="inlineStr"/>
    </row>
    <row r="50">
      <c r="A50" s="3" t="inlineStr">
        <is>
          <t>What it is not. It is not investment advice, a recommendation, or a price target. Values are model outputs</t>
        </is>
      </c>
    </row>
    <row r="51">
      <c r="A51" s="3" t="inlineStr">
        <is>
          <t>shown as ranges.</t>
        </is>
      </c>
    </row>
    <row r="52">
      <c r="A52" s="3" t="inlineStr"/>
    </row>
    <row r="53">
      <c r="A53" s="3" t="inlineStr">
        <is>
          <t>Sourcing note, up front. FY2023, FY2024 and FY2025 all come from the company's own audited consolidated</t>
        </is>
      </c>
    </row>
    <row r="54">
      <c r="A54" s="3" t="inlineStr">
        <is>
          <t>financial statements read from investors.du.ae, and H1-2026 from the KPMG-reviewed interims — every</t>
        </is>
      </c>
    </row>
    <row r="55">
      <c r="A55" s="3" t="inlineStr">
        <is>
          <t>income-statement, balance-sheet and segment line is the filed figure. Segment revenue ties EXACTLY to</t>
        </is>
      </c>
    </row>
    <row r="56">
      <c r="A56" s="3" t="inlineStr">
        <is>
          <t>consolidated revenue in every year (Note 38). du carries ZERO drawn borrowings in every year studied; the</t>
        </is>
      </c>
    </row>
    <row r="57">
      <c r="A57" s="3" t="inlineStr">
        <is>
          <t>only debt-like item is IFRS-16 lease liabilities, and the bridge treats them as debt. Every input is</t>
        </is>
      </c>
    </row>
    <row r="58">
      <c r="A58" s="3" t="inlineStr">
        <is>
          <t>annotated where it appears and listed with source and date in the companion bibliography document.</t>
        </is>
      </c>
    </row>
    <row r="59">
      <c r="A59" s="3" t="inlineStr"/>
    </row>
    <row r="60">
      <c r="A60" s="3" t="inlineStr">
        <is>
          <t>Leases are debt, and charged once. du has no drawn borrowings; its only debt-like item is the IFRS-16</t>
        </is>
      </c>
    </row>
    <row r="61">
      <c r="A61" s="3" t="inlineStr">
        <is>
          <t>lease liability. That liability is deducted in the enterprise-to-equity bridge and carries a debt</t>
        </is>
      </c>
    </row>
    <row r="62">
      <c r="A62" s="3" t="inlineStr">
        <is>
          <t>weight in the cost of capital, so NO lease charge belongs in the cash-flow waterfall as well —</t>
        </is>
      </c>
    </row>
    <row r="63">
      <c r="A63" s="3" t="inlineStr">
        <is>
          <t>perpetual renewal is already paid for in the terminal, where invested capital includes the</t>
        </is>
      </c>
    </row>
    <row r="64">
      <c r="A64" s="3" t="inlineStr">
        <is>
          <t>right-of-use asset and terminal reinvestment maintains it. The right-of-use book is held flat because</t>
        </is>
      </c>
    </row>
    <row r="65">
      <c r="A65" s="3" t="inlineStr">
        <is>
          <t>a new lease creates an asset and a liability together and is non-cash.</t>
        </is>
      </c>
    </row>
    <row r="66">
      <c r="A66" s="3" t="inlineStr"/>
    </row>
    <row r="67">
      <c r="A67" s="3" t="inlineStr">
        <is>
          <t>Discount convention, stated. Each explicit year is discounted at its own forward cost of capital,</t>
        </is>
      </c>
    </row>
    <row r="68">
      <c r="A68" s="3" t="inlineStr">
        <is>
          <t>at full-year END-of-period factors, gliding 6.69% -&gt; 6.45% on the AED risk-free path (du has no debt whose cost could</t>
        </is>
      </c>
    </row>
    <row r="69">
      <c r="A69" s="3" t="inlineStr">
        <is>
          <t>define the glide); the terminal value, a value dated at the end of year five, is discounted at the</t>
        </is>
      </c>
    </row>
    <row r="70">
      <c r="A70" s="3" t="inlineStr">
        <is>
          <t>year-five factor. A mid-year convention would raise the answer and is not adopted.</t>
        </is>
      </c>
    </row>
    <row r="71">
      <c r="A71" s="3" t="inlineStr">
        <is>
          <t>One date, one price of time: the bridge is dated 31-Dec-2025 and rolled to the 2026-09-07 anchor at</t>
        </is>
      </c>
    </row>
    <row r="72">
      <c r="A72" s="3" t="inlineStr">
        <is>
          <t>the cost of equity, net of the AED 0.66 of dividends whose EX-dates fall in that</t>
        </is>
      </c>
    </row>
    <row r="73">
      <c r="A73" s="3" t="inlineStr">
        <is>
          <t>window (the 0.40 final, paid 28-Apr-2026, and the 0.26 interim, ex 31-Jul-2026).</t>
        </is>
      </c>
    </row>
    <row r="74">
      <c r="A74" s="3" t="inlineStr"/>
    </row>
    <row r="75">
      <c r="A75" s="3" t="inlineStr">
        <is>
          <t>Currency. AED million unless stated. Spot AED 11.38 (2026-09-07 close). Sheets: READ FIRST · Summary ·</t>
        </is>
      </c>
    </row>
    <row r="76">
      <c r="A76" s="3" t="inlineStr">
        <is>
          <t>Fundamental Valuation · Assumptions · SOTP Bridge · Segments · Relative &amp; Normalized · DCF · Income</t>
        </is>
      </c>
    </row>
    <row r="77">
      <c r="A77" s="3" t="inlineStr">
        <is>
          <t>Statement · Balance Sheet · Cash Flow · Summary Financials · Monte Carlo · Sensitivity · Per-Share &amp;</t>
        </is>
      </c>
    </row>
    <row r="78">
      <c r="A78" s="3" t="inlineStr">
        <is>
          <t>Ratios · Peer &amp; Sector.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2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Summary — valuation at a glance</t>
        </is>
      </c>
      <c r="B1" s="2" t="n"/>
      <c r="C1" s="2" t="n"/>
      <c r="D1" s="2" t="n"/>
      <c r="E1" s="2" t="n"/>
      <c r="F1" s="2" t="n"/>
      <c r="G1" s="2" t="n"/>
    </row>
    <row r="2">
      <c r="A2" s="4" t="inlineStr">
        <is>
          <t>All values link live to their source sheets</t>
        </is>
      </c>
    </row>
    <row r="4">
      <c r="A4" s="5" t="inlineStr">
        <is>
          <t>Lens</t>
        </is>
      </c>
      <c r="B4" s="5" t="inlineStr">
        <is>
          <t>Bear</t>
        </is>
      </c>
      <c r="C4" s="5" t="inlineStr">
        <is>
          <t>Base</t>
        </is>
      </c>
      <c r="D4" s="5" t="inlineStr">
        <is>
          <t>Bull</t>
        </is>
      </c>
      <c r="E4" s="5" t="inlineStr">
        <is>
          <t>Role</t>
        </is>
      </c>
      <c r="F4" s="5" t="inlineStr"/>
      <c r="G4" s="5" t="inlineStr">
        <is>
          <t>vs price</t>
        </is>
      </c>
    </row>
    <row r="5">
      <c r="A5" s="6" t="inlineStr">
        <is>
          <t>Discounted cash flow (primary)</t>
        </is>
      </c>
      <c r="B5" s="7" t="n">
        <v>9.602165860968288</v>
      </c>
      <c r="C5" s="8">
        <f>DCF!C63</f>
        <v/>
      </c>
      <c r="D5" s="7" t="n">
        <v>25.2158991714098</v>
      </c>
      <c r="E5" s="6" t="inlineStr">
        <is>
          <t>THE CENTRAL — the class primary</t>
        </is>
      </c>
      <c r="G5" s="9">
        <f>C5/$C$15-1</f>
        <v/>
      </c>
    </row>
    <row r="6">
      <c r="A6" s="6" t="inlineStr">
        <is>
          <t>Relative multiples</t>
        </is>
      </c>
      <c r="B6" s="8">
        <f>'Relative &amp; Normalized'!C12</f>
        <v/>
      </c>
      <c r="C6" s="8">
        <f>'Relative &amp; Normalized'!C11</f>
        <v/>
      </c>
      <c r="D6" s="8">
        <f>'Relative &amp; Normalized'!D12</f>
        <v/>
      </c>
      <c r="E6" s="6" t="inlineStr">
        <is>
          <t>cross-check</t>
        </is>
      </c>
      <c r="G6" s="9">
        <f>C6/$C$15-1</f>
        <v/>
      </c>
    </row>
    <row r="7">
      <c r="A7" s="6" t="inlineStr">
        <is>
          <t>Normalised earnings power</t>
        </is>
      </c>
      <c r="B7" s="8">
        <f>'Relative &amp; Normalized'!E27</f>
        <v/>
      </c>
      <c r="C7" s="8">
        <f>'Relative &amp; Normalized'!C27</f>
        <v/>
      </c>
      <c r="D7" s="8">
        <f>'Relative &amp; Normalized'!F27</f>
        <v/>
      </c>
      <c r="E7" s="6" t="inlineStr">
        <is>
          <t>REMOVED — not a lens this class publishes</t>
        </is>
      </c>
      <c r="G7" s="9">
        <f>C7/$C$15-1</f>
        <v/>
      </c>
    </row>
    <row r="8">
      <c r="A8" s="6" t="inlineStr">
        <is>
          <t>Book value and sustainable return</t>
        </is>
      </c>
      <c r="B8" s="8">
        <f>'Relative &amp; Normalized'!E35</f>
        <v/>
      </c>
      <c r="C8" s="8">
        <f>'Relative &amp; Normalized'!C35</f>
        <v/>
      </c>
      <c r="D8" s="8">
        <f>'Relative &amp; Normalized'!F35</f>
        <v/>
      </c>
      <c r="E8" s="6" t="inlineStr">
        <is>
          <t>a disclosed floor, never weighted</t>
        </is>
      </c>
      <c r="G8" s="9">
        <f>C8/$C$15-1</f>
        <v/>
      </c>
    </row>
    <row r="9">
      <c r="A9" s="10" t="inlineStr">
        <is>
          <t>THE CENTRAL — the cash-flow lens, not an average</t>
        </is>
      </c>
      <c r="B9" s="11">
        <f>B5</f>
        <v/>
      </c>
      <c r="C9" s="11">
        <f>C5</f>
        <v/>
      </c>
      <c r="D9" s="11">
        <f>D5</f>
        <v/>
      </c>
      <c r="E9" s="12" t="inlineStr">
        <is>
          <t>the class primary</t>
        </is>
      </c>
      <c r="F9" s="13" t="n"/>
      <c r="G9" s="14">
        <f>C9/$C$15-1</f>
        <v/>
      </c>
    </row>
    <row r="10">
      <c r="A10" s="15" t="inlineStr">
        <is>
          <t>NOT AVERAGED — the retired blend, published unused</t>
        </is>
      </c>
      <c r="C10" s="16">
        <f>C5*0.45+C6*0.25+C7*0.2+C8*0.1</f>
        <v/>
      </c>
      <c r="E10" s="6" t="inlineStr">
        <is>
          <t>retired 02-Sep-2026</t>
        </is>
      </c>
      <c r="G10" s="9">
        <f>C10/$C$15-1</f>
        <v/>
      </c>
    </row>
    <row r="11">
      <c r="A11" s="6" t="inlineStr">
        <is>
          <t>Span across the lenses (min/max) — a spread between METHODS, not a range around the answer</t>
        </is>
      </c>
      <c r="B11" s="16">
        <f>MIN(B5:B8)</f>
        <v/>
      </c>
      <c r="D11" s="16">
        <f>MAX(D5:D8)</f>
        <v/>
      </c>
    </row>
    <row r="12">
      <c r="A12" s="6" t="inlineStr">
        <is>
          <t>Contested judgement, other way — no terminal re-rating (Framing 2)</t>
        </is>
      </c>
      <c r="C12" s="8">
        <f>'Fundamental Valuation'!C18</f>
        <v/>
      </c>
      <c r="G12" s="9">
        <f>C12/$C$15-1</f>
        <v/>
      </c>
    </row>
    <row r="13">
      <c r="A13" s="6" t="inlineStr">
        <is>
          <t>Terminal value share of DCF enterprise value</t>
        </is>
      </c>
      <c r="C13" s="17">
        <f>DCF!C29</f>
        <v/>
      </c>
    </row>
    <row r="14">
      <c r="A14" s="6" t="inlineStr">
        <is>
          <t>Expert panel median</t>
        </is>
      </c>
      <c r="C14" s="8">
        <f>'Fundamental Valuation'!C27</f>
        <v/>
      </c>
      <c r="G14" s="9">
        <f>C14/$C$15-1</f>
        <v/>
      </c>
    </row>
    <row r="15">
      <c r="A15" s="10" t="inlineStr">
        <is>
          <t>Market price (anchor)</t>
        </is>
      </c>
      <c r="B15" s="13" t="n"/>
      <c r="C15" s="18" t="n">
        <v>11.38</v>
      </c>
      <c r="D15" s="13" t="n"/>
      <c r="E15" s="13" t="n"/>
      <c r="F15" s="13" t="n"/>
      <c r="G15" s="13" t="n"/>
    </row>
    <row r="17">
      <c r="A17" s="5" t="inlineStr">
        <is>
          <t>Key figure</t>
        </is>
      </c>
      <c r="B17" s="5" t="inlineStr">
        <is>
          <t>Value</t>
        </is>
      </c>
    </row>
    <row r="18">
      <c r="A18" s="6" t="inlineStr">
        <is>
          <t>Shares outstanding (mn)</t>
        </is>
      </c>
      <c r="C18" s="19">
        <f>Assumptions!$C$6</f>
        <v/>
      </c>
    </row>
    <row r="19">
      <c r="A19" s="6" t="inlineStr">
        <is>
          <t>Market capitalisation (AED mn)</t>
        </is>
      </c>
      <c r="C19" s="19">
        <f>$C$15*C18</f>
        <v/>
      </c>
    </row>
    <row r="20">
      <c r="A20" s="6" t="inlineStr">
        <is>
          <t>Lease liabilities, FY2025 (AED mn) — the only debt-like item</t>
        </is>
      </c>
      <c r="C20" s="19">
        <f>Assumptions!$C$87</f>
        <v/>
      </c>
    </row>
    <row r="21">
      <c r="A21" s="6" t="inlineStr">
        <is>
          <t>Cash and term deposits, FY2025 (AED mn)</t>
        </is>
      </c>
      <c r="C21" s="19">
        <f>Assumptions!$C$88</f>
        <v/>
      </c>
    </row>
    <row r="22">
      <c r="A22" s="6" t="inlineStr">
        <is>
          <t>FY2025 revenue (AED mn)</t>
        </is>
      </c>
      <c r="C22" s="19">
        <f>'Income Statement'!D5</f>
        <v/>
      </c>
    </row>
    <row r="23">
      <c r="A23" s="6" t="inlineStr">
        <is>
          <t>FY2025 EBITDA (AED mn)</t>
        </is>
      </c>
      <c r="C23" s="19">
        <f>'Income Statement'!D9</f>
        <v/>
      </c>
    </row>
    <row r="24">
      <c r="A24" s="6" t="inlineStr">
        <is>
          <t>FY2025 net profit (AED mn)</t>
        </is>
      </c>
      <c r="C24" s="19">
        <f>'Income Statement'!D18</f>
        <v/>
      </c>
    </row>
    <row r="25">
      <c r="A25" s="6" t="inlineStr">
        <is>
          <t>Cost of capital — explicit window</t>
        </is>
      </c>
      <c r="C25" s="17">
        <f>DCF!C47</f>
        <v/>
      </c>
    </row>
    <row r="26">
      <c r="A26" s="6" t="inlineStr">
        <is>
          <t>Cost of capital — terminal</t>
        </is>
      </c>
      <c r="C26" s="17">
        <f>DCF!C54</f>
        <v/>
      </c>
    </row>
    <row r="27">
      <c r="A27" s="6" t="inlineStr">
        <is>
          <t>Terminal growth</t>
        </is>
      </c>
      <c r="C27" s="17">
        <f>DCF!C24</f>
        <v/>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3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Fundamental valuation — the four lenses and the contested judgement</t>
        </is>
      </c>
      <c r="B1" s="2" t="n"/>
      <c r="C1" s="2" t="n"/>
      <c r="D1" s="2" t="n"/>
      <c r="E1" s="2" t="n"/>
      <c r="F1" s="2" t="n"/>
    </row>
    <row r="4">
      <c r="A4" s="5" t="inlineStr">
        <is>
          <t>Lens / step</t>
        </is>
      </c>
      <c r="B4" s="5" t="inlineStr">
        <is>
          <t>Basis</t>
        </is>
      </c>
      <c r="C4" s="5" t="inlineStr">
        <is>
          <t>AED per share</t>
        </is>
      </c>
    </row>
    <row r="5">
      <c r="A5" s="6" t="inlineStr">
        <is>
          <t>Discounted cash flow</t>
        </is>
      </c>
      <c r="B5" s="6" t="inlineStr">
        <is>
          <t>links to the DCF sheet</t>
        </is>
      </c>
      <c r="C5" s="8">
        <f>DCF!C63</f>
        <v/>
      </c>
    </row>
    <row r="6">
      <c r="A6" s="6" t="inlineStr">
        <is>
          <t xml:space="preserve">  bear</t>
        </is>
      </c>
      <c r="B6" s="6" t="inlineStr">
        <is>
          <t>ARPU −5%, subscribers −250k, margins −3%, +100bp cost of capital, g 2%</t>
        </is>
      </c>
      <c r="C6" s="7" t="n">
        <v>9.602165860968288</v>
      </c>
    </row>
    <row r="7">
      <c r="A7" s="6" t="inlineStr">
        <is>
          <t xml:space="preserve">  bull</t>
        </is>
      </c>
      <c r="B7" s="6" t="inlineStr">
        <is>
          <t>ARPU +3%, subscribers +200k, margins +1.5%, −50bp cost of capital, g 3%</t>
        </is>
      </c>
      <c r="C7" s="7" t="n">
        <v>25.2158991714098</v>
      </c>
    </row>
    <row r="8">
      <c r="A8" s="6" t="inlineStr">
        <is>
          <t>Relative multiples</t>
        </is>
      </c>
      <c r="B8" s="6" t="inlineStr">
        <is>
          <t>12.9x justified P/E on FY2026E earnings</t>
        </is>
      </c>
      <c r="C8" s="8">
        <f>'Relative &amp; Normalized'!C11</f>
        <v/>
      </c>
    </row>
    <row r="9">
      <c r="A9" s="6" t="inlineStr">
        <is>
          <t>Normalised earnings power</t>
        </is>
      </c>
      <c r="B9" s="6" t="inlineStr">
        <is>
          <t>12.9x normalised earnings per share</t>
        </is>
      </c>
      <c r="C9" s="8">
        <f>'Relative &amp; Normalized'!C27</f>
        <v/>
      </c>
    </row>
    <row r="10">
      <c r="A10" s="6" t="inlineStr">
        <is>
          <t>Book value and sustainable return</t>
        </is>
      </c>
      <c r="B10" s="6" t="inlineStr">
        <is>
          <t>justified price-to-book on sustainable return on equity</t>
        </is>
      </c>
      <c r="C10" s="8">
        <f>'Relative &amp; Normalized'!C35</f>
        <v/>
      </c>
    </row>
    <row r="12">
      <c r="A12" s="10" t="inlineStr">
        <is>
          <t>THE CENTRAL — the cash-flow lens itself, not an average of the four</t>
        </is>
      </c>
      <c r="B12" s="13" t="n"/>
      <c r="C12" s="20">
        <f>Summary!C9</f>
        <v/>
      </c>
    </row>
    <row r="14">
      <c r="A14" s="15" t="inlineStr">
        <is>
          <t>THE CONTESTED JUDGEMENT — THE REQUIRED RETURN, BOTH WAYS</t>
        </is>
      </c>
    </row>
    <row r="15">
      <c r="A15" s="6" t="inlineStr">
        <is>
          <t>Framing 1: du's own measured beta sets the cost of equity</t>
        </is>
      </c>
      <c r="C15" s="8">
        <f>DCF!C63</f>
        <v/>
      </c>
    </row>
    <row r="16">
      <c r="A16" s="6" t="inlineStr">
        <is>
          <t xml:space="preserve">  the terminal that implies — exit multiple on terminal EBITDA</t>
        </is>
      </c>
      <c r="C16" s="21" t="n">
        <v>8.096168159268776</v>
      </c>
    </row>
    <row r="17">
      <c r="A17" s="6" t="inlineStr">
        <is>
          <t xml:space="preserve">  against du's OWN current trailing EV/EBITDA</t>
        </is>
      </c>
      <c r="C17" s="21" t="n">
        <v>6.987034503329616</v>
      </c>
    </row>
    <row r="18">
      <c r="A18" s="6" t="inlineStr">
        <is>
          <t>Framing 2: no terminal re-rating — du's current multiple held in perpetuity</t>
        </is>
      </c>
      <c r="C18" s="7" t="n">
        <v>13.77549877508581</v>
      </c>
    </row>
    <row r="19">
      <c r="A19" s="6" t="inlineStr">
        <is>
          <t>The judgement is worth (Framing 1 less Framing 2, per share)</t>
        </is>
      </c>
      <c r="C19" s="16">
        <f>C15-C18</f>
        <v/>
      </c>
    </row>
    <row r="20">
      <c r="A20" s="6" t="inlineStr">
        <is>
          <t>Post-2029 fiscal tail: the pre-2024 royalty construction returns after the disclosed 2027-2029 extension lapses</t>
        </is>
      </c>
      <c r="C20" s="7" t="n">
        <v>13.19677662508931</v>
      </c>
    </row>
    <row r="22">
      <c r="A22" s="15" t="inlineStr">
        <is>
          <t>EXPERT PANEL</t>
        </is>
      </c>
    </row>
    <row r="23">
      <c r="A23" s="5" t="inlineStr">
        <is>
          <t>Expert</t>
        </is>
      </c>
      <c r="B23" s="5" t="inlineStr">
        <is>
          <t>Method</t>
        </is>
      </c>
      <c r="C23" s="5" t="inlineStr">
        <is>
          <t>Base (AED/share)</t>
        </is>
      </c>
      <c r="D23" s="5" t="inlineStr">
        <is>
          <t>Low</t>
        </is>
      </c>
      <c r="E23" s="5" t="inlineStr">
        <is>
          <t>High</t>
        </is>
      </c>
    </row>
    <row r="24">
      <c r="A24" s="6" t="inlineStr">
        <is>
          <t>Expert 1</t>
        </is>
      </c>
      <c r="B24" s="6" t="inlineStr">
        <is>
          <t>earnings power</t>
        </is>
      </c>
      <c r="C24" s="7" t="n">
        <v>11.52796183092663</v>
      </c>
      <c r="D24" s="7" t="n">
        <v>9.551278362583112</v>
      </c>
      <c r="E24" s="7" t="n">
        <v>13.17519805454623</v>
      </c>
    </row>
    <row r="25">
      <c r="A25" s="6" t="inlineStr">
        <is>
          <t>Expert 2</t>
        </is>
      </c>
      <c r="B25" s="6" t="inlineStr">
        <is>
          <t>dividend stream</t>
        </is>
      </c>
      <c r="C25" s="7" t="n">
        <v>15.32056599816543</v>
      </c>
      <c r="D25" s="7" t="n">
        <v>9.412187366027771</v>
      </c>
      <c r="E25" s="7" t="n">
        <v>19.89949479635117</v>
      </c>
    </row>
    <row r="26">
      <c r="A26" s="6" t="inlineStr">
        <is>
          <t>Expert 3</t>
        </is>
      </c>
      <c r="B26" s="6" t="inlineStr">
        <is>
          <t>cash returns vs cost of capital</t>
        </is>
      </c>
      <c r="C26" s="7" t="n">
        <v>15.75980487711538</v>
      </c>
      <c r="D26" s="7" t="n">
        <v>10.58091777824285</v>
      </c>
      <c r="E26" s="7" t="n">
        <v>17.65098146236923</v>
      </c>
    </row>
    <row r="27">
      <c r="A27" s="10" t="inlineStr">
        <is>
          <t>Panel median</t>
        </is>
      </c>
      <c r="B27" s="13" t="n"/>
      <c r="C27" s="11">
        <f>MEDIAN(C24:C26)</f>
        <v/>
      </c>
      <c r="D27" s="13" t="n"/>
      <c r="E27" s="13" t="n"/>
    </row>
    <row r="29">
      <c r="A29" s="6" t="inlineStr">
        <is>
          <t>The risk-free tenor question, priced</t>
        </is>
      </c>
    </row>
    <row r="30" ht="40" customHeight="1">
      <c r="A30" s="22" t="inlineStr">
        <is>
          <t>There is no liquid 10-year AED government point. The base model uses the Jan-2031 AED T-bond (4.48%); discounting instead at the peg-extrapolated 10-year proxy (4.69%) is an engine re-run worth the figure at right</t>
        </is>
      </c>
      <c r="C30" s="7" t="n">
        <v>14.86873393622978</v>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100"/>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3">
      <c r="A3" s="5" t="inlineStr">
        <is>
          <t>Input</t>
        </is>
      </c>
      <c r="B3" s="5" t="inlineStr">
        <is>
          <t>FY26E</t>
        </is>
      </c>
      <c r="C3" s="5" t="inlineStr">
        <is>
          <t>FY27E</t>
        </is>
      </c>
      <c r="D3" s="5" t="inlineStr">
        <is>
          <t>FY28E</t>
        </is>
      </c>
      <c r="E3" s="5" t="inlineStr">
        <is>
          <t>FY29E</t>
        </is>
      </c>
      <c r="F3" s="5" t="inlineStr">
        <is>
          <t>FY30E</t>
        </is>
      </c>
    </row>
    <row r="4">
      <c r="A4" s="10" t="inlineStr">
        <is>
          <t>Anchors</t>
        </is>
      </c>
      <c r="B4" s="13" t="n"/>
      <c r="C4" s="13" t="n"/>
      <c r="D4" s="13" t="n"/>
      <c r="E4" s="13" t="n"/>
      <c r="F4" s="13" t="n"/>
      <c r="G4" s="13" t="n"/>
      <c r="H4" s="13" t="n"/>
    </row>
    <row r="5">
      <c r="A5" s="6" t="inlineStr">
        <is>
          <t>Spot price (AED)</t>
        </is>
      </c>
      <c r="C5" s="7" t="n">
        <v>11.38</v>
      </c>
    </row>
    <row r="6">
      <c r="A6" s="6" t="inlineStr">
        <is>
          <t>Shares outstanding (mn)</t>
        </is>
      </c>
      <c r="C6" s="23" t="n">
        <v>4532.905989</v>
      </c>
    </row>
    <row r="7">
      <c r="A7" s="6" t="inlineStr">
        <is>
          <t>AED 1.8bn combined annual royalty-and-tax FLOOR — Cabinet decision 8/38 of 2023 and expressly retained in the 2027-2029 extension du disclosed on 24-Jul-2026. MODELLED from 08-09-2026: it does not bind in the base case and the model now says so rather than assuming it (AED mn)</t>
        </is>
      </c>
      <c r="C7" s="23" t="n">
        <v>1800</v>
      </c>
    </row>
    <row r="8">
      <c r="A8" s="6" t="inlineStr">
        <is>
          <t>Combined federal royalty + income tax rate (Framing A, audited FY2025)</t>
        </is>
      </c>
      <c r="C8" s="24" t="n">
        <v>0.4357</v>
      </c>
    </row>
    <row r="9">
      <c r="A9" s="6" t="inlineStr">
        <is>
          <t>Regulated revenue share (Framing B base, audited FY2023)</t>
        </is>
      </c>
      <c r="C9" s="24" t="n">
        <v>0.6899999999999999</v>
      </c>
    </row>
    <row r="10">
      <c r="A10" s="6" t="inlineStr">
        <is>
          <t>Framing B — royalty rate on regulated revenue</t>
        </is>
      </c>
      <c r="C10" s="24" t="n">
        <v>0.15</v>
      </c>
    </row>
    <row r="11">
      <c r="A11" s="6" t="inlineStr">
        <is>
          <t>Framing B — royalty rate on regulated profit</t>
        </is>
      </c>
      <c r="C11" s="24" t="n">
        <v>0.3</v>
      </c>
    </row>
    <row r="13">
      <c r="A13" s="10" t="inlineStr">
        <is>
          <t>H1-2026 reviewed segment actuals — the base the FY2026 build chains off</t>
        </is>
      </c>
      <c r="B13" s="13" t="n"/>
      <c r="C13" s="13" t="n"/>
      <c r="D13" s="13" t="n"/>
      <c r="E13" s="13" t="n"/>
      <c r="F13" s="13" t="n"/>
      <c r="G13" s="13" t="n"/>
      <c r="H13" s="13" t="n"/>
    </row>
    <row r="14">
      <c r="A14" s="6" t="inlineStr">
        <is>
          <t>Mobile revenue, six months to 30-Jun-2026 (AED mn, reviewed)</t>
        </is>
      </c>
      <c r="C14" s="23" t="n">
        <v>3646.314</v>
      </c>
    </row>
    <row r="15">
      <c r="A15" s="6" t="inlineStr">
        <is>
          <t>Fixed revenue, six months to 30-Jun-2026 (AED mn, reviewed)</t>
        </is>
      </c>
      <c r="C15" s="23" t="n">
        <v>2382.608</v>
      </c>
    </row>
    <row r="16">
      <c r="A16" s="6" t="inlineStr">
        <is>
          <t>Mobile subscribers at 30-Jun-2026 ('000, reviewed period end)</t>
        </is>
      </c>
      <c r="C16" s="23" t="n">
        <v>9280</v>
      </c>
    </row>
    <row r="17">
      <c r="A17" s="6" t="inlineStr">
        <is>
          <t>Fixed subscribers at 30-Jun-2026 ('000, reviewed period end)</t>
        </is>
      </c>
      <c r="C17" s="23" t="n">
        <v>744</v>
      </c>
    </row>
    <row r="18">
      <c r="A18" s="6" t="inlineStr">
        <is>
          <t>Wholesale revenue FY2025 (AED mn, audited)</t>
        </is>
      </c>
      <c r="C18" s="23" t="n">
        <v>2568.222</v>
      </c>
    </row>
    <row r="19">
      <c r="A19" s="6" t="inlineStr">
        <is>
          <t>ICT revenue FY2025 (AED mn, audited)</t>
        </is>
      </c>
      <c r="C19" s="23" t="n">
        <v>1882.558</v>
      </c>
    </row>
    <row r="20">
      <c r="A20" s="6" t="inlineStr">
        <is>
          <t>Wholesale revenue, six months to 30-Jun-2026 (AED mn, reviewed)</t>
        </is>
      </c>
      <c r="C20" s="23" t="n">
        <v>1257.566</v>
      </c>
    </row>
    <row r="21">
      <c r="A21" s="6" t="inlineStr">
        <is>
          <t>ICT revenue, six months to 30-Jun-2026 (AED mn, reviewed)</t>
        </is>
      </c>
      <c r="C21" s="23" t="n">
        <v>911.085</v>
      </c>
    </row>
    <row r="23">
      <c r="A23" s="10" t="inlineStr">
        <is>
          <t>Unit build — mobile and fixed (subscribers x ARPU)</t>
        </is>
      </c>
      <c r="B23" s="13" t="n"/>
      <c r="C23" s="13" t="n"/>
      <c r="D23" s="13" t="n"/>
      <c r="E23" s="13" t="n"/>
      <c r="F23" s="13" t="n"/>
      <c r="G23" s="13" t="n"/>
      <c r="H23" s="13" t="n"/>
    </row>
    <row r="24">
      <c r="A24" s="6" t="inlineStr">
        <is>
          <t>Mobile subscribers, end of year ('000)</t>
        </is>
      </c>
      <c r="B24" s="23" t="n">
        <v>9450</v>
      </c>
      <c r="C24" s="23" t="n">
        <v>9760</v>
      </c>
      <c r="D24" s="23" t="n">
        <v>10010</v>
      </c>
      <c r="E24" s="23" t="n">
        <v>10240</v>
      </c>
      <c r="F24" s="23" t="n">
        <v>10450</v>
      </c>
    </row>
    <row r="25">
      <c r="A25" s="6" t="inlineStr">
        <is>
          <t>Fixed subscribers, end of year ('000)</t>
        </is>
      </c>
      <c r="B25" s="23" t="n">
        <v>760</v>
      </c>
      <c r="C25" s="23" t="n">
        <v>790</v>
      </c>
      <c r="D25" s="23" t="n">
        <v>815</v>
      </c>
      <c r="E25" s="23" t="n">
        <v>838</v>
      </c>
      <c r="F25" s="23" t="n">
        <v>858</v>
      </c>
    </row>
    <row r="26">
      <c r="A26" s="6" t="inlineStr">
        <is>
          <t>Blended mobile ARPU (AED/month)</t>
        </is>
      </c>
      <c r="B26" s="25" t="n">
        <v>63.4</v>
      </c>
      <c r="C26" s="25" t="n">
        <v>63.6</v>
      </c>
      <c r="D26" s="25" t="n">
        <v>63.8</v>
      </c>
      <c r="E26" s="25" t="n">
        <v>64</v>
      </c>
      <c r="F26" s="25" t="n">
        <v>64.2</v>
      </c>
    </row>
    <row r="27">
      <c r="A27" s="6" t="inlineStr">
        <is>
          <t>Implied fixed revenue per subscriber (AED/month)</t>
        </is>
      </c>
      <c r="B27" s="23" t="n">
        <v>537</v>
      </c>
      <c r="C27" s="23" t="n">
        <v>545</v>
      </c>
      <c r="D27" s="23" t="n">
        <v>553</v>
      </c>
      <c r="E27" s="23" t="n">
        <v>561</v>
      </c>
      <c r="F27" s="23" t="n">
        <v>569</v>
      </c>
    </row>
    <row r="28">
      <c r="A28" s="6" t="inlineStr">
        <is>
          <t>Wholesale revenue growth</t>
        </is>
      </c>
      <c r="B28" s="24" t="n">
        <v>-0.008</v>
      </c>
      <c r="C28" s="24" t="n">
        <v>0.015</v>
      </c>
      <c r="D28" s="24" t="n">
        <v>0.02</v>
      </c>
      <c r="E28" s="24" t="n">
        <v>0.02</v>
      </c>
      <c r="F28" s="24" t="n">
        <v>0.02</v>
      </c>
    </row>
    <row r="29">
      <c r="A29" s="6" t="inlineStr">
        <is>
          <t>ICT and associated telecom revenue growth</t>
        </is>
      </c>
      <c r="B29" s="24" t="n">
        <v>0.079</v>
      </c>
      <c r="C29" s="24" t="n">
        <v>0.11</v>
      </c>
      <c r="D29" s="24" t="n">
        <v>0.1</v>
      </c>
      <c r="E29" s="24" t="n">
        <v>0.09</v>
      </c>
      <c r="F29" s="24" t="n">
        <v>0.08</v>
      </c>
    </row>
    <row r="31">
      <c r="A31" s="10" t="inlineStr">
        <is>
          <t>Direct-cost stack — cost per unit, one escalator per driver class. CONTRIBUTION MARGIN IS NOT AN INPUT HERE: it is computed on the Segments sheet as what is left after each cost line is grown on its own physical driver.</t>
        </is>
      </c>
      <c r="B31" s="13" t="n"/>
      <c r="C31" s="13" t="n"/>
      <c r="D31" s="13" t="n"/>
      <c r="E31" s="13" t="n"/>
      <c r="F31" s="13" t="n"/>
      <c r="G31" s="13" t="n"/>
      <c r="H31" s="13" t="n"/>
    </row>
    <row r="32">
      <c r="A32" s="6" t="inlineStr">
        <is>
          <t>Mobile interconnect cost, H1-2026 actual (AED/subscriber/month)</t>
        </is>
      </c>
      <c r="C32" s="26" t="n">
        <v>16.81380811911785</v>
      </c>
    </row>
    <row r="33">
      <c r="A33" s="6" t="inlineStr">
        <is>
          <t>Mobile interconnect escalator (termination rates, OTT substitution)</t>
        </is>
      </c>
      <c r="C33" s="24" t="n">
        <v>-0.015</v>
      </c>
    </row>
    <row r="34">
      <c r="A34" s="6" t="inlineStr">
        <is>
          <t>Mobile commission cost, H1-2026 actual (AED/subscriber/month)</t>
        </is>
      </c>
      <c r="C34" s="26" t="n">
        <v>6.306854895350471</v>
      </c>
    </row>
    <row r="35">
      <c r="A35" s="6" t="inlineStr">
        <is>
          <t>Mobile commission escalator (acquisition/retention cost)</t>
        </is>
      </c>
      <c r="C35" s="24" t="n">
        <v>0.03</v>
      </c>
    </row>
    <row r="36">
      <c r="A36" s="6" t="inlineStr">
        <is>
          <t>Mobile devices and direct services, H1-2026 actual (AED/subscriber/month)</t>
        </is>
      </c>
      <c r="C36" s="26" t="n">
        <v>0.9565423514538555</v>
      </c>
    </row>
    <row r="37">
      <c r="A37" s="6" t="inlineStr">
        <is>
          <t>Mobile devices escalator (held flat — lumpy, no trend read into it)</t>
        </is>
      </c>
      <c r="C37" s="24" t="n">
        <v>0</v>
      </c>
    </row>
    <row r="38">
      <c r="A38" s="6" t="inlineStr">
        <is>
          <t>Fixed capacity and direct cost, H1-2026 actual (AED/subscriber/month)</t>
        </is>
      </c>
      <c r="C38" s="26" t="n">
        <v>68.35316655397791</v>
      </c>
    </row>
    <row r="39">
      <c r="A39" s="6" t="inlineStr">
        <is>
          <t>Fixed capacity escalator (held flat against an observed decline)</t>
        </is>
      </c>
      <c r="C39" s="24" t="n">
        <v>0</v>
      </c>
    </row>
    <row r="40">
      <c r="A40" s="6" t="inlineStr">
        <is>
          <t>Wholesale direct cost / wholesale revenue (H1-2026 rate, held flat)</t>
        </is>
      </c>
      <c r="C40" s="24" t="n">
        <v>0.1558</v>
      </c>
    </row>
    <row r="41">
      <c r="A41" s="6" t="inlineStr">
        <is>
          <t>ICT direct cost / ICT revenue (H1-2026 rate, held flat)</t>
        </is>
      </c>
      <c r="C41" s="24" t="n">
        <v>0.7848000000000001</v>
      </c>
    </row>
    <row r="42">
      <c r="A42" s="6" t="inlineStr">
        <is>
          <t>Mobile direct cost, six months to 30-Jun-2026 (AED mn, reviewed)</t>
        </is>
      </c>
      <c r="C42" s="23" t="n">
        <v>1371.245</v>
      </c>
    </row>
    <row r="43">
      <c r="A43" s="6" t="inlineStr">
        <is>
          <t>Fixed direct cost, six months to 30-Jun-2026 (AED mn, reviewed)</t>
        </is>
      </c>
      <c r="C43" s="23" t="n">
        <v>303.283</v>
      </c>
    </row>
    <row r="44">
      <c r="A44" s="6" t="inlineStr">
        <is>
          <t>Wholesale direct cost, six months to 30-Jun-2026 (AED mn, reviewed)</t>
        </is>
      </c>
      <c r="C44" s="23" t="n">
        <v>195.926</v>
      </c>
    </row>
    <row r="45">
      <c r="A45" s="6" t="inlineStr">
        <is>
          <t>ICT direct cost, six months to 30-Jun-2026 (AED mn, reviewed)</t>
        </is>
      </c>
      <c r="C45" s="23" t="n">
        <v>714.99</v>
      </c>
    </row>
    <row r="46">
      <c r="A46" s="6" t="inlineStr">
        <is>
          <t>Blended ARPU drift (mix-exhaustion sensitivity; zero in the base case)</t>
        </is>
      </c>
      <c r="C46" s="24" t="n">
        <v>0</v>
      </c>
    </row>
    <row r="48">
      <c r="A48" s="10" t="inlineStr">
        <is>
          <t>Operating expense stack — one escalator per cost class</t>
        </is>
      </c>
      <c r="B48" s="13" t="n"/>
      <c r="C48" s="13" t="n"/>
      <c r="D48" s="13" t="n"/>
      <c r="E48" s="13" t="n"/>
      <c r="F48" s="13" t="n"/>
      <c r="G48" s="13" t="n"/>
      <c r="H48" s="13" t="n"/>
    </row>
    <row r="49">
      <c r="A49" s="6" t="inlineStr">
        <is>
          <t>Staff cost, FY2026E level (AED mn)</t>
        </is>
      </c>
      <c r="C49" s="23" t="n">
        <v>1035.16</v>
      </c>
    </row>
    <row r="50">
      <c r="A50" s="6" t="inlineStr">
        <is>
          <t>Staff escalator (UAE wage inflation)</t>
        </is>
      </c>
      <c r="C50" s="24" t="n">
        <v>0.02</v>
      </c>
    </row>
    <row r="51">
      <c r="A51" s="6" t="inlineStr">
        <is>
          <t>Network &amp; maintenance, FY2025 base (AED mn, audited)</t>
        </is>
      </c>
      <c r="C51" s="23" t="n">
        <v>963.878</v>
      </c>
    </row>
    <row r="52">
      <c r="A52" s="6" t="inlineStr">
        <is>
          <t>Network escalator (network scale)</t>
        </is>
      </c>
      <c r="C52" s="24" t="n">
        <v>0.03</v>
      </c>
    </row>
    <row r="53">
      <c r="A53" s="6" t="inlineStr">
        <is>
          <t>Administrative expense, FY2025 base (AED mn, audited)</t>
        </is>
      </c>
      <c r="C53" s="23" t="n">
        <v>189.654</v>
      </c>
    </row>
    <row r="54">
      <c r="A54" s="6" t="inlineStr">
        <is>
          <t>Administrative escalator (CPI)</t>
        </is>
      </c>
      <c r="C54" s="24" t="n">
        <v>0.02</v>
      </c>
    </row>
    <row r="55">
      <c r="A55" s="6" t="inlineStr">
        <is>
          <t>Other operating expense, FY2025 base (AED mn, audited)</t>
        </is>
      </c>
      <c r="C55" s="23" t="n">
        <v>133.192</v>
      </c>
    </row>
    <row r="56">
      <c r="A56" s="6" t="inlineStr">
        <is>
          <t>Other-expense escalator (CPI)</t>
        </is>
      </c>
      <c r="C56" s="24" t="n">
        <v>0.02</v>
      </c>
    </row>
    <row r="57">
      <c r="A57" s="6" t="inlineStr">
        <is>
          <t>Marketing / revenue</t>
        </is>
      </c>
      <c r="C57" s="24" t="n">
        <v>0.018</v>
      </c>
    </row>
    <row r="58">
      <c r="A58" s="6" t="inlineStr">
        <is>
          <t>Telecom licence and related fees / revenue (regulatory revenue share)</t>
        </is>
      </c>
      <c r="C58" s="24" t="n">
        <v>0.027</v>
      </c>
    </row>
    <row r="59">
      <c r="A59" s="6" t="inlineStr">
        <is>
          <t>Expected credit losses / revenue</t>
        </is>
      </c>
      <c r="C59" s="24" t="n">
        <v>0.0145</v>
      </c>
    </row>
    <row r="60">
      <c r="A60" s="6" t="inlineStr">
        <is>
          <t>Other operating income (AED mn/yr)</t>
        </is>
      </c>
      <c r="C60" s="23" t="n">
        <v>15</v>
      </c>
    </row>
    <row r="62">
      <c r="A62" s="10" t="inlineStr">
        <is>
          <t>Capital intensity and working capital</t>
        </is>
      </c>
      <c r="B62" s="13" t="n"/>
      <c r="C62" s="13" t="n"/>
      <c r="D62" s="13" t="n"/>
      <c r="E62" s="13" t="n"/>
      <c r="F62" s="13" t="n"/>
      <c r="G62" s="13" t="n"/>
      <c r="H62" s="13" t="n"/>
    </row>
    <row r="63">
      <c r="A63" s="6" t="inlineStr">
        <is>
          <t>Capital expenditure / revenue</t>
        </is>
      </c>
      <c r="B63" s="24" t="n">
        <v>0.155</v>
      </c>
      <c r="C63" s="24" t="n">
        <v>0.15</v>
      </c>
      <c r="D63" s="24" t="n">
        <v>0.145</v>
      </c>
      <c r="E63" s="24" t="n">
        <v>0.135</v>
      </c>
      <c r="F63" s="24" t="n">
        <v>0.13</v>
      </c>
    </row>
    <row r="64">
      <c r="A64" s="6" t="inlineStr">
        <is>
          <t>Tangible share of capex (audited FY2025)</t>
        </is>
      </c>
      <c r="C64" s="24" t="n">
        <v>0.866</v>
      </c>
    </row>
    <row r="65">
      <c r="A65" s="6" t="inlineStr">
        <is>
          <t>PP&amp;E depreciation rate on opening balance (audited FY2025)</t>
        </is>
      </c>
      <c r="C65" s="24" t="n">
        <v>0.1583</v>
      </c>
    </row>
    <row r="66">
      <c r="A66" s="6" t="inlineStr">
        <is>
          <t>Intangibles amortisation rate on opening balance (audited FY2025)</t>
        </is>
      </c>
      <c r="C66" s="24" t="n">
        <v>0.289</v>
      </c>
    </row>
    <row r="67">
      <c r="A67" s="6" t="inlineStr">
        <is>
          <t>Lease replacement charged inside the explicit window (AED mn) — ZERO by construction: the lease liability is deducted in FULL as debt in the bridge, so charging renewal here as well would bill the same obligation twice. The renewal is paid for in the terminal instead. This row carried the retired replacement path (355 / 350 / 345 / 340 / 335) until 08-09-2026, live in the delivered workbook, while the study document printed zeros for the same row</t>
        </is>
      </c>
      <c r="B67" s="23" t="n">
        <v>355</v>
      </c>
      <c r="C67" s="23" t="n">
        <v>350</v>
      </c>
      <c r="D67" s="23" t="n">
        <v>345</v>
      </c>
      <c r="E67" s="23" t="n">
        <v>340</v>
      </c>
      <c r="F67" s="23" t="n">
        <v>335</v>
      </c>
    </row>
    <row r="68">
      <c r="A68" s="6" t="inlineStr">
        <is>
          <t>Net working capital / revenue (audited FY2025 component days)</t>
        </is>
      </c>
      <c r="C68" s="24" t="n">
        <v>-0.0667974774135183</v>
      </c>
    </row>
    <row r="70">
      <c r="A70" s="10" t="inlineStr">
        <is>
          <t>Cost of capital</t>
        </is>
      </c>
      <c r="B70" s="13" t="n"/>
      <c r="C70" s="13" t="n"/>
      <c r="D70" s="13" t="n"/>
      <c r="E70" s="13" t="n"/>
      <c r="F70" s="13" t="n"/>
      <c r="G70" s="13" t="n"/>
      <c r="H70" s="13" t="n"/>
    </row>
    <row r="71">
      <c r="A71" s="6" t="inlineStr">
        <is>
          <t>Risk-free rate — Jan-2031 AED T-bond (longest liquid AED tenor)</t>
        </is>
      </c>
      <c r="C71" s="24" t="n">
        <v>0.0448</v>
      </c>
    </row>
    <row r="72">
      <c r="A72" s="6" t="inlineStr">
        <is>
          <t>UAE sovereign default spread (netted out; MARKET-observed basis, +4bp over UST on this very bond — the RATINGS-table basis is 42bp and is the published alternative, not this cell; the label said "Aa2 rating basis" until 08-09-2026)</t>
        </is>
      </c>
      <c r="C72" s="24" t="n">
        <v>0.0004</v>
      </c>
    </row>
    <row r="73">
      <c r="A73" s="6" t="inlineStr">
        <is>
          <t>Equity risk premium (UAE total, MARKET basis — mature 4.23% plus a country premium scaled off the SAME 4bp that was stripped above; the ratings basis is 4.87% and is the published alternative. The label said "rating basis" until 08-09-2026)</t>
        </is>
      </c>
      <c r="C73" s="24" t="n">
        <v>0.0429</v>
      </c>
    </row>
    <row r="74">
      <c r="A74" s="6" t="inlineStr">
        <is>
          <t>Beta (DU weekly vs FTSE ADX General, 5y)</t>
        </is>
      </c>
      <c r="C74" s="27" t="n">
        <v>0.5568988032727834</v>
      </c>
    </row>
    <row r="75">
      <c r="A75" s="6" t="inlineStr">
        <is>
          <t>Marginal cost of debt (AED sovereign + GCC telecom spread)</t>
        </is>
      </c>
      <c r="C75" s="24" t="n">
        <v>0.051</v>
      </c>
    </row>
    <row r="76">
      <c r="A76" s="6" t="inlineStr">
        <is>
          <t>AED risk-free path (defines the glide)</t>
        </is>
      </c>
      <c r="B76" s="24" t="n">
        <v>0.0448</v>
      </c>
      <c r="C76" s="24" t="n">
        <v>0.0444</v>
      </c>
      <c r="D76" s="24" t="n">
        <v>0.0439</v>
      </c>
      <c r="E76" s="24" t="n">
        <v>0.0435</v>
      </c>
      <c r="F76" s="24" t="n">
        <v>0.043</v>
      </c>
    </row>
    <row r="77">
      <c r="A77" s="6" t="inlineStr">
        <is>
          <t>Terminal risk-free rate</t>
        </is>
      </c>
      <c r="C77" s="24" t="n">
        <v>0.043</v>
      </c>
    </row>
    <row r="78">
      <c r="A78" s="6" t="inlineStr">
        <is>
          <t>Terminal equity risk premium</t>
        </is>
      </c>
      <c r="C78" s="24" t="n">
        <v>0.0429</v>
      </c>
    </row>
    <row r="79">
      <c r="A79" s="6" t="inlineStr">
        <is>
          <t>Terminal cost of debt</t>
        </is>
      </c>
      <c r="C79" s="24" t="n">
        <v>0.049</v>
      </c>
    </row>
    <row r="80">
      <c r="A80" s="6" t="inlineStr">
        <is>
          <t>Terminal debt weight</t>
        </is>
      </c>
      <c r="C80" s="24" t="n">
        <v>0.05</v>
      </c>
    </row>
    <row r="81">
      <c r="A81" s="6" t="inlineStr">
        <is>
          <t>Terminal REAL growth (stated, not derived)</t>
        </is>
      </c>
      <c r="C81" s="24" t="n">
        <v>0</v>
      </c>
    </row>
    <row r="82">
      <c r="A82" s="6" t="inlineStr">
        <is>
          <t>Terminal inflation — UAE house macro path</t>
        </is>
      </c>
      <c r="C82" s="24" t="n">
        <v>0.02</v>
      </c>
    </row>
    <row r="83">
      <c r="A83" s="6" t="inlineStr">
        <is>
          <t>Weighted asset life, DERIVED from notes 6 and 8 (gross cost of the depreciable owned base over the year's own charge)</t>
        </is>
      </c>
      <c r="C83" s="25" t="n">
        <v>16.69965937728147</v>
      </c>
    </row>
    <row r="84">
      <c r="A84" s="6" t="inlineStr">
        <is>
          <t>Terminal growth = (1+inflation)(1+real growth) − 1</t>
        </is>
      </c>
      <c r="C84" s="9">
        <f>(1+$C$82)*(1+$C$81)-1</f>
        <v/>
      </c>
    </row>
    <row r="86">
      <c r="A86" s="10" t="inlineStr">
        <is>
          <t>Balance-sheet and bridge anchors</t>
        </is>
      </c>
      <c r="B86" s="13" t="n"/>
      <c r="C86" s="13" t="n"/>
      <c r="D86" s="13" t="n"/>
      <c r="E86" s="13" t="n"/>
      <c r="F86" s="13" t="n"/>
      <c r="G86" s="13" t="n"/>
      <c r="H86" s="13" t="n"/>
    </row>
    <row r="87">
      <c r="A87" s="6" t="inlineStr">
        <is>
          <t>Lease liabilities at FY2025 (AED mn, audited — the only debt-like item)</t>
        </is>
      </c>
      <c r="C87" s="23" t="n">
        <v>1938.819</v>
      </c>
    </row>
    <row r="88">
      <c r="A88" s="6" t="inlineStr">
        <is>
          <t>Cash and term deposits at FY2025 (AED mn, audited)</t>
        </is>
      </c>
      <c r="C88" s="23" t="n">
        <v>2249.719</v>
      </c>
    </row>
    <row r="89">
      <c r="A89" s="6" t="inlineStr">
        <is>
          <t>Equity-accounted investees at carrying value (AED mn)</t>
        </is>
      </c>
      <c r="C89" s="25" t="n">
        <v>0.511</v>
      </c>
    </row>
    <row r="90">
      <c r="A90" s="6" t="inlineStr">
        <is>
          <t>Forecast dividend payout ratio (FY2024 actual 98%, FY2025 ~100%)</t>
        </is>
      </c>
      <c r="C90" s="24" t="n">
        <v>0.98</v>
      </c>
    </row>
    <row r="91">
      <c r="A91" s="6" t="inlineStr">
        <is>
          <t>Yield on cash and term deposits (audited FY2025 effective)</t>
        </is>
      </c>
      <c r="C91" s="24" t="n">
        <v>0.033</v>
      </c>
    </row>
    <row r="92">
      <c r="A92" s="6" t="inlineStr">
        <is>
          <t>Lease interest rate (audited FY2025 effective)</t>
        </is>
      </c>
      <c r="C92" s="24" t="n">
        <v>0.036</v>
      </c>
    </row>
    <row r="93">
      <c r="A93" s="6" t="inlineStr">
        <is>
          <t>Dividends gone ex between 31-Dec-2025 and the anchor (AED/share)</t>
        </is>
      </c>
      <c r="C93" s="7" t="n">
        <v>0.66</v>
      </c>
    </row>
    <row r="94">
      <c r="A94" s="6" t="inlineStr">
        <is>
          <t>Days from the 31-Dec-2025 valuation date to the 2026-09-07 price anchor</t>
        </is>
      </c>
      <c r="C94" s="23" t="n">
        <v>250</v>
      </c>
    </row>
    <row r="95">
      <c r="A95" s="6" t="inlineStr">
        <is>
          <t>Incremental capital per unit of real terminal growth (AED mn) — DERIVED from the forecast's own invested-capital and revenue paths: (IC(FY30E) − IC(FY26E)) / (revenue(FY30E) − revenue(FY26E)) x revenue(FY30E). It is what a unit of real growth would cost, and the terminal charges for it. This figure was a LITERAL inside the terminal formula until 08-09-2026, so the workbook stopped repricing off-base</t>
        </is>
      </c>
      <c r="C95" s="23" t="n">
        <v>10429.86852951931</v>
      </c>
    </row>
    <row r="97">
      <c r="A97" s="10" t="inlineStr">
        <is>
          <t>Lens inputs</t>
        </is>
      </c>
      <c r="B97" s="13" t="n"/>
      <c r="C97" s="13" t="n"/>
      <c r="D97" s="13" t="n"/>
      <c r="E97" s="13" t="n"/>
      <c r="F97" s="13" t="n"/>
      <c r="G97" s="13" t="n"/>
      <c r="H97" s="13" t="n"/>
    </row>
    <row r="98">
      <c r="A98" s="6" t="inlineStr">
        <is>
          <t>Justified price/earnings — Mobily's own, re-derived from its issuer filings. NOT A PEER MEDIAN and this study claims none: only two of six peers survive as clean observations. The label read "GCC telecom peer median" until 08-09-2026</t>
        </is>
      </c>
      <c r="C98" s="21" t="n">
        <v>12.9</v>
      </c>
    </row>
    <row r="99">
      <c r="A99" s="6" t="inlineStr">
        <is>
          <t>Peer benchmark dividend yield</t>
        </is>
      </c>
      <c r="C99" s="24" t="n">
        <v>0.0489</v>
      </c>
    </row>
    <row r="100">
      <c r="A100" s="6" t="inlineStr">
        <is>
          <t>Sustainable return on equity</t>
        </is>
      </c>
      <c r="C100" s="24" t="n">
        <v>0.27</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14"/>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Enterprise value to equity — the bridge</t>
        </is>
      </c>
      <c r="B1" s="2" t="n"/>
      <c r="C1" s="2" t="n"/>
      <c r="D1" s="2" t="n"/>
      <c r="E1" s="2" t="n"/>
    </row>
    <row r="2">
      <c r="A2" s="4" t="inlineStr">
        <is>
          <t>du has no drawn borrowings and no minority interests: the bridge is leases out, cash and deposits in</t>
        </is>
      </c>
    </row>
    <row r="4">
      <c r="A4" s="5" t="inlineStr">
        <is>
          <t>Step</t>
        </is>
      </c>
      <c r="B4" s="5" t="inlineStr">
        <is>
          <t>AED mn</t>
        </is>
      </c>
      <c r="C4" s="5" t="inlineStr">
        <is>
          <t>Per share (AED)</t>
        </is>
      </c>
    </row>
    <row r="5">
      <c r="A5" s="6" t="inlineStr">
        <is>
          <t>Present value of the five forecast years</t>
        </is>
      </c>
      <c r="C5" s="19">
        <f>DCF!C27</f>
        <v/>
      </c>
      <c r="D5" s="16">
        <f>C5/Assumptions!$C$6</f>
        <v/>
      </c>
    </row>
    <row r="6">
      <c r="A6" s="6" t="inlineStr">
        <is>
          <t>Present value of the terminal value</t>
        </is>
      </c>
      <c r="C6" s="19">
        <f>DCF!C28</f>
        <v/>
      </c>
      <c r="D6" s="16">
        <f>C6/Assumptions!$C$6</f>
        <v/>
      </c>
    </row>
    <row r="7">
      <c r="A7" s="6" t="inlineStr">
        <is>
          <t>Enterprise value</t>
        </is>
      </c>
      <c r="C7" s="28">
        <f>C5+C6</f>
        <v/>
      </c>
      <c r="D7" s="29">
        <f>C7/Assumptions!$C$6</f>
        <v/>
      </c>
    </row>
    <row r="8">
      <c r="A8" s="6" t="inlineStr">
        <is>
          <t>Less lease liabilities (the only debt-like item)</t>
        </is>
      </c>
      <c r="C8" s="19">
        <f>-Assumptions!$C$87</f>
        <v/>
      </c>
      <c r="D8" s="16">
        <f>C8/Assumptions!$C$6</f>
        <v/>
      </c>
    </row>
    <row r="9">
      <c r="A9" s="6" t="inlineStr">
        <is>
          <t>Plus cash and term deposits</t>
        </is>
      </c>
      <c r="C9" s="19">
        <f>Assumptions!$C$88</f>
        <v/>
      </c>
      <c r="D9" s="16">
        <f>C9/Assumptions!$C$6</f>
        <v/>
      </c>
    </row>
    <row r="10">
      <c r="A10" s="6" t="inlineStr">
        <is>
          <t>Plus equity-accounted investees at carrying value</t>
        </is>
      </c>
      <c r="C10" s="19">
        <f>Assumptions!$C$89</f>
        <v/>
      </c>
      <c r="D10" s="16">
        <f>C10/Assumptions!$C$6</f>
        <v/>
      </c>
    </row>
    <row r="11">
      <c r="A11" s="13" t="inlineStr">
        <is>
          <t>Equity value</t>
        </is>
      </c>
      <c r="B11" s="13" t="n"/>
      <c r="C11" s="30">
        <f>C7+C8+C9+C10</f>
        <v/>
      </c>
      <c r="D11" s="31">
        <f>C11/Assumptions!$C$6</f>
        <v/>
      </c>
    </row>
    <row r="13">
      <c r="A13" s="6" t="inlineStr">
        <is>
          <t>Terminal value as a share of enterprise value</t>
        </is>
      </c>
      <c r="C13" s="17">
        <f>DCF!C29</f>
        <v/>
      </c>
    </row>
    <row r="14">
      <c r="A14" s="4" t="inlineStr">
        <is>
          <t>No minority interests: every subsidiary is wholly owned (the two H1-2026 Cayman SPVs are 100%-held); non-controlling interests do not appear on the audited balance sheet.</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61"/>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unit build and the margin stack</t>
        </is>
      </c>
      <c r="B1" s="2" t="n"/>
      <c r="C1" s="2" t="n"/>
      <c r="D1" s="2" t="n"/>
      <c r="E1" s="2" t="n"/>
      <c r="F1" s="2" t="n"/>
      <c r="G1" s="2" t="n"/>
      <c r="H1" s="2" t="n"/>
      <c r="I1" s="2" t="n"/>
    </row>
    <row r="2">
      <c r="A2" s="4" t="inlineStr">
        <is>
          <t>FY2025 disclosed revenue and contribution margins; forecast segment revenue is the unit build's OUTPUT (pasted, blue) and everything below it is formula</t>
        </is>
      </c>
    </row>
    <row r="4">
      <c r="A4" s="5" t="inlineStr">
        <is>
          <t>Segment</t>
        </is>
      </c>
      <c r="B4" s="5" t="inlineStr">
        <is>
          <t>FY2025 revenue</t>
        </is>
      </c>
      <c r="C4" s="5" t="inlineStr">
        <is>
          <t>Share</t>
        </is>
      </c>
      <c r="D4" s="5" t="inlineStr">
        <is>
          <t>FY2025 margin</t>
        </is>
      </c>
      <c r="E4" s="5" t="inlineStr">
        <is>
          <t>FY26E</t>
        </is>
      </c>
      <c r="F4" s="5" t="inlineStr">
        <is>
          <t>FY27E</t>
        </is>
      </c>
      <c r="G4" s="5" t="inlineStr">
        <is>
          <t>FY28E</t>
        </is>
      </c>
      <c r="H4" s="5" t="inlineStr">
        <is>
          <t>FY29E</t>
        </is>
      </c>
      <c r="I4" s="5" t="inlineStr">
        <is>
          <t>FY30E</t>
        </is>
      </c>
    </row>
    <row r="5">
      <c r="A5" s="6" t="inlineStr">
        <is>
          <t>Mobile</t>
        </is>
      </c>
      <c r="B5" s="23" t="n">
        <v>7074.936</v>
      </c>
      <c r="C5" s="9">
        <f>B5/$B$9</f>
        <v/>
      </c>
      <c r="D5" s="24" t="n">
        <v>0.6082941244980873</v>
      </c>
      <c r="E5" s="32">
        <f>Assumptions!$C$14+(Assumptions!$C$16+Assumptions!$B$24)/2*Assumptions!$B$26*6/1000</f>
        <v/>
      </c>
      <c r="F5" s="32">
        <f>(Assumptions!$B$24+Assumptions!$C$24)/2*Assumptions!$C$26*(1+Assumptions!$C$46)^1*12/1000</f>
        <v/>
      </c>
      <c r="G5" s="32">
        <f>(Assumptions!$C$24+Assumptions!$D$24)/2*Assumptions!$D$26*(1+Assumptions!$C$46)^2*12/1000</f>
        <v/>
      </c>
      <c r="H5" s="32">
        <f>(Assumptions!$D$24+Assumptions!$E$24)/2*Assumptions!$E$26*(1+Assumptions!$C$46)^3*12/1000</f>
        <v/>
      </c>
      <c r="I5" s="32">
        <f>(Assumptions!$E$24+Assumptions!$F$24)/2*Assumptions!$F$26*(1+Assumptions!$C$46)^4*12/1000</f>
        <v/>
      </c>
    </row>
    <row r="6">
      <c r="A6" s="6" t="inlineStr">
        <is>
          <t>Fixed</t>
        </is>
      </c>
      <c r="B6" s="23" t="n">
        <v>4379.705</v>
      </c>
      <c r="C6" s="9">
        <f>B6/$B$9</f>
        <v/>
      </c>
      <c r="D6" s="24" t="n">
        <v>0.858015094623953</v>
      </c>
      <c r="E6" s="32">
        <f>Assumptions!$C$15+(Assumptions!$C$17+Assumptions!$B$25)/2*Assumptions!$B$27*6/1000</f>
        <v/>
      </c>
      <c r="F6" s="32">
        <f>(Assumptions!$B$25+Assumptions!$C$25)/2*Assumptions!$C$27*(1+Assumptions!$C$46)^1*12/1000</f>
        <v/>
      </c>
      <c r="G6" s="32">
        <f>(Assumptions!$C$25+Assumptions!$D$25)/2*Assumptions!$D$27*(1+Assumptions!$C$46)^2*12/1000</f>
        <v/>
      </c>
      <c r="H6" s="32">
        <f>(Assumptions!$D$25+Assumptions!$E$25)/2*Assumptions!$E$27*(1+Assumptions!$C$46)^3*12/1000</f>
        <v/>
      </c>
      <c r="I6" s="32">
        <f>(Assumptions!$E$25+Assumptions!$F$25)/2*Assumptions!$F$27*(1+Assumptions!$C$46)^4*12/1000</f>
        <v/>
      </c>
    </row>
    <row r="7">
      <c r="A7" s="6" t="inlineStr">
        <is>
          <t>Wholesale</t>
        </is>
      </c>
      <c r="B7" s="23" t="n">
        <v>2568.222</v>
      </c>
      <c r="C7" s="9">
        <f>B7/$B$9</f>
        <v/>
      </c>
      <c r="D7" s="24" t="n">
        <v>0.8642060538380248</v>
      </c>
      <c r="E7" s="32">
        <f>Assumptions!$C$18*(1+Assumptions!$B$28)</f>
        <v/>
      </c>
      <c r="F7" s="32">
        <f>E7*(1+Assumptions!$C$28)</f>
        <v/>
      </c>
      <c r="G7" s="32">
        <f>F7*(1+Assumptions!$D$28)</f>
        <v/>
      </c>
      <c r="H7" s="32">
        <f>G7*(1+Assumptions!$E$28)</f>
        <v/>
      </c>
      <c r="I7" s="32">
        <f>H7*(1+Assumptions!$F$28)</f>
        <v/>
      </c>
    </row>
    <row r="8">
      <c r="A8" s="6" t="inlineStr">
        <is>
          <t>ICT and associated telecom services</t>
        </is>
      </c>
      <c r="B8" s="23" t="n">
        <v>1882.558</v>
      </c>
      <c r="C8" s="9">
        <f>B8/$B$9</f>
        <v/>
      </c>
      <c r="D8" s="24" t="n">
        <v>0.1939000020185301</v>
      </c>
      <c r="E8" s="32">
        <f>Assumptions!$C$19*(1+Assumptions!$B$29)</f>
        <v/>
      </c>
      <c r="F8" s="32">
        <f>E8*(1+Assumptions!$C$29)</f>
        <v/>
      </c>
      <c r="G8" s="32">
        <f>F8*(1+Assumptions!$D$29)</f>
        <v/>
      </c>
      <c r="H8" s="32">
        <f>G8*(1+Assumptions!$E$29)</f>
        <v/>
      </c>
      <c r="I8" s="32">
        <f>H8*(1+Assumptions!$F$29)</f>
        <v/>
      </c>
    </row>
    <row r="9">
      <c r="A9" s="10" t="inlineStr">
        <is>
          <t>Total revenue</t>
        </is>
      </c>
      <c r="B9" s="33">
        <f>SUM(B5:B8)</f>
        <v/>
      </c>
      <c r="C9" s="14">
        <f>SUM(C5:C8)</f>
        <v/>
      </c>
      <c r="D9" s="13" t="n"/>
      <c r="E9" s="33">
        <f>SUM(E5:E8)</f>
        <v/>
      </c>
      <c r="F9" s="33">
        <f>SUM(F5:F8)</f>
        <v/>
      </c>
      <c r="G9" s="33">
        <f>SUM(G5:G8)</f>
        <v/>
      </c>
      <c r="H9" s="33">
        <f>SUM(H5:H8)</f>
        <v/>
      </c>
      <c r="I9" s="33">
        <f>SUM(I5:I8)</f>
        <v/>
      </c>
    </row>
    <row r="11">
      <c r="A11" s="5" t="inlineStr">
        <is>
          <t>Direct cost per unit — each line grown on its own physical driver</t>
        </is>
      </c>
      <c r="B11" s="5" t="inlineStr">
        <is>
          <t>FY26E</t>
        </is>
      </c>
      <c r="C11" s="5" t="inlineStr">
        <is>
          <t>FY27E</t>
        </is>
      </c>
      <c r="D11" s="5" t="inlineStr">
        <is>
          <t>FY28E</t>
        </is>
      </c>
      <c r="E11" s="5" t="inlineStr">
        <is>
          <t>FY29E</t>
        </is>
      </c>
      <c r="F11" s="5" t="inlineStr">
        <is>
          <t>FY30E</t>
        </is>
      </c>
    </row>
    <row r="12">
      <c r="A12" s="6" t="inlineStr">
        <is>
          <t>Mobile interconnect (AED per subscriber per month)</t>
        </is>
      </c>
      <c r="B12" s="34">
        <f>Assumptions!$C$32*(1+Assumptions!$C$33)^0</f>
        <v/>
      </c>
      <c r="C12" s="34">
        <f>Assumptions!$C$32*(1+Assumptions!$C$33)^1</f>
        <v/>
      </c>
      <c r="D12" s="34">
        <f>Assumptions!$C$32*(1+Assumptions!$C$33)^2</f>
        <v/>
      </c>
      <c r="E12" s="34">
        <f>Assumptions!$C$32*(1+Assumptions!$C$33)^3</f>
        <v/>
      </c>
      <c r="F12" s="34">
        <f>Assumptions!$C$32*(1+Assumptions!$C$33)^4</f>
        <v/>
      </c>
    </row>
    <row r="13">
      <c r="A13" s="6" t="inlineStr">
        <is>
          <t>Mobile commission (AED per subscriber per month)</t>
        </is>
      </c>
      <c r="B13" s="34">
        <f>Assumptions!$C$34*(1+Assumptions!$C$35)^0</f>
        <v/>
      </c>
      <c r="C13" s="34">
        <f>Assumptions!$C$34*(1+Assumptions!$C$35)^1</f>
        <v/>
      </c>
      <c r="D13" s="34">
        <f>Assumptions!$C$34*(1+Assumptions!$C$35)^2</f>
        <v/>
      </c>
      <c r="E13" s="34">
        <f>Assumptions!$C$34*(1+Assumptions!$C$35)^3</f>
        <v/>
      </c>
      <c r="F13" s="34">
        <f>Assumptions!$C$34*(1+Assumptions!$C$35)^4</f>
        <v/>
      </c>
    </row>
    <row r="14">
      <c r="A14" s="6" t="inlineStr">
        <is>
          <t>Mobile devices and direct services (AED per subscriber per month)</t>
        </is>
      </c>
      <c r="B14" s="34">
        <f>Assumptions!$C$36*(1+Assumptions!$C$37)^0</f>
        <v/>
      </c>
      <c r="C14" s="34">
        <f>Assumptions!$C$36*(1+Assumptions!$C$37)^1</f>
        <v/>
      </c>
      <c r="D14" s="34">
        <f>Assumptions!$C$36*(1+Assumptions!$C$37)^2</f>
        <v/>
      </c>
      <c r="E14" s="34">
        <f>Assumptions!$C$36*(1+Assumptions!$C$37)^3</f>
        <v/>
      </c>
      <c r="F14" s="34">
        <f>Assumptions!$C$36*(1+Assumptions!$C$37)^4</f>
        <v/>
      </c>
    </row>
    <row r="15">
      <c r="A15" s="10" t="inlineStr">
        <is>
          <t>Mobile — total direct cost per subscriber per month</t>
        </is>
      </c>
      <c r="B15" s="35">
        <f>B12+B13+B14</f>
        <v/>
      </c>
      <c r="C15" s="35">
        <f>C12+C13+C14</f>
        <v/>
      </c>
      <c r="D15" s="35">
        <f>D12+D13+D14</f>
        <v/>
      </c>
      <c r="E15" s="35">
        <f>E12+E13+E14</f>
        <v/>
      </c>
      <c r="F15" s="35">
        <f>F12+F13+F14</f>
        <v/>
      </c>
    </row>
    <row r="16">
      <c r="A16" s="6" t="inlineStr">
        <is>
          <t>Fixed capacity and direct cost (AED per subscriber per month)</t>
        </is>
      </c>
      <c r="B16" s="34">
        <f>Assumptions!$C$38*(1+Assumptions!$C$39)^0</f>
        <v/>
      </c>
      <c r="C16" s="34">
        <f>Assumptions!$C$38*(1+Assumptions!$C$39)^1</f>
        <v/>
      </c>
      <c r="D16" s="34">
        <f>Assumptions!$C$38*(1+Assumptions!$C$39)^2</f>
        <v/>
      </c>
      <c r="E16" s="34">
        <f>Assumptions!$C$38*(1+Assumptions!$C$39)^3</f>
        <v/>
      </c>
      <c r="F16" s="34">
        <f>Assumptions!$C$38*(1+Assumptions!$C$39)^4</f>
        <v/>
      </c>
    </row>
    <row r="17">
      <c r="A17" s="6" t="inlineStr">
        <is>
          <t>Wholesale direct cost / wholesale revenue (no disclosed unit — flagged)</t>
        </is>
      </c>
      <c r="B17" s="9">
        <f>Assumptions!$C$40</f>
        <v/>
      </c>
      <c r="C17" s="9">
        <f>Assumptions!$C$40</f>
        <v/>
      </c>
      <c r="D17" s="9">
        <f>Assumptions!$C$40</f>
        <v/>
      </c>
      <c r="E17" s="9">
        <f>Assumptions!$C$40</f>
        <v/>
      </c>
      <c r="F17" s="9">
        <f>Assumptions!$C$40</f>
        <v/>
      </c>
    </row>
    <row r="18">
      <c r="A18" s="6" t="inlineStr">
        <is>
          <t>ICT direct cost / ICT revenue (no disclosed unit — flagged)</t>
        </is>
      </c>
      <c r="B18" s="9">
        <f>Assumptions!$C$41</f>
        <v/>
      </c>
      <c r="C18" s="9">
        <f>Assumptions!$C$41</f>
        <v/>
      </c>
      <c r="D18" s="9">
        <f>Assumptions!$C$41</f>
        <v/>
      </c>
      <c r="E18" s="9">
        <f>Assumptions!$C$41</f>
        <v/>
      </c>
      <c r="F18" s="9">
        <f>Assumptions!$C$41</f>
        <v/>
      </c>
    </row>
    <row r="20">
      <c r="A20" s="5" t="inlineStr">
        <is>
          <t>Direct cost (AED mn) — volume x cost per unit</t>
        </is>
      </c>
      <c r="B20" s="5" t="inlineStr">
        <is>
          <t>FY26E</t>
        </is>
      </c>
      <c r="C20" s="5" t="inlineStr">
        <is>
          <t>FY27E</t>
        </is>
      </c>
      <c r="D20" s="5" t="inlineStr">
        <is>
          <t>FY28E</t>
        </is>
      </c>
      <c r="E20" s="5" t="inlineStr">
        <is>
          <t>FY29E</t>
        </is>
      </c>
      <c r="F20" s="5" t="inlineStr">
        <is>
          <t>FY30E</t>
        </is>
      </c>
    </row>
    <row r="21">
      <c r="A21" s="6" t="inlineStr">
        <is>
          <t>Mobile</t>
        </is>
      </c>
      <c r="B21" s="32">
        <f>Assumptions!$C$42+(Assumptions!$C$16+Assumptions!$B$24)/2*B15*6/1000</f>
        <v/>
      </c>
      <c r="C21" s="32">
        <f>(Assumptions!$B$24+Assumptions!$C$24)/2*C15*12/1000</f>
        <v/>
      </c>
      <c r="D21" s="32">
        <f>(Assumptions!$C$24+Assumptions!$D$24)/2*D15*12/1000</f>
        <v/>
      </c>
      <c r="E21" s="32">
        <f>(Assumptions!$D$24+Assumptions!$E$24)/2*E15*12/1000</f>
        <v/>
      </c>
      <c r="F21" s="32">
        <f>(Assumptions!$E$24+Assumptions!$F$24)/2*F15*12/1000</f>
        <v/>
      </c>
    </row>
    <row r="22">
      <c r="A22" s="6" t="inlineStr">
        <is>
          <t>Fixed</t>
        </is>
      </c>
      <c r="B22" s="32">
        <f>Assumptions!$C$43+(Assumptions!$C$17+Assumptions!$B$25)/2*B16*6/1000</f>
        <v/>
      </c>
      <c r="C22" s="32">
        <f>(Assumptions!$B$25+Assumptions!$C$25)/2*C16*12/1000</f>
        <v/>
      </c>
      <c r="D22" s="32">
        <f>(Assumptions!$C$25+Assumptions!$D$25)/2*D16*12/1000</f>
        <v/>
      </c>
      <c r="E22" s="32">
        <f>(Assumptions!$D$25+Assumptions!$E$25)/2*E16*12/1000</f>
        <v/>
      </c>
      <c r="F22" s="32">
        <f>(Assumptions!$E$25+Assumptions!$F$25)/2*F16*12/1000</f>
        <v/>
      </c>
    </row>
    <row r="23">
      <c r="A23" s="6" t="inlineStr">
        <is>
          <t>Wholesale</t>
        </is>
      </c>
      <c r="B23" s="32">
        <f>Assumptions!$C$44+(E7-Assumptions!$C$20)*B17</f>
        <v/>
      </c>
      <c r="C23" s="32">
        <f>F7*C17</f>
        <v/>
      </c>
      <c r="D23" s="32">
        <f>G7*D17</f>
        <v/>
      </c>
      <c r="E23" s="32">
        <f>H7*E17</f>
        <v/>
      </c>
      <c r="F23" s="32">
        <f>I7*F17</f>
        <v/>
      </c>
    </row>
    <row r="24">
      <c r="A24" s="6" t="inlineStr">
        <is>
          <t>ICT and associated telecom services</t>
        </is>
      </c>
      <c r="B24" s="32">
        <f>Assumptions!$C$45+(E8-Assumptions!$C$21)*B18</f>
        <v/>
      </c>
      <c r="C24" s="32">
        <f>F8*C18</f>
        <v/>
      </c>
      <c r="D24" s="32">
        <f>G8*D18</f>
        <v/>
      </c>
      <c r="E24" s="32">
        <f>H8*E18</f>
        <v/>
      </c>
      <c r="F24" s="32">
        <f>I8*F18</f>
        <v/>
      </c>
    </row>
    <row r="25">
      <c r="A25" s="10" t="inlineStr">
        <is>
          <t>Total direct cost</t>
        </is>
      </c>
      <c r="B25" s="33">
        <f>SUM(B21:B24)</f>
        <v/>
      </c>
      <c r="C25" s="33">
        <f>SUM(C21:C24)</f>
        <v/>
      </c>
      <c r="D25" s="33">
        <f>SUM(D21:D24)</f>
        <v/>
      </c>
      <c r="E25" s="33">
        <f>SUM(E21:E24)</f>
        <v/>
      </c>
      <c r="F25" s="33">
        <f>SUM(F21:F24)</f>
        <v/>
      </c>
    </row>
    <row r="27">
      <c r="A27" s="5" t="inlineStr">
        <is>
          <t>Contribution = revenue less direct cost — AN OUTPUT, NOT AN INPUT</t>
        </is>
      </c>
      <c r="B27" s="5" t="inlineStr">
        <is>
          <t>FY26E</t>
        </is>
      </c>
      <c r="C27" s="5" t="inlineStr">
        <is>
          <t>FY27E</t>
        </is>
      </c>
      <c r="D27" s="5" t="inlineStr">
        <is>
          <t>FY28E</t>
        </is>
      </c>
      <c r="E27" s="5" t="inlineStr">
        <is>
          <t>FY29E</t>
        </is>
      </c>
      <c r="F27" s="5" t="inlineStr">
        <is>
          <t>FY30E</t>
        </is>
      </c>
    </row>
    <row r="28">
      <c r="A28" s="6" t="inlineStr">
        <is>
          <t>Mobile</t>
        </is>
      </c>
      <c r="B28" s="32">
        <f>E5-B21</f>
        <v/>
      </c>
      <c r="C28" s="32">
        <f>F5-C21</f>
        <v/>
      </c>
      <c r="D28" s="32">
        <f>G5-D21</f>
        <v/>
      </c>
      <c r="E28" s="32">
        <f>H5-E21</f>
        <v/>
      </c>
      <c r="F28" s="32">
        <f>I5-F21</f>
        <v/>
      </c>
    </row>
    <row r="29">
      <c r="A29" s="6" t="inlineStr">
        <is>
          <t>Fixed</t>
        </is>
      </c>
      <c r="B29" s="32">
        <f>E6-B22</f>
        <v/>
      </c>
      <c r="C29" s="32">
        <f>F6-C22</f>
        <v/>
      </c>
      <c r="D29" s="32">
        <f>G6-D22</f>
        <v/>
      </c>
      <c r="E29" s="32">
        <f>H6-E22</f>
        <v/>
      </c>
      <c r="F29" s="32">
        <f>I6-F22</f>
        <v/>
      </c>
    </row>
    <row r="30">
      <c r="A30" s="6" t="inlineStr">
        <is>
          <t>Wholesale</t>
        </is>
      </c>
      <c r="B30" s="32">
        <f>E7-B23</f>
        <v/>
      </c>
      <c r="C30" s="32">
        <f>F7-C23</f>
        <v/>
      </c>
      <c r="D30" s="32">
        <f>G7-D23</f>
        <v/>
      </c>
      <c r="E30" s="32">
        <f>H7-E23</f>
        <v/>
      </c>
      <c r="F30" s="32">
        <f>I7-F23</f>
        <v/>
      </c>
    </row>
    <row r="31">
      <c r="A31" s="6" t="inlineStr">
        <is>
          <t>ICT and associated telecom services</t>
        </is>
      </c>
      <c r="B31" s="32">
        <f>E8-B24</f>
        <v/>
      </c>
      <c r="C31" s="32">
        <f>F8-C24</f>
        <v/>
      </c>
      <c r="D31" s="32">
        <f>G8-D24</f>
        <v/>
      </c>
      <c r="E31" s="32">
        <f>H8-E24</f>
        <v/>
      </c>
      <c r="F31" s="32">
        <f>I8-F24</f>
        <v/>
      </c>
    </row>
    <row r="32">
      <c r="A32" s="10" t="inlineStr">
        <is>
          <t>Total contribution</t>
        </is>
      </c>
      <c r="B32" s="33">
        <f>SUM(B28:B31)</f>
        <v/>
      </c>
      <c r="C32" s="33">
        <f>SUM(C28:C31)</f>
        <v/>
      </c>
      <c r="D32" s="33">
        <f>SUM(D28:D31)</f>
        <v/>
      </c>
      <c r="E32" s="33">
        <f>SUM(E28:E31)</f>
        <v/>
      </c>
      <c r="F32" s="33">
        <f>SUM(F28:F31)</f>
        <v/>
      </c>
    </row>
    <row r="34">
      <c r="A34" s="5" t="inlineStr">
        <is>
          <t>Contribution margin — computed, never assumed</t>
        </is>
      </c>
      <c r="B34" s="5" t="inlineStr">
        <is>
          <t>FY26E</t>
        </is>
      </c>
      <c r="C34" s="5" t="inlineStr">
        <is>
          <t>FY27E</t>
        </is>
      </c>
      <c r="D34" s="5" t="inlineStr">
        <is>
          <t>FY28E</t>
        </is>
      </c>
      <c r="E34" s="5" t="inlineStr">
        <is>
          <t>FY29E</t>
        </is>
      </c>
      <c r="F34" s="5" t="inlineStr">
        <is>
          <t>FY30E</t>
        </is>
      </c>
    </row>
    <row r="35">
      <c r="A35" s="6" t="inlineStr">
        <is>
          <t>Mobile</t>
        </is>
      </c>
      <c r="B35" s="9">
        <f>B28/E5</f>
        <v/>
      </c>
      <c r="C35" s="9">
        <f>C28/F5</f>
        <v/>
      </c>
      <c r="D35" s="9">
        <f>D28/G5</f>
        <v/>
      </c>
      <c r="E35" s="9">
        <f>E28/H5</f>
        <v/>
      </c>
      <c r="F35" s="9">
        <f>F28/I5</f>
        <v/>
      </c>
    </row>
    <row r="36">
      <c r="A36" s="6" t="inlineStr">
        <is>
          <t>Fixed</t>
        </is>
      </c>
      <c r="B36" s="9">
        <f>B29/E6</f>
        <v/>
      </c>
      <c r="C36" s="9">
        <f>C29/F6</f>
        <v/>
      </c>
      <c r="D36" s="9">
        <f>D29/G6</f>
        <v/>
      </c>
      <c r="E36" s="9">
        <f>E29/H6</f>
        <v/>
      </c>
      <c r="F36" s="9">
        <f>F29/I6</f>
        <v/>
      </c>
    </row>
    <row r="37">
      <c r="A37" s="6" t="inlineStr">
        <is>
          <t>Wholesale</t>
        </is>
      </c>
      <c r="B37" s="9">
        <f>B30/E7</f>
        <v/>
      </c>
      <c r="C37" s="9">
        <f>C30/F7</f>
        <v/>
      </c>
      <c r="D37" s="9">
        <f>D30/G7</f>
        <v/>
      </c>
      <c r="E37" s="9">
        <f>E30/H7</f>
        <v/>
      </c>
      <c r="F37" s="9">
        <f>F30/I7</f>
        <v/>
      </c>
    </row>
    <row r="38">
      <c r="A38" s="6" t="inlineStr">
        <is>
          <t>ICT and associated telecom services</t>
        </is>
      </c>
      <c r="B38" s="9">
        <f>B31/E8</f>
        <v/>
      </c>
      <c r="C38" s="9">
        <f>C31/F8</f>
        <v/>
      </c>
      <c r="D38" s="9">
        <f>D31/G8</f>
        <v/>
      </c>
      <c r="E38" s="9">
        <f>E31/H8</f>
        <v/>
      </c>
      <c r="F38" s="9">
        <f>F31/I8</f>
        <v/>
      </c>
    </row>
    <row r="39">
      <c r="A39" s="10" t="inlineStr">
        <is>
          <t>Group gross margin</t>
        </is>
      </c>
      <c r="B39" s="14">
        <f>B32/E9</f>
        <v/>
      </c>
      <c r="C39" s="14">
        <f>C32/F9</f>
        <v/>
      </c>
      <c r="D39" s="14">
        <f>D32/G9</f>
        <v/>
      </c>
      <c r="E39" s="14">
        <f>E32/H9</f>
        <v/>
      </c>
      <c r="F39" s="14">
        <f>F32/I9</f>
        <v/>
      </c>
    </row>
    <row r="41">
      <c r="A41" s="5" t="inlineStr">
        <is>
          <t>Operating expense stack — one escalator per cost class</t>
        </is>
      </c>
      <c r="B41" s="5" t="inlineStr">
        <is>
          <t>FY26E</t>
        </is>
      </c>
      <c r="C41" s="5" t="inlineStr">
        <is>
          <t>FY27E</t>
        </is>
      </c>
      <c r="D41" s="5" t="inlineStr">
        <is>
          <t>FY28E</t>
        </is>
      </c>
      <c r="E41" s="5" t="inlineStr">
        <is>
          <t>FY29E</t>
        </is>
      </c>
      <c r="F41" s="5" t="inlineStr">
        <is>
          <t>FY30E</t>
        </is>
      </c>
    </row>
    <row r="42">
      <c r="A42" s="6" t="inlineStr">
        <is>
          <t>Staff (wage escalator)</t>
        </is>
      </c>
      <c r="B42" s="32">
        <f>Assumptions!$C$49*(1+Assumptions!$C$50)^0</f>
        <v/>
      </c>
      <c r="C42" s="32">
        <f>Assumptions!$C$49*(1+Assumptions!$C$50)^1</f>
        <v/>
      </c>
      <c r="D42" s="32">
        <f>Assumptions!$C$49*(1+Assumptions!$C$50)^2</f>
        <v/>
      </c>
      <c r="E42" s="32">
        <f>Assumptions!$C$49*(1+Assumptions!$C$50)^3</f>
        <v/>
      </c>
      <c r="F42" s="32">
        <f>Assumptions!$C$49*(1+Assumptions!$C$50)^4</f>
        <v/>
      </c>
    </row>
    <row r="43">
      <c r="A43" s="6" t="inlineStr">
        <is>
          <t>Network &amp; maintenance (network-scale escalator)</t>
        </is>
      </c>
      <c r="B43" s="32">
        <f>Assumptions!$C$51*(1+Assumptions!$C$52)^1</f>
        <v/>
      </c>
      <c r="C43" s="32">
        <f>Assumptions!$C$51*(1+Assumptions!$C$52)^2</f>
        <v/>
      </c>
      <c r="D43" s="32">
        <f>Assumptions!$C$51*(1+Assumptions!$C$52)^3</f>
        <v/>
      </c>
      <c r="E43" s="32">
        <f>Assumptions!$C$51*(1+Assumptions!$C$52)^4</f>
        <v/>
      </c>
      <c r="F43" s="32">
        <f>Assumptions!$C$51*(1+Assumptions!$C$52)^5</f>
        <v/>
      </c>
    </row>
    <row r="44">
      <c r="A44" s="6" t="inlineStr">
        <is>
          <t>Marketing (% of revenue)</t>
        </is>
      </c>
      <c r="B44" s="32">
        <f>E9*Assumptions!$C$57</f>
        <v/>
      </c>
      <c r="C44" s="32">
        <f>F9*Assumptions!$C$57</f>
        <v/>
      </c>
      <c r="D44" s="32">
        <f>G9*Assumptions!$C$57</f>
        <v/>
      </c>
      <c r="E44" s="32">
        <f>H9*Assumptions!$C$57</f>
        <v/>
      </c>
      <c r="F44" s="32">
        <f>I9*Assumptions!$C$57</f>
        <v/>
      </c>
    </row>
    <row r="45">
      <c r="A45" s="6" t="inlineStr">
        <is>
          <t>Telecom licence and related fees (% of revenue)</t>
        </is>
      </c>
      <c r="B45" s="32">
        <f>E9*Assumptions!$C$58</f>
        <v/>
      </c>
      <c r="C45" s="32">
        <f>F9*Assumptions!$C$58</f>
        <v/>
      </c>
      <c r="D45" s="32">
        <f>G9*Assumptions!$C$58</f>
        <v/>
      </c>
      <c r="E45" s="32">
        <f>H9*Assumptions!$C$58</f>
        <v/>
      </c>
      <c r="F45" s="32">
        <f>I9*Assumptions!$C$58</f>
        <v/>
      </c>
    </row>
    <row r="46">
      <c r="A46" s="6" t="inlineStr">
        <is>
          <t>Administrative (CPI escalator)</t>
        </is>
      </c>
      <c r="B46" s="32">
        <f>Assumptions!$C$53*(1+Assumptions!$C$54)^1</f>
        <v/>
      </c>
      <c r="C46" s="32">
        <f>Assumptions!$C$53*(1+Assumptions!$C$54)^2</f>
        <v/>
      </c>
      <c r="D46" s="32">
        <f>Assumptions!$C$53*(1+Assumptions!$C$54)^3</f>
        <v/>
      </c>
      <c r="E46" s="32">
        <f>Assumptions!$C$53*(1+Assumptions!$C$54)^4</f>
        <v/>
      </c>
      <c r="F46" s="32">
        <f>Assumptions!$C$53*(1+Assumptions!$C$54)^5</f>
        <v/>
      </c>
    </row>
    <row r="47">
      <c r="A47" s="6" t="inlineStr">
        <is>
          <t>Other operating expense (CPI escalator)</t>
        </is>
      </c>
      <c r="B47" s="32">
        <f>Assumptions!$C$55*(1+Assumptions!$C$56)^1</f>
        <v/>
      </c>
      <c r="C47" s="32">
        <f>Assumptions!$C$55*(1+Assumptions!$C$56)^2</f>
        <v/>
      </c>
      <c r="D47" s="32">
        <f>Assumptions!$C$55*(1+Assumptions!$C$56)^3</f>
        <v/>
      </c>
      <c r="E47" s="32">
        <f>Assumptions!$C$55*(1+Assumptions!$C$56)^4</f>
        <v/>
      </c>
      <c r="F47" s="32">
        <f>Assumptions!$C$55*(1+Assumptions!$C$56)^5</f>
        <v/>
      </c>
    </row>
    <row r="48">
      <c r="A48" s="6" t="inlineStr">
        <is>
          <t>Expected credit losses (% of revenue)</t>
        </is>
      </c>
      <c r="B48" s="32">
        <f>E9*Assumptions!$C$59</f>
        <v/>
      </c>
      <c r="C48" s="32">
        <f>F9*Assumptions!$C$59</f>
        <v/>
      </c>
      <c r="D48" s="32">
        <f>G9*Assumptions!$C$59</f>
        <v/>
      </c>
      <c r="E48" s="32">
        <f>H9*Assumptions!$C$59</f>
        <v/>
      </c>
      <c r="F48" s="32">
        <f>I9*Assumptions!$C$59</f>
        <v/>
      </c>
    </row>
    <row r="49">
      <c r="A49" s="6" t="inlineStr">
        <is>
          <t>Less other operating income</t>
        </is>
      </c>
      <c r="B49" s="32">
        <f>-Assumptions!$C$60</f>
        <v/>
      </c>
      <c r="C49" s="32">
        <f>-Assumptions!$C$60</f>
        <v/>
      </c>
      <c r="D49" s="32">
        <f>-Assumptions!$C$60</f>
        <v/>
      </c>
      <c r="E49" s="32">
        <f>-Assumptions!$C$60</f>
        <v/>
      </c>
      <c r="F49" s="32">
        <f>-Assumptions!$C$60</f>
        <v/>
      </c>
    </row>
    <row r="50">
      <c r="A50" s="10" t="inlineStr">
        <is>
          <t>Total operating expenses before D&amp;A</t>
        </is>
      </c>
      <c r="B50" s="33">
        <f>SUM(B42:B49)</f>
        <v/>
      </c>
      <c r="C50" s="33">
        <f>SUM(C42:C49)</f>
        <v/>
      </c>
      <c r="D50" s="33">
        <f>SUM(D42:D49)</f>
        <v/>
      </c>
      <c r="E50" s="33">
        <f>SUM(E42:E49)</f>
        <v/>
      </c>
      <c r="F50" s="33">
        <f>SUM(F42:F49)</f>
        <v/>
      </c>
    </row>
    <row r="51">
      <c r="A51" s="10" t="inlineStr">
        <is>
          <t>Group EBITDA (contribution less the opex stack)</t>
        </is>
      </c>
      <c r="B51" s="33">
        <f>B32-B50</f>
        <v/>
      </c>
      <c r="C51" s="33">
        <f>C32-C50</f>
        <v/>
      </c>
      <c r="D51" s="33">
        <f>D32-D50</f>
        <v/>
      </c>
      <c r="E51" s="33">
        <f>E32-E50</f>
        <v/>
      </c>
      <c r="F51" s="33">
        <f>F32-F50</f>
        <v/>
      </c>
    </row>
    <row r="52">
      <c r="A52" s="6" t="inlineStr">
        <is>
          <t>Group EBITDA margin</t>
        </is>
      </c>
      <c r="B52" s="9">
        <f>B51/E$9</f>
        <v/>
      </c>
      <c r="C52" s="9">
        <f>C51/F$9</f>
        <v/>
      </c>
      <c r="D52" s="9">
        <f>D51/G$9</f>
        <v/>
      </c>
      <c r="E52" s="9">
        <f>E51/H$9</f>
        <v/>
      </c>
      <c r="F52" s="9">
        <f>F51/I$9</f>
        <v/>
      </c>
    </row>
    <row r="54">
      <c r="A54" s="5" t="inlineStr">
        <is>
          <t>The unit build behind Mobile and Fixed (triangulation shown, not asserted)</t>
        </is>
      </c>
      <c r="B54" s="5" t="inlineStr">
        <is>
          <t>FY26E</t>
        </is>
      </c>
      <c r="C54" s="5" t="inlineStr">
        <is>
          <t>FY27E</t>
        </is>
      </c>
      <c r="D54" s="5" t="inlineStr">
        <is>
          <t>FY28E</t>
        </is>
      </c>
      <c r="E54" s="5" t="inlineStr">
        <is>
          <t>FY29E</t>
        </is>
      </c>
      <c r="F54" s="5" t="inlineStr">
        <is>
          <t>FY30E</t>
        </is>
      </c>
    </row>
    <row r="55">
      <c r="A55" s="6" t="inlineStr">
        <is>
          <t>Mobile subscribers, end of year ('000)</t>
        </is>
      </c>
      <c r="B55" s="32">
        <f>Assumptions!$B$24</f>
        <v/>
      </c>
      <c r="C55" s="32">
        <f>Assumptions!$C$24</f>
        <v/>
      </c>
      <c r="D55" s="32">
        <f>Assumptions!$D$24</f>
        <v/>
      </c>
      <c r="E55" s="32">
        <f>Assumptions!$E$24</f>
        <v/>
      </c>
      <c r="F55" s="32">
        <f>Assumptions!$F$24</f>
        <v/>
      </c>
    </row>
    <row r="56">
      <c r="A56" s="6" t="inlineStr">
        <is>
          <t>Average mobile base ('000) — (prior end + end)/2</t>
        </is>
      </c>
      <c r="B56" s="32">
        <f>(9280+Assumptions!$B$24)/2</f>
        <v/>
      </c>
      <c r="C56" s="32">
        <f>(Assumptions!$B$24+Assumptions!$C$24)/2</f>
        <v/>
      </c>
      <c r="D56" s="32">
        <f>(Assumptions!$C$24+Assumptions!$D$24)/2</f>
        <v/>
      </c>
      <c r="E56" s="32">
        <f>(Assumptions!$D$24+Assumptions!$E$24)/2</f>
        <v/>
      </c>
      <c r="F56" s="32">
        <f>(Assumptions!$E$24+Assumptions!$F$24)/2</f>
        <v/>
      </c>
    </row>
    <row r="57">
      <c r="A57" s="6" t="inlineStr">
        <is>
          <t>Blended mobile ARPU (AED/month)</t>
        </is>
      </c>
      <c r="B57" s="36">
        <f>Assumptions!$B$26</f>
        <v/>
      </c>
      <c r="C57" s="36">
        <f>Assumptions!$C$26</f>
        <v/>
      </c>
      <c r="D57" s="36">
        <f>Assumptions!$D$26</f>
        <v/>
      </c>
      <c r="E57" s="36">
        <f>Assumptions!$E$26</f>
        <v/>
      </c>
      <c r="F57" s="36">
        <f>Assumptions!$F$26</f>
        <v/>
      </c>
    </row>
    <row r="58">
      <c r="A58" s="6" t="inlineStr">
        <is>
          <t>Unit-implied mobile revenue — average base x ARPU x 12 (FY2026 is H1 actual + unit-built H2, so the check applies from FY2027)</t>
        </is>
      </c>
      <c r="B58" s="32" t="inlineStr">
        <is>
          <t>-</t>
        </is>
      </c>
      <c r="C58" s="32">
        <f>C56*C57*12/1000</f>
        <v/>
      </c>
      <c r="D58" s="32">
        <f>D56*D57*12/1000</f>
        <v/>
      </c>
      <c r="E58" s="32">
        <f>E56*E57*12/1000</f>
        <v/>
      </c>
      <c r="F58" s="32">
        <f>F56*F57*12/1000</f>
        <v/>
      </c>
    </row>
    <row r="59">
      <c r="A59" s="6" t="inlineStr">
        <is>
          <t>Pasted mobile segment revenue (the build output above)</t>
        </is>
      </c>
      <c r="B59" s="19">
        <f>E5</f>
        <v/>
      </c>
      <c r="C59" s="19">
        <f>F5</f>
        <v/>
      </c>
      <c r="D59" s="19">
        <f>G5</f>
        <v/>
      </c>
      <c r="E59" s="19">
        <f>H5</f>
        <v/>
      </c>
      <c r="F59" s="19">
        <f>I5</f>
        <v/>
      </c>
    </row>
    <row r="60">
      <c r="A60" s="6" t="inlineStr">
        <is>
          <t>Check — unit-implied less pasted</t>
        </is>
      </c>
      <c r="B60" s="32" t="inlineStr">
        <is>
          <t>-</t>
        </is>
      </c>
      <c r="C60" s="36">
        <f>C58-C59</f>
        <v/>
      </c>
      <c r="D60" s="36">
        <f>D58-D59</f>
        <v/>
      </c>
      <c r="E60" s="36">
        <f>E58-E59</f>
        <v/>
      </c>
      <c r="F60" s="36">
        <f>F58-F59</f>
        <v/>
      </c>
    </row>
    <row r="61">
      <c r="A61" s="4" t="inlineStr">
        <is>
          <t>FY2025 reconciliation: average base 9,310k x ARPU 63.3 x 12 = 7,072 vs the audited mobile segment 7,075 (−0.04%). Wholesale and ICT have no disclosed unit KPIs — segment-level growth is the finest sourced level, and that gap is flagged.</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35"/>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Relative multiples and normalised earnings power</t>
        </is>
      </c>
      <c r="B1" s="2" t="n"/>
      <c r="C1" s="2" t="n"/>
      <c r="D1" s="2" t="n"/>
      <c r="E1" s="2" t="n"/>
      <c r="F1" s="2" t="n"/>
    </row>
    <row r="4">
      <c r="A4" s="5" t="inlineStr">
        <is>
          <t>Relative lens</t>
        </is>
      </c>
      <c r="B4" s="5" t="inlineStr">
        <is>
          <t>Value</t>
        </is>
      </c>
    </row>
    <row r="5">
      <c r="A5" s="6" t="inlineStr">
        <is>
          <t>FY2026E earnings per share (AED)</t>
        </is>
      </c>
      <c r="C5" s="8">
        <f>'Income Statement'!E19</f>
        <v/>
      </c>
    </row>
    <row r="6">
      <c r="A6" s="6" t="inlineStr">
        <is>
          <t>Justified price / earnings (Mobily's own, from its issuer filings — no peer median is claimed)</t>
        </is>
      </c>
      <c r="C6" s="37">
        <f>Assumptions!$C$98</f>
        <v/>
      </c>
    </row>
    <row r="7">
      <c r="A7" s="6" t="inlineStr">
        <is>
          <t>Implied value at 31-Dec-2025 (AED)</t>
        </is>
      </c>
      <c r="C7" s="16">
        <f>C5*C6</f>
        <v/>
      </c>
    </row>
    <row r="8">
      <c r="A8" s="6" t="inlineStr">
        <is>
          <t>Anchor accretion factor</t>
        </is>
      </c>
      <c r="C8" s="38">
        <f>DCF!C62</f>
        <v/>
      </c>
    </row>
    <row r="9">
      <c r="A9" s="6" t="inlineStr">
        <is>
          <t>Less dividends gone ex between the valuation date and the anchor (0.40 final + 0.26 interim, AED)</t>
        </is>
      </c>
      <c r="C9" s="8">
        <f>Assumptions!$C$93</f>
        <v/>
      </c>
    </row>
    <row r="10">
      <c r="A10" s="6" t="inlineStr"/>
    </row>
    <row r="11">
      <c r="A11" s="13" t="inlineStr">
        <is>
          <t>Implied value per share at the anchor (AED)</t>
        </is>
      </c>
      <c r="B11" s="13" t="n"/>
      <c r="C11" s="31">
        <f>C7*C8-C9</f>
        <v/>
      </c>
    </row>
    <row r="12">
      <c r="A12" s="6" t="inlineStr">
        <is>
          <t>Bear at 12.0x (C) / bull at 18.5x (D), same construction</t>
        </is>
      </c>
      <c r="C12" s="16">
        <f>C5*12*C8-C9</f>
        <v/>
      </c>
      <c r="D12" s="16">
        <f>C5*18.5*C8-C9</f>
        <v/>
      </c>
    </row>
    <row r="13">
      <c r="A13" s="6" t="inlineStr">
        <is>
          <t>Trailing price / earnings</t>
        </is>
      </c>
      <c r="C13" s="37">
        <f>Assumptions!$C$5/'Income Statement'!D19</f>
        <v/>
      </c>
    </row>
    <row r="14">
      <c r="A14" s="6" t="inlineStr">
        <is>
          <t>Trailing enterprise value / EBITDA</t>
        </is>
      </c>
      <c r="C14" s="37">
        <f>((Assumptions!$C$5*Assumptions!$C$6)+Assumptions!$C$87-Assumptions!$C$88)/'Income Statement'!D9</f>
        <v/>
      </c>
    </row>
    <row r="15">
      <c r="A15" s="6" t="inlineStr">
        <is>
          <t>Dividend-yield cross: FY2026E dividend per share (AED)</t>
        </is>
      </c>
      <c r="C15" s="8">
        <f>'Income Statement'!E20</f>
        <v/>
      </c>
    </row>
    <row r="16">
      <c r="A16" s="6" t="inlineStr">
        <is>
          <t>Peer benchmark dividend yield</t>
        </is>
      </c>
      <c r="C16" s="9">
        <f>Assumptions!$C$99</f>
        <v/>
      </c>
    </row>
    <row r="17">
      <c r="A17" s="6" t="inlineStr">
        <is>
          <t>Implied value from the yield cross (AED)</t>
        </is>
      </c>
      <c r="C17" s="16">
        <f>C15/C16</f>
        <v/>
      </c>
    </row>
    <row r="19">
      <c r="A19" s="5" t="inlineStr">
        <is>
          <t>Normalised earnings lens — mid-cycle margin (FY2028E) at current (FY2026E) scale</t>
        </is>
      </c>
      <c r="B19" s="5" t="inlineStr">
        <is>
          <t>Value</t>
        </is>
      </c>
    </row>
    <row r="20">
      <c r="A20" s="6" t="inlineStr">
        <is>
          <t>Current-scale revenue (FY2026E, AED mn)</t>
        </is>
      </c>
      <c r="C20" s="19">
        <f>DCF!B5</f>
        <v/>
      </c>
    </row>
    <row r="21">
      <c r="A21" s="6" t="inlineStr">
        <is>
          <t>Mid-cycle EBITDA margin (FY2028E)</t>
        </is>
      </c>
      <c r="C21" s="17">
        <f>DCF!D7</f>
        <v/>
      </c>
    </row>
    <row r="22">
      <c r="A22" s="6" t="inlineStr">
        <is>
          <t>Normalised EBITDA (AED mn)</t>
        </is>
      </c>
      <c r="C22" s="32">
        <f>C20*C21</f>
        <v/>
      </c>
    </row>
    <row r="23">
      <c r="A23" s="6" t="inlineStr">
        <is>
          <t>Normalised EBIT (AED mn) — less FY2026E depreciation and amortisation</t>
        </is>
      </c>
      <c r="C23" s="19">
        <f>C22+'Income Statement'!E11</f>
        <v/>
      </c>
    </row>
    <row r="24">
      <c r="A24" s="6" t="inlineStr">
        <is>
          <t>Net finance income (FY2026E, AED mn)</t>
        </is>
      </c>
      <c r="C24" s="19">
        <f>'Income Statement'!E13+'Income Statement'!E14</f>
        <v/>
      </c>
    </row>
    <row r="25">
      <c r="A25" s="6" t="inlineStr">
        <is>
          <t>Normalised net profit (AED mn)</t>
        </is>
      </c>
      <c r="C25" s="32">
        <f>(C23+C24)*(1-Assumptions!$C$8)</f>
        <v/>
      </c>
    </row>
    <row r="26">
      <c r="A26" s="6" t="inlineStr">
        <is>
          <t>Normalised earnings per share (AED)</t>
        </is>
      </c>
      <c r="C26" s="16">
        <f>C25/Assumptions!$C$6</f>
        <v/>
      </c>
    </row>
    <row r="27">
      <c r="A27" s="13" t="inlineStr">
        <is>
          <t>Implied value per share at the anchor (AED)</t>
        </is>
      </c>
      <c r="B27" s="13" t="n"/>
      <c r="C27" s="31">
        <f>C26*Assumptions!$C$98*DCF!$C$62-Assumptions!$C$93</f>
        <v/>
      </c>
      <c r="D27" s="6" t="inlineStr">
        <is>
          <t>bear 12.0x (E) / bull 18.5x (F):</t>
        </is>
      </c>
      <c r="E27" s="16">
        <f>C26*12*DCF!$C$62-Assumptions!$C$93</f>
        <v/>
      </c>
      <c r="F27" s="16">
        <f>C26*18.5*DCF!$C$62-Assumptions!$C$93</f>
        <v/>
      </c>
    </row>
    <row r="29">
      <c r="A29" s="5" t="inlineStr">
        <is>
          <t>Book lens</t>
        </is>
      </c>
      <c r="B29" s="5" t="inlineStr">
        <is>
          <t>Value</t>
        </is>
      </c>
    </row>
    <row r="30">
      <c r="A30" s="6" t="inlineStr">
        <is>
          <t>Book value per share (AED)</t>
        </is>
      </c>
      <c r="C30" s="8">
        <f>'Balance Sheet'!D14/Assumptions!$C$6</f>
        <v/>
      </c>
    </row>
    <row r="31">
      <c r="A31" s="6" t="inlineStr">
        <is>
          <t>Sustainable return on equity</t>
        </is>
      </c>
      <c r="C31" s="9">
        <f>Assumptions!$C$100</f>
        <v/>
      </c>
    </row>
    <row r="32">
      <c r="A32" s="6" t="inlineStr">
        <is>
          <t>Trailing return on equity</t>
        </is>
      </c>
      <c r="C32" s="17">
        <f>'Income Statement'!D18/(('Balance Sheet'!C14+'Balance Sheet'!D14)/2)</f>
        <v/>
      </c>
    </row>
    <row r="33">
      <c r="A33" s="6" t="inlineStr">
        <is>
          <t>Perpetual (terminal) cost of equity — a steady-state multiple takes a steady-state rate</t>
        </is>
      </c>
      <c r="C33" s="17">
        <f>DCF!C50</f>
        <v/>
      </c>
    </row>
    <row r="34">
      <c r="A34" s="6" t="inlineStr">
        <is>
          <t>Justified price / book</t>
        </is>
      </c>
      <c r="C34" s="39">
        <f>(C31-Assumptions!$C$84)/(C33-Assumptions!$C$84)</f>
        <v/>
      </c>
    </row>
    <row r="35">
      <c r="A35" s="13" t="inlineStr">
        <is>
          <t>Implied value per share at the anchor (AED)</t>
        </is>
      </c>
      <c r="B35" s="13" t="n"/>
      <c r="C35" s="31">
        <f>C30*C34*DCF!$C$62-Assumptions!$C$93</f>
        <v/>
      </c>
      <c r="D35" s="6" t="inlineStr">
        <is>
          <t>bear / bull constructions (E / F):</t>
        </is>
      </c>
      <c r="E35" s="16">
        <f>((Assumptions!$C$100-Assumptions!$C$84)/((DCF!C40+DCF!C50)/2+0.01-Assumptions!$C$84))*C30*DCF!$C$62-Assumptions!$C$93</f>
        <v/>
      </c>
      <c r="F35" s="16">
        <f>((Assumptions!$C$100+0.02-Assumptions!$C$84)/(DCF!C50-Assumptions!$C$84))*C30*DCF!$C$62-Assumptions!$C$93</f>
        <v/>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7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Every line is a live formula: the cost of capital is built below, the glide is derived from the AED risk-free path, and the terminal value is capitalised at the terminal rate and discounted at the year-5 factor</t>
        </is>
      </c>
    </row>
    <row r="4">
      <c r="A4" s="5" t="inlineStr">
        <is>
          <t>AED mn</t>
        </is>
      </c>
      <c r="B4" s="5" t="inlineStr">
        <is>
          <t>FY26E</t>
        </is>
      </c>
      <c r="C4" s="5" t="inlineStr">
        <is>
          <t>FY27E</t>
        </is>
      </c>
      <c r="D4" s="5" t="inlineStr">
        <is>
          <t>FY28E</t>
        </is>
      </c>
      <c r="E4" s="5" t="inlineStr">
        <is>
          <t>FY29E</t>
        </is>
      </c>
      <c r="F4" s="5" t="inlineStr">
        <is>
          <t>FY30E</t>
        </is>
      </c>
    </row>
    <row r="5">
      <c r="A5" s="6" t="inlineStr">
        <is>
          <t>Revenue</t>
        </is>
      </c>
      <c r="B5" s="19">
        <f>Segments!E9</f>
        <v/>
      </c>
      <c r="C5" s="19">
        <f>Segments!F9</f>
        <v/>
      </c>
      <c r="D5" s="19">
        <f>Segments!G9</f>
        <v/>
      </c>
      <c r="E5" s="19">
        <f>Segments!H9</f>
        <v/>
      </c>
      <c r="F5" s="19">
        <f>Segments!I9</f>
        <v/>
      </c>
    </row>
    <row r="6">
      <c r="A6" s="6" t="inlineStr">
        <is>
          <t>EBITDA</t>
        </is>
      </c>
      <c r="B6" s="19">
        <f>Segments!B51</f>
        <v/>
      </c>
      <c r="C6" s="19">
        <f>Segments!C51</f>
        <v/>
      </c>
      <c r="D6" s="19">
        <f>Segments!D51</f>
        <v/>
      </c>
      <c r="E6" s="19">
        <f>Segments!E51</f>
        <v/>
      </c>
      <c r="F6" s="19">
        <f>Segments!F51</f>
        <v/>
      </c>
    </row>
    <row r="7">
      <c r="A7" s="6" t="inlineStr">
        <is>
          <t>EBITDA margin</t>
        </is>
      </c>
      <c r="B7" s="9">
        <f>B6/B5</f>
        <v/>
      </c>
      <c r="C7" s="9">
        <f>C6/C5</f>
        <v/>
      </c>
      <c r="D7" s="9">
        <f>D6/D5</f>
        <v/>
      </c>
      <c r="E7" s="9">
        <f>E6/E5</f>
        <v/>
      </c>
      <c r="F7" s="9">
        <f>F6/F5</f>
        <v/>
      </c>
    </row>
    <row r="8">
      <c r="A8" s="6" t="inlineStr">
        <is>
          <t>Less depreciation and amortisation</t>
        </is>
      </c>
      <c r="B8" s="19">
        <f>'Income Statement'!E11</f>
        <v/>
      </c>
      <c r="C8" s="19">
        <f>'Income Statement'!F11</f>
        <v/>
      </c>
      <c r="D8" s="19">
        <f>'Income Statement'!G11</f>
        <v/>
      </c>
      <c r="E8" s="19">
        <f>'Income Statement'!H11</f>
        <v/>
      </c>
      <c r="F8" s="19">
        <f>'Income Statement'!I11</f>
        <v/>
      </c>
    </row>
    <row r="9">
      <c r="A9" s="13" t="inlineStr">
        <is>
          <t>EBIT</t>
        </is>
      </c>
      <c r="B9" s="30">
        <f>B6+B8</f>
        <v/>
      </c>
      <c r="C9" s="30">
        <f>C6+C8</f>
        <v/>
      </c>
      <c r="D9" s="30">
        <f>D6+D8</f>
        <v/>
      </c>
      <c r="E9" s="30">
        <f>E6+E8</f>
        <v/>
      </c>
      <c r="F9" s="30">
        <f>F6+F8</f>
        <v/>
      </c>
    </row>
    <row r="10">
      <c r="A10" s="6" t="inlineStr">
        <is>
          <t>NOPAT — EBIT less the combined royalty and tax charge at 43.6%, FLOORED at the disclosed AED 1,800mn (it does not bind in the base case)</t>
        </is>
      </c>
      <c r="B10" s="32">
        <f>B9-MAX(B9*Assumptions!$C$8,Assumptions!$C$7)</f>
        <v/>
      </c>
      <c r="C10" s="32">
        <f>C9-MAX(C9*Assumptions!$C$8,Assumptions!$C$7)</f>
        <v/>
      </c>
      <c r="D10" s="32">
        <f>D9-MAX(D9*Assumptions!$C$8,Assumptions!$C$7)</f>
        <v/>
      </c>
      <c r="E10" s="32">
        <f>E9-MAX(E9*Assumptions!$C$8,Assumptions!$C$7)</f>
        <v/>
      </c>
      <c r="F10" s="32">
        <f>F9-MAX(F9*Assumptions!$C$8,Assumptions!$C$7)</f>
        <v/>
      </c>
    </row>
    <row r="11">
      <c r="A11" s="6" t="inlineStr">
        <is>
          <t>Add back depreciation and amortisation</t>
        </is>
      </c>
      <c r="B11" s="32">
        <f>-B8</f>
        <v/>
      </c>
      <c r="C11" s="32">
        <f>-C8</f>
        <v/>
      </c>
      <c r="D11" s="32">
        <f>-D8</f>
        <v/>
      </c>
      <c r="E11" s="32">
        <f>-E8</f>
        <v/>
      </c>
      <c r="F11" s="32">
        <f>-F8</f>
        <v/>
      </c>
    </row>
    <row r="12">
      <c r="A12" s="6" t="inlineStr">
        <is>
          <t>Less capital expenditure</t>
        </is>
      </c>
      <c r="B12" s="32">
        <f>-B5*Assumptions!$B$63</f>
        <v/>
      </c>
      <c r="C12" s="32">
        <f>-C5*Assumptions!$C$63</f>
        <v/>
      </c>
      <c r="D12" s="32">
        <f>-D5*Assumptions!$D$63</f>
        <v/>
      </c>
      <c r="E12" s="32">
        <f>-E5*Assumptions!$E$63</f>
        <v/>
      </c>
      <c r="F12" s="32">
        <f>-F5*Assumptions!$F$63</f>
        <v/>
      </c>
    </row>
    <row r="13">
      <c r="A13" s="6" t="inlineStr">
        <is>
          <t>Memo — lease replacement at right-of-use depreciation, NOT deducted (leases are debt)</t>
        </is>
      </c>
      <c r="B13" s="32">
        <f>Assumptions!$B$67</f>
        <v/>
      </c>
      <c r="C13" s="32">
        <f>Assumptions!$C$67</f>
        <v/>
      </c>
      <c r="D13" s="32">
        <f>Assumptions!$D$67</f>
        <v/>
      </c>
      <c r="E13" s="32">
        <f>Assumptions!$E$67</f>
        <v/>
      </c>
      <c r="F13" s="32">
        <f>Assumptions!$F$67</f>
        <v/>
      </c>
    </row>
    <row r="14">
      <c r="A14" s="6" t="inlineStr">
        <is>
          <t>Less change in working capital</t>
        </is>
      </c>
      <c r="B14" s="32">
        <f>-(B5*Assumptions!$C$68-'Balance Sheet'!D11)</f>
        <v/>
      </c>
      <c r="C14" s="32">
        <f>-(C5-B5)*Assumptions!$C$68</f>
        <v/>
      </c>
      <c r="D14" s="32">
        <f>-(D5-C5)*Assumptions!$C$68</f>
        <v/>
      </c>
      <c r="E14" s="32">
        <f>-(E5-D5)*Assumptions!$C$68</f>
        <v/>
      </c>
      <c r="F14" s="32">
        <f>-(F5-E5)*Assumptions!$C$68</f>
        <v/>
      </c>
    </row>
    <row r="15">
      <c r="A15" s="13" t="inlineStr">
        <is>
          <t>Free cash flow to the firm</t>
        </is>
      </c>
      <c r="B15" s="30">
        <f>B10+B11+B12+B14</f>
        <v/>
      </c>
      <c r="C15" s="30">
        <f>C10+C11+C12+C14</f>
        <v/>
      </c>
      <c r="D15" s="30">
        <f>D10+D11+D12+D14</f>
        <v/>
      </c>
      <c r="E15" s="30">
        <f>E10+E11+E12+E14</f>
        <v/>
      </c>
      <c r="F15" s="30">
        <f>F10+F11+F12+F14</f>
        <v/>
      </c>
    </row>
    <row r="16">
      <c r="A16" s="6" t="inlineStr">
        <is>
          <t>Forward cost of capital</t>
        </is>
      </c>
      <c r="B16" s="40">
        <f>$C$47-($C$47-$C$54)*B58</f>
        <v/>
      </c>
      <c r="C16" s="40">
        <f>$C$47-($C$47-$C$54)*C58</f>
        <v/>
      </c>
      <c r="D16" s="40">
        <f>$C$47-($C$47-$C$54)*D58</f>
        <v/>
      </c>
      <c r="E16" s="40">
        <f>$C$47-($C$47-$C$54)*E58</f>
        <v/>
      </c>
      <c r="F16" s="40">
        <f>$C$47-($C$47-$C$54)*F58</f>
        <v/>
      </c>
    </row>
    <row r="17">
      <c r="A17" s="6" t="inlineStr">
        <is>
          <t>Discount factor</t>
        </is>
      </c>
      <c r="B17" s="41">
        <f>1/(1+B16)</f>
        <v/>
      </c>
      <c r="C17" s="41">
        <f>B17/(1+C16)</f>
        <v/>
      </c>
      <c r="D17" s="41">
        <f>C17/(1+D16)</f>
        <v/>
      </c>
      <c r="E17" s="41">
        <f>D17/(1+E16)</f>
        <v/>
      </c>
      <c r="F17" s="41">
        <f>E17/(1+F16)</f>
        <v/>
      </c>
    </row>
    <row r="18">
      <c r="A18" s="13" t="inlineStr">
        <is>
          <t>Present value of FCFF</t>
        </is>
      </c>
      <c r="B18" s="30">
        <f>B15*B17</f>
        <v/>
      </c>
      <c r="C18" s="30">
        <f>C15*C17</f>
        <v/>
      </c>
      <c r="D18" s="30">
        <f>D15*D17</f>
        <v/>
      </c>
      <c r="E18" s="30">
        <f>E15*E17</f>
        <v/>
      </c>
      <c r="F18" s="30">
        <f>F15*F17</f>
        <v/>
      </c>
    </row>
    <row r="20">
      <c r="A20" s="15" t="inlineStr">
        <is>
          <t>TERMINAL VALUE, BRIDGE AND THE ANCHOR ROLL</t>
        </is>
      </c>
    </row>
    <row r="21">
      <c r="A21" s="6" t="inlineStr">
        <is>
          <t>FY2030E operating profit after tax — the perpetuity grows this once (AED mn)</t>
        </is>
      </c>
      <c r="C21" s="32">
        <f>F10</f>
        <v/>
      </c>
    </row>
    <row r="22">
      <c r="A22" s="6" t="inlineStr">
        <is>
          <t>Terminal free cash flow — built line by line at rows 70-77 (AED mn)</t>
        </is>
      </c>
      <c r="C22" s="32">
        <f>C77</f>
        <v/>
      </c>
    </row>
    <row r="23">
      <c r="A23" s="6" t="inlineStr">
        <is>
          <t>Terminal free cash flow as a share of terminal profit</t>
        </is>
      </c>
      <c r="C23" s="9">
        <f>C22/C21</f>
        <v/>
      </c>
    </row>
    <row r="24">
      <c r="A24" s="6" t="inlineStr">
        <is>
          <t>Terminal growth — (1+inflation)(1+real growth)−1, both at rows 70-71</t>
        </is>
      </c>
      <c r="C24" s="9">
        <f>(1+C70)*(1+C71)-1</f>
        <v/>
      </c>
    </row>
    <row r="25">
      <c r="A25" s="6" t="inlineStr">
        <is>
          <t>Terminal cost of capital</t>
        </is>
      </c>
      <c r="C25" s="9">
        <f>C54</f>
        <v/>
      </c>
    </row>
    <row r="26">
      <c r="A26" s="6" t="inlineStr">
        <is>
          <t>Terminal value — terminal free cash flow C22 grown one year, capitalised (AED mn)</t>
        </is>
      </c>
      <c r="C26" s="32">
        <f>C22*(1+C24)/(C25-C24)</f>
        <v/>
      </c>
    </row>
    <row r="27">
      <c r="A27" s="6" t="inlineStr">
        <is>
          <t>Present value of the five forecast years (AED mn)</t>
        </is>
      </c>
      <c r="C27" s="32">
        <f>SUM(B18:F18)</f>
        <v/>
      </c>
    </row>
    <row r="28">
      <c r="A28" s="6" t="inlineStr">
        <is>
          <t>Present value of the terminal value (AED mn)</t>
        </is>
      </c>
      <c r="C28" s="32">
        <f>C26*F17</f>
        <v/>
      </c>
    </row>
    <row r="29">
      <c r="A29" s="6" t="inlineStr">
        <is>
          <t>Terminal value as a share of enterprise value</t>
        </is>
      </c>
      <c r="C29" s="9">
        <f>C28/(C27+C28)</f>
        <v/>
      </c>
    </row>
    <row r="30">
      <c r="A30" s="6" t="inlineStr">
        <is>
          <t>Enterprise value (AED mn)</t>
        </is>
      </c>
      <c r="C30" s="32">
        <f>C27+C28</f>
        <v/>
      </c>
    </row>
    <row r="31">
      <c r="A31" s="6" t="inlineStr">
        <is>
          <t>Equity value (AED mn)</t>
        </is>
      </c>
      <c r="C31" s="19">
        <f>'SOTP Bridge'!C11</f>
        <v/>
      </c>
    </row>
    <row r="32">
      <c r="A32" s="13" t="inlineStr">
        <is>
          <t>Fair value per share at 31-Dec-2025 (AED)</t>
        </is>
      </c>
      <c r="B32" s="13" t="n"/>
      <c r="C32" s="31">
        <f>C31/Assumptions!$C$6</f>
        <v/>
      </c>
      <c r="D32" s="13" t="n"/>
    </row>
    <row r="34">
      <c r="A34" s="15" t="inlineStr">
        <is>
          <t>COST OF CAPITAL — BUILT HERE, NOT ASSUMED</t>
        </is>
      </c>
    </row>
    <row r="35">
      <c r="A35" s="6" t="inlineStr">
        <is>
          <t>Risk-free rate — Jan-2031 AED T-bond (longest liquid AED tenor)</t>
        </is>
      </c>
      <c r="C35" s="42">
        <f>Assumptions!$C$71</f>
        <v/>
      </c>
    </row>
    <row r="36">
      <c r="A36" s="6" t="inlineStr">
        <is>
          <t>Less UAE sovereign default spread (removed to avoid double-counting)</t>
        </is>
      </c>
      <c r="C36" s="42">
        <f>Assumptions!$C$72</f>
        <v/>
      </c>
    </row>
    <row r="37">
      <c r="A37" s="6" t="inlineStr">
        <is>
          <t>Risk-free rate net of the sovereign spread</t>
        </is>
      </c>
      <c r="C37" s="40">
        <f>C35-C36</f>
        <v/>
      </c>
    </row>
    <row r="38">
      <c r="A38" s="6" t="inlineStr">
        <is>
          <t>Beta (DU weekly vs the FTSE ADX General, 5 years)</t>
        </is>
      </c>
      <c r="C38" s="43">
        <f>Assumptions!$C$74</f>
        <v/>
      </c>
    </row>
    <row r="39">
      <c r="A39" s="6" t="inlineStr">
        <is>
          <t>Equity risk premium (UAE total, MARKET basis)</t>
        </is>
      </c>
      <c r="C39" s="42">
        <f>Assumptions!$C$73</f>
        <v/>
      </c>
    </row>
    <row r="40">
      <c r="A40" s="6" t="inlineStr">
        <is>
          <t>Cost of equity, explicit window</t>
        </is>
      </c>
      <c r="C40" s="40">
        <f>C37+C38*C39</f>
        <v/>
      </c>
    </row>
    <row r="41">
      <c r="A41" s="6" t="inlineStr">
        <is>
          <t>Marginal cost of debt (AED sovereign + GCC telecom spread)</t>
        </is>
      </c>
      <c r="C41" s="42">
        <f>Assumptions!$C$75</f>
        <v/>
      </c>
    </row>
    <row r="42">
      <c r="A42" s="6" t="inlineStr">
        <is>
          <t>Cost of debt after tax (interest shields both fiscal legs)</t>
        </is>
      </c>
      <c r="C42" s="40">
        <f>C41*(1-Assumptions!$C$8)</f>
        <v/>
      </c>
    </row>
    <row r="43">
      <c r="A43" s="6" t="inlineStr">
        <is>
          <t>Market capitalisation (AED mn)</t>
        </is>
      </c>
      <c r="C43" s="19">
        <f>Assumptions!$C$5*Assumptions!$C$6</f>
        <v/>
      </c>
    </row>
    <row r="44">
      <c r="A44" s="6" t="inlineStr">
        <is>
          <t>Lease liabilities — the only debt-like item (AED mn)</t>
        </is>
      </c>
      <c r="C44" s="19">
        <f>Assumptions!$C$87</f>
        <v/>
      </c>
    </row>
    <row r="45">
      <c r="A45" s="6" t="inlineStr">
        <is>
          <t>Debt weight (leases / (leases + market capitalisation))</t>
        </is>
      </c>
      <c r="C45" s="40">
        <f>C44/(C44+C43)</f>
        <v/>
      </c>
    </row>
    <row r="46">
      <c r="A46" s="6" t="inlineStr">
        <is>
          <t>Equity weight</t>
        </is>
      </c>
      <c r="C46" s="40">
        <f>1-C45</f>
        <v/>
      </c>
    </row>
    <row r="47">
      <c r="A47" s="13" t="inlineStr">
        <is>
          <t>Cost of capital, explicit window</t>
        </is>
      </c>
      <c r="B47" s="13" t="n"/>
      <c r="C47" s="44">
        <f>C46*C40+C45*C42</f>
        <v/>
      </c>
      <c r="D47" s="13" t="n"/>
    </row>
    <row r="48">
      <c r="A48" s="6" t="inlineStr">
        <is>
          <t>Terminal risk-free rate</t>
        </is>
      </c>
      <c r="C48" s="42">
        <f>Assumptions!$C$77</f>
        <v/>
      </c>
    </row>
    <row r="49">
      <c r="A49" s="6" t="inlineStr">
        <is>
          <t>Terminal risk-free net of the sovereign spread</t>
        </is>
      </c>
      <c r="C49" s="40">
        <f>C48-C36</f>
        <v/>
      </c>
    </row>
    <row r="50">
      <c r="A50" s="6" t="inlineStr">
        <is>
          <t>Terminal cost of equity</t>
        </is>
      </c>
      <c r="C50" s="40">
        <f>C49+C38*Assumptions!$C$78</f>
        <v/>
      </c>
    </row>
    <row r="51">
      <c r="A51" s="6" t="inlineStr">
        <is>
          <t>Terminal cost of debt</t>
        </is>
      </c>
      <c r="C51" s="42">
        <f>Assumptions!$C$79</f>
        <v/>
      </c>
    </row>
    <row r="52">
      <c r="A52" s="6" t="inlineStr">
        <is>
          <t>Terminal cost of debt after tax</t>
        </is>
      </c>
      <c r="C52" s="40">
        <f>C51*(1-Assumptions!$C$8)</f>
        <v/>
      </c>
    </row>
    <row r="53">
      <c r="A53" s="6" t="inlineStr">
        <is>
          <t>Terminal debt weight</t>
        </is>
      </c>
      <c r="C53" s="42">
        <f>Assumptions!$C$80</f>
        <v/>
      </c>
    </row>
    <row r="54">
      <c r="A54" s="13" t="inlineStr">
        <is>
          <t>Terminal cost of capital</t>
        </is>
      </c>
      <c r="B54" s="13" t="n"/>
      <c r="C54" s="44">
        <f>(1-C53)*C50+C53*C52</f>
        <v/>
      </c>
      <c r="D54" s="13" t="n"/>
    </row>
    <row r="56">
      <c r="A56" s="5" t="inlineStr">
        <is>
          <t>The glide — inherited from the AED risk-free path, not invented</t>
        </is>
      </c>
      <c r="B56" s="5" t="inlineStr">
        <is>
          <t>FY26E</t>
        </is>
      </c>
      <c r="C56" s="5" t="inlineStr">
        <is>
          <t>FY27E</t>
        </is>
      </c>
      <c r="D56" s="5" t="inlineStr">
        <is>
          <t>FY28E</t>
        </is>
      </c>
      <c r="E56" s="5" t="inlineStr">
        <is>
          <t>FY29E</t>
        </is>
      </c>
      <c r="F56" s="5" t="inlineStr">
        <is>
          <t>FY30E</t>
        </is>
      </c>
    </row>
    <row r="57">
      <c r="A57" s="6" t="inlineStr">
        <is>
          <t>AED risk-free path</t>
        </is>
      </c>
      <c r="B57" s="42">
        <f>Assumptions!$B$76</f>
        <v/>
      </c>
      <c r="C57" s="42">
        <f>Assumptions!$C$76</f>
        <v/>
      </c>
      <c r="D57" s="42">
        <f>Assumptions!$D$76</f>
        <v/>
      </c>
      <c r="E57" s="42">
        <f>Assumptions!$E$76</f>
        <v/>
      </c>
      <c r="F57" s="42">
        <f>Assumptions!$F$76</f>
        <v/>
      </c>
    </row>
    <row r="58">
      <c r="A58" s="6" t="inlineStr">
        <is>
          <t>Glide fraction — cumulative progress of the easing</t>
        </is>
      </c>
      <c r="B58" s="40">
        <f>($B$57-B57)/($B$57-$F$57)</f>
        <v/>
      </c>
      <c r="C58" s="40">
        <f>($B$57-C57)/($B$57-$F$57)</f>
        <v/>
      </c>
      <c r="D58" s="40">
        <f>($B$57-D57)/($B$57-$F$57)</f>
        <v/>
      </c>
      <c r="E58" s="40">
        <f>($B$57-E57)/($B$57-$F$57)</f>
        <v/>
      </c>
      <c r="F58" s="40">
        <f>($B$57-F57)/($B$57-$F$57)</f>
        <v/>
      </c>
    </row>
    <row r="59">
      <c r="A59" s="4" t="inlineStr">
        <is>
          <t>Note: row 16 above is the explicit-window cost of capital walked down to the terminal rate by the glide fraction on row 58. du carries no debt whose cost could define the glide, so the cost-of-money path itself (the AED risk-free path) does — the shape is inherited, not a second free parameter.</t>
        </is>
      </c>
    </row>
    <row r="61">
      <c r="A61" s="15" t="inlineStr">
        <is>
          <t>THE ANCHOR ROLL — one date, one price of time</t>
        </is>
      </c>
    </row>
    <row r="62">
      <c r="A62" s="6" t="inlineStr">
        <is>
          <t>Anchor accretion factor — (1 + cost of equity)^(days to anchor / 365)</t>
        </is>
      </c>
      <c r="C62" s="41">
        <f>(1+C40)^(Assumptions!$C$94/365)</f>
        <v/>
      </c>
    </row>
    <row r="63">
      <c r="A63" s="13" t="inlineStr">
        <is>
          <t>Fair value per share at the 2026-09-07 anchor (AED)</t>
        </is>
      </c>
      <c r="B63" s="13" t="n"/>
      <c r="C63" s="31">
        <f>C32*C62-Assumptions!$C$93</f>
        <v/>
      </c>
      <c r="D63" s="13" t="n"/>
    </row>
    <row r="64">
      <c r="A64" s="4" t="inlineStr">
        <is>
          <t>The bridge on row 32 is dated 31-Dec-2025 (the audited balance-sheet date it nets leases and cash at). Row 63 rolls it to the anchor at the cost of equity, net of the AED 0.66 of dividends whose EX-DATE falls in between — TWO dividends, not one: the AED 0.40 final FY2025 (ex 12-Mar-2026, paid 28-Apr-2026) and the AED 0.26 H1-2026 interim (ex 31-Jul-2026, paid 21-Aug-2026). Every lens on every sheet is rolled the same way. This note said the interim "stays in the share" until 08-09-2026, beside a cell that had netted it since 17 August.</t>
        </is>
      </c>
    </row>
    <row r="66">
      <c r="A66" s="15" t="inlineStr">
        <is>
          <t>THE TERMINAL, LINE BY LINE — capital maintained at replacement cost over the asset life the depreciation notes themselves imply</t>
        </is>
      </c>
    </row>
    <row r="67">
      <c r="A67" s="4" t="inlineStr">
        <is>
          <t>The retired construction grew terminal profit and deducted a reinvestment rate set by the growth rate over the return on capital, which is arithmetically the same as rebuilding the whole capital base every 1/g years — a fact about the dirham's peg to the dollar rather than about a mobile network. The asset life below is DERIVED from notes 6 and 8: the gross cost of the depreciable owned base over the year's own charge.</t>
        </is>
      </c>
    </row>
    <row r="70">
      <c r="A70" s="6" t="inlineStr">
        <is>
          <t>Terminal inflation — UAE house macro path</t>
        </is>
      </c>
      <c r="C70" s="17">
        <f>Assumptions!$C$82</f>
        <v/>
      </c>
    </row>
    <row r="71">
      <c r="A71" s="6" t="inlineStr">
        <is>
          <t>Terminal REAL growth (stated)</t>
        </is>
      </c>
      <c r="C71" s="17">
        <f>Assumptions!$C$81</f>
        <v/>
      </c>
    </row>
    <row r="72">
      <c r="A72" s="6" t="inlineStr">
        <is>
          <t>Weighted asset life, derived from notes 6 and 8 (years)</t>
        </is>
      </c>
      <c r="C72" s="45">
        <f>Assumptions!$C$83</f>
        <v/>
      </c>
    </row>
    <row r="73">
      <c r="A73" s="6" t="inlineStr">
        <is>
          <t>Terminal operating profit after tax (from row 21)</t>
        </is>
      </c>
      <c r="C73" s="32">
        <f>C21</f>
        <v/>
      </c>
    </row>
    <row r="74">
      <c r="A74" s="6" t="inlineStr">
        <is>
          <t>Plus depreciation and amortisation — THE FULL FY2030E charge, property, intangibles and right-of-use alike, because terminal profit is already struck after all of it and the lease renews in perpetuity like any other asset. This cell was a PASTED CONSTANT until 08-09-2026, and its label said the right-of-use charge was neither added back nor charged, which is the reverse of what the model does</t>
        </is>
      </c>
      <c r="C74" s="32">
        <f>-F8</f>
        <v/>
      </c>
    </row>
    <row r="75">
      <c r="A75" s="6" t="inlineStr">
        <is>
          <t>Less capital maintenance at replacement cost — that charge escalated over half the derived life</t>
        </is>
      </c>
      <c r="C75" s="32">
        <f>-C74*(1+C70)^(C72/2)</f>
        <v/>
      </c>
    </row>
    <row r="76">
      <c r="A76" s="6" t="inlineStr">
        <is>
          <t>Less capital for real growth, and less inflation on working capital (a CREDIT here: this company collects before it pays). BOTH constants inside this formula were pasted until 08-09-2026; both are links now</t>
        </is>
      </c>
      <c r="C76" s="32">
        <f>-C71*Assumptions!$C$95-C70*(F5*Assumptions!$C$68)</f>
        <v/>
      </c>
    </row>
    <row r="77">
      <c r="A77" s="6" t="inlineStr">
        <is>
          <t>Terminal free cash flow</t>
        </is>
      </c>
      <c r="C77" s="28">
        <f>SUM(C73:C76)</f>
        <v/>
      </c>
    </row>
    <row r="78">
      <c r="A78" s="6" t="inlineStr">
        <is>
          <t>Memo — the no-growth perpetuity at book depreciation, a diagnostic and not a bound</t>
        </is>
      </c>
      <c r="C78" s="32">
        <f>C21/C25</f>
        <v/>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I22"/>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Income statement — three years historical, five years forecast</t>
        </is>
      </c>
      <c r="B1" s="2" t="n"/>
      <c r="C1" s="2" t="n"/>
      <c r="D1" s="2" t="n"/>
      <c r="E1" s="2" t="n"/>
      <c r="F1" s="2" t="n"/>
      <c r="G1" s="2" t="n"/>
      <c r="H1" s="2" t="n"/>
      <c r="I1" s="2" t="n"/>
    </row>
    <row r="2">
      <c r="A2" s="4" t="inlineStr">
        <is>
          <t>AED mn, consolidated. History is the audited record; every forecast line is a formula</t>
        </is>
      </c>
    </row>
    <row r="4">
      <c r="A4" s="5" t="inlineStr">
        <is>
          <t>AED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13" t="inlineStr">
        <is>
          <t>Revenue</t>
        </is>
      </c>
      <c r="B5" s="30" t="n">
        <v>13636.34</v>
      </c>
      <c r="C5" s="30" t="n">
        <v>14635.917</v>
      </c>
      <c r="D5" s="30" t="n">
        <v>15905.421</v>
      </c>
      <c r="E5" s="30">
        <f>DCF!B5</f>
        <v/>
      </c>
      <c r="F5" s="30">
        <f>DCF!C5</f>
        <v/>
      </c>
      <c r="G5" s="30">
        <f>DCF!D5</f>
        <v/>
      </c>
      <c r="H5" s="30">
        <f>DCF!E5</f>
        <v/>
      </c>
      <c r="I5" s="30">
        <f>DCF!F5</f>
        <v/>
      </c>
    </row>
    <row r="6">
      <c r="A6" s="6" t="inlineStr">
        <is>
          <t>Direct costs (interconnect, commissions, devices)</t>
        </is>
      </c>
      <c r="B6" s="32" t="inlineStr">
        <is>
          <t>-</t>
        </is>
      </c>
      <c r="C6" s="23" t="n">
        <v>-4818.442</v>
      </c>
      <c r="D6" s="23" t="n">
        <v>-5259.425</v>
      </c>
      <c r="E6" s="19">
        <f>-(DCF!B5-Segments!B32)</f>
        <v/>
      </c>
      <c r="F6" s="19">
        <f>-(DCF!C5-Segments!C32)</f>
        <v/>
      </c>
      <c r="G6" s="19">
        <f>-(DCF!D5-Segments!D32)</f>
        <v/>
      </c>
      <c r="H6" s="19">
        <f>-(DCF!E5-Segments!E32)</f>
        <v/>
      </c>
      <c r="I6" s="19">
        <f>-(DCF!F5-Segments!F32)</f>
        <v/>
      </c>
    </row>
    <row r="7">
      <c r="A7" s="6" t="inlineStr">
        <is>
          <t>Segment contribution</t>
        </is>
      </c>
      <c r="B7" s="32" t="inlineStr">
        <is>
          <t>-</t>
        </is>
      </c>
      <c r="C7" s="32">
        <f>C5+C6</f>
        <v/>
      </c>
      <c r="D7" s="32">
        <f>D5+D6</f>
        <v/>
      </c>
      <c r="E7" s="32">
        <f>E5+E6</f>
        <v/>
      </c>
      <c r="F7" s="32">
        <f>F5+F6</f>
        <v/>
      </c>
      <c r="G7" s="32">
        <f>G5+G6</f>
        <v/>
      </c>
      <c r="H7" s="32">
        <f>H5+H6</f>
        <v/>
      </c>
      <c r="I7" s="32">
        <f>I5+I6</f>
        <v/>
      </c>
    </row>
    <row r="8">
      <c r="A8" s="6" t="inlineStr">
        <is>
          <t>Operating expenses before D&amp;A</t>
        </is>
      </c>
      <c r="B8" s="32" t="inlineStr">
        <is>
          <t>-</t>
        </is>
      </c>
      <c r="C8" s="23" t="n">
        <v>-3347.636</v>
      </c>
      <c r="D8" s="23" t="n">
        <v>-3307.608</v>
      </c>
      <c r="E8" s="19">
        <f>-Segments!B50</f>
        <v/>
      </c>
      <c r="F8" s="19">
        <f>-Segments!C50</f>
        <v/>
      </c>
      <c r="G8" s="19">
        <f>-Segments!D50</f>
        <v/>
      </c>
      <c r="H8" s="19">
        <f>-Segments!E50</f>
        <v/>
      </c>
      <c r="I8" s="19">
        <f>-Segments!F50</f>
        <v/>
      </c>
    </row>
    <row r="9">
      <c r="A9" s="13" t="inlineStr">
        <is>
          <t>EBITDA</t>
        </is>
      </c>
      <c r="B9" s="30" t="n">
        <v>5799.601</v>
      </c>
      <c r="C9" s="30">
        <f>C7+C8</f>
        <v/>
      </c>
      <c r="D9" s="30">
        <f>D7+D8</f>
        <v/>
      </c>
      <c r="E9" s="30">
        <f>DCF!B6</f>
        <v/>
      </c>
      <c r="F9" s="30">
        <f>DCF!C6</f>
        <v/>
      </c>
      <c r="G9" s="30">
        <f>DCF!D6</f>
        <v/>
      </c>
      <c r="H9" s="30">
        <f>DCF!E6</f>
        <v/>
      </c>
      <c r="I9" s="30">
        <f>DCF!F6</f>
        <v/>
      </c>
    </row>
    <row r="10">
      <c r="A10" s="6" t="inlineStr">
        <is>
          <t>EBITDA margin</t>
        </is>
      </c>
      <c r="B10" s="9">
        <f>B9/B5</f>
        <v/>
      </c>
      <c r="C10" s="9">
        <f>C9/C5</f>
        <v/>
      </c>
      <c r="D10" s="9">
        <f>D9/D5</f>
        <v/>
      </c>
      <c r="E10" s="9">
        <f>E9/E5</f>
        <v/>
      </c>
      <c r="F10" s="9">
        <f>F9/F5</f>
        <v/>
      </c>
      <c r="G10" s="9">
        <f>G9/G5</f>
        <v/>
      </c>
      <c r="H10" s="9">
        <f>H9/H5</f>
        <v/>
      </c>
      <c r="I10" s="9">
        <f>I9/I5</f>
        <v/>
      </c>
    </row>
    <row r="11">
      <c r="A11" s="6" t="inlineStr">
        <is>
          <t>Depreciation and amortisation</t>
        </is>
      </c>
      <c r="B11" s="23" t="n">
        <v>-2198.277</v>
      </c>
      <c r="C11" s="23" t="n">
        <v>-2153.59</v>
      </c>
      <c r="D11" s="23" t="n">
        <v>-2167.933</v>
      </c>
      <c r="E11" s="32">
        <f>-('Balance Sheet'!E6+'Balance Sheet'!E9+Assumptions!$B$67)</f>
        <v/>
      </c>
      <c r="F11" s="32">
        <f>-('Balance Sheet'!F6+'Balance Sheet'!F9+Assumptions!$C$67)</f>
        <v/>
      </c>
      <c r="G11" s="32">
        <f>-('Balance Sheet'!G6+'Balance Sheet'!G9+Assumptions!$D$67)</f>
        <v/>
      </c>
      <c r="H11" s="32">
        <f>-('Balance Sheet'!H6+'Balance Sheet'!H9+Assumptions!$E$67)</f>
        <v/>
      </c>
      <c r="I11" s="32">
        <f>-('Balance Sheet'!I6+'Balance Sheet'!I9+Assumptions!$F$67)</f>
        <v/>
      </c>
    </row>
    <row r="12">
      <c r="A12" s="13" t="inlineStr">
        <is>
          <t>Operating profit (EBIT)</t>
        </is>
      </c>
      <c r="B12" s="30">
        <f>B9+B11</f>
        <v/>
      </c>
      <c r="C12" s="30">
        <f>C9+C11</f>
        <v/>
      </c>
      <c r="D12" s="30">
        <f>D9+D11</f>
        <v/>
      </c>
      <c r="E12" s="30">
        <f>E9+E11</f>
        <v/>
      </c>
      <c r="F12" s="30">
        <f>F9+F11</f>
        <v/>
      </c>
      <c r="G12" s="30">
        <f>G9+G11</f>
        <v/>
      </c>
      <c r="H12" s="30">
        <f>H9+H11</f>
        <v/>
      </c>
      <c r="I12" s="30">
        <f>I9+I11</f>
        <v/>
      </c>
    </row>
    <row r="13">
      <c r="A13" s="6" t="inlineStr">
        <is>
          <t>Interest income</t>
        </is>
      </c>
      <c r="B13" s="23" t="n">
        <v>61.327</v>
      </c>
      <c r="C13" s="23" t="n">
        <v>82.214</v>
      </c>
      <c r="D13" s="23" t="n">
        <v>74.672</v>
      </c>
      <c r="E13" s="32">
        <f>Assumptions!$C$91*MAX('Balance Sheet'!D12,0)</f>
        <v/>
      </c>
      <c r="F13" s="32">
        <f>Assumptions!$C$91*MAX('Balance Sheet'!E12,0)</f>
        <v/>
      </c>
      <c r="G13" s="32">
        <f>Assumptions!$C$91*MAX('Balance Sheet'!F12,0)</f>
        <v/>
      </c>
      <c r="H13" s="32">
        <f>Assumptions!$C$91*MAX('Balance Sheet'!G12,0)</f>
        <v/>
      </c>
      <c r="I13" s="32">
        <f>Assumptions!$C$91*MAX('Balance Sheet'!H12,0)</f>
        <v/>
      </c>
    </row>
    <row r="14">
      <c r="A14" s="6" t="inlineStr">
        <is>
          <t>Interest expense (principally leases)</t>
        </is>
      </c>
      <c r="B14" s="23" t="n">
        <v>-101.43</v>
      </c>
      <c r="C14" s="23" t="n">
        <v>-89.77</v>
      </c>
      <c r="D14" s="23" t="n">
        <v>-95.054</v>
      </c>
      <c r="E14" s="32">
        <f>-Assumptions!$C$92*'Balance Sheet'!E13</f>
        <v/>
      </c>
      <c r="F14" s="32">
        <f>-Assumptions!$C$92*'Balance Sheet'!F13</f>
        <v/>
      </c>
      <c r="G14" s="32">
        <f>-Assumptions!$C$92*'Balance Sheet'!G13</f>
        <v/>
      </c>
      <c r="H14" s="32">
        <f>-Assumptions!$C$92*'Balance Sheet'!H13</f>
        <v/>
      </c>
      <c r="I14" s="32">
        <f>-Assumptions!$C$92*'Balance Sheet'!I13</f>
        <v/>
      </c>
    </row>
    <row r="15">
      <c r="A15" s="6" t="inlineStr">
        <is>
          <t>Share of equity-accounted investments</t>
        </is>
      </c>
      <c r="B15" s="23" t="n">
        <v>-2.72</v>
      </c>
      <c r="C15" s="23" t="n">
        <v>-2.427</v>
      </c>
      <c r="D15" s="23" t="n">
        <v>-0.894</v>
      </c>
    </row>
    <row r="16">
      <c r="A16" s="13" t="inlineStr">
        <is>
          <t>Profit before federal royalty and income tax</t>
        </is>
      </c>
      <c r="B16" s="30" t="n">
        <v>3558.501</v>
      </c>
      <c r="C16" s="30" t="n">
        <v>4306.151</v>
      </c>
      <c r="D16" s="30" t="n">
        <v>5149.122</v>
      </c>
      <c r="E16" s="30">
        <f>E12+E13+E14</f>
        <v/>
      </c>
      <c r="F16" s="30">
        <f>F12+F13+F14</f>
        <v/>
      </c>
      <c r="G16" s="30">
        <f>G12+G13+G14</f>
        <v/>
      </c>
      <c r="H16" s="30">
        <f>H12+H13+H14</f>
        <v/>
      </c>
      <c r="I16" s="30">
        <f>I12+I13+I14</f>
        <v/>
      </c>
    </row>
    <row r="17">
      <c r="A17" s="6" t="inlineStr">
        <is>
          <t>Federal royalty and income tax</t>
        </is>
      </c>
      <c r="B17" s="23" t="n">
        <v>-1890.65</v>
      </c>
      <c r="C17" s="23" t="n">
        <v>-1818.604</v>
      </c>
      <c r="D17" s="23" t="n">
        <v>-2244.037</v>
      </c>
      <c r="E17" s="32">
        <f>-E16*Assumptions!$C$8</f>
        <v/>
      </c>
      <c r="F17" s="32">
        <f>-F16*Assumptions!$C$8</f>
        <v/>
      </c>
      <c r="G17" s="32">
        <f>-G16*Assumptions!$C$8</f>
        <v/>
      </c>
      <c r="H17" s="32">
        <f>-H16*Assumptions!$C$8</f>
        <v/>
      </c>
      <c r="I17" s="32">
        <f>-I16*Assumptions!$C$8</f>
        <v/>
      </c>
    </row>
    <row r="18">
      <c r="A18" s="13" t="inlineStr">
        <is>
          <t>Net profit</t>
        </is>
      </c>
      <c r="B18" s="30">
        <f>B16+B17</f>
        <v/>
      </c>
      <c r="C18" s="30">
        <f>C16+C17</f>
        <v/>
      </c>
      <c r="D18" s="30">
        <f>D16+D17</f>
        <v/>
      </c>
      <c r="E18" s="30">
        <f>E16+E17</f>
        <v/>
      </c>
      <c r="F18" s="30">
        <f>F16+F17</f>
        <v/>
      </c>
      <c r="G18" s="30">
        <f>G16+G17</f>
        <v/>
      </c>
      <c r="H18" s="30">
        <f>H16+H17</f>
        <v/>
      </c>
      <c r="I18" s="30">
        <f>I16+I17</f>
        <v/>
      </c>
    </row>
    <row r="19">
      <c r="A19" s="6" t="inlineStr">
        <is>
          <t>Earnings per share (AED)</t>
        </is>
      </c>
      <c r="B19" s="16">
        <f>B18/Assumptions!$C$6</f>
        <v/>
      </c>
      <c r="C19" s="16">
        <f>C18/Assumptions!$C$6</f>
        <v/>
      </c>
      <c r="D19" s="16">
        <f>D18/Assumptions!$C$6</f>
        <v/>
      </c>
      <c r="E19" s="16">
        <f>E18/Assumptions!$C$6</f>
        <v/>
      </c>
      <c r="F19" s="16">
        <f>F18/Assumptions!$C$6</f>
        <v/>
      </c>
      <c r="G19" s="16">
        <f>G18/Assumptions!$C$6</f>
        <v/>
      </c>
      <c r="H19" s="16">
        <f>H18/Assumptions!$C$6</f>
        <v/>
      </c>
      <c r="I19" s="16">
        <f>I18/Assumptions!$C$6</f>
        <v/>
      </c>
    </row>
    <row r="20">
      <c r="A20" s="6" t="inlineStr">
        <is>
          <t>Dividend per share (AED)</t>
        </is>
      </c>
      <c r="B20" s="7" t="n">
        <v>0.34</v>
      </c>
      <c r="C20" s="7" t="n">
        <v>0.54</v>
      </c>
      <c r="D20" s="7" t="n">
        <v>0.64</v>
      </c>
      <c r="E20" s="16">
        <f>E19*Assumptions!$C$90</f>
        <v/>
      </c>
      <c r="F20" s="16">
        <f>F19*Assumptions!$C$90</f>
        <v/>
      </c>
      <c r="G20" s="16">
        <f>G19*Assumptions!$C$90</f>
        <v/>
      </c>
      <c r="H20" s="16">
        <f>H19*Assumptions!$C$90</f>
        <v/>
      </c>
      <c r="I20" s="16">
        <f>I19*Assumptions!$C$90</f>
        <v/>
      </c>
    </row>
    <row r="22">
      <c r="A22" s="4" t="inlineStr">
        <is>
          <t>Notes: FY2024-25 are the audited IFRS 18 face (EBITDA is printed); FY2023 predates IFRS 18 — its by-nature split is not shown ("-") and its EBITDA is derived from audited components and flagged. The historical profit-before-royalty line is the printed figure (small net-impairment items keep it from being a three-line sum; the forecast has none). FY2023 royalty is the old-regime charge (15% of regulated revenue + 30% of regulated profit); no corporate income tax existed before 2024.</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I18"/>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Balance sheet — condensed</t>
        </is>
      </c>
      <c r="B1" s="2" t="n"/>
      <c r="C1" s="2" t="n"/>
      <c r="D1" s="2" t="n"/>
      <c r="E1" s="2" t="n"/>
      <c r="F1" s="2" t="n"/>
      <c r="G1" s="2" t="n"/>
      <c r="H1" s="2" t="n"/>
      <c r="I1" s="2" t="n"/>
    </row>
    <row r="2">
      <c r="A2" s="4" t="inlineStr">
        <is>
          <t>AED mn, consolidated. Every FY2023-25 line is the audited closing figure. du carries ZERO drawn borrowings in every year shown</t>
        </is>
      </c>
    </row>
    <row r="4">
      <c r="A4" s="5" t="inlineStr">
        <is>
          <t>AED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Property, plant and equipment</t>
        </is>
      </c>
      <c r="B5" s="23" t="n">
        <v>9722.700000000001</v>
      </c>
      <c r="C5" s="23" t="n">
        <v>9838.448</v>
      </c>
      <c r="D5" s="23" t="n">
        <v>10288.767</v>
      </c>
      <c r="E5" s="32">
        <f>D5-DCF!B12*Assumptions!$C$64-E6</f>
        <v/>
      </c>
      <c r="F5" s="32">
        <f>E5-DCF!C12*Assumptions!$C$64-F6</f>
        <v/>
      </c>
      <c r="G5" s="32">
        <f>F5-DCF!D12*Assumptions!$C$64-G6</f>
        <v/>
      </c>
      <c r="H5" s="32">
        <f>G5-DCF!E12*Assumptions!$C$64-H6</f>
        <v/>
      </c>
      <c r="I5" s="32">
        <f>H5-DCF!F12*Assumptions!$C$64-I6</f>
        <v/>
      </c>
    </row>
    <row r="6">
      <c r="A6" s="6" t="inlineStr">
        <is>
          <t xml:space="preserve">  of which depreciation charge (memo)</t>
        </is>
      </c>
      <c r="B6" s="23" t="n">
        <v>1544.182</v>
      </c>
      <c r="C6" s="23" t="n">
        <v>1569.189</v>
      </c>
      <c r="D6" s="23" t="n">
        <v>1557.989</v>
      </c>
      <c r="E6" s="32">
        <f>Assumptions!$C$65*D5</f>
        <v/>
      </c>
      <c r="F6" s="32">
        <f>Assumptions!$C$65*E5</f>
        <v/>
      </c>
      <c r="G6" s="32">
        <f>Assumptions!$C$65*F5</f>
        <v/>
      </c>
      <c r="H6" s="32">
        <f>Assumptions!$C$65*G5</f>
        <v/>
      </c>
      <c r="I6" s="32">
        <f>Assumptions!$C$65*H5</f>
        <v/>
      </c>
    </row>
    <row r="7">
      <c r="A7" s="6" t="inlineStr">
        <is>
          <t>Right-of-use assets</t>
        </is>
      </c>
      <c r="B7" s="23" t="n">
        <v>1597.185</v>
      </c>
      <c r="C7" s="23" t="n">
        <v>1657.217</v>
      </c>
      <c r="D7" s="23" t="n">
        <v>1515.395</v>
      </c>
      <c r="E7" s="32">
        <f>$D$7</f>
        <v/>
      </c>
      <c r="F7" s="32">
        <f>$D$7</f>
        <v/>
      </c>
      <c r="G7" s="32">
        <f>$D$7</f>
        <v/>
      </c>
      <c r="H7" s="32">
        <f>$D$7</f>
        <v/>
      </c>
      <c r="I7" s="32">
        <f>$D$7</f>
        <v/>
      </c>
    </row>
    <row r="8">
      <c r="A8" s="6" t="inlineStr">
        <is>
          <t>Intangible assets (excl. goodwill)</t>
        </is>
      </c>
      <c r="B8" s="23" t="n">
        <v>1110.769</v>
      </c>
      <c r="C8" s="23" t="n">
        <v>846.932</v>
      </c>
      <c r="D8" s="23" t="n">
        <v>869.6</v>
      </c>
      <c r="E8" s="32">
        <f>D8-DCF!B12*(1-Assumptions!$C$64)-E9</f>
        <v/>
      </c>
      <c r="F8" s="32">
        <f>E8-DCF!C12*(1-Assumptions!$C$64)-F9</f>
        <v/>
      </c>
      <c r="G8" s="32">
        <f>F8-DCF!D12*(1-Assumptions!$C$64)-G9</f>
        <v/>
      </c>
      <c r="H8" s="32">
        <f>G8-DCF!E12*(1-Assumptions!$C$64)-H9</f>
        <v/>
      </c>
      <c r="I8" s="32">
        <f>H8-DCF!F12*(1-Assumptions!$C$64)-I9</f>
        <v/>
      </c>
    </row>
    <row r="9">
      <c r="A9" s="6" t="inlineStr">
        <is>
          <t xml:space="preserve">  of which amortisation charge (memo)</t>
        </is>
      </c>
      <c r="B9" s="23" t="n">
        <v>209.053</v>
      </c>
      <c r="C9" s="23" t="n">
        <v>209.896</v>
      </c>
      <c r="D9" s="23" t="n">
        <v>245.881</v>
      </c>
      <c r="E9" s="32">
        <f>Assumptions!$C$66*D8</f>
        <v/>
      </c>
      <c r="F9" s="32">
        <f>Assumptions!$C$66*E8</f>
        <v/>
      </c>
      <c r="G9" s="32">
        <f>Assumptions!$C$66*F8</f>
        <v/>
      </c>
      <c r="H9" s="32">
        <f>Assumptions!$C$66*G8</f>
        <v/>
      </c>
      <c r="I9" s="32">
        <f>Assumptions!$C$66*H8</f>
        <v/>
      </c>
    </row>
    <row r="10">
      <c r="A10" s="6" t="inlineStr">
        <is>
          <t>Goodwill</t>
        </is>
      </c>
      <c r="B10" s="32" t="inlineStr">
        <is>
          <t>-</t>
        </is>
      </c>
      <c r="C10" s="23" t="n">
        <v>413.22</v>
      </c>
      <c r="D10" s="23" t="n">
        <v>413.22</v>
      </c>
      <c r="E10" s="32">
        <f>$D$10</f>
        <v/>
      </c>
      <c r="F10" s="32">
        <f>$D$10</f>
        <v/>
      </c>
      <c r="G10" s="32">
        <f>$D$10</f>
        <v/>
      </c>
      <c r="H10" s="32">
        <f>$D$10</f>
        <v/>
      </c>
      <c r="I10" s="32">
        <f>$D$10</f>
        <v/>
      </c>
    </row>
    <row r="11">
      <c r="A11" s="6" t="inlineStr">
        <is>
          <t>Net working capital (royalty accrual excluded)</t>
        </is>
      </c>
      <c r="B11" s="23" t="n">
        <v>-964.8510000000001</v>
      </c>
      <c r="C11" s="23" t="n">
        <v>-1220.184</v>
      </c>
      <c r="D11" s="23" t="n">
        <v>-1062.442</v>
      </c>
      <c r="E11" s="32">
        <f>'Income Statement'!E5*Assumptions!$C$68</f>
        <v/>
      </c>
      <c r="F11" s="32">
        <f>'Income Statement'!F5*Assumptions!$C$68</f>
        <v/>
      </c>
      <c r="G11" s="32">
        <f>'Income Statement'!G5*Assumptions!$C$68</f>
        <v/>
      </c>
      <c r="H11" s="32">
        <f>'Income Statement'!H5*Assumptions!$C$68</f>
        <v/>
      </c>
      <c r="I11" s="32">
        <f>'Income Statement'!I5*Assumptions!$C$68</f>
        <v/>
      </c>
    </row>
    <row r="12">
      <c r="A12" s="6" t="inlineStr">
        <is>
          <t>Cash and term deposits</t>
        </is>
      </c>
      <c r="B12" s="23" t="n">
        <v>1936.622</v>
      </c>
      <c r="C12" s="23" t="n">
        <v>2283.252</v>
      </c>
      <c r="D12" s="23" t="n">
        <v>2249.719</v>
      </c>
      <c r="E12" s="32">
        <f>D12+'Income Statement'!E18-'Income Statement'!E11+DCF!B12+DCF!B14-'Income Statement'!E18*Assumptions!$C$90</f>
        <v/>
      </c>
      <c r="F12" s="32">
        <f>E12+'Income Statement'!F18-'Income Statement'!F11+DCF!C12+DCF!C14-'Income Statement'!F18*Assumptions!$C$90</f>
        <v/>
      </c>
      <c r="G12" s="32">
        <f>F12+'Income Statement'!G18-'Income Statement'!G11+DCF!D12+DCF!D14-'Income Statement'!G18*Assumptions!$C$90</f>
        <v/>
      </c>
      <c r="H12" s="32">
        <f>G12+'Income Statement'!H18-'Income Statement'!H11+DCF!E12+DCF!E14-'Income Statement'!H18*Assumptions!$C$90</f>
        <v/>
      </c>
      <c r="I12" s="32">
        <f>H12+'Income Statement'!I18-'Income Statement'!I11+DCF!F12+DCF!F14-'Income Statement'!I18*Assumptions!$C$90</f>
        <v/>
      </c>
    </row>
    <row r="13">
      <c r="A13" s="6" t="inlineStr">
        <is>
          <t>Lease liabilities (the only debt-like item)</t>
        </is>
      </c>
      <c r="B13" s="23" t="n">
        <v>2104.959</v>
      </c>
      <c r="C13" s="23" t="n">
        <v>1998.687</v>
      </c>
      <c r="D13" s="23" t="n">
        <v>1938.819</v>
      </c>
      <c r="E13" s="32">
        <f>$D$13</f>
        <v/>
      </c>
      <c r="F13" s="32">
        <f>$D$13</f>
        <v/>
      </c>
      <c r="G13" s="32">
        <f>$D$13</f>
        <v/>
      </c>
      <c r="H13" s="32">
        <f>$D$13</f>
        <v/>
      </c>
      <c r="I13" s="32">
        <f>$D$13</f>
        <v/>
      </c>
    </row>
    <row r="14">
      <c r="A14" s="13" t="inlineStr">
        <is>
          <t>Total equity</t>
        </is>
      </c>
      <c r="B14" s="30" t="n">
        <v>9243.213</v>
      </c>
      <c r="C14" s="30" t="n">
        <v>9878.445</v>
      </c>
      <c r="D14" s="30" t="n">
        <v>10148.291</v>
      </c>
      <c r="E14" s="30">
        <f>D14+'Income Statement'!E18*(1-Assumptions!$C$90)</f>
        <v/>
      </c>
      <c r="F14" s="30">
        <f>E14+'Income Statement'!F18*(1-Assumptions!$C$90)</f>
        <v/>
      </c>
      <c r="G14" s="30">
        <f>F14+'Income Statement'!G18*(1-Assumptions!$C$90)</f>
        <v/>
      </c>
      <c r="H14" s="30">
        <f>G14+'Income Statement'!H18*(1-Assumptions!$C$90)</f>
        <v/>
      </c>
      <c r="I14" s="30">
        <f>H14+'Income Statement'!I18*(1-Assumptions!$C$90)</f>
        <v/>
      </c>
    </row>
    <row r="15">
      <c r="A15" s="6" t="inlineStr">
        <is>
          <t>Net cash after lease liabilities</t>
        </is>
      </c>
      <c r="B15" s="32">
        <f>B12-B13</f>
        <v/>
      </c>
      <c r="C15" s="32">
        <f>C12-C13</f>
        <v/>
      </c>
      <c r="D15" s="32">
        <f>D12-D13</f>
        <v/>
      </c>
      <c r="E15" s="32">
        <f>E12-E13</f>
        <v/>
      </c>
      <c r="F15" s="32">
        <f>F12-F13</f>
        <v/>
      </c>
      <c r="G15" s="32">
        <f>G12-G13</f>
        <v/>
      </c>
      <c r="H15" s="32">
        <f>H12-H13</f>
        <v/>
      </c>
      <c r="I15" s="32">
        <f>I12-I13</f>
        <v/>
      </c>
    </row>
    <row r="16">
      <c r="A16" s="6" t="inlineStr">
        <is>
          <t>Lease liabilities / EBITDA</t>
        </is>
      </c>
      <c r="B16" s="39">
        <f>B13/'Income Statement'!B9</f>
        <v/>
      </c>
      <c r="C16" s="39">
        <f>C13/'Income Statement'!C9</f>
        <v/>
      </c>
      <c r="D16" s="39">
        <f>D13/'Income Statement'!D9</f>
        <v/>
      </c>
      <c r="E16" s="39">
        <f>E13/'Income Statement'!E9</f>
        <v/>
      </c>
      <c r="F16" s="39">
        <f>F13/'Income Statement'!F9</f>
        <v/>
      </c>
      <c r="G16" s="39">
        <f>G13/'Income Statement'!G9</f>
        <v/>
      </c>
      <c r="H16" s="39">
        <f>H13/'Income Statement'!H9</f>
        <v/>
      </c>
      <c r="I16" s="39">
        <f>I13/'Income Statement'!I9</f>
        <v/>
      </c>
    </row>
    <row r="18">
      <c r="A18" s="4" t="inlineStr">
        <is>
          <t>Notes: a CONDENSED layout — receivables, payables, contract balances and the royalty accrual are netted inside the working-capital line, so the sheet does not foot to total assets. The FY2023 payables line still contained the royalty accrual (AED 2,033mn, separately disclosed from FY2024); it is excluded here in every year so the series is like-for-like. The lease book is held flat (replacement = depreciation); the FY2025 goodwill balance is carried unchanged. Cash and term deposits roll forward from profit less the ~98% payout — the H1-2026 interims (term deposits nil at 30-Jun-2026 after the AED 4.1bn royalty-plus-dividend outflow) show exactly this mechanic mid-year.</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I18"/>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Cash flow — historical markers and the forecast waterfall</t>
        </is>
      </c>
      <c r="B1" s="2" t="n"/>
      <c r="C1" s="2" t="n"/>
      <c r="D1" s="2" t="n"/>
      <c r="E1" s="2" t="n"/>
      <c r="F1" s="2" t="n"/>
      <c r="G1" s="2" t="n"/>
      <c r="H1" s="2" t="n"/>
      <c r="I1" s="2" t="n"/>
    </row>
    <row r="2">
      <c r="A2" s="4" t="inlineStr">
        <is>
          <t>AED mn</t>
        </is>
      </c>
    </row>
    <row r="4">
      <c r="A4" s="5" t="inlineStr">
        <is>
          <t>AED mn</t>
        </is>
      </c>
      <c r="B4" s="5" t="inlineStr">
        <is>
          <t>FY2024</t>
        </is>
      </c>
      <c r="C4" s="5" t="inlineStr">
        <is>
          <t>FY2025</t>
        </is>
      </c>
      <c r="D4" s="5" t="inlineStr">
        <is>
          <t>FY26E</t>
        </is>
      </c>
      <c r="E4" s="5" t="inlineStr">
        <is>
          <t>FY27E</t>
        </is>
      </c>
      <c r="F4" s="5" t="inlineStr">
        <is>
          <t>FY28E</t>
        </is>
      </c>
      <c r="G4" s="5" t="inlineStr">
        <is>
          <t>FY29E</t>
        </is>
      </c>
      <c r="H4" s="5" t="inlineStr">
        <is>
          <t>FY30E</t>
        </is>
      </c>
    </row>
    <row r="5">
      <c r="A5" s="6" t="inlineStr">
        <is>
          <t>EBITDA</t>
        </is>
      </c>
      <c r="B5" s="19">
        <f>'Income Statement'!C9</f>
        <v/>
      </c>
      <c r="C5" s="19">
        <f>'Income Statement'!D9</f>
        <v/>
      </c>
      <c r="D5" s="19">
        <f>'Income Statement'!E9</f>
        <v/>
      </c>
      <c r="E5" s="19">
        <f>'Income Statement'!F9</f>
        <v/>
      </c>
      <c r="F5" s="19">
        <f>'Income Statement'!G9</f>
        <v/>
      </c>
      <c r="G5" s="19">
        <f>'Income Statement'!H9</f>
        <v/>
      </c>
      <c r="H5" s="19">
        <f>'Income Statement'!I9</f>
        <v/>
      </c>
    </row>
    <row r="6">
      <c r="A6" s="6" t="inlineStr">
        <is>
          <t>Federal royalty and income tax paid</t>
        </is>
      </c>
      <c r="B6" s="23" t="n">
        <v>-1928.939</v>
      </c>
      <c r="C6" s="23" t="n">
        <v>-1883.442</v>
      </c>
    </row>
    <row r="7">
      <c r="A7" s="6" t="inlineStr">
        <is>
          <t>Net cash generated from operating activities</t>
        </is>
      </c>
      <c r="B7" s="23" t="n">
        <v>4636.508</v>
      </c>
      <c r="C7" s="23" t="n">
        <v>5229.823</v>
      </c>
    </row>
    <row r="8">
      <c r="A8" s="6" t="inlineStr">
        <is>
          <t>Purchase of PP&amp;E and intangibles</t>
        </is>
      </c>
      <c r="B8" s="23" t="n">
        <v>-1920.468</v>
      </c>
      <c r="C8" s="23" t="n">
        <v>-2353.23</v>
      </c>
    </row>
    <row r="9">
      <c r="A9" s="6" t="inlineStr">
        <is>
          <t>NOPAT</t>
        </is>
      </c>
      <c r="B9" s="32" t="inlineStr">
        <is>
          <t>-</t>
        </is>
      </c>
      <c r="C9" s="32" t="inlineStr">
        <is>
          <t>-</t>
        </is>
      </c>
      <c r="D9" s="19">
        <f>DCF!B10</f>
        <v/>
      </c>
      <c r="E9" s="19">
        <f>DCF!C10</f>
        <v/>
      </c>
      <c r="F9" s="19">
        <f>DCF!D10</f>
        <v/>
      </c>
      <c r="G9" s="19">
        <f>DCF!E10</f>
        <v/>
      </c>
      <c r="H9" s="19">
        <f>DCF!F10</f>
        <v/>
      </c>
    </row>
    <row r="10">
      <c r="A10" s="6" t="inlineStr">
        <is>
          <t>Add back depreciation and amortisation</t>
        </is>
      </c>
      <c r="B10" s="32" t="inlineStr">
        <is>
          <t>-</t>
        </is>
      </c>
      <c r="C10" s="32" t="inlineStr">
        <is>
          <t>-</t>
        </is>
      </c>
      <c r="D10" s="19">
        <f>DCF!B11</f>
        <v/>
      </c>
      <c r="E10" s="19">
        <f>DCF!C11</f>
        <v/>
      </c>
      <c r="F10" s="19">
        <f>DCF!D11</f>
        <v/>
      </c>
      <c r="G10" s="19">
        <f>DCF!E11</f>
        <v/>
      </c>
      <c r="H10" s="19">
        <f>DCF!F11</f>
        <v/>
      </c>
    </row>
    <row r="11">
      <c r="A11" s="6" t="inlineStr">
        <is>
          <t>Capital expenditure</t>
        </is>
      </c>
      <c r="B11" s="32" t="inlineStr">
        <is>
          <t>-</t>
        </is>
      </c>
      <c r="C11" s="32" t="inlineStr">
        <is>
          <t>-</t>
        </is>
      </c>
      <c r="D11" s="19">
        <f>DCF!B12</f>
        <v/>
      </c>
      <c r="E11" s="19">
        <f>DCF!C12</f>
        <v/>
      </c>
      <c r="F11" s="19">
        <f>DCF!D12</f>
        <v/>
      </c>
      <c r="G11" s="19">
        <f>DCF!E12</f>
        <v/>
      </c>
      <c r="H11" s="19">
        <f>DCF!F12</f>
        <v/>
      </c>
    </row>
    <row r="12">
      <c r="A12" s="6" t="inlineStr">
        <is>
          <t>Memo — lease replacement, NOT deducted (leases are debt)</t>
        </is>
      </c>
      <c r="B12" s="32" t="inlineStr">
        <is>
          <t>-</t>
        </is>
      </c>
      <c r="C12" s="32" t="inlineStr">
        <is>
          <t>-</t>
        </is>
      </c>
      <c r="D12" s="19">
        <f>DCF!B13</f>
        <v/>
      </c>
      <c r="E12" s="19">
        <f>DCF!C13</f>
        <v/>
      </c>
      <c r="F12" s="19">
        <f>DCF!D13</f>
        <v/>
      </c>
      <c r="G12" s="19">
        <f>DCF!E13</f>
        <v/>
      </c>
      <c r="H12" s="19">
        <f>DCF!F13</f>
        <v/>
      </c>
    </row>
    <row r="13">
      <c r="A13" s="6" t="inlineStr">
        <is>
          <t>Change in working capital</t>
        </is>
      </c>
      <c r="B13" s="32" t="inlineStr">
        <is>
          <t>-</t>
        </is>
      </c>
      <c r="C13" s="32">
        <f>-('Balance Sheet'!D11-'Balance Sheet'!C11)</f>
        <v/>
      </c>
      <c r="D13" s="19">
        <f>DCF!B14</f>
        <v/>
      </c>
      <c r="E13" s="19">
        <f>DCF!C14</f>
        <v/>
      </c>
      <c r="F13" s="19">
        <f>DCF!D14</f>
        <v/>
      </c>
      <c r="G13" s="19">
        <f>DCF!E14</f>
        <v/>
      </c>
      <c r="H13" s="19">
        <f>DCF!F14</f>
        <v/>
      </c>
    </row>
    <row r="14">
      <c r="A14" s="13" t="inlineStr">
        <is>
          <t>Free cash flow to the firm</t>
        </is>
      </c>
      <c r="B14" s="30" t="inlineStr">
        <is>
          <t>-</t>
        </is>
      </c>
      <c r="C14" s="30" t="inlineStr">
        <is>
          <t>-</t>
        </is>
      </c>
      <c r="D14" s="30">
        <f>D9+D10+D11+D13</f>
        <v/>
      </c>
      <c r="E14" s="30">
        <f>E9+E10+E11+E13</f>
        <v/>
      </c>
      <c r="F14" s="30">
        <f>F9+F10+F11+F13</f>
        <v/>
      </c>
      <c r="G14" s="30">
        <f>G9+G10+G11+G13</f>
        <v/>
      </c>
      <c r="H14" s="30">
        <f>H9+H10+H11+H13</f>
        <v/>
      </c>
      <c r="I14" s="13" t="n"/>
    </row>
    <row r="16">
      <c r="A16" s="6" t="inlineStr">
        <is>
          <t>Dividends paid</t>
        </is>
      </c>
      <c r="B16" s="23" t="n">
        <v>-1858.491</v>
      </c>
      <c r="C16" s="23" t="n">
        <v>-2629.085</v>
      </c>
      <c r="D16" s="32">
        <f>-'Income Statement'!E18*Assumptions!$C$90</f>
        <v/>
      </c>
      <c r="E16" s="32">
        <f>-'Income Statement'!F18*Assumptions!$C$90</f>
        <v/>
      </c>
      <c r="F16" s="32">
        <f>-'Income Statement'!G18*Assumptions!$C$90</f>
        <v/>
      </c>
      <c r="G16" s="32">
        <f>-'Income Statement'!H18*Assumptions!$C$90</f>
        <v/>
      </c>
      <c r="H16" s="32">
        <f>-'Income Statement'!I18*Assumptions!$C$90</f>
        <v/>
      </c>
    </row>
    <row r="17">
      <c r="A17" s="6" t="inlineStr">
        <is>
          <t>Cash conversion — operating cash flow as a share of EBITDA, FY2025</t>
        </is>
      </c>
      <c r="C17" s="9">
        <f>C7/C5</f>
        <v/>
      </c>
    </row>
    <row r="18">
      <c r="A18" s="4" t="inlineStr">
        <is>
          <t>du converts EBITDA to operating cash at over 70% AFTER the 43.6% fiscal take — the negative-working-capital model means growth releases cash. The constraint on equity cash flow is the ~100% payout plus the data-centre capex ramp, which is why term deposits fell to nil at 30-Jun-2026.</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I1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Summary financials — the eight-year picture</t>
        </is>
      </c>
      <c r="B1" s="2" t="n"/>
      <c r="C1" s="2" t="n"/>
      <c r="D1" s="2" t="n"/>
      <c r="E1" s="2" t="n"/>
      <c r="F1" s="2" t="n"/>
      <c r="G1" s="2" t="n"/>
      <c r="H1" s="2" t="n"/>
      <c r="I1" s="2" t="n"/>
    </row>
    <row r="2">
      <c r="A2" s="4" t="inlineStr">
        <is>
          <t>AED mn unless stated. Every cell on this sheet is a link or a ratio; nothing is typed twice</t>
        </is>
      </c>
    </row>
    <row r="4">
      <c r="A4" s="5" t="inlineStr">
        <is>
          <t>AED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Revenue</t>
        </is>
      </c>
      <c r="B5" s="19">
        <f>'Income Statement'!B5</f>
        <v/>
      </c>
      <c r="C5" s="19">
        <f>'Income Statement'!C5</f>
        <v/>
      </c>
      <c r="D5" s="19">
        <f>'Income Statement'!D5</f>
        <v/>
      </c>
      <c r="E5" s="19">
        <f>'Income Statement'!E5</f>
        <v/>
      </c>
      <c r="F5" s="19">
        <f>'Income Statement'!F5</f>
        <v/>
      </c>
      <c r="G5" s="19">
        <f>'Income Statement'!G5</f>
        <v/>
      </c>
      <c r="H5" s="19">
        <f>'Income Statement'!H5</f>
        <v/>
      </c>
      <c r="I5" s="19">
        <f>'Income Statement'!I5</f>
        <v/>
      </c>
    </row>
    <row r="6">
      <c r="A6" s="6" t="inlineStr">
        <is>
          <t>Revenue growth</t>
        </is>
      </c>
      <c r="B6" s="9" t="inlineStr">
        <is>
          <t>-</t>
        </is>
      </c>
      <c r="C6" s="9">
        <f>C5/B5-1</f>
        <v/>
      </c>
      <c r="D6" s="9">
        <f>D5/C5-1</f>
        <v/>
      </c>
      <c r="E6" s="9">
        <f>E5/D5-1</f>
        <v/>
      </c>
      <c r="F6" s="9">
        <f>F5/E5-1</f>
        <v/>
      </c>
      <c r="G6" s="9">
        <f>G5/F5-1</f>
        <v/>
      </c>
      <c r="H6" s="9">
        <f>H5/G5-1</f>
        <v/>
      </c>
      <c r="I6" s="9">
        <f>I5/H5-1</f>
        <v/>
      </c>
    </row>
    <row r="7">
      <c r="A7" s="6" t="inlineStr">
        <is>
          <t>EBITDA</t>
        </is>
      </c>
      <c r="B7" s="19">
        <f>'Income Statement'!B9</f>
        <v/>
      </c>
      <c r="C7" s="19">
        <f>'Income Statement'!C9</f>
        <v/>
      </c>
      <c r="D7" s="19">
        <f>'Income Statement'!D9</f>
        <v/>
      </c>
      <c r="E7" s="19">
        <f>'Income Statement'!E9</f>
        <v/>
      </c>
      <c r="F7" s="19">
        <f>'Income Statement'!F9</f>
        <v/>
      </c>
      <c r="G7" s="19">
        <f>'Income Statement'!G9</f>
        <v/>
      </c>
      <c r="H7" s="19">
        <f>'Income Statement'!H9</f>
        <v/>
      </c>
      <c r="I7" s="19">
        <f>'Income Statement'!I9</f>
        <v/>
      </c>
    </row>
    <row r="8">
      <c r="A8" s="6" t="inlineStr">
        <is>
          <t>EBITDA margin</t>
        </is>
      </c>
      <c r="B8" s="9">
        <f>B7/B5</f>
        <v/>
      </c>
      <c r="C8" s="9">
        <f>C7/C5</f>
        <v/>
      </c>
      <c r="D8" s="9">
        <f>D7/D5</f>
        <v/>
      </c>
      <c r="E8" s="9">
        <f>E7/E5</f>
        <v/>
      </c>
      <c r="F8" s="9">
        <f>F7/F5</f>
        <v/>
      </c>
      <c r="G8" s="9">
        <f>G7/G5</f>
        <v/>
      </c>
      <c r="H8" s="9">
        <f>H7/H5</f>
        <v/>
      </c>
      <c r="I8" s="9">
        <f>I7/I5</f>
        <v/>
      </c>
    </row>
    <row r="9">
      <c r="A9" s="6" t="inlineStr">
        <is>
          <t>EBIT</t>
        </is>
      </c>
      <c r="B9" s="19">
        <f>'Income Statement'!B12</f>
        <v/>
      </c>
      <c r="C9" s="19">
        <f>'Income Statement'!C12</f>
        <v/>
      </c>
      <c r="D9" s="19">
        <f>'Income Statement'!D12</f>
        <v/>
      </c>
      <c r="E9" s="19">
        <f>'Income Statement'!E12</f>
        <v/>
      </c>
      <c r="F9" s="19">
        <f>'Income Statement'!F12</f>
        <v/>
      </c>
      <c r="G9" s="19">
        <f>'Income Statement'!G12</f>
        <v/>
      </c>
      <c r="H9" s="19">
        <f>'Income Statement'!H12</f>
        <v/>
      </c>
      <c r="I9" s="19">
        <f>'Income Statement'!I12</f>
        <v/>
      </c>
    </row>
    <row r="10">
      <c r="A10" s="6" t="inlineStr">
        <is>
          <t>Net profit</t>
        </is>
      </c>
      <c r="B10" s="19">
        <f>'Income Statement'!B18</f>
        <v/>
      </c>
      <c r="C10" s="19">
        <f>'Income Statement'!C18</f>
        <v/>
      </c>
      <c r="D10" s="19">
        <f>'Income Statement'!D18</f>
        <v/>
      </c>
      <c r="E10" s="19">
        <f>'Income Statement'!E18</f>
        <v/>
      </c>
      <c r="F10" s="19">
        <f>'Income Statement'!F18</f>
        <v/>
      </c>
      <c r="G10" s="19">
        <f>'Income Statement'!G18</f>
        <v/>
      </c>
      <c r="H10" s="19">
        <f>'Income Statement'!H18</f>
        <v/>
      </c>
      <c r="I10" s="19">
        <f>'Income Statement'!I18</f>
        <v/>
      </c>
    </row>
    <row r="11">
      <c r="A11" s="6" t="inlineStr">
        <is>
          <t>Free cash flow to the firm</t>
        </is>
      </c>
      <c r="B11" s="32" t="inlineStr">
        <is>
          <t>-</t>
        </is>
      </c>
      <c r="C11" s="32" t="inlineStr">
        <is>
          <t>-</t>
        </is>
      </c>
      <c r="D11" s="32" t="inlineStr">
        <is>
          <t>-</t>
        </is>
      </c>
      <c r="E11" s="19">
        <f>'Cash Flow'!D14</f>
        <v/>
      </c>
      <c r="F11" s="19">
        <f>'Cash Flow'!E14</f>
        <v/>
      </c>
      <c r="G11" s="19">
        <f>'Cash Flow'!F14</f>
        <v/>
      </c>
      <c r="H11" s="19">
        <f>'Cash Flow'!G14</f>
        <v/>
      </c>
      <c r="I11" s="19">
        <f>'Cash Flow'!H14</f>
        <v/>
      </c>
    </row>
    <row r="12">
      <c r="A12" s="6" t="inlineStr">
        <is>
          <t>Net cash after lease liabilities</t>
        </is>
      </c>
      <c r="B12" s="19">
        <f>'Balance Sheet'!B15</f>
        <v/>
      </c>
      <c r="C12" s="19">
        <f>'Balance Sheet'!C15</f>
        <v/>
      </c>
      <c r="D12" s="19">
        <f>'Balance Sheet'!D15</f>
        <v/>
      </c>
      <c r="E12" s="19">
        <f>'Balance Sheet'!E15</f>
        <v/>
      </c>
      <c r="F12" s="19">
        <f>'Balance Sheet'!F15</f>
        <v/>
      </c>
      <c r="G12" s="19">
        <f>'Balance Sheet'!G15</f>
        <v/>
      </c>
      <c r="H12" s="19">
        <f>'Balance Sheet'!H15</f>
        <v/>
      </c>
      <c r="I12" s="19">
        <f>'Balance Sheet'!I15</f>
        <v/>
      </c>
    </row>
    <row r="13">
      <c r="A13" s="6" t="inlineStr">
        <is>
          <t>Invested capital</t>
        </is>
      </c>
      <c r="B13" s="32" t="inlineStr">
        <is>
          <t>-</t>
        </is>
      </c>
      <c r="C13" s="19">
        <f>'Balance Sheet'!C5+'Balance Sheet'!C7+'Balance Sheet'!C8+'Balance Sheet'!C10+'Balance Sheet'!C11</f>
        <v/>
      </c>
      <c r="D13" s="19">
        <f>'Balance Sheet'!D5+'Balance Sheet'!D7+'Balance Sheet'!D8+'Balance Sheet'!D10+'Balance Sheet'!D11</f>
        <v/>
      </c>
      <c r="E13" s="19">
        <f>'Balance Sheet'!E5+'Balance Sheet'!E7+'Balance Sheet'!E8+'Balance Sheet'!E10+'Balance Sheet'!E11</f>
        <v/>
      </c>
      <c r="F13" s="19">
        <f>'Balance Sheet'!F5+'Balance Sheet'!F7+'Balance Sheet'!F8+'Balance Sheet'!F10+'Balance Sheet'!F11</f>
        <v/>
      </c>
      <c r="G13" s="19">
        <f>'Balance Sheet'!G5+'Balance Sheet'!G7+'Balance Sheet'!G8+'Balance Sheet'!G10+'Balance Sheet'!G11</f>
        <v/>
      </c>
      <c r="H13" s="19">
        <f>'Balance Sheet'!H5+'Balance Sheet'!H7+'Balance Sheet'!H8+'Balance Sheet'!H10+'Balance Sheet'!H11</f>
        <v/>
      </c>
      <c r="I13" s="19">
        <f>'Balance Sheet'!I5+'Balance Sheet'!I7+'Balance Sheet'!I8+'Balance Sheet'!I10+'Balance Sheet'!I11</f>
        <v/>
      </c>
    </row>
    <row r="14">
      <c r="A14" s="6" t="inlineStr">
        <is>
          <t>Return on invested capital (average capital)</t>
        </is>
      </c>
      <c r="B14" s="9" t="inlineStr">
        <is>
          <t>-</t>
        </is>
      </c>
      <c r="C14" s="9" t="inlineStr">
        <is>
          <t>-</t>
        </is>
      </c>
      <c r="D14" s="9" t="inlineStr">
        <is>
          <t>-</t>
        </is>
      </c>
      <c r="E14" s="17">
        <f>DCF!B10/((D13+E13)/2)</f>
        <v/>
      </c>
      <c r="F14" s="17">
        <f>DCF!C10/((E13+F13)/2)</f>
        <v/>
      </c>
      <c r="G14" s="17">
        <f>DCF!D10/((F13+G13)/2)</f>
        <v/>
      </c>
      <c r="H14" s="17">
        <f>DCF!E10/((G13+H13)/2)</f>
        <v/>
      </c>
      <c r="I14" s="17">
        <f>DCF!F10/((H13+I13)/2)</f>
        <v/>
      </c>
    </row>
    <row r="16">
      <c r="A16" s="4" t="inlineStr">
        <is>
          <t>Invested capital = PP&amp;E + right-of-use assets + intangibles + goodwill + net working capital (negative for du). FY2023 is not shown because goodwill was not disclosed as a separate line that year.</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H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It carries no view on value and is never blended with the valuation. Each figure is an engine output, not a formula.</t>
        </is>
      </c>
    </row>
    <row r="4">
      <c r="A4" s="5" t="inlineStr">
        <is>
          <t>Horizon</t>
        </is>
      </c>
      <c r="B4" s="5" t="inlineStr">
        <is>
          <t>5th</t>
        </is>
      </c>
      <c r="C4" s="5" t="inlineStr">
        <is>
          <t>25th</t>
        </is>
      </c>
      <c r="D4" s="5" t="inlineStr">
        <is>
          <t>Median</t>
        </is>
      </c>
      <c r="E4" s="5" t="inlineStr">
        <is>
          <t>75th</t>
        </is>
      </c>
      <c r="F4" s="5" t="inlineStr">
        <is>
          <t>95th</t>
        </is>
      </c>
      <c r="G4" s="5" t="inlineStr">
        <is>
          <t>P(above spot)</t>
        </is>
      </c>
    </row>
    <row r="5">
      <c r="A5" s="6" t="inlineStr">
        <is>
          <t>One month — to 2026-10-07</t>
        </is>
      </c>
      <c r="B5" s="7" t="n">
        <v>10.0273502211566</v>
      </c>
      <c r="C5" s="7" t="n">
        <v>10.90618065948311</v>
      </c>
      <c r="D5" s="7" t="n">
        <v>11.43121497579116</v>
      </c>
      <c r="E5" s="7" t="n">
        <v>11.98362115773558</v>
      </c>
      <c r="F5" s="7" t="n">
        <v>13.05848315493038</v>
      </c>
      <c r="G5" s="24" t="n">
        <v>0.52604</v>
      </c>
    </row>
    <row r="6">
      <c r="A6" s="6" t="inlineStr">
        <is>
          <t>Three months — to 2026-12-07</t>
        </is>
      </c>
      <c r="B6" s="7" t="n">
        <v>9.27930504887402</v>
      </c>
      <c r="C6" s="7" t="n">
        <v>10.65924058056626</v>
      </c>
      <c r="D6" s="7" t="n">
        <v>11.53523420541272</v>
      </c>
      <c r="E6" s="7" t="n">
        <v>12.4605157953234</v>
      </c>
      <c r="F6" s="7" t="n">
        <v>14.3193536624002</v>
      </c>
      <c r="G6" s="24" t="n">
        <v>0.54716</v>
      </c>
    </row>
    <row r="8">
      <c r="A8" s="5" t="inlineStr">
        <is>
          <t>Level event</t>
        </is>
      </c>
      <c r="B8" s="5" t="inlineStr">
        <is>
          <t>One month</t>
        </is>
      </c>
      <c r="C8" s="5" t="inlineStr">
        <is>
          <t>Three months</t>
        </is>
      </c>
    </row>
    <row r="9">
      <c r="A9" s="6" t="inlineStr">
        <is>
          <t>Finishes 10% or more above spot</t>
        </is>
      </c>
      <c r="B9" s="24" t="n">
        <v>0.11152</v>
      </c>
      <c r="C9" s="24" t="n">
        <v>0.23774</v>
      </c>
    </row>
    <row r="10">
      <c r="A10" s="6" t="inlineStr">
        <is>
          <t>Finishes 10% or more below spot</t>
        </is>
      </c>
      <c r="B10" s="24" t="n">
        <v>0.07536</v>
      </c>
      <c r="C10" s="24" t="n">
        <v>0.1614</v>
      </c>
    </row>
    <row r="11">
      <c r="A11" s="6" t="inlineStr">
        <is>
          <t>Touches 10% above spot at any point</t>
        </is>
      </c>
      <c r="B11" s="24" t="n">
        <v>0.17924</v>
      </c>
      <c r="C11" s="24" t="n">
        <v>0.41296</v>
      </c>
    </row>
    <row r="12">
      <c r="A12" s="6" t="inlineStr">
        <is>
          <t>Touches 10% below spot at any point</t>
        </is>
      </c>
      <c r="B12" s="24" t="n">
        <v>0.12822</v>
      </c>
      <c r="C12" s="24" t="n">
        <v>0.30582</v>
      </c>
    </row>
    <row r="14">
      <c r="A14" s="5" t="inlineStr">
        <is>
          <t>Engine setting</t>
        </is>
      </c>
      <c r="B14" s="5" t="inlineStr">
        <is>
          <t>Value</t>
        </is>
      </c>
    </row>
    <row r="15">
      <c r="A15" s="6" t="inlineStr">
        <is>
          <t>Simulated paths</t>
        </is>
      </c>
      <c r="C15" s="23" t="n">
        <v>50000</v>
      </c>
    </row>
    <row r="16">
      <c r="A16" s="6" t="inlineStr">
        <is>
          <t>Annualised volatility (3-month anchor)</t>
        </is>
      </c>
      <c r="C16" s="24" t="n">
        <v>0.2993939973754962</v>
      </c>
    </row>
    <row r="17">
      <c r="A17" s="6" t="inlineStr">
        <is>
          <t>Spot price (AED)</t>
        </is>
      </c>
      <c r="C17" s="8">
        <f>Summary!C15</f>
        <v/>
      </c>
    </row>
    <row r="18">
      <c r="A18" s="6" t="inlineStr">
        <is>
          <t>Anchor date</t>
        </is>
      </c>
      <c r="C18" s="46" t="inlineStr">
        <is>
          <t>2026-09-07</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H31"/>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AED per share. Each cell is a complete re-run of the model, including the unit build, so these grids are engine outputs rather than formulas and do NOT redraw when a driver is changed.</t>
        </is>
      </c>
    </row>
    <row r="4">
      <c r="A4" s="15" t="inlineStr">
        <is>
          <t>Terminal cost of capital (rows) x terminal growth (columns)</t>
        </is>
      </c>
    </row>
    <row r="5">
      <c r="A5" s="5" t="inlineStr"/>
      <c r="B5" s="5" t="inlineStr">
        <is>
          <t>1.5%</t>
        </is>
      </c>
      <c r="C5" s="5" t="inlineStr">
        <is>
          <t>2.0%</t>
        </is>
      </c>
      <c r="D5" s="5" t="inlineStr">
        <is>
          <t>2.5%</t>
        </is>
      </c>
      <c r="E5" s="5" t="inlineStr">
        <is>
          <t>3.0%</t>
        </is>
      </c>
      <c r="F5" s="5" t="inlineStr">
        <is>
          <t>3.5%</t>
        </is>
      </c>
    </row>
    <row r="6">
      <c r="A6" s="6" t="inlineStr">
        <is>
          <t>5.45%</t>
        </is>
      </c>
      <c r="B6" s="7" t="n">
        <v>17.69682317997431</v>
      </c>
      <c r="C6" s="7" t="n">
        <v>19.6975187647231</v>
      </c>
      <c r="D6" s="7" t="n">
        <v>22.37232017768395</v>
      </c>
      <c r="E6" s="7" t="n">
        <v>26.13312239534504</v>
      </c>
      <c r="F6" s="7" t="n">
        <v>31.81321905398037</v>
      </c>
    </row>
    <row r="7">
      <c r="A7" s="6" t="inlineStr">
        <is>
          <t>5.95%</t>
        </is>
      </c>
      <c r="B7" s="7" t="n">
        <v>15.84173086815623</v>
      </c>
      <c r="C7" s="7" t="n">
        <v>17.35861058459491</v>
      </c>
      <c r="D7" s="7" t="n">
        <v>19.31202938979605</v>
      </c>
      <c r="E7" s="7" t="n">
        <v>21.92358863603312</v>
      </c>
      <c r="F7" s="7" t="n">
        <v>25.59542806181716</v>
      </c>
    </row>
    <row r="8">
      <c r="A8" s="6" t="inlineStr">
        <is>
          <t>6.45%</t>
        </is>
      </c>
      <c r="B8" s="7" t="n">
        <v>14.36021551452776</v>
      </c>
      <c r="C8" s="7" t="n">
        <v>15.54376911174186</v>
      </c>
      <c r="D8" s="7" t="n">
        <v>17.02441524293734</v>
      </c>
      <c r="E8" s="7" t="n">
        <v>18.93114157809671</v>
      </c>
      <c r="F8" s="7" t="n">
        <v>21.48024020149315</v>
      </c>
    </row>
    <row r="9">
      <c r="A9" s="6" t="inlineStr">
        <is>
          <t>6.95%</t>
        </is>
      </c>
      <c r="B9" s="7" t="n">
        <v>13.14955962173155</v>
      </c>
      <c r="C9" s="7" t="n">
        <v>14.09435434842133</v>
      </c>
      <c r="D9" s="7" t="n">
        <v>15.24932431730088</v>
      </c>
      <c r="E9" s="7" t="n">
        <v>16.69418413453401</v>
      </c>
      <c r="F9" s="7" t="n">
        <v>18.55479430421856</v>
      </c>
    </row>
    <row r="10">
      <c r="A10" s="6" t="inlineStr">
        <is>
          <t>7.45%</t>
        </is>
      </c>
      <c r="B10" s="7" t="n">
        <v>12.14154404464498</v>
      </c>
      <c r="C10" s="7" t="n">
        <v>12.90989038723444</v>
      </c>
      <c r="D10" s="7" t="n">
        <v>13.83161163394519</v>
      </c>
      <c r="E10" s="7" t="n">
        <v>14.95835038875499</v>
      </c>
      <c r="F10" s="7" t="n">
        <v>16.36786504863042</v>
      </c>
    </row>
    <row r="12">
      <c r="A12" s="15" t="inlineStr">
        <is>
          <t>Explicit-window cost of capital (columns) x terminal cost of capital (rows)</t>
        </is>
      </c>
    </row>
    <row r="13">
      <c r="A13" s="5" t="inlineStr"/>
      <c r="B13" s="5" t="inlineStr">
        <is>
          <t>5.69%</t>
        </is>
      </c>
      <c r="C13" s="5" t="inlineStr">
        <is>
          <t>6.19%</t>
        </is>
      </c>
      <c r="D13" s="5" t="inlineStr">
        <is>
          <t>6.69%</t>
        </is>
      </c>
      <c r="E13" s="5" t="inlineStr">
        <is>
          <t>7.19%</t>
        </is>
      </c>
      <c r="F13" s="5" t="inlineStr">
        <is>
          <t>7.69%</t>
        </is>
      </c>
    </row>
    <row r="14">
      <c r="A14" s="6" t="inlineStr">
        <is>
          <t>terminal 5.45%</t>
        </is>
      </c>
      <c r="B14" s="7" t="n">
        <v>20.17652091744545</v>
      </c>
      <c r="C14" s="7" t="n">
        <v>19.93517083789516</v>
      </c>
      <c r="D14" s="7" t="n">
        <v>19.6975187647231</v>
      </c>
      <c r="E14" s="7" t="n">
        <v>19.46349435142657</v>
      </c>
      <c r="F14" s="7" t="n">
        <v>19.23302885567437</v>
      </c>
    </row>
    <row r="15">
      <c r="A15" s="6" t="inlineStr">
        <is>
          <t>terminal 5.95%</t>
        </is>
      </c>
      <c r="B15" s="7" t="n">
        <v>17.78007984869137</v>
      </c>
      <c r="C15" s="7" t="n">
        <v>17.56772233171369</v>
      </c>
      <c r="D15" s="7" t="n">
        <v>17.35861058459491</v>
      </c>
      <c r="E15" s="7" t="n">
        <v>17.15268296001301</v>
      </c>
      <c r="F15" s="7" t="n">
        <v>16.9498792148688</v>
      </c>
    </row>
    <row r="16">
      <c r="A16" s="6" t="inlineStr">
        <is>
          <t>terminal 6.45%</t>
        </is>
      </c>
      <c r="B16" s="7" t="n">
        <v>15.9205980231644</v>
      </c>
      <c r="C16" s="7" t="n">
        <v>15.73073612275368</v>
      </c>
      <c r="D16" s="7" t="n">
        <v>15.54376911174186</v>
      </c>
      <c r="E16" s="7" t="n">
        <v>15.35964209200725</v>
      </c>
      <c r="F16" s="7" t="n">
        <v>15.17830141452934</v>
      </c>
    </row>
    <row r="17">
      <c r="A17" s="6" t="inlineStr">
        <is>
          <t>terminal 6.95%</t>
        </is>
      </c>
      <c r="B17" s="7" t="n">
        <v>14.43553278455363</v>
      </c>
      <c r="C17" s="7" t="n">
        <v>14.26363622448809</v>
      </c>
      <c r="D17" s="7" t="n">
        <v>14.09435434842133</v>
      </c>
      <c r="E17" s="7" t="n">
        <v>13.92763764771905</v>
      </c>
      <c r="F17" s="7" t="n">
        <v>13.76343773898419</v>
      </c>
    </row>
    <row r="18">
      <c r="A18" s="6" t="inlineStr">
        <is>
          <t>terminal 7.45%</t>
        </is>
      </c>
      <c r="B18" s="7" t="n">
        <v>13.22193644438622</v>
      </c>
      <c r="C18" s="7" t="n">
        <v>13.06472055501731</v>
      </c>
      <c r="D18" s="7" t="n">
        <v>12.90989038723444</v>
      </c>
      <c r="E18" s="7" t="n">
        <v>12.75740083602878</v>
      </c>
      <c r="F18" s="7" t="n">
        <v>12.60720782042826</v>
      </c>
    </row>
    <row r="20">
      <c r="A20" s="15" t="inlineStr">
        <is>
          <t>Single-driver sensitivities — five engine re-runs per row; the parameter grid for each row is shown beside its name</t>
        </is>
      </c>
    </row>
    <row r="21">
      <c r="A21" s="5" t="inlineStr">
        <is>
          <t>Driver (parameter grid)</t>
        </is>
      </c>
      <c r="B21" s="5" t="inlineStr"/>
      <c r="C21" s="5" t="inlineStr"/>
      <c r="D21" s="5" t="inlineStr"/>
      <c r="E21" s="5" t="inlineStr"/>
      <c r="F21" s="5" t="inlineStr"/>
      <c r="G21" s="5" t="inlineStr"/>
      <c r="H21" s="5" t="inlineStr">
        <is>
          <t>Swing</t>
        </is>
      </c>
    </row>
    <row r="22">
      <c r="A22" s="6" t="inlineStr">
        <is>
          <t>Beta (regression CI ends, then priors)  (0.31 / 0.56 / 0.65 / 0.80 / 1.00)</t>
        </is>
      </c>
      <c r="B22" s="7" t="n">
        <v>20.22094133566193</v>
      </c>
      <c r="C22" s="7" t="n">
        <v>15.54376911174186</v>
      </c>
      <c r="D22" s="7" t="n">
        <v>14.28494246239811</v>
      </c>
      <c r="E22" s="7" t="n">
        <v>12.62512781600087</v>
      </c>
      <c r="F22" s="7" t="n">
        <v>10.91522983421841</v>
      </c>
      <c r="H22" s="16">
        <f>MAX(B22:F22)-MIN(B22:F22)</f>
        <v/>
      </c>
    </row>
    <row r="23">
      <c r="A23" s="6" t="inlineStr">
        <is>
          <t>Combined fiscal take (top of grid = the pre-2024 construction's FY2023 take)  (40.0% / 43.6% / 47.0% / 50.0% / 53.1%)</t>
        </is>
      </c>
      <c r="B23" s="7" t="n">
        <v>16.67707667457666</v>
      </c>
      <c r="C23" s="7" t="n">
        <v>15.54376911174186</v>
      </c>
      <c r="D23" s="7" t="n">
        <v>14.45490498274371</v>
      </c>
      <c r="E23" s="7" t="n">
        <v>13.50254568624387</v>
      </c>
      <c r="F23" s="7" t="n">
        <v>12.5184410798607</v>
      </c>
      <c r="H23" s="16">
        <f>MAX(B23:F23)-MIN(B23:F23)</f>
        <v/>
      </c>
    </row>
    <row r="24">
      <c r="A24" s="6" t="inlineStr">
        <is>
          <t>Blended ARPU multiplier — applied to BOTH the mobile ARPU and the implied fixed revenue-per-subscriber paths  (0.92x / 0.96x / 1.00x / 1.04x / 1.08x)</t>
        </is>
      </c>
      <c r="B24" s="7" t="n">
        <v>13.12606094998655</v>
      </c>
      <c r="C24" s="7" t="n">
        <v>14.33491503086421</v>
      </c>
      <c r="D24" s="7" t="n">
        <v>15.54376911174186</v>
      </c>
      <c r="E24" s="7" t="n">
        <v>16.75262319261951</v>
      </c>
      <c r="F24" s="7" t="n">
        <v>17.96147727349718</v>
      </c>
      <c r="H24" s="16">
        <f>MAX(B24:F24)-MIN(B24:F24)</f>
        <v/>
      </c>
    </row>
    <row r="25">
      <c r="A25" s="6" t="inlineStr">
        <is>
          <t>Subscriber path shift ('000) — applied in full to the mobile base and at 8% of that to the fixed base  (-400 / -200 / +0 / +200 / +400)</t>
        </is>
      </c>
      <c r="B25" s="7" t="n">
        <v>14.75881830281016</v>
      </c>
      <c r="C25" s="7" t="n">
        <v>15.15129370727601</v>
      </c>
      <c r="D25" s="7" t="n">
        <v>15.54376911174186</v>
      </c>
      <c r="E25" s="7" t="n">
        <v>15.93624451620771</v>
      </c>
      <c r="F25" s="7" t="n">
        <v>16.32871992067356</v>
      </c>
      <c r="H25" s="16">
        <f>MAX(B25:F25)-MIN(B25:F25)</f>
        <v/>
      </c>
    </row>
    <row r="26">
      <c r="A26" s="6" t="inlineStr">
        <is>
          <t>Direct cost per unit, multiplicative  (0.94x / 0.97x / 1.00x / 1.03x / 1.06x)</t>
        </is>
      </c>
      <c r="B26" s="7" t="n">
        <v>16.54353401146832</v>
      </c>
      <c r="C26" s="7" t="n">
        <v>16.04365156160508</v>
      </c>
      <c r="D26" s="7" t="n">
        <v>15.54376911174186</v>
      </c>
      <c r="E26" s="7" t="n">
        <v>15.04388666187862</v>
      </c>
      <c r="F26" s="7" t="n">
        <v>14.54400421201539</v>
      </c>
      <c r="H26" s="16">
        <f>MAX(B26:F26)-MIN(B26:F26)</f>
        <v/>
      </c>
    </row>
    <row r="27">
      <c r="A27" s="6" t="inlineStr">
        <is>
          <t>Blended ARPU drift per year (mix exhaustion)  (-2.5% / -1.5% / +0.0% / +0.5% / +1.0%)</t>
        </is>
      </c>
      <c r="B27" s="7" t="n">
        <v>12.70200464489806</v>
      </c>
      <c r="C27" s="7" t="n">
        <v>13.81303817865735</v>
      </c>
      <c r="D27" s="7" t="n">
        <v>15.54376911174186</v>
      </c>
      <c r="E27" s="7" t="n">
        <v>16.13814208453203</v>
      </c>
      <c r="F27" s="7" t="n">
        <v>16.74139259441951</v>
      </c>
      <c r="H27" s="16">
        <f>MAX(B27:F27)-MIN(B27:F27)</f>
        <v/>
      </c>
    </row>
    <row r="28">
      <c r="A28" s="6" t="inlineStr">
        <is>
          <t>Capex path multiplier  (0.850x / 0.925x / 1.000x / 1.100x / 1.200x)</t>
        </is>
      </c>
      <c r="B28" s="7" t="n">
        <v>16.45350456860947</v>
      </c>
      <c r="C28" s="7" t="n">
        <v>15.99863684017567</v>
      </c>
      <c r="D28" s="7" t="n">
        <v>15.54376911174186</v>
      </c>
      <c r="E28" s="7" t="n">
        <v>14.93727880716345</v>
      </c>
      <c r="F28" s="7" t="n">
        <v>14.33078850258504</v>
      </c>
      <c r="H28" s="16">
        <f>MAX(B28:F28)-MIN(B28:F28)</f>
        <v/>
      </c>
    </row>
    <row r="29">
      <c r="A29" s="6" t="inlineStr">
        <is>
          <t>Working capital / revenue  (-10.0% / -8.5% / -6.7% / -5.0% / -3.0%)</t>
        </is>
      </c>
      <c r="B29" s="7" t="n">
        <v>15.72991663883914</v>
      </c>
      <c r="C29" s="7" t="n">
        <v>15.64582023022481</v>
      </c>
      <c r="D29" s="7" t="n">
        <v>15.54376911174186</v>
      </c>
      <c r="E29" s="7" t="n">
        <v>15.44959527679138</v>
      </c>
      <c r="F29" s="7" t="n">
        <v>15.33746673197228</v>
      </c>
      <c r="H29" s="16">
        <f>MAX(B29:F29)-MIN(B29:F29)</f>
        <v/>
      </c>
    </row>
    <row r="30">
      <c r="A30" s="6" t="inlineStr">
        <is>
          <t>Asset life, years — derived from the depreciation notes  (10.7 / 13.7 / 16.7 / 19.7 / 22.7)</t>
        </is>
      </c>
      <c r="B30" s="7" t="n">
        <v>16.21926300037442</v>
      </c>
      <c r="C30" s="7" t="n">
        <v>15.88651243786576</v>
      </c>
      <c r="D30" s="7" t="n">
        <v>15.54372961103727</v>
      </c>
      <c r="E30" s="7" t="n">
        <v>15.19061205209858</v>
      </c>
      <c r="F30" s="7" t="n">
        <v>14.82684817400558</v>
      </c>
      <c r="H30" s="16">
        <f>MAX(B30:F30)-MIN(B30:F30)</f>
        <v/>
      </c>
    </row>
    <row r="31">
      <c r="A31" s="6" t="inlineStr">
        <is>
          <t>Terminal growth (at base cost of capital)  (1.5% / 2.0% / 2.5% / 3.0% / 3.5%)</t>
        </is>
      </c>
      <c r="B31" s="7" t="n">
        <v>14.36021551452776</v>
      </c>
      <c r="C31" s="7" t="n">
        <v>15.54376911174186</v>
      </c>
      <c r="D31" s="7" t="n">
        <v>17.02441524293734</v>
      </c>
      <c r="E31" s="7" t="n">
        <v>18.93114157809671</v>
      </c>
      <c r="F31" s="7" t="n">
        <v>21.48024020149315</v>
      </c>
      <c r="H31" s="16">
        <f>MAX(B31:F31)-MIN(B31:F31)</f>
        <v/>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I25"/>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Per-share and ratio analysis</t>
        </is>
      </c>
      <c r="B1" s="2" t="n"/>
      <c r="C1" s="2" t="n"/>
      <c r="D1" s="2" t="n"/>
      <c r="E1" s="2" t="n"/>
      <c r="F1" s="2" t="n"/>
      <c r="G1" s="2" t="n"/>
      <c r="H1" s="2" t="n"/>
      <c r="I1" s="2" t="n"/>
    </row>
    <row r="2">
      <c r="A2" s="4" t="inlineStr">
        <is>
          <t>The indicator set for an integrated telecom operator: ARPU, subscribers, margin, capital intensity, cash conversion and the dividend. Every ratio is a formula off the statements.</t>
        </is>
      </c>
    </row>
    <row r="4">
      <c r="A4" s="5" t="inlineStr">
        <is>
          <t>Measure</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Earnings per share (AED)</t>
        </is>
      </c>
      <c r="B5" s="16">
        <f>'Income Statement'!B19</f>
        <v/>
      </c>
      <c r="C5" s="16">
        <f>'Income Statement'!C19</f>
        <v/>
      </c>
      <c r="D5" s="16">
        <f>'Income Statement'!D19</f>
        <v/>
      </c>
      <c r="E5" s="16">
        <f>'Income Statement'!E19</f>
        <v/>
      </c>
      <c r="F5" s="16">
        <f>'Income Statement'!F19</f>
        <v/>
      </c>
      <c r="G5" s="16">
        <f>'Income Statement'!G19</f>
        <v/>
      </c>
      <c r="H5" s="16">
        <f>'Income Statement'!H19</f>
        <v/>
      </c>
      <c r="I5" s="16">
        <f>'Income Statement'!I19</f>
        <v/>
      </c>
    </row>
    <row r="6">
      <c r="A6" s="6" t="inlineStr">
        <is>
          <t>Dividend per share (AED)</t>
        </is>
      </c>
      <c r="B6" s="16">
        <f>'Income Statement'!B20</f>
        <v/>
      </c>
      <c r="C6" s="16">
        <f>'Income Statement'!C20</f>
        <v/>
      </c>
      <c r="D6" s="16">
        <f>'Income Statement'!D20</f>
        <v/>
      </c>
      <c r="E6" s="16">
        <f>'Income Statement'!E20</f>
        <v/>
      </c>
      <c r="F6" s="16">
        <f>'Income Statement'!F20</f>
        <v/>
      </c>
      <c r="G6" s="16">
        <f>'Income Statement'!G20</f>
        <v/>
      </c>
      <c r="H6" s="16">
        <f>'Income Statement'!H20</f>
        <v/>
      </c>
      <c r="I6" s="16">
        <f>'Income Statement'!I20</f>
        <v/>
      </c>
    </row>
    <row r="7">
      <c r="A7" s="6" t="inlineStr">
        <is>
          <t>Payout ratio</t>
        </is>
      </c>
      <c r="B7" s="9">
        <f>'Income Statement'!B20/'Income Statement'!B19</f>
        <v/>
      </c>
      <c r="C7" s="9">
        <f>'Income Statement'!C20/'Income Statement'!C19</f>
        <v/>
      </c>
      <c r="D7" s="9">
        <f>'Income Statement'!D20/'Income Statement'!D19</f>
        <v/>
      </c>
      <c r="E7" s="9">
        <f>'Income Statement'!E20/'Income Statement'!E19</f>
        <v/>
      </c>
      <c r="F7" s="9">
        <f>'Income Statement'!F20/'Income Statement'!F19</f>
        <v/>
      </c>
      <c r="G7" s="9">
        <f>'Income Statement'!G20/'Income Statement'!G19</f>
        <v/>
      </c>
      <c r="H7" s="9">
        <f>'Income Statement'!H20/'Income Statement'!H19</f>
        <v/>
      </c>
      <c r="I7" s="9">
        <f>'Income Statement'!I20/'Income Statement'!I19</f>
        <v/>
      </c>
    </row>
    <row r="8">
      <c r="A8" s="6" t="inlineStr">
        <is>
          <t>Dividend yield at the anchor spot</t>
        </is>
      </c>
      <c r="B8" s="9">
        <f>'Income Statement'!B20/Assumptions!$C$5</f>
        <v/>
      </c>
      <c r="C8" s="9">
        <f>'Income Statement'!C20/Assumptions!$C$5</f>
        <v/>
      </c>
      <c r="D8" s="9">
        <f>'Income Statement'!D20/Assumptions!$C$5</f>
        <v/>
      </c>
      <c r="E8" s="9">
        <f>'Income Statement'!E20/Assumptions!$C$5</f>
        <v/>
      </c>
      <c r="F8" s="9">
        <f>'Income Statement'!F20/Assumptions!$C$5</f>
        <v/>
      </c>
      <c r="G8" s="9">
        <f>'Income Statement'!G20/Assumptions!$C$5</f>
        <v/>
      </c>
      <c r="H8" s="9">
        <f>'Income Statement'!H20/Assumptions!$C$5</f>
        <v/>
      </c>
      <c r="I8" s="9">
        <f>'Income Statement'!I20/Assumptions!$C$5</f>
        <v/>
      </c>
    </row>
    <row r="9">
      <c r="A9" s="6" t="inlineStr">
        <is>
          <t>Book value per share (AED)</t>
        </is>
      </c>
      <c r="B9" s="16">
        <f>'Balance Sheet'!B14/Assumptions!$C$6</f>
        <v/>
      </c>
      <c r="C9" s="16">
        <f>'Balance Sheet'!C14/Assumptions!$C$6</f>
        <v/>
      </c>
      <c r="D9" s="16">
        <f>'Balance Sheet'!D14/Assumptions!$C$6</f>
        <v/>
      </c>
      <c r="E9" s="16">
        <f>'Balance Sheet'!E14/Assumptions!$C$6</f>
        <v/>
      </c>
      <c r="F9" s="16">
        <f>'Balance Sheet'!F14/Assumptions!$C$6</f>
        <v/>
      </c>
      <c r="G9" s="16">
        <f>'Balance Sheet'!G14/Assumptions!$C$6</f>
        <v/>
      </c>
      <c r="H9" s="16">
        <f>'Balance Sheet'!H14/Assumptions!$C$6</f>
        <v/>
      </c>
      <c r="I9" s="16">
        <f>'Balance Sheet'!I14/Assumptions!$C$6</f>
        <v/>
      </c>
    </row>
    <row r="10">
      <c r="A10" s="6" t="inlineStr">
        <is>
          <t>Free cash flow to the firm per share (AED)</t>
        </is>
      </c>
      <c r="B10" s="16" t="inlineStr">
        <is>
          <t>-</t>
        </is>
      </c>
      <c r="C10" s="16" t="inlineStr">
        <is>
          <t>-</t>
        </is>
      </c>
      <c r="D10" s="16" t="inlineStr">
        <is>
          <t>-</t>
        </is>
      </c>
      <c r="E10" s="16">
        <f>'Summary Financials'!E11/Assumptions!$C$6</f>
        <v/>
      </c>
      <c r="F10" s="16">
        <f>'Summary Financials'!F11/Assumptions!$C$6</f>
        <v/>
      </c>
      <c r="G10" s="16">
        <f>'Summary Financials'!G11/Assumptions!$C$6</f>
        <v/>
      </c>
      <c r="H10" s="16">
        <f>'Summary Financials'!H11/Assumptions!$C$6</f>
        <v/>
      </c>
      <c r="I10" s="16">
        <f>'Summary Financials'!I11/Assumptions!$C$6</f>
        <v/>
      </c>
    </row>
    <row r="11">
      <c r="A11" s="6" t="inlineStr">
        <is>
          <t>EBITDA margin</t>
        </is>
      </c>
      <c r="B11" s="9">
        <f>'Summary Financials'!B8</f>
        <v/>
      </c>
      <c r="C11" s="9">
        <f>'Summary Financials'!C8</f>
        <v/>
      </c>
      <c r="D11" s="9">
        <f>'Summary Financials'!D8</f>
        <v/>
      </c>
      <c r="E11" s="9">
        <f>'Summary Financials'!E8</f>
        <v/>
      </c>
      <c r="F11" s="9">
        <f>'Summary Financials'!F8</f>
        <v/>
      </c>
      <c r="G11" s="9">
        <f>'Summary Financials'!G8</f>
        <v/>
      </c>
      <c r="H11" s="9">
        <f>'Summary Financials'!H8</f>
        <v/>
      </c>
      <c r="I11" s="9">
        <f>'Summary Financials'!I8</f>
        <v/>
      </c>
    </row>
    <row r="12">
      <c r="A12" s="6" t="inlineStr">
        <is>
          <t>EBIT margin</t>
        </is>
      </c>
      <c r="B12" s="9">
        <f>'Income Statement'!B12/'Income Statement'!B5</f>
        <v/>
      </c>
      <c r="C12" s="9">
        <f>'Income Statement'!C12/'Income Statement'!C5</f>
        <v/>
      </c>
      <c r="D12" s="9">
        <f>'Income Statement'!D12/'Income Statement'!D5</f>
        <v/>
      </c>
      <c r="E12" s="9">
        <f>'Income Statement'!E12/'Income Statement'!E5</f>
        <v/>
      </c>
      <c r="F12" s="9">
        <f>'Income Statement'!F12/'Income Statement'!F5</f>
        <v/>
      </c>
      <c r="G12" s="9">
        <f>'Income Statement'!G12/'Income Statement'!G5</f>
        <v/>
      </c>
      <c r="H12" s="9">
        <f>'Income Statement'!H12/'Income Statement'!H5</f>
        <v/>
      </c>
      <c r="I12" s="9">
        <f>'Income Statement'!I12/'Income Statement'!I5</f>
        <v/>
      </c>
    </row>
    <row r="13">
      <c r="A13" s="6" t="inlineStr">
        <is>
          <t>Net margin</t>
        </is>
      </c>
      <c r="B13" s="9">
        <f>'Income Statement'!B18/'Income Statement'!B5</f>
        <v/>
      </c>
      <c r="C13" s="9">
        <f>'Income Statement'!C18/'Income Statement'!C5</f>
        <v/>
      </c>
      <c r="D13" s="9">
        <f>'Income Statement'!D18/'Income Statement'!D5</f>
        <v/>
      </c>
      <c r="E13" s="9">
        <f>'Income Statement'!E18/'Income Statement'!E5</f>
        <v/>
      </c>
      <c r="F13" s="9">
        <f>'Income Statement'!F18/'Income Statement'!F5</f>
        <v/>
      </c>
      <c r="G13" s="9">
        <f>'Income Statement'!G18/'Income Statement'!G5</f>
        <v/>
      </c>
      <c r="H13" s="9">
        <f>'Income Statement'!H18/'Income Statement'!H5</f>
        <v/>
      </c>
      <c r="I13" s="9">
        <f>'Income Statement'!I18/'Income Statement'!I5</f>
        <v/>
      </c>
    </row>
    <row r="14">
      <c r="A14" s="6" t="inlineStr">
        <is>
          <t>Return on equity</t>
        </is>
      </c>
      <c r="B14" s="9" t="inlineStr">
        <is>
          <t>-</t>
        </is>
      </c>
      <c r="C14" s="9">
        <f>'Income Statement'!C18/(('Balance Sheet'!B14+'Balance Sheet'!C14)/2)</f>
        <v/>
      </c>
      <c r="D14" s="9">
        <f>'Income Statement'!D18/(('Balance Sheet'!C14+'Balance Sheet'!D14)/2)</f>
        <v/>
      </c>
      <c r="E14" s="9">
        <f>'Income Statement'!E18/(('Balance Sheet'!D14+'Balance Sheet'!E14)/2)</f>
        <v/>
      </c>
      <c r="F14" s="9">
        <f>'Income Statement'!F18/(('Balance Sheet'!E14+'Balance Sheet'!F14)/2)</f>
        <v/>
      </c>
      <c r="G14" s="9">
        <f>'Income Statement'!G18/(('Balance Sheet'!F14+'Balance Sheet'!G14)/2)</f>
        <v/>
      </c>
      <c r="H14" s="9">
        <f>'Income Statement'!H18/(('Balance Sheet'!G14+'Balance Sheet'!H14)/2)</f>
        <v/>
      </c>
      <c r="I14" s="9">
        <f>'Income Statement'!I18/(('Balance Sheet'!H14+'Balance Sheet'!I14)/2)</f>
        <v/>
      </c>
    </row>
    <row r="15">
      <c r="A15" s="6" t="inlineStr">
        <is>
          <t>Return on invested capital</t>
        </is>
      </c>
      <c r="B15" s="9" t="inlineStr">
        <is>
          <t>-</t>
        </is>
      </c>
      <c r="C15" s="9" t="inlineStr">
        <is>
          <t>-</t>
        </is>
      </c>
      <c r="D15" s="9" t="inlineStr">
        <is>
          <t>-</t>
        </is>
      </c>
      <c r="E15" s="9">
        <f>'Summary Financials'!E14</f>
        <v/>
      </c>
      <c r="F15" s="9">
        <f>'Summary Financials'!F14</f>
        <v/>
      </c>
      <c r="G15" s="9">
        <f>'Summary Financials'!G14</f>
        <v/>
      </c>
      <c r="H15" s="9">
        <f>'Summary Financials'!H14</f>
        <v/>
      </c>
      <c r="I15" s="9">
        <f>'Summary Financials'!I14</f>
        <v/>
      </c>
    </row>
    <row r="16">
      <c r="A16" s="6" t="inlineStr">
        <is>
          <t>Capital expenditure / revenue (capital intensity)</t>
        </is>
      </c>
      <c r="B16" s="9" t="inlineStr">
        <is>
          <t>-</t>
        </is>
      </c>
      <c r="C16" s="9" t="inlineStr">
        <is>
          <t>-</t>
        </is>
      </c>
      <c r="D16" s="9" t="inlineStr">
        <is>
          <t>-</t>
        </is>
      </c>
      <c r="E16" s="9">
        <f>-'Cash Flow'!D11/'Income Statement'!E5</f>
        <v/>
      </c>
      <c r="F16" s="9">
        <f>-'Cash Flow'!E11/'Income Statement'!F5</f>
        <v/>
      </c>
      <c r="G16" s="9">
        <f>-'Cash Flow'!F11/'Income Statement'!G5</f>
        <v/>
      </c>
      <c r="H16" s="9">
        <f>-'Cash Flow'!G11/'Income Statement'!H5</f>
        <v/>
      </c>
      <c r="I16" s="9">
        <f>-'Cash Flow'!H11/'Income Statement'!I5</f>
        <v/>
      </c>
    </row>
    <row r="17">
      <c r="A17" s="6" t="inlineStr">
        <is>
          <t>Lease liabilities / EBITDA</t>
        </is>
      </c>
      <c r="B17" s="39">
        <f>'Balance Sheet'!B16</f>
        <v/>
      </c>
      <c r="C17" s="39">
        <f>'Balance Sheet'!C16</f>
        <v/>
      </c>
      <c r="D17" s="39">
        <f>'Balance Sheet'!D16</f>
        <v/>
      </c>
      <c r="E17" s="39">
        <f>'Balance Sheet'!E16</f>
        <v/>
      </c>
      <c r="F17" s="39">
        <f>'Balance Sheet'!F16</f>
        <v/>
      </c>
      <c r="G17" s="39">
        <f>'Balance Sheet'!G16</f>
        <v/>
      </c>
      <c r="H17" s="39">
        <f>'Balance Sheet'!H16</f>
        <v/>
      </c>
      <c r="I17" s="39">
        <f>'Balance Sheet'!I16</f>
        <v/>
      </c>
    </row>
    <row r="18">
      <c r="A18" s="6" t="inlineStr">
        <is>
          <t>Working capital / revenue</t>
        </is>
      </c>
      <c r="B18" s="9">
        <f>'Balance Sheet'!B11/'Income Statement'!B5</f>
        <v/>
      </c>
      <c r="C18" s="9">
        <f>'Balance Sheet'!C11/'Income Statement'!C5</f>
        <v/>
      </c>
      <c r="D18" s="9">
        <f>'Balance Sheet'!D11/'Income Statement'!D5</f>
        <v/>
      </c>
      <c r="E18" s="9">
        <f>'Balance Sheet'!E11/'Income Statement'!E5</f>
        <v/>
      </c>
      <c r="F18" s="9">
        <f>'Balance Sheet'!F11/'Income Statement'!F5</f>
        <v/>
      </c>
      <c r="G18" s="9">
        <f>'Balance Sheet'!G11/'Income Statement'!G5</f>
        <v/>
      </c>
      <c r="H18" s="9">
        <f>'Balance Sheet'!H11/'Income Statement'!H5</f>
        <v/>
      </c>
      <c r="I18" s="9">
        <f>'Balance Sheet'!I11/'Income Statement'!I5</f>
        <v/>
      </c>
    </row>
    <row r="20">
      <c r="A20" s="15" t="inlineStr">
        <is>
          <t>Operating KPIs (company-disclosed history, house forecast)</t>
        </is>
      </c>
    </row>
    <row r="21">
      <c r="A21" s="6" t="inlineStr">
        <is>
          <t>Mobile subscribers, end of year ('000)</t>
        </is>
      </c>
      <c r="B21" s="32" t="inlineStr">
        <is>
          <t>-</t>
        </is>
      </c>
      <c r="C21" s="23" t="n">
        <v>8916</v>
      </c>
      <c r="D21" s="23" t="n">
        <v>9704</v>
      </c>
      <c r="E21" s="19">
        <f>Assumptions!$B$24</f>
        <v/>
      </c>
      <c r="F21" s="19">
        <f>Assumptions!$C$24</f>
        <v/>
      </c>
      <c r="G21" s="19">
        <f>Assumptions!$D$24</f>
        <v/>
      </c>
      <c r="H21" s="19">
        <f>Assumptions!$E$24</f>
        <v/>
      </c>
      <c r="I21" s="19">
        <f>Assumptions!$F$24</f>
        <v/>
      </c>
    </row>
    <row r="22">
      <c r="A22" s="6" t="inlineStr">
        <is>
          <t>Fixed subscribers, end of year ('000)</t>
        </is>
      </c>
      <c r="B22" s="32" t="inlineStr">
        <is>
          <t>-</t>
        </is>
      </c>
      <c r="C22" s="23" t="n">
        <v>682</v>
      </c>
      <c r="D22" s="23" t="n">
        <v>735</v>
      </c>
      <c r="E22" s="19">
        <f>Assumptions!$B$25</f>
        <v/>
      </c>
      <c r="F22" s="19">
        <f>Assumptions!$C$25</f>
        <v/>
      </c>
      <c r="G22" s="19">
        <f>Assumptions!$D$25</f>
        <v/>
      </c>
      <c r="H22" s="19">
        <f>Assumptions!$E$25</f>
        <v/>
      </c>
      <c r="I22" s="19">
        <f>Assumptions!$F$25</f>
        <v/>
      </c>
    </row>
    <row r="23">
      <c r="A23" s="6" t="inlineStr">
        <is>
          <t>Blended mobile ARPU (AED/month)</t>
        </is>
      </c>
      <c r="B23" s="36" t="inlineStr">
        <is>
          <t>-</t>
        </is>
      </c>
      <c r="C23" s="25" t="n">
        <v>65.8</v>
      </c>
      <c r="D23" s="25" t="n">
        <v>63.3</v>
      </c>
      <c r="E23" s="45">
        <f>Assumptions!$B$26</f>
        <v/>
      </c>
      <c r="F23" s="45">
        <f>Assumptions!$C$26</f>
        <v/>
      </c>
      <c r="G23" s="45">
        <f>Assumptions!$D$26</f>
        <v/>
      </c>
      <c r="H23" s="45">
        <f>Assumptions!$E$26</f>
        <v/>
      </c>
      <c r="I23" s="45">
        <f>Assumptions!$F$26</f>
        <v/>
      </c>
    </row>
    <row r="25">
      <c r="A25" s="4" t="inlineStr">
        <is>
          <t>Subscriber and ARPU history are the company's own year-end prints; FY2023 is not shown because the KPI series in the current disclosure pack starts at Q4-2024. The Q2-2026 actual mobile base is 9,280k after the war quarter (total base −412k on the quarter), which is the base the forecast recovers from.</t>
        </is>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19"/>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 width="52" customWidth="1" min="5" max="5"/>
    <col width="22" customWidth="1" min="6" max="6"/>
  </cols>
  <sheetData>
    <row r="1">
      <c r="A1" s="1" t="inlineStr">
        <is>
          <t>Peer frame and sector context</t>
        </is>
      </c>
      <c r="B1" s="2" t="n"/>
      <c r="C1" s="2" t="n"/>
      <c r="D1" s="2" t="n"/>
      <c r="E1" s="2" t="n"/>
      <c r="F1" s="2" t="n"/>
    </row>
    <row r="2">
      <c r="A2" s="4" t="inlineStr">
        <is>
          <t>Aggregator multiple reads, labelled cross-check — never a build source. du computed from its own audited figures</t>
        </is>
      </c>
    </row>
    <row r="4">
      <c r="A4" s="5" t="inlineStr">
        <is>
          <t>Company</t>
        </is>
      </c>
      <c r="B4" s="5" t="inlineStr">
        <is>
          <t>Market</t>
        </is>
      </c>
      <c r="C4" s="5" t="inlineStr">
        <is>
          <t>Trailing P/E</t>
        </is>
      </c>
      <c r="D4" s="5" t="inlineStr">
        <is>
          <t>Dividend yield</t>
        </is>
      </c>
      <c r="E4" s="5" t="inlineStr">
        <is>
          <t>Relevance / caution</t>
        </is>
      </c>
    </row>
    <row r="5" ht="28" customHeight="1">
      <c r="A5" s="6" t="inlineStr">
        <is>
          <t>e&amp; (EAND)</t>
        </is>
      </c>
      <c r="B5" s="6" t="inlineStr">
        <is>
          <t>UAE (ADX)</t>
        </is>
      </c>
      <c r="C5" s="46" t="inlineStr">
        <is>
          <t>~20.7x</t>
        </is>
      </c>
      <c r="D5" s="46" t="inlineStr">
        <is>
          <t>~4.8%</t>
        </is>
      </c>
      <c r="E5" s="22" t="inlineStr">
        <is>
          <t>the other half of the duopoly; scale, international assets and a higher multiple</t>
        </is>
      </c>
    </row>
    <row r="6" ht="28" customHeight="1">
      <c r="A6" s="6" t="inlineStr">
        <is>
          <t>stc</t>
        </is>
      </c>
      <c r="B6" s="6" t="inlineStr">
        <is>
          <t>Saudi Arabia</t>
        </is>
      </c>
      <c r="C6" s="46" t="inlineStr">
        <is>
          <t>~18.9x</t>
        </is>
      </c>
      <c r="D6" s="46" t="inlineStr">
        <is>
          <t>~5.2%</t>
        </is>
      </c>
      <c r="E6" s="22" t="inlineStr">
        <is>
          <t>regional benchmark payer; the yield anchor for the cross-check</t>
        </is>
      </c>
    </row>
    <row r="7" ht="28" customHeight="1">
      <c r="A7" s="6" t="inlineStr">
        <is>
          <t>Mobily</t>
        </is>
      </c>
      <c r="B7" s="6" t="inlineStr">
        <is>
          <t>Saudi Arabia</t>
        </is>
      </c>
      <c r="C7" s="46" t="inlineStr">
        <is>
          <t>~15.5x</t>
        </is>
      </c>
      <c r="D7" s="46" t="inlineStr">
        <is>
          <t>~2.9%</t>
        </is>
      </c>
      <c r="E7" s="22" t="inlineStr">
        <is>
          <t>closest structural analogue — the #2 operator that closed the gap; the justified P/E</t>
        </is>
      </c>
    </row>
    <row r="8" ht="28" customHeight="1">
      <c r="A8" s="6" t="inlineStr">
        <is>
          <t>Ooredoo</t>
        </is>
      </c>
      <c r="B8" s="6" t="inlineStr">
        <is>
          <t>Qatar</t>
        </is>
      </c>
      <c r="C8" s="46" t="inlineStr">
        <is>
          <t>~12.5x</t>
        </is>
      </c>
      <c r="D8" s="46" t="inlineStr">
        <is>
          <t>~4.6%</t>
        </is>
      </c>
      <c r="E8" s="22" t="inlineStr">
        <is>
          <t>multi-market; softer growth, lower multiple</t>
        </is>
      </c>
    </row>
    <row r="9" ht="28" customHeight="1">
      <c r="A9" s="6" t="inlineStr">
        <is>
          <t>Zain</t>
        </is>
      </c>
      <c r="B9" s="6" t="inlineStr">
        <is>
          <t>Kuwait</t>
        </is>
      </c>
      <c r="C9" s="46" t="inlineStr">
        <is>
          <t>~9x</t>
        </is>
      </c>
      <c r="D9" s="46" t="inlineStr">
        <is>
          <t>~6-7%</t>
        </is>
      </c>
      <c r="E9" s="22" t="inlineStr">
        <is>
          <t>levered multi-market; the low end of the bracket</t>
        </is>
      </c>
    </row>
    <row r="10" ht="28" customHeight="1">
      <c r="A10" s="6" t="inlineStr">
        <is>
          <t>Omantel</t>
        </is>
      </c>
      <c r="B10" s="6" t="inlineStr">
        <is>
          <t>Oman</t>
        </is>
      </c>
      <c r="C10" s="46" t="inlineStr">
        <is>
          <t>~11.4x</t>
        </is>
      </c>
      <c r="D10" s="46" t="inlineStr">
        <is>
          <t>~6.7%</t>
        </is>
      </c>
      <c r="E10" s="22" t="inlineStr">
        <is>
          <t>small-market incumbent; yield-heavy</t>
        </is>
      </c>
    </row>
    <row r="11" ht="28" customHeight="1">
      <c r="A11" s="6" t="inlineStr">
        <is>
          <t>Deutsche Telekom / Vodafone</t>
        </is>
      </c>
      <c r="B11" s="6" t="inlineStr">
        <is>
          <t>Developed markets</t>
        </is>
      </c>
      <c r="C11" s="46" t="inlineStr">
        <is>
          <t>n/m</t>
        </is>
      </c>
      <c r="D11" s="46" t="inlineStr">
        <is>
          <t>3.4% / n/m</t>
        </is>
      </c>
      <c r="E11" s="22" t="inlineStr">
        <is>
          <t>the developed-market bracket: slower growth, more leverage, lower returns</t>
        </is>
      </c>
    </row>
    <row r="13">
      <c r="A13" s="5" t="inlineStr">
        <is>
          <t>du own multiples (computed live)</t>
        </is>
      </c>
      <c r="B13" s="5" t="inlineStr">
        <is>
          <t>Value</t>
        </is>
      </c>
    </row>
    <row r="14">
      <c r="A14" s="6" t="inlineStr">
        <is>
          <t>Trailing price / earnings</t>
        </is>
      </c>
      <c r="B14" s="37">
        <f>'Relative &amp; Normalized'!C13</f>
        <v/>
      </c>
    </row>
    <row r="15">
      <c r="A15" s="6" t="inlineStr">
        <is>
          <t>Trailing enterprise value / EBITDA</t>
        </is>
      </c>
      <c r="B15" s="37">
        <f>'Relative &amp; Normalized'!C14</f>
        <v/>
      </c>
    </row>
    <row r="16">
      <c r="A16" s="6" t="inlineStr">
        <is>
          <t>Trailing dividend yield (FY2025 DPS / spot)</t>
        </is>
      </c>
      <c r="B16" s="17">
        <f>'Income Statement'!D20/Assumptions!$C$5</f>
        <v/>
      </c>
    </row>
    <row r="17">
      <c r="A17" s="6" t="inlineStr">
        <is>
          <t>Justified price / earnings applied</t>
        </is>
      </c>
      <c r="B17" s="37">
        <f>'Relative &amp; Normalized'!C6</f>
        <v/>
      </c>
    </row>
    <row r="19">
      <c r="A19" s="4" t="inlineStr">
        <is>
          <t>Peer EV/EBITDA was not reliably sourceable from public aggregators at the sweep date (net-debt figures missing); the relative lens therefore runs on P/E and dividend yield, both sourced, and that limitation is stated rather than papered over.</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2026-09-08T22:56:59Z</dcterms:created>
  <dcterms:modified xmlns:dcterms="http://purl.org/dc/terms/" xmlns:xsi="http://www.w3.org/2001/XMLSchema-instance" xsi:type="dcterms:W3CDTF">2026-09-08T22:56:59Z</dcterms:modified>
</cp:coreProperties>
</file>