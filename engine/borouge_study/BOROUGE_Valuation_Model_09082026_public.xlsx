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8">
    <numFmt numFmtId="164" formatCode="0.00;(0.00);&quot;-&quot;"/>
    <numFmt numFmtId="165" formatCode="#,##0.0000"/>
    <numFmt numFmtId="166" formatCode="#,##0;(#,##0);&quot;-&quot;"/>
    <numFmt numFmtId="167" formatCode="#,##0.000"/>
    <numFmt numFmtId="168" formatCode="0.0%;(0.0%);&quot;-&quot;"/>
    <numFmt numFmtId="169" formatCode="#,##0.0;(#,##0.0);&quot;-&quot;"/>
    <numFmt numFmtId="170" formatCode="0.0000"/>
    <numFmt numFmtId="171" formatCode="0.00x"/>
  </numFmts>
  <fonts count="10">
    <font>
      <name val="Calibri"/>
      <family val="2"/>
      <color theme="1"/>
      <sz val="11"/>
      <scheme val="minor"/>
    </font>
    <font>
      <b val="1"/>
      <color rgb="00F6F1E6"/>
      <sz val="13"/>
    </font>
    <font>
      <color rgb="006E7B77"/>
      <sz val="9"/>
    </font>
    <font>
      <b val="1"/>
    </font>
    <font>
      <color rgb="000000FF"/>
    </font>
    <font/>
    <font>
      <color rgb="00008000"/>
    </font>
    <font>
      <b val="1"/>
      <color rgb="00000000"/>
    </font>
    <font>
      <color rgb="00000000"/>
    </font>
    <font>
      <b val="1"/>
      <color rgb="00008000"/>
    </font>
  </fonts>
  <fills count="5">
    <fill>
      <patternFill/>
    </fill>
    <fill>
      <patternFill patternType="gray125"/>
    </fill>
    <fill>
      <patternFill patternType="solid">
        <fgColor rgb="001C3A36"/>
      </patternFill>
    </fill>
    <fill>
      <patternFill patternType="solid">
        <fgColor rgb="00F6F1E6"/>
      </patternFill>
    </fill>
    <fill>
      <patternFill patternType="solid">
        <fgColor rgb="00EAF0EE"/>
      </patternFill>
    </fill>
  </fills>
  <borders count="1">
    <border>
      <left/>
      <right/>
      <top/>
      <bottom/>
      <diagonal/>
    </border>
  </borders>
  <cellStyleXfs count="1">
    <xf numFmtId="0" fontId="0" fillId="0" borderId="0"/>
  </cellStyleXfs>
  <cellXfs count="43">
    <xf numFmtId="0" fontId="0" fillId="0" borderId="0" pivotButton="0" quotePrefix="0" xfId="0"/>
    <xf numFmtId="0" fontId="1" fillId="2" borderId="0" pivotButton="0" quotePrefix="0" xfId="0"/>
    <xf numFmtId="0" fontId="0" fillId="2" borderId="0" pivotButton="0" quotePrefix="0" xfId="0"/>
    <xf numFmtId="0" fontId="5" fillId="0" borderId="0" pivotButton="0" quotePrefix="0" xfId="0"/>
    <xf numFmtId="0" fontId="3" fillId="0" borderId="0" pivotButton="0" quotePrefix="0" xfId="0"/>
    <xf numFmtId="0" fontId="3" fillId="3" borderId="0" pivotButton="0" quotePrefix="0" xfId="0"/>
    <xf numFmtId="0" fontId="2" fillId="0" borderId="0" pivotButton="0" quotePrefix="0" xfId="0"/>
    <xf numFmtId="0" fontId="3" fillId="4" borderId="0" pivotButton="0" quotePrefix="0" xfId="0"/>
    <xf numFmtId="164" fontId="6" fillId="0" borderId="0" pivotButton="0" quotePrefix="0" xfId="0"/>
    <xf numFmtId="168" fontId="6" fillId="0" borderId="0" pivotButton="0" quotePrefix="0" xfId="0"/>
    <xf numFmtId="164" fontId="9" fillId="0" borderId="0" pivotButton="0" quotePrefix="0" xfId="0"/>
    <xf numFmtId="168" fontId="8" fillId="0" borderId="0" pivotButton="0" quotePrefix="0" xfId="0"/>
    <xf numFmtId="10" fontId="6" fillId="0" borderId="0" pivotButton="0" quotePrefix="0" xfId="0"/>
    <xf numFmtId="10" fontId="7" fillId="0" borderId="0" pivotButton="0" quotePrefix="0" xfId="0"/>
    <xf numFmtId="10" fontId="8" fillId="0" borderId="0" pivotButton="0" quotePrefix="0" xfId="0"/>
    <xf numFmtId="167" fontId="6" fillId="0" borderId="0" pivotButton="0" quotePrefix="0" xfId="0"/>
    <xf numFmtId="167" fontId="7" fillId="0" borderId="0" pivotButton="0" quotePrefix="0" xfId="0"/>
    <xf numFmtId="166" fontId="8" fillId="0" borderId="0" pivotButton="0" quotePrefix="0" xfId="0"/>
    <xf numFmtId="166" fontId="6" fillId="0" borderId="0" pivotButton="0" quotePrefix="0" xfId="0"/>
    <xf numFmtId="165" fontId="8" fillId="0" borderId="0" pivotButton="0" quotePrefix="0" xfId="0"/>
    <xf numFmtId="171" fontId="8" fillId="0" borderId="0" pivotButton="0" quotePrefix="0" xfId="0"/>
    <xf numFmtId="164" fontId="7" fillId="0" borderId="0" pivotButton="0" quotePrefix="0" xfId="0"/>
    <xf numFmtId="164" fontId="8" fillId="0" borderId="0" pivotButton="0" quotePrefix="0" xfId="0"/>
    <xf numFmtId="164" fontId="4" fillId="0" borderId="0" pivotButton="0" quotePrefix="0" xfId="0"/>
    <xf numFmtId="165" fontId="4" fillId="0" borderId="0" pivotButton="0" quotePrefix="0" xfId="0"/>
    <xf numFmtId="166" fontId="4" fillId="0" borderId="0" pivotButton="0" quotePrefix="0" xfId="0"/>
    <xf numFmtId="10" fontId="4" fillId="0" borderId="0" pivotButton="0" quotePrefix="0" xfId="0"/>
    <xf numFmtId="167" fontId="4" fillId="0" borderId="0" pivotButton="0" quotePrefix="0" xfId="0"/>
    <xf numFmtId="168" fontId="4" fillId="0" borderId="0" pivotButton="0" quotePrefix="0" xfId="0"/>
    <xf numFmtId="169" fontId="4" fillId="0" borderId="0" pivotButton="0" quotePrefix="0" xfId="0"/>
    <xf numFmtId="169" fontId="8" fillId="0" borderId="0" pivotButton="0" quotePrefix="0" xfId="0"/>
    <xf numFmtId="169" fontId="7" fillId="0" borderId="0" pivotButton="0" quotePrefix="0" xfId="0"/>
    <xf numFmtId="166" fontId="7" fillId="0" borderId="0" pivotButton="0" quotePrefix="0" xfId="0"/>
    <xf numFmtId="168" fontId="9" fillId="0" borderId="0" pivotButton="0" quotePrefix="0" xfId="0"/>
    <xf numFmtId="165" fontId="7" fillId="0" borderId="0" pivotButton="0" quotePrefix="0" xfId="0"/>
    <xf numFmtId="171" fontId="4" fillId="0" borderId="0" pivotButton="0" quotePrefix="0" xfId="0"/>
    <xf numFmtId="171" fontId="7" fillId="0" borderId="0" pivotButton="0" quotePrefix="0" xfId="0"/>
    <xf numFmtId="169" fontId="6" fillId="0" borderId="0" pivotButton="0" quotePrefix="0" xfId="0"/>
    <xf numFmtId="170" fontId="8" fillId="0" borderId="0" pivotButton="0" quotePrefix="0" xfId="0"/>
    <xf numFmtId="166" fontId="9" fillId="0" borderId="0" pivotButton="0" quotePrefix="0" xfId="0"/>
    <xf numFmtId="0" fontId="4" fillId="0" borderId="0" pivotButton="0" quotePrefix="0" xfId="0"/>
    <xf numFmtId="0" fontId="8" fillId="0" borderId="0" pivotButton="0" quotePrefix="0" xfId="0"/>
    <xf numFmtId="167"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4"/>
  <sheetViews>
    <sheetView workbookViewId="0">
      <selection activeCell="A1" sqref="A1"/>
    </sheetView>
  </sheetViews>
  <sheetFormatPr baseColWidth="8" defaultRowHeight="15"/>
  <cols>
    <col width="30" customWidth="1" min="1" max="1"/>
    <col width="12" customWidth="1" min="2" max="2"/>
    <col width="6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Testahil — Borouge plc (ADX: BOROUGE)</t>
        </is>
      </c>
      <c r="B1" s="2" t="n"/>
      <c r="C1" s="2" t="n"/>
      <c r="D1" s="2" t="n"/>
      <c r="E1" s="2" t="n"/>
      <c r="F1" s="2" t="n"/>
      <c r="G1" s="2" t="n"/>
      <c r="H1" s="2" t="n"/>
      <c r="I1" s="2" t="n"/>
    </row>
    <row r="4">
      <c r="A4" s="3" t="inlineStr">
        <is>
          <t>Companion model · Independent Valuation Study · Educational analysis · Not investment advice</t>
        </is>
      </c>
    </row>
    <row r="5">
      <c r="A5" s="3" t="inlineStr"/>
    </row>
    <row r="6">
      <c r="A6" s="3" t="inlineStr">
        <is>
          <t>What this workbook is. A transparent companion to the Borouge valuation study. Every blue cell is an</t>
        </is>
      </c>
    </row>
    <row r="7">
      <c r="A7" s="3" t="inlineStr">
        <is>
          <t>input; every black cell is a formula; green cells link across sheets. Amounts are USD million unless a</t>
        </is>
      </c>
    </row>
    <row r="8">
      <c r="A8" s="3" t="inlineStr">
        <is>
          <t>row says otherwise — Borouge reports in US dollars and its shares trade in dirhams, so per-share figures</t>
        </is>
      </c>
    </row>
    <row r="9">
      <c r="A9" s="3" t="inlineStr">
        <is>
          <t>are converted at the pegged rate held on Assumptions.</t>
        </is>
      </c>
    </row>
    <row r="10">
      <c r="A10" s="3" t="inlineStr"/>
    </row>
    <row r="11">
      <c r="A11" s="3" t="inlineStr">
        <is>
          <t>IT IS FORMULA-DRIVEN, AND THAT CLAIM IS TESTED. Every figure derivable from a driver is a live formula,</t>
        </is>
      </c>
    </row>
    <row r="12">
      <c r="A12" s="3" t="inlineStr">
        <is>
          <t>so you can change a blue cell on Assumptions and watch the model reprice. The cost of equity is built</t>
        </is>
      </c>
    </row>
    <row r="13">
      <c r="A13" s="3" t="inlineStr">
        <is>
          <t>from the risk-free rate NET of the sovereign default spread, beta and the premium rather than pasted;</t>
        </is>
      </c>
    </row>
    <row r="14">
      <c r="A14" s="3" t="inlineStr">
        <is>
          <t>the cost of debt is taxed in the sheet; the weights come from net debt and market capitalisation; the</t>
        </is>
      </c>
    </row>
    <row r="15">
      <c r="A15" s="3" t="inlineStr">
        <is>
          <t>terminal rate is built from its own components; the discount factors compound; the DCF waterfall chains</t>
        </is>
      </c>
    </row>
    <row r="16">
      <c r="A16" s="3" t="inlineStr">
        <is>
          <t>from revenue through EBITDA, EBIT, NOPAT and free cash flow to the firm to present value; the terminal</t>
        </is>
      </c>
    </row>
    <row r="17">
      <c r="A17" s="3" t="inlineStr">
        <is>
          <t>block chains from reinvestment = growth / return on capital; the statements roll forward; and every</t>
        </is>
      </c>
    </row>
    <row r="18">
      <c r="A18" s="3" t="inlineStr">
        <is>
          <t>ratio and per-share figure is a formula. A driver test perturbs every input in place, re-evaluates the</t>
        </is>
      </c>
    </row>
    <row r="19">
      <c r="A19" s="3" t="inlineStr">
        <is>
          <t>whole workbook and confirms the headline moves in the right direction, with no dead inputs.</t>
        </is>
      </c>
    </row>
    <row r="20">
      <c r="A20" s="3" t="inlineStr"/>
    </row>
    <row r="21">
      <c r="A21" s="3" t="inlineStr">
        <is>
          <t>THREE CLASSES OF CELL ARE PASTED, and it is worth knowing exactly which.</t>
        </is>
      </c>
    </row>
    <row r="22">
      <c r="A22" s="3" t="inlineStr">
        <is>
          <t xml:space="preserve">  1. Audited and disclosed history — the primary record, not a calculation. Where a line is both</t>
        </is>
      </c>
    </row>
    <row r="23">
      <c r="A23" s="3" t="inlineStr">
        <is>
          <t xml:space="preserve">     disclosed and derivable, the DISCLOSED figure is carried.</t>
        </is>
      </c>
    </row>
    <row r="24">
      <c r="A24" s="3" t="inlineStr">
        <is>
          <t xml:space="preserve">  2. One output of the unit build: the split of other production cost into a fixed leg and a per-tonne</t>
        </is>
      </c>
    </row>
    <row r="25">
      <c r="A25" s="3" t="inlineStr">
        <is>
          <t xml:space="preserve">     leg, fitted by least squares across the three audited years. A three-point regression cannot be</t>
        </is>
      </c>
    </row>
    <row r="26">
      <c r="A26" s="3" t="inlineStr">
        <is>
          <t xml:space="preserve">     read as a grid, so its two coefficients sit on Assumptions and everything downstream of them —</t>
        </is>
      </c>
    </row>
    <row r="27">
      <c r="A27" s="3" t="inlineStr">
        <is>
          <t xml:space="preserve">     every year of other production cost, in both constructions — is formula.</t>
        </is>
      </c>
    </row>
    <row r="28">
      <c r="A28" s="3" t="inlineStr">
        <is>
          <t xml:space="preserve">  3. Whole-model re-runs: the probability map, the sensitivity grids, the mid-cycle revenue and EBITDA</t>
        </is>
      </c>
    </row>
    <row r="29">
      <c r="A29" s="3" t="inlineStr">
        <is>
          <t xml:space="preserve">     behind the normalised-earnings lens, and the sector-beta re-solve of the whole waterfall. Each of</t>
        </is>
      </c>
    </row>
    <row r="30">
      <c r="A30" s="3" t="inlineStr">
        <is>
          <t xml:space="preserve">     those cells is a complete revaluation or a complete simulation, so it cannot be a formula in a</t>
        </is>
      </c>
    </row>
    <row r="31">
      <c r="A31" s="3" t="inlineStr">
        <is>
          <t xml:space="preserve">     grid. THESE DO NOT REDRAW WHEN A DRIVER CHANGES — edit an input on Assumptions and the waterfall,</t>
        </is>
      </c>
    </row>
    <row r="32">
      <c r="A32" s="3" t="inlineStr">
        <is>
          <t xml:space="preserve">     the statements, the bridge and all four lenses reprice, but those grids keep the values printed</t>
        </is>
      </c>
    </row>
    <row r="33">
      <c r="A33" s="3" t="inlineStr">
        <is>
          <t xml:space="preserve">     here.</t>
        </is>
      </c>
    </row>
    <row r="34">
      <c r="A34" s="3" t="inlineStr">
        <is>
          <t xml:space="preserve">  Anything else pasted would be a defect.</t>
        </is>
      </c>
    </row>
    <row r="35">
      <c r="A35" s="3" t="inlineStr"/>
    </row>
    <row r="36">
      <c r="A36" s="3" t="inlineStr">
        <is>
          <t>THE COST OF CAPITAL IS FLAT, DELIBERATELY, AND THE SHEET SHOWS WHY. Some models glide the discount rate</t>
        </is>
      </c>
    </row>
    <row r="37">
      <c r="A37" s="3" t="inlineStr">
        <is>
          <t>down over the forecast because the currency is normalising off a high policy rate. That is not this</t>
        </is>
      </c>
    </row>
    <row r="38">
      <c r="A38" s="3" t="inlineStr">
        <is>
          <t>company: the dirham is hard-pegged to the dollar, Borouge reports in dollars, and its debt is dollar</t>
        </is>
      </c>
    </row>
    <row r="39">
      <c r="A39" s="3" t="inlineStr">
        <is>
          <t>debt. There is no rate normalisation to glide along, so the per-year discount rate on the DCF sheet is</t>
        </is>
      </c>
    </row>
    <row r="40">
      <c r="A40" s="3" t="inlineStr">
        <is>
          <t>a live formula pointing at one built cost of capital, and the discount factors compound off it. The row</t>
        </is>
      </c>
    </row>
    <row r="41">
      <c r="A41" s="3" t="inlineStr">
        <is>
          <t>is there so a reader can see the rate used in each year rather than infer it.</t>
        </is>
      </c>
    </row>
    <row r="42">
      <c r="A42" s="3" t="inlineStr"/>
    </row>
    <row r="43">
      <c r="A43" s="3" t="inlineStr">
        <is>
          <t>HOW THE COMPANY IS VALUED, AND WHY. Borouge is a single-segment polyolefin operating company: it makes</t>
        </is>
      </c>
    </row>
    <row r="44">
      <c r="A44" s="3" t="inlineStr">
        <is>
          <t>polyethylene and polypropylene at one integrated complex at Ruwais and sells them in more than ninety</t>
        </is>
      </c>
    </row>
    <row r="45">
      <c r="A45" s="3" t="inlineStr">
        <is>
          <t>countries. There is no lending book, no property portfolio and no investment-holding leg, so it takes</t>
        </is>
      </c>
    </row>
    <row r="46">
      <c r="A46" s="3" t="inlineStr">
        <is>
          <t>one operating-company lens — discounted cash flow built from tonnes and dollars per tonne — cross-read</t>
        </is>
      </c>
    </row>
    <row r="47">
      <c r="A47" s="3" t="inlineStr">
        <is>
          <t>against book value and sustainable return, through-cycle multiples and normalised earnings power.</t>
        </is>
      </c>
    </row>
    <row r="48">
      <c r="A48" s="3" t="inlineStr"/>
    </row>
    <row r="49">
      <c r="A49" s="4" t="inlineStr">
        <is>
          <t>TWO THINGS TO KNOW BEFORE READING ANY NUMBER.</t>
        </is>
      </c>
    </row>
    <row r="50">
      <c r="A50" s="3" t="inlineStr">
        <is>
          <t xml:space="preserve">  * BOROUGE 4 IS NOT OWNED. The 1.4 million tonne expansion next door is owned 70% by ADNOC and 30% by</t>
        </is>
      </c>
    </row>
    <row r="51">
      <c r="A51" s="3" t="inlineStr">
        <is>
          <t xml:space="preserve">    OMV. Borouge plc operates it under an Asset Usage Agreement and earns a fee. It is valued on the</t>
        </is>
      </c>
    </row>
    <row r="52">
      <c r="A52" s="3" t="inlineStr">
        <is>
          <t xml:space="preserve">    Bridge sheet as a fee stream, never consolidated as capacity, and terminal growth is set on the</t>
        </is>
      </c>
    </row>
    <row r="53">
      <c r="A53" s="3" t="inlineStr">
        <is>
          <t xml:space="preserve">    footing that the company's OWN capacity is fixed.</t>
        </is>
      </c>
    </row>
    <row r="54">
      <c r="A54" s="3" t="inlineStr">
        <is>
          <t xml:space="preserve">  * THE STUDY PUBLISHES TWO ANSWERS, NOT ONE. The share's own regression beta is statistically weak,</t>
        </is>
      </c>
    </row>
    <row r="55">
      <c r="A55" s="3" t="inlineStr">
        <is>
          <t xml:space="preserve">    and a sector bottom-up beta gives a materially different cost of capital. Both are carried all the</t>
        </is>
      </c>
    </row>
    <row r="56">
      <c r="A56" s="3" t="inlineStr">
        <is>
          <t xml:space="preserve">    way to a value per share, side by side, everywhere they appear. Averaging them would hide the</t>
        </is>
      </c>
    </row>
    <row r="57">
      <c r="A57" s="3" t="inlineStr">
        <is>
          <t xml:space="preserve">    single most consequential judgement in the study.</t>
        </is>
      </c>
    </row>
    <row r="58">
      <c r="A58" s="3" t="inlineStr"/>
    </row>
    <row r="59">
      <c r="A59" s="5" t="inlineStr">
        <is>
          <t>SHEET GUIDE</t>
        </is>
      </c>
      <c r="B59" s="5" t="n"/>
      <c r="C59" s="5" t="n"/>
      <c r="D59" s="5" t="n"/>
      <c r="E59" s="5" t="n"/>
      <c r="F59" s="5" t="n"/>
      <c r="G59" s="5" t="n"/>
      <c r="H59" s="5" t="n"/>
      <c r="I59" s="5" t="n"/>
    </row>
    <row r="60">
      <c r="A60" s="4" t="inlineStr">
        <is>
          <t xml:space="preserve">  Summary</t>
        </is>
      </c>
      <c r="C60" t="inlineStr">
        <is>
          <t>the headline: four lenses, both betas, and the terminal-value share</t>
        </is>
      </c>
    </row>
    <row r="61">
      <c r="A61" s="4" t="inlineStr">
        <is>
          <t xml:space="preserve">  Fundamental Valuation</t>
        </is>
      </c>
      <c r="C61" t="inlineStr">
        <is>
          <t>the cost of capital built line by line, and the lenses assembled</t>
        </is>
      </c>
    </row>
    <row r="62">
      <c r="A62" s="4" t="inlineStr">
        <is>
          <t xml:space="preserve">  Assumptions</t>
        </is>
      </c>
      <c r="C62" t="inlineStr">
        <is>
          <t>every driver. Blue cells here are what you change</t>
        </is>
      </c>
    </row>
    <row r="63">
      <c r="A63" s="4" t="inlineStr">
        <is>
          <t xml:space="preserve">  SOTP Bridge</t>
        </is>
      </c>
      <c r="C63" t="inlineStr">
        <is>
          <t>enterprise value to equity, with the Borouge 4 fee stream separate</t>
        </is>
      </c>
    </row>
    <row r="64">
      <c r="A64" s="4" t="inlineStr">
        <is>
          <t xml:space="preserve">  Segments</t>
        </is>
      </c>
      <c r="C64" t="inlineStr">
        <is>
          <t>the unit build: tonnes, prices and cost per tonne, by product</t>
        </is>
      </c>
    </row>
    <row r="65">
      <c r="A65" s="4" t="inlineStr">
        <is>
          <t xml:space="preserve">  Relative &amp; Normalized</t>
        </is>
      </c>
      <c r="C65" t="inlineStr">
        <is>
          <t>the through-cycle triangulation and normalised earnings power</t>
        </is>
      </c>
    </row>
    <row r="66">
      <c r="A66" s="4" t="inlineStr">
        <is>
          <t xml:space="preserve">  DCF</t>
        </is>
      </c>
      <c r="C66" t="inlineStr">
        <is>
          <t>the waterfall and the terminal block, both constructions</t>
        </is>
      </c>
    </row>
    <row r="67">
      <c r="A67" s="4" t="inlineStr">
        <is>
          <t xml:space="preserve">  Income Statement</t>
        </is>
      </c>
      <c r="C67" t="inlineStr">
        <is>
          <t>three audited years and five forecast years</t>
        </is>
      </c>
    </row>
    <row r="68">
      <c r="A68" s="4" t="inlineStr">
        <is>
          <t xml:space="preserve">  Balance Sheet</t>
        </is>
      </c>
      <c r="C68" t="inlineStr">
        <is>
          <t>three audited years and five forecast years, rolled forward</t>
        </is>
      </c>
    </row>
    <row r="69">
      <c r="A69" s="4" t="inlineStr">
        <is>
          <t xml:space="preserve">  Cash Flow</t>
        </is>
      </c>
      <c r="C69" t="inlineStr">
        <is>
          <t>linked to the waterfall, not restated</t>
        </is>
      </c>
    </row>
    <row r="70">
      <c r="A70" s="4" t="inlineStr">
        <is>
          <t xml:space="preserve">  Summary Financials</t>
        </is>
      </c>
      <c r="C70" t="inlineStr">
        <is>
          <t>the compact view</t>
        </is>
      </c>
    </row>
    <row r="71">
      <c r="A71" s="4" t="inlineStr">
        <is>
          <t xml:space="preserve">  Monte Carlo</t>
        </is>
      </c>
      <c r="C71" t="inlineStr">
        <is>
          <t>the probability map for the traded price (a re-run, not a formula)</t>
        </is>
      </c>
    </row>
    <row r="72">
      <c r="A72" s="4" t="inlineStr">
        <is>
          <t xml:space="preserve">  Sensitivity</t>
        </is>
      </c>
      <c r="C72" t="inlineStr">
        <is>
          <t>value against cost of capital, growth, premium and utilisation</t>
        </is>
      </c>
    </row>
    <row r="73">
      <c r="A73" s="4" t="inlineStr">
        <is>
          <t xml:space="preserve">  Per-Share &amp; Ratios</t>
        </is>
      </c>
      <c r="C73" t="inlineStr">
        <is>
          <t>per-share figures and returns, all formulas</t>
        </is>
      </c>
    </row>
    <row r="74">
      <c r="A74" s="4" t="inlineStr">
        <is>
          <t xml:space="preserve">  Peer &amp; Sector</t>
        </is>
      </c>
      <c r="C74" t="inlineStr">
        <is>
          <t>the eleven listed peers and why the naive median is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1" t="inlineStr">
        <is>
          <t>Summary valuation</t>
        </is>
      </c>
      <c r="B1" s="2" t="n"/>
      <c r="C1" s="2" t="n"/>
      <c r="D1" s="2" t="n"/>
      <c r="E1" s="2" t="n"/>
      <c r="F1" s="2" t="n"/>
      <c r="G1" s="2" t="n"/>
      <c r="H1" s="2" t="n"/>
      <c r="I1" s="2" t="n"/>
    </row>
    <row r="2">
      <c r="A2" s="6" t="inlineStr">
        <is>
          <t>Value per share in AED. Every figure on this sheet is a live link or formula.</t>
        </is>
      </c>
    </row>
    <row r="4">
      <c r="A4" s="5" t="inlineStr">
        <is>
          <t>THE FOUR LENSES, ACROSS THE BETA THE STUDY CONTESTS</t>
        </is>
      </c>
      <c r="B4" s="5" t="n"/>
      <c r="C4" s="5" t="n"/>
      <c r="D4" s="5" t="n"/>
      <c r="E4" s="5" t="n"/>
      <c r="F4" s="5" t="n"/>
      <c r="G4" s="5" t="n"/>
      <c r="H4" s="5" t="n"/>
      <c r="I4" s="5" t="n"/>
      <c r="J4" s="5" t="n"/>
    </row>
    <row r="5">
      <c r="A5" s="7" t="inlineStr">
        <is>
          <t>Lens</t>
        </is>
      </c>
      <c r="B5" s="7" t="inlineStr">
        <is>
          <t>Sector bottom-up beta</t>
        </is>
      </c>
      <c r="C5" s="7" t="inlineStr">
        <is>
          <t>Own-stock beta</t>
        </is>
      </c>
      <c r="D5" s="7" t="inlineStr">
        <is>
          <t>Terminal value % of EV</t>
        </is>
      </c>
    </row>
    <row r="6">
      <c r="A6" s="3" t="inlineStr">
        <is>
          <t>Discounted cash flow — normalisation</t>
        </is>
      </c>
      <c r="B6" s="8">
        <f>'Fundamental Valuation'!$B$34</f>
        <v/>
      </c>
      <c r="C6" s="8">
        <f>'Fundamental Valuation'!$C$34</f>
        <v/>
      </c>
      <c r="D6" s="9">
        <f>'DCF'!$E$68</f>
        <v/>
      </c>
    </row>
    <row r="7">
      <c r="A7" s="3" t="inlineStr">
        <is>
          <t>Discounted cash flow — prolonged disruption</t>
        </is>
      </c>
      <c r="B7" s="8">
        <f>'Fundamental Valuation'!$B$35</f>
        <v/>
      </c>
      <c r="C7" s="8">
        <f>'Fundamental Valuation'!$C$35</f>
        <v/>
      </c>
      <c r="D7" s="9">
        <f>'DCF'!$E$70</f>
        <v/>
      </c>
    </row>
    <row r="8">
      <c r="A8" s="3" t="inlineStr">
        <is>
          <t>Book value and sustainable return</t>
        </is>
      </c>
      <c r="B8" s="8">
        <f>'Fundamental Valuation'!$B$39</f>
        <v/>
      </c>
      <c r="C8" s="8">
        <f>'Fundamental Valuation'!$C$39</f>
        <v/>
      </c>
    </row>
    <row r="9">
      <c r="A9" s="3" t="inlineStr">
        <is>
          <t>Normalised earnings power</t>
        </is>
      </c>
      <c r="B9" s="8">
        <f>'Fundamental Valuation'!$B$40</f>
        <v/>
      </c>
      <c r="C9" s="8">
        <f>'Fundamental Valuation'!$C$40</f>
        <v/>
      </c>
    </row>
    <row r="10">
      <c r="A10" s="3" t="inlineStr">
        <is>
          <t>Relative multiples (independent of beta)</t>
        </is>
      </c>
      <c r="B10" s="8">
        <f>'Fundamental Valuation'!$B$41</f>
        <v/>
      </c>
      <c r="C10" s="8">
        <f>'Fundamental Valuation'!$C$41</f>
        <v/>
      </c>
    </row>
    <row r="12">
      <c r="A12" s="5" t="inlineStr">
        <is>
          <t>THE ANSWER AGAINST THE MARKET</t>
        </is>
      </c>
      <c r="B12" s="5" t="n"/>
      <c r="C12" s="5" t="n"/>
      <c r="D12" s="5" t="n"/>
      <c r="E12" s="5" t="n"/>
      <c r="F12" s="5" t="n"/>
      <c r="G12" s="5" t="n"/>
      <c r="H12" s="5" t="n"/>
      <c r="I12" s="5" t="n"/>
      <c r="J12" s="5" t="n"/>
    </row>
    <row r="13">
      <c r="A13" s="4" t="inlineStr">
        <is>
          <t>Navigation normalises during 2026</t>
        </is>
      </c>
      <c r="B13" s="10">
        <f>'Fundamental Valuation'!$B$44</f>
        <v/>
      </c>
    </row>
    <row r="14">
      <c r="A14" s="4" t="inlineStr">
        <is>
          <t>Disruption persists into 2027</t>
        </is>
      </c>
      <c r="B14" s="10">
        <f>'Fundamental Valuation'!$B$45</f>
        <v/>
      </c>
    </row>
    <row r="15">
      <c r="A15" s="3" t="inlineStr">
        <is>
          <t>Closing price, 3 September 2026</t>
        </is>
      </c>
      <c r="B15" s="8">
        <f>Assumptions!$B$5</f>
        <v/>
      </c>
    </row>
    <row r="16">
      <c r="A16" s="3" t="inlineStr">
        <is>
          <t>Navigation normalises, against the close</t>
        </is>
      </c>
      <c r="B16" s="11">
        <f>B13/B15-1</f>
        <v/>
      </c>
    </row>
    <row r="17">
      <c r="A17" s="3" t="inlineStr">
        <is>
          <t>Disruption persists, against the close</t>
        </is>
      </c>
      <c r="B17" s="11">
        <f>B14/B15-1</f>
        <v/>
      </c>
    </row>
    <row r="18">
      <c r="A18" s="3" t="inlineStr">
        <is>
          <t>Cross-checks span (AED)</t>
        </is>
      </c>
      <c r="B18" s="8">
        <f>'Fundamental Valuation'!$B$52</f>
        <v/>
      </c>
      <c r="C18" s="8">
        <f>'Fundamental Valuation'!$B$53</f>
        <v/>
      </c>
    </row>
    <row r="20">
      <c r="A20" s="5" t="inlineStr">
        <is>
          <t>THE COST OF CAPITAL BEHIND IT</t>
        </is>
      </c>
      <c r="B20" s="5" t="n"/>
      <c r="C20" s="5" t="n"/>
      <c r="D20" s="5" t="n"/>
      <c r="E20" s="5" t="n"/>
      <c r="F20" s="5" t="n"/>
      <c r="G20" s="5" t="n"/>
      <c r="H20" s="5" t="n"/>
      <c r="I20" s="5" t="n"/>
      <c r="J20" s="5" t="n"/>
    </row>
    <row r="21">
      <c r="A21" s="3" t="inlineStr">
        <is>
          <t>Weighted average cost of capital — own-stock beta</t>
        </is>
      </c>
      <c r="B21" s="12">
        <f>'Fundamental Valuation'!$B$29</f>
        <v/>
      </c>
    </row>
    <row r="22">
      <c r="A22" s="3" t="inlineStr">
        <is>
          <t>Weighted average cost of capital — sector bottom-up beta</t>
        </is>
      </c>
      <c r="B22" s="12">
        <f>'Fundamental Valuation'!$C$29</f>
        <v/>
      </c>
    </row>
    <row r="23">
      <c r="A23" s="3" t="inlineStr">
        <is>
          <t>Normalised risk-free rate</t>
        </is>
      </c>
      <c r="B23" s="12">
        <f>'Fundamental Valuation'!$B$7</f>
        <v/>
      </c>
    </row>
    <row r="24">
      <c r="A24" s="3" t="inlineStr">
        <is>
          <t>Equity risk premium (rating basis)</t>
        </is>
      </c>
      <c r="B24" s="12">
        <f>'Fundamental Valuation'!$B$12</f>
        <v/>
      </c>
    </row>
    <row r="25">
      <c r="A25" s="3" t="inlineStr">
        <is>
          <t>Terminal growth rate</t>
        </is>
      </c>
      <c r="B25" s="12">
        <f>Assumptions!$B$51</f>
        <v/>
      </c>
    </row>
    <row r="27">
      <c r="A27" s="5" t="inlineStr">
        <is>
          <t>THE PROBABILITY MAP FOR THE TRADED PRICE</t>
        </is>
      </c>
      <c r="B27" s="5" t="n"/>
      <c r="C27" s="5" t="n"/>
      <c r="D27" s="5" t="n"/>
      <c r="E27" s="5" t="n"/>
      <c r="F27" s="5" t="n"/>
      <c r="G27" s="5" t="n"/>
      <c r="H27" s="5" t="n"/>
      <c r="I27" s="5" t="n"/>
      <c r="J27" s="5" t="n"/>
    </row>
    <row r="28">
      <c r="A28" s="7" t="inlineStr">
        <is>
          <t>Horizon</t>
        </is>
      </c>
      <c r="B28" s="7" t="inlineStr">
        <is>
          <t>5th</t>
        </is>
      </c>
      <c r="C28" s="7" t="inlineStr">
        <is>
          <t>Median</t>
        </is>
      </c>
      <c r="D28" s="7" t="inlineStr">
        <is>
          <t>95th</t>
        </is>
      </c>
      <c r="E28" s="7" t="inlineStr">
        <is>
          <t>Above the close</t>
        </is>
      </c>
    </row>
    <row r="29">
      <c r="A29" s="3" t="inlineStr">
        <is>
          <t>One month</t>
        </is>
      </c>
      <c r="B29" s="8">
        <f>'Monte Carlo'!C14</f>
        <v/>
      </c>
      <c r="C29" s="8">
        <f>'Monte Carlo'!E14</f>
        <v/>
      </c>
      <c r="D29" s="8">
        <f>'Monte Carlo'!G14</f>
        <v/>
      </c>
      <c r="E29" s="9">
        <f>'Monte Carlo'!H14</f>
        <v/>
      </c>
    </row>
    <row r="30">
      <c r="A30" s="3" t="inlineStr">
        <is>
          <t>Three months</t>
        </is>
      </c>
      <c r="B30" s="8">
        <f>'Monte Carlo'!C15</f>
        <v/>
      </c>
      <c r="C30" s="8">
        <f>'Monte Carlo'!E15</f>
        <v/>
      </c>
      <c r="D30" s="8">
        <f>'Monte Carlo'!G15</f>
        <v/>
      </c>
      <c r="E30" s="9">
        <f>'Monte Carlo'!H15</f>
        <v/>
      </c>
    </row>
    <row r="32">
      <c r="A32" s="6" t="inlineStr">
        <is>
          <t>The two constructions and the two betas are shown side by side and are never averaged. The spread between them is the honest width of the answer.</t>
        </is>
      </c>
    </row>
  </sheetData>
  <mergeCells count="1">
    <mergeCell ref="A32:I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4"/>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Fundamental valuation — the cost of capital, built line by line</t>
        </is>
      </c>
      <c r="B1" s="2" t="n"/>
      <c r="C1" s="2" t="n"/>
      <c r="D1" s="2" t="n"/>
      <c r="E1" s="2" t="n"/>
      <c r="F1" s="2" t="n"/>
      <c r="G1" s="2" t="n"/>
      <c r="H1" s="2" t="n"/>
      <c r="I1" s="2" t="n"/>
    </row>
    <row r="2">
      <c r="A2" s="6" t="inlineStr">
        <is>
          <t>Nothing on this sheet is pasted. Every rate is assembled from the inputs on Assumptions.</t>
        </is>
      </c>
    </row>
    <row r="4">
      <c r="A4" s="5" t="inlineStr">
        <is>
          <t>RISK-FREE RATE, NORMALISED</t>
        </is>
      </c>
      <c r="B4" s="5" t="n"/>
      <c r="C4" s="5" t="n"/>
      <c r="D4" s="5" t="n"/>
      <c r="E4" s="5" t="n"/>
      <c r="F4" s="5" t="n"/>
      <c r="G4" s="5" t="n"/>
      <c r="H4" s="5" t="n"/>
      <c r="I4" s="5" t="n"/>
      <c r="J4" s="5" t="n"/>
    </row>
    <row r="5">
      <c r="A5" s="3" t="inlineStr">
        <is>
          <t>US 10-year Treasury yield</t>
        </is>
      </c>
      <c r="B5" s="12">
        <f>Assumptions!$B$10</f>
        <v/>
      </c>
    </row>
    <row r="6">
      <c r="A6" s="3" t="inlineStr">
        <is>
          <t>Less: US adjusted default spread</t>
        </is>
      </c>
      <c r="B6" s="12">
        <f>-Assumptions!$B$11</f>
        <v/>
      </c>
    </row>
    <row r="7">
      <c r="A7" s="4" t="inlineStr">
        <is>
          <t>Normalised risk-free rate</t>
        </is>
      </c>
      <c r="B7" s="13">
        <f>B5+B6</f>
        <v/>
      </c>
      <c r="C7" s="6" t="inlineStr">
        <is>
          <t>Country risk is charged once, in the premium below — never twice</t>
        </is>
      </c>
    </row>
    <row r="9">
      <c r="A9" s="5" t="inlineStr">
        <is>
          <t>EQUITY RISK PREMIUM (BOTH BASES PUBLISHED)</t>
        </is>
      </c>
      <c r="B9" s="5" t="n"/>
      <c r="C9" s="5" t="n"/>
      <c r="D9" s="5" t="n"/>
      <c r="E9" s="5" t="n"/>
      <c r="F9" s="5" t="n"/>
      <c r="G9" s="5" t="n"/>
      <c r="H9" s="5" t="n"/>
      <c r="I9" s="5" t="n"/>
      <c r="J9" s="5" t="n"/>
    </row>
    <row r="10">
      <c r="A10" s="3" t="inlineStr">
        <is>
          <t>Mature-market equity risk premium</t>
        </is>
      </c>
      <c r="B10" s="12">
        <f>Assumptions!$B$12</f>
        <v/>
      </c>
    </row>
    <row r="11">
      <c r="A11" s="3" t="inlineStr">
        <is>
          <t>Plus: UAE country risk premium (rating basis)</t>
        </is>
      </c>
      <c r="B11" s="12">
        <f>Assumptions!$B$13</f>
        <v/>
      </c>
    </row>
    <row r="12">
      <c r="A12" s="4" t="inlineStr">
        <is>
          <t>Equity risk premium — rating basis</t>
        </is>
      </c>
      <c r="B12" s="13">
        <f>B10+B11</f>
        <v/>
      </c>
    </row>
    <row r="13">
      <c r="A13" s="3" t="inlineStr">
        <is>
          <t>Equity risk premium — default-spread basis</t>
        </is>
      </c>
      <c r="B13" s="14">
        <f>B10+Assumptions!$B$14</f>
        <v/>
      </c>
      <c r="C13" s="6" t="inlineStr">
        <is>
          <t>Published alongside: no sovereign credit-default-swap quote exists for this sovereign</t>
        </is>
      </c>
    </row>
    <row r="15">
      <c r="A15" s="5" t="inlineStr">
        <is>
          <t>BETA — THE STUDY'S CENTRAL CONTESTED JUDGEMENT</t>
        </is>
      </c>
      <c r="B15" s="5" t="n"/>
      <c r="C15" s="5" t="n"/>
      <c r="D15" s="5" t="n"/>
      <c r="E15" s="5" t="n"/>
      <c r="F15" s="5" t="n"/>
      <c r="G15" s="5" t="n"/>
      <c r="H15" s="5" t="n"/>
      <c r="I15" s="5" t="n"/>
      <c r="J15" s="5" t="n"/>
    </row>
    <row r="16">
      <c r="A16" s="3" t="inlineStr">
        <is>
          <t>The share's own five-year weekly regression beta</t>
        </is>
      </c>
      <c r="B16" s="15">
        <f>Assumptions!$B$15</f>
        <v/>
      </c>
      <c r="C16" s="6" t="inlineStr">
        <is>
          <t>R-squared 0.094 on 215 weekly observations — statistically weak</t>
        </is>
      </c>
    </row>
    <row r="17">
      <c r="A17" s="3" t="inlineStr">
        <is>
          <t>Sector unlevered beta (global chemicals)</t>
        </is>
      </c>
      <c r="B17" s="15">
        <f>Assumptions!$B$16</f>
        <v/>
      </c>
    </row>
    <row r="18">
      <c r="A18" s="4" t="inlineStr">
        <is>
          <t>Re-levered at the company's debt-to-equity and tax rate</t>
        </is>
      </c>
      <c r="B18" s="16">
        <f>B17*(1+(1-Assumptions!$B$19)*Assumptions!$B$17)</f>
        <v/>
      </c>
    </row>
    <row r="20">
      <c r="A20" s="5" t="inlineStr">
        <is>
          <t>COST OF EQUITY, COST OF DEBT AND THE WEIGHTS</t>
        </is>
      </c>
      <c r="B20" s="5" t="n"/>
      <c r="C20" s="5" t="n"/>
      <c r="D20" s="5" t="n"/>
      <c r="E20" s="5" t="n"/>
      <c r="F20" s="5" t="n"/>
      <c r="G20" s="5" t="n"/>
      <c r="H20" s="5" t="n"/>
      <c r="I20" s="5" t="n"/>
      <c r="J20" s="5" t="n"/>
    </row>
    <row r="21">
      <c r="A21" s="7" t="inlineStr"/>
      <c r="B21" s="7" t="inlineStr">
        <is>
          <t>Own-stock beta</t>
        </is>
      </c>
      <c r="C21" s="7" t="inlineStr">
        <is>
          <t>Sector bottom-up beta</t>
        </is>
      </c>
    </row>
    <row r="22">
      <c r="A22" s="3" t="inlineStr">
        <is>
          <t>Cost of equity = risk-free rate + beta x premium</t>
        </is>
      </c>
      <c r="B22" s="14">
        <f>$B7+B16*$B12</f>
        <v/>
      </c>
      <c r="C22" s="14">
        <f>$B7+B18*$B12</f>
        <v/>
      </c>
    </row>
    <row r="23">
      <c r="A23" s="3" t="inlineStr">
        <is>
          <t>Pre-tax cost of debt (marginal)</t>
        </is>
      </c>
      <c r="B23" s="12">
        <f>Assumptions!$B$18</f>
        <v/>
      </c>
      <c r="C23" s="12">
        <f>Assumptions!$B$18</f>
        <v/>
      </c>
    </row>
    <row r="24">
      <c r="A24" s="3" t="inlineStr">
        <is>
          <t>After-tax cost of debt</t>
        </is>
      </c>
      <c r="B24" s="14">
        <f>B23*(1-Assumptions!$B$19)</f>
        <v/>
      </c>
      <c r="C24" s="14">
        <f>C23*(1-Assumptions!$B$19)</f>
        <v/>
      </c>
    </row>
    <row r="25">
      <c r="A25" s="3" t="inlineStr">
        <is>
          <t>Market capitalisation (USD million)</t>
        </is>
      </c>
      <c r="B25" s="17">
        <f>Assumptions!$B$5/Assumptions!$B$6*Assumptions!$B$7</f>
        <v/>
      </c>
    </row>
    <row r="26">
      <c r="A26" s="3" t="inlineStr">
        <is>
          <t>Net debt (USD million)</t>
        </is>
      </c>
      <c r="B26" s="18">
        <f>Assumptions!$B$53</f>
        <v/>
      </c>
    </row>
    <row r="27">
      <c r="A27" s="3" t="inlineStr">
        <is>
          <t>Equity weight</t>
        </is>
      </c>
      <c r="B27" s="11">
        <f>B25/(B25+B26)</f>
        <v/>
      </c>
    </row>
    <row r="28">
      <c r="A28" s="3" t="inlineStr">
        <is>
          <t>Debt weight</t>
        </is>
      </c>
      <c r="B28" s="11">
        <f>1-B27</f>
        <v/>
      </c>
    </row>
    <row r="29">
      <c r="A29" s="4" t="inlineStr">
        <is>
          <t>Weighted average cost of capital</t>
        </is>
      </c>
      <c r="B29" s="13">
        <f>B22*$B27+B24*$B28</f>
        <v/>
      </c>
      <c r="C29" s="13">
        <f>C22*$B27+C24*$B28</f>
        <v/>
      </c>
    </row>
    <row r="30">
      <c r="A30" s="6" t="inlineStr">
        <is>
          <t>The two columns are the study's central contested judgement. They are carried side by side to a value per share everywhere they appear and are never averaged into one number.</t>
        </is>
      </c>
    </row>
    <row r="32">
      <c r="A32" s="5" t="inlineStr">
        <is>
          <t>THE FOUR LENSES ASSEMBLED</t>
        </is>
      </c>
      <c r="B32" s="5" t="n"/>
      <c r="C32" s="5" t="n"/>
      <c r="D32" s="5" t="n"/>
      <c r="E32" s="5" t="n"/>
      <c r="F32" s="5" t="n"/>
      <c r="G32" s="5" t="n"/>
      <c r="H32" s="5" t="n"/>
      <c r="I32" s="5" t="n"/>
      <c r="J32" s="5" t="n"/>
    </row>
    <row r="33">
      <c r="A33" s="7" t="inlineStr">
        <is>
          <t>Lens</t>
        </is>
      </c>
      <c r="B33" s="7" t="inlineStr">
        <is>
          <t>Sector bottom-up beta</t>
        </is>
      </c>
      <c r="C33" s="7" t="inlineStr">
        <is>
          <t>Own-stock beta</t>
        </is>
      </c>
    </row>
    <row r="34">
      <c r="A34" s="3" t="inlineStr">
        <is>
          <t>Discounted cash flow — normalisation</t>
        </is>
      </c>
      <c r="B34" s="8">
        <f>'DCF'!$F$69</f>
        <v/>
      </c>
      <c r="C34" s="8">
        <f>'DCF'!$F$68</f>
        <v/>
      </c>
    </row>
    <row r="35">
      <c r="A35" s="3" t="inlineStr">
        <is>
          <t>Discounted cash flow — prolonged disruption</t>
        </is>
      </c>
      <c r="B35" s="8">
        <f>'DCF'!$F$71</f>
        <v/>
      </c>
      <c r="C35" s="8">
        <f>'DCF'!$F$70</f>
        <v/>
      </c>
    </row>
    <row r="36">
      <c r="A36" s="3" t="inlineStr">
        <is>
          <t>Book value per share (USD)</t>
        </is>
      </c>
      <c r="B36" s="19">
        <f>Assumptions!$B$44/Assumptions!$B$7</f>
        <v/>
      </c>
    </row>
    <row r="37">
      <c r="A37" s="3" t="inlineStr">
        <is>
          <t>Sustainable return on equity (three audited years)</t>
        </is>
      </c>
      <c r="B37" s="11">
        <f>AVERAGE(Assumptions!$B$45,Assumptions!$B$46,Assumptions!$B$47)</f>
        <v/>
      </c>
    </row>
    <row r="38">
      <c r="A38" s="3" t="inlineStr">
        <is>
          <t>Justified price to book = (return - growth) / (cost of equity - growth)</t>
        </is>
      </c>
      <c r="B38" s="20">
        <f>(B37-Assumptions!$B$51)/(C22-Assumptions!$B$51)</f>
        <v/>
      </c>
      <c r="C38" s="20">
        <f>(B37-Assumptions!$B$51)/(B22-Assumptions!$B$51)</f>
        <v/>
      </c>
    </row>
    <row r="39">
      <c r="A39" s="4" t="inlineStr">
        <is>
          <t>Book value lens — value per share (AED)</t>
        </is>
      </c>
      <c r="B39" s="21">
        <f>B38*B36*Assumptions!$B$6</f>
        <v/>
      </c>
      <c r="C39" s="21">
        <f>C38*B36*Assumptions!$B$6</f>
        <v/>
      </c>
    </row>
    <row r="40">
      <c r="A40" s="3" t="inlineStr">
        <is>
          <t>Normalised earnings power — value per share (AED)</t>
        </is>
      </c>
      <c r="B40" s="8">
        <f>'Relative &amp; Normalized'!$B$48</f>
        <v/>
      </c>
      <c r="C40" s="8">
        <f>'Relative &amp; Normalized'!$B$47</f>
        <v/>
      </c>
    </row>
    <row r="41">
      <c r="A41" s="3" t="inlineStr">
        <is>
          <t>Relative multiples — value per share (AED), independent of beta</t>
        </is>
      </c>
      <c r="B41" s="8">
        <f>'Relative &amp; Normalized'!$B$23</f>
        <v/>
      </c>
      <c r="C41" s="8">
        <f>'Relative &amp; Normalized'!$B$23</f>
        <v/>
      </c>
    </row>
    <row r="43">
      <c r="A43" s="5" t="inlineStr">
        <is>
          <t>THE ANSWER — the cash-flow lens, both sides of the shipping-lane judgement</t>
        </is>
      </c>
      <c r="B43" s="5" t="n"/>
      <c r="C43" s="5" t="n"/>
      <c r="D43" s="5" t="n"/>
      <c r="E43" s="5" t="n"/>
      <c r="F43" s="5" t="n"/>
      <c r="G43" s="5" t="n"/>
      <c r="H43" s="5" t="n"/>
      <c r="I43" s="5" t="n"/>
      <c r="J43" s="5" t="n"/>
    </row>
    <row r="44">
      <c r="A44" s="4" t="inlineStr">
        <is>
          <t>Navigation normalises during 2026 (AED)</t>
        </is>
      </c>
      <c r="B44" s="21">
        <f>C34</f>
        <v/>
      </c>
    </row>
    <row r="45">
      <c r="A45" s="4" t="inlineStr">
        <is>
          <t>Disruption persists into 2027 (AED)</t>
        </is>
      </c>
      <c r="B45" s="21">
        <f>C35</f>
        <v/>
      </c>
    </row>
    <row r="46">
      <c r="A46" s="3" t="inlineStr">
        <is>
          <t>The judgement is worth (AED a share)</t>
        </is>
      </c>
      <c r="B46" s="22">
        <f>$B$44-$B$45</f>
        <v/>
      </c>
    </row>
    <row r="47">
      <c r="A47" s="3" t="inlineStr">
        <is>
          <t>Closing price, 3 September 2026 (AED)</t>
        </is>
      </c>
      <c r="B47" s="8">
        <f>Assumptions!$B$5</f>
        <v/>
      </c>
    </row>
    <row r="48">
      <c r="A48" s="3" t="inlineStr">
        <is>
          <t>Navigation normalises, against the close</t>
        </is>
      </c>
      <c r="B48" s="11">
        <f>$B$44/$B$47-1</f>
        <v/>
      </c>
    </row>
    <row r="49">
      <c r="A49" s="3" t="inlineStr">
        <is>
          <t>Disruption persists, against the close</t>
        </is>
      </c>
      <c r="B49" s="11">
        <f>$B$45/$B$47-1</f>
        <v/>
      </c>
    </row>
    <row r="51">
      <c r="A51" s="5" t="inlineStr">
        <is>
          <t>THE FIELD OF CROSS-CHECKS — published beside the answer, never averaged into it</t>
        </is>
      </c>
      <c r="B51" s="5" t="n"/>
      <c r="C51" s="5" t="n"/>
      <c r="D51" s="5" t="n"/>
      <c r="E51" s="5" t="n"/>
      <c r="F51" s="5" t="n"/>
      <c r="G51" s="5" t="n"/>
      <c r="H51" s="5" t="n"/>
      <c r="I51" s="5" t="n"/>
      <c r="J51" s="5" t="n"/>
    </row>
    <row r="52">
      <c r="A52" s="3" t="inlineStr">
        <is>
          <t>Lowest lens reading (AED)</t>
        </is>
      </c>
      <c r="B52" s="22">
        <f>MIN(B34,B35,B39,B40,B41,C34,C35,C39,C40)</f>
        <v/>
      </c>
    </row>
    <row r="53">
      <c r="A53" s="3" t="inlineStr">
        <is>
          <t>Highest lens reading (AED)</t>
        </is>
      </c>
      <c r="B53" s="22">
        <f>MAX(B34,B35,B39,B40,B41,C34,C35,C39,C40)</f>
        <v/>
      </c>
    </row>
    <row r="54">
      <c r="A54" s="3" t="inlineStr">
        <is>
          <t>RETIRED — the median of the nine readings, published unused (AED)</t>
        </is>
      </c>
      <c r="B54" s="22">
        <f>MEDIAN(B34,B35,B39,B40,B41,C34,C35,C39,C40)</f>
        <v/>
      </c>
    </row>
  </sheetData>
  <mergeCells count="1">
    <mergeCell ref="A30:I3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cols>
    <col width="5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Assumptions — every driver in the model</t>
        </is>
      </c>
      <c r="B1" s="2" t="n"/>
      <c r="C1" s="2" t="n"/>
      <c r="D1" s="2" t="n"/>
      <c r="E1" s="2" t="n"/>
      <c r="F1" s="2" t="n"/>
      <c r="G1" s="2" t="n"/>
      <c r="H1" s="2" t="n"/>
      <c r="I1" s="2" t="n"/>
    </row>
    <row r="2">
      <c r="A2" s="6" t="inlineStr">
        <is>
          <t>Blue = input. Change a blue cell and the whole workbook reprices. Amounts in USD million unless stated.</t>
        </is>
      </c>
    </row>
    <row r="4">
      <c r="A4" s="5" t="inlineStr">
        <is>
          <t>MARKET AND SHARE COUNT</t>
        </is>
      </c>
      <c r="B4" s="5" t="n"/>
      <c r="C4" s="5" t="n"/>
      <c r="D4" s="5" t="n"/>
      <c r="E4" s="5" t="n"/>
      <c r="F4" s="5" t="n"/>
      <c r="G4" s="5" t="n"/>
      <c r="H4" s="5" t="n"/>
      <c r="I4" s="5" t="n"/>
      <c r="J4" s="5" t="n"/>
    </row>
    <row r="5">
      <c r="A5" t="inlineStr">
        <is>
          <t>Closing price, 7 August 2026</t>
        </is>
      </c>
      <c r="B5" s="23" t="n">
        <v>2.35</v>
      </c>
      <c r="C5" s="6" t="inlineStr">
        <is>
          <t>AED per share</t>
        </is>
      </c>
    </row>
    <row r="6">
      <c r="A6" t="inlineStr">
        <is>
          <t>Dirham per US dollar (pegged since November 1997)</t>
        </is>
      </c>
      <c r="B6" s="24" t="n">
        <v>3.6725</v>
      </c>
      <c r="C6" s="6" t="inlineStr">
        <is>
          <t>AED/USD</t>
        </is>
      </c>
    </row>
    <row r="7">
      <c r="A7" t="inlineStr">
        <is>
          <t>Ordinary shares in issue</t>
        </is>
      </c>
      <c r="B7" s="25" t="n">
        <v>30057.691583</v>
      </c>
      <c r="C7" s="6" t="inlineStr">
        <is>
          <t>million</t>
        </is>
      </c>
    </row>
    <row r="9">
      <c r="A9" s="5" t="inlineStr">
        <is>
          <t>COST OF CAPITAL — INPUTS; THE BUILD IS ON FUNDAMENTAL VALUATION</t>
        </is>
      </c>
      <c r="B9" s="5" t="n"/>
      <c r="C9" s="5" t="n"/>
      <c r="D9" s="5" t="n"/>
      <c r="E9" s="5" t="n"/>
      <c r="F9" s="5" t="n"/>
      <c r="G9" s="5" t="n"/>
      <c r="H9" s="5" t="n"/>
      <c r="I9" s="5" t="n"/>
      <c r="J9" s="5" t="n"/>
    </row>
    <row r="10">
      <c r="A10" t="inlineStr">
        <is>
          <t>US 10-year Treasury yield</t>
        </is>
      </c>
      <c r="B10" s="26" t="n">
        <v>0.0465</v>
      </c>
      <c r="C10" s="6" t="inlineStr">
        <is>
          <t>the dollar risk-free anchor</t>
        </is>
      </c>
    </row>
    <row r="11">
      <c r="A11" t="inlineStr">
        <is>
          <t>US adjusted default spread</t>
        </is>
      </c>
      <c r="B11" s="26" t="n">
        <v>0.0023</v>
      </c>
      <c r="C11" s="6" t="inlineStr">
        <is>
          <t>subtracted to normalise the risk-free rate</t>
        </is>
      </c>
    </row>
    <row r="12">
      <c r="A12" t="inlineStr">
        <is>
          <t>Mature-market equity risk premium</t>
        </is>
      </c>
      <c r="B12" s="26" t="n">
        <v>0.0423</v>
      </c>
    </row>
    <row r="13">
      <c r="A13" t="inlineStr">
        <is>
          <t>UAE country risk premium</t>
        </is>
      </c>
      <c r="B13" s="26" t="n">
        <v>0.0064</v>
      </c>
      <c r="C13" s="6" t="inlineStr">
        <is>
          <t>country risk enters ONCE, here</t>
        </is>
      </c>
    </row>
    <row r="14">
      <c r="A14" t="inlineStr">
        <is>
          <t>UAE adjusted default spread</t>
        </is>
      </c>
      <c r="B14" s="26" t="n">
        <v>0.0042</v>
      </c>
      <c r="C14" s="6" t="inlineStr">
        <is>
          <t>the alternative premium basis</t>
        </is>
      </c>
    </row>
    <row r="15">
      <c r="A15" t="inlineStr">
        <is>
          <t>Beta — the share's own five-year weekly regression</t>
        </is>
      </c>
      <c r="B15" s="27" t="n">
        <v>0.4152894017177773</v>
      </c>
      <c r="C15" s="6" t="inlineStr">
        <is>
          <t>weak: R-squared 8.8%</t>
        </is>
      </c>
    </row>
    <row r="16">
      <c r="A16" t="inlineStr">
        <is>
          <t>Beta — sector bottom-up, unlevered</t>
        </is>
      </c>
      <c r="B16" s="27" t="n">
        <v>0.9101</v>
      </c>
      <c r="C16" s="6" t="inlineStr">
        <is>
          <t>Chemical (Diversified) — the SAME industry row the EV/EBITDA anchor uses</t>
        </is>
      </c>
    </row>
    <row r="17">
      <c r="A17" t="inlineStr">
        <is>
          <t>Debt to equity at market value</t>
        </is>
      </c>
      <c r="B17" s="28" t="n">
        <v>0.1702745034995623</v>
      </c>
      <c r="C17" s="6" t="inlineStr">
        <is>
          <t>for re-levering the sector beta</t>
        </is>
      </c>
    </row>
    <row r="18">
      <c r="A18" t="inlineStr">
        <is>
          <t>Marginal pre-tax cost of debt</t>
        </is>
      </c>
      <c r="B18" s="26" t="n">
        <v>0.0555</v>
      </c>
      <c r="C18" s="6" t="inlineStr">
        <is>
          <t>long dollar rate plus an arm's-length margin</t>
        </is>
      </c>
    </row>
    <row r="19">
      <c r="A19" t="inlineStr">
        <is>
          <t>Effective tax rate</t>
        </is>
      </c>
      <c r="B19" s="28" t="n">
        <v>0.2873603961007691</v>
      </c>
      <c r="C19" s="6" t="inlineStr">
        <is>
          <t>the company's own three-year mean, not the 9% headline</t>
        </is>
      </c>
    </row>
    <row r="21">
      <c r="A21" s="5" t="inlineStr">
        <is>
          <t>CAPACITY AND THE UNIT BUILD</t>
        </is>
      </c>
      <c r="B21" s="5" t="n"/>
      <c r="C21" s="5" t="n"/>
      <c r="D21" s="5" t="n"/>
      <c r="E21" s="5" t="n"/>
      <c r="F21" s="5" t="n"/>
      <c r="G21" s="5" t="n"/>
      <c r="H21" s="5" t="n"/>
      <c r="I21" s="5" t="n"/>
      <c r="J21" s="5" t="n"/>
    </row>
    <row r="22">
      <c r="A22" t="inlineStr">
        <is>
          <t>Polyethylene nameplate capacity</t>
        </is>
      </c>
      <c r="B22" s="25" t="n">
        <v>2750</v>
      </c>
      <c r="C22" s="6" t="inlineStr">
        <is>
          <t>kt a year</t>
        </is>
      </c>
    </row>
    <row r="23">
      <c r="A23" t="inlineStr">
        <is>
          <t>Polypropylene nameplate capacity</t>
        </is>
      </c>
      <c r="B23" s="25" t="n">
        <v>2230</v>
      </c>
      <c r="C23" s="6" t="inlineStr">
        <is>
          <t>kt a year</t>
        </is>
      </c>
    </row>
    <row r="24">
      <c r="A24" t="inlineStr">
        <is>
          <t>Sales over production (partner sourcing)</t>
        </is>
      </c>
      <c r="B24" s="24" t="n">
        <v>1.029563262699265</v>
      </c>
      <c r="C24" s="6" t="inlineStr">
        <is>
          <t>sales exceed production because Borouge sources from partners — measured from the audited record and held flat</t>
        </is>
      </c>
    </row>
    <row r="25">
      <c r="A25" t="inlineStr">
        <is>
          <t>Realisation residual — polyethylene</t>
        </is>
      </c>
      <c r="B25" s="24" t="n">
        <v>1.067577742993017</v>
      </c>
      <c r="C25" s="6" t="inlineStr">
        <is>
          <t>three-year mean; computed on Segments</t>
        </is>
      </c>
    </row>
    <row r="26">
      <c r="A26" t="inlineStr">
        <is>
          <t>Realisation residual — polypropylene</t>
        </is>
      </c>
      <c r="B26" s="24" t="n">
        <v>1.032106492774941</v>
      </c>
      <c r="C26" s="6" t="inlineStr">
        <is>
          <t>three-year mean; computed on Segments</t>
        </is>
      </c>
    </row>
    <row r="27">
      <c r="A27" t="inlineStr">
        <is>
          <t>Other production cost — fixed leg</t>
        </is>
      </c>
      <c r="B27" s="25" t="n">
        <v>789.7908363659598</v>
      </c>
      <c r="C27" s="6" t="inlineStr">
        <is>
          <t>PASTED CLASS 2: least squares across three audited years</t>
        </is>
      </c>
    </row>
    <row r="28">
      <c r="A28" t="inlineStr">
        <is>
          <t>Other production cost — per tonne of production</t>
        </is>
      </c>
      <c r="B28" s="24" t="n">
        <v>0.2006348493835886</v>
      </c>
      <c r="C28" s="6" t="inlineStr">
        <is>
          <t>PASTED CLASS 2: USD million per kt, same regression</t>
        </is>
      </c>
    </row>
    <row r="29">
      <c r="A29" t="inlineStr">
        <is>
          <t>Feedstock cost per tonne, FY2025 actual</t>
        </is>
      </c>
      <c r="B29" s="29" t="n">
        <v>256.1819980217606</v>
      </c>
      <c r="C29" s="6" t="inlineStr">
        <is>
          <t>USD per tonne produced — the base both legs escalate from</t>
        </is>
      </c>
    </row>
    <row r="30">
      <c r="A30" t="inlineStr">
        <is>
          <t>Polypropylene benchmark, FY2025 actual</t>
        </is>
      </c>
      <c r="B30" s="25" t="n">
        <v>851</v>
      </c>
      <c r="C30" s="6" t="inlineStr">
        <is>
          <t>the traded leg escalates on THIS, not on consumer inflation</t>
        </is>
      </c>
    </row>
    <row r="31">
      <c r="A31" t="inlineStr">
        <is>
          <t>Contracted ethane real escalation</t>
        </is>
      </c>
      <c r="B31" s="26" t="n">
        <v>0</v>
      </c>
      <c r="C31" s="6" t="inlineStr">
        <is>
          <t>zero: the pricing formula is not disclosed, so none is invented</t>
        </is>
      </c>
    </row>
    <row r="32">
      <c r="A32" t="inlineStr">
        <is>
          <t>UAE consumer inflation</t>
        </is>
      </c>
      <c r="B32" s="26" t="n">
        <v>0.021</v>
      </c>
      <c r="C32" s="6" t="inlineStr">
        <is>
          <t>escalates the DOMESTIC fixed cost leg only</t>
        </is>
      </c>
    </row>
    <row r="34">
      <c r="A34" s="5" t="inlineStr">
        <is>
          <t>FIXED COSTS, WORKING CAPITAL AND CAPITAL SPEND</t>
        </is>
      </c>
      <c r="B34" s="5" t="n"/>
      <c r="C34" s="5" t="n"/>
      <c r="D34" s="5" t="n"/>
      <c r="E34" s="5" t="n"/>
      <c r="F34" s="5" t="n"/>
      <c r="G34" s="5" t="n"/>
      <c r="H34" s="5" t="n"/>
      <c r="I34" s="5" t="n"/>
      <c r="J34" s="5" t="n"/>
    </row>
    <row r="35">
      <c r="A35" t="inlineStr">
        <is>
          <t>General and administrative, FY2025 excluding depreciation</t>
        </is>
      </c>
      <c r="B35" s="29" t="n">
        <v>188</v>
      </c>
      <c r="C35" s="6" t="inlineStr">
        <is>
          <t>USD million</t>
        </is>
      </c>
    </row>
    <row r="36">
      <c r="A36" t="inlineStr">
        <is>
          <t>Other income, FY2025</t>
        </is>
      </c>
      <c r="B36" s="29" t="n">
        <v>26.321</v>
      </c>
      <c r="C36" s="6" t="inlineStr">
        <is>
          <t>USD million</t>
        </is>
      </c>
    </row>
    <row r="37">
      <c r="A37" t="inlineStr">
        <is>
          <t>Other revenue, FY2025</t>
        </is>
      </c>
      <c r="B37" s="29" t="n">
        <v>44</v>
      </c>
      <c r="C37" s="6" t="inlineStr">
        <is>
          <t>USD million, run off at 10% a year</t>
        </is>
      </c>
    </row>
    <row r="38">
      <c r="A38" t="inlineStr">
        <is>
          <t>Days sales outstanding</t>
        </is>
      </c>
      <c r="B38" s="29" t="n">
        <v>50.89129017431239</v>
      </c>
      <c r="C38" s="6" t="inlineStr">
        <is>
          <t>days, from the audited statements</t>
        </is>
      </c>
    </row>
    <row r="39">
      <c r="A39" t="inlineStr">
        <is>
          <t>Days inventory</t>
        </is>
      </c>
      <c r="B39" s="29" t="n">
        <v>61.83088660781963</v>
      </c>
      <c r="C39" s="6" t="inlineStr">
        <is>
          <t>days</t>
        </is>
      </c>
    </row>
    <row r="40">
      <c r="A40" t="inlineStr">
        <is>
          <t>Days payable</t>
        </is>
      </c>
      <c r="B40" s="29" t="n">
        <v>92.49608922133605</v>
      </c>
      <c r="C40" s="6" t="inlineStr">
        <is>
          <t>days</t>
        </is>
      </c>
    </row>
    <row r="41">
      <c r="A41" t="inlineStr">
        <is>
          <t>Capital expenditure guide, 2026</t>
        </is>
      </c>
      <c r="B41" s="25" t="n">
        <v>300</v>
      </c>
      <c r="C41" s="6" t="inlineStr">
        <is>
          <t>USD million</t>
        </is>
      </c>
    </row>
    <row r="42">
      <c r="A42" t="inlineStr">
        <is>
          <t>Maintenance capital expenditure, steady state</t>
        </is>
      </c>
      <c r="B42" s="25" t="n">
        <v>320</v>
      </c>
      <c r="C42" s="6" t="inlineStr">
        <is>
          <t>USD million a year</t>
        </is>
      </c>
    </row>
    <row r="43">
      <c r="A43" t="inlineStr">
        <is>
          <t>Property, plant and equipment, opening</t>
        </is>
      </c>
      <c r="B43" s="25" t="n">
        <v>6082.232</v>
      </c>
      <c r="C43" s="6" t="inlineStr">
        <is>
          <t>USD million at 31 December 2025</t>
        </is>
      </c>
    </row>
    <row r="44">
      <c r="A44" t="inlineStr">
        <is>
          <t>Equity attributable to owners, 30 June 2026</t>
        </is>
      </c>
      <c r="B44" s="25" t="n">
        <v>3725.997</v>
      </c>
      <c r="C44" s="6" t="inlineStr">
        <is>
          <t>USD million — the book-value lens reads this, on the SAME date as the bridge</t>
        </is>
      </c>
    </row>
    <row r="45">
      <c r="A45" t="inlineStr">
        <is>
          <t>Return on equity, FY2023</t>
        </is>
      </c>
      <c r="B45" s="28" t="n">
        <v>0.2186715799422921</v>
      </c>
      <c r="C45" s="6" t="inlineStr">
        <is>
          <t>profit attributable to owners over opening equity, from the audited statements</t>
        </is>
      </c>
    </row>
    <row r="46">
      <c r="A46" t="inlineStr">
        <is>
          <t>Return on equity, FY2024</t>
        </is>
      </c>
      <c r="B46" s="28" t="n">
        <v>0.2745570756528634</v>
      </c>
      <c r="C46" s="6" t="inlineStr">
        <is>
          <t>profit attributable to owners over opening equity, from the audited statements</t>
        </is>
      </c>
    </row>
    <row r="47">
      <c r="A47" t="inlineStr">
        <is>
          <t>Return on equity, FY2025</t>
        </is>
      </c>
      <c r="B47" s="28" t="n">
        <v>0.2663775878303191</v>
      </c>
      <c r="C47" s="6" t="inlineStr">
        <is>
          <t>profit attributable to owners over opening equity, from the audited statements</t>
        </is>
      </c>
    </row>
    <row r="48">
      <c r="A48" t="inlineStr">
        <is>
          <t>Depreciation rate on the property balance</t>
        </is>
      </c>
      <c r="B48" s="26" t="n">
        <v>0.06576533088510929</v>
      </c>
      <c r="C48" s="6" t="inlineStr">
        <is>
          <t>the H1-2026 charge annualised, over the opening property balance</t>
        </is>
      </c>
    </row>
    <row r="50">
      <c r="A50" s="5" t="inlineStr">
        <is>
          <t>TERMINAL BLOCK AND THE BRIDGE</t>
        </is>
      </c>
      <c r="B50" s="5" t="n"/>
      <c r="C50" s="5" t="n"/>
      <c r="D50" s="5" t="n"/>
      <c r="E50" s="5" t="n"/>
      <c r="F50" s="5" t="n"/>
      <c r="G50" s="5" t="n"/>
      <c r="H50" s="5" t="n"/>
      <c r="I50" s="5" t="n"/>
      <c r="J50" s="5" t="n"/>
    </row>
    <row r="51">
      <c r="A51" t="inlineStr">
        <is>
          <t>Terminal growth rate</t>
        </is>
      </c>
      <c r="B51" s="26" t="n">
        <v>0.02</v>
      </c>
      <c r="C51" s="6" t="inlineStr">
        <is>
          <t>long-run dollar inflation; owned capacity is fixed</t>
        </is>
      </c>
    </row>
    <row r="52">
      <c r="A52" t="inlineStr">
        <is>
          <t>Terminal return on capital</t>
        </is>
      </c>
      <c r="B52" s="28" t="n">
        <v>0.12</v>
      </c>
      <c r="C52" s="6" t="inlineStr">
        <is>
          <t>sets the reinvestment the terminal block must fund</t>
        </is>
      </c>
    </row>
    <row r="53">
      <c r="A53" t="inlineStr">
        <is>
          <t>Net debt</t>
        </is>
      </c>
      <c r="B53" s="25" t="n">
        <v>3275</v>
      </c>
      <c r="C53" s="6" t="inlineStr">
        <is>
          <t>USD million at 30 June 2026</t>
        </is>
      </c>
    </row>
    <row r="54">
      <c r="A54" t="inlineStr">
        <is>
          <t>Lease liabilities</t>
        </is>
      </c>
      <c r="B54" s="29" t="n">
        <v>222.68</v>
      </c>
      <c r="C54" s="6" t="inlineStr">
        <is>
          <t>USD million</t>
        </is>
      </c>
    </row>
    <row r="55">
      <c r="A55" t="inlineStr">
        <is>
          <t>Non-controlling interests</t>
        </is>
      </c>
      <c r="B55" s="29" t="n">
        <v>26.832</v>
      </c>
      <c r="C55" s="6" t="inlineStr">
        <is>
          <t>USD million at book</t>
        </is>
      </c>
    </row>
    <row r="56">
      <c r="A56" t="inlineStr">
        <is>
          <t>Borouge 4 earnings accretion after ramp-up</t>
        </is>
      </c>
      <c r="B56" s="28" t="n">
        <v>0.1</v>
      </c>
      <c r="C56" s="6" t="inlineStr">
        <is>
          <t>the sponsors' own figure</t>
        </is>
      </c>
    </row>
    <row r="57">
      <c r="A57" t="inlineStr">
        <is>
          <t>Borouge 4 cumulative net profit, first three years</t>
        </is>
      </c>
      <c r="B57" s="25" t="n">
        <v>400</v>
      </c>
      <c r="C57" s="6" t="inlineStr">
        <is>
          <t>USD million; the second quantification</t>
        </is>
      </c>
    </row>
    <row r="59">
      <c r="A59" s="5" t="inlineStr">
        <is>
          <t>FORECAST DRIVERS — NORMALISATION CONSTRUCTION</t>
        </is>
      </c>
      <c r="B59" s="5" t="n"/>
      <c r="C59" s="5" t="n"/>
      <c r="D59" s="5" t="n"/>
      <c r="E59" s="5" t="n"/>
      <c r="F59" s="5" t="n"/>
      <c r="G59" s="5" t="n"/>
      <c r="H59" s="5" t="n"/>
      <c r="I59" s="5" t="n"/>
      <c r="J59" s="5" t="n"/>
    </row>
    <row r="60">
      <c r="A60" s="7" t="inlineStr"/>
      <c r="B60" s="7" t="inlineStr">
        <is>
          <t>2026</t>
        </is>
      </c>
      <c r="C60" s="7" t="inlineStr">
        <is>
          <t>2027</t>
        </is>
      </c>
      <c r="D60" s="7" t="inlineStr">
        <is>
          <t>2028</t>
        </is>
      </c>
      <c r="E60" s="7" t="inlineStr">
        <is>
          <t>2029</t>
        </is>
      </c>
      <c r="F60" s="7" t="inlineStr">
        <is>
          <t>2030</t>
        </is>
      </c>
    </row>
    <row r="61">
      <c r="A61" t="inlineStr">
        <is>
          <t>Polyethylene utilisation</t>
        </is>
      </c>
      <c r="B61" s="28" t="n">
        <v>0.86</v>
      </c>
      <c r="C61" s="28" t="n">
        <v>1.02</v>
      </c>
      <c r="D61" s="28" t="n">
        <v>1.03</v>
      </c>
      <c r="E61" s="28" t="n">
        <v>1.03</v>
      </c>
      <c r="F61" s="28" t="n">
        <v>1.03</v>
      </c>
    </row>
    <row r="62">
      <c r="A62" t="inlineStr">
        <is>
          <t>Polypropylene utilisation</t>
        </is>
      </c>
      <c r="B62" s="28" t="n">
        <v>0.9</v>
      </c>
      <c r="C62" s="28" t="n">
        <v>1</v>
      </c>
      <c r="D62" s="28" t="n">
        <v>1.01</v>
      </c>
      <c r="E62" s="28" t="n">
        <v>1.01</v>
      </c>
      <c r="F62" s="28" t="n">
        <v>1.01</v>
      </c>
    </row>
    <row r="63">
      <c r="A63" t="inlineStr">
        <is>
          <t>Polyethylene benchmark (USD/t)</t>
        </is>
      </c>
      <c r="B63" s="25" t="n">
        <v>1010</v>
      </c>
      <c r="C63" s="25" t="n">
        <v>900</v>
      </c>
      <c r="D63" s="25" t="n">
        <v>860</v>
      </c>
      <c r="E63" s="25" t="n">
        <v>870</v>
      </c>
      <c r="F63" s="25" t="n">
        <v>885</v>
      </c>
    </row>
    <row r="64">
      <c r="A64" t="inlineStr">
        <is>
          <t>Polypropylene benchmark (USD/t)</t>
        </is>
      </c>
      <c r="B64" s="25" t="n">
        <v>1050</v>
      </c>
      <c r="C64" s="25" t="n">
        <v>930</v>
      </c>
      <c r="D64" s="25" t="n">
        <v>890</v>
      </c>
      <c r="E64" s="25" t="n">
        <v>900</v>
      </c>
      <c r="F64" s="25" t="n">
        <v>915</v>
      </c>
    </row>
    <row r="65">
      <c r="A65" t="inlineStr">
        <is>
          <t>Polyethylene premium (USD/t)</t>
        </is>
      </c>
      <c r="B65" s="25" t="n">
        <v>260</v>
      </c>
      <c r="C65" s="25" t="n">
        <v>210</v>
      </c>
      <c r="D65" s="25" t="n">
        <v>200</v>
      </c>
      <c r="E65" s="25" t="n">
        <v>200</v>
      </c>
      <c r="F65" s="25" t="n">
        <v>200</v>
      </c>
    </row>
    <row r="66">
      <c r="A66" t="inlineStr">
        <is>
          <t>Polypropylene premium (USD/t)</t>
        </is>
      </c>
      <c r="B66" s="25" t="n">
        <v>165</v>
      </c>
      <c r="C66" s="25" t="n">
        <v>145</v>
      </c>
      <c r="D66" s="25" t="n">
        <v>140</v>
      </c>
      <c r="E66" s="25" t="n">
        <v>140</v>
      </c>
      <c r="F66" s="25" t="n">
        <v>140</v>
      </c>
    </row>
    <row r="67">
      <c r="A67" t="inlineStr">
        <is>
          <t>Selling and distribution (USD/t sold)</t>
        </is>
      </c>
      <c r="B67" s="25" t="n">
        <v>150</v>
      </c>
      <c r="C67" s="25" t="n">
        <v>100</v>
      </c>
      <c r="D67" s="25" t="n">
        <v>82</v>
      </c>
      <c r="E67" s="25" t="n">
        <v>83</v>
      </c>
      <c r="F67" s="25" t="n">
        <v>85</v>
      </c>
    </row>
    <row r="68">
      <c r="A68" t="inlineStr">
        <is>
          <t>Share of feedstock bought at market price</t>
        </is>
      </c>
      <c r="B68" s="28" t="n">
        <v>0.55</v>
      </c>
      <c r="C68" s="28" t="n">
        <v>0.35</v>
      </c>
      <c r="D68" s="28" t="n">
        <v>0.3</v>
      </c>
      <c r="E68" s="28" t="n">
        <v>0.3</v>
      </c>
      <c r="F68" s="28" t="n">
        <v>0.3</v>
      </c>
    </row>
    <row r="70">
      <c r="A70" s="5" t="inlineStr">
        <is>
          <t>FORECAST DRIVERS — PROLONGED-DISRUPTION CONSTRUCTION</t>
        </is>
      </c>
      <c r="B70" s="5" t="n"/>
      <c r="C70" s="5" t="n"/>
      <c r="D70" s="5" t="n"/>
      <c r="E70" s="5" t="n"/>
      <c r="F70" s="5" t="n"/>
      <c r="G70" s="5" t="n"/>
      <c r="H70" s="5" t="n"/>
      <c r="I70" s="5" t="n"/>
      <c r="J70" s="5" t="n"/>
    </row>
    <row r="71">
      <c r="A71" s="7" t="inlineStr"/>
      <c r="B71" s="7" t="inlineStr">
        <is>
          <t>2026</t>
        </is>
      </c>
      <c r="C71" s="7" t="inlineStr">
        <is>
          <t>2027</t>
        </is>
      </c>
      <c r="D71" s="7" t="inlineStr">
        <is>
          <t>2028</t>
        </is>
      </c>
      <c r="E71" s="7" t="inlineStr">
        <is>
          <t>2029</t>
        </is>
      </c>
      <c r="F71" s="7" t="inlineStr">
        <is>
          <t>2030</t>
        </is>
      </c>
    </row>
    <row r="72">
      <c r="A72" t="inlineStr">
        <is>
          <t>Polyethylene utilisation</t>
        </is>
      </c>
      <c r="B72" s="28" t="n">
        <v>0.8</v>
      </c>
      <c r="C72" s="28" t="n">
        <v>0.85</v>
      </c>
      <c r="D72" s="28" t="n">
        <v>0.93</v>
      </c>
      <c r="E72" s="28" t="n">
        <v>1</v>
      </c>
      <c r="F72" s="28" t="n">
        <v>1.02</v>
      </c>
    </row>
    <row r="73">
      <c r="A73" t="inlineStr">
        <is>
          <t>Polypropylene utilisation</t>
        </is>
      </c>
      <c r="B73" s="28" t="n">
        <v>0.86</v>
      </c>
      <c r="C73" s="28" t="n">
        <v>0.9</v>
      </c>
      <c r="D73" s="28" t="n">
        <v>0.96</v>
      </c>
      <c r="E73" s="28" t="n">
        <v>1</v>
      </c>
      <c r="F73" s="28" t="n">
        <v>1.01</v>
      </c>
    </row>
    <row r="74">
      <c r="A74" t="inlineStr">
        <is>
          <t>Polyethylene benchmark (USD/t)</t>
        </is>
      </c>
      <c r="B74" s="25" t="n">
        <v>1010</v>
      </c>
      <c r="C74" s="25" t="n">
        <v>900</v>
      </c>
      <c r="D74" s="25" t="n">
        <v>860</v>
      </c>
      <c r="E74" s="25" t="n">
        <v>870</v>
      </c>
      <c r="F74" s="25" t="n">
        <v>885</v>
      </c>
    </row>
    <row r="75">
      <c r="A75" t="inlineStr">
        <is>
          <t>Polypropylene benchmark (USD/t)</t>
        </is>
      </c>
      <c r="B75" s="25" t="n">
        <v>1050</v>
      </c>
      <c r="C75" s="25" t="n">
        <v>930</v>
      </c>
      <c r="D75" s="25" t="n">
        <v>890</v>
      </c>
      <c r="E75" s="25" t="n">
        <v>900</v>
      </c>
      <c r="F75" s="25" t="n">
        <v>915</v>
      </c>
    </row>
    <row r="76">
      <c r="A76" t="inlineStr">
        <is>
          <t>Polyethylene premium (USD/t)</t>
        </is>
      </c>
      <c r="B76" s="25" t="n">
        <v>260</v>
      </c>
      <c r="C76" s="25" t="n">
        <v>210</v>
      </c>
      <c r="D76" s="25" t="n">
        <v>200</v>
      </c>
      <c r="E76" s="25" t="n">
        <v>200</v>
      </c>
      <c r="F76" s="25" t="n">
        <v>200</v>
      </c>
    </row>
    <row r="77">
      <c r="A77" t="inlineStr">
        <is>
          <t>Polypropylene premium (USD/t)</t>
        </is>
      </c>
      <c r="B77" s="25" t="n">
        <v>165</v>
      </c>
      <c r="C77" s="25" t="n">
        <v>145</v>
      </c>
      <c r="D77" s="25" t="n">
        <v>140</v>
      </c>
      <c r="E77" s="25" t="n">
        <v>140</v>
      </c>
      <c r="F77" s="25" t="n">
        <v>140</v>
      </c>
    </row>
    <row r="78">
      <c r="A78" t="inlineStr">
        <is>
          <t>Selling and distribution (USD/t sold)</t>
        </is>
      </c>
      <c r="B78" s="25" t="n">
        <v>172</v>
      </c>
      <c r="C78" s="25" t="n">
        <v>165</v>
      </c>
      <c r="D78" s="25" t="n">
        <v>140</v>
      </c>
      <c r="E78" s="25" t="n">
        <v>110</v>
      </c>
      <c r="F78" s="25" t="n">
        <v>90</v>
      </c>
    </row>
    <row r="79">
      <c r="A79" t="inlineStr">
        <is>
          <t>Share of feedstock bought at market price</t>
        </is>
      </c>
      <c r="B79" s="28" t="n">
        <v>0.62</v>
      </c>
      <c r="C79" s="28" t="n">
        <v>0.58</v>
      </c>
      <c r="D79" s="28" t="n">
        <v>0.45</v>
      </c>
      <c r="E79" s="28" t="n">
        <v>0.35</v>
      </c>
      <c r="F79" s="28" t="n">
        <v>0.3</v>
      </c>
    </row>
    <row r="81">
      <c r="A81" s="6" t="inlineStr">
        <is>
          <t>Every other number in this workbook is computed from the cells above, from the audited history on the statement sheets, or is one of the three pasted classes named on READ FIRST.</t>
        </is>
      </c>
    </row>
  </sheetData>
  <mergeCells count="1">
    <mergeCell ref="A81:I8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Enterprise value to equity value</t>
        </is>
      </c>
      <c r="B1" s="2" t="n"/>
      <c r="C1" s="2" t="n"/>
      <c r="D1" s="2" t="n"/>
      <c r="E1" s="2" t="n"/>
      <c r="F1" s="2" t="n"/>
      <c r="G1" s="2" t="n"/>
      <c r="H1" s="2" t="n"/>
      <c r="I1" s="2" t="n"/>
    </row>
    <row r="2">
      <c r="A2" s="6" t="inlineStr">
        <is>
          <t>Borouge is one operating business plus one operator fee stream. The fee stream is valued separately and never consolidated as owned capacity.</t>
        </is>
      </c>
    </row>
    <row r="4">
      <c r="A4" s="5" t="inlineStr">
        <is>
          <t>THE BOROUGE 4 FEE STREAM — QUANTIFIED TWO WAYS, THE LOWER CARRIED</t>
        </is>
      </c>
      <c r="B4" s="5" t="n"/>
      <c r="C4" s="5" t="n"/>
      <c r="D4" s="5" t="n"/>
      <c r="E4" s="5" t="n"/>
      <c r="F4" s="5" t="n"/>
      <c r="G4" s="5" t="n"/>
      <c r="H4" s="5" t="n"/>
      <c r="I4" s="5" t="n"/>
      <c r="J4" s="5" t="n"/>
    </row>
    <row r="5">
      <c r="A5" s="3" t="inlineStr">
        <is>
          <t>From the disclosed three-year cumulative net profit</t>
        </is>
      </c>
      <c r="B5" s="30">
        <f>Assumptions!$B$57/1.0</f>
        <v/>
      </c>
    </row>
    <row r="6">
      <c r="A6" s="3" t="inlineStr">
        <is>
          <t>From the disclosed post-ramp-up earnings accretion</t>
        </is>
      </c>
      <c r="B6" s="30">
        <f>Assumptions!$B$56*AVERAGE('DCF'!B16:F16)</f>
        <v/>
      </c>
    </row>
    <row r="7">
      <c r="A7" s="4" t="inlineStr">
        <is>
          <t>Steady-state fee carried — the LOWER of the two</t>
        </is>
      </c>
      <c r="B7" s="31">
        <f>MIN(B5,B6)</f>
        <v/>
      </c>
      <c r="C7" s="6" t="inlineStr">
        <is>
          <t>The sponsors' two figures do not agree; the study does not average them</t>
        </is>
      </c>
    </row>
    <row r="9">
      <c r="A9" s="7" t="inlineStr"/>
      <c r="B9" s="7" t="inlineStr">
        <is>
          <t>2026</t>
        </is>
      </c>
      <c r="C9" s="7" t="inlineStr">
        <is>
          <t>2027</t>
        </is>
      </c>
      <c r="D9" s="7" t="inlineStr">
        <is>
          <t>2028</t>
        </is>
      </c>
      <c r="E9" s="7" t="inlineStr">
        <is>
          <t>2029</t>
        </is>
      </c>
      <c r="F9" s="7" t="inlineStr">
        <is>
          <t>2030</t>
        </is>
      </c>
    </row>
    <row r="10">
      <c r="A10" s="3" t="inlineStr">
        <is>
          <t>Ramp-up fraction</t>
        </is>
      </c>
      <c r="B10" s="28" t="n">
        <v>0.1</v>
      </c>
      <c r="C10" s="28" t="n">
        <v>0.3</v>
      </c>
      <c r="D10" s="28" t="n">
        <v>0.6</v>
      </c>
      <c r="E10" s="28" t="n">
        <v>1</v>
      </c>
      <c r="F10" s="28" t="n">
        <v>1</v>
      </c>
    </row>
    <row r="11">
      <c r="A11" s="3" t="inlineStr">
        <is>
          <t>Fee to Borouge plc (USD million)</t>
        </is>
      </c>
      <c r="B11" s="30">
        <f>$B7*B10</f>
        <v/>
      </c>
      <c r="C11" s="30">
        <f>$B7*C10</f>
        <v/>
      </c>
      <c r="D11" s="30">
        <f>$B7*D10</f>
        <v/>
      </c>
      <c r="E11" s="30">
        <f>$B7*E10</f>
        <v/>
      </c>
      <c r="F11" s="30">
        <f>$B7*F10</f>
        <v/>
      </c>
    </row>
    <row r="12">
      <c r="A12" s="3" t="inlineStr">
        <is>
          <t>Present value of the fee</t>
        </is>
      </c>
      <c r="B12" s="30">
        <f>B11*'DCF'!B$22</f>
        <v/>
      </c>
      <c r="C12" s="30">
        <f>C11*'DCF'!C$22</f>
        <v/>
      </c>
      <c r="D12" s="30">
        <f>D11*'DCF'!D$22</f>
        <v/>
      </c>
      <c r="E12" s="30">
        <f>E11*'DCF'!E$22</f>
        <v/>
      </c>
      <c r="F12" s="30">
        <f>F11*'DCF'!F$22</f>
        <v/>
      </c>
    </row>
    <row r="14">
      <c r="A14" s="3" t="inlineStr">
        <is>
          <t>Present value of the explicit fee years</t>
        </is>
      </c>
      <c r="B14" s="30">
        <f>SUM(B12:F12)</f>
        <v/>
      </c>
    </row>
    <row r="15">
      <c r="A15" s="3" t="inlineStr">
        <is>
          <t>Present value of the fee beyond the forecast</t>
        </is>
      </c>
      <c r="B15" s="30">
        <f>$B7*0</f>
        <v/>
      </c>
      <c r="C15" s="6" t="inlineStr">
        <is>
          <t>NIL by construction: the Asset Usage Agreement runs only until the assets are acquired by the parent group, which the company says is not anticipated before 2029. A stream that ends cannot carry a perpetuity</t>
        </is>
      </c>
    </row>
    <row r="16">
      <c r="A16" s="4" t="inlineStr">
        <is>
          <t>Value of the Borouge 4 fee stream</t>
        </is>
      </c>
      <c r="B16" s="31">
        <f>B14+B15</f>
        <v/>
      </c>
    </row>
    <row r="18">
      <c r="A18" s="5" t="inlineStr">
        <is>
          <t>THE BRIDGE — BOTH CONSTRUCTIONS, BOTH BETAS</t>
        </is>
      </c>
      <c r="B18" s="5" t="n"/>
      <c r="C18" s="5" t="n"/>
      <c r="D18" s="5" t="n"/>
      <c r="E18" s="5" t="n"/>
      <c r="F18" s="5" t="n"/>
      <c r="G18" s="5" t="n"/>
      <c r="H18" s="5" t="n"/>
      <c r="I18" s="5" t="n"/>
      <c r="J18" s="5" t="n"/>
    </row>
    <row r="19">
      <c r="A19" s="7" t="inlineStr"/>
      <c r="B19" s="7" t="inlineStr">
        <is>
          <t>Normalisation, own beta</t>
        </is>
      </c>
      <c r="C19" s="7" t="inlineStr">
        <is>
          <t>Normalisation, sector beta</t>
        </is>
      </c>
      <c r="D19" s="7" t="inlineStr">
        <is>
          <t>Prolonged, own beta</t>
        </is>
      </c>
      <c r="E19" s="7" t="inlineStr">
        <is>
          <t>Prolonged, sector beta</t>
        </is>
      </c>
    </row>
    <row r="20">
      <c r="A20" s="3" t="inlineStr">
        <is>
          <t>Enterprise value</t>
        </is>
      </c>
      <c r="B20" s="18">
        <f>'DCF'!$B$68</f>
        <v/>
      </c>
      <c r="C20" s="18">
        <f>'DCF'!$B$69</f>
        <v/>
      </c>
      <c r="D20" s="18">
        <f>'DCF'!$B$70</f>
        <v/>
      </c>
      <c r="E20" s="18">
        <f>'DCF'!$B$71</f>
        <v/>
      </c>
    </row>
    <row r="21">
      <c r="A21" s="3" t="inlineStr">
        <is>
          <t>Less: net debt</t>
        </is>
      </c>
      <c r="B21" s="17">
        <f>-Assumptions!$B$53</f>
        <v/>
      </c>
      <c r="C21" s="17">
        <f>-Assumptions!$B$53</f>
        <v/>
      </c>
      <c r="D21" s="17">
        <f>-Assumptions!$B$53</f>
        <v/>
      </c>
      <c r="E21" s="17">
        <f>-Assumptions!$B$53</f>
        <v/>
      </c>
    </row>
    <row r="22">
      <c r="A22" s="3" t="inlineStr">
        <is>
          <t>Less: lease liabilities</t>
        </is>
      </c>
      <c r="B22" s="30">
        <f>-Assumptions!$B$54</f>
        <v/>
      </c>
      <c r="C22" s="30">
        <f>-Assumptions!$B$54</f>
        <v/>
      </c>
      <c r="D22" s="30">
        <f>-Assumptions!$B$54</f>
        <v/>
      </c>
      <c r="E22" s="30">
        <f>-Assumptions!$B$54</f>
        <v/>
      </c>
    </row>
    <row r="23">
      <c r="A23" s="3" t="inlineStr">
        <is>
          <t>Less: non-controlling interests</t>
        </is>
      </c>
      <c r="B23" s="30">
        <f>-Assumptions!$B$55</f>
        <v/>
      </c>
      <c r="C23" s="30">
        <f>-Assumptions!$B$55</f>
        <v/>
      </c>
      <c r="D23" s="30">
        <f>-Assumptions!$B$55</f>
        <v/>
      </c>
      <c r="E23" s="30">
        <f>-Assumptions!$B$55</f>
        <v/>
      </c>
    </row>
    <row r="24">
      <c r="A24" s="4" t="inlineStr">
        <is>
          <t>Equity value</t>
        </is>
      </c>
      <c r="B24" s="32">
        <f>SUM(B20:B23)</f>
        <v/>
      </c>
      <c r="C24" s="32">
        <f>SUM(C20:C23)</f>
        <v/>
      </c>
      <c r="D24" s="32">
        <f>SUM(D20:D23)</f>
        <v/>
      </c>
      <c r="E24" s="32">
        <f>SUM(E20:E23)</f>
        <v/>
      </c>
    </row>
    <row r="25">
      <c r="A25" s="3" t="inlineStr">
        <is>
          <t>Shares in issue (million)</t>
        </is>
      </c>
      <c r="B25" s="17">
        <f>Assumptions!$B$7</f>
        <v/>
      </c>
      <c r="C25" s="17">
        <f>Assumptions!$B$7</f>
        <v/>
      </c>
      <c r="D25" s="17">
        <f>Assumptions!$B$7</f>
        <v/>
      </c>
      <c r="E25" s="17">
        <f>Assumptions!$B$7</f>
        <v/>
      </c>
    </row>
    <row r="26">
      <c r="A26" s="3" t="inlineStr">
        <is>
          <t>Value per share (USD)</t>
        </is>
      </c>
      <c r="B26" s="19">
        <f>B24/B25</f>
        <v/>
      </c>
      <c r="C26" s="19">
        <f>C24/C25</f>
        <v/>
      </c>
      <c r="D26" s="19">
        <f>D24/D25</f>
        <v/>
      </c>
      <c r="E26" s="19">
        <f>E24/E25</f>
        <v/>
      </c>
    </row>
    <row r="27">
      <c r="A27" s="4" t="inlineStr">
        <is>
          <t>Value per share (AED)</t>
        </is>
      </c>
      <c r="B27" s="21">
        <f>B26*Assumptions!$B$6</f>
        <v/>
      </c>
      <c r="C27" s="21">
        <f>C26*Assumptions!$B$6</f>
        <v/>
      </c>
      <c r="D27" s="21">
        <f>D26*Assumptions!$B$6</f>
        <v/>
      </c>
      <c r="E27" s="21">
        <f>E26*Assumptions!$B$6</f>
        <v/>
      </c>
    </row>
    <row r="28">
      <c r="A28" s="4" t="inlineStr">
        <is>
          <t>Terminal value as a share of enterprise value</t>
        </is>
      </c>
      <c r="B28" s="33">
        <f>'DCF'!$E$68</f>
        <v/>
      </c>
      <c r="C28" s="33">
        <f>'DCF'!$E$69</f>
        <v/>
      </c>
      <c r="D28" s="33">
        <f>'DCF'!$E$70</f>
        <v/>
      </c>
      <c r="E28" s="33">
        <f>'DCF'!$E$71</f>
        <v/>
      </c>
    </row>
    <row r="29">
      <c r="A29" s="6" t="inlineStr">
        <is>
          <t>The terminal value share is shown in the bridge itself, live, so a reader can see at a glance how much of each answer rests on the years beyond the forecast rather than inside it.</t>
        </is>
      </c>
    </row>
  </sheetData>
  <mergeCells count="1">
    <mergeCell ref="A29:I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cols>
    <col width="5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Segments — the unit build, tonnes and dollars per tonne</t>
        </is>
      </c>
      <c r="B1" s="2" t="n"/>
      <c r="C1" s="2" t="n"/>
      <c r="D1" s="2" t="n"/>
      <c r="E1" s="2" t="n"/>
      <c r="F1" s="2" t="n"/>
      <c r="G1" s="2" t="n"/>
      <c r="H1" s="2" t="n"/>
      <c r="I1" s="2" t="n"/>
    </row>
    <row r="2">
      <c r="A2" s="6" t="inlineStr">
        <is>
          <t>Borouge reports as one operating segment. Volume and price are disclosed by product; cost is allocated on the disclosed physical drivers.</t>
        </is>
      </c>
    </row>
    <row r="4">
      <c r="A4" s="5" t="inlineStr">
        <is>
          <t>DISCLOSED HISTORY (PASTED — THE PRIMARY RECORD)</t>
        </is>
      </c>
      <c r="B4" s="5" t="n"/>
      <c r="C4" s="5" t="n"/>
      <c r="D4" s="5" t="n"/>
      <c r="E4" s="5" t="n"/>
      <c r="F4" s="5" t="n"/>
      <c r="G4" s="5" t="n"/>
      <c r="H4" s="5" t="n"/>
      <c r="I4" s="5" t="n"/>
      <c r="J4" s="5" t="n"/>
    </row>
    <row r="5">
      <c r="A5" s="7" t="inlineStr"/>
      <c r="B5" s="7" t="inlineStr">
        <is>
          <t>FY2023</t>
        </is>
      </c>
      <c r="C5" s="7" t="inlineStr">
        <is>
          <t>FY2024</t>
        </is>
      </c>
      <c r="D5" s="7" t="inlineStr">
        <is>
          <t>FY2025</t>
        </is>
      </c>
    </row>
    <row r="6">
      <c r="A6" t="inlineStr">
        <is>
          <t>Polyethylene sold (kt)</t>
        </is>
      </c>
      <c r="B6" s="25" t="n">
        <v>2715</v>
      </c>
      <c r="C6" s="25" t="n">
        <v>3072</v>
      </c>
      <c r="D6" s="25" t="n">
        <v>3053</v>
      </c>
    </row>
    <row r="7">
      <c r="A7" t="inlineStr">
        <is>
          <t>Polypropylene sold (kt)</t>
        </is>
      </c>
      <c r="B7" s="25" t="n">
        <v>2285</v>
      </c>
      <c r="C7" s="25" t="n">
        <v>2253</v>
      </c>
      <c r="D7" s="25" t="n">
        <v>2322</v>
      </c>
    </row>
    <row r="8">
      <c r="A8" t="inlineStr">
        <is>
          <t>Total production (kt)</t>
        </is>
      </c>
      <c r="B8" s="25" t="n">
        <v>5116</v>
      </c>
      <c r="C8" s="25" t="n">
        <v>5216</v>
      </c>
      <c r="D8" s="25" t="n">
        <v>5055</v>
      </c>
    </row>
    <row r="9">
      <c r="A9" t="inlineStr">
        <is>
          <t>Polyethylene benchmark (USD/t)</t>
        </is>
      </c>
      <c r="B9" s="25" t="n">
        <v>914</v>
      </c>
      <c r="C9" s="25" t="n">
        <v>898</v>
      </c>
      <c r="D9" s="25" t="n">
        <v>822</v>
      </c>
    </row>
    <row r="10">
      <c r="A10" t="inlineStr">
        <is>
          <t>Polypropylene benchmark (USD/t)</t>
        </is>
      </c>
      <c r="B10" s="25" t="n">
        <v>891</v>
      </c>
      <c r="C10" s="25" t="n">
        <v>897</v>
      </c>
      <c r="D10" s="25" t="n">
        <v>851</v>
      </c>
    </row>
    <row r="11">
      <c r="A11" t="inlineStr">
        <is>
          <t>Polyethylene premium (USD/t)</t>
        </is>
      </c>
      <c r="B11" s="25" t="n">
        <v>215</v>
      </c>
      <c r="C11" s="25" t="n">
        <v>197</v>
      </c>
      <c r="D11" s="25" t="n">
        <v>224</v>
      </c>
    </row>
    <row r="12">
      <c r="A12" t="inlineStr">
        <is>
          <t>Polypropylene premium (USD/t)</t>
        </is>
      </c>
      <c r="B12" s="25" t="n">
        <v>125</v>
      </c>
      <c r="C12" s="25" t="n">
        <v>150</v>
      </c>
      <c r="D12" s="25" t="n">
        <v>134</v>
      </c>
    </row>
    <row r="13">
      <c r="A13" t="inlineStr">
        <is>
          <t>Polyethylene revenue (USD m)</t>
        </is>
      </c>
      <c r="B13" s="25" t="n">
        <v>3276</v>
      </c>
      <c r="C13" s="25" t="n">
        <v>3559</v>
      </c>
      <c r="D13" s="25" t="n">
        <v>3436</v>
      </c>
    </row>
    <row r="14">
      <c r="A14" t="inlineStr">
        <is>
          <t>Polypropylene revenue (USD m)</t>
        </is>
      </c>
      <c r="B14" s="25" t="n">
        <v>2402</v>
      </c>
      <c r="C14" s="25" t="n">
        <v>2421</v>
      </c>
      <c r="D14" s="25" t="n">
        <v>2368</v>
      </c>
    </row>
    <row r="15">
      <c r="A15" t="inlineStr">
        <is>
          <t>Feedstock (USD per tonne produced)</t>
        </is>
      </c>
      <c r="B15" s="29" t="n">
        <v>265.2462861610633</v>
      </c>
      <c r="C15" s="29" t="n">
        <v>246.9325153374233</v>
      </c>
      <c r="D15" s="29" t="n">
        <v>256.1819980217606</v>
      </c>
    </row>
    <row r="16">
      <c r="A16" t="inlineStr">
        <is>
          <t>Selling and distribution (USD per tonne sold)</t>
        </is>
      </c>
      <c r="B16" s="29" t="n">
        <v>78.08737294761532</v>
      </c>
      <c r="C16" s="29" t="n">
        <v>88.46541705716963</v>
      </c>
      <c r="D16" s="29" t="n">
        <v>77.21380846325167</v>
      </c>
    </row>
    <row r="18">
      <c r="A18" s="5" t="inlineStr">
        <is>
          <t>THE REALISATION RESIDUAL, COMPUTED FROM THAT HISTORY</t>
        </is>
      </c>
      <c r="B18" s="5" t="n"/>
      <c r="C18" s="5" t="n"/>
      <c r="D18" s="5" t="n"/>
      <c r="E18" s="5" t="n"/>
      <c r="F18" s="5" t="n"/>
      <c r="G18" s="5" t="n"/>
      <c r="H18" s="5" t="n"/>
      <c r="I18" s="5" t="n"/>
      <c r="J18" s="5" t="n"/>
    </row>
    <row r="19">
      <c r="A19" s="7" t="inlineStr"/>
      <c r="B19" s="7" t="inlineStr">
        <is>
          <t>FY2023</t>
        </is>
      </c>
      <c r="C19" s="7" t="inlineStr">
        <is>
          <t>FY2024</t>
        </is>
      </c>
      <c r="D19" s="7" t="inlineStr">
        <is>
          <t>FY2025</t>
        </is>
      </c>
      <c r="E19" s="7" t="inlineStr">
        <is>
          <t>Three-year mean</t>
        </is>
      </c>
    </row>
    <row r="20">
      <c r="A20" s="3" t="inlineStr">
        <is>
          <t>Polyethylene: revenue per tonne / (benchmark + premium)</t>
        </is>
      </c>
      <c r="B20" s="19">
        <f>B13*1000/B6/(B9+B11)</f>
        <v/>
      </c>
      <c r="C20" s="19">
        <f>C13*1000/C6/(C9+C11)</f>
        <v/>
      </c>
      <c r="D20" s="19">
        <f>D13*1000/D6/(D9+D11)</f>
        <v/>
      </c>
      <c r="E20" s="34">
        <f>AVERAGE(B20:D20)</f>
        <v/>
      </c>
    </row>
    <row r="21">
      <c r="A21" s="3" t="inlineStr">
        <is>
          <t>Polypropylene: revenue per tonne / (benchmark + premium)</t>
        </is>
      </c>
      <c r="B21" s="19">
        <f>B14*1000/B7/(B10+B12)</f>
        <v/>
      </c>
      <c r="C21" s="19">
        <f>C14*1000/C7/(C10+C12)</f>
        <v/>
      </c>
      <c r="D21" s="19">
        <f>D14*1000/D7/(D10+D12)</f>
        <v/>
      </c>
      <c r="E21" s="34">
        <f>AVERAGE(B21:D21)</f>
        <v/>
      </c>
    </row>
    <row r="22">
      <c r="A22" s="6" t="inlineStr">
        <is>
          <t>The residual is the bridge from a published benchmark to the company's own printed top line. It is computed here from disclosed revenue, volume, benchmark and premium — not assumed.</t>
        </is>
      </c>
    </row>
    <row r="24">
      <c r="A24" s="5" t="inlineStr">
        <is>
          <t>THE FORECAST UNIT BUILD — NORMALISATION CONSTRUCTION</t>
        </is>
      </c>
      <c r="B24" s="5" t="n"/>
      <c r="C24" s="5" t="n"/>
      <c r="D24" s="5" t="n"/>
      <c r="E24" s="5" t="n"/>
      <c r="F24" s="5" t="n"/>
      <c r="G24" s="5" t="n"/>
      <c r="H24" s="5" t="n"/>
      <c r="I24" s="5" t="n"/>
      <c r="J24" s="5" t="n"/>
    </row>
    <row r="25">
      <c r="A25" s="7" t="inlineStr"/>
      <c r="B25" s="7" t="inlineStr">
        <is>
          <t>2026</t>
        </is>
      </c>
      <c r="C25" s="7" t="inlineStr">
        <is>
          <t>2027</t>
        </is>
      </c>
      <c r="D25" s="7" t="inlineStr">
        <is>
          <t>2028</t>
        </is>
      </c>
      <c r="E25" s="7" t="inlineStr">
        <is>
          <t>2029</t>
        </is>
      </c>
      <c r="F25" s="7" t="inlineStr">
        <is>
          <t>2030</t>
        </is>
      </c>
    </row>
    <row r="26">
      <c r="A26" t="inlineStr">
        <is>
          <t>Polyethylene volume (kt) = capacity x utilisation</t>
        </is>
      </c>
      <c r="B26" s="17">
        <f>Assumptions!$B$22*Assumptions!B$61</f>
        <v/>
      </c>
      <c r="C26" s="17">
        <f>Assumptions!$B$22*Assumptions!C$61</f>
        <v/>
      </c>
      <c r="D26" s="17">
        <f>Assumptions!$B$22*Assumptions!D$61</f>
        <v/>
      </c>
      <c r="E26" s="17">
        <f>Assumptions!$B$22*Assumptions!E$61</f>
        <v/>
      </c>
      <c r="F26" s="17">
        <f>Assumptions!$B$22*Assumptions!F$61</f>
        <v/>
      </c>
    </row>
    <row r="27">
      <c r="A27" t="inlineStr">
        <is>
          <t>Polypropylene volume (kt) = capacity x utilisation</t>
        </is>
      </c>
      <c r="B27" s="17">
        <f>Assumptions!$B$23*Assumptions!B$62</f>
        <v/>
      </c>
      <c r="C27" s="17">
        <f>Assumptions!$B$23*Assumptions!C$62</f>
        <v/>
      </c>
      <c r="D27" s="17">
        <f>Assumptions!$B$23*Assumptions!D$62</f>
        <v/>
      </c>
      <c r="E27" s="17">
        <f>Assumptions!$B$23*Assumptions!E$62</f>
        <v/>
      </c>
      <c r="F27" s="17">
        <f>Assumptions!$B$23*Assumptions!F$62</f>
        <v/>
      </c>
    </row>
    <row r="28">
      <c r="A28" t="inlineStr">
        <is>
          <t>Total volume (kt)</t>
        </is>
      </c>
      <c r="B28" s="32">
        <f>B26+B27</f>
        <v/>
      </c>
      <c r="C28" s="32">
        <f>C26+C27</f>
        <v/>
      </c>
      <c r="D28" s="32">
        <f>D26+D27</f>
        <v/>
      </c>
      <c r="E28" s="32">
        <f>E26+E27</f>
        <v/>
      </c>
      <c r="F28" s="32">
        <f>F26+F27</f>
        <v/>
      </c>
    </row>
    <row r="29">
      <c r="A29" t="inlineStr">
        <is>
          <t>Polyethylene realised price (USD/t)</t>
        </is>
      </c>
      <c r="B29" s="30">
        <f>(Assumptions!B$63+Assumptions!B$65)*Assumptions!$B$25</f>
        <v/>
      </c>
      <c r="C29" s="30">
        <f>(Assumptions!C$63+Assumptions!C$65)*Assumptions!$B$25</f>
        <v/>
      </c>
      <c r="D29" s="30">
        <f>(Assumptions!D$63+Assumptions!D$65)*Assumptions!$B$25</f>
        <v/>
      </c>
      <c r="E29" s="30">
        <f>(Assumptions!E$63+Assumptions!E$65)*Assumptions!$B$25</f>
        <v/>
      </c>
      <c r="F29" s="30">
        <f>(Assumptions!F$63+Assumptions!F$65)*Assumptions!$B$25</f>
        <v/>
      </c>
    </row>
    <row r="30">
      <c r="A30" t="inlineStr">
        <is>
          <t>Polypropylene realised price (USD/t)</t>
        </is>
      </c>
      <c r="B30" s="30">
        <f>(Assumptions!B$64+Assumptions!B$66)*Assumptions!$B$26</f>
        <v/>
      </c>
      <c r="C30" s="30">
        <f>(Assumptions!C$64+Assumptions!C$66)*Assumptions!$B$26</f>
        <v/>
      </c>
      <c r="D30" s="30">
        <f>(Assumptions!D$64+Assumptions!D$66)*Assumptions!$B$26</f>
        <v/>
      </c>
      <c r="E30" s="30">
        <f>(Assumptions!E$64+Assumptions!E$66)*Assumptions!$B$26</f>
        <v/>
      </c>
      <c r="F30" s="30">
        <f>(Assumptions!F$64+Assumptions!F$66)*Assumptions!$B$26</f>
        <v/>
      </c>
    </row>
    <row r="31">
      <c r="A31" t="inlineStr">
        <is>
          <t>Feedstock (USD per tonne produced)</t>
        </is>
      </c>
      <c r="B31" s="30">
        <f>(1-Assumptions!B$68)*(Assumptions!$B$29*(1+Assumptions!$B$31)^1)+Assumptions!B$68*(Assumptions!$B$29*Assumptions!B$64/Assumptions!$B$30)</f>
        <v/>
      </c>
      <c r="C31" s="30">
        <f>(1-Assumptions!C$68)*(Assumptions!$B$29*(1+Assumptions!$B$31)^2)+Assumptions!C$68*(Assumptions!$B$29*Assumptions!C$64/Assumptions!$B$30)</f>
        <v/>
      </c>
      <c r="D31" s="30">
        <f>(1-Assumptions!D$68)*(Assumptions!$B$29*(1+Assumptions!$B$31)^3)+Assumptions!D$68*(Assumptions!$B$29*Assumptions!D$64/Assumptions!$B$30)</f>
        <v/>
      </c>
      <c r="E31" s="30">
        <f>(1-Assumptions!E$68)*(Assumptions!$B$29*(1+Assumptions!$B$31)^4)+Assumptions!E$68*(Assumptions!$B$29*Assumptions!E$64/Assumptions!$B$30)</f>
        <v/>
      </c>
      <c r="F31" s="30">
        <f>(1-Assumptions!F$68)*(Assumptions!$B$29*(1+Assumptions!$B$31)^5)+Assumptions!F$68*(Assumptions!$B$29*Assumptions!F$64/Assumptions!$B$30)</f>
        <v/>
      </c>
    </row>
    <row r="33">
      <c r="A33" s="5" t="inlineStr">
        <is>
          <t>THE FORECAST UNIT BUILD — PROLONGED-DISRUPTION CONSTRUCTION</t>
        </is>
      </c>
      <c r="B33" s="5" t="n"/>
      <c r="C33" s="5" t="n"/>
      <c r="D33" s="5" t="n"/>
      <c r="E33" s="5" t="n"/>
      <c r="F33" s="5" t="n"/>
      <c r="G33" s="5" t="n"/>
      <c r="H33" s="5" t="n"/>
      <c r="I33" s="5" t="n"/>
      <c r="J33" s="5" t="n"/>
    </row>
    <row r="34">
      <c r="A34" s="7" t="inlineStr"/>
      <c r="B34" s="7" t="inlineStr">
        <is>
          <t>2026</t>
        </is>
      </c>
      <c r="C34" s="7" t="inlineStr">
        <is>
          <t>2027</t>
        </is>
      </c>
      <c r="D34" s="7" t="inlineStr">
        <is>
          <t>2028</t>
        </is>
      </c>
      <c r="E34" s="7" t="inlineStr">
        <is>
          <t>2029</t>
        </is>
      </c>
      <c r="F34" s="7" t="inlineStr">
        <is>
          <t>2030</t>
        </is>
      </c>
    </row>
    <row r="35">
      <c r="A35" t="inlineStr">
        <is>
          <t>Polyethylene volume (kt) = capacity x utilisation</t>
        </is>
      </c>
      <c r="B35" s="17">
        <f>Assumptions!$B$22*Assumptions!B$72</f>
        <v/>
      </c>
      <c r="C35" s="17">
        <f>Assumptions!$B$22*Assumptions!C$72</f>
        <v/>
      </c>
      <c r="D35" s="17">
        <f>Assumptions!$B$22*Assumptions!D$72</f>
        <v/>
      </c>
      <c r="E35" s="17">
        <f>Assumptions!$B$22*Assumptions!E$72</f>
        <v/>
      </c>
      <c r="F35" s="17">
        <f>Assumptions!$B$22*Assumptions!F$72</f>
        <v/>
      </c>
    </row>
    <row r="36">
      <c r="A36" t="inlineStr">
        <is>
          <t>Polypropylene volume (kt) = capacity x utilisation</t>
        </is>
      </c>
      <c r="B36" s="17">
        <f>Assumptions!$B$23*Assumptions!B$73</f>
        <v/>
      </c>
      <c r="C36" s="17">
        <f>Assumptions!$B$23*Assumptions!C$73</f>
        <v/>
      </c>
      <c r="D36" s="17">
        <f>Assumptions!$B$23*Assumptions!D$73</f>
        <v/>
      </c>
      <c r="E36" s="17">
        <f>Assumptions!$B$23*Assumptions!E$73</f>
        <v/>
      </c>
      <c r="F36" s="17">
        <f>Assumptions!$B$23*Assumptions!F$73</f>
        <v/>
      </c>
    </row>
    <row r="37">
      <c r="A37" t="inlineStr">
        <is>
          <t>Total volume (kt)</t>
        </is>
      </c>
      <c r="B37" s="32">
        <f>B35+B36</f>
        <v/>
      </c>
      <c r="C37" s="32">
        <f>C35+C36</f>
        <v/>
      </c>
      <c r="D37" s="32">
        <f>D35+D36</f>
        <v/>
      </c>
      <c r="E37" s="32">
        <f>E35+E36</f>
        <v/>
      </c>
      <c r="F37" s="32">
        <f>F35+F36</f>
        <v/>
      </c>
    </row>
    <row r="38">
      <c r="A38" t="inlineStr">
        <is>
          <t>Polyethylene realised price (USD/t)</t>
        </is>
      </c>
      <c r="B38" s="30">
        <f>(Assumptions!B$74+Assumptions!B$76)*Assumptions!$B$25</f>
        <v/>
      </c>
      <c r="C38" s="30">
        <f>(Assumptions!C$74+Assumptions!C$76)*Assumptions!$B$25</f>
        <v/>
      </c>
      <c r="D38" s="30">
        <f>(Assumptions!D$74+Assumptions!D$76)*Assumptions!$B$25</f>
        <v/>
      </c>
      <c r="E38" s="30">
        <f>(Assumptions!E$74+Assumptions!E$76)*Assumptions!$B$25</f>
        <v/>
      </c>
      <c r="F38" s="30">
        <f>(Assumptions!F$74+Assumptions!F$76)*Assumptions!$B$25</f>
        <v/>
      </c>
    </row>
    <row r="39">
      <c r="A39" t="inlineStr">
        <is>
          <t>Polypropylene realised price (USD/t)</t>
        </is>
      </c>
      <c r="B39" s="30">
        <f>(Assumptions!B$75+Assumptions!B$77)*Assumptions!$B$26</f>
        <v/>
      </c>
      <c r="C39" s="30">
        <f>(Assumptions!C$75+Assumptions!C$77)*Assumptions!$B$26</f>
        <v/>
      </c>
      <c r="D39" s="30">
        <f>(Assumptions!D$75+Assumptions!D$77)*Assumptions!$B$26</f>
        <v/>
      </c>
      <c r="E39" s="30">
        <f>(Assumptions!E$75+Assumptions!E$77)*Assumptions!$B$26</f>
        <v/>
      </c>
      <c r="F39" s="30">
        <f>(Assumptions!F$75+Assumptions!F$77)*Assumptions!$B$26</f>
        <v/>
      </c>
    </row>
    <row r="40">
      <c r="A40" t="inlineStr">
        <is>
          <t>Feedstock (USD per tonne produced)</t>
        </is>
      </c>
      <c r="B40" s="30">
        <f>(1-Assumptions!B$79)*(Assumptions!$B$29*(1+Assumptions!$B$31)^1)+Assumptions!B$79*(Assumptions!$B$29*Assumptions!B$75/Assumptions!$B$30)</f>
        <v/>
      </c>
      <c r="C40" s="30">
        <f>(1-Assumptions!C$79)*(Assumptions!$B$29*(1+Assumptions!$B$31)^2)+Assumptions!C$79*(Assumptions!$B$29*Assumptions!C$75/Assumptions!$B$30)</f>
        <v/>
      </c>
      <c r="D40" s="30">
        <f>(1-Assumptions!D$79)*(Assumptions!$B$29*(1+Assumptions!$B$31)^3)+Assumptions!D$79*(Assumptions!$B$29*Assumptions!D$75/Assumptions!$B$30)</f>
        <v/>
      </c>
      <c r="E40" s="30">
        <f>(1-Assumptions!E$79)*(Assumptions!$B$29*(1+Assumptions!$B$31)^4)+Assumptions!E$79*(Assumptions!$B$29*Assumptions!E$75/Assumptions!$B$30)</f>
        <v/>
      </c>
      <c r="F40" s="30">
        <f>(1-Assumptions!F$79)*(Assumptions!$B$29*(1+Assumptions!$B$31)^5)+Assumptions!F$79*(Assumptions!$B$29*Assumptions!F$75/Assumptions!$B$30)</f>
        <v/>
      </c>
    </row>
    <row r="42">
      <c r="A42" s="6" t="inlineStr">
        <is>
          <t>Two escalators, because there are two physically different inputs: contracted ethane escalates on its own terms, purchased propylene on the propylene benchmark. A single blended cost index across both would manufacture a margin trend out of arithmetic.</t>
        </is>
      </c>
    </row>
  </sheetData>
  <mergeCells count="2">
    <mergeCell ref="A42:I42"/>
    <mergeCell ref="A22:I2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Relative multiples and normalised earnings power</t>
        </is>
      </c>
      <c r="B1" s="2" t="n"/>
      <c r="C1" s="2" t="n"/>
      <c r="D1" s="2" t="n"/>
      <c r="E1" s="2" t="n"/>
      <c r="F1" s="2" t="n"/>
      <c r="G1" s="2" t="n"/>
      <c r="H1" s="2" t="n"/>
      <c r="I1" s="2" t="n"/>
    </row>
    <row r="2">
      <c r="A2" s="6" t="inlineStr">
        <is>
          <t>The multiple is triangulated on the sheet from three through-cycle anchors, and averaged here rather than asserted.</t>
        </is>
      </c>
    </row>
    <row r="4">
      <c r="A4" s="5" t="inlineStr">
        <is>
          <t>WHY THE PEER MEDIAN IS REJECTED</t>
        </is>
      </c>
      <c r="B4" s="5" t="n"/>
      <c r="C4" s="5" t="n"/>
      <c r="D4" s="5" t="n"/>
      <c r="E4" s="5" t="n"/>
      <c r="F4" s="5" t="n"/>
      <c r="G4" s="5" t="n"/>
      <c r="H4" s="5" t="n"/>
      <c r="I4" s="5" t="n"/>
      <c r="J4" s="5" t="n"/>
    </row>
    <row r="5">
      <c r="A5" s="3" t="inlineStr">
        <is>
          <t>Listed peers observed</t>
        </is>
      </c>
      <c r="B5" s="17">
        <f>11</f>
        <v/>
      </c>
    </row>
    <row r="6">
      <c r="A6" s="3" t="inlineStr">
        <is>
          <t>Of which loss-making on trailing net income</t>
        </is>
      </c>
      <c r="B6" s="25" t="n">
        <v>9</v>
      </c>
    </row>
    <row r="7">
      <c r="A7" s="3" t="inlineStr">
        <is>
          <t>Of which enterprise value to EBITDA is undefined</t>
        </is>
      </c>
      <c r="B7" s="25" t="n">
        <v>2</v>
      </c>
    </row>
    <row r="8">
      <c r="A8" s="3" t="inlineStr">
        <is>
          <t>Naive median of whatever prints</t>
        </is>
      </c>
      <c r="B8" s="35" t="n">
        <v>13.39</v>
      </c>
      <c r="C8" s="6" t="inlineStr">
        <is>
          <t>Rejected: a median across collapsed denominators measures the trough, not the multiple</t>
        </is>
      </c>
    </row>
    <row r="10">
      <c r="A10" s="5" t="inlineStr">
        <is>
          <t>THE THROUGH-CYCLE TRIANGULATION</t>
        </is>
      </c>
      <c r="B10" s="5" t="n"/>
      <c r="C10" s="5" t="n"/>
      <c r="D10" s="5" t="n"/>
      <c r="E10" s="5" t="n"/>
      <c r="F10" s="5" t="n"/>
      <c r="G10" s="5" t="n"/>
      <c r="H10" s="5" t="n"/>
      <c r="I10" s="5" t="n"/>
      <c r="J10" s="5" t="n"/>
    </row>
    <row r="11">
      <c r="A11" s="3" t="inlineStr">
        <is>
          <t>LyondellBasell ten-year median EV/EBITDA</t>
        </is>
      </c>
      <c r="B11" s="35" t="n">
        <v>7.18</v>
      </c>
    </row>
    <row r="12">
      <c r="A12" s="3" t="inlineStr">
        <is>
          <t>Industries Qatar current EV/EBITDA</t>
        </is>
      </c>
      <c r="B12" s="35" t="n">
        <v>9.9</v>
      </c>
    </row>
    <row r="13">
      <c r="A13" s="3" t="inlineStr">
        <is>
          <t>Damodaran global Chemical (Diversified) sector EV/EBITDA</t>
        </is>
      </c>
      <c r="B13" s="35" t="n">
        <v>8.654999999999999</v>
      </c>
    </row>
    <row r="14">
      <c r="A14" s="4" t="inlineStr">
        <is>
          <t>Adopted multiple — the median of the three anchors</t>
        </is>
      </c>
      <c r="B14" s="36">
        <f>MEDIAN(B11:B13)</f>
        <v/>
      </c>
    </row>
    <row r="16">
      <c r="A16" s="5" t="inlineStr">
        <is>
          <t>THE RELATIVE LENS</t>
        </is>
      </c>
      <c r="B16" s="5" t="n"/>
      <c r="C16" s="5" t="n"/>
      <c r="D16" s="5" t="n"/>
      <c r="E16" s="5" t="n"/>
      <c r="F16" s="5" t="n"/>
      <c r="G16" s="5" t="n"/>
      <c r="H16" s="5" t="n"/>
      <c r="I16" s="5" t="n"/>
      <c r="J16" s="5" t="n"/>
    </row>
    <row r="17">
      <c r="A17" s="3" t="inlineStr">
        <is>
          <t>Mid-cycle EBITDA (USD million)</t>
        </is>
      </c>
      <c r="B17" s="18">
        <f>AVERAGE('DCF'!D12,'DCF'!D43)</f>
        <v/>
      </c>
      <c r="C17" s="6" t="inlineStr">
        <is>
          <t>The third forecast year of each construction, averaged — the mid-point of the cycle the study models</t>
        </is>
      </c>
    </row>
    <row r="18">
      <c r="A18" s="3" t="inlineStr">
        <is>
          <t>Enterprise value = multiple x mid-cycle EBITDA</t>
        </is>
      </c>
      <c r="B18" s="17">
        <f>B14*B17</f>
        <v/>
      </c>
    </row>
    <row r="19">
      <c r="A19" s="3" t="inlineStr">
        <is>
          <t>Add: the Borouge 4 fee stream, on the same basis as the cash-flow lens</t>
        </is>
      </c>
      <c r="B19" s="37">
        <f>'SOTP Bridge'!$B$16</f>
        <v/>
      </c>
      <c r="C19" s="6" t="inlineStr">
        <is>
          <t>The same separable asset the cash-flow lens carries. Omitting it here valued three different companies under three lenses</t>
        </is>
      </c>
    </row>
    <row r="20">
      <c r="A20" s="3" t="inlineStr">
        <is>
          <t>Enterprise value including the fee stream</t>
        </is>
      </c>
      <c r="B20" s="17">
        <f>B18+B19</f>
        <v/>
      </c>
    </row>
    <row r="21">
      <c r="A21" s="3" t="inlineStr">
        <is>
          <t>Less: net debt, leases and non-controlling interests</t>
        </is>
      </c>
      <c r="B21" s="17">
        <f>-Assumptions!$B$53-Assumptions!$B$54-Assumptions!$B$55</f>
        <v/>
      </c>
    </row>
    <row r="22">
      <c r="A22" s="3" t="inlineStr">
        <is>
          <t>Equity value</t>
        </is>
      </c>
      <c r="B22" s="17">
        <f>B20+B21</f>
        <v/>
      </c>
    </row>
    <row r="23">
      <c r="A23" s="4" t="inlineStr">
        <is>
          <t>Relative lens — value per share (AED)</t>
        </is>
      </c>
      <c r="B23" s="21">
        <f>B22/Assumptions!$B$7*Assumptions!$B$6</f>
        <v/>
      </c>
    </row>
    <row r="25">
      <c r="A25" s="5" t="inlineStr">
        <is>
          <t>NORMALISED EARNINGS POWER</t>
        </is>
      </c>
      <c r="B25" s="5" t="n"/>
      <c r="C25" s="5" t="n"/>
      <c r="D25" s="5" t="n"/>
      <c r="E25" s="5" t="n"/>
      <c r="F25" s="5" t="n"/>
      <c r="G25" s="5" t="n"/>
      <c r="H25" s="5" t="n"/>
      <c r="I25" s="5" t="n"/>
      <c r="J25" s="5" t="n"/>
    </row>
    <row r="26">
      <c r="A26" s="6" t="inlineStr">
        <is>
          <t>Mid-cycle is DERIVED from the audited record, not asserted: utilisation is the mean of the two most recent audited years and the benchmark is the mean of the three audited annual averages. Both therefore contain a turnaround year and a soft-price year, and neither contains the 2026 disruption.</t>
        </is>
      </c>
    </row>
    <row r="27">
      <c r="A27" s="3" t="inlineStr">
        <is>
          <t>Mid-cycle polyethylene utilisation</t>
        </is>
      </c>
      <c r="B27" s="28" t="n">
        <v>1.06</v>
      </c>
    </row>
    <row r="28">
      <c r="A28" s="3" t="inlineStr">
        <is>
          <t>Mid-cycle polypropylene utilisation</t>
        </is>
      </c>
      <c r="B28" s="28" t="n">
        <v>0.99</v>
      </c>
    </row>
    <row r="29">
      <c r="A29" s="3" t="inlineStr">
        <is>
          <t>Mid-cycle polyethylene benchmark (USD/t)</t>
        </is>
      </c>
      <c r="B29" s="25" t="n">
        <v>878</v>
      </c>
    </row>
    <row r="30">
      <c r="A30" s="3" t="inlineStr">
        <is>
          <t>Mid-cycle polypropylene benchmark (USD/t)</t>
        </is>
      </c>
      <c r="B30" s="25" t="n">
        <v>879.6666666666666</v>
      </c>
    </row>
    <row r="31">
      <c r="A31" s="3" t="inlineStr">
        <is>
          <t>Through-the-cycle polyethylene premium (USD/t)</t>
        </is>
      </c>
      <c r="B31" s="25" t="n">
        <v>200</v>
      </c>
    </row>
    <row r="32">
      <c r="A32" s="3" t="inlineStr">
        <is>
          <t>Through-the-cycle polypropylene premium (USD/t)</t>
        </is>
      </c>
      <c r="B32" s="25" t="n">
        <v>140</v>
      </c>
    </row>
    <row r="33">
      <c r="A33" s="3" t="inlineStr">
        <is>
          <t>Mid-cycle selling and distribution (USD/t)</t>
        </is>
      </c>
      <c r="B33" s="29" t="n">
        <v>81.25553282267887</v>
      </c>
    </row>
    <row r="34">
      <c r="A34" s="3" t="inlineStr">
        <is>
          <t>Mid-cycle depreciation and amortisation (USD m)</t>
        </is>
      </c>
      <c r="B34" s="25" t="n">
        <v>400</v>
      </c>
    </row>
    <row r="35">
      <c r="A35" s="3" t="inlineStr">
        <is>
          <t>Mid-cycle polyethylene volume (kt)</t>
        </is>
      </c>
      <c r="B35" s="17">
        <f>B27*Assumptions!$B$22</f>
        <v/>
      </c>
    </row>
    <row r="36">
      <c r="A36" s="3" t="inlineStr">
        <is>
          <t>Mid-cycle polypropylene volume (kt)</t>
        </is>
      </c>
      <c r="B36" s="17">
        <f>B28*Assumptions!$B$23</f>
        <v/>
      </c>
    </row>
    <row r="37">
      <c r="A37" s="3" t="inlineStr">
        <is>
          <t>Mid-cycle volume (kt)</t>
        </is>
      </c>
      <c r="B37" s="32">
        <f>B35+B36</f>
        <v/>
      </c>
    </row>
    <row r="38">
      <c r="A38" s="3" t="inlineStr">
        <is>
          <t>Mid-cycle revenue (USD million)</t>
        </is>
      </c>
      <c r="B38" s="17">
        <f>(B35*(B29+B31)*Assumptions!$B$25+B36*(B30+B32)*Assumptions!$B$26)/1000</f>
        <v/>
      </c>
    </row>
    <row r="39">
      <c r="A39" s="3" t="inlineStr">
        <is>
          <t>Less: feedstock</t>
        </is>
      </c>
      <c r="B39" s="17">
        <f>Assumptions!$B$29*B37/1000</f>
        <v/>
      </c>
    </row>
    <row r="40">
      <c r="A40" s="3" t="inlineStr">
        <is>
          <t>Less: other production cost</t>
        </is>
      </c>
      <c r="B40" s="17">
        <f>Assumptions!$B$27+Assumptions!$B$28*B37</f>
        <v/>
      </c>
    </row>
    <row r="41">
      <c r="A41" s="3" t="inlineStr">
        <is>
          <t>Less: selling and distribution</t>
        </is>
      </c>
      <c r="B41" s="17">
        <f>B33*B37/1000</f>
        <v/>
      </c>
    </row>
    <row r="42">
      <c r="A42" s="3" t="inlineStr">
        <is>
          <t>Less: general and administrative</t>
        </is>
      </c>
      <c r="B42" s="37">
        <f>Assumptions!$B$35</f>
        <v/>
      </c>
    </row>
    <row r="43">
      <c r="A43" s="4" t="inlineStr">
        <is>
          <t>Mid-cycle EBITDA</t>
        </is>
      </c>
      <c r="B43" s="32">
        <f>B38-B39-B40-B41-B42</f>
        <v/>
      </c>
    </row>
    <row r="44">
      <c r="A44" s="3" t="inlineStr">
        <is>
          <t>Mid-cycle EBIT</t>
        </is>
      </c>
      <c r="B44" s="17">
        <f>B43-B34</f>
        <v/>
      </c>
    </row>
    <row r="45">
      <c r="A45" s="3" t="inlineStr">
        <is>
          <t>Mid-cycle NOPAT</t>
        </is>
      </c>
      <c r="B45" s="32">
        <f>B44*(1-Assumptions!$B$19)</f>
        <v/>
      </c>
    </row>
    <row r="46">
      <c r="A46" s="3" t="inlineStr">
        <is>
          <t>Enterprise value = NOPAT x (1 - reinvestment) / (cost of capital - growth)</t>
        </is>
      </c>
      <c r="B46" s="17">
        <f>B45/('Fundamental Valuation'!$B$29-Assumptions!$B$51)*(1-Assumptions!$B$51/Assumptions!$B$52)+'SOTP Bridge'!$B$16</f>
        <v/>
      </c>
    </row>
    <row r="47">
      <c r="A47" s="4" t="inlineStr">
        <is>
          <t>Normalised earnings lens — own-stock beta (AED)</t>
        </is>
      </c>
      <c r="B47" s="21">
        <f>(B46-Assumptions!$B$53-Assumptions!$B$54-Assumptions!$B$55)/Assumptions!$B$7*Assumptions!$B$6</f>
        <v/>
      </c>
    </row>
    <row r="48">
      <c r="A48" s="4" t="inlineStr">
        <is>
          <t>Normalised earnings lens — sector bottom-up beta (AED)</t>
        </is>
      </c>
      <c r="B48" s="21">
        <f>(B45/('Fundamental Valuation'!$C$29-Assumptions!$B$51)*(1-Assumptions!$B$51/Assumptions!$B$52)+'SOTP Bridge'!$B$16-Assumptions!$B$53-Assumptions!$B$54-Assumptions!$B$55)/Assumptions!$B$7*Assumptions!$B$6</f>
        <v/>
      </c>
    </row>
    <row r="49">
      <c r="A49" s="6" t="inlineStr">
        <is>
          <t>Every line of the normalised block above is a live formula off the same capacity, realisation residual and cost stack the forecast uses. Change a driver on Assumptions and this lens moves with it.</t>
        </is>
      </c>
    </row>
  </sheetData>
  <mergeCells count="2">
    <mergeCell ref="A26:I26"/>
    <mergeCell ref="A49:I4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2"/>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Discounted cash flow — the waterfall and the terminal block</t>
        </is>
      </c>
      <c r="B1" s="2" t="n"/>
      <c r="C1" s="2" t="n"/>
      <c r="D1" s="2" t="n"/>
      <c r="E1" s="2" t="n"/>
      <c r="F1" s="2" t="n"/>
      <c r="G1" s="2" t="n"/>
      <c r="H1" s="2" t="n"/>
      <c r="I1" s="2" t="n"/>
    </row>
    <row r="2">
      <c r="A2" s="6" t="inlineStr">
        <is>
          <t>USD million. Both constructions. Every cell below is a formula.</t>
        </is>
      </c>
    </row>
    <row r="4">
      <c r="A4" s="5" t="inlineStr">
        <is>
          <t>WATERFALL — NORMALISATION CONSTRUCTION</t>
        </is>
      </c>
      <c r="B4" s="5" t="n"/>
      <c r="C4" s="5" t="n"/>
      <c r="D4" s="5" t="n"/>
      <c r="E4" s="5" t="n"/>
      <c r="F4" s="5" t="n"/>
      <c r="G4" s="5" t="n"/>
      <c r="H4" s="5" t="n"/>
      <c r="I4" s="5" t="n"/>
      <c r="J4" s="5" t="n"/>
    </row>
    <row r="5">
      <c r="A5" s="7" t="inlineStr"/>
      <c r="B5" s="7" t="inlineStr">
        <is>
          <t>2026</t>
        </is>
      </c>
      <c r="C5" s="7" t="inlineStr">
        <is>
          <t>2027</t>
        </is>
      </c>
      <c r="D5" s="7" t="inlineStr">
        <is>
          <t>2028</t>
        </is>
      </c>
      <c r="E5" s="7" t="inlineStr">
        <is>
          <t>2029</t>
        </is>
      </c>
      <c r="F5" s="7" t="inlineStr">
        <is>
          <t>2030</t>
        </is>
      </c>
    </row>
    <row r="6">
      <c r="A6" s="3" t="inlineStr">
        <is>
          <t>Revenue</t>
        </is>
      </c>
      <c r="B6" s="17">
        <f>(Segments!B$26*Segments!B$29+Segments!B$27*Segments!B$30)/1000*Assumptions!$B$24+Assumptions!$B$37*(1-0.1)^1</f>
        <v/>
      </c>
      <c r="C6" s="17">
        <f>(Segments!C$26*Segments!C$29+Segments!C$27*Segments!C$30)/1000*Assumptions!$B$24+Assumptions!$B$37*(1-0.1)^2</f>
        <v/>
      </c>
      <c r="D6" s="17">
        <f>(Segments!D$26*Segments!D$29+Segments!D$27*Segments!D$30)/1000*Assumptions!$B$24+Assumptions!$B$37*(1-0.1)^3</f>
        <v/>
      </c>
      <c r="E6" s="17">
        <f>(Segments!E$26*Segments!E$29+Segments!E$27*Segments!E$30)/1000*Assumptions!$B$24+Assumptions!$B$37*(1-0.1)^4</f>
        <v/>
      </c>
      <c r="F6" s="17">
        <f>(Segments!F$26*Segments!F$29+Segments!F$27*Segments!F$30)/1000*Assumptions!$B$24+Assumptions!$B$37*(1-0.1)^5</f>
        <v/>
      </c>
    </row>
    <row r="7">
      <c r="A7" s="3" t="inlineStr">
        <is>
          <t>Less: feedstock</t>
        </is>
      </c>
      <c r="B7" s="17">
        <f>Segments!B$31*Segments!B$28/1000</f>
        <v/>
      </c>
      <c r="C7" s="17">
        <f>Segments!C$31*Segments!C$28/1000</f>
        <v/>
      </c>
      <c r="D7" s="17">
        <f>Segments!D$31*Segments!D$28/1000</f>
        <v/>
      </c>
      <c r="E7" s="17">
        <f>Segments!E$31*Segments!E$28/1000</f>
        <v/>
      </c>
      <c r="F7" s="17">
        <f>Segments!F$31*Segments!F$28/1000</f>
        <v/>
      </c>
    </row>
    <row r="8">
      <c r="A8" s="3" t="inlineStr">
        <is>
          <t>Less: other production cost</t>
        </is>
      </c>
      <c r="B8" s="17">
        <f>Assumptions!$B$27*(1+Assumptions!$B$32)^1+Assumptions!$B$28*Segments!B$28</f>
        <v/>
      </c>
      <c r="C8" s="17">
        <f>Assumptions!$B$27*(1+Assumptions!$B$32)^2+Assumptions!$B$28*Segments!C$28</f>
        <v/>
      </c>
      <c r="D8" s="17">
        <f>Assumptions!$B$27*(1+Assumptions!$B$32)^3+Assumptions!$B$28*Segments!D$28</f>
        <v/>
      </c>
      <c r="E8" s="17">
        <f>Assumptions!$B$27*(1+Assumptions!$B$32)^4+Assumptions!$B$28*Segments!E$28</f>
        <v/>
      </c>
      <c r="F8" s="17">
        <f>Assumptions!$B$27*(1+Assumptions!$B$32)^5+Assumptions!$B$28*Segments!F$28</f>
        <v/>
      </c>
    </row>
    <row r="9">
      <c r="A9" s="3" t="inlineStr">
        <is>
          <t>Less: selling and distribution</t>
        </is>
      </c>
      <c r="B9" s="17">
        <f>Assumptions!B$67*Segments!B$28*Assumptions!$B$24/1000</f>
        <v/>
      </c>
      <c r="C9" s="17">
        <f>Assumptions!C$67*Segments!C$28*Assumptions!$B$24/1000</f>
        <v/>
      </c>
      <c r="D9" s="17">
        <f>Assumptions!D$67*Segments!D$28*Assumptions!$B$24/1000</f>
        <v/>
      </c>
      <c r="E9" s="17">
        <f>Assumptions!E$67*Segments!E$28*Assumptions!$B$24/1000</f>
        <v/>
      </c>
      <c r="F9" s="17">
        <f>Assumptions!F$67*Segments!F$28*Assumptions!$B$24/1000</f>
        <v/>
      </c>
    </row>
    <row r="10">
      <c r="A10" s="3" t="inlineStr">
        <is>
          <t>Less: general and administrative</t>
        </is>
      </c>
      <c r="B10" s="30">
        <f>Assumptions!$B$35*(1+Assumptions!$B$32)^1</f>
        <v/>
      </c>
      <c r="C10" s="30">
        <f>Assumptions!$B$35*(1+Assumptions!$B$32)^2</f>
        <v/>
      </c>
      <c r="D10" s="30">
        <f>Assumptions!$B$35*(1+Assumptions!$B$32)^3</f>
        <v/>
      </c>
      <c r="E10" s="30">
        <f>Assumptions!$B$35*(1+Assumptions!$B$32)^4</f>
        <v/>
      </c>
      <c r="F10" s="30">
        <f>Assumptions!$B$35*(1+Assumptions!$B$32)^5</f>
        <v/>
      </c>
    </row>
    <row r="11">
      <c r="A11" s="3" t="inlineStr">
        <is>
          <t>Add: other income</t>
        </is>
      </c>
      <c r="B11" s="30">
        <f>Assumptions!$B$36*(1+Assumptions!$B$32)^1</f>
        <v/>
      </c>
      <c r="C11" s="30">
        <f>Assumptions!$B$36*(1+Assumptions!$B$32)^2</f>
        <v/>
      </c>
      <c r="D11" s="30">
        <f>Assumptions!$B$36*(1+Assumptions!$B$32)^3</f>
        <v/>
      </c>
      <c r="E11" s="30">
        <f>Assumptions!$B$36*(1+Assumptions!$B$32)^4</f>
        <v/>
      </c>
      <c r="F11" s="30">
        <f>Assumptions!$B$36*(1+Assumptions!$B$32)^5</f>
        <v/>
      </c>
    </row>
    <row r="12">
      <c r="A12" s="4" t="inlineStr">
        <is>
          <t>EBITDA</t>
        </is>
      </c>
      <c r="B12" s="32">
        <f>B6-B7-B8-B9-B10+B11</f>
        <v/>
      </c>
      <c r="C12" s="32">
        <f>C6-C7-C8-C9-C10+C11</f>
        <v/>
      </c>
      <c r="D12" s="32">
        <f>D6-D7-D8-D9-D10+D11</f>
        <v/>
      </c>
      <c r="E12" s="32">
        <f>E6-E7-E8-E9-E10+E11</f>
        <v/>
      </c>
      <c r="F12" s="32">
        <f>F6-F7-F8-F9-F10+F11</f>
        <v/>
      </c>
    </row>
    <row r="13">
      <c r="A13" s="3" t="inlineStr">
        <is>
          <t>EBITDA margin = EBITDA / revenue</t>
        </is>
      </c>
      <c r="B13" s="11">
        <f>B12/B6</f>
        <v/>
      </c>
      <c r="C13" s="11">
        <f>C12/C6</f>
        <v/>
      </c>
      <c r="D13" s="11">
        <f>D12/D6</f>
        <v/>
      </c>
      <c r="E13" s="11">
        <f>E12/E6</f>
        <v/>
      </c>
      <c r="F13" s="11">
        <f>F12/F6</f>
        <v/>
      </c>
    </row>
    <row r="14">
      <c r="A14" s="3" t="inlineStr">
        <is>
          <t>Less: depreciation and amortisation</t>
        </is>
      </c>
      <c r="B14" s="17">
        <f>Assumptions!$B$43*Assumptions!$B$48</f>
        <v/>
      </c>
      <c r="C14" s="17">
        <f>(Assumptions!$B$43+SUM(B18:B18)-SUM(B14:B14))*Assumptions!$B$48</f>
        <v/>
      </c>
      <c r="D14" s="17">
        <f>(Assumptions!$B$43+SUM(B18:C18)-SUM(B14:C14))*Assumptions!$B$48</f>
        <v/>
      </c>
      <c r="E14" s="17">
        <f>(Assumptions!$B$43+SUM(B18:D18)-SUM(B14:D14))*Assumptions!$B$48</f>
        <v/>
      </c>
      <c r="F14" s="17">
        <f>(Assumptions!$B$43+SUM(B18:E18)-SUM(B14:E14))*Assumptions!$B$48</f>
        <v/>
      </c>
    </row>
    <row r="15">
      <c r="A15" s="4" t="inlineStr">
        <is>
          <t>EBIT = EBITDA less depreciation and amortisation</t>
        </is>
      </c>
      <c r="B15" s="32">
        <f>B12-B14</f>
        <v/>
      </c>
      <c r="C15" s="32">
        <f>C12-C14</f>
        <v/>
      </c>
      <c r="D15" s="32">
        <f>D12-D14</f>
        <v/>
      </c>
      <c r="E15" s="32">
        <f>E12-E14</f>
        <v/>
      </c>
      <c r="F15" s="32">
        <f>F12-F14</f>
        <v/>
      </c>
    </row>
    <row r="16">
      <c r="A16" s="4" t="inlineStr">
        <is>
          <t>NOPAT = EBIT x (1 - tax rate)</t>
        </is>
      </c>
      <c r="B16" s="32">
        <f>B15*(1-Assumptions!$B$19)</f>
        <v/>
      </c>
      <c r="C16" s="32">
        <f>C15*(1-Assumptions!$B$19)</f>
        <v/>
      </c>
      <c r="D16" s="32">
        <f>D15*(1-Assumptions!$B$19)</f>
        <v/>
      </c>
      <c r="E16" s="32">
        <f>E15*(1-Assumptions!$B$19)</f>
        <v/>
      </c>
      <c r="F16" s="32">
        <f>F15*(1-Assumptions!$B$19)</f>
        <v/>
      </c>
    </row>
    <row r="17">
      <c r="A17" s="3" t="inlineStr">
        <is>
          <t>Add back: depreciation and amortisation</t>
        </is>
      </c>
      <c r="B17" s="17">
        <f>B14</f>
        <v/>
      </c>
      <c r="C17" s="17">
        <f>C14</f>
        <v/>
      </c>
      <c r="D17" s="17">
        <f>D14</f>
        <v/>
      </c>
      <c r="E17" s="17">
        <f>E14</f>
        <v/>
      </c>
      <c r="F17" s="17">
        <f>F14</f>
        <v/>
      </c>
    </row>
    <row r="18">
      <c r="A18" s="3" t="inlineStr">
        <is>
          <t>Less: capital expenditure</t>
        </is>
      </c>
      <c r="B18" s="17">
        <f>Assumptions!$B$41</f>
        <v/>
      </c>
      <c r="C18" s="17">
        <f>Assumptions!$B$42</f>
        <v/>
      </c>
      <c r="D18" s="17">
        <f>Assumptions!$B$42</f>
        <v/>
      </c>
      <c r="E18" s="17">
        <f>Assumptions!$B$42</f>
        <v/>
      </c>
      <c r="F18" s="17">
        <f>Assumptions!$B$42</f>
        <v/>
      </c>
    </row>
    <row r="19">
      <c r="A19" s="3" t="inlineStr">
        <is>
          <t>Less: increase in working capital</t>
        </is>
      </c>
      <c r="B19" s="30">
        <f>(B6*Assumptions!$B$38/365+(B7+B8)*Assumptions!$B$39/365-(B7+B8)*Assumptions!$B$40/365)-(5847.773*Assumptions!$B$38/365+3099*Assumptions!$B$39/365-3099*Assumptions!$B$40/365)</f>
        <v/>
      </c>
      <c r="C19" s="30">
        <f>(C6*Assumptions!$B$38/365+(C7+C8)*Assumptions!$B$39/365-(C7+C8)*Assumptions!$B$40/365)-(B6*Assumptions!$B$38/365+(B7+B8)*Assumptions!$B$39/365-(B7+B8)*Assumptions!$B$40/365)</f>
        <v/>
      </c>
      <c r="D19" s="30">
        <f>(D6*Assumptions!$B$38/365+(D7+D8)*Assumptions!$B$39/365-(D7+D8)*Assumptions!$B$40/365)-(C6*Assumptions!$B$38/365+(C7+C8)*Assumptions!$B$39/365-(C7+C8)*Assumptions!$B$40/365)</f>
        <v/>
      </c>
      <c r="E19" s="30">
        <f>(E6*Assumptions!$B$38/365+(E7+E8)*Assumptions!$B$39/365-(E7+E8)*Assumptions!$B$40/365)-(D6*Assumptions!$B$38/365+(D7+D8)*Assumptions!$B$39/365-(D7+D8)*Assumptions!$B$40/365)</f>
        <v/>
      </c>
      <c r="F19" s="30">
        <f>(F6*Assumptions!$B$38/365+(F7+F8)*Assumptions!$B$39/365-(F7+F8)*Assumptions!$B$40/365)-(E6*Assumptions!$B$38/365+(E7+E8)*Assumptions!$B$39/365-(E7+E8)*Assumptions!$B$40/365)</f>
        <v/>
      </c>
    </row>
    <row r="20">
      <c r="A20" s="4" t="inlineStr">
        <is>
          <t>Free cash flow to the firm</t>
        </is>
      </c>
      <c r="B20" s="32">
        <f>B16+B17-B18-B19</f>
        <v/>
      </c>
      <c r="C20" s="32">
        <f>C16+C17-C18-C19</f>
        <v/>
      </c>
      <c r="D20" s="32">
        <f>D16+D17-D18-D19</f>
        <v/>
      </c>
      <c r="E20" s="32">
        <f>E16+E17-E18-E19</f>
        <v/>
      </c>
      <c r="F20" s="32">
        <f>F16+F17-F18-F19</f>
        <v/>
      </c>
    </row>
    <row r="21">
      <c r="A21" s="3" t="inlineStr">
        <is>
          <t>Discount rate applied</t>
        </is>
      </c>
      <c r="B21" s="12">
        <f>'Fundamental Valuation'!$B$29</f>
        <v/>
      </c>
      <c r="C21" s="12">
        <f>'Fundamental Valuation'!$B$29</f>
        <v/>
      </c>
      <c r="D21" s="12">
        <f>'Fundamental Valuation'!$B$29</f>
        <v/>
      </c>
      <c r="E21" s="12">
        <f>'Fundamental Valuation'!$B$29</f>
        <v/>
      </c>
      <c r="F21" s="12">
        <f>'Fundamental Valuation'!$B$29</f>
        <v/>
      </c>
    </row>
    <row r="22">
      <c r="A22" s="3" t="inlineStr">
        <is>
          <t>Discount factor</t>
        </is>
      </c>
      <c r="B22" s="38">
        <f>1/(1+B21)^1</f>
        <v/>
      </c>
      <c r="C22" s="38">
        <f>1/(1+C21)^2</f>
        <v/>
      </c>
      <c r="D22" s="38">
        <f>1/(1+D21)^3</f>
        <v/>
      </c>
      <c r="E22" s="38">
        <f>1/(1+E21)^4</f>
        <v/>
      </c>
      <c r="F22" s="38">
        <f>1/(1+F21)^5</f>
        <v/>
      </c>
    </row>
    <row r="23">
      <c r="A23" s="4" t="inlineStr">
        <is>
          <t>Present value of free cash flow to the firm</t>
        </is>
      </c>
      <c r="B23" s="32">
        <f>B20*B22</f>
        <v/>
      </c>
      <c r="C23" s="32">
        <f>C20*C22</f>
        <v/>
      </c>
      <c r="D23" s="32">
        <f>D20*D22</f>
        <v/>
      </c>
      <c r="E23" s="32">
        <f>E20*E22</f>
        <v/>
      </c>
      <c r="F23" s="32">
        <f>F20*F22</f>
        <v/>
      </c>
    </row>
    <row r="25">
      <c r="A25" s="5" t="inlineStr">
        <is>
          <t>TERMINAL BLOCK — NORMALISATION</t>
        </is>
      </c>
      <c r="B25" s="5" t="n"/>
      <c r="C25" s="5" t="n"/>
      <c r="D25" s="5" t="n"/>
      <c r="E25" s="5" t="n"/>
      <c r="F25" s="5" t="n"/>
      <c r="G25" s="5" t="n"/>
      <c r="H25" s="5" t="n"/>
      <c r="I25" s="5" t="n"/>
      <c r="J25" s="5" t="n"/>
    </row>
    <row r="26">
      <c r="A26" s="3" t="inlineStr">
        <is>
          <t>Final-year NOPAT</t>
        </is>
      </c>
      <c r="B26" s="17">
        <f>F16</f>
        <v/>
      </c>
    </row>
    <row r="27">
      <c r="A27" s="3" t="inlineStr">
        <is>
          <t>Terminal NOPAT = final-year NOPAT x (1 + growth)</t>
        </is>
      </c>
      <c r="B27" s="17">
        <f>B26*(1+Assumptions!$B$51)</f>
        <v/>
      </c>
    </row>
    <row r="28">
      <c r="A28" s="3" t="inlineStr">
        <is>
          <t>Reinvestment rate = growth / return on capital</t>
        </is>
      </c>
      <c r="B28" s="11">
        <f>Assumptions!$B$51/Assumptions!$B$52</f>
        <v/>
      </c>
    </row>
    <row r="29">
      <c r="A29" s="3" t="inlineStr">
        <is>
          <t>Terminal free cash flow = NOPAT x (1 - reinvestment rate)</t>
        </is>
      </c>
      <c r="B29" s="17">
        <f>B27*(1-B28)</f>
        <v/>
      </c>
    </row>
    <row r="30">
      <c r="A30" s="3" t="inlineStr">
        <is>
          <t>Terminal value = terminal cash flow / (cost of capital - growth)</t>
        </is>
      </c>
      <c r="B30" s="17">
        <f>B29/(F21-Assumptions!$B$51)</f>
        <v/>
      </c>
    </row>
    <row r="31">
      <c r="A31" s="4" t="inlineStr">
        <is>
          <t>Present value of the terminal value</t>
        </is>
      </c>
      <c r="B31" s="32">
        <f>B30*F22</f>
        <v/>
      </c>
    </row>
    <row r="32">
      <c r="A32" s="3" t="inlineStr">
        <is>
          <t>Present value of the explicit five years</t>
        </is>
      </c>
      <c r="B32" s="17">
        <f>SUM(B23:F23)</f>
        <v/>
      </c>
    </row>
    <row r="33">
      <c r="A33" s="4" t="inlineStr">
        <is>
          <t>Enterprise value of the owned business</t>
        </is>
      </c>
      <c r="B33" s="32">
        <f>B32+B31</f>
        <v/>
      </c>
    </row>
    <row r="35">
      <c r="A35" s="5" t="inlineStr">
        <is>
          <t>WATERFALL — PROLONGED-DISRUPTION CONSTRUCTION</t>
        </is>
      </c>
      <c r="B35" s="5" t="n"/>
      <c r="C35" s="5" t="n"/>
      <c r="D35" s="5" t="n"/>
      <c r="E35" s="5" t="n"/>
      <c r="F35" s="5" t="n"/>
      <c r="G35" s="5" t="n"/>
      <c r="H35" s="5" t="n"/>
      <c r="I35" s="5" t="n"/>
      <c r="J35" s="5" t="n"/>
    </row>
    <row r="36">
      <c r="A36" s="7" t="inlineStr"/>
      <c r="B36" s="7" t="inlineStr">
        <is>
          <t>2026</t>
        </is>
      </c>
      <c r="C36" s="7" t="inlineStr">
        <is>
          <t>2027</t>
        </is>
      </c>
      <c r="D36" s="7" t="inlineStr">
        <is>
          <t>2028</t>
        </is>
      </c>
      <c r="E36" s="7" t="inlineStr">
        <is>
          <t>2029</t>
        </is>
      </c>
      <c r="F36" s="7" t="inlineStr">
        <is>
          <t>2030</t>
        </is>
      </c>
    </row>
    <row r="37">
      <c r="A37" s="3" t="inlineStr">
        <is>
          <t>Revenue</t>
        </is>
      </c>
      <c r="B37" s="17">
        <f>(Segments!B$35*Segments!B$38+Segments!B$36*Segments!B$39)/1000*Assumptions!$B$24+Assumptions!$B$37*(1-0.1)^1</f>
        <v/>
      </c>
      <c r="C37" s="17">
        <f>(Segments!C$35*Segments!C$38+Segments!C$36*Segments!C$39)/1000*Assumptions!$B$24+Assumptions!$B$37*(1-0.1)^2</f>
        <v/>
      </c>
      <c r="D37" s="17">
        <f>(Segments!D$35*Segments!D$38+Segments!D$36*Segments!D$39)/1000*Assumptions!$B$24+Assumptions!$B$37*(1-0.1)^3</f>
        <v/>
      </c>
      <c r="E37" s="17">
        <f>(Segments!E$35*Segments!E$38+Segments!E$36*Segments!E$39)/1000*Assumptions!$B$24+Assumptions!$B$37*(1-0.1)^4</f>
        <v/>
      </c>
      <c r="F37" s="17">
        <f>(Segments!F$35*Segments!F$38+Segments!F$36*Segments!F$39)/1000*Assumptions!$B$24+Assumptions!$B$37*(1-0.1)^5</f>
        <v/>
      </c>
    </row>
    <row r="38">
      <c r="A38" s="3" t="inlineStr">
        <is>
          <t>Less: feedstock</t>
        </is>
      </c>
      <c r="B38" s="17">
        <f>Segments!B$40*Segments!B$37/1000</f>
        <v/>
      </c>
      <c r="C38" s="17">
        <f>Segments!C$40*Segments!C$37/1000</f>
        <v/>
      </c>
      <c r="D38" s="17">
        <f>Segments!D$40*Segments!D$37/1000</f>
        <v/>
      </c>
      <c r="E38" s="17">
        <f>Segments!E$40*Segments!E$37/1000</f>
        <v/>
      </c>
      <c r="F38" s="17">
        <f>Segments!F$40*Segments!F$37/1000</f>
        <v/>
      </c>
    </row>
    <row r="39">
      <c r="A39" s="3" t="inlineStr">
        <is>
          <t>Less: other production cost</t>
        </is>
      </c>
      <c r="B39" s="17">
        <f>Assumptions!$B$27*(1+Assumptions!$B$32)^1+Assumptions!$B$28*Segments!B$37</f>
        <v/>
      </c>
      <c r="C39" s="17">
        <f>Assumptions!$B$27*(1+Assumptions!$B$32)^2+Assumptions!$B$28*Segments!C$37</f>
        <v/>
      </c>
      <c r="D39" s="17">
        <f>Assumptions!$B$27*(1+Assumptions!$B$32)^3+Assumptions!$B$28*Segments!D$37</f>
        <v/>
      </c>
      <c r="E39" s="17">
        <f>Assumptions!$B$27*(1+Assumptions!$B$32)^4+Assumptions!$B$28*Segments!E$37</f>
        <v/>
      </c>
      <c r="F39" s="17">
        <f>Assumptions!$B$27*(1+Assumptions!$B$32)^5+Assumptions!$B$28*Segments!F$37</f>
        <v/>
      </c>
    </row>
    <row r="40">
      <c r="A40" s="3" t="inlineStr">
        <is>
          <t>Less: selling and distribution</t>
        </is>
      </c>
      <c r="B40" s="17">
        <f>Assumptions!B$78*Segments!B$37*Assumptions!$B$24/1000</f>
        <v/>
      </c>
      <c r="C40" s="17">
        <f>Assumptions!C$78*Segments!C$37*Assumptions!$B$24/1000</f>
        <v/>
      </c>
      <c r="D40" s="17">
        <f>Assumptions!D$78*Segments!D$37*Assumptions!$B$24/1000</f>
        <v/>
      </c>
      <c r="E40" s="17">
        <f>Assumptions!E$78*Segments!E$37*Assumptions!$B$24/1000</f>
        <v/>
      </c>
      <c r="F40" s="17">
        <f>Assumptions!F$78*Segments!F$37*Assumptions!$B$24/1000</f>
        <v/>
      </c>
    </row>
    <row r="41">
      <c r="A41" s="3" t="inlineStr">
        <is>
          <t>Less: general and administrative</t>
        </is>
      </c>
      <c r="B41" s="30">
        <f>Assumptions!$B$35*(1+Assumptions!$B$32)^1</f>
        <v/>
      </c>
      <c r="C41" s="30">
        <f>Assumptions!$B$35*(1+Assumptions!$B$32)^2</f>
        <v/>
      </c>
      <c r="D41" s="30">
        <f>Assumptions!$B$35*(1+Assumptions!$B$32)^3</f>
        <v/>
      </c>
      <c r="E41" s="30">
        <f>Assumptions!$B$35*(1+Assumptions!$B$32)^4</f>
        <v/>
      </c>
      <c r="F41" s="30">
        <f>Assumptions!$B$35*(1+Assumptions!$B$32)^5</f>
        <v/>
      </c>
    </row>
    <row r="42">
      <c r="A42" s="3" t="inlineStr">
        <is>
          <t>Add: other income</t>
        </is>
      </c>
      <c r="B42" s="30">
        <f>Assumptions!$B$36*(1+Assumptions!$B$32)^1</f>
        <v/>
      </c>
      <c r="C42" s="30">
        <f>Assumptions!$B$36*(1+Assumptions!$B$32)^2</f>
        <v/>
      </c>
      <c r="D42" s="30">
        <f>Assumptions!$B$36*(1+Assumptions!$B$32)^3</f>
        <v/>
      </c>
      <c r="E42" s="30">
        <f>Assumptions!$B$36*(1+Assumptions!$B$32)^4</f>
        <v/>
      </c>
      <c r="F42" s="30">
        <f>Assumptions!$B$36*(1+Assumptions!$B$32)^5</f>
        <v/>
      </c>
    </row>
    <row r="43">
      <c r="A43" s="4" t="inlineStr">
        <is>
          <t>EBITDA</t>
        </is>
      </c>
      <c r="B43" s="32">
        <f>B37-B38-B39-B40-B41+B42</f>
        <v/>
      </c>
      <c r="C43" s="32">
        <f>C37-C38-C39-C40-C41+C42</f>
        <v/>
      </c>
      <c r="D43" s="32">
        <f>D37-D38-D39-D40-D41+D42</f>
        <v/>
      </c>
      <c r="E43" s="32">
        <f>E37-E38-E39-E40-E41+E42</f>
        <v/>
      </c>
      <c r="F43" s="32">
        <f>F37-F38-F39-F40-F41+F42</f>
        <v/>
      </c>
    </row>
    <row r="44">
      <c r="A44" s="3" t="inlineStr">
        <is>
          <t>EBITDA margin = EBITDA / revenue</t>
        </is>
      </c>
      <c r="B44" s="11">
        <f>B43/B37</f>
        <v/>
      </c>
      <c r="C44" s="11">
        <f>C43/C37</f>
        <v/>
      </c>
      <c r="D44" s="11">
        <f>D43/D37</f>
        <v/>
      </c>
      <c r="E44" s="11">
        <f>E43/E37</f>
        <v/>
      </c>
      <c r="F44" s="11">
        <f>F43/F37</f>
        <v/>
      </c>
    </row>
    <row r="45">
      <c r="A45" s="3" t="inlineStr">
        <is>
          <t>Less: depreciation and amortisation</t>
        </is>
      </c>
      <c r="B45" s="17">
        <f>Assumptions!$B$43*Assumptions!$B$48</f>
        <v/>
      </c>
      <c r="C45" s="17">
        <f>(Assumptions!$B$43+SUM(B49:B49)-SUM(B45:B45))*Assumptions!$B$48</f>
        <v/>
      </c>
      <c r="D45" s="17">
        <f>(Assumptions!$B$43+SUM(B49:C49)-SUM(B45:C45))*Assumptions!$B$48</f>
        <v/>
      </c>
      <c r="E45" s="17">
        <f>(Assumptions!$B$43+SUM(B49:D49)-SUM(B45:D45))*Assumptions!$B$48</f>
        <v/>
      </c>
      <c r="F45" s="17">
        <f>(Assumptions!$B$43+SUM(B49:E49)-SUM(B45:E45))*Assumptions!$B$48</f>
        <v/>
      </c>
    </row>
    <row r="46">
      <c r="A46" s="4" t="inlineStr">
        <is>
          <t>EBIT = EBITDA less depreciation and amortisation</t>
        </is>
      </c>
      <c r="B46" s="32">
        <f>B43-B45</f>
        <v/>
      </c>
      <c r="C46" s="32">
        <f>C43-C45</f>
        <v/>
      </c>
      <c r="D46" s="32">
        <f>D43-D45</f>
        <v/>
      </c>
      <c r="E46" s="32">
        <f>E43-E45</f>
        <v/>
      </c>
      <c r="F46" s="32">
        <f>F43-F45</f>
        <v/>
      </c>
    </row>
    <row r="47">
      <c r="A47" s="4" t="inlineStr">
        <is>
          <t>NOPAT = EBIT x (1 - tax rate)</t>
        </is>
      </c>
      <c r="B47" s="32">
        <f>B46*(1-Assumptions!$B$19)</f>
        <v/>
      </c>
      <c r="C47" s="32">
        <f>C46*(1-Assumptions!$B$19)</f>
        <v/>
      </c>
      <c r="D47" s="32">
        <f>D46*(1-Assumptions!$B$19)</f>
        <v/>
      </c>
      <c r="E47" s="32">
        <f>E46*(1-Assumptions!$B$19)</f>
        <v/>
      </c>
      <c r="F47" s="32">
        <f>F46*(1-Assumptions!$B$19)</f>
        <v/>
      </c>
    </row>
    <row r="48">
      <c r="A48" s="3" t="inlineStr">
        <is>
          <t>Add back: depreciation and amortisation</t>
        </is>
      </c>
      <c r="B48" s="17">
        <f>B45</f>
        <v/>
      </c>
      <c r="C48" s="17">
        <f>C45</f>
        <v/>
      </c>
      <c r="D48" s="17">
        <f>D45</f>
        <v/>
      </c>
      <c r="E48" s="17">
        <f>E45</f>
        <v/>
      </c>
      <c r="F48" s="17">
        <f>F45</f>
        <v/>
      </c>
    </row>
    <row r="49">
      <c r="A49" s="3" t="inlineStr">
        <is>
          <t>Less: capital expenditure</t>
        </is>
      </c>
      <c r="B49" s="17">
        <f>Assumptions!$B$41</f>
        <v/>
      </c>
      <c r="C49" s="17">
        <f>Assumptions!$B$42</f>
        <v/>
      </c>
      <c r="D49" s="17">
        <f>Assumptions!$B$42</f>
        <v/>
      </c>
      <c r="E49" s="17">
        <f>Assumptions!$B$42</f>
        <v/>
      </c>
      <c r="F49" s="17">
        <f>Assumptions!$B$42</f>
        <v/>
      </c>
    </row>
    <row r="50">
      <c r="A50" s="3" t="inlineStr">
        <is>
          <t>Less: increase in working capital</t>
        </is>
      </c>
      <c r="B50" s="30">
        <f>(B37*Assumptions!$B$38/365+(B38+B39)*Assumptions!$B$39/365-(B38+B39)*Assumptions!$B$40/365)-(5847.773*Assumptions!$B$38/365+3099*Assumptions!$B$39/365-3099*Assumptions!$B$40/365)</f>
        <v/>
      </c>
      <c r="C50" s="30">
        <f>(C37*Assumptions!$B$38/365+(C38+C39)*Assumptions!$B$39/365-(C38+C39)*Assumptions!$B$40/365)-(B37*Assumptions!$B$38/365+(B38+B39)*Assumptions!$B$39/365-(B38+B39)*Assumptions!$B$40/365)</f>
        <v/>
      </c>
      <c r="D50" s="30">
        <f>(D37*Assumptions!$B$38/365+(D38+D39)*Assumptions!$B$39/365-(D38+D39)*Assumptions!$B$40/365)-(C37*Assumptions!$B$38/365+(C38+C39)*Assumptions!$B$39/365-(C38+C39)*Assumptions!$B$40/365)</f>
        <v/>
      </c>
      <c r="E50" s="30">
        <f>(E37*Assumptions!$B$38/365+(E38+E39)*Assumptions!$B$39/365-(E38+E39)*Assumptions!$B$40/365)-(D37*Assumptions!$B$38/365+(D38+D39)*Assumptions!$B$39/365-(D38+D39)*Assumptions!$B$40/365)</f>
        <v/>
      </c>
      <c r="F50" s="30">
        <f>(F37*Assumptions!$B$38/365+(F38+F39)*Assumptions!$B$39/365-(F38+F39)*Assumptions!$B$40/365)-(E37*Assumptions!$B$38/365+(E38+E39)*Assumptions!$B$39/365-(E38+E39)*Assumptions!$B$40/365)</f>
        <v/>
      </c>
    </row>
    <row r="51">
      <c r="A51" s="4" t="inlineStr">
        <is>
          <t>Free cash flow to the firm</t>
        </is>
      </c>
      <c r="B51" s="32">
        <f>B47+B48-B49-B50</f>
        <v/>
      </c>
      <c r="C51" s="32">
        <f>C47+C48-C49-C50</f>
        <v/>
      </c>
      <c r="D51" s="32">
        <f>D47+D48-D49-D50</f>
        <v/>
      </c>
      <c r="E51" s="32">
        <f>E47+E48-E49-E50</f>
        <v/>
      </c>
      <c r="F51" s="32">
        <f>F47+F48-F49-F50</f>
        <v/>
      </c>
    </row>
    <row r="52">
      <c r="A52" s="3" t="inlineStr">
        <is>
          <t>Discount rate applied</t>
        </is>
      </c>
      <c r="B52" s="12">
        <f>'Fundamental Valuation'!$B$29</f>
        <v/>
      </c>
      <c r="C52" s="12">
        <f>'Fundamental Valuation'!$B$29</f>
        <v/>
      </c>
      <c r="D52" s="12">
        <f>'Fundamental Valuation'!$B$29</f>
        <v/>
      </c>
      <c r="E52" s="12">
        <f>'Fundamental Valuation'!$B$29</f>
        <v/>
      </c>
      <c r="F52" s="12">
        <f>'Fundamental Valuation'!$B$29</f>
        <v/>
      </c>
    </row>
    <row r="53">
      <c r="A53" s="3" t="inlineStr">
        <is>
          <t>Discount factor</t>
        </is>
      </c>
      <c r="B53" s="38">
        <f>1/(1+B52)^1</f>
        <v/>
      </c>
      <c r="C53" s="38">
        <f>1/(1+C52)^2</f>
        <v/>
      </c>
      <c r="D53" s="38">
        <f>1/(1+D52)^3</f>
        <v/>
      </c>
      <c r="E53" s="38">
        <f>1/(1+E52)^4</f>
        <v/>
      </c>
      <c r="F53" s="38">
        <f>1/(1+F52)^5</f>
        <v/>
      </c>
    </row>
    <row r="54">
      <c r="A54" s="4" t="inlineStr">
        <is>
          <t>Present value of free cash flow to the firm</t>
        </is>
      </c>
      <c r="B54" s="32">
        <f>B51*B53</f>
        <v/>
      </c>
      <c r="C54" s="32">
        <f>C51*C53</f>
        <v/>
      </c>
      <c r="D54" s="32">
        <f>D51*D53</f>
        <v/>
      </c>
      <c r="E54" s="32">
        <f>E51*E53</f>
        <v/>
      </c>
      <c r="F54" s="32">
        <f>F51*F53</f>
        <v/>
      </c>
    </row>
    <row r="56">
      <c r="A56" s="5" t="inlineStr">
        <is>
          <t>TERMINAL BLOCK — PROLONGED DISRUPTION</t>
        </is>
      </c>
      <c r="B56" s="5" t="n"/>
      <c r="C56" s="5" t="n"/>
      <c r="D56" s="5" t="n"/>
      <c r="E56" s="5" t="n"/>
      <c r="F56" s="5" t="n"/>
      <c r="G56" s="5" t="n"/>
      <c r="H56" s="5" t="n"/>
      <c r="I56" s="5" t="n"/>
      <c r="J56" s="5" t="n"/>
    </row>
    <row r="57">
      <c r="A57" s="3" t="inlineStr">
        <is>
          <t>Final-year NOPAT</t>
        </is>
      </c>
      <c r="B57" s="17">
        <f>F47</f>
        <v/>
      </c>
    </row>
    <row r="58">
      <c r="A58" s="3" t="inlineStr">
        <is>
          <t>Terminal NOPAT = final-year NOPAT x (1 + growth)</t>
        </is>
      </c>
      <c r="B58" s="17">
        <f>B57*(1+Assumptions!$B$51)</f>
        <v/>
      </c>
    </row>
    <row r="59">
      <c r="A59" s="3" t="inlineStr">
        <is>
          <t>Reinvestment rate = growth / return on capital</t>
        </is>
      </c>
      <c r="B59" s="11">
        <f>Assumptions!$B$51/Assumptions!$B$52</f>
        <v/>
      </c>
    </row>
    <row r="60">
      <c r="A60" s="3" t="inlineStr">
        <is>
          <t>Terminal free cash flow = NOPAT x (1 - reinvestment rate)</t>
        </is>
      </c>
      <c r="B60" s="17">
        <f>B58*(1-B59)</f>
        <v/>
      </c>
    </row>
    <row r="61">
      <c r="A61" s="3" t="inlineStr">
        <is>
          <t>Terminal value = terminal cash flow / (cost of capital - growth)</t>
        </is>
      </c>
      <c r="B61" s="17">
        <f>B60/(F52-Assumptions!$B$51)</f>
        <v/>
      </c>
    </row>
    <row r="62">
      <c r="A62" s="4" t="inlineStr">
        <is>
          <t>Present value of the terminal value</t>
        </is>
      </c>
      <c r="B62" s="32">
        <f>B61*F53</f>
        <v/>
      </c>
    </row>
    <row r="63">
      <c r="A63" s="3" t="inlineStr">
        <is>
          <t>Present value of the explicit five years</t>
        </is>
      </c>
      <c r="B63" s="17">
        <f>SUM(B54:F54)</f>
        <v/>
      </c>
    </row>
    <row r="64">
      <c r="A64" s="4" t="inlineStr">
        <is>
          <t>Enterprise value of the owned business</t>
        </is>
      </c>
      <c r="B64" s="32">
        <f>B63+B62</f>
        <v/>
      </c>
    </row>
    <row r="66">
      <c r="A66" s="5" t="inlineStr">
        <is>
          <t>VALUE PER SHARE — FOUR READINGS, NEVER AVERAGED</t>
        </is>
      </c>
      <c r="B66" s="5" t="n"/>
      <c r="C66" s="5" t="n"/>
      <c r="D66" s="5" t="n"/>
      <c r="E66" s="5" t="n"/>
      <c r="F66" s="5" t="n"/>
      <c r="G66" s="5" t="n"/>
      <c r="H66" s="5" t="n"/>
      <c r="I66" s="5" t="n"/>
      <c r="J66" s="5" t="n"/>
    </row>
    <row r="67">
      <c r="A67" s="7" t="inlineStr">
        <is>
          <t>Construction and beta</t>
        </is>
      </c>
      <c r="B67" s="7" t="inlineStr">
        <is>
          <t>Enterprise value</t>
        </is>
      </c>
      <c r="C67" s="7" t="inlineStr">
        <is>
          <t>Equity value</t>
        </is>
      </c>
      <c r="D67" s="7" t="inlineStr">
        <is>
          <t>Value per share (USD)</t>
        </is>
      </c>
      <c r="E67" s="7" t="inlineStr">
        <is>
          <t>Terminal value % of EV</t>
        </is>
      </c>
      <c r="F67" s="7" t="inlineStr">
        <is>
          <t>Value per share (AED)</t>
        </is>
      </c>
    </row>
    <row r="68">
      <c r="A68" s="3" t="inlineStr">
        <is>
          <t>Normalisation, own-stock beta</t>
        </is>
      </c>
      <c r="B68" s="17">
        <f>B33+289.69167627572995</f>
        <v/>
      </c>
      <c r="C68" s="17">
        <f>B68-Assumptions!$B$53-Assumptions!$B$54-Assumptions!$B$55</f>
        <v/>
      </c>
      <c r="D68" s="19">
        <f>C68/Assumptions!$B$7</f>
        <v/>
      </c>
      <c r="E68" s="11">
        <f>B31/B68</f>
        <v/>
      </c>
      <c r="F68" s="21">
        <f>D68*Assumptions!$B$6</f>
        <v/>
      </c>
    </row>
    <row r="69">
      <c r="A69" s="3" t="inlineStr">
        <is>
          <t>Normalisation, sector bottom-up beta</t>
        </is>
      </c>
      <c r="B69" s="18">
        <f>15622.840225974325</f>
        <v/>
      </c>
      <c r="C69" s="17">
        <f>B69-Assumptions!$B$53-Assumptions!$B$54-Assumptions!$B$55</f>
        <v/>
      </c>
      <c r="D69" s="19">
        <f>C69/Assumptions!$B$7</f>
        <v/>
      </c>
      <c r="E69" s="9">
        <f>0.6597358609617034</f>
        <v/>
      </c>
      <c r="F69" s="21">
        <f>D69*Assumptions!$B$6</f>
        <v/>
      </c>
    </row>
    <row r="70">
      <c r="A70" s="3" t="inlineStr">
        <is>
          <t>Prolonged disruption, own-stock beta</t>
        </is>
      </c>
      <c r="B70" s="17">
        <f>B64+227.82184139446377</f>
        <v/>
      </c>
      <c r="C70" s="17">
        <f>B70-Assumptions!$B$53-Assumptions!$B$54-Assumptions!$B$55</f>
        <v/>
      </c>
      <c r="D70" s="19">
        <f>C70/Assumptions!$B$7</f>
        <v/>
      </c>
      <c r="E70" s="11">
        <f>B62/B70</f>
        <v/>
      </c>
      <c r="F70" s="21">
        <f>D70*Assumptions!$B$6</f>
        <v/>
      </c>
    </row>
    <row r="71">
      <c r="A71" s="3" t="inlineStr">
        <is>
          <t>Prolonged disruption, sector bottom-up beta</t>
        </is>
      </c>
      <c r="B71" s="18">
        <f>14256.01620520997</f>
        <v/>
      </c>
      <c r="C71" s="17">
        <f>B71-Assumptions!$B$53-Assumptions!$B$54-Assumptions!$B$55</f>
        <v/>
      </c>
      <c r="D71" s="19">
        <f>C71/Assumptions!$B$7</f>
        <v/>
      </c>
      <c r="E71" s="9">
        <f>0.7043616097878573</f>
        <v/>
      </c>
      <c r="F71" s="21">
        <f>D71*Assumptions!$B$6</f>
        <v/>
      </c>
    </row>
    <row r="72">
      <c r="A72" s="6" t="inlineStr">
        <is>
          <t>The sector-beta enterprise values are a complete re-solve of the same waterfall at the other cost of capital — a whole-model re-run, so they are carried as values rather than as a second live chain, and they do not redraw when a driver changes. The bridge from enterprise value to a value per share is a live formula in every row.</t>
        </is>
      </c>
    </row>
  </sheetData>
  <mergeCells count="1">
    <mergeCell ref="A72:I7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Income statement — three audited years and five forecast years</t>
        </is>
      </c>
      <c r="B1" s="2" t="n"/>
      <c r="C1" s="2" t="n"/>
      <c r="D1" s="2" t="n"/>
      <c r="E1" s="2" t="n"/>
      <c r="F1" s="2" t="n"/>
      <c r="G1" s="2" t="n"/>
      <c r="H1" s="2" t="n"/>
      <c r="I1" s="2" t="n"/>
      <c r="J1" s="2" t="n"/>
    </row>
    <row r="2">
      <c r="A2" s="6" t="inlineStr">
        <is>
          <t>USD million. Historical columns are the audited figures; forecast columns are formulas from the waterfall.</t>
        </is>
      </c>
    </row>
    <row r="4">
      <c r="A4" s="7" t="inlineStr"/>
      <c r="B4" s="7" t="inlineStr">
        <is>
          <t>FY2023</t>
        </is>
      </c>
      <c r="C4" s="7" t="inlineStr">
        <is>
          <t>FY2024</t>
        </is>
      </c>
      <c r="D4" s="7" t="inlineStr">
        <is>
          <t>FY2025</t>
        </is>
      </c>
      <c r="E4" s="7" t="inlineStr">
        <is>
          <t>2026</t>
        </is>
      </c>
      <c r="F4" s="7" t="inlineStr">
        <is>
          <t>2027</t>
        </is>
      </c>
      <c r="G4" s="7" t="inlineStr">
        <is>
          <t>2028</t>
        </is>
      </c>
      <c r="H4" s="7" t="inlineStr">
        <is>
          <t>2029</t>
        </is>
      </c>
      <c r="I4" s="7" t="inlineStr">
        <is>
          <t>2030</t>
        </is>
      </c>
    </row>
    <row r="5">
      <c r="A5" s="4" t="inlineStr">
        <is>
          <t>Revenue</t>
        </is>
      </c>
      <c r="B5" s="25" t="n">
        <v>5791.345</v>
      </c>
      <c r="C5" s="25" t="n">
        <v>6026.123000000001</v>
      </c>
      <c r="D5" s="25" t="n">
        <v>5847.773</v>
      </c>
      <c r="E5" s="18">
        <f>'DCF'!B6</f>
        <v/>
      </c>
      <c r="F5" s="18">
        <f>'DCF'!C6</f>
        <v/>
      </c>
      <c r="G5" s="18">
        <f>'DCF'!D6</f>
        <v/>
      </c>
      <c r="H5" s="18">
        <f>'DCF'!E6</f>
        <v/>
      </c>
      <c r="I5" s="18">
        <f>'DCF'!F6</f>
        <v/>
      </c>
    </row>
    <row r="6">
      <c r="A6" s="3" t="inlineStr">
        <is>
          <t>Cost of sales</t>
        </is>
      </c>
      <c r="B6" s="25" t="n">
        <v>3627.383</v>
      </c>
      <c r="C6" s="25" t="n">
        <v>3490.989</v>
      </c>
      <c r="D6" s="25" t="n">
        <v>3565.985</v>
      </c>
      <c r="E6" s="18">
        <f>'DCF'!B7+'DCF'!B8+'DCF'!B14</f>
        <v/>
      </c>
      <c r="F6" s="18">
        <f>'DCF'!C7+'DCF'!C8+'DCF'!C14</f>
        <v/>
      </c>
      <c r="G6" s="18">
        <f>'DCF'!D7+'DCF'!D8+'DCF'!D14</f>
        <v/>
      </c>
      <c r="H6" s="18">
        <f>'DCF'!E7+'DCF'!E8+'DCF'!E14</f>
        <v/>
      </c>
      <c r="I6" s="18">
        <f>'DCF'!F7+'DCF'!F8+'DCF'!F14</f>
        <v/>
      </c>
    </row>
    <row r="7">
      <c r="A7" s="4" t="inlineStr">
        <is>
          <t>Gross profit</t>
        </is>
      </c>
      <c r="B7" s="25" t="n">
        <v>2163.962</v>
      </c>
      <c r="C7" s="25" t="n">
        <v>2535.134</v>
      </c>
      <c r="D7" s="25" t="n">
        <v>2281.788</v>
      </c>
      <c r="E7" s="32">
        <f>E5-E6</f>
        <v/>
      </c>
      <c r="F7" s="32">
        <f>F5-F6</f>
        <v/>
      </c>
      <c r="G7" s="32">
        <f>G5-G6</f>
        <v/>
      </c>
      <c r="H7" s="32">
        <f>H5-H6</f>
        <v/>
      </c>
      <c r="I7" s="32">
        <f>I5-I6</f>
        <v/>
      </c>
    </row>
    <row r="8">
      <c r="A8" s="3" t="inlineStr">
        <is>
          <t>Selling and distribution</t>
        </is>
      </c>
      <c r="B8" s="25" t="n">
        <v>399.495</v>
      </c>
      <c r="C8" s="25" t="n">
        <v>471.963</v>
      </c>
      <c r="D8" s="25" t="n">
        <v>416.028</v>
      </c>
      <c r="E8" s="18">
        <f>'DCF'!B9</f>
        <v/>
      </c>
      <c r="F8" s="18">
        <f>'DCF'!C9</f>
        <v/>
      </c>
      <c r="G8" s="18">
        <f>'DCF'!D9</f>
        <v/>
      </c>
      <c r="H8" s="18">
        <f>'DCF'!E9</f>
        <v/>
      </c>
      <c r="I8" s="18">
        <f>'DCF'!F9</f>
        <v/>
      </c>
    </row>
    <row r="9">
      <c r="A9" s="3" t="inlineStr">
        <is>
          <t>General and administrative</t>
        </is>
      </c>
      <c r="B9" s="25" t="n">
        <v>182.915</v>
      </c>
      <c r="C9" s="25" t="n">
        <v>193.121</v>
      </c>
      <c r="D9" s="25" t="n">
        <v>196.577</v>
      </c>
      <c r="E9" s="37">
        <f>'DCF'!B10</f>
        <v/>
      </c>
      <c r="F9" s="37">
        <f>'DCF'!C10</f>
        <v/>
      </c>
      <c r="G9" s="37">
        <f>'DCF'!D10</f>
        <v/>
      </c>
      <c r="H9" s="37">
        <f>'DCF'!E10</f>
        <v/>
      </c>
      <c r="I9" s="37">
        <f>'DCF'!F10</f>
        <v/>
      </c>
    </row>
    <row r="10">
      <c r="A10" s="3" t="inlineStr">
        <is>
          <t>Other income</t>
        </is>
      </c>
      <c r="B10" s="29" t="n">
        <v>17.35</v>
      </c>
      <c r="C10" s="29" t="n">
        <v>53.951</v>
      </c>
      <c r="D10" s="29" t="n">
        <v>26.321</v>
      </c>
      <c r="E10" s="37">
        <f>'DCF'!B11</f>
        <v/>
      </c>
      <c r="F10" s="37">
        <f>'DCF'!C11</f>
        <v/>
      </c>
      <c r="G10" s="37">
        <f>'DCF'!D11</f>
        <v/>
      </c>
      <c r="H10" s="37">
        <f>'DCF'!E11</f>
        <v/>
      </c>
      <c r="I10" s="37">
        <f>'DCF'!F11</f>
        <v/>
      </c>
    </row>
    <row r="11">
      <c r="A11" s="4" t="inlineStr">
        <is>
          <t>Operating profit (EBIT)</t>
        </is>
      </c>
      <c r="B11" s="25" t="n">
        <v>1597.171</v>
      </c>
      <c r="C11" s="25" t="n">
        <v>1920.919</v>
      </c>
      <c r="D11" s="25" t="n">
        <v>1694.063</v>
      </c>
      <c r="E11" s="32">
        <f>E7-E8-E9+E10</f>
        <v/>
      </c>
      <c r="F11" s="32">
        <f>F7-F8-F9+F10</f>
        <v/>
      </c>
      <c r="G11" s="32">
        <f>G7-G8-G9+G10</f>
        <v/>
      </c>
      <c r="H11" s="32">
        <f>H7-H8-H9+H10</f>
        <v/>
      </c>
      <c r="I11" s="32">
        <f>I7-I8-I9+I10</f>
        <v/>
      </c>
    </row>
    <row r="12">
      <c r="A12" s="3" t="inlineStr">
        <is>
          <t>Depreciation and amortisation</t>
        </is>
      </c>
      <c r="B12" s="25" t="n">
        <v>572.169</v>
      </c>
      <c r="C12" s="25" t="n">
        <v>552.65</v>
      </c>
      <c r="D12" s="25" t="n">
        <v>476.314</v>
      </c>
      <c r="E12" s="18">
        <f>'DCF'!B14</f>
        <v/>
      </c>
      <c r="F12" s="18">
        <f>'DCF'!C14</f>
        <v/>
      </c>
      <c r="G12" s="18">
        <f>'DCF'!D14</f>
        <v/>
      </c>
      <c r="H12" s="18">
        <f>'DCF'!E14</f>
        <v/>
      </c>
      <c r="I12" s="18">
        <f>'DCF'!F14</f>
        <v/>
      </c>
    </row>
    <row r="13">
      <c r="A13" s="4" t="inlineStr">
        <is>
          <t>EBITDA</t>
        </is>
      </c>
      <c r="B13" s="25" t="n">
        <v>2169.34</v>
      </c>
      <c r="C13" s="25" t="n">
        <v>2473.569</v>
      </c>
      <c r="D13" s="25" t="n">
        <v>2170.377</v>
      </c>
      <c r="E13" s="32">
        <f>E11+E12</f>
        <v/>
      </c>
      <c r="F13" s="32">
        <f>F11+F12</f>
        <v/>
      </c>
      <c r="G13" s="32">
        <f>G11+G12</f>
        <v/>
      </c>
      <c r="H13" s="32">
        <f>H11+H12</f>
        <v/>
      </c>
      <c r="I13" s="32">
        <f>I11+I12</f>
        <v/>
      </c>
    </row>
    <row r="14">
      <c r="A14" s="3" t="inlineStr">
        <is>
          <t>Net finance cost</t>
        </is>
      </c>
      <c r="B14" s="29" t="n">
        <v>196.168</v>
      </c>
      <c r="C14" s="29" t="n">
        <v>175.61</v>
      </c>
      <c r="D14" s="29" t="n">
        <v>154.219</v>
      </c>
      <c r="E14" s="30">
        <f>Assumptions!$B$53*Assumptions!$B$18</f>
        <v/>
      </c>
      <c r="F14" s="30">
        <f>Assumptions!$B$53*Assumptions!$B$18</f>
        <v/>
      </c>
      <c r="G14" s="30">
        <f>Assumptions!$B$53*Assumptions!$B$18</f>
        <v/>
      </c>
      <c r="H14" s="30">
        <f>Assumptions!$B$53*Assumptions!$B$18</f>
        <v/>
      </c>
      <c r="I14" s="30">
        <f>Assumptions!$B$53*Assumptions!$B$18</f>
        <v/>
      </c>
    </row>
    <row r="15">
      <c r="A15" s="4" t="inlineStr">
        <is>
          <t>Profit before tax</t>
        </is>
      </c>
      <c r="B15" s="25" t="n">
        <v>1401.003</v>
      </c>
      <c r="C15" s="25" t="n">
        <v>1745.309</v>
      </c>
      <c r="D15" s="25" t="n">
        <v>1539.844</v>
      </c>
      <c r="E15" s="32">
        <f>E11-E14</f>
        <v/>
      </c>
      <c r="F15" s="32">
        <f>F11-F14</f>
        <v/>
      </c>
      <c r="G15" s="32">
        <f>G11-G14</f>
        <v/>
      </c>
      <c r="H15" s="32">
        <f>H11-H14</f>
        <v/>
      </c>
      <c r="I15" s="32">
        <f>I11-I14</f>
        <v/>
      </c>
    </row>
    <row r="16">
      <c r="A16" s="3" t="inlineStr">
        <is>
          <t>Tax</t>
        </is>
      </c>
      <c r="B16" s="25" t="n">
        <v>400.333</v>
      </c>
      <c r="C16" s="25" t="n">
        <v>506.361</v>
      </c>
      <c r="D16" s="25" t="n">
        <v>440.714</v>
      </c>
      <c r="E16" s="17">
        <f>E15*Assumptions!$B$19</f>
        <v/>
      </c>
      <c r="F16" s="17">
        <f>F15*Assumptions!$B$19</f>
        <v/>
      </c>
      <c r="G16" s="17">
        <f>G15*Assumptions!$B$19</f>
        <v/>
      </c>
      <c r="H16" s="17">
        <f>H15*Assumptions!$B$19</f>
        <v/>
      </c>
      <c r="I16" s="17">
        <f>I15*Assumptions!$B$19</f>
        <v/>
      </c>
    </row>
    <row r="17">
      <c r="A17" s="4" t="inlineStr">
        <is>
          <t>Profit after tax</t>
        </is>
      </c>
      <c r="B17" s="25" t="n">
        <v>1000.67</v>
      </c>
      <c r="C17" s="25" t="n">
        <v>1238.948</v>
      </c>
      <c r="D17" s="25" t="n">
        <v>1099.13</v>
      </c>
      <c r="E17" s="32">
        <f>E15-E16</f>
        <v/>
      </c>
      <c r="F17" s="32">
        <f>F15-F16</f>
        <v/>
      </c>
      <c r="G17" s="32">
        <f>G15-G16</f>
        <v/>
      </c>
      <c r="H17" s="32">
        <f>H15-H16</f>
        <v/>
      </c>
      <c r="I17" s="32">
        <f>I15-I16</f>
        <v/>
      </c>
    </row>
    <row r="19">
      <c r="A19" s="6" t="inlineStr">
        <is>
          <t>The forecast operating lines are the same cells as the cash-flow waterfall, linked rather than restated. The finance cost below EBIT is the net debt balance at the marginal cost of debt — it does not enter free cash flow to the firm, which is computed before financing.</t>
        </is>
      </c>
    </row>
  </sheetData>
  <mergeCells count="1">
    <mergeCell ref="A19:J1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Balance sheet — three audited years and five forecast years</t>
        </is>
      </c>
      <c r="B1" s="2" t="n"/>
      <c r="C1" s="2" t="n"/>
      <c r="D1" s="2" t="n"/>
      <c r="E1" s="2" t="n"/>
      <c r="F1" s="2" t="n"/>
      <c r="G1" s="2" t="n"/>
      <c r="H1" s="2" t="n"/>
      <c r="I1" s="2" t="n"/>
      <c r="J1" s="2" t="n"/>
    </row>
    <row r="2">
      <c r="A2" s="6" t="inlineStr">
        <is>
          <t>USD million. The forecast rolls property, working capital and net debt forward from the drivers; nothing is plugged.</t>
        </is>
      </c>
    </row>
    <row r="4">
      <c r="A4" s="7" t="inlineStr"/>
      <c r="B4" s="7" t="inlineStr">
        <is>
          <t>FY2023</t>
        </is>
      </c>
      <c r="C4" s="7" t="inlineStr">
        <is>
          <t>FY2024</t>
        </is>
      </c>
      <c r="D4" s="7" t="inlineStr">
        <is>
          <t>FY2025</t>
        </is>
      </c>
      <c r="E4" s="7" t="inlineStr">
        <is>
          <t>2026</t>
        </is>
      </c>
      <c r="F4" s="7" t="inlineStr">
        <is>
          <t>2027</t>
        </is>
      </c>
      <c r="G4" s="7" t="inlineStr">
        <is>
          <t>2028</t>
        </is>
      </c>
      <c r="H4" s="7" t="inlineStr">
        <is>
          <t>2029</t>
        </is>
      </c>
      <c r="I4" s="7" t="inlineStr">
        <is>
          <t>2030</t>
        </is>
      </c>
    </row>
    <row r="5">
      <c r="A5" s="3" t="inlineStr">
        <is>
          <t>Property, plant and equipment</t>
        </is>
      </c>
      <c r="B5" s="25" t="n">
        <v>6677.355</v>
      </c>
      <c r="C5" s="25" t="n">
        <v>6292.502</v>
      </c>
      <c r="D5" s="25" t="n">
        <v>6082.232</v>
      </c>
      <c r="E5" s="17">
        <f>D5+'DCF'!B18-'DCF'!B14</f>
        <v/>
      </c>
      <c r="F5" s="17">
        <f>E5+'DCF'!C18-'DCF'!C14</f>
        <v/>
      </c>
      <c r="G5" s="17">
        <f>F5+'DCF'!D18-'DCF'!D14</f>
        <v/>
      </c>
      <c r="H5" s="17">
        <f>G5+'DCF'!E18-'DCF'!E14</f>
        <v/>
      </c>
      <c r="I5" s="17">
        <f>H5+'DCF'!F18-'DCF'!F14</f>
        <v/>
      </c>
    </row>
    <row r="6">
      <c r="A6" s="3" t="inlineStr">
        <is>
          <t>Trade receivables</t>
        </is>
      </c>
      <c r="B6" s="18">
        <f>'Income Statement'!B5*50.21094926998823/365</f>
        <v/>
      </c>
      <c r="C6" s="18">
        <f>'Income Statement'!C5*52.015254252194985/365</f>
        <v/>
      </c>
      <c r="D6" s="18">
        <f>'Income Statement'!D5*50.44766700075396/365</f>
        <v/>
      </c>
      <c r="E6" s="18">
        <f>'Income Statement'!E5*Assumptions!$B$38/365</f>
        <v/>
      </c>
      <c r="F6" s="18">
        <f>'Income Statement'!F5*Assumptions!$B$38/365</f>
        <v/>
      </c>
      <c r="G6" s="18">
        <f>'Income Statement'!G5*Assumptions!$B$38/365</f>
        <v/>
      </c>
      <c r="H6" s="18">
        <f>'Income Statement'!H5*Assumptions!$B$38/365</f>
        <v/>
      </c>
      <c r="I6" s="18">
        <f>'Income Statement'!I5*Assumptions!$B$38/365</f>
        <v/>
      </c>
    </row>
    <row r="7">
      <c r="A7" s="3" t="inlineStr">
        <is>
          <t>Inventory</t>
        </is>
      </c>
      <c r="B7" s="25" t="n">
        <v>645.184</v>
      </c>
      <c r="C7" s="25" t="n">
        <v>640.505</v>
      </c>
      <c r="D7" s="25" t="n">
        <v>523.702</v>
      </c>
      <c r="E7" s="18">
        <f>('DCF'!B7+'DCF'!B8)*Assumptions!$B$39/365</f>
        <v/>
      </c>
      <c r="F7" s="18">
        <f>('DCF'!C7+'DCF'!C8)*Assumptions!$B$39/365</f>
        <v/>
      </c>
      <c r="G7" s="18">
        <f>('DCF'!D7+'DCF'!D8)*Assumptions!$B$39/365</f>
        <v/>
      </c>
      <c r="H7" s="18">
        <f>('DCF'!E7+'DCF'!E8)*Assumptions!$B$39/365</f>
        <v/>
      </c>
      <c r="I7" s="18">
        <f>('DCF'!F7+'DCF'!F8)*Assumptions!$B$39/365</f>
        <v/>
      </c>
    </row>
    <row r="8">
      <c r="A8" s="3" t="inlineStr">
        <is>
          <t>Cash and equivalents</t>
        </is>
      </c>
      <c r="B8" s="25" t="n">
        <v>353.921</v>
      </c>
      <c r="C8" s="25" t="n">
        <v>418.506</v>
      </c>
      <c r="D8" s="25" t="n">
        <v>426.901</v>
      </c>
      <c r="E8" s="17">
        <f>E11-E14</f>
        <v/>
      </c>
      <c r="F8" s="17">
        <f>F11-F14</f>
        <v/>
      </c>
      <c r="G8" s="17">
        <f>G11-G14</f>
        <v/>
      </c>
      <c r="H8" s="17">
        <f>H11-H14</f>
        <v/>
      </c>
      <c r="I8" s="17">
        <f>I11-I14</f>
        <v/>
      </c>
    </row>
    <row r="9">
      <c r="A9" s="4" t="inlineStr">
        <is>
          <t>Total assets (memo: audited)</t>
        </is>
      </c>
      <c r="B9" s="25" t="n">
        <v>8943.896000000001</v>
      </c>
      <c r="C9" s="25" t="n">
        <v>8707.465</v>
      </c>
      <c r="D9" s="25" t="n">
        <v>8489.103999999999</v>
      </c>
      <c r="E9" s="32">
        <f>E5+E6+E7+E8</f>
        <v/>
      </c>
      <c r="F9" s="32">
        <f>F5+F6+F7+F8</f>
        <v/>
      </c>
      <c r="G9" s="32">
        <f>G5+G6+G7+G8</f>
        <v/>
      </c>
      <c r="H9" s="32">
        <f>H5+H6+H7+H8</f>
        <v/>
      </c>
      <c r="I9" s="32">
        <f>I5+I6+I7+I8</f>
        <v/>
      </c>
    </row>
    <row r="10">
      <c r="A10" s="3" t="inlineStr">
        <is>
          <t>Trade payables</t>
        </is>
      </c>
      <c r="B10" s="18">
        <f>'Income Statement'!B6*88.08249776767437/365</f>
        <v/>
      </c>
      <c r="C10" s="18">
        <f>'Income Statement'!C6*91.68628145204697/365</f>
        <v/>
      </c>
      <c r="D10" s="18">
        <f>'Income Statement'!D6*97.71948844428678/365</f>
        <v/>
      </c>
      <c r="E10" s="18">
        <f>('DCF'!B7+'DCF'!B8)*Assumptions!$B$40/365</f>
        <v/>
      </c>
      <c r="F10" s="18">
        <f>('DCF'!C7+'DCF'!C8)*Assumptions!$B$40/365</f>
        <v/>
      </c>
      <c r="G10" s="18">
        <f>('DCF'!D7+'DCF'!D8)*Assumptions!$B$40/365</f>
        <v/>
      </c>
      <c r="H10" s="18">
        <f>('DCF'!E7+'DCF'!E8)*Assumptions!$B$40/365</f>
        <v/>
      </c>
      <c r="I10" s="18">
        <f>('DCF'!F7+'DCF'!F8)*Assumptions!$B$40/365</f>
        <v/>
      </c>
    </row>
    <row r="11">
      <c r="A11" s="3" t="inlineStr">
        <is>
          <t>Borrowings</t>
        </is>
      </c>
      <c r="B11" s="25" t="n">
        <v>3140.725</v>
      </c>
      <c r="C11" s="25" t="n">
        <v>2944.1</v>
      </c>
      <c r="D11" s="25" t="n">
        <v>2957.73</v>
      </c>
      <c r="E11" s="18">
        <f>'Balance Sheet'!D11</f>
        <v/>
      </c>
      <c r="F11" s="18">
        <f>'Balance Sheet'!D11</f>
        <v/>
      </c>
      <c r="G11" s="18">
        <f>'Balance Sheet'!D11</f>
        <v/>
      </c>
      <c r="H11" s="18">
        <f>'Balance Sheet'!D11</f>
        <v/>
      </c>
      <c r="I11" s="18">
        <f>'Balance Sheet'!D11</f>
        <v/>
      </c>
    </row>
    <row r="12">
      <c r="A12" s="4" t="inlineStr">
        <is>
          <t>Equity</t>
        </is>
      </c>
      <c r="B12" s="25" t="n">
        <v>4532.482</v>
      </c>
      <c r="C12" s="25" t="n">
        <v>4462.726</v>
      </c>
      <c r="D12" s="25" t="n">
        <v>4088.85</v>
      </c>
      <c r="E12" s="32">
        <f>D12+'Income Statement'!E17-0.044111640571817566*Assumptions!$B$7</f>
        <v/>
      </c>
      <c r="F12" s="32">
        <f>E12+'Income Statement'!F17-0.044111640571817566*Assumptions!$B$7</f>
        <v/>
      </c>
      <c r="G12" s="32">
        <f>F12+'Income Statement'!G17-0.044111640571817566*Assumptions!$B$7</f>
        <v/>
      </c>
      <c r="H12" s="32">
        <f>G12+'Income Statement'!H17-0.044111640571817566*Assumptions!$B$7</f>
        <v/>
      </c>
      <c r="I12" s="32">
        <f>H12+'Income Statement'!I17-0.044111640571817566*Assumptions!$B$7</f>
        <v/>
      </c>
    </row>
    <row r="13">
      <c r="A13" s="4" t="inlineStr">
        <is>
          <t>Net working capital</t>
        </is>
      </c>
      <c r="B13" s="32">
        <f>B6+B7-B10</f>
        <v/>
      </c>
      <c r="C13" s="32">
        <f>C6+C7-C10</f>
        <v/>
      </c>
      <c r="D13" s="32">
        <f>D6+D7-D10</f>
        <v/>
      </c>
      <c r="E13" s="32">
        <f>E6+E7-E10</f>
        <v/>
      </c>
      <c r="F13" s="32">
        <f>F6+F7-F10</f>
        <v/>
      </c>
      <c r="G13" s="32">
        <f>G6+G7-G10</f>
        <v/>
      </c>
      <c r="H13" s="32">
        <f>H6+H7-H10</f>
        <v/>
      </c>
      <c r="I13" s="32">
        <f>I6+I7-I10</f>
        <v/>
      </c>
    </row>
    <row r="14">
      <c r="A14" s="4" t="inlineStr">
        <is>
          <t>Net debt</t>
        </is>
      </c>
      <c r="B14" s="32">
        <f>B11-B8</f>
        <v/>
      </c>
      <c r="C14" s="32">
        <f>C11-C8</f>
        <v/>
      </c>
      <c r="D14" s="32">
        <f>D11-D8</f>
        <v/>
      </c>
      <c r="E14" s="32">
        <f>D14-('DCF'!B20-Assumptions!$B$53*Assumptions!$B$18*(1-Assumptions!$B$19))+0.044111640571817566*Assumptions!$B$7</f>
        <v/>
      </c>
      <c r="F14" s="32">
        <f>E14-('DCF'!C20-Assumptions!$B$53*Assumptions!$B$18*(1-Assumptions!$B$19))+0.044111640571817566*Assumptions!$B$7</f>
        <v/>
      </c>
      <c r="G14" s="32">
        <f>F14-('DCF'!D20-Assumptions!$B$53*Assumptions!$B$18*(1-Assumptions!$B$19))+0.044111640571817566*Assumptions!$B$7</f>
        <v/>
      </c>
      <c r="H14" s="32">
        <f>G14-('DCF'!E20-Assumptions!$B$53*Assumptions!$B$18*(1-Assumptions!$B$19))+0.044111640571817566*Assumptions!$B$7</f>
        <v/>
      </c>
      <c r="I14" s="32">
        <f>H14-('DCF'!F20-Assumptions!$B$53*Assumptions!$B$18*(1-Assumptions!$B$19))+0.044111640571817566*Assumptions!$B$7</f>
        <v/>
      </c>
    </row>
    <row r="16">
      <c r="A16" s="6" t="inlineStr">
        <is>
          <t>Receivables, inventory and payables are projected from the days the audited statements themselves show — fifty-one days of sales, sixty-two days of inventory, ninety-two days of payables. Nothing on this sheet is a balancing figure.</t>
        </is>
      </c>
    </row>
  </sheetData>
  <mergeCells count="1">
    <mergeCell ref="A16:J1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Cash flow — linked to the waterfall, not restated</t>
        </is>
      </c>
      <c r="B1" s="2" t="n"/>
      <c r="C1" s="2" t="n"/>
      <c r="D1" s="2" t="n"/>
      <c r="E1" s="2" t="n"/>
      <c r="F1" s="2" t="n"/>
      <c r="G1" s="2" t="n"/>
      <c r="H1" s="2" t="n"/>
      <c r="I1" s="2" t="n"/>
      <c r="J1" s="2" t="n"/>
    </row>
    <row r="2">
      <c r="A2" s="6" t="inlineStr">
        <is>
          <t>USD million. The forecast columns are the same cells the valuation discounts.</t>
        </is>
      </c>
    </row>
    <row r="4">
      <c r="A4" s="7" t="inlineStr"/>
      <c r="B4" s="7" t="inlineStr">
        <is>
          <t>FY2023</t>
        </is>
      </c>
      <c r="C4" s="7" t="inlineStr">
        <is>
          <t>FY2024</t>
        </is>
      </c>
      <c r="D4" s="7" t="inlineStr">
        <is>
          <t>FY2025</t>
        </is>
      </c>
      <c r="E4" s="7" t="inlineStr">
        <is>
          <t>2026</t>
        </is>
      </c>
      <c r="F4" s="7" t="inlineStr">
        <is>
          <t>2027</t>
        </is>
      </c>
      <c r="G4" s="7" t="inlineStr">
        <is>
          <t>2028</t>
        </is>
      </c>
      <c r="H4" s="7" t="inlineStr">
        <is>
          <t>2029</t>
        </is>
      </c>
      <c r="I4" s="7" t="inlineStr">
        <is>
          <t>2030</t>
        </is>
      </c>
    </row>
    <row r="5">
      <c r="A5" s="4" t="inlineStr">
        <is>
          <t>EBITDA</t>
        </is>
      </c>
      <c r="B5" s="25" t="n">
        <v>2169.34</v>
      </c>
      <c r="C5" s="25" t="n">
        <v>2473.569</v>
      </c>
      <c r="D5" s="25" t="n">
        <v>2170.377</v>
      </c>
      <c r="E5" s="18">
        <f>'DCF'!B12</f>
        <v/>
      </c>
      <c r="F5" s="18">
        <f>'DCF'!C12</f>
        <v/>
      </c>
      <c r="G5" s="18">
        <f>'DCF'!D12</f>
        <v/>
      </c>
      <c r="H5" s="18">
        <f>'DCF'!E12</f>
        <v/>
      </c>
      <c r="I5" s="18">
        <f>'DCF'!F12</f>
        <v/>
      </c>
    </row>
    <row r="6">
      <c r="A6" s="3" t="inlineStr">
        <is>
          <t>Less: increase in working capital</t>
        </is>
      </c>
      <c r="E6" s="37">
        <f>'DCF'!B19</f>
        <v/>
      </c>
      <c r="F6" s="37">
        <f>'DCF'!C19</f>
        <v/>
      </c>
      <c r="G6" s="37">
        <f>'DCF'!D19</f>
        <v/>
      </c>
      <c r="H6" s="37">
        <f>'DCF'!E19</f>
        <v/>
      </c>
      <c r="I6" s="37">
        <f>'DCF'!F19</f>
        <v/>
      </c>
    </row>
    <row r="7">
      <c r="A7" s="3" t="inlineStr">
        <is>
          <t>Less: tax on operating profit</t>
        </is>
      </c>
      <c r="B7" s="25" t="n">
        <v>400.333</v>
      </c>
      <c r="C7" s="25" t="n">
        <v>506.361</v>
      </c>
      <c r="D7" s="25" t="n">
        <v>440.714</v>
      </c>
      <c r="E7" s="17">
        <f>'DCF'!B15*Assumptions!$B$19</f>
        <v/>
      </c>
      <c r="F7" s="17">
        <f>'DCF'!C15*Assumptions!$B$19</f>
        <v/>
      </c>
      <c r="G7" s="17">
        <f>'DCF'!D15*Assumptions!$B$19</f>
        <v/>
      </c>
      <c r="H7" s="17">
        <f>'DCF'!E15*Assumptions!$B$19</f>
        <v/>
      </c>
      <c r="I7" s="17">
        <f>'DCF'!F15*Assumptions!$B$19</f>
        <v/>
      </c>
    </row>
    <row r="8">
      <c r="A8" s="4" t="inlineStr">
        <is>
          <t>Cash from operations</t>
        </is>
      </c>
      <c r="B8" s="25" t="n">
        <v>1768.72</v>
      </c>
      <c r="C8" s="25" t="n">
        <v>1913.152</v>
      </c>
      <c r="D8" s="25" t="n">
        <v>1920.976</v>
      </c>
      <c r="E8" s="32">
        <f>E5-E6-E7</f>
        <v/>
      </c>
      <c r="F8" s="32">
        <f>F5-F6-F7</f>
        <v/>
      </c>
      <c r="G8" s="32">
        <f>G5-G6-G7</f>
        <v/>
      </c>
      <c r="H8" s="32">
        <f>H5-H6-H7</f>
        <v/>
      </c>
      <c r="I8" s="32">
        <f>I5-I6-I7</f>
        <v/>
      </c>
    </row>
    <row r="9">
      <c r="A9" s="3" t="inlineStr">
        <is>
          <t>Less: capital expenditure</t>
        </is>
      </c>
      <c r="B9" s="25" t="n">
        <v>198.78</v>
      </c>
      <c r="C9" s="25" t="n">
        <v>167.383</v>
      </c>
      <c r="D9" s="25" t="n">
        <v>308.233</v>
      </c>
      <c r="E9" s="18">
        <f>'DCF'!B18</f>
        <v/>
      </c>
      <c r="F9" s="18">
        <f>'DCF'!C18</f>
        <v/>
      </c>
      <c r="G9" s="18">
        <f>'DCF'!D18</f>
        <v/>
      </c>
      <c r="H9" s="18">
        <f>'DCF'!E18</f>
        <v/>
      </c>
      <c r="I9" s="18">
        <f>'DCF'!F18</f>
        <v/>
      </c>
    </row>
    <row r="10">
      <c r="A10" s="4" t="inlineStr">
        <is>
          <t>Free cash flow to the firm</t>
        </is>
      </c>
      <c r="B10" s="32">
        <f>B8-B9</f>
        <v/>
      </c>
      <c r="C10" s="32">
        <f>C8-C9</f>
        <v/>
      </c>
      <c r="D10" s="32">
        <f>D8-D9</f>
        <v/>
      </c>
      <c r="E10" s="32">
        <f>E8-E9</f>
        <v/>
      </c>
      <c r="F10" s="32">
        <f>F8-F9</f>
        <v/>
      </c>
      <c r="G10" s="32">
        <f>G8-G9</f>
        <v/>
      </c>
      <c r="H10" s="32">
        <f>H8-H9</f>
        <v/>
      </c>
      <c r="I10" s="32">
        <f>I8-I9</f>
        <v/>
      </c>
    </row>
    <row r="11">
      <c r="A11" s="3" t="inlineStr">
        <is>
          <t>Less: net finance cost after tax</t>
        </is>
      </c>
      <c r="E11" s="30">
        <f>Assumptions!$B$53*Assumptions!$B$18*(1-Assumptions!$B$19)</f>
        <v/>
      </c>
      <c r="F11" s="30">
        <f>Assumptions!$B$53*Assumptions!$B$18*(1-Assumptions!$B$19)</f>
        <v/>
      </c>
      <c r="G11" s="30">
        <f>Assumptions!$B$53*Assumptions!$B$18*(1-Assumptions!$B$19)</f>
        <v/>
      </c>
      <c r="H11" s="30">
        <f>Assumptions!$B$53*Assumptions!$B$18*(1-Assumptions!$B$19)</f>
        <v/>
      </c>
      <c r="I11" s="30">
        <f>Assumptions!$B$53*Assumptions!$B$18*(1-Assumptions!$B$19)</f>
        <v/>
      </c>
    </row>
    <row r="12">
      <c r="A12" s="3" t="inlineStr">
        <is>
          <t>Less: dividend</t>
        </is>
      </c>
      <c r="E12" s="17">
        <f>0.044111640571817566*Assumptions!$B$7</f>
        <v/>
      </c>
      <c r="F12" s="17">
        <f>0.044111640571817566*Assumptions!$B$7</f>
        <v/>
      </c>
      <c r="G12" s="17">
        <f>0.044111640571817566*Assumptions!$B$7</f>
        <v/>
      </c>
      <c r="H12" s="17">
        <f>0.044111640571817566*Assumptions!$B$7</f>
        <v/>
      </c>
      <c r="I12" s="17">
        <f>0.044111640571817566*Assumptions!$B$7</f>
        <v/>
      </c>
    </row>
    <row r="13">
      <c r="A13" s="4" t="inlineStr">
        <is>
          <t>Free cash flow to equity</t>
        </is>
      </c>
      <c r="E13" s="32">
        <f>E10-E11-E12</f>
        <v/>
      </c>
      <c r="F13" s="32">
        <f>F10-F11-F12</f>
        <v/>
      </c>
      <c r="G13" s="32">
        <f>G10-G11-G12</f>
        <v/>
      </c>
      <c r="H13" s="32">
        <f>H10-H11-H12</f>
        <v/>
      </c>
      <c r="I13" s="32">
        <f>I10-I11-I12</f>
        <v/>
      </c>
    </row>
    <row r="15">
      <c r="A15" s="6" t="inlineStr">
        <is>
          <t>Cash from operations reconciles to free cash flow to the firm through capital expenditure alone, because the working-capital movement and the tax on operating profit are already inside it. The dividend is the company's own stated intention of 16.2 fils a share.</t>
        </is>
      </c>
    </row>
  </sheetData>
  <mergeCells count="1">
    <mergeCell ref="A15:J1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Summary financials</t>
        </is>
      </c>
      <c r="B1" s="2" t="n"/>
      <c r="C1" s="2" t="n"/>
      <c r="D1" s="2" t="n"/>
      <c r="E1" s="2" t="n"/>
      <c r="F1" s="2" t="n"/>
      <c r="G1" s="2" t="n"/>
      <c r="H1" s="2" t="n"/>
      <c r="I1" s="2" t="n"/>
      <c r="J1" s="2" t="n"/>
    </row>
    <row r="2">
      <c r="A2" s="6" t="inlineStr">
        <is>
          <t>USD million. Every cell is a link or a formula.</t>
        </is>
      </c>
    </row>
    <row r="4">
      <c r="A4" s="7" t="inlineStr"/>
      <c r="B4" s="7" t="inlineStr">
        <is>
          <t>FY2023</t>
        </is>
      </c>
      <c r="C4" s="7" t="inlineStr">
        <is>
          <t>FY2024</t>
        </is>
      </c>
      <c r="D4" s="7" t="inlineStr">
        <is>
          <t>FY2025</t>
        </is>
      </c>
      <c r="E4" s="7" t="inlineStr">
        <is>
          <t>2026</t>
        </is>
      </c>
      <c r="F4" s="7" t="inlineStr">
        <is>
          <t>2027</t>
        </is>
      </c>
      <c r="G4" s="7" t="inlineStr">
        <is>
          <t>2028</t>
        </is>
      </c>
      <c r="H4" s="7" t="inlineStr">
        <is>
          <t>2029</t>
        </is>
      </c>
      <c r="I4" s="7" t="inlineStr">
        <is>
          <t>2030</t>
        </is>
      </c>
    </row>
    <row r="5">
      <c r="A5" s="3" t="inlineStr">
        <is>
          <t>Revenue</t>
        </is>
      </c>
      <c r="B5" s="18">
        <f>'Income Statement'!B5</f>
        <v/>
      </c>
      <c r="C5" s="18">
        <f>'Income Statement'!C5</f>
        <v/>
      </c>
      <c r="D5" s="18">
        <f>'Income Statement'!D5</f>
        <v/>
      </c>
      <c r="E5" s="18">
        <f>'Income Statement'!E5</f>
        <v/>
      </c>
      <c r="F5" s="18">
        <f>'Income Statement'!F5</f>
        <v/>
      </c>
      <c r="G5" s="18">
        <f>'Income Statement'!G5</f>
        <v/>
      </c>
      <c r="H5" s="18">
        <f>'Income Statement'!H5</f>
        <v/>
      </c>
      <c r="I5" s="18">
        <f>'Income Statement'!I5</f>
        <v/>
      </c>
    </row>
    <row r="6">
      <c r="A6" s="4" t="inlineStr">
        <is>
          <t>EBITDA</t>
        </is>
      </c>
      <c r="B6" s="39">
        <f>'Income Statement'!B13</f>
        <v/>
      </c>
      <c r="C6" s="39">
        <f>'Income Statement'!C13</f>
        <v/>
      </c>
      <c r="D6" s="39">
        <f>'Income Statement'!D13</f>
        <v/>
      </c>
      <c r="E6" s="39">
        <f>'Income Statement'!E13</f>
        <v/>
      </c>
      <c r="F6" s="39">
        <f>'Income Statement'!F13</f>
        <v/>
      </c>
      <c r="G6" s="39">
        <f>'Income Statement'!G13</f>
        <v/>
      </c>
      <c r="H6" s="39">
        <f>'Income Statement'!H13</f>
        <v/>
      </c>
      <c r="I6" s="39">
        <f>'Income Statement'!I13</f>
        <v/>
      </c>
    </row>
    <row r="7">
      <c r="A7" s="3" t="inlineStr">
        <is>
          <t>EBITDA margin</t>
        </is>
      </c>
      <c r="B7" s="11">
        <f>B6/B5</f>
        <v/>
      </c>
      <c r="C7" s="11">
        <f>C6/C5</f>
        <v/>
      </c>
      <c r="D7" s="11">
        <f>D6/D5</f>
        <v/>
      </c>
      <c r="E7" s="11">
        <f>E6/E5</f>
        <v/>
      </c>
      <c r="F7" s="11">
        <f>F6/F5</f>
        <v/>
      </c>
      <c r="G7" s="11">
        <f>G6/G5</f>
        <v/>
      </c>
      <c r="H7" s="11">
        <f>H6/H5</f>
        <v/>
      </c>
      <c r="I7" s="11">
        <f>I6/I5</f>
        <v/>
      </c>
    </row>
    <row r="8">
      <c r="A8" s="3" t="inlineStr">
        <is>
          <t>EBIT</t>
        </is>
      </c>
      <c r="B8" s="18">
        <f>'Income Statement'!B11</f>
        <v/>
      </c>
      <c r="C8" s="18">
        <f>'Income Statement'!C11</f>
        <v/>
      </c>
      <c r="D8" s="18">
        <f>'Income Statement'!D11</f>
        <v/>
      </c>
      <c r="E8" s="18">
        <f>'Income Statement'!E11</f>
        <v/>
      </c>
      <c r="F8" s="18">
        <f>'Income Statement'!F11</f>
        <v/>
      </c>
      <c r="G8" s="18">
        <f>'Income Statement'!G11</f>
        <v/>
      </c>
      <c r="H8" s="18">
        <f>'Income Statement'!H11</f>
        <v/>
      </c>
      <c r="I8" s="18">
        <f>'Income Statement'!I11</f>
        <v/>
      </c>
    </row>
    <row r="9">
      <c r="A9" s="3" t="inlineStr">
        <is>
          <t>Profit after tax</t>
        </is>
      </c>
      <c r="B9" s="18">
        <f>'Income Statement'!B17</f>
        <v/>
      </c>
      <c r="C9" s="18">
        <f>'Income Statement'!C17</f>
        <v/>
      </c>
      <c r="D9" s="18">
        <f>'Income Statement'!D17</f>
        <v/>
      </c>
      <c r="E9" s="18">
        <f>'Income Statement'!E17</f>
        <v/>
      </c>
      <c r="F9" s="18">
        <f>'Income Statement'!F17</f>
        <v/>
      </c>
      <c r="G9" s="18">
        <f>'Income Statement'!G17</f>
        <v/>
      </c>
      <c r="H9" s="18">
        <f>'Income Statement'!H17</f>
        <v/>
      </c>
      <c r="I9" s="18">
        <f>'Income Statement'!I17</f>
        <v/>
      </c>
    </row>
    <row r="10">
      <c r="A10" s="4" t="inlineStr">
        <is>
          <t>Free cash flow to the firm</t>
        </is>
      </c>
      <c r="B10" s="39">
        <f>'Cash Flow'!B10</f>
        <v/>
      </c>
      <c r="C10" s="39">
        <f>'Cash Flow'!C10</f>
        <v/>
      </c>
      <c r="D10" s="39">
        <f>'Cash Flow'!D10</f>
        <v/>
      </c>
      <c r="E10" s="39">
        <f>'Cash Flow'!E10</f>
        <v/>
      </c>
      <c r="F10" s="39">
        <f>'Cash Flow'!F10</f>
        <v/>
      </c>
      <c r="G10" s="39">
        <f>'Cash Flow'!G10</f>
        <v/>
      </c>
      <c r="H10" s="39">
        <f>'Cash Flow'!H10</f>
        <v/>
      </c>
      <c r="I10" s="39">
        <f>'Cash Flow'!I10</f>
        <v/>
      </c>
    </row>
    <row r="11">
      <c r="A11" s="3" t="inlineStr">
        <is>
          <t>Capital expenditure</t>
        </is>
      </c>
      <c r="B11" s="18">
        <f>'Cash Flow'!B9</f>
        <v/>
      </c>
      <c r="C11" s="18">
        <f>'Cash Flow'!C9</f>
        <v/>
      </c>
      <c r="D11" s="18">
        <f>'Cash Flow'!D9</f>
        <v/>
      </c>
      <c r="E11" s="18">
        <f>'Cash Flow'!E9</f>
        <v/>
      </c>
      <c r="F11" s="18">
        <f>'Cash Flow'!F9</f>
        <v/>
      </c>
      <c r="G11" s="18">
        <f>'Cash Flow'!G9</f>
        <v/>
      </c>
      <c r="H11" s="18">
        <f>'Cash Flow'!H9</f>
        <v/>
      </c>
      <c r="I11" s="18">
        <f>'Cash Flow'!I9</f>
        <v/>
      </c>
    </row>
    <row r="12">
      <c r="A12" s="3" t="inlineStr">
        <is>
          <t>Net debt</t>
        </is>
      </c>
      <c r="B12" s="18">
        <f>'Balance Sheet'!B14</f>
        <v/>
      </c>
      <c r="C12" s="18">
        <f>'Balance Sheet'!C14</f>
        <v/>
      </c>
      <c r="D12" s="18">
        <f>'Balance Sheet'!D14</f>
        <v/>
      </c>
      <c r="E12" s="18">
        <f>'Balance Sheet'!E14</f>
        <v/>
      </c>
      <c r="F12" s="18">
        <f>'Balance Sheet'!F14</f>
        <v/>
      </c>
      <c r="G12" s="18">
        <f>'Balance Sheet'!G14</f>
        <v/>
      </c>
      <c r="H12" s="18">
        <f>'Balance Sheet'!H14</f>
        <v/>
      </c>
      <c r="I12" s="18">
        <f>'Balance Sheet'!I14</f>
        <v/>
      </c>
    </row>
    <row r="13">
      <c r="A13" s="3" t="inlineStr">
        <is>
          <t>Net debt to EBITDA</t>
        </is>
      </c>
      <c r="B13" s="20">
        <f>B12/B6</f>
        <v/>
      </c>
      <c r="C13" s="20">
        <f>C12/C6</f>
        <v/>
      </c>
      <c r="D13" s="20">
        <f>D12/D6</f>
        <v/>
      </c>
      <c r="E13" s="20">
        <f>E12/E6</f>
        <v/>
      </c>
      <c r="F13" s="20">
        <f>F12/F6</f>
        <v/>
      </c>
      <c r="G13" s="20">
        <f>G12/G6</f>
        <v/>
      </c>
      <c r="H13" s="20">
        <f>H12/H6</f>
        <v/>
      </c>
      <c r="I13" s="20">
        <f>I12/I6</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Probability map for the traded price</t>
        </is>
      </c>
      <c r="B1" s="2" t="n"/>
      <c r="C1" s="2" t="n"/>
      <c r="D1" s="2" t="n"/>
      <c r="E1" s="2" t="n"/>
      <c r="F1" s="2" t="n"/>
      <c r="G1" s="2" t="n"/>
      <c r="H1" s="2" t="n"/>
      <c r="I1" s="2" t="n"/>
    </row>
    <row r="2">
      <c r="A2" s="6" t="inlineStr">
        <is>
          <t>Each figure is the outcome of a 50,000-path simulation on the cleaned price history — a complete re-run, not a formula. THIS MAP DOES NOT REDRAW WHEN A DRIVER CHANGES.</t>
        </is>
      </c>
    </row>
    <row r="4">
      <c r="A4" s="5" t="inlineStr">
        <is>
          <t>THE SIMULATION AS IT WAS RUN</t>
        </is>
      </c>
      <c r="B4" s="5" t="n"/>
      <c r="C4" s="5" t="n"/>
      <c r="D4" s="5" t="n"/>
      <c r="E4" s="5" t="n"/>
      <c r="F4" s="5" t="n"/>
      <c r="G4" s="5" t="n"/>
      <c r="H4" s="5" t="n"/>
      <c r="I4" s="5" t="n"/>
      <c r="J4" s="5" t="n"/>
    </row>
    <row r="5">
      <c r="A5" s="3" t="inlineStr">
        <is>
          <t>Anchor close (AED)</t>
        </is>
      </c>
      <c r="B5" s="23" t="n">
        <v>2.4</v>
      </c>
    </row>
    <row r="6">
      <c r="A6" s="3" t="inlineStr">
        <is>
          <t>Anchor date</t>
        </is>
      </c>
      <c r="B6" s="40" t="inlineStr">
        <is>
          <t>2026-08-07</t>
        </is>
      </c>
    </row>
    <row r="7">
      <c r="A7" s="3" t="inlineStr">
        <is>
          <t>Paths</t>
        </is>
      </c>
      <c r="B7" s="25" t="n">
        <v>50000</v>
      </c>
    </row>
    <row r="8">
      <c r="A8" s="3" t="inlineStr">
        <is>
          <t>Risk-free rate</t>
        </is>
      </c>
      <c r="B8" s="26" t="n">
        <v>0.0365</v>
      </c>
    </row>
    <row r="9">
      <c r="A9" s="3" t="inlineStr">
        <is>
          <t>Dividend yield (16.2 fils on the close)</t>
        </is>
      </c>
      <c r="B9" s="26" t="n">
        <v>0.0675</v>
      </c>
    </row>
    <row r="10">
      <c r="A10" s="3" t="inlineStr">
        <is>
          <t>Net carry a year</t>
        </is>
      </c>
      <c r="B10" s="26" t="n">
        <v>-0.03100000000000001</v>
      </c>
    </row>
    <row r="12">
      <c r="A12" s="5" t="inlineStr">
        <is>
          <t>PERCENTILE MAP (AED PER SHARE)</t>
        </is>
      </c>
      <c r="B12" s="5" t="n"/>
      <c r="C12" s="5" t="n"/>
      <c r="D12" s="5" t="n"/>
      <c r="E12" s="5" t="n"/>
      <c r="F12" s="5" t="n"/>
      <c r="G12" s="5" t="n"/>
      <c r="H12" s="5" t="n"/>
      <c r="I12" s="5" t="n"/>
      <c r="J12" s="5" t="n"/>
    </row>
    <row r="13">
      <c r="A13" s="7" t="inlineStr">
        <is>
          <t>Horizon</t>
        </is>
      </c>
      <c r="B13" s="7" t="inlineStr">
        <is>
          <t>Ends</t>
        </is>
      </c>
      <c r="C13" s="7" t="inlineStr">
        <is>
          <t>5th</t>
        </is>
      </c>
      <c r="D13" s="7" t="inlineStr">
        <is>
          <t>25th</t>
        </is>
      </c>
      <c r="E13" s="7" t="inlineStr">
        <is>
          <t>Median</t>
        </is>
      </c>
      <c r="F13" s="7" t="inlineStr">
        <is>
          <t>75th</t>
        </is>
      </c>
      <c r="G13" s="7" t="inlineStr">
        <is>
          <t>95th</t>
        </is>
      </c>
      <c r="H13" s="7" t="inlineStr">
        <is>
          <t>Above the close</t>
        </is>
      </c>
    </row>
    <row r="14">
      <c r="A14" s="3" t="inlineStr">
        <is>
          <t>One month</t>
        </is>
      </c>
      <c r="B14" s="40" t="inlineStr">
        <is>
          <t>2026-09-07</t>
        </is>
      </c>
      <c r="C14" s="23" t="n">
        <v>2.221648483543792</v>
      </c>
      <c r="D14" s="23" t="n">
        <v>2.326283748977573</v>
      </c>
      <c r="E14" s="23" t="n">
        <v>2.394011473194193</v>
      </c>
      <c r="F14" s="23" t="n">
        <v>2.46407031307201</v>
      </c>
      <c r="G14" s="23" t="n">
        <v>2.576670175288012</v>
      </c>
      <c r="H14" s="28" t="n">
        <v>0.47704</v>
      </c>
    </row>
    <row r="15">
      <c r="A15" s="3" t="inlineStr">
        <is>
          <t>Three months</t>
        </is>
      </c>
      <c r="B15" s="40" t="inlineStr">
        <is>
          <t>2026-11-09</t>
        </is>
      </c>
      <c r="C15" s="23" t="n">
        <v>2.074374395635048</v>
      </c>
      <c r="D15" s="23" t="n">
        <v>2.259806758580973</v>
      </c>
      <c r="E15" s="23" t="n">
        <v>2.383551455867551</v>
      </c>
      <c r="F15" s="23" t="n">
        <v>2.51361783228122</v>
      </c>
      <c r="G15" s="23" t="n">
        <v>2.740769252797844</v>
      </c>
      <c r="H15" s="28" t="n">
        <v>0.46466</v>
      </c>
    </row>
    <row r="17">
      <c r="A17" s="5" t="inlineStr">
        <is>
          <t>LEVEL-TOUCH LADDER — CHANCE THE PRICE TRADES THROUGH A LEVEL AT ANY POINT</t>
        </is>
      </c>
      <c r="B17" s="5" t="n"/>
      <c r="C17" s="5" t="n"/>
      <c r="D17" s="5" t="n"/>
      <c r="E17" s="5" t="n"/>
      <c r="F17" s="5" t="n"/>
      <c r="G17" s="5" t="n"/>
      <c r="H17" s="5" t="n"/>
      <c r="I17" s="5" t="n"/>
      <c r="J17" s="5" t="n"/>
    </row>
    <row r="18">
      <c r="A18" s="7" t="inlineStr">
        <is>
          <t>Move from the close</t>
        </is>
      </c>
      <c r="B18" s="7" t="inlineStr">
        <is>
          <t>Level (AED)</t>
        </is>
      </c>
      <c r="C18" s="7" t="inlineStr">
        <is>
          <t>One month</t>
        </is>
      </c>
      <c r="D18" s="7" t="inlineStr">
        <is>
          <t>Three months</t>
        </is>
      </c>
    </row>
    <row r="19">
      <c r="A19" s="3" t="inlineStr">
        <is>
          <t>Up 5%</t>
        </is>
      </c>
      <c r="B19" s="22">
        <f>$B$5*(1+0.05)</f>
        <v/>
      </c>
      <c r="C19" s="28" t="n">
        <v>0.20246</v>
      </c>
      <c r="D19" s="28" t="n">
        <v>0.46392</v>
      </c>
    </row>
    <row r="20">
      <c r="A20" s="3" t="inlineStr">
        <is>
          <t>Down 5%</t>
        </is>
      </c>
      <c r="B20" s="22">
        <f>$B$5*(1-0.05)</f>
        <v/>
      </c>
      <c r="C20" s="28" t="n">
        <v>0.21098</v>
      </c>
      <c r="D20" s="28" t="n">
        <v>0.5034999999999999</v>
      </c>
    </row>
    <row r="21">
      <c r="A21" s="3" t="inlineStr">
        <is>
          <t>Up 10%</t>
        </is>
      </c>
      <c r="B21" s="22">
        <f>$B$5*(1+0.1)</f>
        <v/>
      </c>
      <c r="C21" s="28" t="n">
        <v>0.02956</v>
      </c>
      <c r="D21" s="28" t="n">
        <v>0.19616</v>
      </c>
    </row>
    <row r="22">
      <c r="A22" s="3" t="inlineStr">
        <is>
          <t>Down 10%</t>
        </is>
      </c>
      <c r="B22" s="22">
        <f>$B$5*(1-0.1)</f>
        <v/>
      </c>
      <c r="C22" s="28" t="n">
        <v>0.0238</v>
      </c>
      <c r="D22" s="28" t="n">
        <v>0.19478</v>
      </c>
    </row>
    <row r="23">
      <c r="A23" s="3" t="inlineStr">
        <is>
          <t>Up 15%</t>
        </is>
      </c>
      <c r="B23" s="22">
        <f>$B$5*(1+0.15)</f>
        <v/>
      </c>
      <c r="C23" s="28" t="n">
        <v>0.0044</v>
      </c>
      <c r="D23" s="28" t="n">
        <v>0.07742</v>
      </c>
    </row>
    <row r="24">
      <c r="A24" s="3" t="inlineStr">
        <is>
          <t>Down 15%</t>
        </is>
      </c>
      <c r="B24" s="22">
        <f>$B$5*(1-0.15)</f>
        <v/>
      </c>
      <c r="C24" s="28" t="n">
        <v>0.00194</v>
      </c>
      <c r="D24" s="28" t="n">
        <v>0.05896</v>
      </c>
    </row>
    <row r="25">
      <c r="A25" s="3" t="inlineStr">
        <is>
          <t>Up 20%</t>
        </is>
      </c>
      <c r="B25" s="22">
        <f>$B$5*(1+0.2)</f>
        <v/>
      </c>
      <c r="C25" s="28" t="n">
        <v>0.00072</v>
      </c>
      <c r="D25" s="28" t="n">
        <v>0.02966</v>
      </c>
    </row>
    <row r="26">
      <c r="A26" s="3" t="inlineStr">
        <is>
          <t>Down 20%</t>
        </is>
      </c>
      <c r="B26" s="22">
        <f>$B$5*(1-0.2)</f>
        <v/>
      </c>
      <c r="C26" s="28" t="n">
        <v>0.0002</v>
      </c>
      <c r="D26" s="28" t="n">
        <v>0.0155</v>
      </c>
    </row>
    <row r="28">
      <c r="A28" s="6" t="inlineStr">
        <is>
          <t>The percentile map and the touch ladder are simulation output. The level column beside them is a live formula off the close, so the ladder's rungs move if the anchor changes even though the probabilities beside them do not.</t>
        </is>
      </c>
    </row>
  </sheetData>
  <mergeCells count="1">
    <mergeCell ref="A28:I2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Sensitivity — each cell is a complete revaluation</t>
        </is>
      </c>
      <c r="B1" s="2" t="n"/>
      <c r="C1" s="2" t="n"/>
      <c r="D1" s="2" t="n"/>
      <c r="E1" s="2" t="n"/>
      <c r="F1" s="2" t="n"/>
      <c r="G1" s="2" t="n"/>
      <c r="H1" s="2" t="n"/>
      <c r="I1" s="2" t="n"/>
    </row>
    <row r="2">
      <c r="A2" s="6" t="inlineStr">
        <is>
          <t>THESE GRIDS DO NOT REDRAW WHEN A DRIVER CHANGES. Value per share in AED, normalisation construction, own-stock beta.</t>
        </is>
      </c>
    </row>
    <row r="4">
      <c r="A4" s="5" t="inlineStr">
        <is>
          <t>COST OF CAPITAL AGAINST TERMINAL GROWTH</t>
        </is>
      </c>
      <c r="B4" s="5" t="n"/>
      <c r="C4" s="5" t="n"/>
      <c r="D4" s="5" t="n"/>
      <c r="E4" s="5" t="n"/>
      <c r="F4" s="5" t="n"/>
      <c r="G4" s="5" t="n"/>
      <c r="H4" s="5" t="n"/>
      <c r="I4" s="5" t="n"/>
      <c r="J4" s="5" t="n"/>
    </row>
    <row r="5">
      <c r="A5" s="7" t="inlineStr">
        <is>
          <t>Cost of capital \ growth</t>
        </is>
      </c>
      <c r="B5" s="7" t="inlineStr">
        <is>
          <t>1.0%</t>
        </is>
      </c>
      <c r="C5" s="7" t="inlineStr">
        <is>
          <t>1.5%</t>
        </is>
      </c>
      <c r="D5" s="7" t="inlineStr">
        <is>
          <t>2.0%</t>
        </is>
      </c>
      <c r="E5" s="7" t="inlineStr">
        <is>
          <t>2.5%</t>
        </is>
      </c>
      <c r="F5" s="7" t="inlineStr">
        <is>
          <t>3.0%</t>
        </is>
      </c>
    </row>
    <row r="6">
      <c r="A6" s="26" t="n">
        <v>0.05080556770080059</v>
      </c>
      <c r="B6" s="23" t="n">
        <v>2.898960202547509</v>
      </c>
      <c r="C6" s="23" t="n">
        <v>3.142789492812173</v>
      </c>
      <c r="D6" s="23" t="n">
        <v>3.464210661588403</v>
      </c>
      <c r="E6" s="23" t="n">
        <v>3.908325533070411</v>
      </c>
      <c r="F6" s="23" t="n">
        <v>4.563591464781581</v>
      </c>
    </row>
    <row r="7">
      <c r="A7" s="26" t="n">
        <v>0.0558055677008006</v>
      </c>
      <c r="B7" s="23" t="n">
        <v>2.549023446208399</v>
      </c>
      <c r="C7" s="23" t="n">
        <v>2.723795618614905</v>
      </c>
      <c r="D7" s="23" t="n">
        <v>2.946069265900841</v>
      </c>
      <c r="E7" s="23" t="n">
        <v>3.238974042098614</v>
      </c>
      <c r="F7" s="23" t="n">
        <v>3.643565697113109</v>
      </c>
    </row>
    <row r="8">
      <c r="A8" s="26" t="n">
        <v>0.0608055677008006</v>
      </c>
      <c r="B8" s="23" t="n">
        <v>2.267627983906301</v>
      </c>
      <c r="C8" s="23" t="n">
        <v>2.395815594658295</v>
      </c>
      <c r="D8" s="23" t="n">
        <v>2.554294823769648</v>
      </c>
      <c r="E8" s="23" t="n">
        <v>2.755755716520112</v>
      </c>
      <c r="F8" s="23" t="n">
        <v>3.021127118008359</v>
      </c>
    </row>
    <row r="9">
      <c r="A9" s="26" t="n">
        <v>0.06580556770080059</v>
      </c>
      <c r="B9" s="23" t="n">
        <v>2.03636047970787</v>
      </c>
      <c r="C9" s="23" t="n">
        <v>2.131991479971111</v>
      </c>
      <c r="D9" s="23" t="n">
        <v>2.247523228457307</v>
      </c>
      <c r="E9" s="23" t="n">
        <v>2.390271178428454</v>
      </c>
      <c r="F9" s="23" t="n">
        <v>2.571636993047264</v>
      </c>
    </row>
    <row r="10">
      <c r="A10" s="26" t="n">
        <v>0.0708055677008006</v>
      </c>
      <c r="B10" s="23" t="n">
        <v>1.842863725656926</v>
      </c>
      <c r="C10" s="23" t="n">
        <v>1.915090430461655</v>
      </c>
      <c r="D10" s="23" t="n">
        <v>2.000673093907594</v>
      </c>
      <c r="E10" s="23" t="n">
        <v>2.10398540656718</v>
      </c>
      <c r="F10" s="23" t="n">
        <v>2.231544732447075</v>
      </c>
    </row>
    <row r="12">
      <c r="A12" s="5" t="inlineStr">
        <is>
          <t>REALISED PREMIUM OVER THE BENCHMARK (USD PER TONNE)</t>
        </is>
      </c>
      <c r="B12" s="5" t="n"/>
      <c r="C12" s="5" t="n"/>
      <c r="D12" s="5" t="n"/>
      <c r="E12" s="5" t="n"/>
      <c r="F12" s="5" t="n"/>
      <c r="G12" s="5" t="n"/>
      <c r="H12" s="5" t="n"/>
      <c r="I12" s="5" t="n"/>
      <c r="J12" s="5" t="n"/>
    </row>
    <row r="13">
      <c r="A13" s="7" t="inlineStr">
        <is>
          <t>Shift</t>
        </is>
      </c>
      <c r="B13" s="7" t="inlineStr">
        <is>
          <t>Normalisation</t>
        </is>
      </c>
      <c r="C13" s="7" t="inlineStr">
        <is>
          <t>Prolonged disruption</t>
        </is>
      </c>
    </row>
    <row r="14">
      <c r="A14" s="41" t="inlineStr">
        <is>
          <t>-100</t>
        </is>
      </c>
      <c r="B14" s="23" t="n">
        <v>1.61365215581326</v>
      </c>
      <c r="C14" s="23" t="n">
        <v>1.428449833213424</v>
      </c>
    </row>
    <row r="15">
      <c r="A15" s="41" t="inlineStr">
        <is>
          <t>-50</t>
        </is>
      </c>
      <c r="B15" s="23" t="n">
        <v>2.083973489791456</v>
      </c>
      <c r="C15" s="23" t="n">
        <v>1.890420574087241</v>
      </c>
    </row>
    <row r="16">
      <c r="A16" s="41" t="inlineStr">
        <is>
          <t>+0</t>
        </is>
      </c>
      <c r="B16" s="23" t="n">
        <v>2.554294823769648</v>
      </c>
      <c r="C16" s="23" t="n">
        <v>2.35239131496106</v>
      </c>
    </row>
    <row r="17">
      <c r="A17" s="41" t="inlineStr">
        <is>
          <t>+50</t>
        </is>
      </c>
      <c r="B17" s="23" t="n">
        <v>3.024616157747842</v>
      </c>
      <c r="C17" s="23" t="n">
        <v>2.814362055834877</v>
      </c>
    </row>
    <row r="18">
      <c r="A18" s="41" t="inlineStr">
        <is>
          <t>+100</t>
        </is>
      </c>
      <c r="B18" s="23" t="n">
        <v>3.494937491726039</v>
      </c>
      <c r="C18" s="23" t="n">
        <v>3.276332796708694</v>
      </c>
    </row>
    <row r="20">
      <c r="A20" s="5" t="inlineStr">
        <is>
          <t>UTILISATION</t>
        </is>
      </c>
      <c r="B20" s="5" t="n"/>
      <c r="C20" s="5" t="n"/>
      <c r="D20" s="5" t="n"/>
      <c r="E20" s="5" t="n"/>
      <c r="F20" s="5" t="n"/>
      <c r="G20" s="5" t="n"/>
      <c r="H20" s="5" t="n"/>
      <c r="I20" s="5" t="n"/>
      <c r="J20" s="5" t="n"/>
    </row>
    <row r="21">
      <c r="A21" s="7" t="inlineStr">
        <is>
          <t>Shift</t>
        </is>
      </c>
      <c r="B21" s="7" t="inlineStr">
        <is>
          <t>Normalisation</t>
        </is>
      </c>
      <c r="C21" s="7" t="inlineStr">
        <is>
          <t>Prolonged disruption</t>
        </is>
      </c>
    </row>
    <row r="22">
      <c r="A22" s="41" t="inlineStr">
        <is>
          <t>-10%</t>
        </is>
      </c>
      <c r="B22" s="23" t="n">
        <v>2.030336827905816</v>
      </c>
      <c r="C22" s="23" t="n">
        <v>1.839558814625347</v>
      </c>
    </row>
    <row r="23">
      <c r="A23" s="41" t="inlineStr">
        <is>
          <t>-5%</t>
        </is>
      </c>
      <c r="B23" s="23" t="n">
        <v>2.292315825837734</v>
      </c>
      <c r="C23" s="23" t="n">
        <v>2.095975064793202</v>
      </c>
    </row>
    <row r="24">
      <c r="A24" s="41" t="inlineStr">
        <is>
          <t>+0%</t>
        </is>
      </c>
      <c r="B24" s="23" t="n">
        <v>2.554294823769648</v>
      </c>
      <c r="C24" s="23" t="n">
        <v>2.35239131496106</v>
      </c>
    </row>
    <row r="25">
      <c r="A25" s="41" t="inlineStr">
        <is>
          <t>+5%</t>
        </is>
      </c>
      <c r="B25" s="23" t="n">
        <v>2.816273821701564</v>
      </c>
      <c r="C25" s="23" t="n">
        <v>2.608807565128914</v>
      </c>
    </row>
    <row r="26">
      <c r="A26" s="41" t="inlineStr">
        <is>
          <t>+10%</t>
        </is>
      </c>
      <c r="B26" s="23" t="n">
        <v>3.078252819633481</v>
      </c>
      <c r="C26" s="23" t="n">
        <v>2.865223815296769</v>
      </c>
    </row>
    <row r="28">
      <c r="A28" s="6" t="inlineStr">
        <is>
          <t>Every cell above is the whole valuation solved again at that pair of inputs. That is why they are values rather than formulas, and why they are named as a pasted class on READ FIRST.</t>
        </is>
      </c>
    </row>
  </sheetData>
  <mergeCells count="1">
    <mergeCell ref="A28:I2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Per-share figures and returns</t>
        </is>
      </c>
      <c r="B1" s="2" t="n"/>
      <c r="C1" s="2" t="n"/>
      <c r="D1" s="2" t="n"/>
      <c r="E1" s="2" t="n"/>
      <c r="F1" s="2" t="n"/>
      <c r="G1" s="2" t="n"/>
      <c r="H1" s="2" t="n"/>
      <c r="I1" s="2" t="n"/>
      <c r="J1" s="2" t="n"/>
    </row>
    <row r="2">
      <c r="A2" s="6" t="inlineStr">
        <is>
          <t>Every cell is a formula.</t>
        </is>
      </c>
    </row>
    <row r="4">
      <c r="A4" s="7" t="inlineStr"/>
      <c r="B4" s="7" t="inlineStr">
        <is>
          <t>FY2023</t>
        </is>
      </c>
      <c r="C4" s="7" t="inlineStr">
        <is>
          <t>FY2024</t>
        </is>
      </c>
      <c r="D4" s="7" t="inlineStr">
        <is>
          <t>FY2025</t>
        </is>
      </c>
      <c r="E4" s="7" t="inlineStr">
        <is>
          <t>2026</t>
        </is>
      </c>
      <c r="F4" s="7" t="inlineStr">
        <is>
          <t>2027</t>
        </is>
      </c>
      <c r="G4" s="7" t="inlineStr">
        <is>
          <t>2028</t>
        </is>
      </c>
      <c r="H4" s="7" t="inlineStr">
        <is>
          <t>2029</t>
        </is>
      </c>
      <c r="I4" s="7" t="inlineStr">
        <is>
          <t>2030</t>
        </is>
      </c>
    </row>
    <row r="5">
      <c r="A5" s="3" t="inlineStr">
        <is>
          <t>Earnings per share (USD)</t>
        </is>
      </c>
      <c r="B5" s="19">
        <f>'Income Statement'!B17/Assumptions!$B$7</f>
        <v/>
      </c>
      <c r="C5" s="19">
        <f>'Income Statement'!C17/Assumptions!$B$7</f>
        <v/>
      </c>
      <c r="D5" s="19">
        <f>'Income Statement'!D17/Assumptions!$B$7</f>
        <v/>
      </c>
      <c r="E5" s="19">
        <f>'Income Statement'!E17/Assumptions!$B$7</f>
        <v/>
      </c>
      <c r="F5" s="19">
        <f>'Income Statement'!F17/Assumptions!$B$7</f>
        <v/>
      </c>
      <c r="G5" s="19">
        <f>'Income Statement'!G17/Assumptions!$B$7</f>
        <v/>
      </c>
      <c r="H5" s="19">
        <f>'Income Statement'!H17/Assumptions!$B$7</f>
        <v/>
      </c>
      <c r="I5" s="19">
        <f>'Income Statement'!I17/Assumptions!$B$7</f>
        <v/>
      </c>
    </row>
    <row r="6">
      <c r="A6" s="3" t="inlineStr">
        <is>
          <t>Earnings per share (AED)</t>
        </is>
      </c>
      <c r="B6" s="42">
        <f>B5*Assumptions!$B$6</f>
        <v/>
      </c>
      <c r="C6" s="42">
        <f>C5*Assumptions!$B$6</f>
        <v/>
      </c>
      <c r="D6" s="42">
        <f>D5*Assumptions!$B$6</f>
        <v/>
      </c>
      <c r="E6" s="42">
        <f>E5*Assumptions!$B$6</f>
        <v/>
      </c>
      <c r="F6" s="42">
        <f>F5*Assumptions!$B$6</f>
        <v/>
      </c>
      <c r="G6" s="42">
        <f>G5*Assumptions!$B$6</f>
        <v/>
      </c>
      <c r="H6" s="42">
        <f>H5*Assumptions!$B$6</f>
        <v/>
      </c>
      <c r="I6" s="42">
        <f>I5*Assumptions!$B$6</f>
        <v/>
      </c>
    </row>
    <row r="7">
      <c r="A7" s="3" t="inlineStr">
        <is>
          <t>Book value per share (AED)</t>
        </is>
      </c>
      <c r="B7" s="42">
        <f>'Balance Sheet'!B12/Assumptions!$B$7*Assumptions!$B$6</f>
        <v/>
      </c>
      <c r="C7" s="42">
        <f>'Balance Sheet'!C12/Assumptions!$B$7*Assumptions!$B$6</f>
        <v/>
      </c>
      <c r="D7" s="42">
        <f>'Balance Sheet'!D12/Assumptions!$B$7*Assumptions!$B$6</f>
        <v/>
      </c>
      <c r="E7" s="42">
        <f>'Balance Sheet'!E12/Assumptions!$B$7*Assumptions!$B$6</f>
        <v/>
      </c>
      <c r="F7" s="42">
        <f>'Balance Sheet'!F12/Assumptions!$B$7*Assumptions!$B$6</f>
        <v/>
      </c>
      <c r="G7" s="42">
        <f>'Balance Sheet'!G12/Assumptions!$B$7*Assumptions!$B$6</f>
        <v/>
      </c>
      <c r="H7" s="42">
        <f>'Balance Sheet'!H12/Assumptions!$B$7*Assumptions!$B$6</f>
        <v/>
      </c>
      <c r="I7" s="42">
        <f>'Balance Sheet'!I12/Assumptions!$B$7*Assumptions!$B$6</f>
        <v/>
      </c>
    </row>
    <row r="8">
      <c r="A8" s="3" t="inlineStr">
        <is>
          <t>Return on equity</t>
        </is>
      </c>
      <c r="B8" s="11">
        <f>'Income Statement'!B17/'Balance Sheet'!B12</f>
        <v/>
      </c>
      <c r="C8" s="11">
        <f>'Income Statement'!C17/'Balance Sheet'!C12</f>
        <v/>
      </c>
      <c r="D8" s="11">
        <f>'Income Statement'!D17/'Balance Sheet'!D12</f>
        <v/>
      </c>
      <c r="E8" s="11">
        <f>'Income Statement'!E17/'Balance Sheet'!E12</f>
        <v/>
      </c>
      <c r="F8" s="11">
        <f>'Income Statement'!F17/'Balance Sheet'!F12</f>
        <v/>
      </c>
      <c r="G8" s="11">
        <f>'Income Statement'!G17/'Balance Sheet'!G12</f>
        <v/>
      </c>
      <c r="H8" s="11">
        <f>'Income Statement'!H17/'Balance Sheet'!H12</f>
        <v/>
      </c>
      <c r="I8" s="11">
        <f>'Income Statement'!I17/'Balance Sheet'!I12</f>
        <v/>
      </c>
    </row>
    <row r="9">
      <c r="A9" s="3" t="inlineStr">
        <is>
          <t>Return on invested capital</t>
        </is>
      </c>
      <c r="B9" s="11">
        <f>'Income Statement'!B11*(1-Assumptions!$B$19)/('Balance Sheet'!B5+'Balance Sheet'!B13)</f>
        <v/>
      </c>
      <c r="C9" s="11">
        <f>'Income Statement'!C11*(1-Assumptions!$B$19)/('Balance Sheet'!C5+'Balance Sheet'!C13)</f>
        <v/>
      </c>
      <c r="D9" s="11">
        <f>'Income Statement'!D11*(1-Assumptions!$B$19)/('Balance Sheet'!D5+'Balance Sheet'!D13)</f>
        <v/>
      </c>
      <c r="E9" s="11">
        <f>'Income Statement'!E11*(1-Assumptions!$B$19)/('Balance Sheet'!E5+'Balance Sheet'!E13)</f>
        <v/>
      </c>
      <c r="F9" s="11">
        <f>'Income Statement'!F11*(1-Assumptions!$B$19)/('Balance Sheet'!F5+'Balance Sheet'!F13)</f>
        <v/>
      </c>
      <c r="G9" s="11">
        <f>'Income Statement'!G11*(1-Assumptions!$B$19)/('Balance Sheet'!G5+'Balance Sheet'!G13)</f>
        <v/>
      </c>
      <c r="H9" s="11">
        <f>'Income Statement'!H11*(1-Assumptions!$B$19)/('Balance Sheet'!H5+'Balance Sheet'!H13)</f>
        <v/>
      </c>
      <c r="I9" s="11">
        <f>'Income Statement'!I11*(1-Assumptions!$B$19)/('Balance Sheet'!I5+'Balance Sheet'!I13)</f>
        <v/>
      </c>
    </row>
    <row r="10">
      <c r="A10" s="3" t="inlineStr">
        <is>
          <t>EBITDA margin</t>
        </is>
      </c>
      <c r="B10" s="9">
        <f>'Summary Financials'!B7</f>
        <v/>
      </c>
      <c r="C10" s="9">
        <f>'Summary Financials'!C7</f>
        <v/>
      </c>
      <c r="D10" s="9">
        <f>'Summary Financials'!D7</f>
        <v/>
      </c>
      <c r="E10" s="9">
        <f>'Summary Financials'!E7</f>
        <v/>
      </c>
      <c r="F10" s="9">
        <f>'Summary Financials'!F7</f>
        <v/>
      </c>
      <c r="G10" s="9">
        <f>'Summary Financials'!G7</f>
        <v/>
      </c>
      <c r="H10" s="9">
        <f>'Summary Financials'!H7</f>
        <v/>
      </c>
      <c r="I10" s="9">
        <f>'Summary Financials'!I7</f>
        <v/>
      </c>
    </row>
    <row r="11">
      <c r="A11" s="3" t="inlineStr">
        <is>
          <t>Net debt to EBITDA</t>
        </is>
      </c>
      <c r="B11" s="20">
        <f>'Balance Sheet'!B14/'Income Statement'!B13</f>
        <v/>
      </c>
      <c r="C11" s="20">
        <f>'Balance Sheet'!C14/'Income Statement'!C13</f>
        <v/>
      </c>
      <c r="D11" s="20">
        <f>'Balance Sheet'!D14/'Income Statement'!D13</f>
        <v/>
      </c>
      <c r="E11" s="20">
        <f>'Balance Sheet'!E14/'Income Statement'!E13</f>
        <v/>
      </c>
      <c r="F11" s="20">
        <f>'Balance Sheet'!F14/'Income Statement'!F13</f>
        <v/>
      </c>
      <c r="G11" s="20">
        <f>'Balance Sheet'!G14/'Income Statement'!G13</f>
        <v/>
      </c>
      <c r="H11" s="20">
        <f>'Balance Sheet'!H14/'Income Statement'!H13</f>
        <v/>
      </c>
      <c r="I11" s="20">
        <f>'Balance Sheet'!I14/'Income Statement'!I13</f>
        <v/>
      </c>
    </row>
    <row r="12">
      <c r="A12" s="3" t="inlineStr">
        <is>
          <t>Dividend per share (AED)</t>
        </is>
      </c>
      <c r="B12" s="42">
        <f>0.162</f>
        <v/>
      </c>
      <c r="C12" s="42">
        <f>0.162</f>
        <v/>
      </c>
      <c r="D12" s="42">
        <f>0.162</f>
        <v/>
      </c>
      <c r="E12" s="42">
        <f>0.162</f>
        <v/>
      </c>
      <c r="F12" s="42">
        <f>0.162</f>
        <v/>
      </c>
      <c r="G12" s="42">
        <f>0.162</f>
        <v/>
      </c>
      <c r="H12" s="42">
        <f>0.162</f>
        <v/>
      </c>
      <c r="I12" s="42">
        <f>0.162</f>
        <v/>
      </c>
    </row>
    <row r="13">
      <c r="A13" s="3" t="inlineStr">
        <is>
          <t>Payout ratio</t>
        </is>
      </c>
      <c r="B13" s="11">
        <f>B12/B6</f>
        <v/>
      </c>
      <c r="C13" s="11">
        <f>C12/C6</f>
        <v/>
      </c>
      <c r="D13" s="11">
        <f>D12/D6</f>
        <v/>
      </c>
      <c r="E13" s="11">
        <f>E12/E6</f>
        <v/>
      </c>
      <c r="F13" s="11">
        <f>F12/F6</f>
        <v/>
      </c>
      <c r="G13" s="11">
        <f>G12/G6</f>
        <v/>
      </c>
      <c r="H13" s="11">
        <f>H12/H6</f>
        <v/>
      </c>
      <c r="I13" s="11">
        <f>I12/I6</f>
        <v/>
      </c>
    </row>
    <row r="15">
      <c r="A15" s="6" t="inlineStr">
        <is>
          <t>The dividend per share is the company's own stated annual intention of 16.2 fils. It is held flat rather than grown, because the company states an intention, not a policy formula.</t>
        </is>
      </c>
    </row>
  </sheetData>
  <mergeCells count="1">
    <mergeCell ref="A15:J1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Listed peers — a cross-check, never a source</t>
        </is>
      </c>
      <c r="B1" s="2" t="n"/>
      <c r="C1" s="2" t="n"/>
      <c r="D1" s="2" t="n"/>
      <c r="E1" s="2" t="n"/>
      <c r="F1" s="2" t="n"/>
      <c r="G1" s="2" t="n"/>
      <c r="H1" s="2" t="n"/>
      <c r="I1" s="2" t="n"/>
    </row>
    <row r="2">
      <c r="A2" s="6" t="inlineStr">
        <is>
          <t>Observed 9 August 2026. Shown to explain why the naive median is rejected, not to set the multiple.</t>
        </is>
      </c>
    </row>
    <row r="4">
      <c r="A4" s="7" t="inlineStr">
        <is>
          <t>Company</t>
        </is>
      </c>
      <c r="B4" s="7" t="inlineStr">
        <is>
          <t>EV / EBITDA</t>
        </is>
      </c>
      <c r="C4" s="7" t="inlineStr">
        <is>
          <t>Forward P/E</t>
        </is>
      </c>
      <c r="D4" s="7" t="inlineStr">
        <is>
          <t>Price to book</t>
        </is>
      </c>
      <c r="E4" s="7" t="inlineStr">
        <is>
          <t>Dividend yield</t>
        </is>
      </c>
      <c r="F4" s="7" t="inlineStr">
        <is>
          <t>EBITDA margin</t>
        </is>
      </c>
      <c r="G4" s="7" t="inlineStr">
        <is>
          <t>Net margin</t>
        </is>
      </c>
      <c r="H4" s="7" t="inlineStr">
        <is>
          <t>Loss-making</t>
        </is>
      </c>
    </row>
    <row r="5">
      <c r="A5" s="3" t="inlineStr">
        <is>
          <t>SABIC (Tadawul 2010)</t>
        </is>
      </c>
      <c r="B5" s="35" t="n">
        <v>10.83</v>
      </c>
      <c r="C5" s="35" t="n">
        <v>24.65</v>
      </c>
      <c r="D5" s="35" t="n">
        <v>1.02</v>
      </c>
      <c r="E5" s="28" t="n">
        <v>0.0435</v>
      </c>
      <c r="F5" s="28" t="n">
        <v>0.1393</v>
      </c>
      <c r="G5" s="28" t="n">
        <v>-0.1974</v>
      </c>
      <c r="H5" s="40" t="inlineStr">
        <is>
          <t>yes</t>
        </is>
      </c>
    </row>
    <row r="6">
      <c r="A6" s="3" t="inlineStr">
        <is>
          <t>Saudi Kayan (2350)</t>
        </is>
      </c>
      <c r="B6" s="35" t="n">
        <v>32.52</v>
      </c>
      <c r="C6" s="35" t="inlineStr">
        <is>
          <t>-</t>
        </is>
      </c>
      <c r="D6" s="35" t="n">
        <v>0.99</v>
      </c>
      <c r="E6" s="28" t="n">
        <v>0</v>
      </c>
      <c r="F6" s="28" t="n">
        <v>0.0604</v>
      </c>
      <c r="G6" s="28" t="n">
        <v>-0.3014</v>
      </c>
      <c r="H6" s="40" t="inlineStr">
        <is>
          <t>yes</t>
        </is>
      </c>
    </row>
    <row r="7">
      <c r="A7" s="3" t="inlineStr">
        <is>
          <t>Yansab (2290)</t>
        </is>
      </c>
      <c r="B7" s="35" t="n">
        <v>12.24</v>
      </c>
      <c r="C7" s="35" t="n">
        <v>33.04</v>
      </c>
      <c r="D7" s="35" t="n">
        <v>1.61</v>
      </c>
      <c r="E7" s="28" t="n">
        <v>0.0669</v>
      </c>
      <c r="F7" s="28" t="n">
        <v>0.2035</v>
      </c>
      <c r="G7" s="28" t="n">
        <v>0.0494</v>
      </c>
      <c r="H7" s="40" t="inlineStr">
        <is>
          <t>no</t>
        </is>
      </c>
    </row>
    <row r="8">
      <c r="A8" s="3" t="inlineStr">
        <is>
          <t>Industries Qatar (IQCD)</t>
        </is>
      </c>
      <c r="B8" s="35" t="n">
        <v>9.9</v>
      </c>
      <c r="C8" s="35" t="n">
        <v>17.04</v>
      </c>
      <c r="D8" s="35" t="n">
        <v>1.86</v>
      </c>
      <c r="E8" s="28" t="n">
        <v>0.0638</v>
      </c>
      <c r="F8" s="28" t="inlineStr">
        <is>
          <t>-</t>
        </is>
      </c>
      <c r="G8" s="28" t="inlineStr">
        <is>
          <t>-</t>
        </is>
      </c>
      <c r="H8" s="40" t="inlineStr">
        <is>
          <t>no</t>
        </is>
      </c>
    </row>
    <row r="9">
      <c r="A9" s="3" t="inlineStr">
        <is>
          <t>LyondellBasell (LYB)</t>
        </is>
      </c>
      <c r="B9" s="35" t="n">
        <v>12.96</v>
      </c>
      <c r="C9" s="35" t="n">
        <v>7.42</v>
      </c>
      <c r="D9" s="35" t="n">
        <v>1.8</v>
      </c>
      <c r="E9" s="28" t="n">
        <v>0.0463</v>
      </c>
      <c r="F9" s="28" t="n">
        <v>0.0765</v>
      </c>
      <c r="G9" s="28" t="n">
        <v>-0.0113</v>
      </c>
      <c r="H9" s="40" t="inlineStr">
        <is>
          <t>yes</t>
        </is>
      </c>
    </row>
    <row r="10">
      <c r="A10" s="3" t="inlineStr">
        <is>
          <t>Dow Inc (DOW)</t>
        </is>
      </c>
      <c r="B10" s="35" t="n">
        <v>13.39</v>
      </c>
      <c r="C10" s="35" t="n">
        <v>13.74</v>
      </c>
      <c r="D10" s="35" t="n">
        <v>1.34</v>
      </c>
      <c r="E10" s="28" t="n">
        <v>0.0477</v>
      </c>
      <c r="F10" s="28" t="n">
        <v>0.0658</v>
      </c>
      <c r="G10" s="28" t="n">
        <v>-0.0313</v>
      </c>
      <c r="H10" s="40" t="inlineStr">
        <is>
          <t>yes</t>
        </is>
      </c>
    </row>
    <row r="11">
      <c r="A11" s="3" t="inlineStr">
        <is>
          <t>Formosa Plastics (1301)</t>
        </is>
      </c>
      <c r="B11" s="35" t="n">
        <v>55.97</v>
      </c>
      <c r="C11" s="35" t="n">
        <v>14.8</v>
      </c>
      <c r="D11" s="35" t="n">
        <v>0.91</v>
      </c>
      <c r="E11" s="28" t="n">
        <v>0.008999999999999999</v>
      </c>
      <c r="F11" s="28" t="n">
        <v>0.0157</v>
      </c>
      <c r="G11" s="28" t="n">
        <v>-0.0401</v>
      </c>
      <c r="H11" s="40" t="inlineStr">
        <is>
          <t>yes</t>
        </is>
      </c>
    </row>
    <row r="12">
      <c r="A12" s="3" t="inlineStr">
        <is>
          <t>LG Chem (051910)</t>
        </is>
      </c>
      <c r="B12" s="35" t="n">
        <v>13.39</v>
      </c>
      <c r="C12" s="35" t="n">
        <v>15.48</v>
      </c>
      <c r="D12" s="35" t="n">
        <v>0.43</v>
      </c>
      <c r="E12" s="28" t="n">
        <v>0.0072</v>
      </c>
      <c r="F12" s="28" t="n">
        <v>0.1003</v>
      </c>
      <c r="G12" s="28" t="n">
        <v>-0.0452</v>
      </c>
      <c r="H12" s="40" t="inlineStr">
        <is>
          <t>yes</t>
        </is>
      </c>
    </row>
    <row r="13">
      <c r="A13" s="3" t="inlineStr">
        <is>
          <t>Petronas Chemicals (PCHEM)</t>
        </is>
      </c>
      <c r="B13" s="35" t="n">
        <v>22.92</v>
      </c>
      <c r="C13" s="35" t="n">
        <v>21.18</v>
      </c>
      <c r="D13" s="35" t="n">
        <v>0.97</v>
      </c>
      <c r="E13" s="28" t="n">
        <v>0.0156</v>
      </c>
      <c r="F13" s="28" t="n">
        <v>0.0512</v>
      </c>
      <c r="G13" s="28" t="n">
        <v>-0.06419999999999999</v>
      </c>
      <c r="H13" s="40" t="inlineStr">
        <is>
          <t>yes</t>
        </is>
      </c>
    </row>
    <row r="14">
      <c r="A14" s="3" t="inlineStr">
        <is>
          <t>Westlake (WLK)</t>
        </is>
      </c>
      <c r="B14" s="35" t="inlineStr">
        <is>
          <t>-</t>
        </is>
      </c>
      <c r="C14" s="35" t="n">
        <v>20.34</v>
      </c>
      <c r="D14" s="35" t="n">
        <v>1.14</v>
      </c>
      <c r="E14" s="28" t="n">
        <v>0.0274</v>
      </c>
      <c r="F14" s="28" t="n">
        <v>-0.0066</v>
      </c>
      <c r="G14" s="28" t="n">
        <v>-0.1094</v>
      </c>
      <c r="H14" s="40" t="inlineStr">
        <is>
          <t>yes</t>
        </is>
      </c>
    </row>
    <row r="15">
      <c r="A15" s="3" t="inlineStr">
        <is>
          <t>Braskem (BAK)</t>
        </is>
      </c>
      <c r="B15" s="35" t="inlineStr">
        <is>
          <t>-</t>
        </is>
      </c>
      <c r="C15" s="35" t="inlineStr">
        <is>
          <t>-</t>
        </is>
      </c>
      <c r="D15" s="35" t="inlineStr">
        <is>
          <t>-</t>
        </is>
      </c>
      <c r="E15" s="28" t="inlineStr">
        <is>
          <t>-</t>
        </is>
      </c>
      <c r="F15" s="28" t="n">
        <v>-0.0005999999999999999</v>
      </c>
      <c r="G15" s="28" t="n">
        <v>-0.1368</v>
      </c>
      <c r="H15" s="40" t="inlineStr">
        <is>
          <t>yes</t>
        </is>
      </c>
    </row>
    <row r="16">
      <c r="A16" s="4" t="inlineStr">
        <is>
          <t>Median of the multiples that print</t>
        </is>
      </c>
      <c r="B16" s="36">
        <f>MEDIAN(B5:B13)</f>
        <v/>
      </c>
      <c r="C16" s="6" t="inlineStr">
        <is>
          <t>REJECTED — see Relative &amp; Normalized</t>
        </is>
      </c>
    </row>
    <row r="18">
      <c r="A18" s="5" t="inlineStr">
        <is>
          <t>BOROUGE ON THE SAME BASIS, FOR CONTRAST</t>
        </is>
      </c>
      <c r="B18" s="5" t="n"/>
      <c r="C18" s="5" t="n"/>
      <c r="D18" s="5" t="n"/>
      <c r="E18" s="5" t="n"/>
      <c r="F18" s="5" t="n"/>
      <c r="G18" s="5" t="n"/>
      <c r="H18" s="5" t="n"/>
      <c r="I18" s="5" t="n"/>
      <c r="J18" s="5" t="n"/>
    </row>
    <row r="19">
      <c r="A19" s="3" t="inlineStr">
        <is>
          <t>EV / EBITDA</t>
        </is>
      </c>
      <c r="B19" s="35" t="n">
        <v>12.02</v>
      </c>
    </row>
    <row r="20">
      <c r="A20" s="3" t="inlineStr">
        <is>
          <t>Forward P/E</t>
        </is>
      </c>
      <c r="B20" s="35" t="n">
        <v>9.19</v>
      </c>
    </row>
    <row r="21">
      <c r="A21" s="3" t="inlineStr">
        <is>
          <t>Dividend yield</t>
        </is>
      </c>
      <c r="B21" s="28" t="n">
        <v>0.0675</v>
      </c>
    </row>
    <row r="22">
      <c r="A22" s="3" t="inlineStr">
        <is>
          <t>EBITDA margin</t>
        </is>
      </c>
      <c r="B22" s="28" t="n">
        <v>0.3305</v>
      </c>
    </row>
    <row r="24">
      <c r="A24" s="6" t="inlineStr">
        <is>
          <t>Borouge earns an EBITDA margin roughly three times the peer group's while nine of the eleven are loss-making. That is the advantaged-feedstock position, and it is the reason a peer median cannot be applied to it directly.</t>
        </is>
      </c>
    </row>
  </sheetData>
  <mergeCells count="1">
    <mergeCell ref="A24:I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2026-09-05T02:14:01Z</dcterms:created>
  <dcterms:modified xmlns:dcterms="http://purl.org/dc/terms/" xmlns:xsi="http://www.w3.org/2001/XMLSchema-instance" xsi:type="dcterms:W3CDTF">2026-09-05T02:14:01Z</dcterms:modified>
</cp:coreProperties>
</file>