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4">
    <numFmt numFmtId="164" formatCode="#,##0.000"/>
    <numFmt numFmtId="165" formatCode="0.0%"/>
    <numFmt numFmtId="166" formatCode="0.00&quot;x&quot;"/>
    <numFmt numFmtId="167" formatCode="0.0000"/>
  </numFmts>
  <fonts count="9">
    <font>
      <name val="Calibri"/>
      <family val="2"/>
      <color theme="1"/>
      <sz val="11"/>
      <scheme val="minor"/>
    </font>
    <font>
      <b val="1"/>
      <color rgb="001C3A36"/>
      <sz val="13"/>
    </font>
    <font>
      <i val="1"/>
      <color rgb="005A6764"/>
      <sz val="9.5"/>
    </font>
    <font>
      <color rgb="00222222"/>
      <sz val="10"/>
    </font>
    <font>
      <b val="1"/>
      <color rgb="00896F36"/>
      <sz val="10.5"/>
    </font>
    <font>
      <b val="1"/>
      <color rgb="001C3A36"/>
      <sz val="10.5"/>
    </font>
    <font>
      <color rgb="001F4E9C"/>
      <sz val="10"/>
    </font>
    <font>
      <color rgb="001E6B4F"/>
      <sz val="10"/>
    </font>
    <font>
      <color rgb="009AA5A2"/>
      <sz val="10"/>
    </font>
  </fonts>
  <fills count="2">
    <fill>
      <patternFill/>
    </fill>
    <fill>
      <patternFill patternType="gray125"/>
    </fill>
  </fills>
  <borders count="1">
    <border>
      <left/>
      <right/>
      <top/>
      <bottom/>
      <diagonal/>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2" fillId="0" borderId="0" pivotButton="0" quotePrefix="0" xfId="0"/>
    <xf numFmtId="0" fontId="5" fillId="0" borderId="0" pivotButton="0" quotePrefix="0" xfId="0"/>
    <xf numFmtId="0" fontId="3" fillId="0" borderId="0" pivotButton="0" quotePrefix="0" xfId="0"/>
    <xf numFmtId="4" fontId="6" fillId="0" borderId="0" pivotButton="0" quotePrefix="0" xfId="0"/>
    <xf numFmtId="4" fontId="7" fillId="0" borderId="0" pivotButton="0" quotePrefix="0" xfId="0"/>
    <xf numFmtId="165" fontId="7" fillId="0" borderId="0" pivotButton="0" quotePrefix="0" xfId="0"/>
    <xf numFmtId="4" fontId="3" fillId="0" borderId="0" pivotButton="0" quotePrefix="0" xfId="0"/>
    <xf numFmtId="165" fontId="3" fillId="0" borderId="0" pivotButton="0" quotePrefix="0" xfId="0"/>
    <xf numFmtId="0" fontId="4" fillId="0" borderId="0" pivotButton="0" quotePrefix="0" xfId="0"/>
    <xf numFmtId="3" fontId="7" fillId="0" borderId="0" pivotButton="0" quotePrefix="0" xfId="0"/>
    <xf numFmtId="10" fontId="7" fillId="0" borderId="0" pivotButton="0" quotePrefix="0" xfId="0"/>
    <xf numFmtId="166" fontId="7" fillId="0" borderId="0" pivotButton="0" quotePrefix="0" xfId="0"/>
    <xf numFmtId="164" fontId="6" fillId="0" borderId="0" pivotButton="0" quotePrefix="0" xfId="0"/>
    <xf numFmtId="3" fontId="3" fillId="0" borderId="0" pivotButton="0" quotePrefix="0" xfId="0"/>
    <xf numFmtId="3" fontId="6" fillId="0" borderId="0" pivotButton="0" quotePrefix="0" xfId="0"/>
    <xf numFmtId="165" fontId="6" fillId="0" borderId="0" pivotButton="0" quotePrefix="0" xfId="0"/>
    <xf numFmtId="10" fontId="6" fillId="0" borderId="0" pivotButton="0" quotePrefix="0" xfId="0"/>
    <xf numFmtId="166" fontId="6" fillId="0" borderId="0" pivotButton="0" quotePrefix="0" xfId="0"/>
    <xf numFmtId="167" fontId="6" fillId="0" borderId="0" pivotButton="0" quotePrefix="0" xfId="0"/>
    <xf numFmtId="164" fontId="7" fillId="0" borderId="0" pivotButton="0" quotePrefix="0" xfId="0"/>
    <xf numFmtId="166" fontId="3" fillId="0" borderId="0" pivotButton="0" quotePrefix="0" xfId="0"/>
    <xf numFmtId="164" fontId="3" fillId="0" borderId="0" pivotButton="0" quotePrefix="0" xfId="0"/>
    <xf numFmtId="10" fontId="3" fillId="0" borderId="0" pivotButton="0" quotePrefix="0" xfId="0"/>
    <xf numFmtId="0" fontId="8"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8" customWidth="1" min="1" max="1"/>
  </cols>
  <sheetData>
    <row r="1" ht="14" customHeight="1">
      <c r="A1" s="1" t="inlineStr">
        <is>
          <t>Testahil — Americana Restaurants International PLC (Abu Dhabi Securities Exchange: AMR)</t>
        </is>
      </c>
    </row>
    <row r="2" ht="14" customHeight="1">
      <c r="A2" s="2" t="inlineStr">
        <is>
          <t>Companion model · Independent valuation study · Educational analysis · Not investment advice</t>
        </is>
      </c>
    </row>
    <row r="4" ht="26" customHeight="1">
      <c r="A4" s="3" t="inlineStr">
        <is>
          <t>WHAT THIS WORKBOOK IS. A transparent companion to the Americana Restaurants valuation study. Blue cells are inputs, black cells are formulas, green cells link across sheets.</t>
        </is>
      </c>
    </row>
    <row r="6" ht="117" customHeight="1">
      <c r="A6" s="3" t="inlineStr">
        <is>
          <t>IT CALCULATES. Every figure that can be derived arithmetically from a driver is a live formula, so you can change a blue cell on the Assumptions sheet and watch the model reprice. The cost of capital is built from the risk-free rate, the sovereign spread, beta and the premium rather than pasted. The glide the discount rate walks down is derived from the tax path. The discount factors compound. The cash-flow waterfall chains: EBITDA less depreciation gives EBIT, EBIT after tax gives NOPAT, and free cash flow to the firm falls out of NOPAT, depreciation, capital expenditure and the change in working capital. The terminal block chains too: the reinvestment rate is growth divided by the return on capital, and the terminal value follows from terminal NOPAT, that reinvestment rate, the terminal cost of capital and growth. The statements roll forward — property, right-of-use assets, working capital, equity, cash and the lease liability each carry from one year to the next — and every ratio and per-share figure on every sheet is a formula.</t>
        </is>
      </c>
    </row>
    <row r="8" ht="14" customHeight="1">
      <c r="A8" s="4" t="inlineStr">
        <is>
          <t>FOUR CLASSES OF CELL ARE PASTED, AND ONLY FOUR.</t>
        </is>
      </c>
    </row>
    <row r="9" ht="26" customHeight="1">
      <c r="A9" s="3" t="inlineStr">
        <is>
          <t xml:space="preserve">  1. Audited and disclosed history. The primary record is not a calculation. Where a line is both disclosed and derivable, the disclosed figure is carried.</t>
        </is>
      </c>
    </row>
    <row r="10" ht="26" customHeight="1">
      <c r="A10" s="3" t="inlineStr">
        <is>
          <t xml:space="preserve">  2. The probability map. Each figure on the Monte Carlo sheet is the output of a fifty-thousand-path simulation, not a formula.</t>
        </is>
      </c>
    </row>
    <row r="11" ht="26" customHeight="1">
      <c r="A11" s="3" t="inlineStr">
        <is>
          <t xml:space="preserve">  3. The sensitivity grids. Each cell there is a complete re-run of the whole model with joint driver shifts, so it cannot be a single formula. Those grids do NOT redraw when a driver is changed.</t>
        </is>
      </c>
    </row>
    <row r="12" ht="65" customHeight="1">
      <c r="A12" s="3" t="inlineStr">
        <is>
          <t xml:space="preserve">  4. Two whole-model re-runs named individually: the bear and bull of the cash-flow lens on the Summary sheet, whose joint driver sets (margin plus or minus 1.5 points, cost of capital minus or plus 1.5 points, terminal growth 2% or 4%, like-for-like plus or minus 1 point) are stated beside them; and the leases-as-operating-cost reading on the Fundamental Valuation sheet. The expert panel, both readings of the margin question, the cyclical value and every lens bear and bull are LIVE FORMULAS in this edition.</t>
        </is>
      </c>
    </row>
    <row r="13" ht="14" customHeight="1">
      <c r="A13" s="3" t="inlineStr">
        <is>
          <t>Anything else pasted would be a defect. The formula and pasted-value counts are reported at the foot of this sheet.</t>
        </is>
      </c>
    </row>
    <row r="15" ht="91" customHeight="1">
      <c r="A15" s="3" t="inlineStr">
        <is>
          <t>HOW REVENUE IS BUILT. Not as one growth rate. The restaurant estate is disclosed country by country at each period end and segment revenue is disclosed for the same units, so revenue is built as restaurants times revenue per restaurant across seven market units. The restaurant count grows on the company's own net-new-store guidance; the revenue per restaurant grows on disclosed like-for-like sales growth, less a currency drag applied only to the two markets whose currencies are not pegged to the dollar. The build reproduces reported revenue exactly in all three audited years. Margins are an OUTPUT of the cost stack, not an input: eight cost classes are each escalated on their own driver, never on one blended index.</t>
        </is>
      </c>
    </row>
    <row r="17" ht="52" customHeight="1">
      <c r="A17" s="3" t="inlineStr">
        <is>
          <t>CURRENCY. The company reports in US dollars. The shares trade in dirhams in Abu Dhabi and in riyals in Riyadh, and the dirham has been pegged at 3.6725 to the dollar since 1997. The model runs in US dollars — the reporting and functional currency — and converts to dirhams at the peg. Figures are USD million unless stated; per-share figures are shown in both currencies.</t>
        </is>
      </c>
    </row>
    <row r="19" ht="52" customHeight="1">
      <c r="A19" s="3" t="inlineStr">
        <is>
          <t>THE OPEN QUESTION. Between the first half of 2025 and the first half of 2026 the EBITDA margin went from 22.6% to 25.5%. Whether that is structural or cyclical is the single judgement that decides this valuation, and nothing in the filings settles it. Both readings are computed and both are published, on the Summary and Fundamental Valuation sheets. They are not averaged.</t>
        </is>
      </c>
    </row>
    <row r="21" ht="26" customHeight="1">
      <c r="A21" s="3" t="inlineStr">
        <is>
          <t>WHAT IT IS NOT. It is not investment advice, a recommendation, or a price target. Values are model outputs shown as ranges.</t>
        </is>
      </c>
    </row>
    <row r="23" ht="40" customHeight="1">
      <c r="A23" s="4" t="inlineStr">
        <is>
          <t>COUNTS. This workbook carries 897 formula cells against 406 pasted values — 307 audited or disclosed history, 29 engine outputs, and 70 sensitivity-grid cells. Every one of the 897 formula cells is checked against the model that wrote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44" customWidth="1" min="1" max="1"/>
    <col width="13" customWidth="1" min="2" max="2"/>
    <col width="13" customWidth="1" min="3" max="3"/>
    <col width="13" customWidth="1" min="4" max="4"/>
    <col width="11" customWidth="1" min="5" max="5"/>
    <col width="14" customWidth="1" min="6" max="6"/>
    <col width="15" customWidth="1" min="7" max="7"/>
    <col width="12" customWidth="1" min="8" max="8"/>
  </cols>
  <sheetData>
    <row r="1">
      <c r="A1" s="5" t="inlineStr">
        <is>
          <t>Summary — the valuation at a glance</t>
        </is>
      </c>
    </row>
    <row r="2">
      <c r="A2" s="6" t="inlineStr">
        <is>
          <t>All values link live to their source sheets. AED per share unless stated.</t>
        </is>
      </c>
    </row>
    <row r="4">
      <c r="A4" s="7" t="inlineStr">
        <is>
          <t>Lens</t>
        </is>
      </c>
      <c r="B4" s="7" t="inlineStr">
        <is>
          <t>Bear</t>
        </is>
      </c>
      <c r="C4" s="7" t="inlineStr">
        <is>
          <t>Base</t>
        </is>
      </c>
      <c r="D4" s="7" t="inlineStr">
        <is>
          <t>Bull</t>
        </is>
      </c>
      <c r="E4" s="7" t="inlineStr">
        <is>
          <t>Weight</t>
        </is>
      </c>
      <c r="F4" s="7" t="inlineStr">
        <is>
          <t>Contribution</t>
        </is>
      </c>
      <c r="G4" s="7" t="inlineStr">
        <is>
          <t>Terminal value share</t>
        </is>
      </c>
      <c r="H4" s="7" t="inlineStr">
        <is>
          <t>vs market</t>
        </is>
      </c>
    </row>
    <row r="5">
      <c r="A5" s="8" t="inlineStr">
        <is>
          <t>Discounted cash flow</t>
        </is>
      </c>
      <c r="B5" s="9" t="n">
        <v>1.3612963353766</v>
      </c>
      <c r="C5" s="10">
        <f>DCF!C39</f>
        <v/>
      </c>
      <c r="D5" s="9" t="n">
        <v>4.059369975771861</v>
      </c>
      <c r="E5" s="11">
        <f>Assumptions!$C$103</f>
        <v/>
      </c>
      <c r="F5" s="12">
        <f>C5*E5</f>
        <v/>
      </c>
      <c r="G5" s="11">
        <f>DCF!C32</f>
        <v/>
      </c>
      <c r="H5" s="13">
        <f>C5/$C$12-1</f>
        <v/>
      </c>
    </row>
    <row r="6">
      <c r="A6" s="8" t="inlineStr">
        <is>
          <t>Relative multiples</t>
        </is>
      </c>
      <c r="B6" s="10">
        <f>'Relative &amp; Normalized'!C13</f>
        <v/>
      </c>
      <c r="C6" s="10">
        <f>'Relative &amp; Normalized'!B12</f>
        <v/>
      </c>
      <c r="D6" s="10">
        <f>'Relative &amp; Normalized'!D13</f>
        <v/>
      </c>
      <c r="E6" s="11">
        <f>Assumptions!$C$104</f>
        <v/>
      </c>
      <c r="F6" s="12">
        <f>C6*E6</f>
        <v/>
      </c>
      <c r="H6" s="13">
        <f>C6/$C$12-1</f>
        <v/>
      </c>
    </row>
    <row r="7">
      <c r="A7" s="8" t="inlineStr">
        <is>
          <t>Normalised earnings power</t>
        </is>
      </c>
      <c r="B7" s="10">
        <f>'Relative &amp; Normalized'!C32</f>
        <v/>
      </c>
      <c r="C7" s="10">
        <f>'Relative &amp; Normalized'!B31</f>
        <v/>
      </c>
      <c r="D7" s="10">
        <f>'Relative &amp; Normalized'!D32</f>
        <v/>
      </c>
      <c r="E7" s="11">
        <f>Assumptions!$C$105</f>
        <v/>
      </c>
      <c r="F7" s="12">
        <f>C7*E7</f>
        <v/>
      </c>
      <c r="H7" s="13">
        <f>C7/$C$12-1</f>
        <v/>
      </c>
    </row>
    <row r="8">
      <c r="A8" s="8" t="inlineStr">
        <is>
          <t>Book value and sustainable return</t>
        </is>
      </c>
      <c r="B8" s="10">
        <f>'Relative &amp; Normalized'!C41</f>
        <v/>
      </c>
      <c r="C8" s="10">
        <f>'Relative &amp; Normalized'!B40</f>
        <v/>
      </c>
      <c r="D8" s="10">
        <f>'Relative &amp; Normalized'!D41</f>
        <v/>
      </c>
      <c r="E8" s="11">
        <f>Assumptions!$C$106</f>
        <v/>
      </c>
      <c r="F8" s="12">
        <f>C8*E8</f>
        <v/>
      </c>
      <c r="H8" s="13">
        <f>C8/$C$12-1</f>
        <v/>
      </c>
    </row>
    <row r="10">
      <c r="A10" s="7" t="inlineStr">
        <is>
          <t>Weighted central — outer columns are the weighted bear and bull</t>
        </is>
      </c>
      <c r="B10" s="12">
        <f>B5*E5+B6*E6+B7*E7+B8*E8</f>
        <v/>
      </c>
      <c r="C10" s="12">
        <f>SUM(F5:F8)</f>
        <v/>
      </c>
      <c r="D10" s="12">
        <f>D5*E5+D6*E6+D7*E7+D8*E8</f>
        <v/>
      </c>
      <c r="E10" s="13">
        <f>SUM(E5:E8)</f>
        <v/>
      </c>
      <c r="H10" s="13">
        <f>C10/$C$12-1</f>
        <v/>
      </c>
    </row>
    <row r="11">
      <c r="A11" s="8" t="inlineStr">
        <is>
          <t>Range across the lenses (widest bear to widest bull, unweighted)</t>
        </is>
      </c>
      <c r="B11" s="12">
        <f>MIN(B5:B8)</f>
        <v/>
      </c>
      <c r="D11" s="12">
        <f>MAX(D5:D8)</f>
        <v/>
      </c>
    </row>
    <row r="12">
      <c r="A12" s="7" t="inlineStr">
        <is>
          <t>Market price (anchor, 7 August 2026)</t>
        </is>
      </c>
      <c r="C12" s="10">
        <f>Assumptions!$C$5</f>
        <v/>
      </c>
    </row>
    <row r="13">
      <c r="A13" s="8" t="inlineStr">
        <is>
          <t>Expert panel median</t>
        </is>
      </c>
      <c r="C13" s="10">
        <f>'Fundamental Valuation'!C29</f>
        <v/>
      </c>
      <c r="H13" s="13">
        <f>C13/$C$12-1</f>
        <v/>
      </c>
    </row>
    <row r="14">
      <c r="A14" s="14" t="inlineStr">
        <is>
          <t>The open question — the margin, both ways</t>
        </is>
      </c>
    </row>
    <row r="15">
      <c r="A15" s="8" t="inlineStr">
        <is>
          <t>Structural: the first-half gains hold</t>
        </is>
      </c>
      <c r="C15" s="10">
        <f>'Fundamental Valuation'!C13</f>
        <v/>
      </c>
      <c r="H15" s="13">
        <f>C15/$C$12-1</f>
        <v/>
      </c>
    </row>
    <row r="16">
      <c r="A16" s="8" t="inlineStr">
        <is>
          <t>Cyclical: the margin reverts to the three-year average</t>
        </is>
      </c>
      <c r="C16" s="10">
        <f>'Fundamental Valuation'!C14</f>
        <v/>
      </c>
      <c r="H16" s="13">
        <f>C16/$C$12-1</f>
        <v/>
      </c>
    </row>
    <row r="18">
      <c r="A18" s="14" t="inlineStr">
        <is>
          <t>Key figures</t>
        </is>
      </c>
    </row>
    <row r="19">
      <c r="A19" s="8" t="inlineStr">
        <is>
          <t>Shares outstanding, net of treasury (million)</t>
        </is>
      </c>
      <c r="C19" s="15">
        <f>Assumptions!$C$7</f>
        <v/>
      </c>
    </row>
    <row r="20">
      <c r="A20" s="8" t="inlineStr">
        <is>
          <t>Market capitalisation (USD million)</t>
        </is>
      </c>
      <c r="C20" s="10">
        <f>DCF!C56</f>
        <v/>
      </c>
    </row>
    <row r="21">
      <c r="A21" s="8" t="inlineStr">
        <is>
          <t>Net debt at 31 December 2025 (USD million)</t>
        </is>
      </c>
      <c r="C21" s="10">
        <f>'Balance Sheet'!D17</f>
        <v/>
      </c>
    </row>
    <row r="22">
      <c r="A22" s="8" t="inlineStr">
        <is>
          <t>FY2025 revenue (USD million)</t>
        </is>
      </c>
      <c r="C22" s="10">
        <f>'Income Statement'!D5</f>
        <v/>
      </c>
    </row>
    <row r="23">
      <c r="A23" s="8" t="inlineStr">
        <is>
          <t>FY2025 EBITDA (USD million)</t>
        </is>
      </c>
      <c r="C23" s="10">
        <f>'Income Statement'!D8</f>
        <v/>
      </c>
    </row>
    <row r="24">
      <c r="A24" s="8" t="inlineStr">
        <is>
          <t>FY2025 profit attributable to shareholders (USD million)</t>
        </is>
      </c>
      <c r="C24" s="10">
        <f>'Income Statement'!D19</f>
        <v/>
      </c>
    </row>
    <row r="25">
      <c r="A25" s="8" t="inlineStr">
        <is>
          <t>Restaurants at 31 December 2025</t>
        </is>
      </c>
      <c r="C25" s="15">
        <f>Segments!B12</f>
        <v/>
      </c>
    </row>
    <row r="26">
      <c r="A26" s="8" t="inlineStr">
        <is>
          <t>Cost of capital — explicit window</t>
        </is>
      </c>
      <c r="C26" s="16">
        <f>DCF!C46</f>
        <v/>
      </c>
    </row>
    <row r="27">
      <c r="A27" s="8" t="inlineStr">
        <is>
          <t>Cost of capital — terminal</t>
        </is>
      </c>
      <c r="C27" s="16">
        <f>DCF!C53</f>
        <v/>
      </c>
    </row>
    <row r="28">
      <c r="A28" s="8" t="inlineStr">
        <is>
          <t>Terminal growth</t>
        </is>
      </c>
      <c r="C28" s="11">
        <f>DCF!C22</f>
        <v/>
      </c>
    </row>
    <row r="29">
      <c r="A29" s="8" t="inlineStr">
        <is>
          <t>Terminal value as a share of enterprise value</t>
        </is>
      </c>
      <c r="C29" s="11">
        <f>DCF!C32</f>
        <v/>
      </c>
    </row>
    <row r="30">
      <c r="A30" s="8" t="inlineStr">
        <is>
          <t>Trailing enterprise value / EBITDA</t>
        </is>
      </c>
      <c r="C30" s="17">
        <f>'Relative &amp; Normalized'!B16</f>
        <v/>
      </c>
    </row>
    <row r="31">
      <c r="A31" s="8" t="inlineStr">
        <is>
          <t>Dividend yield on the declared FY2025 distribution</t>
        </is>
      </c>
      <c r="C31" s="11">
        <f>Assumptions!$C$126/DCF!C56</f>
        <v/>
      </c>
    </row>
    <row r="33">
      <c r="A33" s="2" t="inlineStr">
        <is>
          <t>The terminal value share is shown beside the cash-flow lens above and again in the key figures, and it is a live link to the DCF sheet in both places.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54" customWidth="1" min="1" max="1"/>
    <col width="32" customWidth="1" min="2" max="2"/>
    <col width="15" customWidth="1" min="3" max="3"/>
    <col width="15" customWidth="1" min="4" max="4"/>
    <col width="15" customWidth="1" min="5" max="5"/>
  </cols>
  <sheetData>
    <row r="1">
      <c r="A1" s="5" t="inlineStr">
        <is>
          <t>Fundamental valuation — the four lenses, the open question, and the panel</t>
        </is>
      </c>
    </row>
    <row r="4">
      <c r="A4" s="7" t="inlineStr">
        <is>
          <t>Lens</t>
        </is>
      </c>
      <c r="B4" s="7" t="inlineStr">
        <is>
          <t>Basis</t>
        </is>
      </c>
      <c r="C4" s="7" t="inlineStr">
        <is>
          <t>AED per share</t>
        </is>
      </c>
    </row>
    <row r="5">
      <c r="A5" s="8" t="inlineStr">
        <is>
          <t>Discounted cash flow</t>
        </is>
      </c>
      <c r="B5" s="8" t="inlineStr">
        <is>
          <t>the full waterfall on the DCF sheet</t>
        </is>
      </c>
      <c r="C5" s="12">
        <f>DCF!C39</f>
        <v/>
      </c>
    </row>
    <row r="6">
      <c r="A6" s="8" t="inlineStr">
        <is>
          <t>Relative multiples</t>
        </is>
      </c>
      <c r="B6" s="8" t="inlineStr">
        <is>
          <t>8.5x forward EBITDA</t>
        </is>
      </c>
      <c r="C6" s="12">
        <f>'Relative &amp; Normalized'!B12</f>
        <v/>
      </c>
    </row>
    <row r="7">
      <c r="A7" s="8" t="inlineStr">
        <is>
          <t>Normalised earnings power</t>
        </is>
      </c>
      <c r="B7" s="8" t="inlineStr">
        <is>
          <t>17x mid-cycle earnings</t>
        </is>
      </c>
      <c r="C7" s="12">
        <f>'Relative &amp; Normalized'!B31</f>
        <v/>
      </c>
    </row>
    <row r="8">
      <c r="A8" s="8" t="inlineStr">
        <is>
          <t>Book value and sustainable return</t>
        </is>
      </c>
      <c r="B8" s="8" t="inlineStr">
        <is>
          <t>justified price to book on a sustainable return</t>
        </is>
      </c>
      <c r="C8" s="12">
        <f>'Relative &amp; Normalized'!B40</f>
        <v/>
      </c>
    </row>
    <row r="10">
      <c r="A10" s="7" t="inlineStr">
        <is>
          <t>Weighted central</t>
        </is>
      </c>
      <c r="C10" s="10">
        <f>Summary!C10</f>
        <v/>
      </c>
    </row>
    <row r="12">
      <c r="A12" s="14" t="inlineStr">
        <is>
          <t>THE OPEN QUESTION — the margin, computed both ways</t>
        </is>
      </c>
    </row>
    <row r="13">
      <c r="A13" s="8" t="inlineStr">
        <is>
          <t>Structural — the gains hold and improve slowly</t>
        </is>
      </c>
      <c r="B13" s="8" t="inlineStr">
        <is>
          <t>The base case. Food and packaging stays near the 27.4% of revenue the company actually recorded in the first half of 2026, and the EBITDA margin runs from 25.4% to a peak of 25.4% before the growing delivery channel eases it to 24.9%.</t>
        </is>
      </c>
      <c r="C13" s="10">
        <f>DCF!C39</f>
        <v/>
      </c>
    </row>
    <row r="14">
      <c r="A14" s="8" t="inlineStr">
        <is>
          <t>Cyclical — the gains are competed away</t>
        </is>
      </c>
      <c r="B14" s="8" t="inlineStr">
        <is>
          <t>The first half of 2026 is banked, and the EBITDA margin then reverts in a straight line to the three-year audited average of 22.8% by FY2030.</t>
        </is>
      </c>
      <c r="C14" s="10">
        <f>DCF!C79</f>
        <v/>
      </c>
    </row>
    <row r="15">
      <c r="A15" s="8" t="inlineStr">
        <is>
          <t>The gap</t>
        </is>
      </c>
      <c r="C15" s="13">
        <f>C14/C13-1</f>
        <v/>
      </c>
    </row>
    <row r="16" ht="42" customHeight="1">
      <c r="A16" s="2" t="inlineStr">
        <is>
          <t>Both readings are LIVE in this workbook: the structural value is the DCF sheet headline and the cyclical value is the parallel formula block at the foot of the DCF sheet, sharing every driver except the margin path. They are published side by side and never averaged.</t>
        </is>
      </c>
    </row>
    <row r="18">
      <c r="A18" s="14" t="inlineStr">
        <is>
          <t>A SECOND READING — how the lease estate is treated</t>
        </is>
      </c>
    </row>
    <row r="19">
      <c r="A19" s="8" t="inlineStr">
        <is>
          <t>Leases capitalised, as the accounts present them</t>
        </is>
      </c>
      <c r="C19" s="9" t="n">
        <v>2.22221792343126</v>
      </c>
    </row>
    <row r="20">
      <c r="A20" s="8" t="inlineStr">
        <is>
          <t>Leases as an operating cost</t>
        </is>
      </c>
      <c r="C20" s="9" t="n">
        <v>2.195924444939009</v>
      </c>
    </row>
    <row r="21">
      <c r="A21" s="8" t="inlineStr">
        <is>
          <t>The gap</t>
        </is>
      </c>
      <c r="C21" s="13">
        <f>C20/C19-1</f>
        <v/>
      </c>
    </row>
    <row r="22" ht="42" customHeight="1">
      <c r="A22" s="2" t="inlineStr">
        <is>
          <t>The two readings differ by under two percent once each is built consistently — charging the right-of-use additions as investment on the capitalised reading, and charging the whole rent bill as a cost on the other. That is a result worth stating: the accounting choice that dominates the balance sheet turns out not to be the thing that decides the value.</t>
        </is>
      </c>
    </row>
    <row r="24">
      <c r="A24" s="14" t="inlineStr">
        <is>
          <t>THE EXPERT PANEL</t>
        </is>
      </c>
    </row>
    <row r="25">
      <c r="A25" s="7" t="inlineStr">
        <is>
          <t>Expert</t>
        </is>
      </c>
      <c r="B25" s="7" t="inlineStr">
        <is>
          <t>Method</t>
        </is>
      </c>
      <c r="C25" s="7" t="inlineStr">
        <is>
          <t>Base (AED)</t>
        </is>
      </c>
      <c r="D25" s="7" t="inlineStr">
        <is>
          <t>Low</t>
        </is>
      </c>
      <c r="E25" s="7" t="inlineStr">
        <is>
          <t>High</t>
        </is>
      </c>
    </row>
    <row r="26">
      <c r="A26" s="8" t="inlineStr">
        <is>
          <t>Expert 1</t>
        </is>
      </c>
      <c r="B26" s="8" t="inlineStr">
        <is>
          <t>Restaurant-level unit economics</t>
        </is>
      </c>
      <c r="C26" s="12">
        <f>(((2*Assumptions!$C$124-Assumptions!$C$125-Assumptions!$C$62*DCF!B5-Assumptions!$C$65*DCF!B5)*(1-Assumptions!$C$71)/DCF!C61+Assumptions!$C$88-Assumptions!$C$90)/Assumptions!$C$7*DCF!$E$38-Assumptions!$C$118)*Assumptions!$C$6</f>
        <v/>
      </c>
      <c r="D26" s="12">
        <f>(((2*Assumptions!$C$124-Assumptions!$C$125-Assumptions!$C$62*DCF!B5-Assumptions!$C$65*DCF!B5)*(1-Assumptions!$C$71)/(DCF!C61+0.015)+Assumptions!$C$88-Assumptions!$C$90)/Assumptions!$C$7*DCF!$E$38-Assumptions!$C$118)*Assumptions!$C$6</f>
        <v/>
      </c>
      <c r="E26" s="12">
        <f>(((2*Assumptions!$C$124-Assumptions!$C$125-Assumptions!$C$62*DCF!B5-Assumptions!$C$65*DCF!B5)*(1-Assumptions!$C$71)/(DCF!C61-0.01)+Assumptions!$C$88-Assumptions!$C$90)/Assumptions!$C$7*DCF!$E$38-Assumptions!$C$118)*Assumptions!$C$6</f>
        <v/>
      </c>
    </row>
    <row r="27">
      <c r="A27" s="8" t="inlineStr">
        <is>
          <t>Expert 2</t>
        </is>
      </c>
      <c r="B27" s="8" t="inlineStr">
        <is>
          <t>Distributable cash as a perpetuity</t>
        </is>
      </c>
      <c r="C27" s="12">
        <f>(Assumptions!$C$126/Assumptions!$C$7*(1+Assumptions!$C$84)/(DCF!C61-Assumptions!$C$84)*DCF!$E$38-Assumptions!$C$118)*Assumptions!$C$6</f>
        <v/>
      </c>
      <c r="D27" s="12">
        <f>(Assumptions!$C$126/Assumptions!$C$7*1.02/(DCF!C61+0.01-0.02)*DCF!$E$38-Assumptions!$C$118)*Assumptions!$C$6</f>
        <v/>
      </c>
      <c r="E27" s="12">
        <f>(Assumptions!$C$126/Assumptions!$C$7*1.04/(DCF!C61-0.005-0.04)*DCF!$E$38-Assumptions!$C$118)*Assumptions!$C$6</f>
        <v/>
      </c>
    </row>
    <row r="28">
      <c r="A28" s="8" t="inlineStr">
        <is>
          <t>Expert 3</t>
        </is>
      </c>
      <c r="B28" s="8" t="inlineStr">
        <is>
          <t>Return on capital against the cost of capital</t>
        </is>
      </c>
      <c r="C28" s="12">
        <f>((DCF!B12/DCF!C53+DCF!B12*(DCF!B12/'Balance Sheet'!E18-DCF!C53)/(DCF!B12/'Balance Sheet'!E18)*Assumptions!$C$84/(DCF!C53*(DCF!C53-Assumptions!$C$84))+DCF!C33+DCF!C34+DCF!C35+DCF!C36)/Assumptions!$C$7*DCF!$E$38-Assumptions!$C$118)*Assumptions!$C$6</f>
        <v/>
      </c>
      <c r="D28" s="12">
        <f>((DCF!B12/(DCF!C53+0.01)+DCF!C33+DCF!C34+DCF!C35+DCF!C36)/Assumptions!$C$7*DCF!$E$38-Assumptions!$C$118)*Assumptions!$C$6</f>
        <v/>
      </c>
      <c r="E28" s="12">
        <f>(((DCF!B12/DCF!C53+DCF!B12*(DCF!B12/'Balance Sheet'!E18-DCF!C53)/(DCF!B12/'Balance Sheet'!E18)*Assumptions!$C$84/(DCF!C53*(DCF!C53-Assumptions!$C$84)))*1.18+DCF!C33+DCF!C34+DCF!C35+DCF!C36)/Assumptions!$C$7*DCF!$E$38-Assumptions!$C$118)*Assumptions!$C$6</f>
        <v/>
      </c>
    </row>
    <row r="29">
      <c r="A29" s="7" t="inlineStr">
        <is>
          <t>Panel median</t>
        </is>
      </c>
      <c r="C29" s="12">
        <f>MEDIAN(C26:C28)</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6"/>
  <sheetViews>
    <sheetView workbookViewId="0">
      <selection activeCell="A1" sqref="A1"/>
    </sheetView>
  </sheetViews>
  <sheetFormatPr baseColWidth="8" defaultRowHeight="15"/>
  <cols>
    <col width="62" customWidth="1" min="1" max="1"/>
    <col width="13" customWidth="1" min="2" max="2"/>
    <col width="13" customWidth="1" min="3" max="3"/>
    <col width="13" customWidth="1" min="4" max="4"/>
    <col width="13" customWidth="1" min="5" max="5"/>
    <col width="13" customWidth="1" min="6" max="6"/>
  </cols>
  <sheetData>
    <row r="1">
      <c r="A1" s="5" t="inlineStr">
        <is>
          <t>Assumptions — every driver in the model</t>
        </is>
      </c>
    </row>
    <row r="2">
      <c r="A2" s="6" t="inlineStr">
        <is>
          <t>Blue cells are inputs. Change one and the model reprices: everything downstream of this sheet is a formula.</t>
        </is>
      </c>
    </row>
    <row r="3">
      <c r="A3" s="7" t="inlineStr">
        <is>
          <t>Driver</t>
        </is>
      </c>
      <c r="B3" s="7" t="inlineStr">
        <is>
          <t>FY2026E</t>
        </is>
      </c>
      <c r="C3" s="7" t="inlineStr">
        <is>
          <t>FY2027E</t>
        </is>
      </c>
      <c r="D3" s="7" t="inlineStr">
        <is>
          <t>FY2028E</t>
        </is>
      </c>
      <c r="E3" s="7" t="inlineStr">
        <is>
          <t>FY2029E</t>
        </is>
      </c>
      <c r="F3" s="7" t="inlineStr">
        <is>
          <t>FY2030E</t>
        </is>
      </c>
    </row>
    <row r="4">
      <c r="A4" s="14" t="inlineStr">
        <is>
          <t>Anchors</t>
        </is>
      </c>
    </row>
    <row r="5">
      <c r="A5" s="8" t="inlineStr">
        <is>
          <t>Market price (AED per share)</t>
        </is>
      </c>
      <c r="C5" s="9" t="n">
        <v>2.39</v>
      </c>
    </row>
    <row r="6">
      <c r="A6" s="8" t="inlineStr">
        <is>
          <t>Dirhams per US dollar (the peg)</t>
        </is>
      </c>
      <c r="C6" s="18" t="n">
        <v>3.6725</v>
      </c>
    </row>
    <row r="7">
      <c r="A7" s="8" t="inlineStr">
        <is>
          <t>Shares outstanding, net of treasury (million) — issued less treasury</t>
        </is>
      </c>
      <c r="C7" s="19">
        <f>C8-E8</f>
        <v/>
      </c>
    </row>
    <row r="8">
      <c r="A8" s="8" t="inlineStr">
        <is>
          <t>Shares issued (million)</t>
        </is>
      </c>
      <c r="C8" s="20" t="n">
        <v>8423.633099999999</v>
      </c>
      <c r="D8" s="6" t="inlineStr">
        <is>
          <t>less treasury (million)</t>
        </is>
      </c>
      <c r="E8" s="20" t="n">
        <v>25</v>
      </c>
    </row>
    <row r="10">
      <c r="A10" s="14" t="inlineStr">
        <is>
          <t>Volume — the restaurant estate</t>
        </is>
      </c>
    </row>
    <row r="11">
      <c r="A11" s="8" t="inlineStr">
        <is>
          <t>Net new restaurants a year</t>
        </is>
      </c>
      <c r="B11" s="20" t="n">
        <v>125</v>
      </c>
      <c r="C11" s="20" t="n">
        <v>130</v>
      </c>
      <c r="D11" s="20" t="n">
        <v>130</v>
      </c>
      <c r="E11" s="20" t="n">
        <v>125</v>
      </c>
      <c r="F11" s="20" t="n">
        <v>120</v>
      </c>
    </row>
    <row r="12">
      <c r="A12" s="6" t="inlineStr">
        <is>
          <t>Share of net additions, by market</t>
        </is>
      </c>
    </row>
    <row r="13">
      <c r="A13" s="8" t="inlineStr">
        <is>
          <t xml:space="preserve">   UAE</t>
        </is>
      </c>
      <c r="C13" s="21" t="n">
        <v>0.26</v>
      </c>
    </row>
    <row r="14">
      <c r="A14" s="8" t="inlineStr">
        <is>
          <t xml:space="preserve">   Saudi Arabia</t>
        </is>
      </c>
      <c r="C14" s="21" t="n">
        <v>0.3</v>
      </c>
    </row>
    <row r="15">
      <c r="A15" s="8" t="inlineStr">
        <is>
          <t xml:space="preserve">   Kuwait</t>
        </is>
      </c>
      <c r="C15" s="21" t="n">
        <v>0.06</v>
      </c>
    </row>
    <row r="16">
      <c r="A16" s="8" t="inlineStr">
        <is>
          <t xml:space="preserve">   Egypt</t>
        </is>
      </c>
      <c r="C16" s="21" t="n">
        <v>0.12</v>
      </c>
    </row>
    <row r="17">
      <c r="A17" s="8" t="inlineStr">
        <is>
          <t xml:space="preserve">   Morocco</t>
        </is>
      </c>
      <c r="C17" s="21" t="n">
        <v>0.04</v>
      </c>
    </row>
    <row r="18">
      <c r="A18" s="8" t="inlineStr">
        <is>
          <t xml:space="preserve">   Lower Gulf</t>
        </is>
      </c>
      <c r="C18" s="21" t="n">
        <v>0.1</v>
      </c>
    </row>
    <row r="19">
      <c r="A19" s="8" t="inlineStr">
        <is>
          <t xml:space="preserve">   Other markets</t>
        </is>
      </c>
      <c r="C19" s="21" t="n">
        <v>0.12</v>
      </c>
    </row>
    <row r="20">
      <c r="A20" s="6" t="inlineStr">
        <is>
          <t>Restaurants at 31 December 2025, by market</t>
        </is>
      </c>
    </row>
    <row r="21">
      <c r="A21" s="8" t="inlineStr">
        <is>
          <t xml:space="preserve">   UAE</t>
        </is>
      </c>
      <c r="C21" s="20" t="n">
        <v>652</v>
      </c>
    </row>
    <row r="22">
      <c r="A22" s="8" t="inlineStr">
        <is>
          <t xml:space="preserve">   Saudi Arabia</t>
        </is>
      </c>
      <c r="C22" s="20" t="n">
        <v>766</v>
      </c>
    </row>
    <row r="23">
      <c r="A23" s="8" t="inlineStr">
        <is>
          <t xml:space="preserve">   Kuwait</t>
        </is>
      </c>
      <c r="C23" s="20" t="n">
        <v>276</v>
      </c>
    </row>
    <row r="24">
      <c r="A24" s="8" t="inlineStr">
        <is>
          <t xml:space="preserve">   Egypt</t>
        </is>
      </c>
      <c r="C24" s="20" t="n">
        <v>450</v>
      </c>
    </row>
    <row r="25">
      <c r="A25" s="8" t="inlineStr">
        <is>
          <t xml:space="preserve">   Morocco</t>
        </is>
      </c>
      <c r="C25" s="20" t="n">
        <v>55</v>
      </c>
    </row>
    <row r="26">
      <c r="A26" s="8" t="inlineStr">
        <is>
          <t xml:space="preserve">   Lower Gulf</t>
        </is>
      </c>
      <c r="C26" s="20" t="n">
        <v>287</v>
      </c>
    </row>
    <row r="27">
      <c r="A27" s="8" t="inlineStr">
        <is>
          <t xml:space="preserve">   Other markets</t>
        </is>
      </c>
      <c r="C27" s="20" t="n">
        <v>263</v>
      </c>
    </row>
    <row r="29">
      <c r="A29" s="14" t="inlineStr">
        <is>
          <t>Price — revenue per restaurant</t>
        </is>
      </c>
    </row>
    <row r="30">
      <c r="A30" s="8" t="inlineStr">
        <is>
          <t>Like-for-like sales growth</t>
        </is>
      </c>
      <c r="B30" s="21" t="n">
        <v>0.055</v>
      </c>
      <c r="C30" s="21" t="n">
        <v>0.045</v>
      </c>
      <c r="D30" s="21" t="n">
        <v>0.04</v>
      </c>
      <c r="E30" s="21" t="n">
        <v>0.037</v>
      </c>
      <c r="F30" s="21" t="n">
        <v>0.035</v>
      </c>
    </row>
    <row r="31">
      <c r="A31" s="6" t="inlineStr">
        <is>
          <t>Currency drag on US dollar revenue per restaurant, by market</t>
        </is>
      </c>
    </row>
    <row r="32">
      <c r="A32" s="8" t="inlineStr">
        <is>
          <t xml:space="preserve">   UAE</t>
        </is>
      </c>
      <c r="C32" s="21" t="n">
        <v>0</v>
      </c>
    </row>
    <row r="33">
      <c r="A33" s="8" t="inlineStr">
        <is>
          <t xml:space="preserve">   Saudi Arabia</t>
        </is>
      </c>
      <c r="C33" s="21" t="n">
        <v>0</v>
      </c>
    </row>
    <row r="34">
      <c r="A34" s="8" t="inlineStr">
        <is>
          <t xml:space="preserve">   Kuwait</t>
        </is>
      </c>
      <c r="C34" s="21" t="n">
        <v>0</v>
      </c>
    </row>
    <row r="35">
      <c r="A35" s="8" t="inlineStr">
        <is>
          <t xml:space="preserve">   Egypt</t>
        </is>
      </c>
      <c r="C35" s="21" t="n">
        <v>0.025</v>
      </c>
    </row>
    <row r="36">
      <c r="A36" s="8" t="inlineStr">
        <is>
          <t xml:space="preserve">   Morocco</t>
        </is>
      </c>
      <c r="C36" s="21" t="n">
        <v>0.005</v>
      </c>
    </row>
    <row r="37">
      <c r="A37" s="8" t="inlineStr">
        <is>
          <t xml:space="preserve">   Lower Gulf</t>
        </is>
      </c>
      <c r="C37" s="21" t="n">
        <v>0</v>
      </c>
    </row>
    <row r="38">
      <c r="A38" s="8" t="inlineStr">
        <is>
          <t xml:space="preserve">   Other markets</t>
        </is>
      </c>
      <c r="C38" s="21" t="n">
        <v>0.015</v>
      </c>
    </row>
    <row r="39">
      <c r="A39" s="6" t="inlineStr">
        <is>
          <t>Revenue per restaurant in FY2025 (USD thousand), by market</t>
        </is>
      </c>
    </row>
    <row r="40">
      <c r="A40" s="8" t="inlineStr">
        <is>
          <t xml:space="preserve">   UAE</t>
        </is>
      </c>
      <c r="C40" s="9" t="n">
        <v>1295.480061349693</v>
      </c>
    </row>
    <row r="41">
      <c r="A41" s="8" t="inlineStr">
        <is>
          <t xml:space="preserve">   Saudi Arabia</t>
        </is>
      </c>
      <c r="C41" s="9" t="n">
        <v>822.3368146214099</v>
      </c>
    </row>
    <row r="42">
      <c r="A42" s="8" t="inlineStr">
        <is>
          <t xml:space="preserve">   Kuwait</t>
        </is>
      </c>
      <c r="C42" s="9" t="n">
        <v>1257.134057971014</v>
      </c>
    </row>
    <row r="43">
      <c r="A43" s="8" t="inlineStr">
        <is>
          <t xml:space="preserve">   Egypt</t>
        </is>
      </c>
      <c r="C43" s="9" t="n">
        <v>383.46</v>
      </c>
    </row>
    <row r="44">
      <c r="A44" s="8" t="inlineStr">
        <is>
          <t xml:space="preserve">   Morocco</t>
        </is>
      </c>
      <c r="C44" s="9" t="n">
        <v>921.4363636363636</v>
      </c>
    </row>
    <row r="45">
      <c r="A45" s="8" t="inlineStr">
        <is>
          <t xml:space="preserve">   Lower Gulf</t>
        </is>
      </c>
      <c r="C45" s="9" t="n">
        <v>898.609756097561</v>
      </c>
    </row>
    <row r="46">
      <c r="A46" s="8" t="inlineStr">
        <is>
          <t xml:space="preserve">   Other markets</t>
        </is>
      </c>
      <c r="C46" s="9" t="n">
        <v>905.2281368821293</v>
      </c>
    </row>
    <row r="48">
      <c r="A48" s="14" t="inlineStr">
        <is>
          <t>Cost stack — one escalator per driver class, each as a share of revenue</t>
        </is>
      </c>
    </row>
    <row r="49">
      <c r="A49" s="8" t="inlineStr">
        <is>
          <t>Food, filling and packing materials</t>
        </is>
      </c>
      <c r="B49" s="22" t="n">
        <v>0.274</v>
      </c>
      <c r="C49" s="22" t="n">
        <v>0.2725</v>
      </c>
      <c r="D49" s="22" t="n">
        <v>0.2715</v>
      </c>
      <c r="E49" s="22" t="n">
        <v>0.271</v>
      </c>
      <c r="F49" s="22" t="n">
        <v>0.2705</v>
      </c>
    </row>
    <row r="50">
      <c r="A50" s="8" t="inlineStr">
        <is>
          <t>Royalties to the brand franchisors</t>
        </is>
      </c>
      <c r="B50" s="22" t="n">
        <v>0.0555</v>
      </c>
      <c r="C50" s="22" t="n">
        <v>0.0555</v>
      </c>
      <c r="D50" s="22" t="n">
        <v>0.0555</v>
      </c>
      <c r="E50" s="22" t="n">
        <v>0.0555</v>
      </c>
      <c r="F50" s="22" t="n">
        <v>0.0555</v>
      </c>
    </row>
    <row r="51">
      <c r="A51" s="8" t="inlineStr">
        <is>
          <t>Staff costs — UNIT BUILD, not a share: inputs at rows 109-114 below</t>
        </is>
      </c>
    </row>
    <row r="52">
      <c r="A52" s="8" t="inlineStr">
        <is>
          <t>Home delivery and transportation — UNIT BUILD, not a share: inputs at rows 109-114 below</t>
        </is>
      </c>
    </row>
    <row r="53">
      <c r="A53" s="8" t="inlineStr">
        <is>
          <t>Advertisement and business development</t>
        </is>
      </c>
      <c r="B53" s="22" t="n">
        <v>0.0425</v>
      </c>
      <c r="C53" s="22" t="n">
        <v>0.0425</v>
      </c>
      <c r="D53" s="22" t="n">
        <v>0.0425</v>
      </c>
      <c r="E53" s="22" t="n">
        <v>0.0425</v>
      </c>
      <c r="F53" s="22" t="n">
        <v>0.0425</v>
      </c>
    </row>
    <row r="54">
      <c r="A54" s="8" t="inlineStr">
        <is>
          <t>Utilities and communication</t>
        </is>
      </c>
      <c r="B54" s="22" t="n">
        <v>0.0283</v>
      </c>
      <c r="C54" s="22" t="n">
        <v>0.0282</v>
      </c>
      <c r="D54" s="22" t="n">
        <v>0.0281</v>
      </c>
      <c r="E54" s="22" t="n">
        <v>0.028</v>
      </c>
      <c r="F54" s="22" t="n">
        <v>0.0279</v>
      </c>
    </row>
    <row r="55">
      <c r="A55" s="8" t="inlineStr">
        <is>
          <t>Short-term, low-value and variable lease payments</t>
        </is>
      </c>
      <c r="B55" s="22" t="n">
        <v>0.017</v>
      </c>
      <c r="C55" s="22" t="n">
        <v>0.0169</v>
      </c>
      <c r="D55" s="22" t="n">
        <v>0.0168</v>
      </c>
      <c r="E55" s="22" t="n">
        <v>0.0167</v>
      </c>
      <c r="F55" s="22" t="n">
        <v>0.0166</v>
      </c>
    </row>
    <row r="56">
      <c r="A56" s="8" t="inlineStr">
        <is>
          <t>Maintenance, repairs and other restaurant costs</t>
        </is>
      </c>
      <c r="B56" s="22" t="n">
        <v>0.0288</v>
      </c>
      <c r="C56" s="22" t="n">
        <v>0.0287</v>
      </c>
      <c r="D56" s="22" t="n">
        <v>0.0286</v>
      </c>
      <c r="E56" s="22" t="n">
        <v>0.0285</v>
      </c>
      <c r="F56" s="22" t="n">
        <v>0.0284</v>
      </c>
    </row>
    <row r="57">
      <c r="A57" s="8" t="inlineStr">
        <is>
          <t>All other operating costs (the residual of the three expense notes)</t>
        </is>
      </c>
      <c r="C57" s="22" t="n">
        <v>0.05313651312708256</v>
      </c>
    </row>
    <row r="58">
      <c r="A58" s="8" t="inlineStr">
        <is>
          <t>Other income, as a share of revenue</t>
        </is>
      </c>
      <c r="C58" s="22" t="n">
        <v>0.005325609120778246</v>
      </c>
    </row>
    <row r="60">
      <c r="A60" s="14" t="inlineStr">
        <is>
          <t>Capital, leases and working capital</t>
        </is>
      </c>
    </row>
    <row r="61">
      <c r="A61" s="8" t="inlineStr">
        <is>
          <t>Capital expenditure per new restaurant (USD thousand)</t>
        </is>
      </c>
      <c r="C61" s="20" t="n">
        <v>402</v>
      </c>
    </row>
    <row r="62">
      <c r="A62" s="8" t="inlineStr">
        <is>
          <t>Maintenance capital expenditure, share of revenue</t>
        </is>
      </c>
      <c r="C62" s="22" t="n">
        <v>0.01611753090395848</v>
      </c>
    </row>
    <row r="63">
      <c r="A63" s="8" t="inlineStr">
        <is>
          <t>Restaurant closure rate</t>
        </is>
      </c>
      <c r="C63" s="22" t="n">
        <v>0.02073481265914878</v>
      </c>
    </row>
    <row r="64">
      <c r="A64" s="8" t="inlineStr">
        <is>
          <t>Additions to right-of-use assets, share of revenue</t>
        </is>
      </c>
      <c r="C64" s="22" t="n">
        <v>0.08500000000000001</v>
      </c>
    </row>
    <row r="65">
      <c r="A65" s="8" t="inlineStr">
        <is>
          <t>Total lease payments, share of revenue</t>
        </is>
      </c>
      <c r="C65" s="22" t="n">
        <v>0.089</v>
      </c>
    </row>
    <row r="66">
      <c r="A66" s="8" t="inlineStr">
        <is>
          <t>Right-of-use depreciation rate, on the opening balance</t>
        </is>
      </c>
      <c r="C66" s="22" t="n">
        <v>0.3631561653128501</v>
      </c>
    </row>
    <row r="67">
      <c r="A67" s="8" t="inlineStr">
        <is>
          <t>Owned-asset depreciation rate, on the opening balance</t>
        </is>
      </c>
      <c r="C67" s="22" t="n">
        <v>0.2593798394144914</v>
      </c>
    </row>
    <row r="68">
      <c r="A68" s="8" t="inlineStr">
        <is>
          <t>Net working capital, share of revenue (negative — the till pays first)</t>
        </is>
      </c>
      <c r="C68" s="22" t="n">
        <v>-0.09885719228274958</v>
      </c>
    </row>
    <row r="70">
      <c r="A70" s="14" t="inlineStr">
        <is>
          <t>Tax and distribution</t>
        </is>
      </c>
    </row>
    <row r="71">
      <c r="A71" s="8" t="inlineStr">
        <is>
          <t>Effective tax rate</t>
        </is>
      </c>
      <c r="B71" s="21" t="n">
        <v>0.145</v>
      </c>
      <c r="C71" s="21" t="n">
        <v>0.15</v>
      </c>
      <c r="D71" s="21" t="n">
        <v>0.155</v>
      </c>
      <c r="E71" s="21" t="n">
        <v>0.16</v>
      </c>
      <c r="F71" s="21" t="n">
        <v>0.16</v>
      </c>
    </row>
    <row r="72">
      <c r="A72" s="8" t="inlineStr">
        <is>
          <t>Dividend payout ratio</t>
        </is>
      </c>
      <c r="C72" s="21" t="n">
        <v>0.85</v>
      </c>
    </row>
    <row r="73">
      <c r="A73" s="8" t="inlineStr">
        <is>
          <t>Yield on cash and bank deposits</t>
        </is>
      </c>
      <c r="C73" s="22" t="n">
        <v>0.04352664631793145</v>
      </c>
    </row>
    <row r="74">
      <c r="A74" s="8" t="inlineStr">
        <is>
          <t>Finance costs other than lease interest, share of revenue</t>
        </is>
      </c>
      <c r="C74" s="22" t="n">
        <v>0.001302603892425965</v>
      </c>
    </row>
    <row r="75">
      <c r="A75" s="14" t="inlineStr">
        <is>
          <t>Cost of capital</t>
        </is>
      </c>
    </row>
    <row r="76">
      <c r="A76" s="8" t="inlineStr">
        <is>
          <t>US ten-year Treasury yield</t>
        </is>
      </c>
      <c r="C76" s="22" t="n">
        <v>0.0465</v>
      </c>
    </row>
    <row r="77">
      <c r="A77" s="8" t="inlineStr">
        <is>
          <t>US sovereign default spread (ratings basis)</t>
        </is>
      </c>
      <c r="C77" s="22" t="n">
        <v>0.0022</v>
      </c>
    </row>
    <row r="78">
      <c r="A78" s="8" t="inlineStr">
        <is>
          <t>Blended equity risk premium (ratings basis)</t>
        </is>
      </c>
      <c r="C78" s="22" t="n">
        <v>0.06200978170271963</v>
      </c>
    </row>
    <row r="79">
      <c r="A79" s="8" t="inlineStr">
        <is>
          <t>US sovereign credit-default-swap spread</t>
        </is>
      </c>
      <c r="C79" s="22" t="n">
        <v>0.0043</v>
      </c>
    </row>
    <row r="80">
      <c r="A80" s="8" t="inlineStr">
        <is>
          <t>Blended equity risk premium (credit-default-swap basis)</t>
        </is>
      </c>
      <c r="C80" s="22" t="n">
        <v>0.05927625031955178</v>
      </c>
    </row>
    <row r="81">
      <c r="A81" s="8" t="inlineStr">
        <is>
          <t>Beta</t>
        </is>
      </c>
      <c r="C81" s="18" t="n">
        <v>0.93</v>
      </c>
    </row>
    <row r="82">
      <c r="A82" s="8" t="inlineStr">
        <is>
          <t>Cost of debt — the group’s own incremental borrowing rate</t>
        </is>
      </c>
      <c r="C82" s="22" t="n">
        <v>0.06719904760103823</v>
      </c>
    </row>
    <row r="83">
      <c r="A83" s="8" t="inlineStr">
        <is>
          <t>Terminal risk-free rate</t>
        </is>
      </c>
      <c r="C83" s="22" t="n">
        <v>0.0445</v>
      </c>
    </row>
    <row r="84">
      <c r="A84" s="8" t="inlineStr">
        <is>
          <t>Terminal growth</t>
        </is>
      </c>
      <c r="C84" s="21" t="n">
        <v>0.03</v>
      </c>
    </row>
    <row r="86">
      <c r="A86" s="14" t="inlineStr">
        <is>
          <t>Balance-sheet anchors</t>
        </is>
      </c>
    </row>
    <row r="87">
      <c r="A87" s="8" t="inlineStr">
        <is>
          <t>Lease liabilities at 31 December 2025 (USD million)</t>
        </is>
      </c>
      <c r="C87" s="9" t="n">
        <v>637.466</v>
      </c>
    </row>
    <row r="88">
      <c r="A88" s="8" t="inlineStr">
        <is>
          <t>Cash and bank deposits at 31 December 2025 (USD million)</t>
        </is>
      </c>
      <c r="C88" s="9" t="n">
        <v>417.41</v>
      </c>
    </row>
    <row r="89">
      <c r="A89" s="8" t="inlineStr">
        <is>
          <t>Bank debt at 31 December 2025 (USD million)</t>
        </is>
      </c>
      <c r="C89" s="9" t="n">
        <v>0</v>
      </c>
    </row>
    <row r="90">
      <c r="A90" s="8" t="inlineStr">
        <is>
          <t>Non-controlling interests (USD million)</t>
        </is>
      </c>
      <c r="C90" s="9" t="n">
        <v>0.984</v>
      </c>
    </row>
    <row r="91">
      <c r="A91" s="8" t="inlineStr">
        <is>
          <t>Equity attributable to shareholders at 31 December 2025 (USD million)</t>
        </is>
      </c>
      <c r="C91" s="9" t="n">
        <v>488.99</v>
      </c>
    </row>
    <row r="92">
      <c r="A92" s="8" t="inlineStr">
        <is>
          <t>Net working capital at 31 December 2025 (USD million)</t>
        </is>
      </c>
      <c r="C92" s="9" t="n">
        <v>-248.0150000000001</v>
      </c>
    </row>
    <row r="93">
      <c r="A93" s="8" t="inlineStr">
        <is>
          <t>Owned assets at 31 December 2025 (USD million)</t>
        </is>
      </c>
      <c r="C93" s="9" t="n">
        <v>408.429</v>
      </c>
    </row>
    <row r="94">
      <c r="A94" s="8" t="inlineStr">
        <is>
          <t>Right-of-use assets at 31 December 2025 (USD million)</t>
        </is>
      </c>
      <c r="C94" s="9" t="n">
        <v>610.822</v>
      </c>
    </row>
    <row r="95">
      <c r="A95" s="8" t="inlineStr">
        <is>
          <t>Intercompany eliminations, share of segment revenue</t>
        </is>
      </c>
      <c r="C95" s="22" t="n">
        <v>0.01256442994650386</v>
      </c>
    </row>
    <row r="96">
      <c r="A96" s="8" t="inlineStr">
        <is>
          <t>FY2026 revenue implied by the disclosed first half (USD million)</t>
        </is>
      </c>
      <c r="C96" s="9" t="n">
        <v>2813.002164327932</v>
      </c>
    </row>
    <row r="97">
      <c r="A97" s="8" t="inlineStr">
        <is>
          <t>Book value per share basis — equity at 30 June 2026 (USD million)</t>
        </is>
      </c>
      <c r="C97" s="9" t="n">
        <v>435.133</v>
      </c>
    </row>
    <row r="99">
      <c r="A99" s="14" t="inlineStr">
        <is>
          <t>Lens inputs</t>
        </is>
      </c>
    </row>
    <row r="100">
      <c r="A100" s="8" t="inlineStr">
        <is>
          <t>Justified enterprise value / EBITDA</t>
        </is>
      </c>
      <c r="C100" s="23" t="n">
        <v>8.5</v>
      </c>
    </row>
    <row r="101">
      <c r="A101" s="8" t="inlineStr">
        <is>
          <t>Justified price / earnings</t>
        </is>
      </c>
      <c r="C101" s="23" t="n">
        <v>17</v>
      </c>
    </row>
    <row r="102">
      <c r="A102" s="8" t="inlineStr">
        <is>
          <t>Sustainable return on equity</t>
        </is>
      </c>
      <c r="C102" s="21" t="n">
        <v>0.42</v>
      </c>
    </row>
    <row r="103">
      <c r="A103" s="8" t="inlineStr">
        <is>
          <t>Weight — discounted cash flow</t>
        </is>
      </c>
      <c r="C103" s="21" t="n">
        <v>0.5</v>
      </c>
    </row>
    <row r="104">
      <c r="A104" s="8" t="inlineStr">
        <is>
          <t>Weight — relative multiples</t>
        </is>
      </c>
      <c r="C104" s="21" t="n">
        <v>0.2</v>
      </c>
    </row>
    <row r="105">
      <c r="A105" s="8" t="inlineStr">
        <is>
          <t>Weight — normalised earnings power</t>
        </is>
      </c>
      <c r="C105" s="21" t="n">
        <v>0.2</v>
      </c>
    </row>
    <row r="106">
      <c r="A106" s="8" t="inlineStr">
        <is>
          <t>Weight — book value and sustainable return</t>
        </is>
      </c>
      <c r="C106" s="21" t="n">
        <v>0.1</v>
      </c>
    </row>
    <row r="108">
      <c r="A108" s="14" t="inlineStr">
        <is>
          <t>Unit-built cost lines, the terminal fade, and the anchor roll</t>
        </is>
      </c>
    </row>
    <row r="109">
      <c r="A109" s="8" t="inlineStr">
        <is>
          <t>Restaurant-level staff per restaurant (full-time equivalents)</t>
        </is>
      </c>
      <c r="B109" s="9" t="n">
        <v>12.05</v>
      </c>
      <c r="C109" s="9" t="n">
        <v>11.85</v>
      </c>
      <c r="D109" s="9" t="n">
        <v>11.65</v>
      </c>
      <c r="E109" s="9" t="n">
        <v>11.45</v>
      </c>
      <c r="F109" s="9" t="n">
        <v>11.25</v>
      </c>
    </row>
    <row r="110">
      <c r="A110" s="8" t="inlineStr">
        <is>
          <t>Staff cost per full-time equivalent (USD thousand, FY2025)</t>
        </is>
      </c>
      <c r="C110" s="18" t="n">
        <v>12.39331308624721</v>
      </c>
    </row>
    <row r="111">
      <c r="A111" s="8" t="inlineStr">
        <is>
          <t>Wage growth per full-time equivalent</t>
        </is>
      </c>
      <c r="C111" s="21" t="n">
        <v>0.06</v>
      </c>
    </row>
    <row r="112">
      <c r="A112" s="8" t="inlineStr">
        <is>
          <t>Above-restaurant staff (thousand full-time equivalents)</t>
        </is>
      </c>
      <c r="C112" s="18" t="n">
        <v>3.883</v>
      </c>
    </row>
    <row r="113">
      <c r="A113" s="8" t="inlineStr">
        <is>
          <t>Home delivery share of revenue</t>
        </is>
      </c>
      <c r="B113" s="21" t="n">
        <v>0.52</v>
      </c>
      <c r="C113" s="21" t="n">
        <v>0.535</v>
      </c>
      <c r="D113" s="21" t="n">
        <v>0.55</v>
      </c>
      <c r="E113" s="21" t="n">
        <v>0.5600000000000001</v>
      </c>
      <c r="F113" s="21" t="n">
        <v>0.5649999999999999</v>
      </c>
    </row>
    <row r="114">
      <c r="A114" s="8" t="inlineStr">
        <is>
          <t>Delivery cost per dollar of delivered revenue</t>
        </is>
      </c>
      <c r="B114" s="22" t="n">
        <v>0.1425</v>
      </c>
      <c r="C114" s="22" t="n">
        <v>0.142</v>
      </c>
      <c r="D114" s="22" t="n">
        <v>0.1415</v>
      </c>
      <c r="E114" s="22" t="n">
        <v>0.141</v>
      </c>
      <c r="F114" s="22" t="n">
        <v>0.1405</v>
      </c>
    </row>
    <row r="115">
      <c r="A115" s="8" t="inlineStr">
        <is>
          <t>Recurring impairment charge, share of revenue</t>
        </is>
      </c>
      <c r="C115" s="22" t="n">
        <v>0.003079211306099732</v>
      </c>
    </row>
    <row r="116">
      <c r="A116" s="8" t="inlineStr">
        <is>
          <t>Terminal return on incremental invested capital</t>
        </is>
      </c>
      <c r="C116" s="21" t="n">
        <v>0.3</v>
      </c>
    </row>
    <row r="117">
      <c r="A117" s="8" t="inlineStr">
        <is>
          <t>Calendar days, valuation date to the price anchor</t>
        </is>
      </c>
      <c r="C117" s="20" t="n">
        <v>219</v>
      </c>
    </row>
    <row r="118">
      <c r="A118" s="8" t="inlineStr">
        <is>
          <t>Dividend paid inside the roll window (USD per share)</t>
        </is>
      </c>
      <c r="C118" s="24" t="n">
        <v>0.02400390606419038</v>
      </c>
    </row>
    <row r="119">
      <c r="A119" s="8" t="inlineStr">
        <is>
          <t>Cyclical margin path (the other reading of the open question)</t>
        </is>
      </c>
      <c r="B119" s="21" t="n">
        <v>0.2539751872432852</v>
      </c>
      <c r="C119" s="21" t="n">
        <v>0.2474672149418123</v>
      </c>
      <c r="D119" s="21" t="n">
        <v>0.2409592426403394</v>
      </c>
      <c r="E119" s="21" t="n">
        <v>0.2344512703388665</v>
      </c>
      <c r="F119" s="21" t="n">
        <v>0.2279432980373936</v>
      </c>
    </row>
    <row r="124">
      <c r="A124" s="8" t="inlineStr">
        <is>
          <t>Four-wall EBITDA, first half of 2026 (USD million)</t>
        </is>
      </c>
      <c r="C124" s="9" t="n">
        <v>433</v>
      </c>
    </row>
    <row r="125">
      <c r="A125" s="8" t="inlineStr">
        <is>
          <t>Corporate overhead for the owner-cash reading (USD million)</t>
        </is>
      </c>
      <c r="C125" s="9" t="n">
        <v>174.20332</v>
      </c>
    </row>
    <row r="126">
      <c r="A126" s="8" t="inlineStr">
        <is>
          <t>Dividend declared against FY2025 (USD million)</t>
        </is>
      </c>
      <c r="C126" s="9" t="n">
        <v>201.6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58" customWidth="1" min="1" max="1"/>
    <col width="16" customWidth="1" min="2" max="2"/>
    <col width="16" customWidth="1" min="3" max="3"/>
  </cols>
  <sheetData>
    <row r="1">
      <c r="A1" s="5" t="inlineStr">
        <is>
          <t>Enterprise value to equity — the bridge</t>
        </is>
      </c>
    </row>
    <row r="2">
      <c r="A2" s="6" t="inlineStr">
        <is>
          <t>A single operating business, so the bridge is one leg, not a sum of parts. Every line links live to the cash-flow sheet.</t>
        </is>
      </c>
    </row>
    <row r="4">
      <c r="A4" s="7" t="inlineStr">
        <is>
          <t>Step</t>
        </is>
      </c>
      <c r="B4" s="7" t="inlineStr">
        <is>
          <t>USD million</t>
        </is>
      </c>
      <c r="C4" s="7" t="inlineStr">
        <is>
          <t>AED per share</t>
        </is>
      </c>
    </row>
    <row r="5">
      <c r="A5" s="8" t="inlineStr">
        <is>
          <t>Present value of the five forecast years</t>
        </is>
      </c>
      <c r="B5" s="12">
        <f>DCF!C29</f>
        <v/>
      </c>
      <c r="C5" s="12">
        <f>B5/Assumptions!$C$7*Assumptions!$C$6</f>
        <v/>
      </c>
    </row>
    <row r="6">
      <c r="A6" s="8" t="inlineStr">
        <is>
          <t>Present value of the terminal value</t>
        </is>
      </c>
      <c r="B6" s="12">
        <f>DCF!C30</f>
        <v/>
      </c>
      <c r="C6" s="12">
        <f>B6/Assumptions!$C$7*Assumptions!$C$6</f>
        <v/>
      </c>
    </row>
    <row r="7">
      <c r="A7" s="7" t="inlineStr">
        <is>
          <t>Enterprise value</t>
        </is>
      </c>
      <c r="B7" s="12">
        <f>B5+B6</f>
        <v/>
      </c>
      <c r="C7" s="12">
        <f>B7/Assumptions!$C$7*Assumptions!$C$6</f>
        <v/>
      </c>
    </row>
    <row r="8">
      <c r="A8" s="8" t="inlineStr">
        <is>
          <t>Less lease liabilities</t>
        </is>
      </c>
      <c r="B8" s="12">
        <f>-Assumptions!$C$87</f>
        <v/>
      </c>
      <c r="C8" s="12">
        <f>B8/Assumptions!$C$7*Assumptions!$C$6</f>
        <v/>
      </c>
    </row>
    <row r="9">
      <c r="A9" s="8" t="inlineStr">
        <is>
          <t>Plus cash and bank deposits</t>
        </is>
      </c>
      <c r="B9" s="12">
        <f>Assumptions!$C$88</f>
        <v/>
      </c>
      <c r="C9" s="12">
        <f>B9/Assumptions!$C$7*Assumptions!$C$6</f>
        <v/>
      </c>
    </row>
    <row r="10">
      <c r="A10" s="8" t="inlineStr">
        <is>
          <t>Less bank debt</t>
        </is>
      </c>
      <c r="B10" s="12">
        <f>-Assumptions!$C$89</f>
        <v/>
      </c>
      <c r="C10" s="12">
        <f>B10/Assumptions!$C$7*Assumptions!$C$6</f>
        <v/>
      </c>
    </row>
    <row r="11">
      <c r="A11" s="8" t="inlineStr">
        <is>
          <t>Less non-controlling interests</t>
        </is>
      </c>
      <c r="B11" s="12">
        <f>-Assumptions!$C$90</f>
        <v/>
      </c>
      <c r="C11" s="12">
        <f>B11/Assumptions!$C$7*Assumptions!$C$6</f>
        <v/>
      </c>
    </row>
    <row r="12">
      <c r="A12" s="7" t="inlineStr">
        <is>
          <t>Equity attributable to shareholders</t>
        </is>
      </c>
      <c r="B12" s="12">
        <f>B7+B8+B9+B10+B11</f>
        <v/>
      </c>
      <c r="C12" s="12">
        <f>B12/Assumptions!$C$7*Assumptions!$C$6</f>
        <v/>
      </c>
    </row>
    <row r="14">
      <c r="A14" s="7" t="inlineStr">
        <is>
          <t>Terminal value as a share of enterprise value</t>
        </is>
      </c>
      <c r="B14" s="13">
        <f>DCF!C32</f>
        <v/>
      </c>
    </row>
    <row r="15">
      <c r="A15" s="8" t="inlineStr">
        <is>
          <t>Present value of the five forecast years, as a share of enterprise value</t>
        </is>
      </c>
      <c r="B15" s="13">
        <f>B5/B7</f>
        <v/>
      </c>
    </row>
    <row r="17" ht="42" customHeight="1">
      <c r="A17" s="2" t="inlineStr">
        <is>
          <t>Just over half the enterprise value sits beyond the fifth forecast year. That is what a growing business with a nine-and-a-half per cent cost of capital and three per cent long-run growth looks like, and it is the reason the terminal assumptions are sensitised on their own sheet rather than buried.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5" t="inlineStr">
        <is>
          <t>The unit build — restaurants times revenue per restaurant, market by market</t>
        </is>
      </c>
    </row>
    <row r="2">
      <c r="A2" s="6" t="inlineStr">
        <is>
          <t>The historical columns are the disclosed record. Every forecast cell is a formula: the restaurant count grows on the net-new-store programme and the revenue per restaurant on like-for-like growth net of currency.</t>
        </is>
      </c>
    </row>
    <row r="4">
      <c r="A4" s="7" t="inlineStr">
        <is>
          <t>Restaurants at year end</t>
        </is>
      </c>
      <c r="B4" s="7" t="inlineStr">
        <is>
          <t>FY2025</t>
        </is>
      </c>
      <c r="C4" s="7" t="inlineStr">
        <is>
          <t>FY2026E</t>
        </is>
      </c>
      <c r="D4" s="7" t="inlineStr">
        <is>
          <t>FY2027E</t>
        </is>
      </c>
      <c r="E4" s="7" t="inlineStr">
        <is>
          <t>FY2028E</t>
        </is>
      </c>
      <c r="F4" s="7" t="inlineStr">
        <is>
          <t>FY2029E</t>
        </is>
      </c>
      <c r="G4" s="7" t="inlineStr">
        <is>
          <t>FY2030E</t>
        </is>
      </c>
    </row>
    <row r="5">
      <c r="A5" s="8" t="inlineStr">
        <is>
          <t>UAE</t>
        </is>
      </c>
      <c r="B5" s="15">
        <f>Assumptions!$C$21</f>
        <v/>
      </c>
      <c r="C5" s="19">
        <f>B5+Assumptions!B$11*Assumptions!$C$13</f>
        <v/>
      </c>
      <c r="D5" s="19">
        <f>C5+Assumptions!C$11*Assumptions!$C$13</f>
        <v/>
      </c>
      <c r="E5" s="19">
        <f>D5+Assumptions!D$11*Assumptions!$C$13</f>
        <v/>
      </c>
      <c r="F5" s="19">
        <f>E5+Assumptions!E$11*Assumptions!$C$13</f>
        <v/>
      </c>
      <c r="G5" s="19">
        <f>F5+Assumptions!F$11*Assumptions!$C$13</f>
        <v/>
      </c>
    </row>
    <row r="6">
      <c r="A6" s="8" t="inlineStr">
        <is>
          <t>Saudi Arabia</t>
        </is>
      </c>
      <c r="B6" s="15">
        <f>Assumptions!$C$22</f>
        <v/>
      </c>
      <c r="C6" s="19">
        <f>B6+Assumptions!B$11*Assumptions!$C$14</f>
        <v/>
      </c>
      <c r="D6" s="19">
        <f>C6+Assumptions!C$11*Assumptions!$C$14</f>
        <v/>
      </c>
      <c r="E6" s="19">
        <f>D6+Assumptions!D$11*Assumptions!$C$14</f>
        <v/>
      </c>
      <c r="F6" s="19">
        <f>E6+Assumptions!E$11*Assumptions!$C$14</f>
        <v/>
      </c>
      <c r="G6" s="19">
        <f>F6+Assumptions!F$11*Assumptions!$C$14</f>
        <v/>
      </c>
    </row>
    <row r="7">
      <c r="A7" s="8" t="inlineStr">
        <is>
          <t>Kuwait</t>
        </is>
      </c>
      <c r="B7" s="15">
        <f>Assumptions!$C$23</f>
        <v/>
      </c>
      <c r="C7" s="19">
        <f>B7+Assumptions!B$11*Assumptions!$C$15</f>
        <v/>
      </c>
      <c r="D7" s="19">
        <f>C7+Assumptions!C$11*Assumptions!$C$15</f>
        <v/>
      </c>
      <c r="E7" s="19">
        <f>D7+Assumptions!D$11*Assumptions!$C$15</f>
        <v/>
      </c>
      <c r="F7" s="19">
        <f>E7+Assumptions!E$11*Assumptions!$C$15</f>
        <v/>
      </c>
      <c r="G7" s="19">
        <f>F7+Assumptions!F$11*Assumptions!$C$15</f>
        <v/>
      </c>
    </row>
    <row r="8">
      <c r="A8" s="8" t="inlineStr">
        <is>
          <t>Egypt</t>
        </is>
      </c>
      <c r="B8" s="15">
        <f>Assumptions!$C$24</f>
        <v/>
      </c>
      <c r="C8" s="19">
        <f>B8+Assumptions!B$11*Assumptions!$C$16</f>
        <v/>
      </c>
      <c r="D8" s="19">
        <f>C8+Assumptions!C$11*Assumptions!$C$16</f>
        <v/>
      </c>
      <c r="E8" s="19">
        <f>D8+Assumptions!D$11*Assumptions!$C$16</f>
        <v/>
      </c>
      <c r="F8" s="19">
        <f>E8+Assumptions!E$11*Assumptions!$C$16</f>
        <v/>
      </c>
      <c r="G8" s="19">
        <f>F8+Assumptions!F$11*Assumptions!$C$16</f>
        <v/>
      </c>
    </row>
    <row r="9">
      <c r="A9" s="8" t="inlineStr">
        <is>
          <t>Morocco</t>
        </is>
      </c>
      <c r="B9" s="15">
        <f>Assumptions!$C$25</f>
        <v/>
      </c>
      <c r="C9" s="19">
        <f>B9+Assumptions!B$11*Assumptions!$C$17</f>
        <v/>
      </c>
      <c r="D9" s="19">
        <f>C9+Assumptions!C$11*Assumptions!$C$17</f>
        <v/>
      </c>
      <c r="E9" s="19">
        <f>D9+Assumptions!D$11*Assumptions!$C$17</f>
        <v/>
      </c>
      <c r="F9" s="19">
        <f>E9+Assumptions!E$11*Assumptions!$C$17</f>
        <v/>
      </c>
      <c r="G9" s="19">
        <f>F9+Assumptions!F$11*Assumptions!$C$17</f>
        <v/>
      </c>
    </row>
    <row r="10">
      <c r="A10" s="8" t="inlineStr">
        <is>
          <t>Lower Gulf</t>
        </is>
      </c>
      <c r="B10" s="15">
        <f>Assumptions!$C$26</f>
        <v/>
      </c>
      <c r="C10" s="19">
        <f>B10+Assumptions!B$11*Assumptions!$C$18</f>
        <v/>
      </c>
      <c r="D10" s="19">
        <f>C10+Assumptions!C$11*Assumptions!$C$18</f>
        <v/>
      </c>
      <c r="E10" s="19">
        <f>D10+Assumptions!D$11*Assumptions!$C$18</f>
        <v/>
      </c>
      <c r="F10" s="19">
        <f>E10+Assumptions!E$11*Assumptions!$C$18</f>
        <v/>
      </c>
      <c r="G10" s="19">
        <f>F10+Assumptions!F$11*Assumptions!$C$18</f>
        <v/>
      </c>
    </row>
    <row r="11">
      <c r="A11" s="8" t="inlineStr">
        <is>
          <t>Other markets</t>
        </is>
      </c>
      <c r="B11" s="15">
        <f>Assumptions!$C$27</f>
        <v/>
      </c>
      <c r="C11" s="19">
        <f>B11+Assumptions!B$11*Assumptions!$C$19</f>
        <v/>
      </c>
      <c r="D11" s="19">
        <f>C11+Assumptions!C$11*Assumptions!$C$19</f>
        <v/>
      </c>
      <c r="E11" s="19">
        <f>D11+Assumptions!D$11*Assumptions!$C$19</f>
        <v/>
      </c>
      <c r="F11" s="19">
        <f>E11+Assumptions!E$11*Assumptions!$C$19</f>
        <v/>
      </c>
      <c r="G11" s="19">
        <f>F11+Assumptions!F$11*Assumptions!$C$19</f>
        <v/>
      </c>
    </row>
    <row r="12">
      <c r="A12" s="7" t="inlineStr">
        <is>
          <t>Total restaurants</t>
        </is>
      </c>
      <c r="B12" s="19">
        <f>SUM(B5:B11)</f>
        <v/>
      </c>
      <c r="C12" s="19">
        <f>SUM(C5:C11)</f>
        <v/>
      </c>
      <c r="D12" s="19">
        <f>SUM(D5:D11)</f>
        <v/>
      </c>
      <c r="E12" s="19">
        <f>SUM(E5:E11)</f>
        <v/>
      </c>
      <c r="F12" s="19">
        <f>SUM(F5:F11)</f>
        <v/>
      </c>
      <c r="G12" s="19">
        <f>SUM(G5:G11)</f>
        <v/>
      </c>
    </row>
    <row r="14">
      <c r="A14" s="7" t="inlineStr">
        <is>
          <t>Revenue per restaurant (USD thousand)</t>
        </is>
      </c>
      <c r="B14" s="7" t="inlineStr">
        <is>
          <t>FY2024</t>
        </is>
      </c>
      <c r="C14" s="7" t="inlineStr">
        <is>
          <t>FY2025</t>
        </is>
      </c>
      <c r="D14" s="7" t="inlineStr">
        <is>
          <t>FY2026E</t>
        </is>
      </c>
      <c r="E14" s="7" t="inlineStr">
        <is>
          <t>FY2027E</t>
        </is>
      </c>
      <c r="F14" s="7" t="inlineStr">
        <is>
          <t>FY2028E</t>
        </is>
      </c>
      <c r="G14" s="7" t="inlineStr">
        <is>
          <t>FY2029E</t>
        </is>
      </c>
      <c r="H14" s="7" t="inlineStr">
        <is>
          <t>FY2030E</t>
        </is>
      </c>
    </row>
    <row r="15">
      <c r="A15" s="8" t="inlineStr">
        <is>
          <t>UAE</t>
        </is>
      </c>
      <c r="B15" s="9" t="n">
        <v>1237.709090909091</v>
      </c>
      <c r="C15" s="10">
        <f>Assumptions!$C$40</f>
        <v/>
      </c>
      <c r="D15" s="12">
        <f>C15*(1+Assumptions!B$30)*(1-Assumptions!$C$32)</f>
        <v/>
      </c>
      <c r="E15" s="12">
        <f>D15*(1+Assumptions!C$30)*(1-Assumptions!$C$32)</f>
        <v/>
      </c>
      <c r="F15" s="12">
        <f>E15*(1+Assumptions!D$30)*(1-Assumptions!$C$32)</f>
        <v/>
      </c>
      <c r="G15" s="12">
        <f>F15*(1+Assumptions!E$30)*(1-Assumptions!$C$32)</f>
        <v/>
      </c>
      <c r="H15" s="12">
        <f>G15*(1+Assumptions!F$30)*(1-Assumptions!$C$32)</f>
        <v/>
      </c>
    </row>
    <row r="16">
      <c r="A16" s="8" t="inlineStr">
        <is>
          <t>Saudi Arabia</t>
        </is>
      </c>
      <c r="B16" s="9" t="n">
        <v>794.2561307901907</v>
      </c>
      <c r="C16" s="10">
        <f>Assumptions!$C$41</f>
        <v/>
      </c>
      <c r="D16" s="12">
        <f>C16*(1+Assumptions!B$30)*(1-Assumptions!$C$33)</f>
        <v/>
      </c>
      <c r="E16" s="12">
        <f>D16*(1+Assumptions!C$30)*(1-Assumptions!$C$33)</f>
        <v/>
      </c>
      <c r="F16" s="12">
        <f>E16*(1+Assumptions!D$30)*(1-Assumptions!$C$33)</f>
        <v/>
      </c>
      <c r="G16" s="12">
        <f>F16*(1+Assumptions!E$30)*(1-Assumptions!$C$33)</f>
        <v/>
      </c>
      <c r="H16" s="12">
        <f>G16*(1+Assumptions!F$30)*(1-Assumptions!$C$33)</f>
        <v/>
      </c>
    </row>
    <row r="17">
      <c r="A17" s="8" t="inlineStr">
        <is>
          <t>Kuwait</t>
        </is>
      </c>
      <c r="B17" s="9" t="n">
        <v>1167.748091603053</v>
      </c>
      <c r="C17" s="10">
        <f>Assumptions!$C$42</f>
        <v/>
      </c>
      <c r="D17" s="12">
        <f>C17*(1+Assumptions!B$30)*(1-Assumptions!$C$34)</f>
        <v/>
      </c>
      <c r="E17" s="12">
        <f>D17*(1+Assumptions!C$30)*(1-Assumptions!$C$34)</f>
        <v/>
      </c>
      <c r="F17" s="12">
        <f>E17*(1+Assumptions!D$30)*(1-Assumptions!$C$34)</f>
        <v/>
      </c>
      <c r="G17" s="12">
        <f>F17*(1+Assumptions!E$30)*(1-Assumptions!$C$34)</f>
        <v/>
      </c>
      <c r="H17" s="12">
        <f>G17*(1+Assumptions!F$30)*(1-Assumptions!$C$34)</f>
        <v/>
      </c>
    </row>
    <row r="18">
      <c r="A18" s="8" t="inlineStr">
        <is>
          <t>Egypt</t>
        </is>
      </c>
      <c r="B18" s="9" t="n">
        <v>294.4172185430464</v>
      </c>
      <c r="C18" s="10">
        <f>Assumptions!$C$43</f>
        <v/>
      </c>
      <c r="D18" s="12">
        <f>C18*(1+Assumptions!B$30)*(1-Assumptions!$C$35)</f>
        <v/>
      </c>
      <c r="E18" s="12">
        <f>D18*(1+Assumptions!C$30)*(1-Assumptions!$C$35)</f>
        <v/>
      </c>
      <c r="F18" s="12">
        <f>E18*(1+Assumptions!D$30)*(1-Assumptions!$C$35)</f>
        <v/>
      </c>
      <c r="G18" s="12">
        <f>F18*(1+Assumptions!E$30)*(1-Assumptions!$C$35)</f>
        <v/>
      </c>
      <c r="H18" s="12">
        <f>G18*(1+Assumptions!F$30)*(1-Assumptions!$C$35)</f>
        <v/>
      </c>
    </row>
    <row r="19">
      <c r="A19" s="8" t="inlineStr">
        <is>
          <t>Morocco</t>
        </is>
      </c>
      <c r="B19" s="9" t="n">
        <v>918.9333333333333</v>
      </c>
      <c r="C19" s="10">
        <f>Assumptions!$C$44</f>
        <v/>
      </c>
      <c r="D19" s="12">
        <f>C19*(1+Assumptions!B$30)*(1-Assumptions!$C$36)</f>
        <v/>
      </c>
      <c r="E19" s="12">
        <f>D19*(1+Assumptions!C$30)*(1-Assumptions!$C$36)</f>
        <v/>
      </c>
      <c r="F19" s="12">
        <f>E19*(1+Assumptions!D$30)*(1-Assumptions!$C$36)</f>
        <v/>
      </c>
      <c r="G19" s="12">
        <f>F19*(1+Assumptions!E$30)*(1-Assumptions!$C$36)</f>
        <v/>
      </c>
      <c r="H19" s="12">
        <f>G19*(1+Assumptions!F$30)*(1-Assumptions!$C$36)</f>
        <v/>
      </c>
    </row>
    <row r="20">
      <c r="A20" s="8" t="inlineStr">
        <is>
          <t>Lower Gulf</t>
        </is>
      </c>
      <c r="B20" s="9" t="n">
        <v>776.804</v>
      </c>
      <c r="C20" s="10">
        <f>Assumptions!$C$45</f>
        <v/>
      </c>
      <c r="D20" s="12">
        <f>C20*(1+Assumptions!B$30)*(1-Assumptions!$C$37)</f>
        <v/>
      </c>
      <c r="E20" s="12">
        <f>D20*(1+Assumptions!C$30)*(1-Assumptions!$C$37)</f>
        <v/>
      </c>
      <c r="F20" s="12">
        <f>E20*(1+Assumptions!D$30)*(1-Assumptions!$C$37)</f>
        <v/>
      </c>
      <c r="G20" s="12">
        <f>F20*(1+Assumptions!E$30)*(1-Assumptions!$C$37)</f>
        <v/>
      </c>
      <c r="H20" s="12">
        <f>G20*(1+Assumptions!F$30)*(1-Assumptions!$C$37)</f>
        <v/>
      </c>
    </row>
    <row r="21">
      <c r="A21" s="8" t="inlineStr">
        <is>
          <t>Other markets</t>
        </is>
      </c>
      <c r="B21" s="9" t="n">
        <v>889.2738589211618</v>
      </c>
      <c r="C21" s="10">
        <f>Assumptions!$C$46</f>
        <v/>
      </c>
      <c r="D21" s="12">
        <f>C21*(1+Assumptions!B$30)*(1-Assumptions!$C$38)</f>
        <v/>
      </c>
      <c r="E21" s="12">
        <f>D21*(1+Assumptions!C$30)*(1-Assumptions!$C$38)</f>
        <v/>
      </c>
      <c r="F21" s="12">
        <f>E21*(1+Assumptions!D$30)*(1-Assumptions!$C$38)</f>
        <v/>
      </c>
      <c r="G21" s="12">
        <f>F21*(1+Assumptions!E$30)*(1-Assumptions!$C$38)</f>
        <v/>
      </c>
      <c r="H21" s="12">
        <f>G21*(1+Assumptions!F$30)*(1-Assumptions!$C$38)</f>
        <v/>
      </c>
    </row>
    <row r="24">
      <c r="A24" s="7" t="inlineStr">
        <is>
          <t>Revenue before eliminations (USD million)</t>
        </is>
      </c>
      <c r="B24" s="7" t="inlineStr">
        <is>
          <t>FY2023</t>
        </is>
      </c>
      <c r="C24" s="7" t="inlineStr">
        <is>
          <t>FY2024</t>
        </is>
      </c>
      <c r="D24" s="7" t="inlineStr">
        <is>
          <t>FY2025</t>
        </is>
      </c>
      <c r="E24" s="7" t="inlineStr">
        <is>
          <t>FY2026E</t>
        </is>
      </c>
      <c r="F24" s="7" t="inlineStr">
        <is>
          <t>FY2027E</t>
        </is>
      </c>
      <c r="G24" s="7" t="inlineStr">
        <is>
          <t>FY2028E</t>
        </is>
      </c>
      <c r="H24" s="7" t="inlineStr">
        <is>
          <t>FY2029E</t>
        </is>
      </c>
      <c r="I24" s="7" t="inlineStr">
        <is>
          <t>FY2030E</t>
        </is>
      </c>
    </row>
    <row r="25">
      <c r="A25" s="8" t="inlineStr">
        <is>
          <t>UAE</t>
        </is>
      </c>
      <c r="B25" s="9" t="n">
        <v>750.972</v>
      </c>
      <c r="C25" s="9" t="n">
        <v>748.814</v>
      </c>
      <c r="D25" s="9" t="n">
        <v>844.653</v>
      </c>
      <c r="E25" s="12">
        <f>D15*C5/1000</f>
        <v/>
      </c>
      <c r="F25" s="12">
        <f>E15*D5/1000</f>
        <v/>
      </c>
      <c r="G25" s="12">
        <f>F15*E5/1000</f>
        <v/>
      </c>
      <c r="H25" s="12">
        <f>G15*F5/1000</f>
        <v/>
      </c>
      <c r="I25" s="12">
        <f>H15*G5/1000</f>
        <v/>
      </c>
    </row>
    <row r="26">
      <c r="A26" s="8" t="inlineStr">
        <is>
          <t>Saudi Arabia</t>
        </is>
      </c>
      <c r="B26" s="9" t="n">
        <v>594.518</v>
      </c>
      <c r="C26" s="9" t="n">
        <v>582.984</v>
      </c>
      <c r="D26" s="9" t="n">
        <v>629.91</v>
      </c>
      <c r="E26" s="12">
        <f>D16*C6/1000</f>
        <v/>
      </c>
      <c r="F26" s="12">
        <f>E16*D6/1000</f>
        <v/>
      </c>
      <c r="G26" s="12">
        <f>F16*E6/1000</f>
        <v/>
      </c>
      <c r="H26" s="12">
        <f>G16*F6/1000</f>
        <v/>
      </c>
      <c r="I26" s="12">
        <f>H16*G6/1000</f>
        <v/>
      </c>
    </row>
    <row r="27">
      <c r="A27" s="8" t="inlineStr">
        <is>
          <t>Kuwait</t>
        </is>
      </c>
      <c r="B27" s="9" t="n">
        <v>339.181</v>
      </c>
      <c r="C27" s="9" t="n">
        <v>305.95</v>
      </c>
      <c r="D27" s="9" t="n">
        <v>346.969</v>
      </c>
      <c r="E27" s="12">
        <f>D17*C7/1000</f>
        <v/>
      </c>
      <c r="F27" s="12">
        <f>E17*D7/1000</f>
        <v/>
      </c>
      <c r="G27" s="12">
        <f>F17*E7/1000</f>
        <v/>
      </c>
      <c r="H27" s="12">
        <f>G17*F7/1000</f>
        <v/>
      </c>
      <c r="I27" s="12">
        <f>H17*G7/1000</f>
        <v/>
      </c>
    </row>
    <row r="28">
      <c r="A28" s="8" t="inlineStr">
        <is>
          <t>Egypt</t>
        </is>
      </c>
      <c r="B28" s="9" t="n">
        <v>195.018</v>
      </c>
      <c r="C28" s="9" t="n">
        <v>133.371</v>
      </c>
      <c r="D28" s="9" t="n">
        <v>172.557</v>
      </c>
      <c r="E28" s="12">
        <f>D18*C8/1000</f>
        <v/>
      </c>
      <c r="F28" s="12">
        <f>E18*D8/1000</f>
        <v/>
      </c>
      <c r="G28" s="12">
        <f>F18*E8/1000</f>
        <v/>
      </c>
      <c r="H28" s="12">
        <f>G18*F8/1000</f>
        <v/>
      </c>
      <c r="I28" s="12">
        <f>H18*G8/1000</f>
        <v/>
      </c>
    </row>
    <row r="29">
      <c r="A29" s="8" t="inlineStr">
        <is>
          <t>Morocco</t>
        </is>
      </c>
      <c r="B29" s="9" t="n">
        <v>42.806</v>
      </c>
      <c r="C29" s="9" t="n">
        <v>41.352</v>
      </c>
      <c r="D29" s="9" t="n">
        <v>50.679</v>
      </c>
      <c r="E29" s="12">
        <f>D19*C9/1000</f>
        <v/>
      </c>
      <c r="F29" s="12">
        <f>E19*D9/1000</f>
        <v/>
      </c>
      <c r="G29" s="12">
        <f>F19*E9/1000</f>
        <v/>
      </c>
      <c r="H29" s="12">
        <f>G19*F9/1000</f>
        <v/>
      </c>
      <c r="I29" s="12">
        <f>H19*G9/1000</f>
        <v/>
      </c>
    </row>
    <row r="30">
      <c r="A30" s="8" t="inlineStr">
        <is>
          <t>Lower Gulf</t>
        </is>
      </c>
      <c r="B30" s="9" t="n">
        <v>278.081</v>
      </c>
      <c r="C30" s="9" t="n">
        <v>194.201</v>
      </c>
      <c r="D30" s="9" t="n">
        <v>257.901</v>
      </c>
      <c r="E30" s="12">
        <f>D20*C10/1000</f>
        <v/>
      </c>
      <c r="F30" s="12">
        <f>E20*D10/1000</f>
        <v/>
      </c>
      <c r="G30" s="12">
        <f>F20*E10/1000</f>
        <v/>
      </c>
      <c r="H30" s="12">
        <f>G20*F10/1000</f>
        <v/>
      </c>
      <c r="I30" s="12">
        <f>H20*G10/1000</f>
        <v/>
      </c>
    </row>
    <row r="31">
      <c r="A31" s="8" t="inlineStr">
        <is>
          <t>Other markets</t>
        </is>
      </c>
      <c r="B31" s="9" t="n">
        <v>249.264</v>
      </c>
      <c r="C31" s="9" t="n">
        <v>214.315</v>
      </c>
      <c r="D31" s="9" t="n">
        <v>238.075</v>
      </c>
      <c r="E31" s="12">
        <f>D21*C11/1000</f>
        <v/>
      </c>
      <c r="F31" s="12">
        <f>E21*D11/1000</f>
        <v/>
      </c>
      <c r="G31" s="12">
        <f>F21*E11/1000</f>
        <v/>
      </c>
      <c r="H31" s="12">
        <f>G21*F11/1000</f>
        <v/>
      </c>
      <c r="I31" s="12">
        <f>H21*G11/1000</f>
        <v/>
      </c>
    </row>
    <row r="32">
      <c r="A32" s="7" t="inlineStr">
        <is>
          <t>Total before eliminations</t>
        </is>
      </c>
      <c r="B32" s="12">
        <f>SUM(B25:B31)</f>
        <v/>
      </c>
      <c r="C32" s="12">
        <f>SUM(C25:C31)</f>
        <v/>
      </c>
      <c r="D32" s="12">
        <f>SUM(D25:D31)</f>
        <v/>
      </c>
      <c r="E32" s="12">
        <f>SUM(E25:E31)</f>
        <v/>
      </c>
      <c r="F32" s="12">
        <f>SUM(F25:F31)</f>
        <v/>
      </c>
      <c r="G32" s="12">
        <f>SUM(G25:G31)</f>
        <v/>
      </c>
      <c r="H32" s="12">
        <f>SUM(H25:H31)</f>
        <v/>
      </c>
      <c r="I32" s="12">
        <f>SUM(I25:I31)</f>
        <v/>
      </c>
    </row>
    <row r="33">
      <c r="A33" s="8" t="inlineStr">
        <is>
          <t>Less intercompany eliminations</t>
        </is>
      </c>
      <c r="E33" s="12">
        <f>-E32*Assumptions!$C$95</f>
        <v/>
      </c>
      <c r="F33" s="12">
        <f>-F32*Assumptions!$C$95</f>
        <v/>
      </c>
      <c r="G33" s="12">
        <f>-G32*Assumptions!$C$95</f>
        <v/>
      </c>
      <c r="H33" s="12">
        <f>-H32*Assumptions!$C$95</f>
        <v/>
      </c>
      <c r="I33" s="12">
        <f>-I32*Assumptions!$C$95</f>
        <v/>
      </c>
    </row>
    <row r="34">
      <c r="A34" s="7" t="inlineStr">
        <is>
          <t>Revenue on the unit build</t>
        </is>
      </c>
      <c r="E34" s="12">
        <f>E32+E33</f>
        <v/>
      </c>
      <c r="F34" s="12">
        <f>F32+F33</f>
        <v/>
      </c>
      <c r="G34" s="12">
        <f>G32+G33</f>
        <v/>
      </c>
      <c r="H34" s="12">
        <f>H32+H33</f>
        <v/>
      </c>
      <c r="I34" s="12">
        <f>I32+I33</f>
        <v/>
      </c>
    </row>
    <row r="35">
      <c r="A35" s="8" t="inlineStr">
        <is>
          <t>FY2026 implied by the disclosed first half</t>
        </is>
      </c>
      <c r="E35" s="10">
        <f>Assumptions!$C$96</f>
        <v/>
      </c>
    </row>
    <row r="36">
      <c r="A36" s="7" t="inlineStr">
        <is>
          <t>Revenue adopted</t>
        </is>
      </c>
      <c r="E36" s="12">
        <f>AVERAGE(E34,E35)</f>
        <v/>
      </c>
      <c r="F36" s="12">
        <f>F34</f>
        <v/>
      </c>
      <c r="G36" s="12">
        <f>G34</f>
        <v/>
      </c>
      <c r="H36" s="12">
        <f>H34</f>
        <v/>
      </c>
      <c r="I36" s="12">
        <f>I34</f>
        <v/>
      </c>
    </row>
    <row r="38" ht="42" customHeight="1">
      <c r="A38" s="2" t="inlineStr">
        <is>
          <t>FY2026 is half disclosed and half built. The unit build and the first-half run rate are averaged rather than one being chosen over the other; the two are within two per cent of each other. The historical columns tie exactly to reported revenue in all three audited years.</t>
        </is>
      </c>
    </row>
    <row r="40">
      <c r="A40" s="14" t="inlineStr">
        <is>
          <t>THE BRAND BUILD — product by product, volume x price, the cross-check spine</t>
        </is>
      </c>
    </row>
    <row r="41">
      <c r="A41" s="7" t="inlineStr">
        <is>
          <t>Restaurants by brand</t>
        </is>
      </c>
      <c r="B41" s="7" t="inlineStr">
        <is>
          <t>FY2024</t>
        </is>
      </c>
      <c r="C41" s="7" t="inlineStr">
        <is>
          <t>FY2025</t>
        </is>
      </c>
      <c r="D41" s="7" t="inlineStr">
        <is>
          <t>FY2026E</t>
        </is>
      </c>
      <c r="E41" s="7" t="inlineStr">
        <is>
          <t>FY2027E</t>
        </is>
      </c>
      <c r="F41" s="7" t="inlineStr">
        <is>
          <t>FY2028E</t>
        </is>
      </c>
      <c r="G41" s="7" t="inlineStr">
        <is>
          <t>FY2029E</t>
        </is>
      </c>
      <c r="H41" s="7" t="inlineStr">
        <is>
          <t>FY2030E</t>
        </is>
      </c>
    </row>
    <row r="42">
      <c r="A42" s="8" t="inlineStr">
        <is>
          <t>KFC</t>
        </is>
      </c>
      <c r="B42" s="20" t="n">
        <v>1089</v>
      </c>
      <c r="C42" s="20" t="n">
        <v>1146</v>
      </c>
      <c r="D42" s="19">
        <f>C42+Assumptions!B$11*0.4</f>
        <v/>
      </c>
      <c r="E42" s="19">
        <f>D42+Assumptions!C$11*0.4</f>
        <v/>
      </c>
      <c r="F42" s="19">
        <f>E42+Assumptions!D$11*0.4</f>
        <v/>
      </c>
      <c r="G42" s="19">
        <f>F42+Assumptions!E$11*0.4</f>
        <v/>
      </c>
      <c r="H42" s="19">
        <f>G42+Assumptions!F$11*0.4</f>
        <v/>
      </c>
    </row>
    <row r="43">
      <c r="A43" s="8" t="inlineStr">
        <is>
          <t>Pizza Hut</t>
        </is>
      </c>
      <c r="B43" s="20" t="n">
        <v>432</v>
      </c>
      <c r="C43" s="20" t="n">
        <v>457</v>
      </c>
      <c r="D43" s="19">
        <f>C43+Assumptions!B$11*0.15</f>
        <v/>
      </c>
      <c r="E43" s="19">
        <f>D43+Assumptions!C$11*0.15</f>
        <v/>
      </c>
      <c r="F43" s="19">
        <f>E43+Assumptions!D$11*0.15</f>
        <v/>
      </c>
      <c r="G43" s="19">
        <f>F43+Assumptions!E$11*0.15</f>
        <v/>
      </c>
      <c r="H43" s="19">
        <f>G43+Assumptions!F$11*0.15</f>
        <v/>
      </c>
    </row>
    <row r="44">
      <c r="A44" s="8" t="inlineStr">
        <is>
          <t>Hardee's</t>
        </is>
      </c>
      <c r="B44" s="20" t="n">
        <v>410</v>
      </c>
      <c r="C44" s="20" t="n">
        <v>458</v>
      </c>
      <c r="D44" s="19">
        <f>C44+Assumptions!B$11*0.16</f>
        <v/>
      </c>
      <c r="E44" s="19">
        <f>D44+Assumptions!C$11*0.16</f>
        <v/>
      </c>
      <c r="F44" s="19">
        <f>E44+Assumptions!D$11*0.16</f>
        <v/>
      </c>
      <c r="G44" s="19">
        <f>F44+Assumptions!E$11*0.16</f>
        <v/>
      </c>
      <c r="H44" s="19">
        <f>G44+Assumptions!F$11*0.16</f>
        <v/>
      </c>
    </row>
    <row r="45">
      <c r="A45" s="8" t="inlineStr">
        <is>
          <t>Krispy Kreme</t>
        </is>
      </c>
      <c r="B45" s="20" t="n">
        <v>388</v>
      </c>
      <c r="C45" s="20" t="n">
        <v>395</v>
      </c>
      <c r="D45" s="19">
        <f>C45+Assumptions!B$11*0.12</f>
        <v/>
      </c>
      <c r="E45" s="19">
        <f>D45+Assumptions!C$11*0.12</f>
        <v/>
      </c>
      <c r="F45" s="19">
        <f>E45+Assumptions!D$11*0.12</f>
        <v/>
      </c>
      <c r="G45" s="19">
        <f>F45+Assumptions!E$11*0.12</f>
        <v/>
      </c>
      <c r="H45" s="19">
        <f>G45+Assumptions!F$11*0.12</f>
        <v/>
      </c>
    </row>
    <row r="46">
      <c r="A46" s="8" t="inlineStr">
        <is>
          <t>Growth, niche and other brands</t>
        </is>
      </c>
      <c r="B46" s="20" t="n">
        <v>271</v>
      </c>
      <c r="C46" s="20" t="n">
        <v>293</v>
      </c>
      <c r="D46" s="19">
        <f>C46+Assumptions!B$11*0.17</f>
        <v/>
      </c>
      <c r="E46" s="19">
        <f>D46+Assumptions!C$11*0.17</f>
        <v/>
      </c>
      <c r="F46" s="19">
        <f>E46+Assumptions!D$11*0.17</f>
        <v/>
      </c>
      <c r="G46" s="19">
        <f>F46+Assumptions!E$11*0.17</f>
        <v/>
      </c>
      <c r="H46" s="19">
        <f>G46+Assumptions!F$11*0.17</f>
        <v/>
      </c>
    </row>
    <row r="48">
      <c r="A48" s="7" t="inlineStr">
        <is>
          <t>Revenue by brand (USD million; residual ties to the audited total)</t>
        </is>
      </c>
    </row>
    <row r="49">
      <c r="A49" s="8" t="inlineStr">
        <is>
          <t>KFC</t>
        </is>
      </c>
      <c r="B49" s="9" t="n">
        <v>1325</v>
      </c>
      <c r="C49" s="9" t="n">
        <v>1494</v>
      </c>
      <c r="D49" s="12">
        <f>D42*(C49/C42)*(1+Assumptions!B$30)*(1-0.003203)</f>
        <v/>
      </c>
      <c r="E49" s="12">
        <f>E42*(D49/D42)*(1+Assumptions!C$30)*(1-0.003203)</f>
        <v/>
      </c>
      <c r="F49" s="12">
        <f>F42*(E49/E42)*(1+Assumptions!D$30)*(1-0.003203)</f>
        <v/>
      </c>
      <c r="G49" s="12">
        <f>G42*(F49/F42)*(1+Assumptions!E$30)*(1-0.003203)</f>
        <v/>
      </c>
      <c r="H49" s="12">
        <f>H42*(G49/G42)*(1+Assumptions!F$30)*(1-0.003203)</f>
        <v/>
      </c>
    </row>
    <row r="50">
      <c r="A50" s="8" t="inlineStr">
        <is>
          <t>Pizza Hut</t>
        </is>
      </c>
      <c r="B50" s="9" t="n">
        <v>367</v>
      </c>
      <c r="C50" s="9" t="n">
        <v>433</v>
      </c>
      <c r="D50" s="12">
        <f>D43*(C50/C43)*(1+Assumptions!B$30)*(1-0.003203)</f>
        <v/>
      </c>
      <c r="E50" s="12">
        <f>E43*(D50/D43)*(1+Assumptions!C$30)*(1-0.003203)</f>
        <v/>
      </c>
      <c r="F50" s="12">
        <f>F43*(E50/E43)*(1+Assumptions!D$30)*(1-0.003203)</f>
        <v/>
      </c>
      <c r="G50" s="12">
        <f>G43*(F50/F43)*(1+Assumptions!E$30)*(1-0.003203)</f>
        <v/>
      </c>
      <c r="H50" s="12">
        <f>H43*(G50/G43)*(1+Assumptions!F$30)*(1-0.003203)</f>
        <v/>
      </c>
    </row>
    <row r="51">
      <c r="A51" s="8" t="inlineStr">
        <is>
          <t>Hardee's</t>
        </is>
      </c>
      <c r="B51" s="9" t="n">
        <v>275</v>
      </c>
      <c r="C51" s="9" t="n">
        <v>330</v>
      </c>
      <c r="D51" s="12">
        <f>D44*(C51/C44)*(1+Assumptions!B$30)*(1-0.003203)</f>
        <v/>
      </c>
      <c r="E51" s="12">
        <f>E44*(D51/D44)*(1+Assumptions!C$30)*(1-0.003203)</f>
        <v/>
      </c>
      <c r="F51" s="12">
        <f>F44*(E51/E44)*(1+Assumptions!D$30)*(1-0.003203)</f>
        <v/>
      </c>
      <c r="G51" s="12">
        <f>G44*(F51/F44)*(1+Assumptions!E$30)*(1-0.003203)</f>
        <v/>
      </c>
      <c r="H51" s="12">
        <f>H44*(G51/G44)*(1+Assumptions!F$30)*(1-0.003203)</f>
        <v/>
      </c>
    </row>
    <row r="52">
      <c r="A52" s="8" t="inlineStr">
        <is>
          <t>Krispy Kreme</t>
        </is>
      </c>
      <c r="B52" s="9" t="n">
        <v>87</v>
      </c>
      <c r="C52" s="9" t="n">
        <v>94</v>
      </c>
      <c r="D52" s="12">
        <f>D45*(C52/C45)*(1+Assumptions!B$30)*(1-0.003203)</f>
        <v/>
      </c>
      <c r="E52" s="12">
        <f>E45*(D52/D45)*(1+Assumptions!C$30)*(1-0.003203)</f>
        <v/>
      </c>
      <c r="F52" s="12">
        <f>F45*(E52/E45)*(1+Assumptions!D$30)*(1-0.003203)</f>
        <v/>
      </c>
      <c r="G52" s="12">
        <f>G45*(F52/F45)*(1+Assumptions!E$30)*(1-0.003203)</f>
        <v/>
      </c>
      <c r="H52" s="12">
        <f>H45*(G52/G45)*(1+Assumptions!F$30)*(1-0.003203)</f>
        <v/>
      </c>
    </row>
    <row r="53">
      <c r="A53" s="8" t="inlineStr">
        <is>
          <t>Growth, niche and other brands</t>
        </is>
      </c>
      <c r="B53" s="9" t="n">
        <v>142.7510000000002</v>
      </c>
      <c r="C53" s="9" t="n">
        <v>157.8209999999999</v>
      </c>
      <c r="D53" s="12">
        <f>D46*(C53/C46)*(1+Assumptions!B$30)*(1-0.003203)</f>
        <v/>
      </c>
      <c r="E53" s="12">
        <f>E46*(D53/D46)*(1+Assumptions!C$30)*(1-0.003203)</f>
        <v/>
      </c>
      <c r="F53" s="12">
        <f>F46*(E53/E46)*(1+Assumptions!D$30)*(1-0.003203)</f>
        <v/>
      </c>
      <c r="G53" s="12">
        <f>G46*(F53/F46)*(1+Assumptions!E$30)*(1-0.003203)</f>
        <v/>
      </c>
      <c r="H53" s="12">
        <f>H46*(G53/G46)*(1+Assumptions!F$30)*(1-0.003203)</f>
        <v/>
      </c>
    </row>
    <row r="54">
      <c r="A54" s="7" t="inlineStr">
        <is>
          <t>Brand build, after eliminations (FY2026 blended with the disclosed half, as above)</t>
        </is>
      </c>
      <c r="D54" s="12">
        <f>(SUM(D49:D53)*(1-Assumptions!$C$95)+Assumptions!$C$96)/2</f>
        <v/>
      </c>
      <c r="E54" s="12">
        <f>SUM(E49:E53)*(1-Assumptions!$C$95)</f>
        <v/>
      </c>
      <c r="F54" s="12">
        <f>SUM(F49:F53)*(1-Assumptions!$C$95)</f>
        <v/>
      </c>
      <c r="G54" s="12">
        <f>SUM(G49:G53)*(1-Assumptions!$C$95)</f>
        <v/>
      </c>
      <c r="H54" s="12">
        <f>SUM(H49:H53)*(1-Assumptions!$C$95)</f>
        <v/>
      </c>
    </row>
    <row r="55">
      <c r="A55" s="8" t="inlineStr">
        <is>
          <t>Against the geographic build (row 36)</t>
        </is>
      </c>
      <c r="D55" s="13">
        <f>D54/E36-1</f>
        <v/>
      </c>
      <c r="E55" s="13">
        <f>E54/F36-1</f>
        <v/>
      </c>
      <c r="F55" s="13">
        <f>F54/G36-1</f>
        <v/>
      </c>
      <c r="G55" s="13">
        <f>G54/H36-1</f>
        <v/>
      </c>
      <c r="H55" s="13">
        <f>H54/I36-1</f>
        <v/>
      </c>
    </row>
    <row r="56" ht="56" customHeight="1">
      <c r="A56" s="2" t="inlineStr">
        <is>
          <t>The gap is a disclosed-mix effect, stated rather than smoothed: the company's brand-level opening mix is KFC-heavy (40% of openings at about USD 1.3 million of revenue per restaurant) while the geographic mix spreads additions across markets averaging about USD 0.9 million, so the brand build runs about 2% ahead by FY2030. The geographic build is adopted because it ties the audited history exactly; the brand build is the volume-times-price cross-check.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62" customWidth="1" min="1" max="1"/>
    <col width="14" customWidth="1" min="2" max="2"/>
    <col width="14" customWidth="1" min="3" max="3"/>
    <col width="20" customWidth="1" min="4" max="4"/>
    <col width="14" customWidth="1" min="5" max="5"/>
    <col width="14" customWidth="1" min="6" max="6"/>
  </cols>
  <sheetData>
    <row r="1">
      <c r="A1" s="5" t="inlineStr">
        <is>
          <t>Relative multiples, normalised earnings power, and the book lens</t>
        </is>
      </c>
    </row>
    <row r="4">
      <c r="A4" s="7" t="inlineStr">
        <is>
          <t>Relative lens</t>
        </is>
      </c>
      <c r="B4" s="7" t="inlineStr">
        <is>
          <t>Value</t>
        </is>
      </c>
    </row>
    <row r="5">
      <c r="A5" s="8" t="inlineStr">
        <is>
          <t>FY2027E EBITDA (USD million)</t>
        </is>
      </c>
      <c r="B5" s="10">
        <f>DCF!C8</f>
        <v/>
      </c>
    </row>
    <row r="6">
      <c r="A6" s="8" t="inlineStr">
        <is>
          <t>Justified enterprise value / EBITDA</t>
        </is>
      </c>
      <c r="B6" s="17">
        <f>Assumptions!$C$100</f>
        <v/>
      </c>
    </row>
    <row r="7">
      <c r="A7" s="8" t="inlineStr">
        <is>
          <t>Implied enterprise value at the end of FY2027 (USD million)</t>
        </is>
      </c>
      <c r="B7" s="12">
        <f>B5*B6</f>
        <v/>
      </c>
    </row>
    <row r="8">
      <c r="A8" s="8" t="inlineStr">
        <is>
          <t>Discount factor back to the valuation date</t>
        </is>
      </c>
      <c r="B8" s="25">
        <f>DCF!C18</f>
        <v/>
      </c>
    </row>
    <row r="9">
      <c r="A9" s="8" t="inlineStr">
        <is>
          <t>Plus the present value of the FY2026 AND FY2027 free cash flows — a two-year discount makes both years intervening</t>
        </is>
      </c>
      <c r="B9" s="10">
        <f>DCF!B19+DCF!C19</f>
        <v/>
      </c>
    </row>
    <row r="10">
      <c r="A10" s="8" t="inlineStr">
        <is>
          <t>Implied enterprise value today (USD million)</t>
        </is>
      </c>
      <c r="B10" s="12">
        <f>B7*B8+B9</f>
        <v/>
      </c>
    </row>
    <row r="11">
      <c r="A11" s="8" t="inlineStr">
        <is>
          <t>Implied equity value (USD million)</t>
        </is>
      </c>
      <c r="B11" s="12">
        <f>B10+DCF!C33+DCF!C34+DCF!C35+DCF!C36</f>
        <v/>
      </c>
    </row>
    <row r="12">
      <c r="A12" s="7" t="inlineStr">
        <is>
          <t>Implied value per share (AED), rolled to the anchor</t>
        </is>
      </c>
      <c r="B12" s="12">
        <f>(B11/Assumptions!$C$7*DCF!$E$38-Assumptions!$C$118)*Assumptions!$C$6</f>
        <v/>
      </c>
    </row>
    <row r="13">
      <c r="A13" s="8" t="inlineStr">
        <is>
          <t>Bear at 7.0 times (column C) and bull at 10.5 times (column D), same construction</t>
        </is>
      </c>
      <c r="C13" s="12">
        <f>((B5*7*B8+B9+DCF!C33+DCF!C34+DCF!C35+DCF!C36)/Assumptions!$C$7*DCF!$E$38-Assumptions!$C$118)*Assumptions!$C$6</f>
        <v/>
      </c>
      <c r="D13" s="12">
        <f>((B5*10.5*B8+B9+DCF!C33+DCF!C34+DCF!C35+DCF!C36)/Assumptions!$C$7*DCF!$E$38-Assumptions!$C$118)*Assumptions!$C$6</f>
        <v/>
      </c>
    </row>
    <row r="15">
      <c r="A15" s="7" t="inlineStr">
        <is>
          <t>The company’s own trailing multiples</t>
        </is>
      </c>
    </row>
    <row r="16">
      <c r="A16" s="8" t="inlineStr">
        <is>
          <t>Trailing enterprise value / EBITDA</t>
        </is>
      </c>
      <c r="B16" s="26">
        <f>(DCF!C56-DCF!C34+DCF!C57)/'Income Statement'!D8</f>
        <v/>
      </c>
    </row>
    <row r="17">
      <c r="A17" s="8" t="inlineStr">
        <is>
          <t>Trailing price / earnings</t>
        </is>
      </c>
      <c r="B17" s="26">
        <f>Assumptions!$C$5/Assumptions!$C$6/'Income Statement'!D20</f>
        <v/>
      </c>
    </row>
    <row r="18">
      <c r="A18" s="8" t="inlineStr">
        <is>
          <t>Trailing price / book</t>
        </is>
      </c>
      <c r="B18" s="26">
        <f>Assumptions!$C$5/Assumptions!$C$6/('Balance Sheet'!D14/Assumptions!$C$7)</f>
        <v/>
      </c>
    </row>
    <row r="19">
      <c r="A19" s="8" t="inlineStr">
        <is>
          <t>Net debt / EBITDA</t>
        </is>
      </c>
      <c r="B19" s="17">
        <f>'Balance Sheet'!D20</f>
        <v/>
      </c>
    </row>
    <row r="21">
      <c r="A21" s="7" t="inlineStr">
        <is>
          <t>Normalised earnings lens — the mid-cycle margin at today’s scale</t>
        </is>
      </c>
    </row>
    <row r="22">
      <c r="A22" s="8" t="inlineStr">
        <is>
          <t>Current-scale revenue, FY2026E (USD million)</t>
        </is>
      </c>
      <c r="B22" s="10">
        <f>DCF!B5</f>
        <v/>
      </c>
    </row>
    <row r="23">
      <c r="A23" s="8" t="inlineStr">
        <is>
          <t>Mid-cycle EBITDA margin — the midpoint of the structural and cyclical FY2028 readings</t>
        </is>
      </c>
      <c r="B23" s="13">
        <f>(DCF!D9+Assumptions!$D$119)/2</f>
        <v/>
      </c>
    </row>
    <row r="24">
      <c r="A24" s="8" t="inlineStr">
        <is>
          <t>Normalised EBITDA (USD million)</t>
        </is>
      </c>
      <c r="B24" s="12">
        <f>B22*B23</f>
        <v/>
      </c>
    </row>
    <row r="25">
      <c r="A25" s="8" t="inlineStr">
        <is>
          <t>Less depreciation and amortisation</t>
        </is>
      </c>
      <c r="B25" s="12">
        <f>-'Cash Flow'!E8</f>
        <v/>
      </c>
    </row>
    <row r="26">
      <c r="A26" s="8" t="inlineStr">
        <is>
          <t>Normalised EBIT, after the recurring impairment charge (USD million)</t>
        </is>
      </c>
      <c r="B26" s="12">
        <f>B24+B25-B22*Assumptions!$C$115</f>
        <v/>
      </c>
    </row>
    <row r="27">
      <c r="A27" s="8" t="inlineStr">
        <is>
          <t>Net finance result (USD million)</t>
        </is>
      </c>
      <c r="B27" s="12">
        <f>'Income Statement'!E13-Assumptions!$C$82*'Balance Sheet'!D12-Assumptions!$C$74*B22</f>
        <v/>
      </c>
    </row>
    <row r="28">
      <c r="A28" s="8" t="inlineStr">
        <is>
          <t>Normalised earnings after tax (USD million)</t>
        </is>
      </c>
      <c r="B28" s="12">
        <f>(B26+B27)*(1-Assumptions!$C$71)</f>
        <v/>
      </c>
    </row>
    <row r="29">
      <c r="A29" s="8" t="inlineStr">
        <is>
          <t>Normalised earnings per share (USD)</t>
        </is>
      </c>
      <c r="B29" s="27">
        <f>B28/Assumptions!$C$7</f>
        <v/>
      </c>
    </row>
    <row r="30">
      <c r="A30" s="8" t="inlineStr">
        <is>
          <t>Justified price / earnings</t>
        </is>
      </c>
      <c r="B30" s="17">
        <f>Assumptions!$C$101</f>
        <v/>
      </c>
    </row>
    <row r="31">
      <c r="A31" s="7" t="inlineStr">
        <is>
          <t>Implied value per share (AED), rolled to the anchor</t>
        </is>
      </c>
      <c r="B31" s="12">
        <f>(B29*B30*DCF!$E$38-Assumptions!$C$118)*Assumptions!$C$6</f>
        <v/>
      </c>
    </row>
    <row r="32">
      <c r="A32" s="8" t="inlineStr">
        <is>
          <t>Bear at 13 times (column C) and bull at 21 times (column D)</t>
        </is>
      </c>
      <c r="C32" s="12">
        <f>(B29*13*DCF!$E$38-Assumptions!$C$118)*Assumptions!$C$6</f>
        <v/>
      </c>
      <c r="D32" s="12">
        <f>(B29*21*DCF!$E$38-Assumptions!$C$118)*Assumptions!$C$6</f>
        <v/>
      </c>
    </row>
    <row r="34">
      <c r="A34" s="7" t="inlineStr">
        <is>
          <t>Book value and sustainable return</t>
        </is>
      </c>
    </row>
    <row r="35">
      <c r="A35" s="8" t="inlineStr">
        <is>
          <t>Book value per share (USD)</t>
        </is>
      </c>
      <c r="B35" s="27">
        <f>Assumptions!$C$97/Assumptions!$C$7</f>
        <v/>
      </c>
    </row>
    <row r="36">
      <c r="A36" s="8" t="inlineStr">
        <is>
          <t>Sustainable return on equity</t>
        </is>
      </c>
      <c r="B36" s="11">
        <f>Assumptions!$C$102</f>
        <v/>
      </c>
    </row>
    <row r="37">
      <c r="A37" s="8" t="inlineStr">
        <is>
          <t>Trailing return on equity</t>
        </is>
      </c>
      <c r="B37" s="13">
        <f>'Income Statement'!D19/(('Balance Sheet'!C14+'Balance Sheet'!D14)/2)</f>
        <v/>
      </c>
    </row>
    <row r="38">
      <c r="A38" s="8" t="inlineStr">
        <is>
          <t>Terminal cost of equity</t>
        </is>
      </c>
      <c r="B38" s="16">
        <f>DCF!C61</f>
        <v/>
      </c>
    </row>
    <row r="39">
      <c r="A39" s="8" t="inlineStr">
        <is>
          <t>Justified price / book</t>
        </is>
      </c>
      <c r="B39" s="26">
        <f>(B36-Assumptions!$C$84)/(B38-Assumptions!$C$84)</f>
        <v/>
      </c>
      <c r="E39" s="6" t="inlineStr">
        <is>
          <t>Roll factor from the 30 June book date (38 days)</t>
        </is>
      </c>
      <c r="F39" s="27">
        <f>(1+DCF!C52)^(38/365)</f>
        <v/>
      </c>
    </row>
    <row r="40">
      <c r="A40" s="7" t="inlineStr">
        <is>
          <t>Implied value per share (AED), rolled from the book date to the anchor</t>
        </is>
      </c>
      <c r="B40" s="12">
        <f>B35*B39*F39*Assumptions!$C$6</f>
        <v/>
      </c>
    </row>
    <row r="41">
      <c r="A41" s="8" t="inlineStr">
        <is>
          <t>Bear at a 34% return (column C) and bull at 48% (column D)</t>
        </is>
      </c>
      <c r="C41" s="12">
        <f>B35*((0.34-Assumptions!$C$84)/(B38+0.02-Assumptions!$C$84))*F39*Assumptions!$C$6</f>
        <v/>
      </c>
      <c r="D41" s="12">
        <f>B35*((0.48-Assumptions!$C$84)/(B38-0.01-Assumptions!$C$84))*F39*Assumptions!$C$6</f>
        <v/>
      </c>
    </row>
    <row r="43" ht="42" customHeight="1">
      <c r="A43" s="2" t="inlineStr">
        <is>
          <t>The book lens is the weakest of the four here and carries the lowest weight for that reason. An operator that leases its estate and distributes almost all its earnings holds very little book equity, so a justified price-to-book multiple divides a large return by a small base and is unstable in both directions.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80"/>
  <sheetViews>
    <sheetView workbookViewId="0">
      <selection activeCell="A1" sqref="A1"/>
    </sheetView>
  </sheetViews>
  <sheetFormatPr baseColWidth="8" defaultRowHeight="15"/>
  <cols>
    <col width="62" customWidth="1" min="1" max="1"/>
    <col width="13" customWidth="1" min="2" max="2"/>
    <col width="13" customWidth="1" min="3" max="3"/>
    <col width="13" customWidth="1" min="4" max="4"/>
    <col width="13" customWidth="1" min="5" max="5"/>
    <col width="13" customWidth="1" min="6" max="6"/>
  </cols>
  <sheetData>
    <row r="1">
      <c r="A1" s="5" t="inlineStr">
        <is>
          <t>Discounted cash flow — the full waterfall</t>
        </is>
      </c>
    </row>
    <row r="2">
      <c r="A2" s="6" t="inlineStr">
        <is>
          <t>Every line is a live formula. The cost of capital is built below rather than pasted, the glide is inherited from the tax path, the discount factors compound, and the terminal value is capitalised at the terminal rate.</t>
        </is>
      </c>
    </row>
    <row r="4">
      <c r="A4" s="7" t="inlineStr">
        <is>
          <t>USD million</t>
        </is>
      </c>
      <c r="B4" s="7" t="inlineStr">
        <is>
          <t>FY2026E</t>
        </is>
      </c>
      <c r="C4" s="7" t="inlineStr">
        <is>
          <t>FY2027E</t>
        </is>
      </c>
      <c r="D4" s="7" t="inlineStr">
        <is>
          <t>FY2028E</t>
        </is>
      </c>
      <c r="E4" s="7" t="inlineStr">
        <is>
          <t>FY2029E</t>
        </is>
      </c>
      <c r="F4" s="7" t="inlineStr">
        <is>
          <t>FY2030E</t>
        </is>
      </c>
    </row>
    <row r="5">
      <c r="A5" s="8" t="inlineStr">
        <is>
          <t>Revenue</t>
        </is>
      </c>
      <c r="B5" s="10">
        <f>Segments!E36</f>
        <v/>
      </c>
      <c r="C5" s="10">
        <f>Segments!F36</f>
        <v/>
      </c>
      <c r="D5" s="10">
        <f>Segments!G36</f>
        <v/>
      </c>
      <c r="E5" s="10">
        <f>Segments!H36</f>
        <v/>
      </c>
      <c r="F5" s="10">
        <f>Segments!I36</f>
        <v/>
      </c>
    </row>
    <row r="6">
      <c r="A6" s="8" t="inlineStr">
        <is>
          <t>Cash operating costs — six escalator classes as shares, staff and delivery as unit builds (headcount x wage; channel share x unit cost)</t>
        </is>
      </c>
      <c r="B6" s="12">
        <f>-B5*(Assumptions!B$49+Assumptions!B$50+Assumptions!B$53+Assumptions!B$54+Assumptions!B$55+Assumptions!B$56+Assumptions!$C$57)-((Segments!B12+Segments!C12)/2*Assumptions!B$109/1000+Assumptions!$C$112)*Assumptions!$C$110*(1+Assumptions!$C$111)^1-B5*Assumptions!B$113*Assumptions!B$114</f>
        <v/>
      </c>
      <c r="C6" s="12">
        <f>-C5*(Assumptions!C$49+Assumptions!C$50+Assumptions!C$53+Assumptions!C$54+Assumptions!C$55+Assumptions!C$56+Assumptions!$C$57)-((Segments!C12+Segments!D12)/2*Assumptions!C$109/1000+Assumptions!$C$112)*Assumptions!$C$110*(1+Assumptions!$C$111)^2-C5*Assumptions!C$113*Assumptions!C$114</f>
        <v/>
      </c>
      <c r="D6" s="12">
        <f>-D5*(Assumptions!D$49+Assumptions!D$50+Assumptions!D$53+Assumptions!D$54+Assumptions!D$55+Assumptions!D$56+Assumptions!$C$57)-((Segments!D12+Segments!E12)/2*Assumptions!D$109/1000+Assumptions!$C$112)*Assumptions!$C$110*(1+Assumptions!$C$111)^3-D5*Assumptions!D$113*Assumptions!D$114</f>
        <v/>
      </c>
      <c r="E6" s="12">
        <f>-E5*(Assumptions!E$49+Assumptions!E$50+Assumptions!E$53+Assumptions!E$54+Assumptions!E$55+Assumptions!E$56+Assumptions!$C$57)-((Segments!E12+Segments!F12)/2*Assumptions!E$109/1000+Assumptions!$C$112)*Assumptions!$C$110*(1+Assumptions!$C$111)^4-E5*Assumptions!E$113*Assumptions!E$114</f>
        <v/>
      </c>
      <c r="F6" s="12">
        <f>-F5*(Assumptions!F$49+Assumptions!F$50+Assumptions!F$53+Assumptions!F$54+Assumptions!F$55+Assumptions!F$56+Assumptions!$C$57)-((Segments!F12+Segments!G12)/2*Assumptions!F$109/1000+Assumptions!$C$112)*Assumptions!$C$110*(1+Assumptions!$C$111)^5-F5*Assumptions!F$113*Assumptions!F$114</f>
        <v/>
      </c>
    </row>
    <row r="7">
      <c r="A7" s="8" t="inlineStr">
        <is>
          <t>Other income</t>
        </is>
      </c>
      <c r="B7" s="12">
        <f>B5*Assumptions!$C$58</f>
        <v/>
      </c>
      <c r="C7" s="12">
        <f>C5*Assumptions!$C$58</f>
        <v/>
      </c>
      <c r="D7" s="12">
        <f>D5*Assumptions!$C$58</f>
        <v/>
      </c>
      <c r="E7" s="12">
        <f>E5*Assumptions!$C$58</f>
        <v/>
      </c>
      <c r="F7" s="12">
        <f>F5*Assumptions!$C$58</f>
        <v/>
      </c>
    </row>
    <row r="8">
      <c r="A8" s="7" t="inlineStr">
        <is>
          <t>EBITDA</t>
        </is>
      </c>
      <c r="B8" s="12">
        <f>B5+B6+B7</f>
        <v/>
      </c>
      <c r="C8" s="12">
        <f>C5+C6+C7</f>
        <v/>
      </c>
      <c r="D8" s="12">
        <f>D5+D6+D7</f>
        <v/>
      </c>
      <c r="E8" s="12">
        <f>E5+E6+E7</f>
        <v/>
      </c>
      <c r="F8" s="12">
        <f>F5+F6+F7</f>
        <v/>
      </c>
    </row>
    <row r="9">
      <c r="A9" s="8" t="inlineStr">
        <is>
          <t>EBITDA margin</t>
        </is>
      </c>
      <c r="B9" s="13">
        <f>B8/B5</f>
        <v/>
      </c>
      <c r="C9" s="13">
        <f>C8/C5</f>
        <v/>
      </c>
      <c r="D9" s="13">
        <f>D8/D5</f>
        <v/>
      </c>
      <c r="E9" s="13">
        <f>E8/E5</f>
        <v/>
      </c>
      <c r="F9" s="13">
        <f>F8/F5</f>
        <v/>
      </c>
    </row>
    <row r="10">
      <c r="A10" s="8" t="inlineStr">
        <is>
          <t>Less depreciation and amortisation</t>
        </is>
      </c>
      <c r="B10" s="10">
        <f>-'Cash Flow'!E8</f>
        <v/>
      </c>
      <c r="C10" s="10">
        <f>-'Cash Flow'!F8</f>
        <v/>
      </c>
      <c r="D10" s="10">
        <f>-'Cash Flow'!G8</f>
        <v/>
      </c>
      <c r="E10" s="10">
        <f>-'Cash Flow'!H8</f>
        <v/>
      </c>
      <c r="F10" s="10">
        <f>-'Cash Flow'!I8</f>
        <v/>
      </c>
    </row>
    <row r="11">
      <c r="A11" s="8" t="inlineStr">
        <is>
          <t>EBIT, after the recurring impairment charge</t>
        </is>
      </c>
      <c r="B11" s="12">
        <f>B8+B10-B5*Assumptions!$C$115</f>
        <v/>
      </c>
      <c r="C11" s="12">
        <f>C8+C10-C5*Assumptions!$C$115</f>
        <v/>
      </c>
      <c r="D11" s="12">
        <f>D8+D10-D5*Assumptions!$C$115</f>
        <v/>
      </c>
      <c r="E11" s="12">
        <f>E8+E10-E5*Assumptions!$C$115</f>
        <v/>
      </c>
      <c r="F11" s="12">
        <f>F8+F10-F5*Assumptions!$C$115</f>
        <v/>
      </c>
    </row>
    <row r="12">
      <c r="A12" s="8" t="inlineStr">
        <is>
          <t>NOPAT — EBIT after tax</t>
        </is>
      </c>
      <c r="B12" s="12">
        <f>B11*(1-Assumptions!B$71)</f>
        <v/>
      </c>
      <c r="C12" s="12">
        <f>C11*(1-Assumptions!C$71)</f>
        <v/>
      </c>
      <c r="D12" s="12">
        <f>D11*(1-Assumptions!D$71)</f>
        <v/>
      </c>
      <c r="E12" s="12">
        <f>E11*(1-Assumptions!E$71)</f>
        <v/>
      </c>
      <c r="F12" s="12">
        <f>F11*(1-Assumptions!F$71)</f>
        <v/>
      </c>
    </row>
    <row r="13">
      <c r="A13" s="8" t="inlineStr">
        <is>
          <t>Add back depreciation and amortisation</t>
        </is>
      </c>
      <c r="B13" s="12">
        <f>-B10</f>
        <v/>
      </c>
      <c r="C13" s="12">
        <f>-C10</f>
        <v/>
      </c>
      <c r="D13" s="12">
        <f>-D10</f>
        <v/>
      </c>
      <c r="E13" s="12">
        <f>-E10</f>
        <v/>
      </c>
      <c r="F13" s="12">
        <f>-F10</f>
        <v/>
      </c>
    </row>
    <row r="14">
      <c r="A14" s="8" t="inlineStr">
        <is>
          <t>Less capital expenditure, including right-of-use additions</t>
        </is>
      </c>
      <c r="B14" s="10">
        <f>-'Cash Flow'!E12</f>
        <v/>
      </c>
      <c r="C14" s="10">
        <f>-'Cash Flow'!F12</f>
        <v/>
      </c>
      <c r="D14" s="10">
        <f>-'Cash Flow'!G12</f>
        <v/>
      </c>
      <c r="E14" s="10">
        <f>-'Cash Flow'!H12</f>
        <v/>
      </c>
      <c r="F14" s="10">
        <f>-'Cash Flow'!I12</f>
        <v/>
      </c>
    </row>
    <row r="15">
      <c r="A15" s="8" t="inlineStr">
        <is>
          <t>Less change in working capital</t>
        </is>
      </c>
      <c r="B15" s="10">
        <f>-'Cash Flow'!E13</f>
        <v/>
      </c>
      <c r="C15" s="10">
        <f>-'Cash Flow'!F13</f>
        <v/>
      </c>
      <c r="D15" s="10">
        <f>-'Cash Flow'!G13</f>
        <v/>
      </c>
      <c r="E15" s="10">
        <f>-'Cash Flow'!H13</f>
        <v/>
      </c>
      <c r="F15" s="10">
        <f>-'Cash Flow'!I13</f>
        <v/>
      </c>
    </row>
    <row r="16">
      <c r="A16" s="7" t="inlineStr">
        <is>
          <t>Free cash flow to the firm</t>
        </is>
      </c>
      <c r="B16" s="12">
        <f>B12+B13+B14+B15</f>
        <v/>
      </c>
      <c r="C16" s="12">
        <f>C12+C13+C14+C15</f>
        <v/>
      </c>
      <c r="D16" s="12">
        <f>D12+D13+D14+D15</f>
        <v/>
      </c>
      <c r="E16" s="12">
        <f>E12+E13+E14+E15</f>
        <v/>
      </c>
      <c r="F16" s="12">
        <f>F12+F13+F14+F15</f>
        <v/>
      </c>
    </row>
    <row r="17">
      <c r="A17" s="8" t="inlineStr">
        <is>
          <t>Forward cost of capital</t>
        </is>
      </c>
      <c r="B17" s="28">
        <f>$C$46-($C$46-$C$53)*B44</f>
        <v/>
      </c>
      <c r="C17" s="28">
        <f>$C$46-($C$46-$C$53)*C44</f>
        <v/>
      </c>
      <c r="D17" s="28">
        <f>$C$46-($C$46-$C$53)*D44</f>
        <v/>
      </c>
      <c r="E17" s="28">
        <f>$C$46-($C$46-$C$53)*E44</f>
        <v/>
      </c>
      <c r="F17" s="28">
        <f>$C$46-($C$46-$C$53)*F44</f>
        <v/>
      </c>
    </row>
    <row r="18">
      <c r="A18" s="8" t="inlineStr">
        <is>
          <t>Discount factor</t>
        </is>
      </c>
      <c r="B18" s="27">
        <f>1/(1+B17)</f>
        <v/>
      </c>
      <c r="C18" s="27">
        <f>B18/(1+C17)</f>
        <v/>
      </c>
      <c r="D18" s="27">
        <f>C18/(1+D17)</f>
        <v/>
      </c>
      <c r="E18" s="27">
        <f>D18/(1+E17)</f>
        <v/>
      </c>
      <c r="F18" s="27">
        <f>E18/(1+F17)</f>
        <v/>
      </c>
    </row>
    <row r="19">
      <c r="A19" s="8" t="inlineStr">
        <is>
          <t>Present value of free cash flow to the firm</t>
        </is>
      </c>
      <c r="B19" s="12">
        <f>B16*B18</f>
        <v/>
      </c>
      <c r="C19" s="12">
        <f>C16*C18</f>
        <v/>
      </c>
      <c r="D19" s="12">
        <f>D16*D18</f>
        <v/>
      </c>
      <c r="E19" s="12">
        <f>E16*E18</f>
        <v/>
      </c>
      <c r="F19" s="12">
        <f>F16*F18</f>
        <v/>
      </c>
    </row>
    <row r="21">
      <c r="A21" s="14" t="inlineStr">
        <is>
          <t>TERMINAL VALUE AND THE BRIDGE TO EQUITY</t>
        </is>
      </c>
    </row>
    <row r="22">
      <c r="A22" s="8" t="inlineStr">
        <is>
          <t>Terminal growth</t>
        </is>
      </c>
      <c r="C22" s="11">
        <f>Assumptions!$C$84</f>
        <v/>
      </c>
    </row>
    <row r="23">
      <c r="A23" s="8" t="inlineStr">
        <is>
          <t>Terminal-year NOPAT grown one year</t>
        </is>
      </c>
      <c r="C23" s="12">
        <f>F12*(1+C22)</f>
        <v/>
      </c>
    </row>
    <row r="24">
      <c r="A24" s="8" t="inlineStr">
        <is>
          <t>Invested capital at the end of the forecast</t>
        </is>
      </c>
      <c r="C24" s="10">
        <f>'Balance Sheet'!I18</f>
        <v/>
      </c>
    </row>
    <row r="25">
      <c r="A25" s="8" t="inlineStr">
        <is>
          <t>Terminal return on incremental capital — the payback-anchored fade</t>
        </is>
      </c>
      <c r="C25" s="11">
        <f>Assumptions!$C$116</f>
        <v/>
      </c>
    </row>
    <row r="26">
      <c r="A26" s="8" t="inlineStr">
        <is>
          <t>Required reinvestment rate — growth divided by the return on capital</t>
        </is>
      </c>
      <c r="C26" s="13">
        <f>C22/C25</f>
        <v/>
      </c>
    </row>
    <row r="27">
      <c r="A27" s="8" t="inlineStr">
        <is>
          <t>Terminal cost of capital</t>
        </is>
      </c>
      <c r="C27" s="28">
        <f>C53</f>
        <v/>
      </c>
    </row>
    <row r="28">
      <c r="A28" s="8" t="inlineStr">
        <is>
          <t>Terminal value</t>
        </is>
      </c>
      <c r="C28" s="12">
        <f>C23*(1-C26)/(C27-C22)</f>
        <v/>
      </c>
    </row>
    <row r="29">
      <c r="A29" s="8" t="inlineStr">
        <is>
          <t>Present value of the five forecast years</t>
        </is>
      </c>
      <c r="C29" s="12">
        <f>SUM(B19:F19)</f>
        <v/>
      </c>
    </row>
    <row r="30">
      <c r="A30" s="8" t="inlineStr">
        <is>
          <t>Present value of the terminal value</t>
        </is>
      </c>
      <c r="C30" s="12">
        <f>C28*F18</f>
        <v/>
      </c>
    </row>
    <row r="31">
      <c r="A31" s="7" t="inlineStr">
        <is>
          <t>Enterprise value</t>
        </is>
      </c>
      <c r="C31" s="12">
        <f>C29+C30</f>
        <v/>
      </c>
    </row>
    <row r="32">
      <c r="A32" s="7" t="inlineStr">
        <is>
          <t>Terminal value as a share of enterprise value</t>
        </is>
      </c>
      <c r="C32" s="13">
        <f>C30/C31</f>
        <v/>
      </c>
    </row>
    <row r="33">
      <c r="A33" s="8" t="inlineStr">
        <is>
          <t>Less lease liabilities</t>
        </is>
      </c>
      <c r="C33" s="10">
        <f>-Assumptions!$C$87</f>
        <v/>
      </c>
    </row>
    <row r="34">
      <c r="A34" s="8" t="inlineStr">
        <is>
          <t>Plus cash and bank deposits</t>
        </is>
      </c>
      <c r="C34" s="10">
        <f>Assumptions!$C$88</f>
        <v/>
      </c>
    </row>
    <row r="35">
      <c r="A35" s="8" t="inlineStr">
        <is>
          <t>Less bank debt</t>
        </is>
      </c>
      <c r="C35" s="10">
        <f>-Assumptions!$C$89</f>
        <v/>
      </c>
    </row>
    <row r="36">
      <c r="A36" s="8" t="inlineStr">
        <is>
          <t>Less non-controlling interests</t>
        </is>
      </c>
      <c r="C36" s="10">
        <f>-Assumptions!$C$90</f>
        <v/>
      </c>
    </row>
    <row r="37">
      <c r="A37" s="7" t="inlineStr">
        <is>
          <t>Equity value</t>
        </is>
      </c>
      <c r="C37" s="12">
        <f>C31+C33+C34+C35+C36</f>
        <v/>
      </c>
    </row>
    <row r="38">
      <c r="A38" s="8" t="inlineStr">
        <is>
          <t>Fair value per share at 31 December 2025 (USD)</t>
        </is>
      </c>
      <c r="C38" s="27">
        <f>C37/Assumptions!$C$7</f>
        <v/>
      </c>
      <c r="D38" s="6" t="inlineStr">
        <is>
          <t>Anchor roll factor</t>
        </is>
      </c>
      <c r="E38" s="27">
        <f>(1+C52)^(Assumptions!$C$117/365)</f>
        <v/>
      </c>
    </row>
    <row r="39">
      <c r="A39" s="7" t="inlineStr">
        <is>
          <t>Fair value per share at the 7 August 2026 anchor (AED) — rolled at the cost of equity, net of the dividend paid in the window</t>
        </is>
      </c>
      <c r="C39" s="12">
        <f>(C38*E38-Assumptions!$C$118)*Assumptions!$C$6</f>
        <v/>
      </c>
    </row>
    <row r="41">
      <c r="A41" s="14" t="inlineStr">
        <is>
          <t>THE COST OF CAPITAL — BUILT HERE, NOT PASTED</t>
        </is>
      </c>
    </row>
    <row r="42">
      <c r="A42" s="7" t="inlineStr">
        <is>
          <t>The glide</t>
        </is>
      </c>
      <c r="B42" s="7" t="inlineStr">
        <is>
          <t>FY2026E</t>
        </is>
      </c>
      <c r="C42" s="7" t="inlineStr">
        <is>
          <t>FY2027E</t>
        </is>
      </c>
      <c r="D42" s="7" t="inlineStr">
        <is>
          <t>FY2028E</t>
        </is>
      </c>
      <c r="E42" s="7" t="inlineStr">
        <is>
          <t>FY2029E</t>
        </is>
      </c>
      <c r="F42" s="7" t="inlineStr">
        <is>
          <t>FY2030E</t>
        </is>
      </c>
    </row>
    <row r="43">
      <c r="A43" s="8" t="inlineStr">
        <is>
          <t>Effective tax rate path</t>
        </is>
      </c>
      <c r="B43" s="11">
        <f>Assumptions!B$71</f>
        <v/>
      </c>
      <c r="C43" s="11">
        <f>Assumptions!C$71</f>
        <v/>
      </c>
      <c r="D43" s="11">
        <f>Assumptions!D$71</f>
        <v/>
      </c>
      <c r="E43" s="11">
        <f>Assumptions!E$71</f>
        <v/>
      </c>
      <c r="F43" s="11">
        <f>Assumptions!F$71</f>
        <v/>
      </c>
    </row>
    <row r="44">
      <c r="A44" s="8" t="inlineStr">
        <is>
          <t>Glide fraction — cumulative progress of the tax path</t>
        </is>
      </c>
      <c r="B44" s="13">
        <f>(B43-$B$43)/($F$43-$B$43)</f>
        <v/>
      </c>
      <c r="C44" s="13">
        <f>(C43-$B$43)/($F$43-$B$43)</f>
        <v/>
      </c>
      <c r="D44" s="13">
        <f>(D43-$B$43)/($F$43-$B$43)</f>
        <v/>
      </c>
      <c r="E44" s="13">
        <f>(E43-$B$43)/($F$43-$B$43)</f>
        <v/>
      </c>
      <c r="F44" s="13">
        <f>(F43-$B$43)/($F$43-$B$43)</f>
        <v/>
      </c>
    </row>
    <row r="45" ht="42" customHeight="1">
      <c r="A45" s="2" t="inlineStr">
        <is>
          <t>Row 17 walks the explicit-window cost of capital down to the terminal rate on this fraction, so the shape of the path is inherited from the only forward schedule in the model rather than invented as a second free parameter.</t>
        </is>
      </c>
    </row>
    <row r="46">
      <c r="A46" s="7" t="inlineStr">
        <is>
          <t>Cost of capital, explicit window</t>
        </is>
      </c>
      <c r="C46" s="28">
        <f>C59*C52+C58*C55</f>
        <v/>
      </c>
    </row>
    <row r="47">
      <c r="A47" s="8" t="inlineStr">
        <is>
          <t>US ten-year Treasury yield</t>
        </is>
      </c>
      <c r="C47" s="16">
        <f>Assumptions!$C$76</f>
        <v/>
      </c>
    </row>
    <row r="48">
      <c r="A48" s="8" t="inlineStr">
        <is>
          <t>Less the US sovereign default spread</t>
        </is>
      </c>
      <c r="C48" s="16">
        <f>Assumptions!$C$77</f>
        <v/>
      </c>
    </row>
    <row r="49">
      <c r="A49" s="8" t="inlineStr">
        <is>
          <t>Risk-free rate net of the sovereign spread</t>
        </is>
      </c>
      <c r="C49" s="28">
        <f>C47-C48</f>
        <v/>
      </c>
    </row>
    <row r="50">
      <c r="A50" s="8" t="inlineStr">
        <is>
          <t>Beta</t>
        </is>
      </c>
      <c r="C50" s="25">
        <f>Assumptions!$C$81</f>
        <v/>
      </c>
    </row>
    <row r="51">
      <c r="A51" s="8" t="inlineStr">
        <is>
          <t>Blended equity risk premium (ratings basis)</t>
        </is>
      </c>
      <c r="C51" s="16">
        <f>Assumptions!$C$78</f>
        <v/>
      </c>
    </row>
    <row r="52">
      <c r="A52" s="8" t="inlineStr">
        <is>
          <t>Cost of equity</t>
        </is>
      </c>
      <c r="C52" s="28">
        <f>C49+C50*C51</f>
        <v/>
      </c>
    </row>
    <row r="53">
      <c r="A53" s="7" t="inlineStr">
        <is>
          <t>Cost of capital, terminal</t>
        </is>
      </c>
      <c r="C53" s="28">
        <f>C59*C61+C58*C62</f>
        <v/>
      </c>
    </row>
    <row r="54">
      <c r="A54" s="8" t="inlineStr">
        <is>
          <t>Cost of debt — the group’s own incremental borrowing rate</t>
        </is>
      </c>
      <c r="C54" s="16">
        <f>Assumptions!$C$82</f>
        <v/>
      </c>
    </row>
    <row r="55">
      <c r="A55" s="8" t="inlineStr">
        <is>
          <t>Cost of debt after tax</t>
        </is>
      </c>
      <c r="C55" s="28">
        <f>C54*(1-Assumptions!$B$71)</f>
        <v/>
      </c>
    </row>
    <row r="56">
      <c r="A56" s="8" t="inlineStr">
        <is>
          <t>Market capitalisation (USD million)</t>
        </is>
      </c>
      <c r="C56" s="12">
        <f>Assumptions!$C$5/Assumptions!$C$6*Assumptions!$C$7</f>
        <v/>
      </c>
    </row>
    <row r="57">
      <c r="A57" s="8" t="inlineStr">
        <is>
          <t>Debt at market value — the lease liability</t>
        </is>
      </c>
      <c r="C57" s="10">
        <f>Assumptions!$C$87</f>
        <v/>
      </c>
    </row>
    <row r="58">
      <c r="A58" s="8" t="inlineStr">
        <is>
          <t>Debt weight</t>
        </is>
      </c>
      <c r="C58" s="13">
        <f>C57/(C57+C56)</f>
        <v/>
      </c>
    </row>
    <row r="59">
      <c r="A59" s="8" t="inlineStr">
        <is>
          <t>Equity weight</t>
        </is>
      </c>
      <c r="C59" s="13">
        <f>1-C58</f>
        <v/>
      </c>
    </row>
    <row r="60">
      <c r="A60" s="8" t="inlineStr">
        <is>
          <t>Terminal risk-free rate</t>
        </is>
      </c>
      <c r="C60" s="16">
        <f>Assumptions!$C$83</f>
        <v/>
      </c>
    </row>
    <row r="61">
      <c r="A61" s="8" t="inlineStr">
        <is>
          <t>Terminal cost of equity</t>
        </is>
      </c>
      <c r="C61" s="28">
        <f>C60+C50*C51</f>
        <v/>
      </c>
    </row>
    <row r="62">
      <c r="A62" s="8" t="inlineStr">
        <is>
          <t>Terminal cost of debt after tax</t>
        </is>
      </c>
      <c r="C62" s="28">
        <f>C54*(1-Assumptions!$F$71)</f>
        <v/>
      </c>
    </row>
    <row r="63">
      <c r="A63" s="8" t="inlineStr">
        <is>
          <t>Model-implied average return on closing invested capital (the bull reading)</t>
        </is>
      </c>
      <c r="C63" s="13">
        <f>F12/C24</f>
        <v/>
      </c>
    </row>
    <row r="64">
      <c r="A64" s="14" t="inlineStr">
        <is>
          <t>The same cost of capital on the credit-default-swap basis</t>
        </is>
      </c>
    </row>
    <row r="65">
      <c r="A65" s="8" t="inlineStr">
        <is>
          <t>Risk-free rate net of the US sovereign credit-default-swap spread</t>
        </is>
      </c>
      <c r="C65" s="28">
        <f>C47-Assumptions!$C$79</f>
        <v/>
      </c>
    </row>
    <row r="66">
      <c r="A66" s="8" t="inlineStr">
        <is>
          <t>Blended equity risk premium (credit-default-swap basis)</t>
        </is>
      </c>
      <c r="C66" s="16">
        <f>Assumptions!$C$80</f>
        <v/>
      </c>
    </row>
    <row r="67">
      <c r="A67" s="8" t="inlineStr">
        <is>
          <t>Cost of equity, credit-default-swap basis</t>
        </is>
      </c>
      <c r="C67" s="28">
        <f>C65+C50*C66</f>
        <v/>
      </c>
    </row>
    <row r="68">
      <c r="A68" s="7" t="inlineStr">
        <is>
          <t>Cost of capital, credit-default-swap basis</t>
        </is>
      </c>
      <c r="C68" s="28">
        <f>C59*C67+C58*C55</f>
        <v/>
      </c>
    </row>
    <row r="69" ht="42" customHeight="1">
      <c r="A69" s="2" t="inlineStr">
        <is>
          <t>Both bases are published. The default spread stripped out of the risk-free rate is on the same basis as the premium added back, so sovereign risk is counted once and once only.</t>
        </is>
      </c>
    </row>
    <row r="71">
      <c r="A71" s="14" t="inlineStr">
        <is>
          <t>THE OTHER READING OF THE OPEN QUESTION — the cyclical margin, computed live</t>
        </is>
      </c>
    </row>
    <row r="72">
      <c r="A72" s="8" t="inlineStr">
        <is>
          <t>Cyclical EBITDA margin path</t>
        </is>
      </c>
      <c r="B72" s="11">
        <f>Assumptions!B$119</f>
        <v/>
      </c>
      <c r="C72" s="11">
        <f>Assumptions!C$119</f>
        <v/>
      </c>
      <c r="D72" s="11">
        <f>Assumptions!D$119</f>
        <v/>
      </c>
      <c r="E72" s="11">
        <f>Assumptions!E$119</f>
        <v/>
      </c>
      <c r="F72" s="11">
        <f>Assumptions!F$119</f>
        <v/>
      </c>
    </row>
    <row r="73">
      <c r="A73" s="8" t="inlineStr">
        <is>
          <t>EBITDA on the cyclical path</t>
        </is>
      </c>
      <c r="B73" s="12">
        <f>B5*B72</f>
        <v/>
      </c>
      <c r="C73" s="12">
        <f>C5*C72</f>
        <v/>
      </c>
      <c r="D73" s="12">
        <f>D5*D72</f>
        <v/>
      </c>
      <c r="E73" s="12">
        <f>E5*E72</f>
        <v/>
      </c>
      <c r="F73" s="12">
        <f>F5*F72</f>
        <v/>
      </c>
    </row>
    <row r="74">
      <c r="A74" s="8" t="inlineStr">
        <is>
          <t>NOPAT on the cyclical path</t>
        </is>
      </c>
      <c r="B74" s="12">
        <f>(B73+B10-B5*Assumptions!$C$115)*(1-Assumptions!B$71)</f>
        <v/>
      </c>
      <c r="C74" s="12">
        <f>(C73+C10-C5*Assumptions!$C$115)*(1-Assumptions!C$71)</f>
        <v/>
      </c>
      <c r="D74" s="12">
        <f>(D73+D10-D5*Assumptions!$C$115)*(1-Assumptions!D$71)</f>
        <v/>
      </c>
      <c r="E74" s="12">
        <f>(E73+E10-E5*Assumptions!$C$115)*(1-Assumptions!E$71)</f>
        <v/>
      </c>
      <c r="F74" s="12">
        <f>(F73+F10-F5*Assumptions!$C$115)*(1-Assumptions!F$71)</f>
        <v/>
      </c>
    </row>
    <row r="75">
      <c r="A75" s="8" t="inlineStr">
        <is>
          <t>Free cash flow to the firm, cyclical</t>
        </is>
      </c>
      <c r="B75" s="12">
        <f>B74-B10+B14+B15</f>
        <v/>
      </c>
      <c r="C75" s="12">
        <f>C74-C10+C14+C15</f>
        <v/>
      </c>
      <c r="D75" s="12">
        <f>D74-D10+D14+D15</f>
        <v/>
      </c>
      <c r="E75" s="12">
        <f>E74-E10+E14+E15</f>
        <v/>
      </c>
      <c r="F75" s="12">
        <f>F74-F10+F14+F15</f>
        <v/>
      </c>
    </row>
    <row r="76">
      <c r="A76" s="8" t="inlineStr">
        <is>
          <t>Present value</t>
        </is>
      </c>
      <c r="B76" s="12">
        <f>B75*B18</f>
        <v/>
      </c>
      <c r="C76" s="12">
        <f>C75*C18</f>
        <v/>
      </c>
      <c r="D76" s="12">
        <f>D75*D18</f>
        <v/>
      </c>
      <c r="E76" s="12">
        <f>E75*E18</f>
        <v/>
      </c>
      <c r="F76" s="12">
        <f>F75*F18</f>
        <v/>
      </c>
    </row>
    <row r="77">
      <c r="A77" s="8" t="inlineStr">
        <is>
          <t>Terminal value, cyclical</t>
        </is>
      </c>
      <c r="C77" s="12">
        <f>F74*(1+C22)*(1-C22/C25)/(C27-C22)</f>
        <v/>
      </c>
    </row>
    <row r="78">
      <c r="A78" s="8" t="inlineStr">
        <is>
          <t>Equity value, cyclical</t>
        </is>
      </c>
      <c r="C78" s="12">
        <f>SUM(B76:F76)+C77*F18+C33+C34+C35+C36</f>
        <v/>
      </c>
    </row>
    <row r="79">
      <c r="A79" s="7" t="inlineStr">
        <is>
          <t>Value per share on the cyclical reading (AED), rolled to the anchor</t>
        </is>
      </c>
      <c r="C79" s="12">
        <f>(C78/Assumptions!$C$7*E38-Assumptions!$C$118)*Assumptions!$C$6</f>
        <v/>
      </c>
    </row>
    <row r="80" ht="42" customHeight="1">
      <c r="A80" s="2" t="inlineStr">
        <is>
          <t>Every cell in this block is a live formula: the cyclical reading shares the revenue, depreciation, capital-expenditure and working-capital lines of the base case and differs only in the margin path, so it can be — and is — computed in the sheet rather than pasted.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5" t="inlineStr">
        <is>
          <t>Income statement — three years of history, five of forecast</t>
        </is>
      </c>
    </row>
    <row r="2">
      <c r="A2" s="6" t="inlineStr">
        <is>
          <t>USD million, consolidated. Every historical figure is the audited record; every forecast line is a formula.</t>
        </is>
      </c>
    </row>
    <row r="4">
      <c r="A4" s="7" t="inlineStr">
        <is>
          <t>USD million</t>
        </is>
      </c>
      <c r="B4" s="7" t="inlineStr">
        <is>
          <t>FY2023</t>
        </is>
      </c>
      <c r="C4" s="7" t="inlineStr">
        <is>
          <t>FY2024</t>
        </is>
      </c>
      <c r="D4" s="7" t="inlineStr">
        <is>
          <t>FY2025</t>
        </is>
      </c>
      <c r="E4" s="7" t="inlineStr">
        <is>
          <t>FY2026E</t>
        </is>
      </c>
      <c r="F4" s="7" t="inlineStr">
        <is>
          <t>FY2027E</t>
        </is>
      </c>
      <c r="G4" s="7" t="inlineStr">
        <is>
          <t>FY2028E</t>
        </is>
      </c>
      <c r="H4" s="7" t="inlineStr">
        <is>
          <t>FY2029E</t>
        </is>
      </c>
      <c r="I4" s="7" t="inlineStr">
        <is>
          <t>FY2030E</t>
        </is>
      </c>
    </row>
    <row r="5">
      <c r="A5" s="8" t="inlineStr">
        <is>
          <t>Revenue</t>
        </is>
      </c>
      <c r="B5" s="9" t="n">
        <v>2413.134</v>
      </c>
      <c r="C5" s="9" t="n">
        <v>2196.751</v>
      </c>
      <c r="D5" s="9" t="n">
        <v>2508.821</v>
      </c>
      <c r="E5" s="10">
        <f>Segments!E36</f>
        <v/>
      </c>
      <c r="F5" s="10">
        <f>Segments!F36</f>
        <v/>
      </c>
      <c r="G5" s="10">
        <f>Segments!G36</f>
        <v/>
      </c>
      <c r="H5" s="10">
        <f>Segments!H36</f>
        <v/>
      </c>
      <c r="I5" s="10">
        <f>Segments!I36</f>
        <v/>
      </c>
    </row>
    <row r="6">
      <c r="A6" s="8" t="inlineStr">
        <is>
          <t>Cost of revenues</t>
        </is>
      </c>
      <c r="B6" s="9" t="n">
        <v>-1151.575</v>
      </c>
      <c r="C6" s="9" t="n">
        <v>-1029.357</v>
      </c>
      <c r="D6" s="9" t="n">
        <v>-1143.928</v>
      </c>
      <c r="E6" s="29" t="inlineStr">
        <is>
          <t>-</t>
        </is>
      </c>
      <c r="F6" s="29" t="inlineStr">
        <is>
          <t>-</t>
        </is>
      </c>
      <c r="G6" s="29" t="inlineStr">
        <is>
          <t>-</t>
        </is>
      </c>
      <c r="H6" s="29" t="inlineStr">
        <is>
          <t>-</t>
        </is>
      </c>
      <c r="I6" s="29" t="inlineStr">
        <is>
          <t>-</t>
        </is>
      </c>
    </row>
    <row r="7">
      <c r="A7" s="8" t="inlineStr">
        <is>
          <t>Gross profit</t>
        </is>
      </c>
      <c r="B7" s="12">
        <f>B5+B6</f>
        <v/>
      </c>
      <c r="C7" s="12">
        <f>C5+C6</f>
        <v/>
      </c>
      <c r="D7" s="12">
        <f>D5+D6</f>
        <v/>
      </c>
      <c r="E7" s="29" t="inlineStr">
        <is>
          <t>-</t>
        </is>
      </c>
      <c r="F7" s="29" t="inlineStr">
        <is>
          <t>-</t>
        </is>
      </c>
      <c r="G7" s="29" t="inlineStr">
        <is>
          <t>-</t>
        </is>
      </c>
      <c r="H7" s="29" t="inlineStr">
        <is>
          <t>-</t>
        </is>
      </c>
      <c r="I7" s="29" t="inlineStr">
        <is>
          <t>-</t>
        </is>
      </c>
    </row>
    <row r="8">
      <c r="A8" s="7" t="inlineStr">
        <is>
          <t>EBITDA</t>
        </is>
      </c>
      <c r="B8" s="9" t="n">
        <v>545.9570000000001</v>
      </c>
      <c r="C8" s="9" t="n">
        <v>483.685</v>
      </c>
      <c r="D8" s="9" t="n">
        <v>595.6039999999999</v>
      </c>
      <c r="E8" s="10">
        <f>DCF!B8</f>
        <v/>
      </c>
      <c r="F8" s="10">
        <f>DCF!C8</f>
        <v/>
      </c>
      <c r="G8" s="10">
        <f>DCF!D8</f>
        <v/>
      </c>
      <c r="H8" s="10">
        <f>DCF!E8</f>
        <v/>
      </c>
      <c r="I8" s="10">
        <f>DCF!F8</f>
        <v/>
      </c>
    </row>
    <row r="9">
      <c r="A9" s="8" t="inlineStr">
        <is>
          <t>EBITDA margin</t>
        </is>
      </c>
      <c r="B9" s="13">
        <f>B8/B5</f>
        <v/>
      </c>
      <c r="C9" s="13">
        <f>C8/C5</f>
        <v/>
      </c>
      <c r="D9" s="13">
        <f>D8/D5</f>
        <v/>
      </c>
      <c r="E9" s="13">
        <f>E8/E5</f>
        <v/>
      </c>
      <c r="F9" s="13">
        <f>F8/F5</f>
        <v/>
      </c>
      <c r="G9" s="13">
        <f>G8/G5</f>
        <v/>
      </c>
      <c r="H9" s="13">
        <f>H8/H5</f>
        <v/>
      </c>
      <c r="I9" s="13">
        <f>I8/I5</f>
        <v/>
      </c>
    </row>
    <row r="10">
      <c r="A10" s="8" t="inlineStr">
        <is>
          <t>Depreciation and amortisation</t>
        </is>
      </c>
      <c r="B10" s="12">
        <f>-'Cash Flow'!B8</f>
        <v/>
      </c>
      <c r="C10" s="12">
        <f>-'Cash Flow'!C8</f>
        <v/>
      </c>
      <c r="D10" s="12">
        <f>-'Cash Flow'!D8</f>
        <v/>
      </c>
      <c r="E10" s="12">
        <f>-'Cash Flow'!E8</f>
        <v/>
      </c>
      <c r="F10" s="12">
        <f>-'Cash Flow'!F8</f>
        <v/>
      </c>
      <c r="G10" s="12">
        <f>-'Cash Flow'!G8</f>
        <v/>
      </c>
      <c r="H10" s="12">
        <f>-'Cash Flow'!H8</f>
        <v/>
      </c>
      <c r="I10" s="12">
        <f>-'Cash Flow'!I8</f>
        <v/>
      </c>
    </row>
    <row r="11">
      <c r="A11" s="7" t="inlineStr">
        <is>
          <t>EBIT, before the impairment line beneath</t>
        </is>
      </c>
      <c r="B11" s="12">
        <f>B8+B10</f>
        <v/>
      </c>
      <c r="C11" s="12">
        <f>C8+C10</f>
        <v/>
      </c>
      <c r="D11" s="12">
        <f>D8+D10</f>
        <v/>
      </c>
      <c r="E11" s="12">
        <f>E8+E10</f>
        <v/>
      </c>
      <c r="F11" s="12">
        <f>F8+F10</f>
        <v/>
      </c>
      <c r="G11" s="12">
        <f>G8+G10</f>
        <v/>
      </c>
      <c r="H11" s="12">
        <f>H8+H10</f>
        <v/>
      </c>
      <c r="I11" s="12">
        <f>I8+I10</f>
        <v/>
      </c>
    </row>
    <row r="12">
      <c r="A12" s="8" t="inlineStr">
        <is>
          <t>Impairment losses — audited history, and the recurring charge in the forecast</t>
        </is>
      </c>
      <c r="B12" s="9" t="n">
        <v>-2.386</v>
      </c>
      <c r="C12" s="9" t="n">
        <v>-13.724</v>
      </c>
      <c r="D12" s="9" t="n">
        <v>-5.81</v>
      </c>
      <c r="E12" s="12">
        <f>-E5*Assumptions!$C$115</f>
        <v/>
      </c>
      <c r="F12" s="12">
        <f>-F5*Assumptions!$C$115</f>
        <v/>
      </c>
      <c r="G12" s="12">
        <f>-G5*Assumptions!$C$115</f>
        <v/>
      </c>
      <c r="H12" s="12">
        <f>-H5*Assumptions!$C$115</f>
        <v/>
      </c>
      <c r="I12" s="12">
        <f>-I5*Assumptions!$C$115</f>
        <v/>
      </c>
    </row>
    <row r="13">
      <c r="A13" s="8" t="inlineStr">
        <is>
          <t>Finance income</t>
        </is>
      </c>
      <c r="B13" s="9" t="n">
        <v>15.312</v>
      </c>
      <c r="C13" s="9" t="n">
        <v>16.116</v>
      </c>
      <c r="D13" s="9" t="n">
        <v>15.508</v>
      </c>
      <c r="E13" s="12">
        <f>Assumptions!$C$73*'Balance Sheet'!D9</f>
        <v/>
      </c>
      <c r="F13" s="12">
        <f>Assumptions!$C$73*'Balance Sheet'!E9</f>
        <v/>
      </c>
      <c r="G13" s="12">
        <f>Assumptions!$C$73*'Balance Sheet'!F9</f>
        <v/>
      </c>
      <c r="H13" s="12">
        <f>Assumptions!$C$73*'Balance Sheet'!G9</f>
        <v/>
      </c>
      <c r="I13" s="12">
        <f>Assumptions!$C$73*'Balance Sheet'!H9</f>
        <v/>
      </c>
    </row>
    <row r="14">
      <c r="A14" s="8" t="inlineStr">
        <is>
          <t>Finance costs</t>
        </is>
      </c>
      <c r="B14" s="9" t="n">
        <v>-31.014</v>
      </c>
      <c r="C14" s="9" t="n">
        <v>-35.793</v>
      </c>
      <c r="D14" s="9" t="n">
        <v>-44.135</v>
      </c>
      <c r="E14" s="12">
        <f>-Assumptions!$C$82*'Balance Sheet'!D12-Assumptions!$C$74*E5</f>
        <v/>
      </c>
      <c r="F14" s="12">
        <f>-Assumptions!$C$82*'Balance Sheet'!E12-Assumptions!$C$74*F5</f>
        <v/>
      </c>
      <c r="G14" s="12">
        <f>-Assumptions!$C$82*'Balance Sheet'!F12-Assumptions!$C$74*G5</f>
        <v/>
      </c>
      <c r="H14" s="12">
        <f>-Assumptions!$C$82*'Balance Sheet'!G12-Assumptions!$C$74*H5</f>
        <v/>
      </c>
      <c r="I14" s="12">
        <f>-Assumptions!$C$82*'Balance Sheet'!H12-Assumptions!$C$74*I5</f>
        <v/>
      </c>
    </row>
    <row r="15">
      <c r="A15" s="8" t="inlineStr">
        <is>
          <t>Profit before tax</t>
        </is>
      </c>
      <c r="B15" s="12">
        <f>B11+B12+B13+B14</f>
        <v/>
      </c>
      <c r="C15" s="12">
        <f>C11+C12+C13+C14</f>
        <v/>
      </c>
      <c r="D15" s="12">
        <f>D11+D12+D13+D14</f>
        <v/>
      </c>
      <c r="E15" s="12">
        <f>E11+E12+E13+E14</f>
        <v/>
      </c>
      <c r="F15" s="12">
        <f>F11+F12+F13+F14</f>
        <v/>
      </c>
      <c r="G15" s="12">
        <f>G11+G12+G13+G14</f>
        <v/>
      </c>
      <c r="H15" s="12">
        <f>H11+H12+H13+H14</f>
        <v/>
      </c>
      <c r="I15" s="12">
        <f>I11+I12+I13+I14</f>
        <v/>
      </c>
    </row>
    <row r="16">
      <c r="A16" s="8" t="inlineStr">
        <is>
          <t>Income tax and zakat</t>
        </is>
      </c>
      <c r="B16" s="9" t="n">
        <v>-13.041</v>
      </c>
      <c r="C16" s="9" t="n">
        <v>-20.727</v>
      </c>
      <c r="D16" s="9" t="n">
        <v>-35.651</v>
      </c>
      <c r="E16" s="12">
        <f>-E15*Assumptions!B$71</f>
        <v/>
      </c>
      <c r="F16" s="12">
        <f>-F15*Assumptions!C$71</f>
        <v/>
      </c>
      <c r="G16" s="12">
        <f>-G15*Assumptions!D$71</f>
        <v/>
      </c>
      <c r="H16" s="12">
        <f>-H15*Assumptions!E$71</f>
        <v/>
      </c>
      <c r="I16" s="12">
        <f>-I15*Assumptions!F$71</f>
        <v/>
      </c>
    </row>
    <row r="17">
      <c r="A17" s="7" t="inlineStr">
        <is>
          <t>Profit for the year</t>
        </is>
      </c>
      <c r="B17" s="12">
        <f>B15+B16</f>
        <v/>
      </c>
      <c r="C17" s="12">
        <f>C15+C16</f>
        <v/>
      </c>
      <c r="D17" s="12">
        <f>D15+D16</f>
        <v/>
      </c>
      <c r="E17" s="12">
        <f>E15+E16</f>
        <v/>
      </c>
      <c r="F17" s="12">
        <f>F15+F16</f>
        <v/>
      </c>
      <c r="G17" s="12">
        <f>G15+G16</f>
        <v/>
      </c>
      <c r="H17" s="12">
        <f>H15+H16</f>
        <v/>
      </c>
      <c r="I17" s="12">
        <f>I15+I16</f>
        <v/>
      </c>
    </row>
    <row r="18">
      <c r="A18" s="8" t="inlineStr">
        <is>
          <t>Non-controlling interests</t>
        </is>
      </c>
      <c r="B18" s="9" t="n">
        <v>-2.865000000000009</v>
      </c>
      <c r="C18" s="9" t="n">
        <v>7.35499999999999</v>
      </c>
      <c r="D18" s="9" t="n">
        <v>0.6730000000000018</v>
      </c>
      <c r="E18" s="29" t="inlineStr">
        <is>
          <t>-</t>
        </is>
      </c>
      <c r="F18" s="29" t="inlineStr">
        <is>
          <t>-</t>
        </is>
      </c>
      <c r="G18" s="29" t="inlineStr">
        <is>
          <t>-</t>
        </is>
      </c>
      <c r="H18" s="29" t="inlineStr">
        <is>
          <t>-</t>
        </is>
      </c>
      <c r="I18" s="29" t="inlineStr">
        <is>
          <t>-</t>
        </is>
      </c>
    </row>
    <row r="19">
      <c r="A19" s="7" t="inlineStr">
        <is>
          <t>Profit attributable to shareholders</t>
        </is>
      </c>
      <c r="B19" s="12">
        <f>B17+B18</f>
        <v/>
      </c>
      <c r="C19" s="12">
        <f>C17+C18</f>
        <v/>
      </c>
      <c r="D19" s="12">
        <f>D17+D18</f>
        <v/>
      </c>
      <c r="E19" s="12">
        <f>E17</f>
        <v/>
      </c>
      <c r="F19" s="12">
        <f>F17</f>
        <v/>
      </c>
      <c r="G19" s="12">
        <f>G17</f>
        <v/>
      </c>
      <c r="H19" s="12">
        <f>H17</f>
        <v/>
      </c>
      <c r="I19" s="12">
        <f>I17</f>
        <v/>
      </c>
    </row>
    <row r="20">
      <c r="A20" s="8" t="inlineStr">
        <is>
          <t>Earnings per share (USD)</t>
        </is>
      </c>
      <c r="B20" s="27">
        <f>B19/Assumptions!$C$7</f>
        <v/>
      </c>
      <c r="C20" s="27">
        <f>C19/Assumptions!$C$7</f>
        <v/>
      </c>
      <c r="D20" s="27">
        <f>D19/Assumptions!$C$7</f>
        <v/>
      </c>
      <c r="E20" s="27">
        <f>E19/Assumptions!$C$7</f>
        <v/>
      </c>
      <c r="F20" s="27">
        <f>F19/Assumptions!$C$7</f>
        <v/>
      </c>
      <c r="G20" s="27">
        <f>G19/Assumptions!$C$7</f>
        <v/>
      </c>
      <c r="H20" s="27">
        <f>H19/Assumptions!$C$7</f>
        <v/>
      </c>
      <c r="I20" s="27">
        <f>I19/Assumptions!$C$7</f>
        <v/>
      </c>
    </row>
    <row r="22" ht="56" customHeight="1">
      <c r="A22" s="2" t="inlineStr">
        <is>
          <t>EBIT here is EBITDA less depreciation, so it sits ABOVE the impairment charges; the audited operating profit is EBIT after those charges. Impairments are a recurring feature of a large restaurant estate — some brand-country units are always underperforming — but they are not forecast as a line, so the forecast columns carry none and the free-cash-flow waterfall is struck before them. The non-controlling interest is a rounding item, 0.98 million of a 490 million equity at the last year end and negative at the half year, so the forecast carries none.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5" t="inlineStr">
        <is>
          <t>Balance sheet — condensed, three years of history and five of forecast</t>
        </is>
      </c>
    </row>
    <row r="2">
      <c r="A2" s="6" t="inlineStr">
        <is>
          <t>USD million. Every historical line is the audited closing figure. Every forecast line rolls forward: assets from capital expenditure less depreciation, working capital off revenue, equity from profit less dividends, and the lease liability from additions, interest and payments.</t>
        </is>
      </c>
    </row>
    <row r="4">
      <c r="A4" s="7" t="inlineStr">
        <is>
          <t>USD million</t>
        </is>
      </c>
      <c r="B4" s="7" t="inlineStr">
        <is>
          <t>FY2023</t>
        </is>
      </c>
      <c r="C4" s="7" t="inlineStr">
        <is>
          <t>FY2024</t>
        </is>
      </c>
      <c r="D4" s="7" t="inlineStr">
        <is>
          <t>FY2025</t>
        </is>
      </c>
      <c r="E4" s="7" t="inlineStr">
        <is>
          <t>FY2026E</t>
        </is>
      </c>
      <c r="F4" s="7" t="inlineStr">
        <is>
          <t>FY2027E</t>
        </is>
      </c>
      <c r="G4" s="7" t="inlineStr">
        <is>
          <t>FY2028E</t>
        </is>
      </c>
      <c r="H4" s="7" t="inlineStr">
        <is>
          <t>FY2029E</t>
        </is>
      </c>
      <c r="I4" s="7" t="inlineStr">
        <is>
          <t>FY2030E</t>
        </is>
      </c>
    </row>
    <row r="5">
      <c r="A5" s="8" t="inlineStr">
        <is>
          <t>Property, equipment, intangibles and investment property</t>
        </is>
      </c>
      <c r="B5" s="9" t="n">
        <v>399.465</v>
      </c>
      <c r="C5" s="9" t="n">
        <v>391.318</v>
      </c>
      <c r="D5" s="10">
        <f>Assumptions!$C$93</f>
        <v/>
      </c>
      <c r="E5" s="12">
        <f>D5+'Cash Flow'!E10-'Cash Flow'!E6</f>
        <v/>
      </c>
      <c r="F5" s="12">
        <f>E5+'Cash Flow'!F10-'Cash Flow'!F6</f>
        <v/>
      </c>
      <c r="G5" s="12">
        <f>F5+'Cash Flow'!G10-'Cash Flow'!G6</f>
        <v/>
      </c>
      <c r="H5" s="12">
        <f>G5+'Cash Flow'!H10-'Cash Flow'!H6</f>
        <v/>
      </c>
      <c r="I5" s="12">
        <f>H5+'Cash Flow'!I10-'Cash Flow'!I6</f>
        <v/>
      </c>
    </row>
    <row r="6">
      <c r="A6" s="8" t="inlineStr">
        <is>
          <t>Right-of-use assets</t>
        </is>
      </c>
      <c r="B6" s="9" t="n">
        <v>498.503</v>
      </c>
      <c r="C6" s="9" t="n">
        <v>566.054</v>
      </c>
      <c r="D6" s="10">
        <f>Assumptions!$C$94</f>
        <v/>
      </c>
      <c r="E6" s="12">
        <f>D6+'Cash Flow'!E11-'Cash Flow'!E7</f>
        <v/>
      </c>
      <c r="F6" s="12">
        <f>E6+'Cash Flow'!F11-'Cash Flow'!F7</f>
        <v/>
      </c>
      <c r="G6" s="12">
        <f>F6+'Cash Flow'!G11-'Cash Flow'!G7</f>
        <v/>
      </c>
      <c r="H6" s="12">
        <f>G6+'Cash Flow'!H11-'Cash Flow'!H7</f>
        <v/>
      </c>
      <c r="I6" s="12">
        <f>H6+'Cash Flow'!I11-'Cash Flow'!I7</f>
        <v/>
      </c>
    </row>
    <row r="7">
      <c r="A7" s="8" t="inlineStr">
        <is>
          <t>Inventories</t>
        </is>
      </c>
      <c r="B7" s="9" t="n">
        <v>155.593</v>
      </c>
      <c r="C7" s="9" t="n">
        <v>134.399</v>
      </c>
      <c r="D7" s="9" t="n">
        <v>155.08</v>
      </c>
    </row>
    <row r="8">
      <c r="A8" s="8" t="inlineStr">
        <is>
          <t>Trade and other receivables</t>
        </is>
      </c>
      <c r="B8" s="9" t="n">
        <v>109.332</v>
      </c>
      <c r="C8" s="9" t="n">
        <v>110.421</v>
      </c>
      <c r="D8" s="9" t="n">
        <v>128.007</v>
      </c>
    </row>
    <row r="9">
      <c r="A9" s="8" t="inlineStr">
        <is>
          <t>Cash and bank deposits</t>
        </is>
      </c>
      <c r="B9" s="9" t="n">
        <v>383.541</v>
      </c>
      <c r="C9" s="9" t="n">
        <v>295.165</v>
      </c>
      <c r="D9" s="9" t="n">
        <v>417.41</v>
      </c>
      <c r="E9" s="12">
        <f>D9+'Cash Flow'!E18</f>
        <v/>
      </c>
      <c r="F9" s="12">
        <f>E9+'Cash Flow'!F18</f>
        <v/>
      </c>
      <c r="G9" s="12">
        <f>F9+'Cash Flow'!G18</f>
        <v/>
      </c>
      <c r="H9" s="12">
        <f>G9+'Cash Flow'!H18</f>
        <v/>
      </c>
      <c r="I9" s="12">
        <f>H9+'Cash Flow'!I18</f>
        <v/>
      </c>
    </row>
    <row r="10">
      <c r="A10" s="8" t="inlineStr">
        <is>
          <t>Net working capital</t>
        </is>
      </c>
      <c r="B10" s="9" t="n">
        <v>-222.4440000000001</v>
      </c>
      <c r="C10" s="9" t="n">
        <v>-195.475</v>
      </c>
      <c r="D10" s="10">
        <f>Assumptions!$C$92</f>
        <v/>
      </c>
      <c r="E10" s="12">
        <f>Assumptions!$C$68*'Income Statement'!E5</f>
        <v/>
      </c>
      <c r="F10" s="12">
        <f>Assumptions!$C$68*'Income Statement'!F5</f>
        <v/>
      </c>
      <c r="G10" s="12">
        <f>Assumptions!$C$68*'Income Statement'!G5</f>
        <v/>
      </c>
      <c r="H10" s="12">
        <f>Assumptions!$C$68*'Income Statement'!H5</f>
        <v/>
      </c>
      <c r="I10" s="12">
        <f>Assumptions!$C$68*'Income Statement'!I5</f>
        <v/>
      </c>
    </row>
    <row r="11">
      <c r="A11" s="8" t="inlineStr">
        <is>
          <t>Payables, tax and provisions (the company’s own working-capital aggregate)</t>
        </is>
      </c>
      <c r="B11" s="9" t="n">
        <v>487.369</v>
      </c>
      <c r="C11" s="9" t="n">
        <v>440.295</v>
      </c>
      <c r="D11" s="9" t="n">
        <v>531.1020000000001</v>
      </c>
    </row>
    <row r="12">
      <c r="A12" s="8" t="inlineStr">
        <is>
          <t>Lease liabilities</t>
        </is>
      </c>
      <c r="B12" s="9" t="n">
        <v>507.182</v>
      </c>
      <c r="C12" s="9" t="n">
        <v>578.831</v>
      </c>
      <c r="D12" s="9" t="n">
        <v>637.466</v>
      </c>
      <c r="E12" s="12">
        <f>D12+'Cash Flow'!E11+Assumptions!$C$82*D12-'Cash Flow'!E16</f>
        <v/>
      </c>
      <c r="F12" s="12">
        <f>E12+'Cash Flow'!F11+Assumptions!$C$82*E12-'Cash Flow'!F16</f>
        <v/>
      </c>
      <c r="G12" s="12">
        <f>F12+'Cash Flow'!G11+Assumptions!$C$82*F12-'Cash Flow'!G16</f>
        <v/>
      </c>
      <c r="H12" s="12">
        <f>G12+'Cash Flow'!H11+Assumptions!$C$82*G12-'Cash Flow'!H16</f>
        <v/>
      </c>
      <c r="I12" s="12">
        <f>H12+'Cash Flow'!I11+Assumptions!$C$82*H12-'Cash Flow'!I16</f>
        <v/>
      </c>
    </row>
    <row r="13">
      <c r="A13" s="8" t="inlineStr">
        <is>
          <t>Bank debt</t>
        </is>
      </c>
      <c r="B13" s="9" t="n">
        <v>4.375</v>
      </c>
      <c r="C13" s="9" t="n">
        <v>0</v>
      </c>
      <c r="D13" s="9" t="n">
        <v>0</v>
      </c>
    </row>
    <row r="14">
      <c r="A14" s="8" t="inlineStr">
        <is>
          <t>Equity attributable to shareholders</t>
        </is>
      </c>
      <c r="B14" s="9" t="n">
        <v>439.366</v>
      </c>
      <c r="C14" s="9" t="n">
        <v>394.438</v>
      </c>
      <c r="D14" s="10">
        <f>Assumptions!$C$91</f>
        <v/>
      </c>
      <c r="E14" s="12">
        <f>D14+'Income Statement'!E17-'Cash Flow'!E17</f>
        <v/>
      </c>
      <c r="F14" s="12">
        <f>E14+'Income Statement'!F17-'Cash Flow'!F17</f>
        <v/>
      </c>
      <c r="G14" s="12">
        <f>F14+'Income Statement'!G17-'Cash Flow'!G17</f>
        <v/>
      </c>
      <c r="H14" s="12">
        <f>G14+'Income Statement'!H17-'Cash Flow'!H17</f>
        <v/>
      </c>
      <c r="I14" s="12">
        <f>H14+'Income Statement'!I17-'Cash Flow'!I17</f>
        <v/>
      </c>
    </row>
    <row r="15">
      <c r="A15" s="8" t="inlineStr">
        <is>
          <t>Non-controlling interests</t>
        </is>
      </c>
      <c r="B15" s="9" t="n">
        <v>12.014</v>
      </c>
      <c r="C15" s="9" t="n">
        <v>3.686</v>
      </c>
      <c r="D15" s="9" t="n">
        <v>0.984</v>
      </c>
    </row>
    <row r="16">
      <c r="A16" s="8" t="inlineStr">
        <is>
          <t>Total assets</t>
        </is>
      </c>
      <c r="B16" s="9" t="n">
        <v>1556.859</v>
      </c>
      <c r="C16" s="9" t="n">
        <v>1507.4</v>
      </c>
      <c r="D16" s="9" t="n">
        <v>1734.126</v>
      </c>
    </row>
    <row r="17">
      <c r="A17" s="8" t="inlineStr">
        <is>
          <t>Net debt — lease liabilities and bank debt less cash and deposits</t>
        </is>
      </c>
      <c r="B17" s="12">
        <f>B12+B13-B9</f>
        <v/>
      </c>
      <c r="C17" s="12">
        <f>C12+C13-C9</f>
        <v/>
      </c>
      <c r="D17" s="12">
        <f>D12+D13-D9</f>
        <v/>
      </c>
      <c r="E17" s="12">
        <f>E12-E9</f>
        <v/>
      </c>
      <c r="F17" s="12">
        <f>F12-F9</f>
        <v/>
      </c>
      <c r="G17" s="12">
        <f>G12-G9</f>
        <v/>
      </c>
      <c r="H17" s="12">
        <f>H12-H9</f>
        <v/>
      </c>
      <c r="I17" s="12">
        <f>I12-I9</f>
        <v/>
      </c>
    </row>
    <row r="18">
      <c r="A18" s="8" t="inlineStr">
        <is>
          <t>Invested capital — owned assets, right-of-use assets and working capital</t>
        </is>
      </c>
      <c r="E18" s="12">
        <f>E5+E6+E10</f>
        <v/>
      </c>
      <c r="F18" s="12">
        <f>F5+F6+F10</f>
        <v/>
      </c>
      <c r="G18" s="12">
        <f>G5+G6+G10</f>
        <v/>
      </c>
      <c r="H18" s="12">
        <f>H5+H6+H10</f>
        <v/>
      </c>
      <c r="I18" s="12">
        <f>I5+I6+I10</f>
        <v/>
      </c>
    </row>
    <row r="19">
      <c r="A19" s="8" t="inlineStr">
        <is>
          <t>Return on invested capital</t>
        </is>
      </c>
      <c r="E19" s="13">
        <f>DCF!B12/E18</f>
        <v/>
      </c>
      <c r="F19" s="13">
        <f>DCF!C12/F18</f>
        <v/>
      </c>
      <c r="G19" s="13">
        <f>DCF!D12/G18</f>
        <v/>
      </c>
      <c r="H19" s="13">
        <f>DCF!E12/H18</f>
        <v/>
      </c>
      <c r="I19" s="13">
        <f>DCF!F12/I18</f>
        <v/>
      </c>
    </row>
    <row r="20">
      <c r="A20" s="8" t="inlineStr">
        <is>
          <t>Net debt / EBITDA</t>
        </is>
      </c>
      <c r="B20" s="26">
        <f>B17/'Income Statement'!B8</f>
        <v/>
      </c>
      <c r="C20" s="26">
        <f>C17/'Income Statement'!C8</f>
        <v/>
      </c>
      <c r="D20" s="26">
        <f>D17/'Income Statement'!D8</f>
        <v/>
      </c>
      <c r="E20" s="26">
        <f>E17/'Income Statement'!E8</f>
        <v/>
      </c>
      <c r="F20" s="26">
        <f>F17/'Income Statement'!F8</f>
        <v/>
      </c>
      <c r="G20" s="26">
        <f>G17/'Income Statement'!G8</f>
        <v/>
      </c>
      <c r="H20" s="26">
        <f>H17/'Income Statement'!H8</f>
        <v/>
      </c>
      <c r="I20" s="26">
        <f>I17/'Income Statement'!I8</f>
        <v/>
      </c>
    </row>
    <row r="22" ht="42" customHeight="1">
      <c r="A22" s="2" t="inlineStr">
        <is>
          <t>This is a CONDENSED layout: it does not foot to zero, because the provisions, employee end-of-service liability, deferred tax and related-party balances are not shown as separate lines. The lines that do appear are the audited closing figures.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5" t="inlineStr">
        <is>
          <t>Cash flow — historical markers and the forecast waterfall</t>
        </is>
      </c>
    </row>
    <row r="2">
      <c r="A2" s="6" t="inlineStr">
        <is>
          <t>USD million. The forecast columns are the engine of the whole model: the depreciation, capital-expenditure and working-capital lines the discounted cash flow reads are computed here.</t>
        </is>
      </c>
    </row>
    <row r="4">
      <c r="A4" s="7" t="inlineStr">
        <is>
          <t>USD million</t>
        </is>
      </c>
      <c r="B4" s="7" t="inlineStr">
        <is>
          <t>FY2023</t>
        </is>
      </c>
      <c r="C4" s="7" t="inlineStr">
        <is>
          <t>FY2024</t>
        </is>
      </c>
      <c r="D4" s="7" t="inlineStr">
        <is>
          <t>FY2025</t>
        </is>
      </c>
      <c r="E4" s="7" t="inlineStr">
        <is>
          <t>FY2026E</t>
        </is>
      </c>
      <c r="F4" s="7" t="inlineStr">
        <is>
          <t>FY2027E</t>
        </is>
      </c>
      <c r="G4" s="7" t="inlineStr">
        <is>
          <t>FY2028E</t>
        </is>
      </c>
      <c r="H4" s="7" t="inlineStr">
        <is>
          <t>FY2029E</t>
        </is>
      </c>
      <c r="I4" s="7" t="inlineStr">
        <is>
          <t>FY2030E</t>
        </is>
      </c>
    </row>
    <row r="5">
      <c r="A5" s="8" t="inlineStr">
        <is>
          <t>EBITDA</t>
        </is>
      </c>
      <c r="B5" s="10">
        <f>'Income Statement'!B8</f>
        <v/>
      </c>
      <c r="C5" s="10">
        <f>'Income Statement'!C8</f>
        <v/>
      </c>
      <c r="D5" s="10">
        <f>'Income Statement'!D8</f>
        <v/>
      </c>
      <c r="E5" s="10">
        <f>'Income Statement'!E8</f>
        <v/>
      </c>
      <c r="F5" s="10">
        <f>'Income Statement'!F8</f>
        <v/>
      </c>
      <c r="G5" s="10">
        <f>'Income Statement'!G8</f>
        <v/>
      </c>
      <c r="H5" s="10">
        <f>'Income Statement'!H8</f>
        <v/>
      </c>
      <c r="I5" s="10">
        <f>'Income Statement'!I8</f>
        <v/>
      </c>
    </row>
    <row r="6">
      <c r="A6" s="8" t="inlineStr">
        <is>
          <t>Owned-asset depreciation and amortisation</t>
        </is>
      </c>
      <c r="B6" s="9" t="n">
        <v>79.79600000000002</v>
      </c>
      <c r="C6" s="9" t="n">
        <v>94.34300000000002</v>
      </c>
      <c r="D6" s="9" t="n">
        <v>101.5</v>
      </c>
      <c r="E6" s="12">
        <f>Assumptions!$C$67*'Balance Sheet'!D5</f>
        <v/>
      </c>
      <c r="F6" s="12">
        <f>Assumptions!$C$67*'Balance Sheet'!E5</f>
        <v/>
      </c>
      <c r="G6" s="12">
        <f>Assumptions!$C$67*'Balance Sheet'!F5</f>
        <v/>
      </c>
      <c r="H6" s="12">
        <f>Assumptions!$C$67*'Balance Sheet'!G5</f>
        <v/>
      </c>
      <c r="I6" s="12">
        <f>Assumptions!$C$67*'Balance Sheet'!H5</f>
        <v/>
      </c>
    </row>
    <row r="7">
      <c r="A7" s="8" t="inlineStr">
        <is>
          <t>Right-of-use depreciation</t>
        </is>
      </c>
      <c r="B7" s="9" t="n">
        <v>172.701</v>
      </c>
      <c r="C7" s="9" t="n">
        <v>183.81</v>
      </c>
      <c r="D7" s="9" t="n">
        <v>205.566</v>
      </c>
      <c r="E7" s="12">
        <f>Assumptions!$C$66*'Balance Sheet'!D6</f>
        <v/>
      </c>
      <c r="F7" s="12">
        <f>Assumptions!$C$66*'Balance Sheet'!E6</f>
        <v/>
      </c>
      <c r="G7" s="12">
        <f>Assumptions!$C$66*'Balance Sheet'!F6</f>
        <v/>
      </c>
      <c r="H7" s="12">
        <f>Assumptions!$C$66*'Balance Sheet'!G6</f>
        <v/>
      </c>
      <c r="I7" s="12">
        <f>Assumptions!$C$66*'Balance Sheet'!H6</f>
        <v/>
      </c>
    </row>
    <row r="8">
      <c r="A8" s="7" t="inlineStr">
        <is>
          <t>Depreciation and amortisation</t>
        </is>
      </c>
      <c r="B8" s="12">
        <f>B6+B7</f>
        <v/>
      </c>
      <c r="C8" s="12">
        <f>C6+C7</f>
        <v/>
      </c>
      <c r="D8" s="12">
        <f>D6+D7</f>
        <v/>
      </c>
      <c r="E8" s="12">
        <f>E6+E7</f>
        <v/>
      </c>
      <c r="F8" s="12">
        <f>F6+F7</f>
        <v/>
      </c>
      <c r="G8" s="12">
        <f>G6+G7</f>
        <v/>
      </c>
      <c r="H8" s="12">
        <f>H6+H7</f>
        <v/>
      </c>
      <c r="I8" s="12">
        <f>I6+I7</f>
        <v/>
      </c>
    </row>
    <row r="9">
      <c r="A9" s="8" t="inlineStr">
        <is>
          <t>Gross openings — net additions plus closures</t>
        </is>
      </c>
      <c r="E9" s="19">
        <f>Assumptions!B$11+Segments!C12*Assumptions!$C$63</f>
        <v/>
      </c>
      <c r="F9" s="19">
        <f>Assumptions!C$11+Segments!D12*Assumptions!$C$63</f>
        <v/>
      </c>
      <c r="G9" s="19">
        <f>Assumptions!D$11+Segments!E12*Assumptions!$C$63</f>
        <v/>
      </c>
      <c r="H9" s="19">
        <f>Assumptions!E$11+Segments!F12*Assumptions!$C$63</f>
        <v/>
      </c>
      <c r="I9" s="19">
        <f>Assumptions!F$11+Segments!G12*Assumptions!$C$63</f>
        <v/>
      </c>
    </row>
    <row r="10">
      <c r="A10" s="8" t="inlineStr">
        <is>
          <t>Owned capital expenditure</t>
        </is>
      </c>
      <c r="B10" s="9" t="n">
        <v>149.819</v>
      </c>
      <c r="C10" s="9" t="n">
        <v>124.309</v>
      </c>
      <c r="D10" s="9" t="n">
        <v>108.776</v>
      </c>
      <c r="E10" s="12">
        <f>E9*Assumptions!$C$61/1000+Assumptions!$C$62*'Income Statement'!E5</f>
        <v/>
      </c>
      <c r="F10" s="12">
        <f>F9*Assumptions!$C$61/1000+Assumptions!$C$62*'Income Statement'!F5</f>
        <v/>
      </c>
      <c r="G10" s="12">
        <f>G9*Assumptions!$C$61/1000+Assumptions!$C$62*'Income Statement'!G5</f>
        <v/>
      </c>
      <c r="H10" s="12">
        <f>H9*Assumptions!$C$61/1000+Assumptions!$C$62*'Income Statement'!H5</f>
        <v/>
      </c>
      <c r="I10" s="12">
        <f>I9*Assumptions!$C$61/1000+Assumptions!$C$62*'Income Statement'!I5</f>
        <v/>
      </c>
    </row>
    <row r="11">
      <c r="A11" s="8" t="inlineStr">
        <is>
          <t>Additions to right-of-use assets</t>
        </is>
      </c>
      <c r="C11" s="9" t="n">
        <v>279.4</v>
      </c>
      <c r="D11" s="9" t="n">
        <v>255.162</v>
      </c>
      <c r="E11" s="12">
        <f>Assumptions!$C$64*'Income Statement'!E5</f>
        <v/>
      </c>
      <c r="F11" s="12">
        <f>Assumptions!$C$64*'Income Statement'!F5</f>
        <v/>
      </c>
      <c r="G11" s="12">
        <f>Assumptions!$C$64*'Income Statement'!G5</f>
        <v/>
      </c>
      <c r="H11" s="12">
        <f>Assumptions!$C$64*'Income Statement'!H5</f>
        <v/>
      </c>
      <c r="I11" s="12">
        <f>Assumptions!$C$64*'Income Statement'!I5</f>
        <v/>
      </c>
    </row>
    <row r="12">
      <c r="A12" s="7" t="inlineStr">
        <is>
          <t>Capital expenditure, including right-of-use additions</t>
        </is>
      </c>
      <c r="E12" s="12">
        <f>E10+E11</f>
        <v/>
      </c>
      <c r="F12" s="12">
        <f>F10+F11</f>
        <v/>
      </c>
      <c r="G12" s="12">
        <f>G10+G11</f>
        <v/>
      </c>
      <c r="H12" s="12">
        <f>H10+H11</f>
        <v/>
      </c>
      <c r="I12" s="12">
        <f>I10+I11</f>
        <v/>
      </c>
    </row>
    <row r="13">
      <c r="A13" s="8" t="inlineStr">
        <is>
          <t>Change in net working capital</t>
        </is>
      </c>
      <c r="E13" s="12">
        <f>'Balance Sheet'!E10-'Balance Sheet'!D10</f>
        <v/>
      </c>
      <c r="F13" s="12">
        <f>'Balance Sheet'!F10-'Balance Sheet'!E10</f>
        <v/>
      </c>
      <c r="G13" s="12">
        <f>'Balance Sheet'!G10-'Balance Sheet'!F10</f>
        <v/>
      </c>
      <c r="H13" s="12">
        <f>'Balance Sheet'!H10-'Balance Sheet'!G10</f>
        <v/>
      </c>
      <c r="I13" s="12">
        <f>'Balance Sheet'!I10-'Balance Sheet'!H10</f>
        <v/>
      </c>
    </row>
    <row r="14">
      <c r="A14" s="8" t="inlineStr">
        <is>
          <t>Tax</t>
        </is>
      </c>
      <c r="B14" s="9" t="n">
        <v>13.041</v>
      </c>
      <c r="C14" s="9" t="n">
        <v>20.727</v>
      </c>
      <c r="D14" s="9" t="n">
        <v>35.651</v>
      </c>
      <c r="E14" s="12">
        <f>'Income Statement'!E16*-1</f>
        <v/>
      </c>
      <c r="F14" s="12">
        <f>'Income Statement'!F16*-1</f>
        <v/>
      </c>
      <c r="G14" s="12">
        <f>'Income Statement'!G16*-1</f>
        <v/>
      </c>
      <c r="H14" s="12">
        <f>'Income Statement'!H16*-1</f>
        <v/>
      </c>
      <c r="I14" s="12">
        <f>'Income Statement'!I16*-1</f>
        <v/>
      </c>
    </row>
    <row r="15">
      <c r="A15" s="7" t="inlineStr">
        <is>
          <t>Free cash flow to the firm</t>
        </is>
      </c>
      <c r="E15" s="10">
        <f>DCF!B16</f>
        <v/>
      </c>
      <c r="F15" s="10">
        <f>DCF!C16</f>
        <v/>
      </c>
      <c r="G15" s="10">
        <f>DCF!D16</f>
        <v/>
      </c>
      <c r="H15" s="10">
        <f>DCF!E16</f>
        <v/>
      </c>
      <c r="I15" s="10">
        <f>DCF!F16</f>
        <v/>
      </c>
    </row>
    <row r="16">
      <c r="A16" s="8" t="inlineStr">
        <is>
          <t>Lease payments — principal and interest</t>
        </is>
      </c>
      <c r="B16" s="9" t="n">
        <v>200.138</v>
      </c>
      <c r="C16" s="9" t="n">
        <v>211.917</v>
      </c>
      <c r="D16" s="9" t="n">
        <v>233.272</v>
      </c>
      <c r="E16" s="12">
        <f>Assumptions!$C$65*'Income Statement'!E5</f>
        <v/>
      </c>
      <c r="F16" s="12">
        <f>Assumptions!$C$65*'Income Statement'!F5</f>
        <v/>
      </c>
      <c r="G16" s="12">
        <f>Assumptions!$C$65*'Income Statement'!G5</f>
        <v/>
      </c>
      <c r="H16" s="12">
        <f>Assumptions!$C$65*'Income Statement'!H5</f>
        <v/>
      </c>
      <c r="I16" s="12">
        <f>Assumptions!$C$65*'Income Statement'!I5</f>
        <v/>
      </c>
    </row>
    <row r="17">
      <c r="A17" s="8" t="inlineStr">
        <is>
          <t>Dividends paid</t>
        </is>
      </c>
      <c r="B17" s="9" t="n">
        <v>103.312</v>
      </c>
      <c r="C17" s="9" t="n">
        <v>179.424</v>
      </c>
      <c r="D17" s="9" t="n">
        <v>126.987</v>
      </c>
      <c r="E17" s="12">
        <f>Assumptions!$C$72*'Income Statement'!E17</f>
        <v/>
      </c>
      <c r="F17" s="12">
        <f>Assumptions!$C$72*'Income Statement'!F17</f>
        <v/>
      </c>
      <c r="G17" s="12">
        <f>Assumptions!$C$72*'Income Statement'!G17</f>
        <v/>
      </c>
      <c r="H17" s="12">
        <f>Assumptions!$C$72*'Income Statement'!H17</f>
        <v/>
      </c>
      <c r="I17" s="12">
        <f>Assumptions!$C$72*'Income Statement'!I17</f>
        <v/>
      </c>
    </row>
    <row r="18">
      <c r="A18" s="8" t="inlineStr">
        <is>
          <t>Movement in cash and deposits</t>
        </is>
      </c>
      <c r="E18" s="12">
        <f>E5+'Income Statement'!E13-'Income Statement'!E5*Assumptions!$C$74-E14-E13-E10-E16-E17</f>
        <v/>
      </c>
      <c r="F18" s="12">
        <f>F5+'Income Statement'!F13-'Income Statement'!F5*Assumptions!$C$74-F14-F13-F10-F16-F17</f>
        <v/>
      </c>
      <c r="G18" s="12">
        <f>G5+'Income Statement'!G13-'Income Statement'!G5*Assumptions!$C$74-G14-G13-G10-G16-G17</f>
        <v/>
      </c>
      <c r="H18" s="12">
        <f>H5+'Income Statement'!H13-'Income Statement'!H5*Assumptions!$C$74-H14-H13-H10-H16-H17</f>
        <v/>
      </c>
      <c r="I18" s="12">
        <f>I5+'Income Statement'!I13-'Income Statement'!I5*Assumptions!$C$74-I14-I13-I10-I16-I17</f>
        <v/>
      </c>
    </row>
    <row r="19">
      <c r="A19" s="8" t="inlineStr">
        <is>
          <t>Cash and deposits, closing</t>
        </is>
      </c>
      <c r="E19" s="10">
        <f>'Balance Sheet'!E9</f>
        <v/>
      </c>
      <c r="F19" s="10">
        <f>'Balance Sheet'!F9</f>
        <v/>
      </c>
      <c r="G19" s="10">
        <f>'Balance Sheet'!G9</f>
        <v/>
      </c>
      <c r="H19" s="10">
        <f>'Balance Sheet'!H9</f>
        <v/>
      </c>
      <c r="I19" s="10">
        <f>'Balance Sheet'!I9</f>
        <v/>
      </c>
    </row>
    <row r="20">
      <c r="A20" s="8" t="inlineStr">
        <is>
          <t>Cash generated from operations, as reported</t>
        </is>
      </c>
      <c r="B20" s="9" t="n">
        <v>539.787</v>
      </c>
      <c r="C20" s="9" t="n">
        <v>432.801</v>
      </c>
      <c r="D20" s="9" t="n">
        <v>588.997</v>
      </c>
    </row>
    <row r="22" ht="56" customHeight="1">
      <c r="A22" s="2" t="inlineStr">
        <is>
          <t>The forecast free-cash-flow line is free cash flow to the FIRM on the capitalised-lease reading: taking a new restaurant lease is an investment, so right-of-use additions are charged as capital expenditure and the matching lease liability is deducted in the bridge to equity. Adding back right-of-use depreciation without charging the additions would count the shield and never pay for the asset.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5" t="inlineStr">
        <is>
          <t>Summary financials — the eight-year picture</t>
        </is>
      </c>
    </row>
    <row r="2">
      <c r="A2" s="6" t="inlineStr">
        <is>
          <t>USD million unless stated. Every cell on this sheet is a link or a ratio; nothing is typed twice.</t>
        </is>
      </c>
    </row>
    <row r="4">
      <c r="A4" s="7" t="inlineStr">
        <is>
          <t>USD million</t>
        </is>
      </c>
      <c r="B4" s="7" t="inlineStr">
        <is>
          <t>FY2023</t>
        </is>
      </c>
      <c r="C4" s="7" t="inlineStr">
        <is>
          <t>FY2024</t>
        </is>
      </c>
      <c r="D4" s="7" t="inlineStr">
        <is>
          <t>FY2025</t>
        </is>
      </c>
      <c r="E4" s="7" t="inlineStr">
        <is>
          <t>FY2026E</t>
        </is>
      </c>
      <c r="F4" s="7" t="inlineStr">
        <is>
          <t>FY2027E</t>
        </is>
      </c>
      <c r="G4" s="7" t="inlineStr">
        <is>
          <t>FY2028E</t>
        </is>
      </c>
      <c r="H4" s="7" t="inlineStr">
        <is>
          <t>FY2029E</t>
        </is>
      </c>
      <c r="I4" s="7" t="inlineStr">
        <is>
          <t>FY2030E</t>
        </is>
      </c>
    </row>
    <row r="5">
      <c r="A5" s="8" t="inlineStr">
        <is>
          <t>Revenue</t>
        </is>
      </c>
      <c r="B5" s="10">
        <f>'Income Statement'!B5</f>
        <v/>
      </c>
      <c r="C5" s="10">
        <f>'Income Statement'!C5</f>
        <v/>
      </c>
      <c r="D5" s="10">
        <f>'Income Statement'!D5</f>
        <v/>
      </c>
      <c r="E5" s="10">
        <f>'Income Statement'!E5</f>
        <v/>
      </c>
      <c r="F5" s="10">
        <f>'Income Statement'!F5</f>
        <v/>
      </c>
      <c r="G5" s="10">
        <f>'Income Statement'!G5</f>
        <v/>
      </c>
      <c r="H5" s="10">
        <f>'Income Statement'!H5</f>
        <v/>
      </c>
      <c r="I5" s="10">
        <f>'Income Statement'!I5</f>
        <v/>
      </c>
    </row>
    <row r="6">
      <c r="A6" s="8" t="inlineStr">
        <is>
          <t>EBITDA</t>
        </is>
      </c>
      <c r="B6" s="10">
        <f>'Income Statement'!B8</f>
        <v/>
      </c>
      <c r="C6" s="10">
        <f>'Income Statement'!C8</f>
        <v/>
      </c>
      <c r="D6" s="10">
        <f>'Income Statement'!D8</f>
        <v/>
      </c>
      <c r="E6" s="10">
        <f>'Income Statement'!E8</f>
        <v/>
      </c>
      <c r="F6" s="10">
        <f>'Income Statement'!F8</f>
        <v/>
      </c>
      <c r="G6" s="10">
        <f>'Income Statement'!G8</f>
        <v/>
      </c>
      <c r="H6" s="10">
        <f>'Income Statement'!H8</f>
        <v/>
      </c>
      <c r="I6" s="10">
        <f>'Income Statement'!I8</f>
        <v/>
      </c>
    </row>
    <row r="7">
      <c r="A7" s="8" t="inlineStr">
        <is>
          <t>EBITDA margin</t>
        </is>
      </c>
      <c r="B7" s="11">
        <f>'Income Statement'!B9</f>
        <v/>
      </c>
      <c r="C7" s="11">
        <f>'Income Statement'!C9</f>
        <v/>
      </c>
      <c r="D7" s="11">
        <f>'Income Statement'!D9</f>
        <v/>
      </c>
      <c r="E7" s="11">
        <f>'Income Statement'!E9</f>
        <v/>
      </c>
      <c r="F7" s="11">
        <f>'Income Statement'!F9</f>
        <v/>
      </c>
      <c r="G7" s="11">
        <f>'Income Statement'!G9</f>
        <v/>
      </c>
      <c r="H7" s="11">
        <f>'Income Statement'!H9</f>
        <v/>
      </c>
      <c r="I7" s="11">
        <f>'Income Statement'!I9</f>
        <v/>
      </c>
    </row>
    <row r="8">
      <c r="A8" s="8" t="inlineStr">
        <is>
          <t>EBIT (before impairments in the forecast)</t>
        </is>
      </c>
      <c r="B8" s="10">
        <f>'Income Statement'!B11</f>
        <v/>
      </c>
      <c r="C8" s="10">
        <f>'Income Statement'!C11</f>
        <v/>
      </c>
      <c r="D8" s="10">
        <f>'Income Statement'!D11</f>
        <v/>
      </c>
      <c r="E8" s="10">
        <f>'Income Statement'!E11</f>
        <v/>
      </c>
      <c r="F8" s="10">
        <f>'Income Statement'!F11</f>
        <v/>
      </c>
      <c r="G8" s="10">
        <f>'Income Statement'!G11</f>
        <v/>
      </c>
      <c r="H8" s="10">
        <f>'Income Statement'!H11</f>
        <v/>
      </c>
      <c r="I8" s="10">
        <f>'Income Statement'!I11</f>
        <v/>
      </c>
    </row>
    <row r="9">
      <c r="A9" s="8" t="inlineStr">
        <is>
          <t>Profit attributable to shareholders</t>
        </is>
      </c>
      <c r="B9" s="10">
        <f>'Income Statement'!B19</f>
        <v/>
      </c>
      <c r="C9" s="10">
        <f>'Income Statement'!C19</f>
        <v/>
      </c>
      <c r="D9" s="10">
        <f>'Income Statement'!D19</f>
        <v/>
      </c>
      <c r="E9" s="10">
        <f>'Income Statement'!E19</f>
        <v/>
      </c>
      <c r="F9" s="10">
        <f>'Income Statement'!F19</f>
        <v/>
      </c>
      <c r="G9" s="10">
        <f>'Income Statement'!G19</f>
        <v/>
      </c>
      <c r="H9" s="10">
        <f>'Income Statement'!H19</f>
        <v/>
      </c>
      <c r="I9" s="10">
        <f>'Income Statement'!I19</f>
        <v/>
      </c>
    </row>
    <row r="10">
      <c r="A10" s="8" t="inlineStr">
        <is>
          <t>Net debt</t>
        </is>
      </c>
      <c r="B10" s="10">
        <f>'Balance Sheet'!B17</f>
        <v/>
      </c>
      <c r="C10" s="10">
        <f>'Balance Sheet'!C17</f>
        <v/>
      </c>
      <c r="D10" s="10">
        <f>'Balance Sheet'!D17</f>
        <v/>
      </c>
      <c r="E10" s="10">
        <f>'Balance Sheet'!E17</f>
        <v/>
      </c>
      <c r="F10" s="10">
        <f>'Balance Sheet'!F17</f>
        <v/>
      </c>
      <c r="G10" s="10">
        <f>'Balance Sheet'!G17</f>
        <v/>
      </c>
      <c r="H10" s="10">
        <f>'Balance Sheet'!H17</f>
        <v/>
      </c>
      <c r="I10" s="10">
        <f>'Balance Sheet'!I17</f>
        <v/>
      </c>
    </row>
    <row r="11">
      <c r="A11" s="8" t="inlineStr">
        <is>
          <t>Revenue growth</t>
        </is>
      </c>
      <c r="B11" s="29" t="inlineStr">
        <is>
          <t>-</t>
        </is>
      </c>
      <c r="C11" s="13">
        <f>C5/B5-1</f>
        <v/>
      </c>
      <c r="D11" s="13">
        <f>D5/C5-1</f>
        <v/>
      </c>
      <c r="E11" s="13">
        <f>E5/D5-1</f>
        <v/>
      </c>
      <c r="F11" s="13">
        <f>F5/E5-1</f>
        <v/>
      </c>
      <c r="G11" s="13">
        <f>G5/F5-1</f>
        <v/>
      </c>
      <c r="H11" s="13">
        <f>H5/G5-1</f>
        <v/>
      </c>
      <c r="I11" s="13">
        <f>I5/H5-1</f>
        <v/>
      </c>
    </row>
    <row r="12">
      <c r="A12" s="8" t="inlineStr">
        <is>
          <t>Free cash flow to the firm</t>
        </is>
      </c>
      <c r="B12" s="29" t="inlineStr">
        <is>
          <t>-</t>
        </is>
      </c>
      <c r="C12" s="29" t="inlineStr">
        <is>
          <t>-</t>
        </is>
      </c>
      <c r="D12" s="29" t="inlineStr">
        <is>
          <t>-</t>
        </is>
      </c>
      <c r="E12" s="10">
        <f>'Cash Flow'!E15</f>
        <v/>
      </c>
      <c r="F12" s="10">
        <f>'Cash Flow'!F15</f>
        <v/>
      </c>
      <c r="G12" s="10">
        <f>'Cash Flow'!G15</f>
        <v/>
      </c>
      <c r="H12" s="10">
        <f>'Cash Flow'!H15</f>
        <v/>
      </c>
      <c r="I12" s="10">
        <f>'Cash Flow'!I15</f>
        <v/>
      </c>
    </row>
    <row r="13">
      <c r="A13" s="8" t="inlineStr">
        <is>
          <t>Invested capital</t>
        </is>
      </c>
      <c r="B13" s="29" t="inlineStr">
        <is>
          <t>-</t>
        </is>
      </c>
      <c r="C13" s="29" t="inlineStr">
        <is>
          <t>-</t>
        </is>
      </c>
      <c r="D13" s="29" t="inlineStr">
        <is>
          <t>-</t>
        </is>
      </c>
      <c r="E13" s="10">
        <f>'Balance Sheet'!E18</f>
        <v/>
      </c>
      <c r="F13" s="10">
        <f>'Balance Sheet'!F18</f>
        <v/>
      </c>
      <c r="G13" s="10">
        <f>'Balance Sheet'!G18</f>
        <v/>
      </c>
      <c r="H13" s="10">
        <f>'Balance Sheet'!H18</f>
        <v/>
      </c>
      <c r="I13" s="10">
        <f>'Balance Sheet'!I18</f>
        <v/>
      </c>
    </row>
    <row r="14">
      <c r="A14" s="8" t="inlineStr">
        <is>
          <t>Return on invested capital</t>
        </is>
      </c>
      <c r="B14" s="29" t="inlineStr">
        <is>
          <t>-</t>
        </is>
      </c>
      <c r="C14" s="29" t="inlineStr">
        <is>
          <t>-</t>
        </is>
      </c>
      <c r="D14" s="29" t="inlineStr">
        <is>
          <t>-</t>
        </is>
      </c>
      <c r="E14" s="11">
        <f>'Balance Sheet'!E19</f>
        <v/>
      </c>
      <c r="F14" s="11">
        <f>'Balance Sheet'!F19</f>
        <v/>
      </c>
      <c r="G14" s="11">
        <f>'Balance Sheet'!G19</f>
        <v/>
      </c>
      <c r="H14" s="11">
        <f>'Balance Sheet'!H19</f>
        <v/>
      </c>
      <c r="I14" s="11">
        <f>'Balance Sheet'!I19</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5" customWidth="1" min="7" max="7"/>
  </cols>
  <sheetData>
    <row r="1">
      <c r="A1" s="5" t="inlineStr">
        <is>
          <t>The probability price map</t>
        </is>
      </c>
    </row>
    <row r="2">
      <c r="A2" s="6" t="inlineStr">
        <is>
          <t>A map of price dispersion. It carries no view on value and is never blended with the valuation. Each figure is an engine output — fifty thousand simulated paths — not a formula, so it does not redraw when a driver changes.</t>
        </is>
      </c>
    </row>
    <row r="4">
      <c r="A4" s="7" t="inlineStr">
        <is>
          <t>Horizon</t>
        </is>
      </c>
      <c r="B4" s="7" t="inlineStr">
        <is>
          <t>5th</t>
        </is>
      </c>
      <c r="C4" s="7" t="inlineStr">
        <is>
          <t>25th</t>
        </is>
      </c>
      <c r="D4" s="7" t="inlineStr">
        <is>
          <t>Median</t>
        </is>
      </c>
      <c r="E4" s="7" t="inlineStr">
        <is>
          <t>75th</t>
        </is>
      </c>
      <c r="F4" s="7" t="inlineStr">
        <is>
          <t>95th</t>
        </is>
      </c>
      <c r="G4" s="7" t="inlineStr">
        <is>
          <t>Chance above the market</t>
        </is>
      </c>
    </row>
    <row r="5">
      <c r="A5" s="8" t="inlineStr">
        <is>
          <t>One month — to 2026-09-07</t>
        </is>
      </c>
      <c r="B5" s="9" t="n">
        <v>1.93437521871378</v>
      </c>
      <c r="C5" s="9" t="n">
        <v>2.126692211483889</v>
      </c>
      <c r="D5" s="9" t="n">
        <v>2.241720731175675</v>
      </c>
      <c r="E5" s="9" t="n">
        <v>2.363180493089619</v>
      </c>
      <c r="F5" s="9" t="n">
        <v>2.60461858255926</v>
      </c>
      <c r="G5" s="21" t="n">
        <v>0.52706</v>
      </c>
    </row>
    <row r="6">
      <c r="A6" s="8" t="inlineStr">
        <is>
          <t>Three months — to 2026-11-09</t>
        </is>
      </c>
      <c r="B6" s="9" t="n">
        <v>1.729996444524252</v>
      </c>
      <c r="C6" s="9" t="n">
        <v>2.053123569109837</v>
      </c>
      <c r="D6" s="9" t="n">
        <v>2.252911727725797</v>
      </c>
      <c r="E6" s="9" t="n">
        <v>2.47124447749607</v>
      </c>
      <c r="F6" s="9" t="n">
        <v>2.937323506218373</v>
      </c>
      <c r="G6" s="21" t="n">
        <v>0.53034</v>
      </c>
    </row>
    <row r="8">
      <c r="A8" s="7" t="inlineStr">
        <is>
          <t>Level event</t>
        </is>
      </c>
      <c r="B8" s="7" t="inlineStr">
        <is>
          <t>One month</t>
        </is>
      </c>
      <c r="C8" s="7" t="inlineStr">
        <is>
          <t>Three months</t>
        </is>
      </c>
    </row>
    <row r="9">
      <c r="A9" s="8" t="inlineStr">
        <is>
          <t>Finishes 10% or more above the market price</t>
        </is>
      </c>
      <c r="B9" s="21" t="n">
        <v>0.13496</v>
      </c>
      <c r="C9" s="21" t="n">
        <v>0.26606</v>
      </c>
    </row>
    <row r="10">
      <c r="A10" s="8" t="inlineStr">
        <is>
          <t>Finishes 10% or more below the market price</t>
        </is>
      </c>
      <c r="B10" s="21" t="n">
        <v>0.09548</v>
      </c>
      <c r="C10" s="21" t="n">
        <v>0.2041</v>
      </c>
    </row>
    <row r="11">
      <c r="A11" s="8" t="inlineStr">
        <is>
          <t>Touches 10% above at any point</t>
        </is>
      </c>
      <c r="B11" s="21" t="n">
        <v>0.21854</v>
      </c>
      <c r="C11" s="21" t="n">
        <v>0.47326</v>
      </c>
    </row>
    <row r="12">
      <c r="A12" s="8" t="inlineStr">
        <is>
          <t>Touches 10% below at any point</t>
        </is>
      </c>
      <c r="B12" s="21" t="n">
        <v>0.15958</v>
      </c>
      <c r="C12" s="21" t="n">
        <v>0.38804</v>
      </c>
    </row>
    <row r="14">
      <c r="A14" s="7" t="inlineStr">
        <is>
          <t>Engine setting</t>
        </is>
      </c>
      <c r="B14" s="7" t="inlineStr">
        <is>
          <t>Value</t>
        </is>
      </c>
    </row>
    <row r="15">
      <c r="A15" s="8" t="inlineStr">
        <is>
          <t>Simulated paths</t>
        </is>
      </c>
      <c r="B15" s="20" t="n">
        <v>50000</v>
      </c>
    </row>
    <row r="16">
      <c r="A16" s="8" t="inlineStr">
        <is>
          <t>Anchor date</t>
        </is>
      </c>
      <c r="B16" s="30" t="inlineStr">
        <is>
          <t>2026-08-07</t>
        </is>
      </c>
    </row>
    <row r="17">
      <c r="A17" s="8" t="inlineStr">
        <is>
          <t>Market price at the anchor (AED)</t>
        </is>
      </c>
      <c r="B17" s="9" t="n">
        <v>2.23</v>
      </c>
    </row>
    <row r="18">
      <c r="A18" s="8" t="inlineStr">
        <is>
          <t>Annualised volatility at the anchor</t>
        </is>
      </c>
      <c r="B18" s="21" t="n">
        <v>0.3561719340771033</v>
      </c>
    </row>
    <row r="19">
      <c r="A19" s="8" t="inlineStr">
        <is>
          <t>Dividend yield inside the drift anchor</t>
        </is>
      </c>
      <c r="B19" s="21" t="n">
        <v>0.0368786610878661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5" t="inlineStr">
        <is>
          <t>Sensitivity — what the valuation needs the world to do</t>
        </is>
      </c>
    </row>
    <row r="2">
      <c r="A2" s="6" t="inlineStr">
        <is>
          <t>AED per share. Each cell is a complete re-run of the model, including the unit build, so these grids are engine outputs rather than formulas and do NOT redraw when a driver is changed.</t>
        </is>
      </c>
    </row>
    <row r="4">
      <c r="A4" s="7" t="inlineStr">
        <is>
          <t>Cost of capital (rows) against terminal growth (columns)</t>
        </is>
      </c>
    </row>
    <row r="5">
      <c r="B5" s="7" t="inlineStr">
        <is>
          <t>2.0%</t>
        </is>
      </c>
      <c r="C5" s="7" t="inlineStr">
        <is>
          <t>2.5%</t>
        </is>
      </c>
      <c r="D5" s="7" t="inlineStr">
        <is>
          <t>3.0%</t>
        </is>
      </c>
      <c r="E5" s="7" t="inlineStr">
        <is>
          <t>3.5%</t>
        </is>
      </c>
      <c r="F5" s="7" t="inlineStr">
        <is>
          <t>4.0%</t>
        </is>
      </c>
    </row>
    <row r="6">
      <c r="A6" s="8" t="inlineStr">
        <is>
          <t>8.23%</t>
        </is>
      </c>
      <c r="B6" s="9" t="n">
        <v>2.584879316195392</v>
      </c>
      <c r="C6" s="9" t="n">
        <v>2.739886073119715</v>
      </c>
      <c r="D6" s="9" t="n">
        <v>2.924034875636686</v>
      </c>
      <c r="E6" s="9" t="n">
        <v>3.14654915357756</v>
      </c>
      <c r="F6" s="9" t="n">
        <v>3.421003677599196</v>
      </c>
    </row>
    <row r="7">
      <c r="A7" s="8" t="inlineStr">
        <is>
          <t>8.98%</t>
        </is>
      </c>
      <c r="B7" s="9" t="n">
        <v>2.279286923964465</v>
      </c>
      <c r="C7" s="9" t="n">
        <v>2.394752136376857</v>
      </c>
      <c r="D7" s="9" t="n">
        <v>2.529121340121986</v>
      </c>
      <c r="E7" s="9" t="n">
        <v>2.687560171116047</v>
      </c>
      <c r="F7" s="9" t="n">
        <v>2.877304929878125</v>
      </c>
    </row>
    <row r="8">
      <c r="A8" s="8" t="inlineStr">
        <is>
          <t>9.73%</t>
        </is>
      </c>
      <c r="B8" s="9" t="n">
        <v>2.033136297321837</v>
      </c>
      <c r="C8" s="9" t="n">
        <v>2.121297130123985</v>
      </c>
      <c r="D8" s="9" t="n">
        <v>2.22221792343126</v>
      </c>
      <c r="E8" s="9" t="n">
        <v>2.338966294654063</v>
      </c>
      <c r="F8" s="9" t="n">
        <v>2.475678838369221</v>
      </c>
    </row>
    <row r="9">
      <c r="A9" s="8" t="inlineStr">
        <is>
          <t>10.48%</t>
        </is>
      </c>
      <c r="B9" s="9" t="n">
        <v>1.830665564080732</v>
      </c>
      <c r="C9" s="9" t="n">
        <v>1.899328892918576</v>
      </c>
      <c r="D9" s="9" t="n">
        <v>1.976880696183387</v>
      </c>
      <c r="E9" s="9" t="n">
        <v>2.065228549022268</v>
      </c>
      <c r="F9" s="9" t="n">
        <v>2.166867935987405</v>
      </c>
    </row>
    <row r="10">
      <c r="A10" s="8" t="inlineStr">
        <is>
          <t>11.23%</t>
        </is>
      </c>
      <c r="B10" s="9" t="n">
        <v>1.661231024700009</v>
      </c>
      <c r="C10" s="9" t="n">
        <v>1.715586953412172</v>
      </c>
      <c r="D10" s="9" t="n">
        <v>1.776294251965406</v>
      </c>
      <c r="E10" s="9" t="n">
        <v>1.844583909258227</v>
      </c>
      <c r="F10" s="9" t="n">
        <v>1.922026996871675</v>
      </c>
    </row>
    <row r="12">
      <c r="A12" s="7" t="inlineStr">
        <is>
          <t>Cost of capital (rows) against the EBITDA margin (columns)</t>
        </is>
      </c>
    </row>
    <row r="13">
      <c r="B13" s="7" t="inlineStr">
        <is>
          <t>-2.0pp</t>
        </is>
      </c>
      <c r="C13" s="7" t="inlineStr">
        <is>
          <t>-1.0pp</t>
        </is>
      </c>
      <c r="D13" s="7" t="inlineStr">
        <is>
          <t>+0.0pp</t>
        </is>
      </c>
      <c r="E13" s="7" t="inlineStr">
        <is>
          <t>+1.0pp</t>
        </is>
      </c>
      <c r="F13" s="7" t="inlineStr">
        <is>
          <t>+2.0pp</t>
        </is>
      </c>
    </row>
    <row r="14">
      <c r="A14" s="8" t="inlineStr">
        <is>
          <t>8.23%</t>
        </is>
      </c>
      <c r="B14" s="9" t="n">
        <v>2.476073771580925</v>
      </c>
      <c r="C14" s="9" t="n">
        <v>2.700054323608805</v>
      </c>
      <c r="D14" s="9" t="n">
        <v>2.924034875636686</v>
      </c>
      <c r="E14" s="9" t="n">
        <v>3.148015427664566</v>
      </c>
      <c r="F14" s="9" t="n">
        <v>3.371995979692446</v>
      </c>
    </row>
    <row r="15">
      <c r="A15" s="8" t="inlineStr">
        <is>
          <t>8.98%</t>
        </is>
      </c>
      <c r="B15" s="9" t="n">
        <v>2.137059296292256</v>
      </c>
      <c r="C15" s="9" t="n">
        <v>2.333090318207121</v>
      </c>
      <c r="D15" s="9" t="n">
        <v>2.529121340121986</v>
      </c>
      <c r="E15" s="9" t="n">
        <v>2.72515236203685</v>
      </c>
      <c r="F15" s="9" t="n">
        <v>2.921183383951714</v>
      </c>
    </row>
    <row r="16">
      <c r="A16" s="8" t="inlineStr">
        <is>
          <t>9.73%</t>
        </is>
      </c>
      <c r="B16" s="9" t="n">
        <v>1.873631888631429</v>
      </c>
      <c r="C16" s="9" t="n">
        <v>2.047924906031343</v>
      </c>
      <c r="D16" s="9" t="n">
        <v>2.22221792343126</v>
      </c>
      <c r="E16" s="9" t="n">
        <v>2.396510940831174</v>
      </c>
      <c r="F16" s="9" t="n">
        <v>2.57080395823109</v>
      </c>
    </row>
    <row r="17">
      <c r="A17" s="8" t="inlineStr">
        <is>
          <t>10.48%</t>
        </is>
      </c>
      <c r="B17" s="9" t="n">
        <v>1.66307880904135</v>
      </c>
      <c r="C17" s="9" t="n">
        <v>1.819979752612368</v>
      </c>
      <c r="D17" s="9" t="n">
        <v>1.976880696183387</v>
      </c>
      <c r="E17" s="9" t="n">
        <v>2.133781639754404</v>
      </c>
      <c r="F17" s="9" t="n">
        <v>2.290682583325423</v>
      </c>
    </row>
    <row r="18">
      <c r="A18" s="8" t="inlineStr">
        <is>
          <t>11.23%</t>
        </is>
      </c>
      <c r="B18" s="9" t="n">
        <v>1.490957347481012</v>
      </c>
      <c r="C18" s="9" t="n">
        <v>1.633625799723209</v>
      </c>
      <c r="D18" s="9" t="n">
        <v>1.776294251965406</v>
      </c>
      <c r="E18" s="9" t="n">
        <v>1.918962704207603</v>
      </c>
      <c r="F18" s="9" t="n">
        <v>2.061631156449801</v>
      </c>
    </row>
    <row r="20">
      <c r="A20" s="7" t="inlineStr">
        <is>
          <t>One driver at a time — five re-runs a row, the grid shown beside the name</t>
        </is>
      </c>
      <c r="H20" s="7" t="inlineStr">
        <is>
          <t>Swing</t>
        </is>
      </c>
    </row>
    <row r="21">
      <c r="A21" s="8" t="inlineStr">
        <is>
          <t>Like-for-like sales growth (−1.0pp / −0.5pp / base / +0.5pp / +1.0pp)</t>
        </is>
      </c>
      <c r="B21" s="9" t="n">
        <v>2.078897651507737</v>
      </c>
      <c r="C21" s="9" t="n">
        <v>2.149848521993159</v>
      </c>
      <c r="D21" s="9" t="n">
        <v>2.22221792343126</v>
      </c>
      <c r="E21" s="9" t="n">
        <v>2.29602697648482</v>
      </c>
      <c r="F21" s="9" t="n">
        <v>2.37129700961655</v>
      </c>
      <c r="H21" s="12">
        <f>MAX(B21:F21)-MIN(B21:F21)</f>
        <v/>
      </c>
    </row>
    <row r="22">
      <c r="A22" s="8" t="inlineStr">
        <is>
          <t>EBITDA margin (−2.0pp / −1.0pp / base / +1.0pp / +2.0pp)</t>
        </is>
      </c>
      <c r="B22" s="9" t="n">
        <v>1.873631888631429</v>
      </c>
      <c r="C22" s="9" t="n">
        <v>2.047924906031343</v>
      </c>
      <c r="D22" s="9" t="n">
        <v>2.22221792343126</v>
      </c>
      <c r="E22" s="9" t="n">
        <v>2.396510940831174</v>
      </c>
      <c r="F22" s="9" t="n">
        <v>2.57080395823109</v>
      </c>
      <c r="H22" s="12">
        <f>MAX(B22:F22)-MIN(B22:F22)</f>
        <v/>
      </c>
    </row>
    <row r="23">
      <c r="A23" s="8" t="inlineStr">
        <is>
          <t>Cost of capital (−1.5pp / −0.75pp / base / +0.75pp / +1.5pp)</t>
        </is>
      </c>
      <c r="B23" s="9" t="n">
        <v>2.924034875636686</v>
      </c>
      <c r="C23" s="9" t="n">
        <v>2.529121340121986</v>
      </c>
      <c r="D23" s="9" t="n">
        <v>2.22221792343126</v>
      </c>
      <c r="E23" s="9" t="n">
        <v>1.976880696183387</v>
      </c>
      <c r="F23" s="9" t="n">
        <v>1.776294251965406</v>
      </c>
      <c r="H23" s="12">
        <f>MAX(B23:F23)-MIN(B23:F23)</f>
        <v/>
      </c>
    </row>
    <row r="24">
      <c r="A24" s="8" t="inlineStr">
        <is>
          <t>Terminal growth (2.0% / 2.5% / 3.0% / 3.5% / 4.0%)</t>
        </is>
      </c>
      <c r="B24" s="9" t="n">
        <v>2.033136297321837</v>
      </c>
      <c r="C24" s="9" t="n">
        <v>2.121297130123985</v>
      </c>
      <c r="D24" s="9" t="n">
        <v>2.22221792343126</v>
      </c>
      <c r="E24" s="9" t="n">
        <v>2.338966294654063</v>
      </c>
      <c r="F24" s="9" t="n">
        <v>2.475678838369221</v>
      </c>
      <c r="H24" s="12">
        <f>MAX(B24:F24)-MIN(B24:F24)</f>
        <v/>
      </c>
    </row>
    <row r="26" ht="42" customHeight="1">
      <c r="A26" s="2" t="inlineStr">
        <is>
          <t>The margin row is the one that matters. A two-point swing in the EBITDA margin is worth more than the whole plausible range of the cost of capital, which is why the structural-versus-cyclical question is the study's central judgement rather than a footnote.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4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5" t="inlineStr">
        <is>
          <t>Per-share and ratio analysis</t>
        </is>
      </c>
    </row>
    <row r="2">
      <c r="A2" s="6" t="inlineStr">
        <is>
          <t>The indicator set a multi-country restaurant operator is actually judged on: like-for-like growth, revenue per restaurant, the four-wall margin, the return on the capital a restaurant costs, and the cash it converts. Every ratio is a formula off the statements.</t>
        </is>
      </c>
    </row>
    <row r="4">
      <c r="A4" s="7" t="inlineStr">
        <is>
          <t>Measure</t>
        </is>
      </c>
      <c r="B4" s="7" t="inlineStr">
        <is>
          <t>FY2023</t>
        </is>
      </c>
      <c r="C4" s="7" t="inlineStr">
        <is>
          <t>FY2024</t>
        </is>
      </c>
      <c r="D4" s="7" t="inlineStr">
        <is>
          <t>FY2025</t>
        </is>
      </c>
      <c r="E4" s="7" t="inlineStr">
        <is>
          <t>FY2026E</t>
        </is>
      </c>
      <c r="F4" s="7" t="inlineStr">
        <is>
          <t>FY2027E</t>
        </is>
      </c>
      <c r="G4" s="7" t="inlineStr">
        <is>
          <t>FY2028E</t>
        </is>
      </c>
      <c r="H4" s="7" t="inlineStr">
        <is>
          <t>FY2029E</t>
        </is>
      </c>
      <c r="I4" s="7" t="inlineStr">
        <is>
          <t>FY2030E</t>
        </is>
      </c>
    </row>
    <row r="5">
      <c r="A5" s="8" t="inlineStr">
        <is>
          <t>Earnings per share (USD)</t>
        </is>
      </c>
      <c r="B5" s="25">
        <f>'Income Statement'!B20</f>
        <v/>
      </c>
      <c r="C5" s="25">
        <f>'Income Statement'!C20</f>
        <v/>
      </c>
      <c r="D5" s="25">
        <f>'Income Statement'!D20</f>
        <v/>
      </c>
      <c r="E5" s="25">
        <f>'Income Statement'!E20</f>
        <v/>
      </c>
      <c r="F5" s="25">
        <f>'Income Statement'!F20</f>
        <v/>
      </c>
      <c r="G5" s="25">
        <f>'Income Statement'!G20</f>
        <v/>
      </c>
      <c r="H5" s="25">
        <f>'Income Statement'!H20</f>
        <v/>
      </c>
      <c r="I5" s="25">
        <f>'Income Statement'!I20</f>
        <v/>
      </c>
    </row>
    <row r="6">
      <c r="A6" s="8" t="inlineStr">
        <is>
          <t>Earnings per share (AED)</t>
        </is>
      </c>
      <c r="B6" s="27">
        <f>B5*Assumptions!$C$6</f>
        <v/>
      </c>
      <c r="C6" s="27">
        <f>C5*Assumptions!$C$6</f>
        <v/>
      </c>
      <c r="D6" s="27">
        <f>D5*Assumptions!$C$6</f>
        <v/>
      </c>
      <c r="E6" s="27">
        <f>E5*Assumptions!$C$6</f>
        <v/>
      </c>
      <c r="F6" s="27">
        <f>F5*Assumptions!$C$6</f>
        <v/>
      </c>
      <c r="G6" s="27">
        <f>G5*Assumptions!$C$6</f>
        <v/>
      </c>
      <c r="H6" s="27">
        <f>H5*Assumptions!$C$6</f>
        <v/>
      </c>
      <c r="I6" s="27">
        <f>I5*Assumptions!$C$6</f>
        <v/>
      </c>
    </row>
    <row r="7">
      <c r="A7" s="8" t="inlineStr">
        <is>
          <t>Book value per share (USD)</t>
        </is>
      </c>
      <c r="B7" s="27">
        <f>'Balance Sheet'!B14/Assumptions!$C$7</f>
        <v/>
      </c>
      <c r="C7" s="27">
        <f>'Balance Sheet'!C14/Assumptions!$C$7</f>
        <v/>
      </c>
      <c r="D7" s="27">
        <f>'Balance Sheet'!D14/Assumptions!$C$7</f>
        <v/>
      </c>
      <c r="E7" s="27">
        <f>'Balance Sheet'!E14/Assumptions!$C$7</f>
        <v/>
      </c>
      <c r="F7" s="27">
        <f>'Balance Sheet'!F14/Assumptions!$C$7</f>
        <v/>
      </c>
      <c r="G7" s="27">
        <f>'Balance Sheet'!G14/Assumptions!$C$7</f>
        <v/>
      </c>
      <c r="H7" s="27">
        <f>'Balance Sheet'!H14/Assumptions!$C$7</f>
        <v/>
      </c>
      <c r="I7" s="27">
        <f>'Balance Sheet'!I14/Assumptions!$C$7</f>
        <v/>
      </c>
    </row>
    <row r="8">
      <c r="A8" s="8" t="inlineStr">
        <is>
          <t>EBITDA margin</t>
        </is>
      </c>
      <c r="B8" s="11">
        <f>'Income Statement'!B9</f>
        <v/>
      </c>
      <c r="C8" s="11">
        <f>'Income Statement'!C9</f>
        <v/>
      </c>
      <c r="D8" s="11">
        <f>'Income Statement'!D9</f>
        <v/>
      </c>
      <c r="E8" s="11">
        <f>'Income Statement'!E9</f>
        <v/>
      </c>
      <c r="F8" s="11">
        <f>'Income Statement'!F9</f>
        <v/>
      </c>
      <c r="G8" s="11">
        <f>'Income Statement'!G9</f>
        <v/>
      </c>
      <c r="H8" s="11">
        <f>'Income Statement'!H9</f>
        <v/>
      </c>
      <c r="I8" s="11">
        <f>'Income Statement'!I9</f>
        <v/>
      </c>
    </row>
    <row r="9">
      <c r="A9" s="8" t="inlineStr">
        <is>
          <t>EBIT margin</t>
        </is>
      </c>
      <c r="B9" s="13">
        <f>'Income Statement'!B11/'Income Statement'!B5</f>
        <v/>
      </c>
      <c r="C9" s="13">
        <f>'Income Statement'!C11/'Income Statement'!C5</f>
        <v/>
      </c>
      <c r="D9" s="13">
        <f>'Income Statement'!D11/'Income Statement'!D5</f>
        <v/>
      </c>
      <c r="E9" s="13">
        <f>'Income Statement'!E11/'Income Statement'!E5</f>
        <v/>
      </c>
      <c r="F9" s="13">
        <f>'Income Statement'!F11/'Income Statement'!F5</f>
        <v/>
      </c>
      <c r="G9" s="13">
        <f>'Income Statement'!G11/'Income Statement'!G5</f>
        <v/>
      </c>
      <c r="H9" s="13">
        <f>'Income Statement'!H11/'Income Statement'!H5</f>
        <v/>
      </c>
      <c r="I9" s="13">
        <f>'Income Statement'!I11/'Income Statement'!I5</f>
        <v/>
      </c>
    </row>
    <row r="10">
      <c r="A10" s="8" t="inlineStr">
        <is>
          <t>Net margin</t>
        </is>
      </c>
      <c r="B10" s="13">
        <f>'Income Statement'!B19/'Income Statement'!B5</f>
        <v/>
      </c>
      <c r="C10" s="13">
        <f>'Income Statement'!C19/'Income Statement'!C5</f>
        <v/>
      </c>
      <c r="D10" s="13">
        <f>'Income Statement'!D19/'Income Statement'!D5</f>
        <v/>
      </c>
      <c r="E10" s="13">
        <f>'Income Statement'!E19/'Income Statement'!E5</f>
        <v/>
      </c>
      <c r="F10" s="13">
        <f>'Income Statement'!F19/'Income Statement'!F5</f>
        <v/>
      </c>
      <c r="G10" s="13">
        <f>'Income Statement'!G19/'Income Statement'!G5</f>
        <v/>
      </c>
      <c r="H10" s="13">
        <f>'Income Statement'!H19/'Income Statement'!H5</f>
        <v/>
      </c>
      <c r="I10" s="13">
        <f>'Income Statement'!I19/'Income Statement'!I5</f>
        <v/>
      </c>
    </row>
    <row r="11">
      <c r="A11" s="8" t="inlineStr">
        <is>
          <t>Revenue per restaurant (USD thousand)</t>
        </is>
      </c>
      <c r="B11" s="29" t="inlineStr">
        <is>
          <t>-</t>
        </is>
      </c>
      <c r="C11" s="29" t="inlineStr">
        <is>
          <t>-</t>
        </is>
      </c>
      <c r="D11" s="29" t="inlineStr">
        <is>
          <t>-</t>
        </is>
      </c>
      <c r="E11" s="12">
        <f>'Income Statement'!E5/Segments!C12*1000</f>
        <v/>
      </c>
      <c r="F11" s="12">
        <f>'Income Statement'!F5/Segments!D12*1000</f>
        <v/>
      </c>
      <c r="G11" s="12">
        <f>'Income Statement'!G5/Segments!E12*1000</f>
        <v/>
      </c>
      <c r="H11" s="12">
        <f>'Income Statement'!H5/Segments!F12*1000</f>
        <v/>
      </c>
      <c r="I11" s="12">
        <f>'Income Statement'!I5/Segments!G12*1000</f>
        <v/>
      </c>
    </row>
    <row r="12">
      <c r="A12" s="8" t="inlineStr">
        <is>
          <t>Restaurants at year end</t>
        </is>
      </c>
      <c r="B12" s="29" t="inlineStr">
        <is>
          <t>-</t>
        </is>
      </c>
      <c r="C12" s="29" t="inlineStr">
        <is>
          <t>-</t>
        </is>
      </c>
      <c r="D12" s="29" t="inlineStr">
        <is>
          <t>-</t>
        </is>
      </c>
      <c r="E12" s="15">
        <f>Segments!C12</f>
        <v/>
      </c>
      <c r="F12" s="15">
        <f>Segments!D12</f>
        <v/>
      </c>
      <c r="G12" s="15">
        <f>Segments!E12</f>
        <v/>
      </c>
      <c r="H12" s="15">
        <f>Segments!F12</f>
        <v/>
      </c>
      <c r="I12" s="15">
        <f>Segments!G12</f>
        <v/>
      </c>
    </row>
    <row r="13">
      <c r="A13" s="8" t="inlineStr">
        <is>
          <t>Return on equity</t>
        </is>
      </c>
      <c r="B13" s="29" t="inlineStr">
        <is>
          <t>-</t>
        </is>
      </c>
      <c r="C13" s="13">
        <f>'Income Statement'!C19/(('Balance Sheet'!B14+'Balance Sheet'!C14)/2)</f>
        <v/>
      </c>
      <c r="D13" s="13">
        <f>'Income Statement'!D19/(('Balance Sheet'!C14+'Balance Sheet'!D14)/2)</f>
        <v/>
      </c>
      <c r="E13" s="13">
        <f>'Income Statement'!E19/(('Balance Sheet'!D14+'Balance Sheet'!E14)/2)</f>
        <v/>
      </c>
      <c r="F13" s="13">
        <f>'Income Statement'!F19/(('Balance Sheet'!E14+'Balance Sheet'!F14)/2)</f>
        <v/>
      </c>
      <c r="G13" s="13">
        <f>'Income Statement'!G19/(('Balance Sheet'!F14+'Balance Sheet'!G14)/2)</f>
        <v/>
      </c>
      <c r="H13" s="13">
        <f>'Income Statement'!H19/(('Balance Sheet'!G14+'Balance Sheet'!H14)/2)</f>
        <v/>
      </c>
      <c r="I13" s="13">
        <f>'Income Statement'!I19/(('Balance Sheet'!H14+'Balance Sheet'!I14)/2)</f>
        <v/>
      </c>
    </row>
    <row r="14">
      <c r="A14" s="8" t="inlineStr">
        <is>
          <t>Return on invested capital</t>
        </is>
      </c>
      <c r="B14" s="29" t="inlineStr">
        <is>
          <t>-</t>
        </is>
      </c>
      <c r="C14" s="29" t="inlineStr">
        <is>
          <t>-</t>
        </is>
      </c>
      <c r="D14" s="29" t="inlineStr">
        <is>
          <t>-</t>
        </is>
      </c>
      <c r="E14" s="11">
        <f>'Balance Sheet'!E19</f>
        <v/>
      </c>
      <c r="F14" s="11">
        <f>'Balance Sheet'!F19</f>
        <v/>
      </c>
      <c r="G14" s="11">
        <f>'Balance Sheet'!G19</f>
        <v/>
      </c>
      <c r="H14" s="11">
        <f>'Balance Sheet'!H19</f>
        <v/>
      </c>
      <c r="I14" s="11">
        <f>'Balance Sheet'!I19</f>
        <v/>
      </c>
    </row>
    <row r="15">
      <c r="A15" s="8" t="inlineStr">
        <is>
          <t>Net debt / EBITDA</t>
        </is>
      </c>
      <c r="B15" s="17">
        <f>'Balance Sheet'!B20</f>
        <v/>
      </c>
      <c r="C15" s="17">
        <f>'Balance Sheet'!C20</f>
        <v/>
      </c>
      <c r="D15" s="17">
        <f>'Balance Sheet'!D20</f>
        <v/>
      </c>
      <c r="E15" s="17">
        <f>'Balance Sheet'!E20</f>
        <v/>
      </c>
      <c r="F15" s="17">
        <f>'Balance Sheet'!F20</f>
        <v/>
      </c>
      <c r="G15" s="17">
        <f>'Balance Sheet'!G20</f>
        <v/>
      </c>
      <c r="H15" s="17">
        <f>'Balance Sheet'!H20</f>
        <v/>
      </c>
      <c r="I15" s="17">
        <f>'Balance Sheet'!I20</f>
        <v/>
      </c>
    </row>
    <row r="16">
      <c r="A16" s="8" t="inlineStr">
        <is>
          <t>Net working capital / revenue</t>
        </is>
      </c>
      <c r="B16" s="13">
        <f>'Balance Sheet'!B10/'Income Statement'!B5</f>
        <v/>
      </c>
      <c r="C16" s="13">
        <f>'Balance Sheet'!C10/'Income Statement'!C5</f>
        <v/>
      </c>
      <c r="D16" s="13">
        <f>'Balance Sheet'!D10/'Income Statement'!D5</f>
        <v/>
      </c>
      <c r="E16" s="13">
        <f>'Balance Sheet'!E10/'Income Statement'!E5</f>
        <v/>
      </c>
      <c r="F16" s="13">
        <f>'Balance Sheet'!F10/'Income Statement'!F5</f>
        <v/>
      </c>
      <c r="G16" s="13">
        <f>'Balance Sheet'!G10/'Income Statement'!G5</f>
        <v/>
      </c>
      <c r="H16" s="13">
        <f>'Balance Sheet'!H10/'Income Statement'!H5</f>
        <v/>
      </c>
      <c r="I16" s="13">
        <f>'Balance Sheet'!I10/'Income Statement'!I5</f>
        <v/>
      </c>
    </row>
    <row r="17">
      <c r="A17" s="8" t="inlineStr">
        <is>
          <t>Capital expenditure / revenue</t>
        </is>
      </c>
      <c r="B17" s="13">
        <f>'Cash Flow'!B10/'Income Statement'!B5</f>
        <v/>
      </c>
      <c r="C17" s="13">
        <f>'Cash Flow'!C10/'Income Statement'!C5</f>
        <v/>
      </c>
      <c r="D17" s="13">
        <f>'Cash Flow'!D10/'Income Statement'!D5</f>
        <v/>
      </c>
      <c r="E17" s="13">
        <f>'Cash Flow'!E12/'Income Statement'!E5</f>
        <v/>
      </c>
      <c r="F17" s="13">
        <f>'Cash Flow'!F12/'Income Statement'!F5</f>
        <v/>
      </c>
      <c r="G17" s="13">
        <f>'Cash Flow'!G12/'Income Statement'!G5</f>
        <v/>
      </c>
      <c r="H17" s="13">
        <f>'Cash Flow'!H12/'Income Statement'!H5</f>
        <v/>
      </c>
      <c r="I17" s="13">
        <f>'Cash Flow'!I12/'Income Statement'!I5</f>
        <v/>
      </c>
    </row>
    <row r="18">
      <c r="A18" s="8" t="inlineStr">
        <is>
          <t>Dividend per share (USD)</t>
        </is>
      </c>
      <c r="B18" s="27">
        <f>'Cash Flow'!B17/Assumptions!$C$7</f>
        <v/>
      </c>
      <c r="C18" s="27">
        <f>'Cash Flow'!C17/Assumptions!$C$7</f>
        <v/>
      </c>
      <c r="D18" s="27">
        <f>'Cash Flow'!D17/Assumptions!$C$7</f>
        <v/>
      </c>
      <c r="E18" s="27">
        <f>'Cash Flow'!E17/Assumptions!$C$7</f>
        <v/>
      </c>
      <c r="F18" s="27">
        <f>'Cash Flow'!F17/Assumptions!$C$7</f>
        <v/>
      </c>
      <c r="G18" s="27">
        <f>'Cash Flow'!G17/Assumptions!$C$7</f>
        <v/>
      </c>
      <c r="H18" s="27">
        <f>'Cash Flow'!H17/Assumptions!$C$7</f>
        <v/>
      </c>
      <c r="I18" s="27">
        <f>'Cash Flow'!I17/Assumptions!$C$7</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2" customWidth="1" min="1" max="1"/>
    <col width="18" customWidth="1" min="2" max="2"/>
    <col width="14" customWidth="1" min="3" max="3"/>
    <col width="14" customWidth="1" min="4" max="4"/>
    <col width="14" customWidth="1" min="5" max="5"/>
    <col width="44" customWidth="1" min="6" max="6"/>
  </cols>
  <sheetData>
    <row r="1">
      <c r="A1" s="5" t="inlineStr">
        <is>
          <t>Peer frame and sector context</t>
        </is>
      </c>
    </row>
    <row r="2">
      <c r="A2" s="6" t="inlineStr">
        <is>
          <t>A cross-check, not an independent valuation. No figure on this sheet enters the build; Americana’s own historicals come exclusively from its audited consolidated financial statements.</t>
        </is>
      </c>
    </row>
    <row r="4">
      <c r="A4" s="7" t="inlineStr">
        <is>
          <t>Company</t>
        </is>
      </c>
      <c r="B4" s="7" t="inlineStr">
        <is>
          <t>Market</t>
        </is>
      </c>
      <c r="C4" s="7" t="inlineStr">
        <is>
          <t>EV / EBITDA</t>
        </is>
      </c>
      <c r="D4" s="7" t="inlineStr">
        <is>
          <t>Price / earnings</t>
        </is>
      </c>
      <c r="E4" s="7" t="inlineStr">
        <is>
          <t>EBITDA margin</t>
        </is>
      </c>
      <c r="F4" s="7" t="inlineStr">
        <is>
          <t>Why it is here</t>
        </is>
      </c>
    </row>
    <row r="5" ht="26" customHeight="1">
      <c r="A5" s="8" t="inlineStr">
        <is>
          <t>Alamar Foods</t>
        </is>
      </c>
      <c r="B5" s="8" t="inlineStr">
        <is>
          <t>Saudi Arabia</t>
        </is>
      </c>
      <c r="C5" s="23" t="n">
        <v>115.53</v>
      </c>
      <c r="D5" s="23" t="inlineStr">
        <is>
          <t>-</t>
        </is>
      </c>
      <c r="E5" s="21" t="n">
        <v>0.02580007029324133</v>
      </c>
      <c r="F5" s="8" t="inlineStr">
        <is>
          <t>Regional franchisee operator (Domino’s, Wendy’s MENA)</t>
        </is>
      </c>
    </row>
    <row r="6" ht="26" customHeight="1">
      <c r="A6" s="8" t="inlineStr">
        <is>
          <t>Herfy Food Services</t>
        </is>
      </c>
      <c r="B6" s="8" t="inlineStr">
        <is>
          <t>Saudi Arabia</t>
        </is>
      </c>
      <c r="C6" s="23" t="n">
        <v>17.61</v>
      </c>
      <c r="D6" s="23" t="inlineStr">
        <is>
          <t>-</t>
        </is>
      </c>
      <c r="E6" s="21" t="n">
        <v>0.07562763268564159</v>
      </c>
      <c r="F6" s="8" t="inlineStr">
        <is>
          <t>Saudi QSR operator and food manufacturer</t>
        </is>
      </c>
    </row>
    <row r="7" ht="26" customHeight="1">
      <c r="A7" s="8" t="inlineStr">
        <is>
          <t>Halwani Bros</t>
        </is>
      </c>
      <c r="B7" s="8" t="inlineStr">
        <is>
          <t>Saudi Arabia</t>
        </is>
      </c>
      <c r="C7" s="23" t="n">
        <v>11.25</v>
      </c>
      <c r="D7" s="23" t="n">
        <v>23.08</v>
      </c>
      <c r="E7" s="21" t="n">
        <v>0.1214890405680459</v>
      </c>
      <c r="F7" s="8" t="inlineStr">
        <is>
          <t>Saudi packaged-food peer (consumer cross-check)</t>
        </is>
      </c>
    </row>
    <row r="8" ht="26" customHeight="1">
      <c r="A8" s="8" t="inlineStr">
        <is>
          <t>Alsea</t>
        </is>
      </c>
      <c r="B8" s="8" t="inlineStr">
        <is>
          <t>Mexico</t>
        </is>
      </c>
      <c r="C8" s="23" t="n">
        <v>6.02</v>
      </c>
      <c r="D8" s="23" t="n">
        <v>16.43</v>
      </c>
      <c r="E8" s="21" t="n">
        <v>0.1529514116662708</v>
      </c>
      <c r="F8" s="8" t="inlineStr">
        <is>
          <t>Largest Latin-American franchisee operator (Starbucks, Domino’s, BK)</t>
        </is>
      </c>
    </row>
    <row r="9" ht="26" customHeight="1">
      <c r="A9" s="8" t="inlineStr">
        <is>
          <t>Jubilant FoodWorks</t>
        </is>
      </c>
      <c r="B9" s="8" t="inlineStr">
        <is>
          <t>India</t>
        </is>
      </c>
      <c r="C9" s="23" t="n">
        <v>23.05</v>
      </c>
      <c r="D9" s="23" t="n">
        <v>85.5</v>
      </c>
      <c r="E9" s="21" t="n">
        <v>0.1454268733251085</v>
      </c>
      <c r="F9" s="8" t="inlineStr">
        <is>
          <t>Master franchisee, Domino’s India</t>
        </is>
      </c>
    </row>
    <row r="10" ht="26" customHeight="1">
      <c r="A10" s="8" t="inlineStr">
        <is>
          <t>Devyani International</t>
        </is>
      </c>
      <c r="B10" s="8" t="inlineStr">
        <is>
          <t>India</t>
        </is>
      </c>
      <c r="C10" s="23" t="n">
        <v>33.28</v>
      </c>
      <c r="D10" s="23" t="inlineStr">
        <is>
          <t>-</t>
        </is>
      </c>
      <c r="E10" s="21" t="n">
        <v>0.1044915212476157</v>
      </c>
      <c r="F10" s="8" t="inlineStr">
        <is>
          <t>Master franchisee, KFC/Pizza Hut India — closest structural analogue</t>
        </is>
      </c>
    </row>
    <row r="11" ht="26" customHeight="1">
      <c r="A11" s="8" t="inlineStr">
        <is>
          <t>Sapphire Foods</t>
        </is>
      </c>
      <c r="B11" s="8" t="inlineStr">
        <is>
          <t>India</t>
        </is>
      </c>
      <c r="C11" s="23" t="n">
        <v>27.59</v>
      </c>
      <c r="D11" s="23" t="inlineStr">
        <is>
          <t>-</t>
        </is>
      </c>
      <c r="E11" s="21" t="n">
        <v>0.09488411880116998</v>
      </c>
      <c r="F11" s="8" t="inlineStr">
        <is>
          <t>Master franchisee, KFC/Pizza Hut India</t>
        </is>
      </c>
    </row>
    <row r="12" ht="26" customHeight="1">
      <c r="A12" s="8" t="inlineStr">
        <is>
          <t>Yum! Brands</t>
        </is>
      </c>
      <c r="B12" s="8" t="inlineStr">
        <is>
          <t>United States</t>
        </is>
      </c>
      <c r="C12" s="23" t="n">
        <v>17.56</v>
      </c>
      <c r="D12" s="23" t="n">
        <v>18.96</v>
      </c>
      <c r="E12" s="21" t="n">
        <v>0.3517541899821757</v>
      </c>
      <c r="F12" s="8" t="inlineStr">
        <is>
          <t>Franchisor of KFC, Pizza Hut, Taco Bell</t>
        </is>
      </c>
    </row>
    <row r="13" ht="26" customHeight="1">
      <c r="A13" s="8" t="inlineStr">
        <is>
          <t>Yum China</t>
        </is>
      </c>
      <c r="B13" s="8" t="inlineStr">
        <is>
          <t>China</t>
        </is>
      </c>
      <c r="C13" s="23" t="n">
        <v>9.470000000000001</v>
      </c>
      <c r="D13" s="23" t="n">
        <v>17.48</v>
      </c>
      <c r="E13" s="21" t="n">
        <v>0.1510693135560875</v>
      </c>
      <c r="F13" s="8" t="inlineStr">
        <is>
          <t>Licensee-operator of KFC/Pizza Hut in China</t>
        </is>
      </c>
    </row>
    <row r="14" ht="26" customHeight="1">
      <c r="A14" s="8" t="inlineStr">
        <is>
          <t>Restaurant Brands Intl.</t>
        </is>
      </c>
      <c r="B14" s="8" t="inlineStr">
        <is>
          <t>Canada</t>
        </is>
      </c>
      <c r="C14" s="23" t="n">
        <v>14.32</v>
      </c>
      <c r="D14" s="23" t="n">
        <v>18.57</v>
      </c>
      <c r="E14" s="21" t="n">
        <v>0.3014743688553667</v>
      </c>
      <c r="F14" s="8" t="inlineStr">
        <is>
          <t>Franchisor of Burger King, Tim Hortons, Popeyes</t>
        </is>
      </c>
    </row>
    <row r="15" ht="26" customHeight="1">
      <c r="A15" s="8" t="inlineStr">
        <is>
          <t>Domino's Pizza</t>
        </is>
      </c>
      <c r="B15" s="8" t="inlineStr">
        <is>
          <t>United States</t>
        </is>
      </c>
      <c r="C15" s="23" t="n">
        <v>16.19</v>
      </c>
      <c r="D15" s="23" t="n">
        <v>19.88</v>
      </c>
      <c r="E15" s="21" t="n">
        <v>0.2035703385892659</v>
      </c>
      <c r="F15" s="8" t="inlineStr">
        <is>
          <t>Franchisor, delivery-led QSR</t>
        </is>
      </c>
    </row>
    <row r="17">
      <c r="A17" s="7" t="inlineStr">
        <is>
          <t>Peer median, enterprise value / EBITDA — MEDIAN over the rows inside the stated band of 4x to 40x (one exclusion: the row whose multiple is an arithmetic artefact of a depressed year)</t>
        </is>
      </c>
      <c r="C17" s="26">
        <f>MEDIAN(C6,C7,C8,C9,C10,C11,C12,C13,C14,C15)</f>
        <v/>
      </c>
    </row>
    <row r="18">
      <c r="A18" s="7" t="inlineStr">
        <is>
          <t>Peer median, price / earnings — MEDIAN over the rows inside the stated band of 5x to 45x</t>
        </is>
      </c>
      <c r="D18" s="26">
        <f>MEDIAN(D7,D8,D12,D13,D14,D15)</f>
        <v/>
      </c>
    </row>
    <row r="20">
      <c r="A20" s="7" t="inlineStr">
        <is>
          <t>Americana — trailing enterprise value / EBITDA</t>
        </is>
      </c>
      <c r="C20" s="17">
        <f>'Relative &amp; Normalized'!B16</f>
        <v/>
      </c>
    </row>
    <row r="21">
      <c r="A21" s="7" t="inlineStr">
        <is>
          <t>Americana — trailing price / earnings</t>
        </is>
      </c>
      <c r="D21" s="17">
        <f>'Relative &amp; Normalized'!B17</f>
        <v/>
      </c>
    </row>
    <row r="22">
      <c r="A22" s="7" t="inlineStr">
        <is>
          <t>Justified multiple applied in the relative lens</t>
        </is>
      </c>
      <c r="C22" s="17">
        <f>'Relative &amp; Normalized'!B6</f>
        <v/>
      </c>
    </row>
    <row r="24" ht="110" customHeight="1">
      <c r="A24" s="2" t="inlineStr">
        <is>
          <t>The set splits cleanly in two, and that split is why the justified multiple sits below the peer median. The global names — Yum! Brands, Restaurant Brands, Domino's — are franchisORS: they collect a royalty on someone else's sales and carry EBITDA margins of 20% to 35% on a fraction of the revenue. Americana is on the other side of that contract. It is the operator, it PAYS the royalty (5.6% of revenue in FY2025), and it carries the restaurants, the staff and the leases. The right comparators are the listed franchisees — Alsea in Mexico, Devyani and Sapphire in India, both of which run the same two brands Americana runs — and those trade across a very wide range on growth expectations rather than on any stable multiple.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2026-09-09T00:52:47Z</dcterms:created>
  <dcterms:modified xmlns:dcterms="http://purl.org/dc/terms/" xmlns:xsi="http://www.w3.org/2001/XMLSchema-instance" xsi:type="dcterms:W3CDTF">2026-09-09T00:52:47Z</dcterms:modified>
</cp:coreProperties>
</file>