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name val="Calibri"/>
      <b val="1"/>
      <color rgb="001A1D21"/>
      <sz val="10"/>
    </font>
    <font>
      <name val="Calibri"/>
      <color rgb="001A1D21"/>
      <sz val="10"/>
    </font>
    <font>
      <name val="Calibri"/>
      <b val="1"/>
      <color rgb="00FFFFFF"/>
      <sz val="10"/>
    </font>
    <font>
      <name val="Calibri"/>
      <color rgb="001F4E9C"/>
      <sz val="10"/>
    </font>
    <font>
      <name val="Calibri"/>
      <i val="1"/>
      <color rgb="005B6570"/>
      <sz val="9"/>
    </font>
  </fonts>
  <fills count="3">
    <fill>
      <patternFill/>
    </fill>
    <fill>
      <patternFill patternType="gray125"/>
    </fill>
    <fill>
      <patternFill patternType="solid">
        <fgColor rgb="002E5E4E"/>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0" pivotButton="0" quotePrefix="0" xfId="0"/>
    <xf numFmtId="4" fontId="4" fillId="0" borderId="0" pivotButton="0" quotePrefix="0" xfId="0"/>
    <xf numFmtId="0" fontId="5" fillId="0" borderId="0" pivotButton="0" quotePrefix="0" xfId="0"/>
    <xf numFmtId="3" fontId="2" fillId="0" borderId="0" pivotButton="0" quotePrefix="0" xfId="0"/>
    <xf numFmtId="3" fontId="0" fillId="0" borderId="0" pivotButton="0" quotePrefix="0" xfId="0"/>
    <xf numFmtId="4" fontId="0" fillId="0" borderId="0" pivotButton="0" quotePrefix="0" xfId="0"/>
    <xf numFmtId="164" fontId="0" fillId="0" borderId="0" pivotButton="0" quotePrefix="0" xfId="0"/>
    <xf numFmtId="0" fontId="1" fillId="0" borderId="0" pivotButton="0" quotePrefix="0" xfId="0"/>
    <xf numFmtId="4" fontId="1" fillId="0" borderId="0" pivotButton="0" quotePrefix="0" xfId="0"/>
    <xf numFmtId="10" fontId="2" fillId="0" borderId="0" pivotButton="0" quotePrefix="0" xfId="0"/>
    <xf numFmtId="164" fontId="4" fillId="0" borderId="0" pivotButton="0" quotePrefix="0" xfId="0"/>
    <xf numFmtId="10" fontId="4" fillId="0" borderId="0" pivotButton="0" quotePrefix="0" xfId="0"/>
    <xf numFmtId="3" fontId="4" fillId="0" borderId="0" pivotButton="0" quotePrefix="0" xfId="0"/>
    <xf numFmtId="3" fontId="1" fillId="0" borderId="0" pivotButton="0" quotePrefix="0" xfId="0"/>
    <xf numFmtId="4" fontId="2" fillId="0" borderId="0" pivotButton="0" quotePrefix="0" xfId="0"/>
    <xf numFmtId="165" fontId="0" fillId="0" borderId="0" pivotButton="0" quotePrefix="0" xfId="0"/>
    <xf numFmtId="10" fontId="0"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10" customWidth="1" min="1" max="1"/>
  </cols>
  <sheetData>
    <row r="1">
      <c r="A1" s="1" t="inlineStr">
        <is>
          <t>TALAAT MOUSTAFA GROUP HOLDING — valuation workbook</t>
        </is>
      </c>
    </row>
    <row r="2">
      <c r="A2" s="1" t="inlineStr">
        <is>
          <t>Egyptian Exchange · TMGH · Egyptian pounds · 2026-09-01</t>
        </is>
      </c>
    </row>
    <row r="3">
      <c r="A3" s="2" t="inlineStr"/>
    </row>
    <row r="4">
      <c r="A4" s="2" t="inlineStr">
        <is>
          <t>BLUE cells are inputs. BLACK cells are formulas. Change a blue cell and the value per share on the Summary sheet recomputes.</t>
        </is>
      </c>
    </row>
    <row r="5">
      <c r="A5" s="2" t="inlineStr"/>
    </row>
    <row r="6">
      <c r="A6" s="2" t="inlineStr">
        <is>
          <t>This workbook contains no recommendation, no target price and no rating.</t>
        </is>
      </c>
    </row>
    <row r="7">
      <c r="A7" s="2" t="inlineStr"/>
    </row>
    <row r="8">
      <c r="A8" s="2" t="inlineStr">
        <is>
          <t>The four cases on the Summary sheet are alternatives, not a distribution. They are two ways of measuring Egypt's equity risk premium crossed with two readings of how fast the order book converts. They are never averaged.</t>
        </is>
      </c>
    </row>
    <row r="9">
      <c r="A9" s="2" t="inlineStr"/>
    </row>
    <row r="10">
      <c r="A10" s="2" t="inlineStr">
        <is>
          <t>Sheet order: READ FIRST · Summary · Fundamental Valuation · Assumptions · SOTP Bridge · Segments · Relative &amp; Normalized · DCF · Income Statement · Balance Sheet · Cash Flow · Summary Financials · Monte Carlo · 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46" customWidth="1" min="1" max="1"/>
    <col width="18" customWidth="1" min="2" max="2"/>
    <col width="60" customWidth="1" min="3" max="3"/>
  </cols>
  <sheetData>
    <row r="1">
      <c r="A1" s="3" t="inlineStr">
        <is>
          <t>Summary</t>
        </is>
      </c>
      <c r="B1" s="3" t="inlineStr">
        <is>
          <t>Value</t>
        </is>
      </c>
      <c r="C1" s="3" t="inlineStr">
        <is>
          <t>Note</t>
        </is>
      </c>
    </row>
    <row r="2">
      <c r="A2" s="4" t="inlineStr">
        <is>
          <t>Last close, EGP</t>
        </is>
      </c>
      <c r="B2" s="5" t="n">
        <v>97.8</v>
      </c>
      <c r="C2" s="6" t="inlineStr">
        <is>
          <t>Egyptian Exchange close, 23 August 2026, from the same cleaned price history the probability distribution is fitted to</t>
        </is>
      </c>
    </row>
    <row r="3">
      <c r="A3" s="4" t="inlineStr">
        <is>
          <t>Shares in issue, million</t>
        </is>
      </c>
      <c r="B3" s="5" t="n">
        <v>2060.6538</v>
      </c>
    </row>
    <row r="4">
      <c r="A4" s="4" t="inlineStr">
        <is>
          <t>Market capitalisation, EGP mn</t>
        </is>
      </c>
      <c r="B4" s="7">
        <f>B2*B3</f>
        <v/>
      </c>
    </row>
    <row r="6">
      <c r="A6" s="3" t="inlineStr">
        <is>
          <t>Case</t>
        </is>
      </c>
      <c r="B6" s="3" t="inlineStr">
        <is>
          <t>Enterprise value</t>
        </is>
      </c>
      <c r="C6" s="3" t="inlineStr">
        <is>
          <t>Equity value</t>
        </is>
      </c>
      <c r="D6" s="3" t="inlineStr">
        <is>
          <t>Per share, minority at book</t>
        </is>
      </c>
      <c r="E6" s="3" t="inlineStr">
        <is>
          <t>Per share, minority proportional</t>
        </is>
      </c>
      <c r="F6" s="3" t="inlineStr">
        <is>
          <t>Against last close</t>
        </is>
      </c>
    </row>
    <row r="7">
      <c r="A7" s="4" t="inlineStr">
        <is>
          <t>Rating premium, slower conversion</t>
        </is>
      </c>
      <c r="B7" s="8" t="n">
        <v>78902.72859820566</v>
      </c>
      <c r="C7" s="8" t="n">
        <v>90543.82859820565</v>
      </c>
      <c r="D7" s="9">
        <f>C7/$B$3</f>
        <v/>
      </c>
      <c r="E7" s="9" t="n">
        <v>44.18664184956641</v>
      </c>
      <c r="F7" s="10">
        <f>D7/$B$2-1</f>
        <v/>
      </c>
    </row>
    <row r="8">
      <c r="A8" s="4" t="inlineStr">
        <is>
          <t>Rating premium, faster conversion</t>
        </is>
      </c>
      <c r="B8" s="8" t="n">
        <v>99795.05149032849</v>
      </c>
      <c r="C8" s="8" t="n">
        <v>111436.1514903285</v>
      </c>
      <c r="D8" s="9">
        <f>C8/$B$3</f>
        <v/>
      </c>
      <c r="E8" s="9" t="n">
        <v>49.74127672288594</v>
      </c>
      <c r="F8" s="10">
        <f>D8/$B$2-1</f>
        <v/>
      </c>
    </row>
    <row r="9">
      <c r="A9" s="4" t="inlineStr">
        <is>
          <t>Swap premium, slower conversion</t>
        </is>
      </c>
      <c r="B9" s="8" t="n">
        <v>100442.1462520464</v>
      </c>
      <c r="C9" s="8" t="n">
        <v>112083.2462520464</v>
      </c>
      <c r="D9" s="9">
        <f>C9/$B$3</f>
        <v/>
      </c>
      <c r="E9" s="9" t="n">
        <v>49.91331958994005</v>
      </c>
      <c r="F9" s="10">
        <f>D9/$B$2-1</f>
        <v/>
      </c>
    </row>
    <row r="10">
      <c r="A10" s="4" t="inlineStr">
        <is>
          <t>Swap premium, faster conversion</t>
        </is>
      </c>
      <c r="B10" s="8" t="n">
        <v>132506.2759098136</v>
      </c>
      <c r="C10" s="8" t="n">
        <v>144147.3759098136</v>
      </c>
      <c r="D10" s="9">
        <f>C10/$B$3</f>
        <v/>
      </c>
      <c r="E10" s="9" t="n">
        <v>58.43819897742189</v>
      </c>
      <c r="F10" s="10">
        <f>D10/$B$2-1</f>
        <v/>
      </c>
    </row>
    <row r="12">
      <c r="A12" s="11" t="inlineStr">
        <is>
          <t>Lowest published case, EGP/share</t>
        </is>
      </c>
      <c r="B12" s="12">
        <f>MIN(D7:E10)</f>
        <v/>
      </c>
    </row>
    <row r="13">
      <c r="A13" s="11" t="inlineStr">
        <is>
          <t>Highest published case, EGP/share</t>
        </is>
      </c>
      <c r="B13" s="12">
        <f>MAX(D7:E10)</f>
        <v/>
      </c>
    </row>
    <row r="15">
      <c r="A15" s="4" t="inlineStr">
        <is>
          <t>Discount rate the last close implies, slower conversion</t>
        </is>
      </c>
      <c r="B15" s="13" t="n">
        <v>0.2652836941995044</v>
      </c>
    </row>
    <row r="16">
      <c r="A16" s="4" t="inlineStr">
        <is>
          <t>Discount rate the last close implies, faster conversion</t>
        </is>
      </c>
      <c r="B16" s="13" t="n">
        <v>0.2907215393505239</v>
      </c>
    </row>
    <row r="17">
      <c r="A17" s="4" t="inlineStr">
        <is>
          <t>Discount rate this workbook uses</t>
        </is>
      </c>
      <c r="B17" s="13" t="n">
        <v>0.3579340986813324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showGridLines="0" workbookViewId="0">
      <selection activeCell="A1" sqref="A1"/>
    </sheetView>
  </sheetViews>
  <sheetFormatPr baseColWidth="8" defaultRowHeight="15"/>
  <cols>
    <col width="38" customWidth="1" min="1" max="1"/>
    <col width="16" customWidth="1" min="2" max="2"/>
    <col width="16" customWidth="1" min="3" max="3"/>
    <col width="74" customWidth="1" min="4" max="4"/>
  </cols>
  <sheetData>
    <row r="1">
      <c r="A1" s="3" t="inlineStr">
        <is>
          <t>Lens</t>
        </is>
      </c>
      <c r="B1" s="3" t="inlineStr">
        <is>
          <t>Low, EGP/share</t>
        </is>
      </c>
      <c r="C1" s="3" t="inlineStr">
        <is>
          <t>High, EGP/share</t>
        </is>
      </c>
      <c r="D1" s="3" t="inlineStr">
        <is>
          <t>What it measures</t>
        </is>
      </c>
    </row>
    <row r="2">
      <c r="A2" s="4" t="inlineStr">
        <is>
          <t>Cash flow, sum of the parts</t>
        </is>
      </c>
      <c r="B2" s="9" t="n">
        <v>43.93936943614966</v>
      </c>
      <c r="C2" s="9" t="n">
        <v>69.95225297418403</v>
      </c>
      <c r="D2" s="4" t="inlineStr">
        <is>
          <t>the order book, hotels and recurring businesses, discounted</t>
        </is>
      </c>
    </row>
    <row r="3">
      <c r="A3" s="4" t="inlineStr">
        <is>
          <t>Book value and sustainable return</t>
        </is>
      </c>
      <c r="B3" s="9" t="n">
        <v>3.326271266868016</v>
      </c>
      <c r="C3" s="9" t="n">
        <v>12.63251646941587</v>
      </c>
      <c r="D3" s="4" t="inlineStr">
        <is>
          <t>return on equity of 16.7% against a cost of equity of 37.1%</t>
        </is>
      </c>
    </row>
    <row r="4">
      <c r="A4" s="4" t="inlineStr">
        <is>
          <t>Normalised earnings power</t>
        </is>
      </c>
      <c r="B4" s="9" t="n">
        <v>15.44112968405148</v>
      </c>
      <c r="C4" s="9" t="n">
        <v>23.76576967997966</v>
      </c>
      <c r="D4" s="4" t="inlineStr">
        <is>
          <t>three years of profit with revaluation gains removed, capitalised</t>
        </is>
      </c>
    </row>
    <row r="5">
      <c r="A5" s="4" t="inlineStr">
        <is>
          <t>Its own history of multiples</t>
        </is>
      </c>
      <c r="B5" s="9" t="n">
        <v>34.0400107870742</v>
      </c>
      <c r="C5" s="9" t="n">
        <v>57.99913627950852</v>
      </c>
      <c r="D5" s="4" t="inlineStr">
        <is>
          <t>the multiples these shares have actually carried, on normalised earnings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46" customWidth="1" min="1" max="1"/>
    <col width="16" customWidth="1" min="2" max="2"/>
    <col width="74" customWidth="1" min="3" max="3"/>
  </cols>
  <sheetData>
    <row r="1">
      <c r="A1" s="3" t="inlineStr">
        <is>
          <t>Assumption</t>
        </is>
      </c>
      <c r="B1" s="3" t="inlineStr">
        <is>
          <t>Value</t>
        </is>
      </c>
      <c r="C1" s="3" t="inlineStr">
        <is>
          <t>Where it comes from</t>
        </is>
      </c>
    </row>
    <row r="2">
      <c r="A2" s="4" t="inlineStr">
        <is>
          <t>Development gross margin, first half 2026</t>
        </is>
      </c>
      <c r="B2" s="14" t="n">
        <v>0.2657892875665991</v>
      </c>
      <c r="C2" s="6" t="inlineStr">
        <is>
          <t>an output of the disclosed cost line, not an input</t>
        </is>
      </c>
    </row>
    <row r="3">
      <c r="A3" s="4" t="inlineStr">
        <is>
          <t>Hospitality gross margin, first half 2026</t>
        </is>
      </c>
      <c r="B3" s="14" t="n">
        <v>0.4537129470643826</v>
      </c>
      <c r="C3" s="6" t="inlineStr">
        <is>
          <t>an output of the disclosed cost line</t>
        </is>
      </c>
    </row>
    <row r="4">
      <c r="A4" s="4" t="inlineStr">
        <is>
          <t>Other recurring gross margin, first half 2026</t>
        </is>
      </c>
      <c r="B4" s="14" t="n">
        <v>0.3191057266408726</v>
      </c>
      <c r="C4" s="6" t="inlineStr">
        <is>
          <t>an output of the disclosed cost line</t>
        </is>
      </c>
    </row>
    <row r="5">
      <c r="A5" s="4" t="inlineStr">
        <is>
          <t>Overhead as a share of revenue, 2025</t>
        </is>
      </c>
      <c r="B5" s="15" t="n">
        <v>0.06751089285399976</v>
      </c>
      <c r="C5" s="6" t="inlineStr">
        <is>
          <t>general and administrative, marketing and government charges over revenue</t>
        </is>
      </c>
    </row>
    <row r="6">
      <c r="A6" s="4" t="inlineStr">
        <is>
          <t>Collections on the order book, a year</t>
        </is>
      </c>
      <c r="B6" s="15" t="n">
        <v>0.07569729360927907</v>
      </c>
      <c r="C6" s="6" t="inlineStr">
        <is>
          <t>from the movement in customer advances in the first half of 2026</t>
        </is>
      </c>
    </row>
    <row r="7">
      <c r="A7" s="4" t="inlineStr">
        <is>
          <t>Work in progress, years of cost</t>
        </is>
      </c>
      <c r="B7" s="5" t="n">
        <v>4</v>
      </c>
      <c r="C7" s="6" t="inlineStr">
        <is>
          <t>the company's own position at 30 June 2026</t>
        </is>
      </c>
    </row>
    <row r="8">
      <c r="A8" s="4" t="inlineStr">
        <is>
          <t>Marginal borrowing rate</t>
        </is>
      </c>
      <c r="B8" s="15" t="n">
        <v>0.255</v>
      </c>
      <c r="C8" s="6" t="inlineStr">
        <is>
          <t>sovereign yield plus a 250 basis-point corporate spread; TMG does not disclose its own facility pricing</t>
        </is>
      </c>
    </row>
    <row r="9">
      <c r="A9" s="4" t="inlineStr">
        <is>
          <t>Hospitality revenue growth</t>
        </is>
      </c>
      <c r="B9" s="14" t="n">
        <v>0.2</v>
      </c>
      <c r="C9" s="6" t="inlineStr">
        <is>
          <t>stated</t>
        </is>
      </c>
    </row>
    <row r="10">
      <c r="A10" s="4" t="inlineStr">
        <is>
          <t>Other recurring revenue growth</t>
        </is>
      </c>
      <c r="B10" s="14" t="n">
        <v>0.22</v>
      </c>
      <c r="C10" s="6" t="inlineStr">
        <is>
          <t>stated</t>
        </is>
      </c>
    </row>
    <row r="11">
      <c r="A11" s="4" t="inlineStr">
        <is>
          <t>Order book converts over, years — slower</t>
        </is>
      </c>
      <c r="B11" s="16" t="n">
        <v>14</v>
      </c>
      <c r="C11" s="6" t="inlineStr">
        <is>
          <t>the crux, read one way</t>
        </is>
      </c>
    </row>
    <row r="12">
      <c r="A12" s="4" t="inlineStr">
        <is>
          <t>Order book converts over, years — faster</t>
        </is>
      </c>
      <c r="B12" s="16" t="n">
        <v>10</v>
      </c>
      <c r="C12" s="6" t="inlineStr">
        <is>
          <t>the crux, read the other way</t>
        </is>
      </c>
    </row>
    <row r="13">
      <c r="A13" s="4" t="inlineStr">
        <is>
          <t>Annual contracted sales, EGP mn</t>
        </is>
      </c>
      <c r="B13" s="16" t="n">
        <v>382200</v>
      </c>
      <c r="C13" s="6" t="inlineStr">
        <is>
          <t>FY2025 as reported, held flat in nominal terms</t>
        </is>
      </c>
    </row>
    <row r="14">
      <c r="A14" s="4" t="inlineStr">
        <is>
          <t>Share of contracted sales that enters the order book</t>
        </is>
      </c>
      <c r="B14" s="5" t="n">
        <v>0.481</v>
      </c>
      <c r="C14" s="6" t="inlineStr">
        <is>
          <t>measured on the company's own two disclosed series; FY2025 was 48.1%</t>
        </is>
      </c>
    </row>
    <row r="15">
      <c r="A15" s="4" t="inlineStr">
        <is>
          <t>Long-run growth</t>
        </is>
      </c>
      <c r="B15" s="14" t="n">
        <v>0.2</v>
      </c>
      <c r="C15" s="6" t="inlineStr">
        <is>
          <t>below Egypt's own nominal growth</t>
        </is>
      </c>
    </row>
    <row r="16">
      <c r="A16" s="4" t="inlineStr">
        <is>
          <t>Tax rate</t>
        </is>
      </c>
      <c r="B16" s="14" t="n">
        <v>0.225</v>
      </c>
      <c r="C16" s="6" t="inlineStr">
        <is>
          <t>Egypt's statutory corporate rate</t>
        </is>
      </c>
    </row>
    <row r="17">
      <c r="A17" s="4" t="inlineStr">
        <is>
          <t>Dividend payout</t>
        </is>
      </c>
      <c r="B17" s="14" t="n">
        <v>0.3</v>
      </c>
      <c r="C17" s="6" t="inlineStr">
        <is>
          <t>the company's recent behaviour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52" customWidth="1" min="1" max="1"/>
    <col width="18" customWidth="1" min="2" max="2"/>
  </cols>
  <sheetData>
    <row r="1">
      <c r="A1" s="3" t="inlineStr">
        <is>
          <t>Bridge, slower-conversion case</t>
        </is>
      </c>
      <c r="B1" s="3" t="inlineStr">
        <is>
          <t>EGP mn</t>
        </is>
      </c>
    </row>
    <row r="2">
      <c r="A2" s="4" t="inlineStr">
        <is>
          <t>Present value of the explicit ten years</t>
        </is>
      </c>
      <c r="B2" s="7" t="n">
        <v>72255.83250671037</v>
      </c>
    </row>
    <row r="3">
      <c r="A3" s="4" t="inlineStr">
        <is>
          <t>Present value of the order book beyond it</t>
        </is>
      </c>
      <c r="B3" s="7" t="n">
        <v>0</v>
      </c>
    </row>
    <row r="4">
      <c r="A4" s="4" t="inlineStr">
        <is>
          <t>Present value of the recurring businesses beyond it</t>
        </is>
      </c>
      <c r="B4" s="7" t="n">
        <v>6646.896091495293</v>
      </c>
    </row>
    <row r="5">
      <c r="A5" s="11" t="inlineStr">
        <is>
          <t>Enterprise value</t>
        </is>
      </c>
      <c r="B5" s="17">
        <f>SUM(B2:B4)</f>
        <v/>
      </c>
    </row>
    <row r="6">
      <c r="A6" s="4" t="inlineStr">
        <is>
          <t>Cash, deposits and amortised-cost assets</t>
        </is>
      </c>
      <c r="B6" s="7" t="n">
        <v>75773.39999999999</v>
      </c>
    </row>
    <row r="7">
      <c r="A7" s="4" t="inlineStr">
        <is>
          <t>Borrowings</t>
        </is>
      </c>
      <c r="B7" s="7" t="n">
        <v>-16493</v>
      </c>
    </row>
    <row r="8">
      <c r="A8" s="4" t="inlineStr">
        <is>
          <t>Lease liabilities</t>
        </is>
      </c>
      <c r="B8" s="7" t="n">
        <v>-513.9</v>
      </c>
    </row>
    <row r="9">
      <c r="A9" s="4" t="inlineStr">
        <is>
          <t>Investment property</t>
        </is>
      </c>
      <c r="B9" s="7" t="n">
        <v>25228</v>
      </c>
    </row>
    <row r="10">
      <c r="A10" s="4" t="inlineStr">
        <is>
          <t>Associates and other financial assets</t>
        </is>
      </c>
      <c r="B10" s="7" t="n">
        <v>3299.4</v>
      </c>
    </row>
    <row r="11">
      <c r="A11" s="11" t="inlineStr">
        <is>
          <t>Value of the whole group's equity</t>
        </is>
      </c>
      <c r="B11" s="17">
        <f>B5+SUM(B6:B10)</f>
        <v/>
      </c>
    </row>
    <row r="12">
      <c r="A12" s="4" t="inlineStr">
        <is>
          <t>Non-controlling interests, at book</t>
        </is>
      </c>
      <c r="B12" s="7" t="n">
        <v>-75652.8</v>
      </c>
    </row>
    <row r="13">
      <c r="A13" s="11" t="inlineStr">
        <is>
          <t>Equity attributable to TMG's shareholders</t>
        </is>
      </c>
      <c r="B13" s="17">
        <f>B11+B12</f>
        <v/>
      </c>
    </row>
    <row r="14">
      <c r="A14" s="4" t="inlineStr">
        <is>
          <t>Shares in issue, million</t>
        </is>
      </c>
      <c r="B14" s="18" t="n">
        <v>2060.6538</v>
      </c>
    </row>
    <row r="15">
      <c r="A15" s="11" t="inlineStr">
        <is>
          <t>Value per share, EGP</t>
        </is>
      </c>
      <c r="B15" s="12">
        <f>B13/B14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showGridLines="0" workbookViewId="0">
      <selection activeCell="A1" sqref="A1"/>
    </sheetView>
  </sheetViews>
  <sheetFormatPr baseColWidth="8" defaultRowHeight="15"/>
  <cols>
    <col width="26" customWidth="1" min="1" max="1"/>
    <col width="15" customWidth="1" min="2" max="2"/>
    <col width="15" customWidth="1" min="3" max="3"/>
    <col width="15" customWidth="1" min="4" max="4"/>
    <col width="13" customWidth="1" min="5" max="5"/>
    <col width="15" customWidth="1" min="6" max="6"/>
    <col width="15" customWidth="1" min="7" max="7"/>
    <col width="13" customWidth="1" min="8" max="8"/>
  </cols>
  <sheetData>
    <row r="1">
      <c r="A1" s="3" t="inlineStr">
        <is>
          <t>Segment</t>
        </is>
      </c>
      <c r="B1" s="3" t="inlineStr">
        <is>
          <t>FY2025 revenue</t>
        </is>
      </c>
      <c r="C1" s="3" t="inlineStr">
        <is>
          <t>FY2025 cost</t>
        </is>
      </c>
      <c r="D1" s="3" t="inlineStr">
        <is>
          <t>Gross profit</t>
        </is>
      </c>
      <c r="E1" s="3" t="inlineStr">
        <is>
          <t>Gross margin</t>
        </is>
      </c>
      <c r="F1" s="3" t="inlineStr">
        <is>
          <t>1H2026 revenue</t>
        </is>
      </c>
      <c r="G1" s="3" t="inlineStr">
        <is>
          <t>1H2026 cost</t>
        </is>
      </c>
      <c r="H1" s="3" t="inlineStr">
        <is>
          <t>1H2026 margin</t>
        </is>
      </c>
    </row>
    <row r="2">
      <c r="A2" s="4" t="inlineStr">
        <is>
          <t>Real-estate development</t>
        </is>
      </c>
      <c r="B2" s="8" t="n">
        <v>36705.7</v>
      </c>
      <c r="C2" s="8" t="n">
        <v>26645.4</v>
      </c>
      <c r="D2" s="8">
        <f>B2-C2</f>
        <v/>
      </c>
      <c r="E2" s="10">
        <f>D2/B2</f>
        <v/>
      </c>
      <c r="F2" s="8" t="n">
        <v>16967.2</v>
      </c>
      <c r="G2" s="8" t="n">
        <v>12457.5</v>
      </c>
      <c r="H2" s="10">
        <f>(F2-G2)/F2</f>
        <v/>
      </c>
    </row>
    <row r="3">
      <c r="A3" s="4" t="inlineStr">
        <is>
          <t>Hospitality</t>
        </is>
      </c>
      <c r="B3" s="8" t="n">
        <v>14889.7</v>
      </c>
      <c r="C3" s="8" t="n">
        <v>7800.6</v>
      </c>
      <c r="D3" s="8">
        <f>B3-C3</f>
        <v/>
      </c>
      <c r="E3" s="10">
        <f>D3/B3</f>
        <v/>
      </c>
      <c r="F3" s="8" t="n">
        <v>7512.9</v>
      </c>
      <c r="G3" s="8" t="n">
        <v>4104.2</v>
      </c>
      <c r="H3" s="10">
        <f>(F3-G3)/F3</f>
        <v/>
      </c>
    </row>
    <row r="4">
      <c r="A4" s="4" t="inlineStr">
        <is>
          <t>Other recurring income</t>
        </is>
      </c>
      <c r="B4" s="8" t="n">
        <v>10899.7</v>
      </c>
      <c r="C4" s="8" t="n">
        <v>7193.7</v>
      </c>
      <c r="D4" s="8">
        <f>B4-C4</f>
        <v/>
      </c>
      <c r="E4" s="10">
        <f>D4/B4</f>
        <v/>
      </c>
      <c r="F4" s="8" t="n">
        <v>5711.9</v>
      </c>
      <c r="G4" s="8" t="n">
        <v>3889.2</v>
      </c>
      <c r="H4" s="10">
        <f>(F4-G4)/F4</f>
        <v/>
      </c>
    </row>
    <row r="5">
      <c r="A5" s="11" t="inlineStr">
        <is>
          <t>Total</t>
        </is>
      </c>
      <c r="B5" s="8">
        <f>SUM(B2:B4)</f>
        <v/>
      </c>
      <c r="C5" s="8">
        <f>SUM(C2:C4)</f>
        <v/>
      </c>
      <c r="D5" s="8">
        <f>SUM(D2:D4)</f>
        <v/>
      </c>
      <c r="E5" s="10">
        <f>D5/B5</f>
        <v/>
      </c>
      <c r="F5" s="8">
        <f>SUM(F2:F4)</f>
        <v/>
      </c>
      <c r="G5" s="8">
        <f>SUM(G2:G4)</f>
        <v/>
      </c>
      <c r="H5" s="10">
        <f>(F5-G5)/F5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14" customWidth="1" min="1" max="1"/>
    <col width="14" customWidth="1" min="2" max="2"/>
    <col width="18" customWidth="1" min="3" max="3"/>
    <col width="16" customWidth="1" min="4" max="4"/>
    <col width="20" customWidth="1" min="5" max="5"/>
    <col width="14" customWidth="1" min="6" max="6"/>
  </cols>
  <sheetData>
    <row r="1">
      <c r="A1" s="3" t="inlineStr">
        <is>
          <t>Year end</t>
        </is>
      </c>
      <c r="B1" s="3" t="inlineStr">
        <is>
          <t>Close, EGP</t>
        </is>
      </c>
      <c r="C1" s="3" t="inlineStr">
        <is>
          <t>Earnings per share</t>
        </is>
      </c>
      <c r="D1" s="3" t="inlineStr">
        <is>
          <t>Price to earnings</t>
        </is>
      </c>
      <c r="E1" s="3" t="inlineStr">
        <is>
          <t>Book value per share</t>
        </is>
      </c>
      <c r="F1" s="3" t="inlineStr">
        <is>
          <t>Price to book</t>
        </is>
      </c>
    </row>
    <row r="2">
      <c r="A2" s="4" t="n">
        <v>2011</v>
      </c>
      <c r="B2" s="9" t="n">
        <v>2.96</v>
      </c>
    </row>
    <row r="3">
      <c r="A3" s="4" t="n">
        <v>2012</v>
      </c>
      <c r="B3" s="9" t="n">
        <v>4.43</v>
      </c>
    </row>
    <row r="4">
      <c r="A4" s="4" t="n">
        <v>2013</v>
      </c>
      <c r="B4" s="9" t="n">
        <v>6.18</v>
      </c>
    </row>
    <row r="5">
      <c r="A5" s="4" t="n">
        <v>2014</v>
      </c>
      <c r="B5" s="9" t="n">
        <v>9.859999999999999</v>
      </c>
    </row>
    <row r="6">
      <c r="A6" s="4" t="n">
        <v>2015</v>
      </c>
      <c r="B6" s="9" t="n">
        <v>6.47</v>
      </c>
    </row>
    <row r="7">
      <c r="A7" s="4" t="n">
        <v>2016</v>
      </c>
      <c r="B7" s="9" t="n">
        <v>9.130000000000001</v>
      </c>
    </row>
    <row r="8">
      <c r="A8" s="4" t="n">
        <v>2017</v>
      </c>
      <c r="B8" s="9" t="n">
        <v>9.800000000000001</v>
      </c>
      <c r="C8" s="9" t="n">
        <v>0.6438733182643295</v>
      </c>
      <c r="D8" s="9">
        <f>B8/C8</f>
        <v/>
      </c>
    </row>
    <row r="9">
      <c r="A9" s="4" t="n">
        <v>2018</v>
      </c>
      <c r="B9" s="9" t="n">
        <v>9.890000000000001</v>
      </c>
      <c r="C9" s="9" t="n">
        <v>0.8273102449329431</v>
      </c>
      <c r="D9" s="9">
        <f>B9/C9</f>
        <v/>
      </c>
    </row>
    <row r="10">
      <c r="A10" s="4" t="n">
        <v>2019</v>
      </c>
      <c r="B10" s="9" t="n">
        <v>8.17</v>
      </c>
      <c r="C10" s="9" t="n">
        <v>0.9085465981719006</v>
      </c>
      <c r="D10" s="9">
        <f>B10/C10</f>
        <v/>
      </c>
    </row>
    <row r="11">
      <c r="A11" s="4" t="n">
        <v>2020</v>
      </c>
      <c r="B11" s="9" t="n">
        <v>6.57</v>
      </c>
    </row>
    <row r="12">
      <c r="A12" s="4" t="n">
        <v>2021</v>
      </c>
      <c r="B12" s="9" t="n">
        <v>9.07</v>
      </c>
      <c r="C12" s="9" t="n">
        <v>0.8549228405081921</v>
      </c>
      <c r="D12" s="9">
        <f>B12/C12</f>
        <v/>
      </c>
    </row>
    <row r="13">
      <c r="A13" s="4" t="n">
        <v>2022</v>
      </c>
      <c r="B13" s="9" t="n">
        <v>9.99</v>
      </c>
      <c r="C13" s="9" t="n">
        <v>1.118334384941323</v>
      </c>
      <c r="D13" s="9">
        <f>B13/C13</f>
        <v/>
      </c>
    </row>
    <row r="14">
      <c r="A14" s="4" t="n">
        <v>2023</v>
      </c>
      <c r="B14" s="9" t="n">
        <v>24.15</v>
      </c>
      <c r="C14" s="9" t="n">
        <v>1.607907500037124</v>
      </c>
      <c r="D14" s="9">
        <f>B14/C14</f>
        <v/>
      </c>
      <c r="E14" s="9" t="n">
        <v>18.61002226574886</v>
      </c>
      <c r="F14" s="9">
        <f>B14/E14</f>
        <v/>
      </c>
    </row>
    <row r="15">
      <c r="A15" s="4" t="n">
        <v>2024</v>
      </c>
      <c r="B15" s="9" t="n">
        <v>56</v>
      </c>
      <c r="C15" s="9" t="n">
        <v>5.203736794603732</v>
      </c>
      <c r="D15" s="9">
        <f>B15/C15</f>
        <v/>
      </c>
    </row>
    <row r="16">
      <c r="A16" s="4" t="n">
        <v>2025</v>
      </c>
      <c r="B16" s="9" t="n">
        <v>80</v>
      </c>
      <c r="C16" s="9" t="n">
        <v>6.980255635371647</v>
      </c>
      <c r="D16" s="9">
        <f>B16/C16</f>
        <v/>
      </c>
      <c r="E16" s="9" t="n">
        <v>39.33100067561082</v>
      </c>
      <c r="F16" s="9">
        <f>B16/E16</f>
        <v/>
      </c>
    </row>
    <row r="18">
      <c r="A18" s="3" t="inlineStr">
        <is>
          <t>Normalised earnings</t>
        </is>
      </c>
      <c r="B18" s="3" t="inlineStr">
        <is>
          <t>EGP mn</t>
        </is>
      </c>
    </row>
    <row r="19">
      <c r="A19" s="4" t="inlineStr">
        <is>
          <t>Attributable profit 2023, cleaned</t>
        </is>
      </c>
      <c r="B19" s="7" t="n">
        <v>3313.3</v>
      </c>
    </row>
    <row r="20">
      <c r="A20" s="4" t="inlineStr">
        <is>
          <t>Attributable profit 2024, cleaned</t>
        </is>
      </c>
      <c r="B20" s="7" t="n">
        <v>8025.356308853025</v>
      </c>
    </row>
    <row r="21">
      <c r="A21" s="4" t="inlineStr">
        <is>
          <t>Attributable profit 2025, cleaned</t>
        </is>
      </c>
      <c r="B21" s="7" t="n">
        <v>12218.46226736695</v>
      </c>
    </row>
    <row r="22">
      <c r="A22" s="11" t="inlineStr">
        <is>
          <t>Average</t>
        </is>
      </c>
      <c r="B22" s="17" t="n">
        <v>7852.372858739989</v>
      </c>
    </row>
    <row r="23">
      <c r="A23" s="11" t="inlineStr">
        <is>
          <t>Average per share, EGP</t>
        </is>
      </c>
      <c r="B23" s="12">
        <f>B22/'Summary'!$B$3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5"/>
  <sheetViews>
    <sheetView showGridLines="0"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s>
  <sheetData>
    <row r="1">
      <c r="A1" s="3" t="inlineStr">
        <is>
          <t>Discounted cash flow, slower conversion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c r="L1" s="3" t="inlineStr">
        <is>
          <t>2036</t>
        </is>
      </c>
      <c r="M1" s="3" t="inlineStr">
        <is>
          <t>2037</t>
        </is>
      </c>
      <c r="N1" s="3" t="inlineStr">
        <is>
          <t>2038</t>
        </is>
      </c>
      <c r="O1" s="3" t="inlineStr">
        <is>
          <t>2039</t>
        </is>
      </c>
      <c r="P1" s="3" t="inlineStr">
        <is>
          <t>2040</t>
        </is>
      </c>
      <c r="Q1" s="3" t="inlineStr">
        <is>
          <t>2041</t>
        </is>
      </c>
      <c r="R1" s="3" t="inlineStr">
        <is>
          <t>2042</t>
        </is>
      </c>
      <c r="S1" s="3" t="inlineStr">
        <is>
          <t>2043</t>
        </is>
      </c>
      <c r="T1" s="3" t="inlineStr">
        <is>
          <t>2044</t>
        </is>
      </c>
      <c r="U1" s="3" t="inlineStr">
        <is>
          <t>2045</t>
        </is>
      </c>
    </row>
    <row r="2">
      <c r="A2" s="4" t="inlineStr">
        <is>
          <t>Revenue</t>
        </is>
      </c>
      <c r="B2" s="8" t="n">
        <v>80502.49816</v>
      </c>
      <c r="C2" s="8" t="n">
        <v>96868.950472</v>
      </c>
      <c r="D2" s="8" t="n">
        <v>116567.202836</v>
      </c>
      <c r="E2" s="8" t="n">
        <v>140276.487372112</v>
      </c>
      <c r="F2" s="8" t="n">
        <v>168814.714488607</v>
      </c>
      <c r="G2" s="8" t="n">
        <v>203166.831549657</v>
      </c>
      <c r="H2" s="8" t="n">
        <v>244518.9903388493</v>
      </c>
      <c r="I2" s="8" t="n">
        <v>294299.7152313175</v>
      </c>
      <c r="J2" s="8" t="n">
        <v>354229.509003713</v>
      </c>
      <c r="K2" s="8" t="n">
        <v>426380.6286903365</v>
      </c>
      <c r="L2" s="8" t="n">
        <v>513249.1202491786</v>
      </c>
      <c r="M2" s="8" t="n">
        <v>617841.6306003595</v>
      </c>
      <c r="N2" s="8" t="n">
        <v>743780.0340080727</v>
      </c>
      <c r="O2" s="8" t="n">
        <v>895427.5351006094</v>
      </c>
      <c r="P2" s="8" t="n">
        <v>1078040.665155656</v>
      </c>
      <c r="Q2" s="8" t="n">
        <v>1297952.498289396</v>
      </c>
      <c r="R2" s="8" t="n">
        <v>1562793.512072458</v>
      </c>
      <c r="S2" s="8" t="n">
        <v>1881757.841719673</v>
      </c>
      <c r="T2" s="8" t="n">
        <v>2265924.275287529</v>
      </c>
      <c r="U2" s="8" t="n">
        <v>2728643.265918219</v>
      </c>
    </row>
    <row r="3">
      <c r="A3" s="4" t="inlineStr">
        <is>
          <t>Cost of revenue</t>
        </is>
      </c>
      <c r="B3" s="8" t="n">
        <v>55039.06173834017</v>
      </c>
      <c r="C3" s="8" t="n">
        <v>66227.95974280473</v>
      </c>
      <c r="D3" s="8" t="n">
        <v>79694.47619265741</v>
      </c>
      <c r="E3" s="8" t="n">
        <v>95902.89932276482</v>
      </c>
      <c r="F3" s="8" t="n">
        <v>115412.3032150404</v>
      </c>
      <c r="G3" s="8" t="n">
        <v>138895.9291718701</v>
      </c>
      <c r="H3" s="8" t="n">
        <v>167164.5366891065</v>
      </c>
      <c r="I3" s="8" t="n">
        <v>201194.5384800199</v>
      </c>
      <c r="J3" s="8" t="n">
        <v>242161.9014087962</v>
      </c>
      <c r="K3" s="8" t="n">
        <v>291482.9970745377</v>
      </c>
      <c r="L3" s="8" t="n">
        <v>350863.8292579035</v>
      </c>
      <c r="M3" s="8" t="n">
        <v>422359.3590870035</v>
      </c>
      <c r="N3" s="8" t="n">
        <v>508445.0029569776</v>
      </c>
      <c r="O3" s="8" t="n">
        <v>612102.8054525126</v>
      </c>
      <c r="P3" s="8" t="n">
        <v>736925.3048660655</v>
      </c>
      <c r="Q3" s="8" t="n">
        <v>887240.7305933998</v>
      </c>
      <c r="R3" s="8" t="n">
        <v>1068263.921712108</v>
      </c>
      <c r="S3" s="8" t="n">
        <v>1286278.260954564</v>
      </c>
      <c r="T3" s="8" t="n">
        <v>1548855.010123518</v>
      </c>
      <c r="U3" s="8" t="n">
        <v>1865117.750461433</v>
      </c>
    </row>
    <row r="4">
      <c r="A4" s="4" t="inlineStr">
        <is>
          <t>Gross profit</t>
        </is>
      </c>
      <c r="B4" s="8" t="n">
        <v>25463.43642165983</v>
      </c>
      <c r="C4" s="8" t="n">
        <v>30640.99072919527</v>
      </c>
      <c r="D4" s="8" t="n">
        <v>36872.72664334257</v>
      </c>
      <c r="E4" s="8" t="n">
        <v>44373.58804934718</v>
      </c>
      <c r="F4" s="8" t="n">
        <v>53402.4112735666</v>
      </c>
      <c r="G4" s="8" t="n">
        <v>64270.9023777869</v>
      </c>
      <c r="H4" s="8" t="n">
        <v>77354.45364974285</v>
      </c>
      <c r="I4" s="8" t="n">
        <v>93105.17675129764</v>
      </c>
      <c r="J4" s="8" t="n">
        <v>112067.6075949168</v>
      </c>
      <c r="K4" s="8" t="n">
        <v>134897.6316157989</v>
      </c>
      <c r="L4" s="8" t="n">
        <v>162385.2909912751</v>
      </c>
      <c r="M4" s="8" t="n">
        <v>195482.2715133561</v>
      </c>
      <c r="N4" s="8" t="n">
        <v>235335.0310510951</v>
      </c>
      <c r="O4" s="8" t="n">
        <v>283324.7296480968</v>
      </c>
      <c r="P4" s="8" t="n">
        <v>341115.3602895909</v>
      </c>
      <c r="Q4" s="8" t="n">
        <v>410711.7676959964</v>
      </c>
      <c r="R4" s="8" t="n">
        <v>494529.5903603502</v>
      </c>
      <c r="S4" s="8" t="n">
        <v>595479.580765109</v>
      </c>
      <c r="T4" s="8" t="n">
        <v>717069.2651640109</v>
      </c>
      <c r="U4" s="8" t="n">
        <v>863525.5154567866</v>
      </c>
    </row>
    <row r="5">
      <c r="A5" s="4" t="inlineStr">
        <is>
          <t>Overheads</t>
        </is>
      </c>
      <c r="B5" s="8" t="n">
        <v>5434.795527759074</v>
      </c>
      <c r="C5" s="8" t="n">
        <v>6539.709336194602</v>
      </c>
      <c r="D5" s="8" t="n">
        <v>7869.555940951652</v>
      </c>
      <c r="E5" s="8" t="n">
        <v>9470.190908914105</v>
      </c>
      <c r="F5" s="8" t="n">
        <v>11396.83210201891</v>
      </c>
      <c r="G5" s="8" t="n">
        <v>13715.97419623551</v>
      </c>
      <c r="H5" s="8" t="n">
        <v>16507.69535753426</v>
      </c>
      <c r="I5" s="8" t="n">
        <v>19868.43654194412</v>
      </c>
      <c r="J5" s="8" t="n">
        <v>23914.35042807461</v>
      </c>
      <c r="K5" s="8" t="n">
        <v>28785.33693853437</v>
      </c>
      <c r="L5" s="8" t="n">
        <v>34649.90636455193</v>
      </c>
      <c r="M5" s="8" t="n">
        <v>41711.04012420138</v>
      </c>
      <c r="N5" s="8" t="n">
        <v>50213.2541828633</v>
      </c>
      <c r="O5" s="8" t="n">
        <v>60451.11238069835</v>
      </c>
      <c r="P5" s="8" t="n">
        <v>72779.48783757816</v>
      </c>
      <c r="Q5" s="8" t="n">
        <v>87625.93204159674</v>
      </c>
      <c r="R5" s="8" t="n">
        <v>105505.5853464497</v>
      </c>
      <c r="S5" s="8" t="n">
        <v>127039.1520295107</v>
      </c>
      <c r="T5" s="8" t="n">
        <v>152974.5709642134</v>
      </c>
      <c r="U5" s="8" t="n">
        <v>184213.1431621929</v>
      </c>
    </row>
    <row r="6">
      <c r="A6" s="4" t="inlineStr">
        <is>
          <t>Depreciation</t>
        </is>
      </c>
      <c r="B6" s="8" t="n">
        <v>1142.6904</v>
      </c>
      <c r="C6" s="8" t="n">
        <v>1156.80214752</v>
      </c>
      <c r="D6" s="8" t="n">
        <v>1176.43701782016</v>
      </c>
      <c r="E6" s="8" t="n">
        <v>1202.695310780206</v>
      </c>
      <c r="F6" s="8" t="n">
        <v>1236.903616764587</v>
      </c>
      <c r="G6" s="8" t="n">
        <v>1280.661359248099</v>
      </c>
      <c r="H6" s="8" t="n">
        <v>1335.896929597144</v>
      </c>
      <c r="I6" s="8" t="n">
        <v>1404.93539482405</v>
      </c>
      <c r="J6" s="8" t="n">
        <v>1490.580169020502</v>
      </c>
      <c r="K6" s="8" t="n">
        <v>1596.211534062009</v>
      </c>
      <c r="L6" s="8" t="n">
        <v>1725.905492722191</v>
      </c>
      <c r="M6" s="8" t="n">
        <v>1884.577158886208</v>
      </c>
      <c r="N6" s="8" t="n">
        <v>2078.153760896239</v>
      </c>
      <c r="O6" s="8" t="n">
        <v>2313.78338636355</v>
      </c>
      <c r="P6" s="8" t="n">
        <v>2600.08686770451</v>
      </c>
      <c r="Q6" s="8" t="n">
        <v>2947.461742721607</v>
      </c>
      <c r="R6" s="8" t="n">
        <v>3368.449078773661</v>
      </c>
      <c r="S6" s="8" t="n">
        <v>3878.176188966121</v>
      </c>
      <c r="T6" s="8" t="n">
        <v>4494.890974735527</v>
      </c>
      <c r="U6" s="8" t="n">
        <v>5240.606898390583</v>
      </c>
    </row>
    <row r="7">
      <c r="A7" s="4" t="inlineStr">
        <is>
          <t>Operating profit</t>
        </is>
      </c>
      <c r="B7" s="8" t="n">
        <v>18885.95049390076</v>
      </c>
      <c r="C7" s="8" t="n">
        <v>22944.47924548067</v>
      </c>
      <c r="D7" s="8" t="n">
        <v>27826.73368457076</v>
      </c>
      <c r="E7" s="8" t="n">
        <v>33700.70182965287</v>
      </c>
      <c r="F7" s="8" t="n">
        <v>40768.6755547831</v>
      </c>
      <c r="G7" s="8" t="n">
        <v>49274.26682230329</v>
      </c>
      <c r="H7" s="8" t="n">
        <v>59510.86136261145</v>
      </c>
      <c r="I7" s="8" t="n">
        <v>71831.80481452947</v>
      </c>
      <c r="J7" s="8" t="n">
        <v>86662.67699782166</v>
      </c>
      <c r="K7" s="8" t="n">
        <v>104516.0831432025</v>
      </c>
      <c r="L7" s="8" t="n">
        <v>126009.479134001</v>
      </c>
      <c r="M7" s="8" t="n">
        <v>151886.6542302685</v>
      </c>
      <c r="N7" s="8" t="n">
        <v>183043.6231073356</v>
      </c>
      <c r="O7" s="8" t="n">
        <v>220559.8338810349</v>
      </c>
      <c r="P7" s="8" t="n">
        <v>265735.7855843082</v>
      </c>
      <c r="Q7" s="8" t="n">
        <v>320138.3739116781</v>
      </c>
      <c r="R7" s="8" t="n">
        <v>385655.5559351268</v>
      </c>
      <c r="S7" s="8" t="n">
        <v>464562.2525466323</v>
      </c>
      <c r="T7" s="8" t="n">
        <v>559599.803225062</v>
      </c>
      <c r="U7" s="8" t="n">
        <v>674071.7653962031</v>
      </c>
    </row>
    <row r="8">
      <c r="A8" s="4" t="inlineStr">
        <is>
          <t>Free cash flow to the firm</t>
        </is>
      </c>
      <c r="B8" s="8" t="n">
        <v>13543.19042080498</v>
      </c>
      <c r="C8" s="8" t="n">
        <v>15508.04708419782</v>
      </c>
      <c r="D8" s="8" t="n">
        <v>18059.73953053887</v>
      </c>
      <c r="E8" s="8" t="n">
        <v>21271.58178779941</v>
      </c>
      <c r="F8" s="8" t="n">
        <v>25243.50277877168</v>
      </c>
      <c r="G8" s="8" t="n">
        <v>30104.58819987562</v>
      </c>
      <c r="H8" s="8" t="n">
        <v>36016.87156902326</v>
      </c>
      <c r="I8" s="8" t="n">
        <v>43180.44909210024</v>
      </c>
      <c r="J8" s="8" t="n">
        <v>51840.05392669699</v>
      </c>
      <c r="K8" s="8" t="n">
        <v>62293.28752148946</v>
      </c>
      <c r="L8" s="8" t="n">
        <v>74900.77207470899</v>
      </c>
      <c r="M8" s="8" t="n">
        <v>90098.56180722793</v>
      </c>
      <c r="N8" s="8" t="n">
        <v>108413.2347975669</v>
      </c>
      <c r="O8" s="8" t="n">
        <v>130480.1849338095</v>
      </c>
      <c r="P8" s="8" t="n">
        <v>157065.7488520423</v>
      </c>
      <c r="Q8" s="8" t="n">
        <v>189093.9398557091</v>
      </c>
      <c r="R8" s="8" t="n">
        <v>227678.7247720213</v>
      </c>
      <c r="S8" s="8" t="n">
        <v>274162.9764436315</v>
      </c>
      <c r="T8" s="8" t="n">
        <v>330165.4711585112</v>
      </c>
      <c r="U8" s="8" t="n">
        <v>397637.5852708032</v>
      </c>
    </row>
    <row r="9">
      <c r="A9" s="4" t="inlineStr">
        <is>
          <t>Discount factor</t>
        </is>
      </c>
      <c r="B9" s="19">
        <f>1/(1+'Summary'!$B$14)^1</f>
        <v/>
      </c>
      <c r="C9" s="19">
        <f>1/(1+'Summary'!$B$14)^2</f>
        <v/>
      </c>
      <c r="D9" s="19">
        <f>1/(1+'Summary'!$B$14)^3</f>
        <v/>
      </c>
      <c r="E9" s="19">
        <f>1/(1+'Summary'!$B$14)^4</f>
        <v/>
      </c>
      <c r="F9" s="19">
        <f>1/(1+'Summary'!$B$14)^5</f>
        <v/>
      </c>
      <c r="G9" s="19">
        <f>1/(1+'Summary'!$B$14)^6</f>
        <v/>
      </c>
      <c r="H9" s="19">
        <f>1/(1+'Summary'!$B$14)^7</f>
        <v/>
      </c>
      <c r="I9" s="19">
        <f>1/(1+'Summary'!$B$14)^8</f>
        <v/>
      </c>
      <c r="J9" s="19">
        <f>1/(1+'Summary'!$B$14)^9</f>
        <v/>
      </c>
      <c r="K9" s="19">
        <f>1/(1+'Summary'!$B$14)^10</f>
        <v/>
      </c>
      <c r="L9" s="19">
        <f>1/(1+'Summary'!$B$14)^11</f>
        <v/>
      </c>
      <c r="M9" s="19">
        <f>1/(1+'Summary'!$B$14)^12</f>
        <v/>
      </c>
      <c r="N9" s="19">
        <f>1/(1+'Summary'!$B$14)^13</f>
        <v/>
      </c>
      <c r="O9" s="19">
        <f>1/(1+'Summary'!$B$14)^14</f>
        <v/>
      </c>
      <c r="P9" s="19">
        <f>1/(1+'Summary'!$B$14)^15</f>
        <v/>
      </c>
      <c r="Q9" s="19">
        <f>1/(1+'Summary'!$B$14)^16</f>
        <v/>
      </c>
      <c r="R9" s="19">
        <f>1/(1+'Summary'!$B$14)^17</f>
        <v/>
      </c>
      <c r="S9" s="19">
        <f>1/(1+'Summary'!$B$14)^18</f>
        <v/>
      </c>
      <c r="T9" s="19">
        <f>1/(1+'Summary'!$B$14)^19</f>
        <v/>
      </c>
      <c r="U9" s="19">
        <f>1/(1+'Summary'!$B$14)^20</f>
        <v/>
      </c>
    </row>
    <row r="10">
      <c r="A10" s="11" t="inlineStr">
        <is>
          <t>Present value</t>
        </is>
      </c>
      <c r="B10" s="8">
        <f>B8*B9</f>
        <v/>
      </c>
      <c r="C10" s="8">
        <f>C8*C9</f>
        <v/>
      </c>
      <c r="D10" s="8">
        <f>D8*D9</f>
        <v/>
      </c>
      <c r="E10" s="8">
        <f>E8*E9</f>
        <v/>
      </c>
      <c r="F10" s="8">
        <f>F8*F9</f>
        <v/>
      </c>
      <c r="G10" s="8">
        <f>G8*G9</f>
        <v/>
      </c>
      <c r="H10" s="8">
        <f>H8*H9</f>
        <v/>
      </c>
      <c r="I10" s="8">
        <f>I8*I9</f>
        <v/>
      </c>
      <c r="J10" s="8">
        <f>J8*J9</f>
        <v/>
      </c>
      <c r="K10" s="8">
        <f>K8*K9</f>
        <v/>
      </c>
      <c r="L10" s="8">
        <f>L8*L9</f>
        <v/>
      </c>
      <c r="M10" s="8">
        <f>M8*M9</f>
        <v/>
      </c>
      <c r="N10" s="8">
        <f>N8*N9</f>
        <v/>
      </c>
      <c r="O10" s="8">
        <f>O8*O9</f>
        <v/>
      </c>
      <c r="P10" s="8">
        <f>P8*P9</f>
        <v/>
      </c>
      <c r="Q10" s="8">
        <f>Q8*Q9</f>
        <v/>
      </c>
      <c r="R10" s="8">
        <f>R8*R9</f>
        <v/>
      </c>
      <c r="S10" s="8">
        <f>S8*S9</f>
        <v/>
      </c>
      <c r="T10" s="8">
        <f>T8*T9</f>
        <v/>
      </c>
      <c r="U10" s="8">
        <f>U8*U9</f>
        <v/>
      </c>
    </row>
    <row r="12">
      <c r="A12" s="11" t="inlineStr">
        <is>
          <t>Sum of the explicit years</t>
        </is>
      </c>
      <c r="B12" s="17">
        <f>SUM(B10:U10)</f>
        <v/>
      </c>
    </row>
    <row r="13">
      <c r="A13" s="4" t="inlineStr">
        <is>
          <t>Order book still unconverted, present value</t>
        </is>
      </c>
      <c r="B13" s="7" t="n">
        <v>0</v>
      </c>
    </row>
    <row r="14">
      <c r="A14" s="4" t="inlineStr">
        <is>
          <t>Recurring businesses beyond the window, present value</t>
        </is>
      </c>
      <c r="B14" s="7" t="n">
        <v>6646.896091495293</v>
      </c>
    </row>
    <row r="15">
      <c r="A15" s="11" t="inlineStr">
        <is>
          <t>Enterprise value</t>
        </is>
      </c>
      <c r="B15" s="17">
        <f>B12+B13+B14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8"/>
  <sheetViews>
    <sheetView showGridLines="0" workbookViewId="0">
      <selection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3" t="inlineStr">
        <is>
          <t>EGP mn</t>
        </is>
      </c>
      <c r="B1" s="3" t="inlineStr">
        <is>
          <t>2023</t>
        </is>
      </c>
      <c r="C1" s="3" t="inlineStr">
        <is>
          <t>2024</t>
        </is>
      </c>
      <c r="D1" s="3" t="inlineStr">
        <is>
          <t>2025</t>
        </is>
      </c>
      <c r="E1" s="3" t="inlineStr">
        <is>
          <t>2026</t>
        </is>
      </c>
      <c r="F1" s="3" t="inlineStr">
        <is>
          <t>2027</t>
        </is>
      </c>
      <c r="G1" s="3" t="inlineStr">
        <is>
          <t>2028</t>
        </is>
      </c>
      <c r="H1" s="3" t="inlineStr">
        <is>
          <t>2029</t>
        </is>
      </c>
      <c r="I1" s="3" t="inlineStr">
        <is>
          <t>2030</t>
        </is>
      </c>
      <c r="J1" s="3" t="inlineStr">
        <is>
          <t>2031</t>
        </is>
      </c>
      <c r="K1" s="3" t="inlineStr">
        <is>
          <t>2032</t>
        </is>
      </c>
      <c r="L1" s="3" t="inlineStr">
        <is>
          <t>2033</t>
        </is>
      </c>
      <c r="M1" s="3" t="inlineStr">
        <is>
          <t>2034</t>
        </is>
      </c>
      <c r="N1" s="3" t="inlineStr">
        <is>
          <t>2035</t>
        </is>
      </c>
      <c r="O1" s="3" t="inlineStr">
        <is>
          <t>2036</t>
        </is>
      </c>
      <c r="P1" s="3" t="inlineStr">
        <is>
          <t>2037</t>
        </is>
      </c>
      <c r="Q1" s="3" t="inlineStr">
        <is>
          <t>2038</t>
        </is>
      </c>
      <c r="R1" s="3" t="inlineStr">
        <is>
          <t>2039</t>
        </is>
      </c>
      <c r="S1" s="3" t="inlineStr">
        <is>
          <t>2040</t>
        </is>
      </c>
      <c r="T1" s="3" t="inlineStr">
        <is>
          <t>2041</t>
        </is>
      </c>
      <c r="U1" s="3" t="inlineStr">
        <is>
          <t>2042</t>
        </is>
      </c>
      <c r="V1" s="3" t="inlineStr">
        <is>
          <t>2043</t>
        </is>
      </c>
      <c r="W1" s="3" t="inlineStr">
        <is>
          <t>2044</t>
        </is>
      </c>
      <c r="X1" s="3" t="inlineStr">
        <is>
          <t>2045</t>
        </is>
      </c>
    </row>
    <row r="2">
      <c r="A2" s="4" t="inlineStr">
        <is>
          <t>Development revenue</t>
        </is>
      </c>
      <c r="B2" s="8" t="n">
        <v>21578.7</v>
      </c>
      <c r="C2" s="8" t="n">
        <v>24518.3</v>
      </c>
      <c r="D2" s="8" t="n">
        <v>36705.7</v>
      </c>
      <c r="E2" s="8" t="n">
        <v>49337.22416</v>
      </c>
      <c r="F2" s="8" t="n">
        <v>59204.66899199999</v>
      </c>
      <c r="G2" s="8" t="n">
        <v>71045.60279039999</v>
      </c>
      <c r="H2" s="8" t="n">
        <v>85254.72334847999</v>
      </c>
      <c r="I2" s="8" t="n">
        <v>102305.668018176</v>
      </c>
      <c r="J2" s="8" t="n">
        <v>122766.8016218112</v>
      </c>
      <c r="K2" s="8" t="n">
        <v>147320.1619461734</v>
      </c>
      <c r="L2" s="8" t="n">
        <v>176784.1943354081</v>
      </c>
      <c r="M2" s="8" t="n">
        <v>212141.0332024897</v>
      </c>
      <c r="N2" s="8" t="n">
        <v>254569.2398429876</v>
      </c>
      <c r="O2" s="8" t="n">
        <v>305483.0878115851</v>
      </c>
      <c r="P2" s="8" t="n">
        <v>366579.7053739021</v>
      </c>
      <c r="Q2" s="8" t="n">
        <v>439895.6464486825</v>
      </c>
      <c r="R2" s="8" t="n">
        <v>527874.775738419</v>
      </c>
      <c r="S2" s="8" t="n">
        <v>633449.7308861028</v>
      </c>
      <c r="T2" s="8" t="n">
        <v>760139.6770633233</v>
      </c>
      <c r="U2" s="8" t="n">
        <v>912167.612475988</v>
      </c>
      <c r="V2" s="8" t="n">
        <v>1094601.134971186</v>
      </c>
      <c r="W2" s="8" t="n">
        <v>1313521.361965423</v>
      </c>
      <c r="X2" s="8" t="n">
        <v>1576225.634358507</v>
      </c>
    </row>
    <row r="3">
      <c r="A3" s="4" t="inlineStr">
        <is>
          <t>Hospitality revenue</t>
        </is>
      </c>
      <c r="B3" s="8" t="n">
        <v>3540.9</v>
      </c>
      <c r="C3" s="8" t="n">
        <v>11496.5</v>
      </c>
      <c r="D3" s="8" t="n">
        <v>14889.7</v>
      </c>
      <c r="E3" s="8" t="n">
        <v>17867.64</v>
      </c>
      <c r="F3" s="8" t="n">
        <v>21441.168</v>
      </c>
      <c r="G3" s="8" t="n">
        <v>25729.4016</v>
      </c>
      <c r="H3" s="8" t="n">
        <v>30875.28192</v>
      </c>
      <c r="I3" s="8" t="n">
        <v>37050.33830399999</v>
      </c>
      <c r="J3" s="8" t="n">
        <v>44460.40596479999</v>
      </c>
      <c r="K3" s="8" t="n">
        <v>53352.48715775999</v>
      </c>
      <c r="L3" s="8" t="n">
        <v>64022.98458931198</v>
      </c>
      <c r="M3" s="8" t="n">
        <v>76827.58150717439</v>
      </c>
      <c r="N3" s="8" t="n">
        <v>92193.09780860925</v>
      </c>
      <c r="O3" s="8" t="n">
        <v>110631.7173703311</v>
      </c>
      <c r="P3" s="8" t="n">
        <v>132758.0608443973</v>
      </c>
      <c r="Q3" s="8" t="n">
        <v>159309.6730132768</v>
      </c>
      <c r="R3" s="8" t="n">
        <v>191171.6076159321</v>
      </c>
      <c r="S3" s="8" t="n">
        <v>229405.9291391185</v>
      </c>
      <c r="T3" s="8" t="n">
        <v>275287.1149669422</v>
      </c>
      <c r="U3" s="8" t="n">
        <v>330344.5379603306</v>
      </c>
      <c r="V3" s="8" t="n">
        <v>396413.4455523968</v>
      </c>
      <c r="W3" s="8" t="n">
        <v>475696.1346628761</v>
      </c>
      <c r="X3" s="8" t="n">
        <v>570835.3615954514</v>
      </c>
    </row>
    <row r="4">
      <c r="A4" s="4" t="inlineStr">
        <is>
          <t>Other recurring revenue</t>
        </is>
      </c>
      <c r="B4" s="8" t="n">
        <v>3311.7</v>
      </c>
      <c r="C4" s="8" t="n">
        <v>6655.5</v>
      </c>
      <c r="D4" s="8" t="n">
        <v>10899.7</v>
      </c>
      <c r="E4" s="8" t="n">
        <v>13297.634</v>
      </c>
      <c r="F4" s="8" t="n">
        <v>16223.11348</v>
      </c>
      <c r="G4" s="8" t="n">
        <v>19792.1984456</v>
      </c>
      <c r="H4" s="8" t="n">
        <v>24146.482103632</v>
      </c>
      <c r="I4" s="8" t="n">
        <v>29458.70816643104</v>
      </c>
      <c r="J4" s="8" t="n">
        <v>35939.62396304587</v>
      </c>
      <c r="K4" s="8" t="n">
        <v>43846.34123491596</v>
      </c>
      <c r="L4" s="8" t="n">
        <v>53492.53630659747</v>
      </c>
      <c r="M4" s="8" t="n">
        <v>65260.89429404891</v>
      </c>
      <c r="N4" s="8" t="n">
        <v>79618.29103873967</v>
      </c>
      <c r="O4" s="8" t="n">
        <v>97134.31506726239</v>
      </c>
      <c r="P4" s="8" t="n">
        <v>118503.8643820601</v>
      </c>
      <c r="Q4" s="8" t="n">
        <v>144574.7145461133</v>
      </c>
      <c r="R4" s="8" t="n">
        <v>176381.1517462583</v>
      </c>
      <c r="S4" s="8" t="n">
        <v>215185.0051304351</v>
      </c>
      <c r="T4" s="8" t="n">
        <v>262525.7062591308</v>
      </c>
      <c r="U4" s="8" t="n">
        <v>320281.3616361396</v>
      </c>
      <c r="V4" s="8" t="n">
        <v>390743.2611960902</v>
      </c>
      <c r="W4" s="8" t="n">
        <v>476706.7786592301</v>
      </c>
      <c r="X4" s="8" t="n">
        <v>581582.2699642607</v>
      </c>
    </row>
    <row r="5">
      <c r="A5" s="4" t="inlineStr">
        <is>
          <t>Gross profit</t>
        </is>
      </c>
      <c r="B5" s="8" t="n">
        <v>8637.299999999999</v>
      </c>
      <c r="C5" s="8" t="n">
        <v>15300.2</v>
      </c>
      <c r="D5" s="8" t="n">
        <v>20855.4</v>
      </c>
      <c r="E5" s="8" t="n">
        <v>25463.43642165983</v>
      </c>
      <c r="F5" s="8" t="n">
        <v>30640.99072919527</v>
      </c>
      <c r="G5" s="8" t="n">
        <v>36872.72664334257</v>
      </c>
      <c r="H5" s="8" t="n">
        <v>44373.58804934718</v>
      </c>
      <c r="I5" s="8" t="n">
        <v>53402.4112735666</v>
      </c>
      <c r="J5" s="8" t="n">
        <v>64270.9023777869</v>
      </c>
      <c r="K5" s="8" t="n">
        <v>77354.45364974285</v>
      </c>
      <c r="L5" s="8" t="n">
        <v>93105.17675129764</v>
      </c>
      <c r="M5" s="8" t="n">
        <v>112067.6075949168</v>
      </c>
      <c r="N5" s="8" t="n">
        <v>134897.6316157989</v>
      </c>
      <c r="O5" s="8" t="n">
        <v>162385.2909912751</v>
      </c>
      <c r="P5" s="8" t="n">
        <v>195482.2715133561</v>
      </c>
      <c r="Q5" s="8" t="n">
        <v>235335.0310510951</v>
      </c>
      <c r="R5" s="8" t="n">
        <v>283324.7296480968</v>
      </c>
      <c r="S5" s="8" t="n">
        <v>341115.3602895909</v>
      </c>
      <c r="T5" s="8" t="n">
        <v>410711.7676959964</v>
      </c>
      <c r="U5" s="8" t="n">
        <v>494529.5903603502</v>
      </c>
      <c r="V5" s="8" t="n">
        <v>595479.580765109</v>
      </c>
      <c r="W5" s="8" t="n">
        <v>717069.2651640109</v>
      </c>
      <c r="X5" s="8" t="n">
        <v>863525.5154567866</v>
      </c>
    </row>
    <row r="6">
      <c r="A6" s="4" t="inlineStr">
        <is>
          <t>Net profit</t>
        </is>
      </c>
      <c r="B6" s="8" t="n">
        <v>3347.3</v>
      </c>
      <c r="C6" s="8" t="n">
        <v>14467.5</v>
      </c>
      <c r="D6" s="8" t="n">
        <v>18202</v>
      </c>
      <c r="E6" s="8" t="n">
        <v>23122.05950777309</v>
      </c>
      <c r="F6" s="8" t="n">
        <v>29092.80640481138</v>
      </c>
      <c r="G6" s="8" t="n">
        <v>36292.31923643257</v>
      </c>
      <c r="H6" s="8" t="n">
        <v>45001.95320047493</v>
      </c>
      <c r="I6" s="8" t="n">
        <v>55557.27541727814</v>
      </c>
      <c r="J6" s="8" t="n">
        <v>68360.5288266518</v>
      </c>
      <c r="K6" s="8" t="n">
        <v>83895.37564947472</v>
      </c>
      <c r="L6" s="8" t="n">
        <v>102744.4652561909</v>
      </c>
      <c r="M6" s="8" t="n">
        <v>125610.464996896</v>
      </c>
      <c r="N6" s="8" t="n">
        <v>153341.3102398511</v>
      </c>
      <c r="O6" s="8" t="n">
        <v>186960.5753224161</v>
      </c>
      <c r="P6" s="8" t="n">
        <v>227704.0451994073</v>
      </c>
      <c r="Q6" s="8" t="n">
        <v>277063.7843605513</v>
      </c>
      <c r="R6" s="8" t="n">
        <v>336841.2625843545</v>
      </c>
      <c r="S6" s="8" t="n">
        <v>409211.4154787064</v>
      </c>
      <c r="T6" s="8" t="n">
        <v>496799.9026985973</v>
      </c>
      <c r="U6" s="8" t="n">
        <v>602776.2917792804</v>
      </c>
      <c r="V6" s="8" t="n">
        <v>730966.4570873907</v>
      </c>
      <c r="W6" s="8" t="n">
        <v>885988.1613185176</v>
      </c>
      <c r="X6" s="8" t="n">
        <v>1073414.605243922</v>
      </c>
    </row>
    <row r="7">
      <c r="A7" s="4" t="inlineStr">
        <is>
          <t>Attributable profit</t>
        </is>
      </c>
      <c r="B7" s="8" t="n">
        <v>3313.3</v>
      </c>
      <c r="C7" s="8" t="n">
        <v>10723.1</v>
      </c>
      <c r="D7" s="8" t="n">
        <v>14383.9</v>
      </c>
      <c r="E7" s="8" t="n">
        <v>12667.78110292276</v>
      </c>
      <c r="F7" s="8" t="n">
        <v>15938.94795928385</v>
      </c>
      <c r="G7" s="8" t="n">
        <v>19883.3134068341</v>
      </c>
      <c r="H7" s="8" t="n">
        <v>24655.0222810362</v>
      </c>
      <c r="I7" s="8" t="n">
        <v>30437.92026502977</v>
      </c>
      <c r="J7" s="8" t="n">
        <v>37452.38243007485</v>
      </c>
      <c r="K7" s="8" t="n">
        <v>45963.39067104919</v>
      </c>
      <c r="L7" s="8" t="n">
        <v>56290.15853733661</v>
      </c>
      <c r="M7" s="8" t="n">
        <v>68817.65330125947</v>
      </c>
      <c r="N7" s="8" t="n">
        <v>84010.42958568553</v>
      </c>
      <c r="O7" s="8" t="n">
        <v>102429.2685634114</v>
      </c>
      <c r="P7" s="8" t="n">
        <v>124751.2143053874</v>
      </c>
      <c r="Q7" s="8" t="n">
        <v>151793.7176248055</v>
      </c>
      <c r="R7" s="8" t="n">
        <v>184543.7418503422</v>
      </c>
      <c r="S7" s="8" t="n">
        <v>224192.8593929429</v>
      </c>
      <c r="T7" s="8" t="n">
        <v>272179.5788659517</v>
      </c>
      <c r="U7" s="8" t="n">
        <v>330240.3973021708</v>
      </c>
      <c r="V7" s="8" t="n">
        <v>400471.3796731276</v>
      </c>
      <c r="W7" s="8" t="n">
        <v>485402.4393281628</v>
      </c>
      <c r="X7" s="8" t="n">
        <v>588086.9412752348</v>
      </c>
    </row>
    <row r="8">
      <c r="A8" s="4" t="inlineStr">
        <is>
          <t>Earnings per share, EGP</t>
        </is>
      </c>
      <c r="B8" s="9" t="n">
        <v>1.60788774902412</v>
      </c>
      <c r="C8" s="9" t="n">
        <v>5.203736794603732</v>
      </c>
      <c r="D8" s="9" t="n">
        <v>6.980260342615533</v>
      </c>
      <c r="E8" s="9" t="n">
        <v>6.147457230769553</v>
      </c>
      <c r="F8" s="9" t="n">
        <v>7.73489848672487</v>
      </c>
      <c r="G8" s="9" t="n">
        <v>9.64903149031346</v>
      </c>
      <c r="H8" s="9" t="n">
        <v>11.96466009042189</v>
      </c>
      <c r="I8" s="9" t="n">
        <v>14.77100144868089</v>
      </c>
      <c r="J8" s="9" t="n">
        <v>18.17499981320242</v>
      </c>
      <c r="K8" s="9" t="n">
        <v>22.30524635969865</v>
      </c>
      <c r="L8" s="9" t="n">
        <v>27.31664995708479</v>
      </c>
      <c r="M8" s="9" t="n">
        <v>33.39602862997145</v>
      </c>
      <c r="N8" s="9" t="n">
        <v>40.76882278123843</v>
      </c>
      <c r="O8" s="9" t="n">
        <v>49.70716991054557</v>
      </c>
      <c r="P8" s="9" t="n">
        <v>60.53962791099961</v>
      </c>
      <c r="Q8" s="9" t="n">
        <v>73.66289166322137</v>
      </c>
      <c r="R8" s="9" t="n">
        <v>89.55591756865817</v>
      </c>
      <c r="S8" s="9" t="n">
        <v>108.7969553124076</v>
      </c>
      <c r="T8" s="9" t="n">
        <v>132.0840884897559</v>
      </c>
      <c r="U8" s="9" t="n">
        <v>160.2600093728363</v>
      </c>
      <c r="V8" s="9" t="n">
        <v>194.3419023967672</v>
      </c>
      <c r="W8" s="9" t="n">
        <v>235.5574911846729</v>
      </c>
      <c r="X8" s="9" t="n">
        <v>285.3885214853823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3"/>
  <sheetViews>
    <sheetView showGridLines="0" workbookViewId="0">
      <selection activeCell="A1" sqref="A1"/>
    </sheetView>
  </sheetViews>
  <sheetFormatPr baseColWidth="8" defaultRowHeight="15"/>
  <cols>
    <col width="40"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s>
  <sheetData>
    <row r="1">
      <c r="A1" s="3" t="inlineStr">
        <is>
          <t>EGP mn</t>
        </is>
      </c>
      <c r="B1" s="3" t="inlineStr">
        <is>
          <t>30 Jun 2026 reported</t>
        </is>
      </c>
      <c r="C1" s="3" t="inlineStr">
        <is>
          <t>2026</t>
        </is>
      </c>
      <c r="D1" s="3" t="inlineStr">
        <is>
          <t>2027</t>
        </is>
      </c>
      <c r="E1" s="3" t="inlineStr">
        <is>
          <t>2028</t>
        </is>
      </c>
      <c r="F1" s="3" t="inlineStr">
        <is>
          <t>2029</t>
        </is>
      </c>
      <c r="G1" s="3" t="inlineStr">
        <is>
          <t>2030</t>
        </is>
      </c>
      <c r="H1" s="3" t="inlineStr">
        <is>
          <t>2031</t>
        </is>
      </c>
      <c r="I1" s="3" t="inlineStr">
        <is>
          <t>2032</t>
        </is>
      </c>
      <c r="J1" s="3" t="inlineStr">
        <is>
          <t>2033</t>
        </is>
      </c>
      <c r="K1" s="3" t="inlineStr">
        <is>
          <t>2034</t>
        </is>
      </c>
      <c r="L1" s="3" t="inlineStr">
        <is>
          <t>2035</t>
        </is>
      </c>
      <c r="M1" s="3" t="inlineStr">
        <is>
          <t>2036</t>
        </is>
      </c>
      <c r="N1" s="3" t="inlineStr">
        <is>
          <t>2037</t>
        </is>
      </c>
      <c r="O1" s="3" t="inlineStr">
        <is>
          <t>2038</t>
        </is>
      </c>
      <c r="P1" s="3" t="inlineStr">
        <is>
          <t>2039</t>
        </is>
      </c>
      <c r="Q1" s="3" t="inlineStr">
        <is>
          <t>2040</t>
        </is>
      </c>
      <c r="R1" s="3" t="inlineStr">
        <is>
          <t>2041</t>
        </is>
      </c>
      <c r="S1" s="3" t="inlineStr">
        <is>
          <t>2042</t>
        </is>
      </c>
      <c r="T1" s="3" t="inlineStr">
        <is>
          <t>2043</t>
        </is>
      </c>
      <c r="U1" s="3" t="inlineStr">
        <is>
          <t>2044</t>
        </is>
      </c>
      <c r="V1" s="3" t="inlineStr">
        <is>
          <t>2045</t>
        </is>
      </c>
    </row>
    <row r="2">
      <c r="A2" s="4" t="inlineStr">
        <is>
          <t>Cash and deposits</t>
        </is>
      </c>
      <c r="C2" s="8" t="n">
        <v>94001.70396492815</v>
      </c>
      <c r="D2" s="8" t="n">
        <v>116038.9016509047</v>
      </c>
      <c r="E2" s="8" t="n">
        <v>142860.2477902836</v>
      </c>
      <c r="F2" s="8" t="n">
        <v>175619.2321762661</v>
      </c>
      <c r="G2" s="8" t="n">
        <v>215692.9107378501</v>
      </c>
      <c r="H2" s="8" t="n">
        <v>264734.75624807</v>
      </c>
      <c r="I2" s="8" t="n">
        <v>324737.0687092294</v>
      </c>
      <c r="J2" s="8" t="n">
        <v>398105.2867650592</v>
      </c>
      <c r="K2" s="8" t="n">
        <v>487746.9350249625</v>
      </c>
      <c r="L2" s="8" t="n">
        <v>597178.4394746155</v>
      </c>
      <c r="M2" s="8" t="n">
        <v>730653.6599738663</v>
      </c>
      <c r="N2" s="8" t="n">
        <v>893318.7456604273</v>
      </c>
      <c r="O2" s="8" t="n">
        <v>1091398.841622919</v>
      </c>
      <c r="P2" s="8" t="n">
        <v>1332423.295328178</v>
      </c>
      <c r="Q2" s="8" t="n">
        <v>1625497.368013205</v>
      </c>
      <c r="R2" s="8" t="n">
        <v>1981630.097126175</v>
      </c>
      <c r="S2" s="8" t="n">
        <v>2414129.938637102</v>
      </c>
      <c r="T2" s="8" t="n">
        <v>2939082.212542546</v>
      </c>
      <c r="U2" s="8" t="n">
        <v>3575925.265721703</v>
      </c>
      <c r="V2" s="8" t="n">
        <v>4348145.755671801</v>
      </c>
    </row>
    <row r="3">
      <c r="A3" s="4" t="inlineStr">
        <is>
          <t>Properties under development</t>
        </is>
      </c>
      <c r="B3" s="8" t="n">
        <v>148315.4</v>
      </c>
      <c r="C3" s="8" t="n">
        <v>147460.4685</v>
      </c>
      <c r="D3" s="8" t="n">
        <v>154064.053575</v>
      </c>
      <c r="E3" s="8" t="n">
        <v>167710.48282125</v>
      </c>
      <c r="F3" s="8" t="n">
        <v>188377.7932839375</v>
      </c>
      <c r="G3" s="8" t="n">
        <v>216397.2623645531</v>
      </c>
      <c r="H3" s="8" t="n">
        <v>252434.6476553348</v>
      </c>
      <c r="I3" s="8" t="n">
        <v>297490.0267998051</v>
      </c>
      <c r="J3" s="8" t="n">
        <v>352914.3693698185</v>
      </c>
      <c r="K3" s="8" t="n">
        <v>420441.9961513216</v>
      </c>
      <c r="L3" s="8" t="n">
        <v>502238.9600622404</v>
      </c>
      <c r="M3" s="8" t="n">
        <v>600968.1755851794</v>
      </c>
      <c r="N3" s="8" t="n">
        <v>719872.8783350834</v>
      </c>
      <c r="O3" s="8" t="n">
        <v>862880.7547267511</v>
      </c>
      <c r="P3" s="8" t="n">
        <v>1034731.88121559</v>
      </c>
      <c r="Q3" s="8" t="n">
        <v>1241134.489116324</v>
      </c>
      <c r="R3" s="8" t="n">
        <v>1488953.560682801</v>
      </c>
      <c r="S3" s="8" t="n">
        <v>1786438.40312677</v>
      </c>
      <c r="T3" s="8" t="n">
        <v>2143496.681482681</v>
      </c>
      <c r="U3" s="8" t="n">
        <v>2572023.966077135</v>
      </c>
      <c r="V3" s="8" t="n">
        <v>3086299.720516</v>
      </c>
    </row>
    <row r="4">
      <c r="A4" s="4" t="inlineStr">
        <is>
          <t>Property, plant and equipment</t>
        </is>
      </c>
      <c r="B4" s="8" t="n">
        <v>73322.7</v>
      </c>
      <c r="C4" s="8" t="n">
        <v>96400.17895999999</v>
      </c>
      <c r="D4" s="8" t="n">
        <v>98036.41815167999</v>
      </c>
      <c r="E4" s="8" t="n">
        <v>100224.6092316838</v>
      </c>
      <c r="F4" s="8" t="n">
        <v>103075.3013970489</v>
      </c>
      <c r="G4" s="8" t="n">
        <v>106721.7799373416</v>
      </c>
      <c r="H4" s="8" t="n">
        <v>111324.7441330953</v>
      </c>
      <c r="I4" s="8" t="n">
        <v>117077.9495686708</v>
      </c>
      <c r="J4" s="8" t="n">
        <v>124215.0140850418</v>
      </c>
      <c r="K4" s="8" t="n">
        <v>133017.6278385007</v>
      </c>
      <c r="L4" s="8" t="n">
        <v>143825.4577268492</v>
      </c>
      <c r="M4" s="8" t="n">
        <v>157048.0965738506</v>
      </c>
      <c r="N4" s="8" t="n">
        <v>173179.4800746866</v>
      </c>
      <c r="O4" s="8" t="n">
        <v>192815.2821969625</v>
      </c>
      <c r="P4" s="8" t="n">
        <v>216673.9056420425</v>
      </c>
      <c r="Q4" s="8" t="n">
        <v>245621.8118934672</v>
      </c>
      <c r="R4" s="8" t="n">
        <v>280704.0898978051</v>
      </c>
      <c r="S4" s="8" t="n">
        <v>323181.3490805101</v>
      </c>
      <c r="T4" s="8" t="n">
        <v>374574.2478946273</v>
      </c>
      <c r="U4" s="8" t="n">
        <v>436717.2415325486</v>
      </c>
      <c r="V4" s="8" t="n">
        <v>511823.4615922736</v>
      </c>
    </row>
    <row r="5">
      <c r="A5" s="4" t="inlineStr">
        <is>
          <t>Investment property</t>
        </is>
      </c>
      <c r="B5" s="8" t="n">
        <v>25228</v>
      </c>
      <c r="C5" s="8" t="n">
        <v>25228</v>
      </c>
      <c r="D5" s="8" t="n">
        <v>25228</v>
      </c>
      <c r="E5" s="8" t="n">
        <v>25228</v>
      </c>
      <c r="F5" s="8" t="n">
        <v>25228</v>
      </c>
      <c r="G5" s="8" t="n">
        <v>25228</v>
      </c>
      <c r="H5" s="8" t="n">
        <v>25228</v>
      </c>
      <c r="I5" s="8" t="n">
        <v>25228</v>
      </c>
      <c r="J5" s="8" t="n">
        <v>25228</v>
      </c>
      <c r="K5" s="8" t="n">
        <v>25228</v>
      </c>
      <c r="L5" s="8" t="n">
        <v>25228</v>
      </c>
      <c r="M5" s="8" t="n">
        <v>25228</v>
      </c>
      <c r="N5" s="8" t="n">
        <v>25228</v>
      </c>
      <c r="O5" s="8" t="n">
        <v>25228</v>
      </c>
      <c r="P5" s="8" t="n">
        <v>25228</v>
      </c>
      <c r="Q5" s="8" t="n">
        <v>25228</v>
      </c>
      <c r="R5" s="8" t="n">
        <v>25228</v>
      </c>
      <c r="S5" s="8" t="n">
        <v>25228</v>
      </c>
      <c r="T5" s="8" t="n">
        <v>25228</v>
      </c>
      <c r="U5" s="8" t="n">
        <v>25228</v>
      </c>
      <c r="V5" s="8" t="n">
        <v>25228</v>
      </c>
    </row>
    <row r="6">
      <c r="A6" s="4" t="inlineStr">
        <is>
          <t>Total assets</t>
        </is>
      </c>
      <c r="B6" s="8" t="n">
        <v>477897.9</v>
      </c>
      <c r="C6" s="8" t="n">
        <v>496447.2514249281</v>
      </c>
      <c r="D6" s="8" t="n">
        <v>526724.2733775846</v>
      </c>
      <c r="E6" s="8" t="n">
        <v>569380.2398432174</v>
      </c>
      <c r="F6" s="8" t="n">
        <v>625657.2268572524</v>
      </c>
      <c r="G6" s="8" t="n">
        <v>697396.8530397448</v>
      </c>
      <c r="H6" s="8" t="n">
        <v>787079.0480365001</v>
      </c>
      <c r="I6" s="8" t="n">
        <v>897889.9450777052</v>
      </c>
      <c r="J6" s="8" t="n">
        <v>1033819.57021992</v>
      </c>
      <c r="K6" s="8" t="n">
        <v>1199791.459014785</v>
      </c>
      <c r="L6" s="8" t="n">
        <v>1401827.757263705</v>
      </c>
      <c r="M6" s="8" t="n">
        <v>1647254.832132896</v>
      </c>
      <c r="N6" s="8" t="n">
        <v>1944956.004070197</v>
      </c>
      <c r="O6" s="8" t="n">
        <v>2305679.778546633</v>
      </c>
      <c r="P6" s="8" t="n">
        <v>2742413.98218581</v>
      </c>
      <c r="Q6" s="8" t="n">
        <v>3270838.569022996</v>
      </c>
      <c r="R6" s="8" t="n">
        <v>3909872.64770678</v>
      </c>
      <c r="S6" s="8" t="n">
        <v>4682334.590844383</v>
      </c>
      <c r="T6" s="8" t="n">
        <v>5615738.041919854</v>
      </c>
      <c r="U6" s="8" t="n">
        <v>6743251.373331387</v>
      </c>
      <c r="V6" s="8" t="n">
        <v>8104853.837780075</v>
      </c>
    </row>
    <row r="7">
      <c r="A7" s="4" t="inlineStr">
        <is>
          <t>Customer advances</t>
        </is>
      </c>
      <c r="B7" s="8" t="n">
        <v>133993.1</v>
      </c>
      <c r="C7" s="8" t="n">
        <v>133220.7262480319</v>
      </c>
      <c r="D7" s="8" t="n">
        <v>139186.6261836622</v>
      </c>
      <c r="E7" s="8" t="n">
        <v>151515.2674349126</v>
      </c>
      <c r="F7" s="8" t="n">
        <v>170186.8079327836</v>
      </c>
      <c r="G7" s="8" t="n">
        <v>195500.5347775066</v>
      </c>
      <c r="H7" s="8" t="n">
        <v>228057.9156766326</v>
      </c>
      <c r="I7" s="8" t="n">
        <v>268762.4542696777</v>
      </c>
      <c r="J7" s="8" t="n">
        <v>318834.6617169022</v>
      </c>
      <c r="K7" s="8" t="n">
        <v>379841.3815052493</v>
      </c>
      <c r="L7" s="8" t="n">
        <v>453739.4983900242</v>
      </c>
      <c r="M7" s="8" t="n">
        <v>542934.7785058228</v>
      </c>
      <c r="N7" s="8" t="n">
        <v>650357.2695353326</v>
      </c>
      <c r="O7" s="8" t="n">
        <v>779555.3749386581</v>
      </c>
      <c r="P7" s="8" t="n">
        <v>934811.438548584</v>
      </c>
      <c r="Q7" s="8" t="n">
        <v>1121282.467724946</v>
      </c>
      <c r="R7" s="8" t="n">
        <v>1345170.51736992</v>
      </c>
      <c r="S7" s="8" t="n">
        <v>1613928.287918892</v>
      </c>
      <c r="T7" s="8" t="n">
        <v>1936506.695808911</v>
      </c>
      <c r="U7" s="8" t="n">
        <v>2323652.597700375</v>
      </c>
      <c r="V7" s="8" t="n">
        <v>2788266.539287711</v>
      </c>
    </row>
    <row r="8">
      <c r="A8" s="4" t="inlineStr">
        <is>
          <t>Borrowings</t>
        </is>
      </c>
      <c r="C8" s="8" t="n">
        <v>16493</v>
      </c>
      <c r="D8" s="8" t="n">
        <v>16493</v>
      </c>
      <c r="E8" s="8" t="n">
        <v>16493</v>
      </c>
      <c r="F8" s="8" t="n">
        <v>16493</v>
      </c>
      <c r="G8" s="8" t="n">
        <v>16493</v>
      </c>
      <c r="H8" s="8" t="n">
        <v>16493</v>
      </c>
      <c r="I8" s="8" t="n">
        <v>16493</v>
      </c>
      <c r="J8" s="8" t="n">
        <v>16493</v>
      </c>
      <c r="K8" s="8" t="n">
        <v>16493</v>
      </c>
      <c r="L8" s="8" t="n">
        <v>16493</v>
      </c>
      <c r="M8" s="8" t="n">
        <v>16493</v>
      </c>
      <c r="N8" s="8" t="n">
        <v>16493</v>
      </c>
      <c r="O8" s="8" t="n">
        <v>16493</v>
      </c>
      <c r="P8" s="8" t="n">
        <v>16493</v>
      </c>
      <c r="Q8" s="8" t="n">
        <v>16493</v>
      </c>
      <c r="R8" s="8" t="n">
        <v>16493</v>
      </c>
      <c r="S8" s="8" t="n">
        <v>16493</v>
      </c>
      <c r="T8" s="8" t="n">
        <v>16493</v>
      </c>
      <c r="U8" s="8" t="n">
        <v>16493</v>
      </c>
      <c r="V8" s="8" t="n">
        <v>16493</v>
      </c>
    </row>
    <row r="9">
      <c r="A9" s="4" t="inlineStr">
        <is>
          <t>Total liabilities</t>
        </is>
      </c>
      <c r="B9" s="8" t="n">
        <v>310574.2</v>
      </c>
      <c r="C9" s="8" t="n">
        <v>309801.8262480319</v>
      </c>
      <c r="D9" s="8" t="n">
        <v>315767.7261836622</v>
      </c>
      <c r="E9" s="8" t="n">
        <v>328096.3674349126</v>
      </c>
      <c r="F9" s="8" t="n">
        <v>346767.9079327836</v>
      </c>
      <c r="G9" s="8" t="n">
        <v>372081.6347775066</v>
      </c>
      <c r="H9" s="8" t="n">
        <v>404639.0156766326</v>
      </c>
      <c r="I9" s="8" t="n">
        <v>445343.5542696777</v>
      </c>
      <c r="J9" s="8" t="n">
        <v>495415.7617169021</v>
      </c>
      <c r="K9" s="8" t="n">
        <v>556422.4815052493</v>
      </c>
      <c r="L9" s="8" t="n">
        <v>630320.5983900242</v>
      </c>
      <c r="M9" s="8" t="n">
        <v>719515.8785058227</v>
      </c>
      <c r="N9" s="8" t="n">
        <v>826938.3695353325</v>
      </c>
      <c r="O9" s="8" t="n">
        <v>956136.4749386581</v>
      </c>
      <c r="P9" s="8" t="n">
        <v>1111392.538548584</v>
      </c>
      <c r="Q9" s="8" t="n">
        <v>1297863.567724946</v>
      </c>
      <c r="R9" s="8" t="n">
        <v>1521751.61736992</v>
      </c>
      <c r="S9" s="8" t="n">
        <v>1790509.387918892</v>
      </c>
      <c r="T9" s="8" t="n">
        <v>2113087.795808911</v>
      </c>
      <c r="U9" s="8" t="n">
        <v>2500233.697700375</v>
      </c>
      <c r="V9" s="8" t="n">
        <v>2964847.639287711</v>
      </c>
    </row>
    <row r="10">
      <c r="A10" s="4" t="inlineStr">
        <is>
          <t>Equity attributable to TMG</t>
        </is>
      </c>
      <c r="B10" s="8" t="n">
        <v>91670.89999999999</v>
      </c>
      <c r="C10" s="8" t="n">
        <v>100538.3467720459</v>
      </c>
      <c r="D10" s="8" t="n">
        <v>111695.6103435446</v>
      </c>
      <c r="E10" s="8" t="n">
        <v>125613.9297283285</v>
      </c>
      <c r="F10" s="8" t="n">
        <v>142872.4453250538</v>
      </c>
      <c r="G10" s="8" t="n">
        <v>164178.9895105747</v>
      </c>
      <c r="H10" s="8" t="n">
        <v>190395.6572116271</v>
      </c>
      <c r="I10" s="8" t="n">
        <v>222570.0306813615</v>
      </c>
      <c r="J10" s="8" t="n">
        <v>261973.1416574971</v>
      </c>
      <c r="K10" s="8" t="n">
        <v>310145.4989683788</v>
      </c>
      <c r="L10" s="8" t="n">
        <v>368952.7996783586</v>
      </c>
      <c r="M10" s="8" t="n">
        <v>440653.2876727466</v>
      </c>
      <c r="N10" s="8" t="n">
        <v>527979.1376865178</v>
      </c>
      <c r="O10" s="8" t="n">
        <v>634234.7400238817</v>
      </c>
      <c r="P10" s="8" t="n">
        <v>763415.3593191212</v>
      </c>
      <c r="Q10" s="8" t="n">
        <v>920350.3608941813</v>
      </c>
      <c r="R10" s="8" t="n">
        <v>1110876.066100348</v>
      </c>
      <c r="S10" s="8" t="n">
        <v>1342044.344211867</v>
      </c>
      <c r="T10" s="8" t="n">
        <v>1622374.309983057</v>
      </c>
      <c r="U10" s="8" t="n">
        <v>1962156.01751277</v>
      </c>
      <c r="V10" s="8" t="n">
        <v>2373816.876405435</v>
      </c>
    </row>
    <row r="11">
      <c r="A11" s="4" t="inlineStr">
        <is>
          <t>Non-controlling interests</t>
        </is>
      </c>
      <c r="B11" s="8" t="n">
        <v>75652.8</v>
      </c>
      <c r="C11" s="8" t="n">
        <v>86107.07840485034</v>
      </c>
      <c r="D11" s="8" t="n">
        <v>99260.93685037787</v>
      </c>
      <c r="E11" s="8" t="n">
        <v>115669.9426799763</v>
      </c>
      <c r="F11" s="8" t="n">
        <v>136016.8735994151</v>
      </c>
      <c r="G11" s="8" t="n">
        <v>161136.2287516634</v>
      </c>
      <c r="H11" s="8" t="n">
        <v>192044.3751482404</v>
      </c>
      <c r="I11" s="8" t="n">
        <v>229976.3601266659</v>
      </c>
      <c r="J11" s="8" t="n">
        <v>276430.6668455202</v>
      </c>
      <c r="K11" s="8" t="n">
        <v>333223.4785411567</v>
      </c>
      <c r="L11" s="8" t="n">
        <v>402554.3591953223</v>
      </c>
      <c r="M11" s="8" t="n">
        <v>487085.665954327</v>
      </c>
      <c r="N11" s="8" t="n">
        <v>590038.4968483469</v>
      </c>
      <c r="O11" s="8" t="n">
        <v>715308.5635840928</v>
      </c>
      <c r="P11" s="8" t="n">
        <v>867606.084318105</v>
      </c>
      <c r="Q11" s="8" t="n">
        <v>1052624.640403869</v>
      </c>
      <c r="R11" s="8" t="n">
        <v>1277244.964236514</v>
      </c>
      <c r="S11" s="8" t="n">
        <v>1549780.858713624</v>
      </c>
      <c r="T11" s="8" t="n">
        <v>1880275.936127887</v>
      </c>
      <c r="U11" s="8" t="n">
        <v>2280861.658118242</v>
      </c>
      <c r="V11" s="8" t="n">
        <v>2766189.322086928</v>
      </c>
    </row>
    <row r="12">
      <c r="A12" s="4" t="inlineStr">
        <is>
          <t>Total equity</t>
        </is>
      </c>
      <c r="B12" s="8" t="n">
        <v>167323.6</v>
      </c>
      <c r="C12" s="8" t="n">
        <v>186645.4251768963</v>
      </c>
      <c r="D12" s="8" t="n">
        <v>210956.5471939225</v>
      </c>
      <c r="E12" s="8" t="n">
        <v>241283.8724083048</v>
      </c>
      <c r="F12" s="8" t="n">
        <v>278889.3189244689</v>
      </c>
      <c r="G12" s="8" t="n">
        <v>325315.2182622381</v>
      </c>
      <c r="H12" s="8" t="n">
        <v>382440.0323598674</v>
      </c>
      <c r="I12" s="8" t="n">
        <v>452546.3908080274</v>
      </c>
      <c r="J12" s="8" t="n">
        <v>538403.8085030173</v>
      </c>
      <c r="K12" s="8" t="n">
        <v>643368.9775095354</v>
      </c>
      <c r="L12" s="8" t="n">
        <v>771507.1588736809</v>
      </c>
      <c r="M12" s="8" t="n">
        <v>927738.9536270736</v>
      </c>
      <c r="N12" s="8" t="n">
        <v>1118017.634534865</v>
      </c>
      <c r="O12" s="8" t="n">
        <v>1349543.303607974</v>
      </c>
      <c r="P12" s="8" t="n">
        <v>1631021.443637226</v>
      </c>
      <c r="Q12" s="8" t="n">
        <v>1972975.00129805</v>
      </c>
      <c r="R12" s="8" t="n">
        <v>2388121.030336861</v>
      </c>
      <c r="S12" s="8" t="n">
        <v>2891825.202925491</v>
      </c>
      <c r="T12" s="8" t="n">
        <v>3502650.246110944</v>
      </c>
      <c r="U12" s="8" t="n">
        <v>4243017.675631013</v>
      </c>
      <c r="V12" s="8" t="n">
        <v>5140006.198492363</v>
      </c>
    </row>
    <row r="13">
      <c r="A13" s="11" t="inlineStr">
        <is>
          <t>Assets less liabilities less equity</t>
        </is>
      </c>
      <c r="C13" s="9" t="n">
        <v>-5.820766091346741e-11</v>
      </c>
      <c r="D13" s="9" t="n">
        <v>-2.91038304567337e-11</v>
      </c>
      <c r="E13" s="9" t="n">
        <v>0</v>
      </c>
      <c r="F13" s="9" t="n">
        <v>-5.820766091346741e-11</v>
      </c>
      <c r="G13" s="9" t="n">
        <v>1.164153218269348e-10</v>
      </c>
      <c r="H13" s="9" t="n">
        <v>5.820766091346741e-11</v>
      </c>
      <c r="I13" s="9" t="n">
        <v>5.820766091346741e-11</v>
      </c>
      <c r="J13" s="9" t="n">
        <v>1.164153218269348e-10</v>
      </c>
      <c r="K13" s="9" t="n">
        <v>3.492459654808044e-10</v>
      </c>
      <c r="L13" s="9" t="n">
        <v>1.164153218269348e-10</v>
      </c>
      <c r="M13" s="9" t="n">
        <v>1.164153218269348e-10</v>
      </c>
      <c r="N13" s="9" t="n">
        <v>0</v>
      </c>
      <c r="O13" s="9" t="n">
        <v>2.328306436538696e-10</v>
      </c>
      <c r="P13" s="9" t="n">
        <v>-4.656612873077393e-10</v>
      </c>
      <c r="Q13" s="9" t="n">
        <v>-4.656612873077393e-10</v>
      </c>
      <c r="R13" s="9" t="n">
        <v>-9.313225746154785e-10</v>
      </c>
      <c r="S13" s="9" t="n">
        <v>-9.313225746154785e-10</v>
      </c>
      <c r="T13" s="9" t="n">
        <v>-4.656612873077393e-10</v>
      </c>
      <c r="U13" s="9" t="n">
        <v>-9.313225746154785e-10</v>
      </c>
      <c r="V13" s="9" t="n">
        <v>1.862645149230957e-09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8"/>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1">
      <c r="A1" s="3" t="inlineStr">
        <is>
          <t>EGP mn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c r="L1" s="3" t="inlineStr">
        <is>
          <t>2036</t>
        </is>
      </c>
      <c r="M1" s="3" t="inlineStr">
        <is>
          <t>2037</t>
        </is>
      </c>
      <c r="N1" s="3" t="inlineStr">
        <is>
          <t>2038</t>
        </is>
      </c>
      <c r="O1" s="3" t="inlineStr">
        <is>
          <t>2039</t>
        </is>
      </c>
      <c r="P1" s="3" t="inlineStr">
        <is>
          <t>2040</t>
        </is>
      </c>
      <c r="Q1" s="3" t="inlineStr">
        <is>
          <t>2041</t>
        </is>
      </c>
      <c r="R1" s="3" t="inlineStr">
        <is>
          <t>2042</t>
        </is>
      </c>
      <c r="S1" s="3" t="inlineStr">
        <is>
          <t>2043</t>
        </is>
      </c>
      <c r="T1" s="3" t="inlineStr">
        <is>
          <t>2044</t>
        </is>
      </c>
      <c r="U1" s="3" t="inlineStr">
        <is>
          <t>2045</t>
        </is>
      </c>
    </row>
    <row r="2">
      <c r="A2" s="4" t="inlineStr">
        <is>
          <t>Operating cash flow</t>
        </is>
      </c>
      <c r="B2" s="8" t="n">
        <v>24347.30765580498</v>
      </c>
      <c r="C2" s="8" t="n">
        <v>29611.92341296168</v>
      </c>
      <c r="D2" s="8" t="n">
        <v>36150.9682592531</v>
      </c>
      <c r="E2" s="8" t="n">
        <v>44208.87854643864</v>
      </c>
      <c r="F2" s="8" t="n">
        <v>54088.43679815016</v>
      </c>
      <c r="G2" s="8" t="n">
        <v>66161.1857942442</v>
      </c>
      <c r="H2" s="8" t="n">
        <v>80880.43202764675</v>
      </c>
      <c r="I2" s="8" t="n">
        <v>98797.26552822588</v>
      </c>
      <c r="J2" s="8" t="n">
        <v>120580.1381727606</v>
      </c>
      <c r="K2" s="8" t="n">
        <v>147038.6747477692</v>
      </c>
      <c r="L2" s="8" t="n">
        <v>179152.545407998</v>
      </c>
      <c r="M2" s="8" t="n">
        <v>218106.4106378993</v>
      </c>
      <c r="N2" s="8" t="n">
        <v>265332.1671331053</v>
      </c>
      <c r="O2" s="8" t="n">
        <v>322559.9830918054</v>
      </c>
      <c r="P2" s="8" t="n">
        <v>391879.923622039</v>
      </c>
      <c r="Q2" s="8" t="n">
        <v>475816.3425198153</v>
      </c>
      <c r="R2" s="8" t="n">
        <v>577417.668963057</v>
      </c>
      <c r="S2" s="8" t="n">
        <v>700364.7628104654</v>
      </c>
      <c r="T2" s="8" t="n">
        <v>849101.6695902626</v>
      </c>
      <c r="U2" s="8" t="n">
        <v>1028993.399290783</v>
      </c>
    </row>
    <row r="3">
      <c r="A3" s="4" t="inlineStr">
        <is>
          <t>Capital spend</t>
        </is>
      </c>
      <c r="B3" s="8" t="n">
        <v>-2318.66936</v>
      </c>
      <c r="C3" s="8" t="n">
        <v>-2793.0413392</v>
      </c>
      <c r="D3" s="8" t="n">
        <v>-3364.628097824</v>
      </c>
      <c r="E3" s="8" t="n">
        <v>-4053.38747614528</v>
      </c>
      <c r="F3" s="8" t="n">
        <v>-4883.382157057241</v>
      </c>
      <c r="G3" s="8" t="n">
        <v>-5883.625555001834</v>
      </c>
      <c r="H3" s="8" t="n">
        <v>-7089.102365172638</v>
      </c>
      <c r="I3" s="8" t="n">
        <v>-8541.999911195097</v>
      </c>
      <c r="J3" s="8" t="n">
        <v>-10293.1939224794</v>
      </c>
      <c r="K3" s="8" t="n">
        <v>-12404.04142241051</v>
      </c>
      <c r="L3" s="8" t="n">
        <v>-14948.5443397236</v>
      </c>
      <c r="M3" s="8" t="n">
        <v>-18015.96065972214</v>
      </c>
      <c r="N3" s="8" t="n">
        <v>-21713.95588317221</v>
      </c>
      <c r="O3" s="8" t="n">
        <v>-26172.40683144354</v>
      </c>
      <c r="P3" s="8" t="n">
        <v>-31547.99311912926</v>
      </c>
      <c r="Q3" s="8" t="n">
        <v>-38029.73974705946</v>
      </c>
      <c r="R3" s="8" t="n">
        <v>-45845.70826147865</v>
      </c>
      <c r="S3" s="8" t="n">
        <v>-55271.07500308329</v>
      </c>
      <c r="T3" s="8" t="n">
        <v>-66637.88461265681</v>
      </c>
      <c r="U3" s="8" t="n">
        <v>-80346.82695811556</v>
      </c>
    </row>
    <row r="4">
      <c r="A4" s="4" t="inlineStr">
        <is>
          <t>Dividends</t>
        </is>
      </c>
      <c r="B4" s="8" t="n">
        <v>-3800.334330876827</v>
      </c>
      <c r="C4" s="8" t="n">
        <v>-4781.684387785156</v>
      </c>
      <c r="D4" s="8" t="n">
        <v>-5964.994022050229</v>
      </c>
      <c r="E4" s="8" t="n">
        <v>-7396.506684310861</v>
      </c>
      <c r="F4" s="8" t="n">
        <v>-9131.376079508931</v>
      </c>
      <c r="G4" s="8" t="n">
        <v>-11235.71472902245</v>
      </c>
      <c r="H4" s="8" t="n">
        <v>-13789.01720131475</v>
      </c>
      <c r="I4" s="8" t="n">
        <v>-16887.04756120098</v>
      </c>
      <c r="J4" s="8" t="n">
        <v>-20645.29599037784</v>
      </c>
      <c r="K4" s="8" t="n">
        <v>-25203.12887570566</v>
      </c>
      <c r="L4" s="8" t="n">
        <v>-30728.78056902342</v>
      </c>
      <c r="M4" s="8" t="n">
        <v>-37425.36429161622</v>
      </c>
      <c r="N4" s="8" t="n">
        <v>-45538.11528744164</v>
      </c>
      <c r="O4" s="8" t="n">
        <v>-55363.12255510267</v>
      </c>
      <c r="P4" s="8" t="n">
        <v>-67257.85781788286</v>
      </c>
      <c r="Q4" s="8" t="n">
        <v>-81653.87365978552</v>
      </c>
      <c r="R4" s="8" t="n">
        <v>-99072.11919065124</v>
      </c>
      <c r="S4" s="8" t="n">
        <v>-120141.4139019383</v>
      </c>
      <c r="T4" s="8" t="n">
        <v>-145620.7317984488</v>
      </c>
      <c r="U4" s="8" t="n">
        <v>-176426.0823825704</v>
      </c>
    </row>
    <row r="5">
      <c r="A5" s="4" t="inlineStr">
        <is>
          <t>Movement in customer advances</t>
        </is>
      </c>
      <c r="B5" s="8" t="n">
        <v>-772.3737519681163</v>
      </c>
      <c r="C5" s="8" t="n">
        <v>5965.899935630296</v>
      </c>
      <c r="D5" s="8" t="n">
        <v>12328.64125125037</v>
      </c>
      <c r="E5" s="8" t="n">
        <v>18671.540497871</v>
      </c>
      <c r="F5" s="8" t="n">
        <v>25313.72684472305</v>
      </c>
      <c r="G5" s="8" t="n">
        <v>32557.380899126</v>
      </c>
      <c r="H5" s="8" t="n">
        <v>40704.53859304514</v>
      </c>
      <c r="I5" s="8" t="n">
        <v>50072.20744722441</v>
      </c>
      <c r="J5" s="8" t="n">
        <v>61006.71978834717</v>
      </c>
      <c r="K5" s="8" t="n">
        <v>73898.11688477488</v>
      </c>
      <c r="L5" s="8" t="n">
        <v>89195.28011579858</v>
      </c>
      <c r="M5" s="8" t="n">
        <v>107422.4910295098</v>
      </c>
      <c r="N5" s="8" t="n">
        <v>129198.1054033255</v>
      </c>
      <c r="O5" s="8" t="n">
        <v>155256.0636099259</v>
      </c>
      <c r="P5" s="8" t="n">
        <v>186471.0291763623</v>
      </c>
      <c r="Q5" s="8" t="n">
        <v>223888.0496449734</v>
      </c>
      <c r="R5" s="8" t="n">
        <v>268757.7705489723</v>
      </c>
      <c r="S5" s="8" t="n">
        <v>322578.4078900195</v>
      </c>
      <c r="T5" s="8" t="n">
        <v>387145.9018914632</v>
      </c>
      <c r="U5" s="8" t="n">
        <v>464613.9415873359</v>
      </c>
    </row>
    <row r="6">
      <c r="A6" s="4" t="inlineStr">
        <is>
          <t>Movement in work in progress</t>
        </is>
      </c>
      <c r="B6" s="8" t="n">
        <v>854.9315000000061</v>
      </c>
      <c r="C6" s="8" t="n">
        <v>-6603.585074999995</v>
      </c>
      <c r="D6" s="8" t="n">
        <v>-13646.42924625</v>
      </c>
      <c r="E6" s="8" t="n">
        <v>-20667.31046268749</v>
      </c>
      <c r="F6" s="8" t="n">
        <v>-28019.46908061561</v>
      </c>
      <c r="G6" s="8" t="n">
        <v>-36037.38529078171</v>
      </c>
      <c r="H6" s="8" t="n">
        <v>-45055.37914447027</v>
      </c>
      <c r="I6" s="8" t="n">
        <v>-55424.34257001347</v>
      </c>
      <c r="J6" s="8" t="n">
        <v>-67527.62678150306</v>
      </c>
      <c r="K6" s="8" t="n">
        <v>-81796.96391091886</v>
      </c>
      <c r="L6" s="8" t="n">
        <v>-98729.21552293893</v>
      </c>
      <c r="M6" s="8" t="n">
        <v>-118904.702749904</v>
      </c>
      <c r="N6" s="8" t="n">
        <v>-143007.8763916678</v>
      </c>
      <c r="O6" s="8" t="n">
        <v>-171851.1264888385</v>
      </c>
      <c r="P6" s="8" t="n">
        <v>-206402.6079007342</v>
      </c>
      <c r="Q6" s="8" t="n">
        <v>-247819.071566477</v>
      </c>
      <c r="R6" s="8" t="n">
        <v>-297484.8424439693</v>
      </c>
      <c r="S6" s="8" t="n">
        <v>-357058.2783559109</v>
      </c>
      <c r="T6" s="8" t="n">
        <v>-428527.2845944538</v>
      </c>
      <c r="U6" s="8" t="n">
        <v>-514275.7544388652</v>
      </c>
    </row>
    <row r="7">
      <c r="A7" s="4" t="inlineStr">
        <is>
          <t>Free cash flow to the firm</t>
        </is>
      </c>
      <c r="B7" s="8" t="n">
        <v>13543.19042080498</v>
      </c>
      <c r="C7" s="8" t="n">
        <v>15508.04708419782</v>
      </c>
      <c r="D7" s="8" t="n">
        <v>18059.73953053887</v>
      </c>
      <c r="E7" s="8" t="n">
        <v>21271.58178779941</v>
      </c>
      <c r="F7" s="8" t="n">
        <v>25243.50277877168</v>
      </c>
      <c r="G7" s="8" t="n">
        <v>30104.58819987562</v>
      </c>
      <c r="H7" s="8" t="n">
        <v>36016.87156902326</v>
      </c>
      <c r="I7" s="8" t="n">
        <v>43180.44909210024</v>
      </c>
      <c r="J7" s="8" t="n">
        <v>51840.05392669699</v>
      </c>
      <c r="K7" s="8" t="n">
        <v>62293.28752148946</v>
      </c>
      <c r="L7" s="8" t="n">
        <v>74900.77207470899</v>
      </c>
      <c r="M7" s="8" t="n">
        <v>90098.56180722793</v>
      </c>
      <c r="N7" s="8" t="n">
        <v>108413.2347975669</v>
      </c>
      <c r="O7" s="8" t="n">
        <v>130480.1849338095</v>
      </c>
      <c r="P7" s="8" t="n">
        <v>157065.7488520423</v>
      </c>
      <c r="Q7" s="8" t="n">
        <v>189093.9398557091</v>
      </c>
      <c r="R7" s="8" t="n">
        <v>227678.7247720213</v>
      </c>
      <c r="S7" s="8" t="n">
        <v>274162.9764436315</v>
      </c>
      <c r="T7" s="8" t="n">
        <v>330165.4711585112</v>
      </c>
      <c r="U7" s="8" t="n">
        <v>397637.5852708032</v>
      </c>
    </row>
    <row r="8">
      <c r="A8" s="4" t="inlineStr">
        <is>
          <t>Closing cash and deposits</t>
        </is>
      </c>
      <c r="B8" s="8" t="n">
        <v>94001.70396492815</v>
      </c>
      <c r="C8" s="8" t="n">
        <v>116038.9016509047</v>
      </c>
      <c r="D8" s="8" t="n">
        <v>142860.2477902836</v>
      </c>
      <c r="E8" s="8" t="n">
        <v>175619.2321762661</v>
      </c>
      <c r="F8" s="8" t="n">
        <v>215692.9107378501</v>
      </c>
      <c r="G8" s="8" t="n">
        <v>264734.75624807</v>
      </c>
      <c r="H8" s="8" t="n">
        <v>324737.0687092294</v>
      </c>
      <c r="I8" s="8" t="n">
        <v>398105.2867650592</v>
      </c>
      <c r="J8" s="8" t="n">
        <v>487746.9350249625</v>
      </c>
      <c r="K8" s="8" t="n">
        <v>597178.4394746155</v>
      </c>
      <c r="L8" s="8" t="n">
        <v>730653.6599738663</v>
      </c>
      <c r="M8" s="8" t="n">
        <v>893318.7456604273</v>
      </c>
      <c r="N8" s="8" t="n">
        <v>1091398.841622919</v>
      </c>
      <c r="O8" s="8" t="n">
        <v>1332423.295328178</v>
      </c>
      <c r="P8" s="8" t="n">
        <v>1625497.368013205</v>
      </c>
      <c r="Q8" s="8" t="n">
        <v>1981630.097126175</v>
      </c>
      <c r="R8" s="8" t="n">
        <v>2414129.938637102</v>
      </c>
      <c r="S8" s="8" t="n">
        <v>2939082.212542546</v>
      </c>
      <c r="T8" s="8" t="n">
        <v>3575925.265721703</v>
      </c>
      <c r="U8" s="8" t="n">
        <v>4348145.755671801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10"/>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s>
  <sheetData>
    <row r="1">
      <c r="A1" s="3" t="inlineStr">
        <is>
          <t>EGP mn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c r="L1" s="3" t="inlineStr">
        <is>
          <t>2036</t>
        </is>
      </c>
      <c r="M1" s="3" t="inlineStr">
        <is>
          <t>2037</t>
        </is>
      </c>
      <c r="N1" s="3" t="inlineStr">
        <is>
          <t>2038</t>
        </is>
      </c>
      <c r="O1" s="3" t="inlineStr">
        <is>
          <t>2039</t>
        </is>
      </c>
      <c r="P1" s="3" t="inlineStr">
        <is>
          <t>2040</t>
        </is>
      </c>
      <c r="Q1" s="3" t="inlineStr">
        <is>
          <t>2041</t>
        </is>
      </c>
      <c r="R1" s="3" t="inlineStr">
        <is>
          <t>2042</t>
        </is>
      </c>
      <c r="S1" s="3" t="inlineStr">
        <is>
          <t>2043</t>
        </is>
      </c>
      <c r="T1" s="3" t="inlineStr">
        <is>
          <t>2044</t>
        </is>
      </c>
      <c r="U1" s="3" t="inlineStr">
        <is>
          <t>2045</t>
        </is>
      </c>
    </row>
    <row r="2">
      <c r="A2" s="4" t="inlineStr">
        <is>
          <t>Revenue</t>
        </is>
      </c>
      <c r="B2" s="8" t="n">
        <v>80502.49816</v>
      </c>
      <c r="C2" s="8" t="n">
        <v>96868.950472</v>
      </c>
      <c r="D2" s="8" t="n">
        <v>116567.202836</v>
      </c>
      <c r="E2" s="8" t="n">
        <v>140276.487372112</v>
      </c>
      <c r="F2" s="8" t="n">
        <v>168814.714488607</v>
      </c>
      <c r="G2" s="8" t="n">
        <v>203166.831549657</v>
      </c>
      <c r="H2" s="8" t="n">
        <v>244518.9903388493</v>
      </c>
      <c r="I2" s="8" t="n">
        <v>294299.7152313175</v>
      </c>
      <c r="J2" s="8" t="n">
        <v>354229.509003713</v>
      </c>
      <c r="K2" s="8" t="n">
        <v>426380.6286903365</v>
      </c>
      <c r="L2" s="8" t="n">
        <v>513249.1202491786</v>
      </c>
      <c r="M2" s="8" t="n">
        <v>617841.6306003595</v>
      </c>
      <c r="N2" s="8" t="n">
        <v>743780.0340080727</v>
      </c>
      <c r="O2" s="8" t="n">
        <v>895427.5351006094</v>
      </c>
      <c r="P2" s="8" t="n">
        <v>1078040.665155656</v>
      </c>
      <c r="Q2" s="8" t="n">
        <v>1297952.498289396</v>
      </c>
      <c r="R2" s="8" t="n">
        <v>1562793.512072458</v>
      </c>
      <c r="S2" s="8" t="n">
        <v>1881757.841719673</v>
      </c>
      <c r="T2" s="8" t="n">
        <v>2265924.275287529</v>
      </c>
      <c r="U2" s="8" t="n">
        <v>2728643.265918219</v>
      </c>
    </row>
    <row r="3">
      <c r="A3" s="4" t="inlineStr">
        <is>
          <t>Gross margin</t>
        </is>
      </c>
      <c r="B3" s="10" t="n">
        <v>0.316306164450336</v>
      </c>
      <c r="C3" s="10" t="n">
        <v>0.3163138506187497</v>
      </c>
      <c r="D3" s="10" t="n">
        <v>0.3163216217448344</v>
      </c>
      <c r="E3" s="10" t="n">
        <v>0.3163294781657683</v>
      </c>
      <c r="F3" s="10" t="n">
        <v>0.3163374202026129</v>
      </c>
      <c r="G3" s="10" t="n">
        <v>0.31634544815982</v>
      </c>
      <c r="H3" s="10" t="n">
        <v>0.3163535623247366</v>
      </c>
      <c r="I3" s="10" t="n">
        <v>0.3163617629671086</v>
      </c>
      <c r="J3" s="10" t="n">
        <v>0.3163700503385846</v>
      </c>
      <c r="K3" s="10" t="n">
        <v>0.3163784246722187</v>
      </c>
      <c r="L3" s="10" t="n">
        <v>0.3163868861819739</v>
      </c>
      <c r="M3" s="10" t="n">
        <v>0.3163954350622263</v>
      </c>
      <c r="N3" s="10" t="n">
        <v>0.316404071487271</v>
      </c>
      <c r="O3" s="10" t="n">
        <v>0.3164127956108282</v>
      </c>
      <c r="P3" s="10" t="n">
        <v>0.316421607565553</v>
      </c>
      <c r="Q3" s="10" t="n">
        <v>0.3164305074625486</v>
      </c>
      <c r="R3" s="10" t="n">
        <v>0.3164394953908803</v>
      </c>
      <c r="S3" s="10" t="n">
        <v>0.3164485714170964</v>
      </c>
      <c r="T3" s="10" t="n">
        <v>0.3164577355847517</v>
      </c>
      <c r="U3" s="10" t="n">
        <v>0.316466987913937</v>
      </c>
    </row>
    <row r="4">
      <c r="A4" s="4" t="inlineStr">
        <is>
          <t>Operating margin</t>
        </is>
      </c>
      <c r="B4" s="10" t="n">
        <v>0.2346008002927391</v>
      </c>
      <c r="C4" s="10" t="n">
        <v>0.2368610285719238</v>
      </c>
      <c r="D4" s="10" t="n">
        <v>0.2387183788198176</v>
      </c>
      <c r="E4" s="10" t="n">
        <v>0.2402448369002489</v>
      </c>
      <c r="F4" s="10" t="n">
        <v>0.2414995379892343</v>
      </c>
      <c r="G4" s="10" t="n">
        <v>0.2425310590634472</v>
      </c>
      <c r="H4" s="10" t="n">
        <v>0.2433793026878711</v>
      </c>
      <c r="I4" s="10" t="n">
        <v>0.2440770449202446</v>
      </c>
      <c r="J4" s="10" t="n">
        <v>0.2446512071836265</v>
      </c>
      <c r="K4" s="10" t="n">
        <v>0.2451239012997197</v>
      </c>
      <c r="L4" s="10" t="n">
        <v>0.2455132881140143</v>
      </c>
      <c r="M4" s="10" t="n">
        <v>0.2458342829418592</v>
      </c>
      <c r="N4" s="10" t="n">
        <v>0.2460991351447717</v>
      </c>
      <c r="O4" s="10" t="n">
        <v>0.2463179042804989</v>
      </c>
      <c r="P4" s="10" t="n">
        <v>0.2464988512710131</v>
      </c>
      <c r="Q4" s="10" t="n">
        <v>0.2466487597455195</v>
      </c>
      <c r="R4" s="10" t="n">
        <v>0.2467732000139287</v>
      </c>
      <c r="S4" s="10" t="n">
        <v>0.246876745905884</v>
      </c>
      <c r="T4" s="10" t="n">
        <v>0.2469631528856157</v>
      </c>
      <c r="U4" s="10" t="n">
        <v>0.2470355043532487</v>
      </c>
    </row>
    <row r="5">
      <c r="A5" s="4" t="inlineStr">
        <is>
          <t>Net profit</t>
        </is>
      </c>
      <c r="B5" s="8" t="n">
        <v>23122.05950777309</v>
      </c>
      <c r="C5" s="8" t="n">
        <v>29092.80640481138</v>
      </c>
      <c r="D5" s="8" t="n">
        <v>36292.31923643257</v>
      </c>
      <c r="E5" s="8" t="n">
        <v>45001.95320047493</v>
      </c>
      <c r="F5" s="8" t="n">
        <v>55557.27541727814</v>
      </c>
      <c r="G5" s="8" t="n">
        <v>68360.5288266518</v>
      </c>
      <c r="H5" s="8" t="n">
        <v>83895.37564947472</v>
      </c>
      <c r="I5" s="8" t="n">
        <v>102744.4652561909</v>
      </c>
      <c r="J5" s="8" t="n">
        <v>125610.464996896</v>
      </c>
      <c r="K5" s="8" t="n">
        <v>153341.3102398511</v>
      </c>
      <c r="L5" s="8" t="n">
        <v>186960.5753224161</v>
      </c>
      <c r="M5" s="8" t="n">
        <v>227704.0451994073</v>
      </c>
      <c r="N5" s="8" t="n">
        <v>277063.7843605513</v>
      </c>
      <c r="O5" s="8" t="n">
        <v>336841.2625843545</v>
      </c>
      <c r="P5" s="8" t="n">
        <v>409211.4154787064</v>
      </c>
      <c r="Q5" s="8" t="n">
        <v>496799.9026985973</v>
      </c>
      <c r="R5" s="8" t="n">
        <v>602776.2917792804</v>
      </c>
      <c r="S5" s="8" t="n">
        <v>730966.4570873907</v>
      </c>
      <c r="T5" s="8" t="n">
        <v>885988.1613185176</v>
      </c>
      <c r="U5" s="8" t="n">
        <v>1073414.605243922</v>
      </c>
    </row>
    <row r="6">
      <c r="A6" s="4" t="inlineStr">
        <is>
          <t>Attributable profit</t>
        </is>
      </c>
      <c r="B6" s="8" t="n">
        <v>12667.78110292276</v>
      </c>
      <c r="C6" s="8" t="n">
        <v>15938.94795928385</v>
      </c>
      <c r="D6" s="8" t="n">
        <v>19883.3134068341</v>
      </c>
      <c r="E6" s="8" t="n">
        <v>24655.0222810362</v>
      </c>
      <c r="F6" s="8" t="n">
        <v>30437.92026502977</v>
      </c>
      <c r="G6" s="8" t="n">
        <v>37452.38243007485</v>
      </c>
      <c r="H6" s="8" t="n">
        <v>45963.39067104919</v>
      </c>
      <c r="I6" s="8" t="n">
        <v>56290.15853733661</v>
      </c>
      <c r="J6" s="8" t="n">
        <v>68817.65330125947</v>
      </c>
      <c r="K6" s="8" t="n">
        <v>84010.42958568553</v>
      </c>
      <c r="L6" s="8" t="n">
        <v>102429.2685634114</v>
      </c>
      <c r="M6" s="8" t="n">
        <v>124751.2143053874</v>
      </c>
      <c r="N6" s="8" t="n">
        <v>151793.7176248055</v>
      </c>
      <c r="O6" s="8" t="n">
        <v>184543.7418503422</v>
      </c>
      <c r="P6" s="8" t="n">
        <v>224192.8593929429</v>
      </c>
      <c r="Q6" s="8" t="n">
        <v>272179.5788659517</v>
      </c>
      <c r="R6" s="8" t="n">
        <v>330240.3973021708</v>
      </c>
      <c r="S6" s="8" t="n">
        <v>400471.3796731276</v>
      </c>
      <c r="T6" s="8" t="n">
        <v>485402.4393281628</v>
      </c>
      <c r="U6" s="8" t="n">
        <v>588086.9412752348</v>
      </c>
    </row>
    <row r="7">
      <c r="A7" s="4" t="inlineStr">
        <is>
          <t>Earnings per share, EGP</t>
        </is>
      </c>
      <c r="B7" s="9" t="n">
        <v>6.147457230769553</v>
      </c>
      <c r="C7" s="9" t="n">
        <v>7.73489848672487</v>
      </c>
      <c r="D7" s="9" t="n">
        <v>9.64903149031346</v>
      </c>
      <c r="E7" s="9" t="n">
        <v>11.96466009042189</v>
      </c>
      <c r="F7" s="9" t="n">
        <v>14.77100144868089</v>
      </c>
      <c r="G7" s="9" t="n">
        <v>18.17499981320242</v>
      </c>
      <c r="H7" s="9" t="n">
        <v>22.30524635969865</v>
      </c>
      <c r="I7" s="9" t="n">
        <v>27.31664995708479</v>
      </c>
      <c r="J7" s="9" t="n">
        <v>33.39602862997145</v>
      </c>
      <c r="K7" s="9" t="n">
        <v>40.76882278123843</v>
      </c>
      <c r="L7" s="9" t="n">
        <v>49.70716991054557</v>
      </c>
      <c r="M7" s="9" t="n">
        <v>60.53962791099961</v>
      </c>
      <c r="N7" s="9" t="n">
        <v>73.66289166322137</v>
      </c>
      <c r="O7" s="9" t="n">
        <v>89.55591756865817</v>
      </c>
      <c r="P7" s="9" t="n">
        <v>108.7969553124076</v>
      </c>
      <c r="Q7" s="9" t="n">
        <v>132.0840884897559</v>
      </c>
      <c r="R7" s="9" t="n">
        <v>160.2600093728363</v>
      </c>
      <c r="S7" s="9" t="n">
        <v>194.3419023967672</v>
      </c>
      <c r="T7" s="9" t="n">
        <v>235.5574911846729</v>
      </c>
      <c r="U7" s="9" t="n">
        <v>285.3885214853823</v>
      </c>
    </row>
    <row r="8">
      <c r="A8" s="4" t="inlineStr">
        <is>
          <t>New contracted sales</t>
        </is>
      </c>
      <c r="B8" s="8" t="n">
        <v>49732.59775999999</v>
      </c>
      <c r="C8" s="8" t="n">
        <v>75979.88837866664</v>
      </c>
      <c r="D8" s="8" t="n">
        <v>104759.8419432889</v>
      </c>
      <c r="E8" s="8" t="n">
        <v>137031.7902393541</v>
      </c>
      <c r="F8" s="8" t="n">
        <v>173871.464876731</v>
      </c>
      <c r="G8" s="8" t="n">
        <v>216506.8550099991</v>
      </c>
      <c r="H8" s="8" t="n">
        <v>266359.140310267</v>
      </c>
      <c r="I8" s="8" t="n">
        <v>325090.0636208772</v>
      </c>
      <c r="J8" s="8" t="n">
        <v>394657.3223855167</v>
      </c>
      <c r="K8" s="8" t="n">
        <v>477379.8252296733</v>
      </c>
      <c r="L8" s="8" t="n">
        <v>576014.988914819</v>
      </c>
      <c r="M8" s="8" t="n">
        <v>693850.6522304586</v>
      </c>
      <c r="N8" s="8" t="n">
        <v>834814.670620447</v>
      </c>
      <c r="O8" s="8" t="n">
        <v>1003605.844697784</v>
      </c>
      <c r="P8" s="8" t="n">
        <v>1205850.546931713</v>
      </c>
      <c r="Q8" s="8" t="n">
        <v>1448290.267396699</v>
      </c>
      <c r="R8" s="8" t="n">
        <v>1739006.330108242</v>
      </c>
      <c r="S8" s="8" t="n">
        <v>2087689.27049006</v>
      </c>
      <c r="T8" s="8" t="n">
        <v>2505961.853221547</v>
      </c>
      <c r="U8" s="8" t="n">
        <v>3007766.497727085</v>
      </c>
    </row>
    <row r="9">
      <c r="A9" s="4" t="inlineStr">
        <is>
          <t>Order book, closing</t>
        </is>
      </c>
      <c r="B9" s="8" t="n">
        <v>491395.3736</v>
      </c>
      <c r="C9" s="8" t="n">
        <v>508170.5929866667</v>
      </c>
      <c r="D9" s="8" t="n">
        <v>541884.8321395555</v>
      </c>
      <c r="E9" s="8" t="n">
        <v>593661.8990304295</v>
      </c>
      <c r="F9" s="8" t="n">
        <v>665227.6958889846</v>
      </c>
      <c r="G9" s="8" t="n">
        <v>758967.7492771724</v>
      </c>
      <c r="H9" s="8" t="n">
        <v>878006.727641266</v>
      </c>
      <c r="I9" s="8" t="n">
        <v>1026312.596926735</v>
      </c>
      <c r="J9" s="8" t="n">
        <v>1208828.886109762</v>
      </c>
      <c r="K9" s="8" t="n">
        <v>1431639.471496448</v>
      </c>
      <c r="L9" s="8" t="n">
        <v>1702171.372599682</v>
      </c>
      <c r="M9" s="8" t="n">
        <v>2029442.319456238</v>
      </c>
      <c r="N9" s="8" t="n">
        <v>2424361.343628003</v>
      </c>
      <c r="O9" s="8" t="n">
        <v>2900092.412587367</v>
      </c>
      <c r="P9" s="8" t="n">
        <v>3472493.228632978</v>
      </c>
      <c r="Q9" s="8" t="n">
        <v>4160643.818966353</v>
      </c>
      <c r="R9" s="8" t="n">
        <v>4987482.536598608</v>
      </c>
      <c r="S9" s="8" t="n">
        <v>5980570.672117482</v>
      </c>
      <c r="T9" s="8" t="n">
        <v>7173011.163373607</v>
      </c>
      <c r="U9" s="8" t="n">
        <v>8604552.026742186</v>
      </c>
    </row>
    <row r="10">
      <c r="A10" s="4" t="inlineStr">
        <is>
          <t>Order book, years of deliveries</t>
        </is>
      </c>
      <c r="B10" s="9" t="n">
        <v>9.959931511477237</v>
      </c>
      <c r="C10" s="9" t="n">
        <v>8.583285771859192</v>
      </c>
      <c r="D10" s="9" t="n">
        <v>7.627281786013327</v>
      </c>
      <c r="E10" s="9" t="n">
        <v>6.963390129175921</v>
      </c>
      <c r="F10" s="9" t="n">
        <v>6.502354256372167</v>
      </c>
      <c r="G10" s="9" t="n">
        <v>6.182190455814006</v>
      </c>
      <c r="H10" s="9" t="n">
        <v>5.95985448320417</v>
      </c>
      <c r="I10" s="9" t="n">
        <v>5.805454502225119</v>
      </c>
      <c r="J10" s="9" t="n">
        <v>5.698232293211889</v>
      </c>
      <c r="K10" s="9" t="n">
        <v>5.623772425841589</v>
      </c>
      <c r="L10" s="9" t="n">
        <v>5.572064184612215</v>
      </c>
      <c r="M10" s="9" t="n">
        <v>5.536155683758483</v>
      </c>
      <c r="N10" s="9" t="n">
        <v>5.51121922483228</v>
      </c>
      <c r="O10" s="9" t="n">
        <v>5.493902239466861</v>
      </c>
      <c r="P10" s="9" t="n">
        <v>5.481876555185321</v>
      </c>
      <c r="Q10" s="9" t="n">
        <v>5.473525385545361</v>
      </c>
      <c r="R10" s="9" t="n">
        <v>5.467725962184279</v>
      </c>
      <c r="S10" s="9" t="n">
        <v>5.463698584850193</v>
      </c>
      <c r="T10" s="9" t="n">
        <v>5.460901795034857</v>
      </c>
      <c r="U10" s="9" t="n">
        <v>5.458959579885319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6" customWidth="1" min="7" max="7"/>
  </cols>
  <sheetData>
    <row r="1">
      <c r="A1" s="3" t="inlineStr">
        <is>
          <t>Horizon</t>
        </is>
      </c>
      <c r="B1" s="3" t="inlineStr">
        <is>
          <t>5th</t>
        </is>
      </c>
      <c r="C1" s="3" t="inlineStr">
        <is>
          <t>25th</t>
        </is>
      </c>
      <c r="D1" s="3" t="inlineStr">
        <is>
          <t>50th</t>
        </is>
      </c>
      <c r="E1" s="3" t="inlineStr">
        <is>
          <t>75th</t>
        </is>
      </c>
      <c r="F1" s="3" t="inlineStr">
        <is>
          <t>95th</t>
        </is>
      </c>
      <c r="G1" s="3" t="inlineStr">
        <is>
          <t>Resolves</t>
        </is>
      </c>
    </row>
    <row r="2">
      <c r="A2" s="4" t="inlineStr">
        <is>
          <t>1 month</t>
        </is>
      </c>
      <c r="B2" s="9" t="n">
        <v>86.73</v>
      </c>
      <c r="C2" s="9" t="n">
        <v>95</v>
      </c>
      <c r="D2" s="9" t="n">
        <v>99.95</v>
      </c>
      <c r="E2" s="9" t="n">
        <v>105.22</v>
      </c>
      <c r="F2" s="9" t="n">
        <v>115.25</v>
      </c>
      <c r="G2" s="4" t="inlineStr">
        <is>
          <t>2026-09-23</t>
        </is>
      </c>
    </row>
    <row r="3">
      <c r="A3" s="4" t="inlineStr">
        <is>
          <t>3 months</t>
        </is>
      </c>
      <c r="B3" s="9" t="n">
        <v>80.5</v>
      </c>
      <c r="C3" s="9" t="n">
        <v>94.73999999999999</v>
      </c>
      <c r="D3" s="9" t="n">
        <v>103.82</v>
      </c>
      <c r="E3" s="9" t="n">
        <v>113.76</v>
      </c>
      <c r="F3" s="9" t="n">
        <v>133.71</v>
      </c>
      <c r="G3" s="4" t="inlineStr">
        <is>
          <t>2026-11-23</t>
        </is>
      </c>
    </row>
    <row r="5">
      <c r="A5" s="4" t="inlineStr">
        <is>
          <t>These describe the PRICE, not the business. They are produced independently of the valuation and are shown beside it so that agreement is information rather than repetition.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6" customWidth="1" min="1" max="1"/>
    <col width="28" customWidth="1" min="2" max="2"/>
    <col width="28" customWidth="1" min="3" max="3"/>
    <col width="20" customWidth="1" min="4" max="4"/>
  </cols>
  <sheetData>
    <row r="1">
      <c r="A1" s="3" t="inlineStr">
        <is>
          <t>Discount rate</t>
        </is>
      </c>
      <c r="B1" s="3" t="inlineStr">
        <is>
          <t>Slower conversion, EGP/share</t>
        </is>
      </c>
      <c r="C1" s="3" t="inlineStr">
        <is>
          <t>Faster conversion, EGP/share</t>
        </is>
      </c>
      <c r="D1" s="3" t="inlineStr">
        <is>
          <t>Against last close</t>
        </is>
      </c>
    </row>
    <row r="2">
      <c r="A2" s="20" t="n">
        <v>0.24</v>
      </c>
      <c r="B2" s="9" t="n">
        <v>156.0838105097744</v>
      </c>
      <c r="C2" s="9" t="n">
        <v>237.8217269820379</v>
      </c>
      <c r="D2" s="10">
        <f>B2/'Summary'!$B$2-1</f>
        <v/>
      </c>
    </row>
    <row r="3">
      <c r="A3" s="20" t="n">
        <v>0.26</v>
      </c>
      <c r="B3" s="9" t="n">
        <v>105.9103422088017</v>
      </c>
      <c r="C3" s="9" t="n">
        <v>153.406106835808</v>
      </c>
      <c r="D3" s="10">
        <f>B3/'Summary'!$B$2-1</f>
        <v/>
      </c>
    </row>
    <row r="4">
      <c r="A4" s="20" t="n">
        <v>0.28</v>
      </c>
      <c r="B4" s="9" t="n">
        <v>80.87409058419072</v>
      </c>
      <c r="C4" s="9" t="n">
        <v>112.1456638392772</v>
      </c>
      <c r="D4" s="10">
        <f>B4/'Summary'!$B$2-1</f>
        <v/>
      </c>
    </row>
    <row r="5">
      <c r="A5" s="20" t="n">
        <v>0.3157</v>
      </c>
      <c r="B5" s="9" t="n">
        <v>57.75526827071646</v>
      </c>
      <c r="C5" s="9" t="n">
        <v>75.17953446617932</v>
      </c>
      <c r="D5" s="10">
        <f>B5/'Summary'!$B$2-1</f>
        <v/>
      </c>
    </row>
    <row r="6">
      <c r="A6" s="20" t="n">
        <v>0.3237</v>
      </c>
      <c r="B6" s="9" t="n">
        <v>54.41105716024056</v>
      </c>
      <c r="C6" s="9" t="n">
        <v>69.98160596090575</v>
      </c>
      <c r="D6" s="10">
        <f>B6/'Summary'!$B$2-1</f>
        <v/>
      </c>
    </row>
    <row r="7">
      <c r="A7" s="20" t="n">
        <v>0.3579</v>
      </c>
      <c r="B7" s="9" t="n">
        <v>43.94753340268149</v>
      </c>
      <c r="C7" s="9" t="n">
        <v>54.09019265766425</v>
      </c>
      <c r="D7" s="10">
        <f>B7/'Summary'!$B$2-1</f>
        <v/>
      </c>
    </row>
    <row r="8">
      <c r="A8" s="20" t="n">
        <v>0.4</v>
      </c>
      <c r="B8" s="9" t="n">
        <v>35.99240529135729</v>
      </c>
      <c r="C8" s="9" t="n">
        <v>42.5113807850869</v>
      </c>
      <c r="D8" s="10">
        <f>B8/'Summary'!$B$2-1</f>
        <v/>
      </c>
    </row>
    <row r="10">
      <c r="A10" s="3" t="inlineStr">
        <is>
          <t>Years to convert the order book</t>
        </is>
      </c>
      <c r="B10" s="3" t="inlineStr">
        <is>
          <t>EGP per share</t>
        </is>
      </c>
    </row>
    <row r="11">
      <c r="A11" s="4" t="n">
        <v>8</v>
      </c>
      <c r="B11" s="9" t="n">
        <v>43.93936943614966</v>
      </c>
    </row>
    <row r="12">
      <c r="A12" s="4" t="n">
        <v>10</v>
      </c>
      <c r="B12" s="9" t="n">
        <v>43.93936943614966</v>
      </c>
    </row>
    <row r="13">
      <c r="A13" s="4" t="n">
        <v>12</v>
      </c>
      <c r="B13" s="9" t="n">
        <v>43.93936943614966</v>
      </c>
    </row>
    <row r="14">
      <c r="A14" s="4" t="n">
        <v>14</v>
      </c>
      <c r="B14" s="9" t="n">
        <v>43.93936943614966</v>
      </c>
    </row>
    <row r="15">
      <c r="A15" s="4" t="n">
        <v>16</v>
      </c>
      <c r="B15" s="9" t="n">
        <v>43.93936943614966</v>
      </c>
    </row>
    <row r="16">
      <c r="A16" s="4" t="n">
        <v>20</v>
      </c>
      <c r="B16" s="9" t="n">
        <v>43.93936943614966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0" customWidth="1" min="1" max="1"/>
    <col width="16" customWidth="1" min="2" max="2"/>
    <col width="62" customWidth="1" min="3" max="3"/>
  </cols>
  <sheetData>
    <row r="1">
      <c r="A1" s="3" t="inlineStr">
        <is>
          <t>Measure</t>
        </is>
      </c>
      <c r="B1" s="3" t="inlineStr">
        <is>
          <t>Value</t>
        </is>
      </c>
      <c r="C1" s="3" t="inlineStr">
        <is>
          <t>Note</t>
        </is>
      </c>
    </row>
    <row r="2">
      <c r="A2" s="4" t="inlineStr">
        <is>
          <t>Book value per share, EGP</t>
        </is>
      </c>
      <c r="B2" s="18" t="n">
        <v>44.48631788610003</v>
      </c>
    </row>
    <row r="3">
      <c r="A3" s="4" t="inlineStr">
        <is>
          <t>Earnings per share 2025, EGP</t>
        </is>
      </c>
      <c r="B3" s="18" t="n">
        <v>6.98</v>
      </c>
    </row>
    <row r="4">
      <c r="A4" s="4" t="inlineStr">
        <is>
          <t>Price to earnings at last close</t>
        </is>
      </c>
      <c r="B4" s="18">
        <f>'Summary'!B2/B3</f>
        <v/>
      </c>
    </row>
    <row r="5">
      <c r="A5" s="4" t="inlineStr">
        <is>
          <t>Price to book at last close</t>
        </is>
      </c>
      <c r="B5" s="18">
        <f>'Summary'!B2/B2</f>
        <v/>
      </c>
    </row>
    <row r="6">
      <c r="A6" s="4" t="inlineStr">
        <is>
          <t>Return on equity 2025</t>
        </is>
      </c>
      <c r="B6" s="21" t="n">
        <v>0.1665588804905091</v>
      </c>
    </row>
    <row r="7">
      <c r="A7" s="4" t="inlineStr">
        <is>
          <t>Cost of equity, rating basis</t>
        </is>
      </c>
      <c r="B7" s="13" t="n">
        <v>0.3714622808056017</v>
      </c>
    </row>
    <row r="8">
      <c r="A8" s="4" t="inlineStr">
        <is>
          <t>Cost of equity, swap basis</t>
        </is>
      </c>
      <c r="B8" s="13" t="n">
        <v>0.3343918983056465</v>
      </c>
    </row>
    <row r="9">
      <c r="A9" s="4" t="inlineStr">
        <is>
          <t>Net cash, EGP mn</t>
        </is>
      </c>
      <c r="B9" s="7" t="n">
        <v>58766.49999999999</v>
      </c>
    </row>
    <row r="10">
      <c r="A10" s="4" t="inlineStr">
        <is>
          <t>Order book, EGP mn</t>
        </is>
      </c>
      <c r="B10" s="7" t="n">
        <v>491000</v>
      </c>
    </row>
    <row r="11">
      <c r="A11" s="4" t="inlineStr">
        <is>
          <t>Order book per share, EGP</t>
        </is>
      </c>
      <c r="B11" s="18">
        <f>B10/'Summary'!$B$3</f>
        <v/>
      </c>
    </row>
    <row r="12">
      <c r="A12" s="4" t="inlineStr">
        <is>
          <t>Minority share of consolidated equity</t>
        </is>
      </c>
      <c r="B12" s="21" t="n">
        <v>0.4521346660004925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40" customWidth="1" min="1" max="1"/>
    <col width="16" customWidth="1" min="2" max="2"/>
    <col width="14" customWidth="1" min="3" max="3"/>
    <col width="78" customWidth="1" min="4" max="4"/>
  </cols>
  <sheetData>
    <row r="1">
      <c r="A1" s="3" t="inlineStr">
        <is>
          <t>Company</t>
        </is>
      </c>
      <c r="B1" s="3" t="inlineStr">
        <is>
          <t>Last close, EGP</t>
        </is>
      </c>
      <c r="C1" s="3" t="inlineStr">
        <is>
          <t>As at</t>
        </is>
      </c>
      <c r="D1" s="3" t="inlineStr">
        <is>
          <t>Why it is a comparator</t>
        </is>
      </c>
    </row>
    <row r="2">
      <c r="A2" s="4" t="inlineStr">
        <is>
          <t>Emaar Misr for Development</t>
        </is>
      </c>
      <c r="B2" s="9" t="n">
        <v>11.53</v>
      </c>
      <c r="C2" s="4" t="inlineStr">
        <is>
          <t>2026-07-28</t>
        </is>
      </c>
      <c r="D2" s="4" t="inlineStr">
        <is>
          <t>off-plan developer, comparable payment plans and handover clock</t>
        </is>
      </c>
    </row>
    <row r="3">
      <c r="A3" s="4" t="inlineStr">
        <is>
          <t>Sixth of October Development &amp; Investment (SODIC)</t>
        </is>
      </c>
      <c r="B3" s="9" t="n">
        <v>27.48</v>
      </c>
      <c r="C3" s="4" t="inlineStr">
        <is>
          <t>2026-07-27</t>
        </is>
      </c>
      <c r="D3" s="4" t="inlineStr">
        <is>
          <t>integrated-community developer, similar product mix</t>
        </is>
      </c>
    </row>
    <row r="4">
      <c r="A4" s="4" t="inlineStr">
        <is>
          <t>Palm Hills Developments</t>
        </is>
      </c>
      <c r="B4" s="9" t="n">
        <v>15.2</v>
      </c>
      <c r="C4" s="4" t="inlineStr">
        <is>
          <t>2026-08-23</t>
        </is>
      </c>
      <c r="D4" s="4" t="inlineStr">
        <is>
          <t>closest listed comparator by scale and by land position; note it recognises revenue on PERCENTAGE OF COMPLETION, not handover, so its margin and revenue timing are not directly comparable</t>
        </is>
      </c>
    </row>
    <row r="5">
      <c r="A5" s="4" t="inlineStr">
        <is>
          <t>Heliopolis Housing &amp; Development</t>
        </is>
      </c>
      <c r="B5" s="9" t="n">
        <v>7.75</v>
      </c>
      <c r="C5" s="4" t="inlineStr">
        <is>
          <t>2026-08-23</t>
        </is>
      </c>
      <c r="D5" s="4" t="inlineStr">
        <is>
          <t>land-rich developer with a comparable legacy landbank</t>
        </is>
      </c>
    </row>
    <row r="6">
      <c r="A6" s="4" t="inlineStr">
        <is>
          <t>Orascom Development Egypt</t>
        </is>
      </c>
      <c r="B6" s="9" t="n">
        <v>40.16</v>
      </c>
      <c r="C6" s="4" t="inlineStr">
        <is>
          <t>2026-07-27</t>
        </is>
      </c>
      <c r="D6" s="4" t="inlineStr">
        <is>
          <t>developer with a substantial hospitality leg — the nearest listed analogue for TMG's three-segment shape</t>
        </is>
      </c>
    </row>
    <row r="8">
      <c r="A8" s="4" t="inlineStr">
        <is>
          <t>Emaar Properties (DFM: EMAAR)</t>
        </is>
      </c>
      <c r="C8" s="4" t="inlineStr">
        <is>
          <t>UAE</t>
        </is>
      </c>
      <c r="D8" s="4" t="inlineStr">
        <is>
          <t>the regional template for a developer with a large recurring-income and hospitality platform alongside a development book</t>
        </is>
      </c>
    </row>
    <row r="9">
      <c r="A9" s="4" t="inlineStr">
        <is>
          <t>Aldar Properties (ADX: ALDAR)</t>
        </is>
      </c>
      <c r="C9" s="4" t="inlineStr">
        <is>
          <t>UAE</t>
        </is>
      </c>
      <c r="D9" s="4" t="inlineStr">
        <is>
          <t>development plus investment-property and management legs, with a disclosed backlog the market prices explicitly</t>
        </is>
      </c>
    </row>
    <row r="10">
      <c r="A10" s="4" t="inlineStr">
        <is>
          <t>Dar Al Arkan (Tadawul: 4300)</t>
        </is>
      </c>
      <c r="C10" s="4" t="inlineStr">
        <is>
          <t>Saudi Arabia</t>
        </is>
      </c>
      <c r="D10" s="4" t="inlineStr">
        <is>
          <t>the market TMG has just entered with Banan; a reference for how a Saudi development book is priced</t>
        </is>
      </c>
    </row>
    <row r="12">
      <c r="A12" s="4" t="inlineStr">
        <is>
          <t>Peer MULTIPLES are not tabulated here. This study holds committed price libraries for the Egyptian names but has not sourced their financial statements, and a peer multiple built on an unsourced denominator is a number wearing a decimal point. The relative lens is therefore built on TMGH's OWN history of multiples, which is sourced end to end, and the peer set is carried as context with its sourcing 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2026-09-01T12:22:49Z</dcterms:created>
  <dcterms:modified xmlns:dcterms="http://purl.org/dc/terms/" xmlns:xsi="http://www.w3.org/2001/XMLSchema-instance" xsi:type="dcterms:W3CDTF">2026-09-01T12:22:49Z</dcterms:modified>
</cp:coreProperties>
</file>