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2026-09-01</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7"/>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97.8</v>
      </c>
      <c r="C2" s="6" t="inlineStr">
        <is>
          <t>Egyptian Exchange close, 23 August 2026, from the same cleaned price history the probability distribution is fitted to</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t>
        </is>
      </c>
      <c r="D6" s="3" t="inlineStr">
        <is>
          <t>Per share, minority at book</t>
        </is>
      </c>
      <c r="E6" s="3" t="inlineStr">
        <is>
          <t>Per share, minority proportional</t>
        </is>
      </c>
      <c r="F6" s="3" t="inlineStr">
        <is>
          <t>Against last close</t>
        </is>
      </c>
    </row>
    <row r="7">
      <c r="A7" s="4" t="inlineStr">
        <is>
          <t>Rating premium, slower conversion</t>
        </is>
      </c>
      <c r="B7" s="8" t="n">
        <v>97667.3677495489</v>
      </c>
      <c r="C7" s="8" t="n">
        <v>109308.4677495489</v>
      </c>
      <c r="D7" s="9">
        <f>C7/$B$3</f>
        <v/>
      </c>
      <c r="E7" s="9" t="n">
        <v>49.17559016103478</v>
      </c>
      <c r="F7" s="10">
        <f>D7/$B$2-1</f>
        <v/>
      </c>
    </row>
    <row r="8">
      <c r="A8" s="4" t="inlineStr">
        <is>
          <t>Rating premium, faster conversion</t>
        </is>
      </c>
      <c r="B8" s="8" t="n">
        <v>34301.73524063985</v>
      </c>
      <c r="C8" s="8" t="n">
        <v>45942.83524063986</v>
      </c>
      <c r="D8" s="9">
        <f>C8/$B$3</f>
        <v/>
      </c>
      <c r="E8" s="9" t="n">
        <v>32.3285907191181</v>
      </c>
      <c r="F8" s="10">
        <f>D8/$B$2-1</f>
        <v/>
      </c>
    </row>
    <row r="9">
      <c r="A9" s="4" t="inlineStr">
        <is>
          <t>Swap premium, slower conversion</t>
        </is>
      </c>
      <c r="B9" s="8" t="n">
        <v>111318.985505366</v>
      </c>
      <c r="C9" s="8" t="n">
        <v>122960.085505366</v>
      </c>
      <c r="D9" s="9">
        <f>C9/$B$3</f>
        <v/>
      </c>
      <c r="E9" s="9" t="n">
        <v>52.80514119062761</v>
      </c>
      <c r="F9" s="10">
        <f>D9/$B$2-1</f>
        <v/>
      </c>
    </row>
    <row r="10">
      <c r="A10" s="4" t="inlineStr">
        <is>
          <t>Swap premium, faster conversion</t>
        </is>
      </c>
      <c r="B10" s="8" t="n">
        <v>41154.78223798759</v>
      </c>
      <c r="C10" s="8" t="n">
        <v>52795.88223798759</v>
      </c>
      <c r="D10" s="9">
        <f>C10/$B$3</f>
        <v/>
      </c>
      <c r="E10" s="9" t="n">
        <v>34.15060802358537</v>
      </c>
      <c r="F10" s="10">
        <f>D10/$B$2-1</f>
        <v/>
      </c>
    </row>
    <row r="12">
      <c r="A12" s="11" t="inlineStr">
        <is>
          <t>Lowest published case, EGP/share</t>
        </is>
      </c>
      <c r="B12" s="12">
        <f>MIN(D7:E10)</f>
        <v/>
      </c>
    </row>
    <row r="13">
      <c r="A13" s="11" t="inlineStr">
        <is>
          <t>Highest published case, EGP/share</t>
        </is>
      </c>
      <c r="B13" s="12">
        <f>MAX(D7:E10)</f>
        <v/>
      </c>
    </row>
    <row r="15">
      <c r="A15" s="4" t="inlineStr">
        <is>
          <t>Discount rate the last close implies, slower conversion</t>
        </is>
      </c>
      <c r="B15" s="13" t="n">
        <v>0.230888996245817</v>
      </c>
    </row>
    <row r="16">
      <c r="A16" s="4" t="inlineStr">
        <is>
          <t>Discount rate the last close implies, faster conversion</t>
        </is>
      </c>
      <c r="B16" s="13" t="n">
        <v>0.1943462659268372</v>
      </c>
    </row>
    <row r="17">
      <c r="A17" s="4" t="inlineStr">
        <is>
          <t>Discount rate this workbook uses</t>
        </is>
      </c>
      <c r="B17" s="13" t="n">
        <v>0.3579340986813324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22.29527116133718</v>
      </c>
      <c r="C2" s="9" t="n">
        <v>59.67042377781557</v>
      </c>
      <c r="D2" s="4" t="inlineStr">
        <is>
          <t>the order book, hotels and recurring businesses, discounted</t>
        </is>
      </c>
    </row>
    <row r="3">
      <c r="A3" s="4" t="inlineStr">
        <is>
          <t>Book value and sustainable return</t>
        </is>
      </c>
      <c r="B3" s="9" t="n">
        <v>3.326271266868016</v>
      </c>
      <c r="C3" s="9" t="n">
        <v>12.63251646941587</v>
      </c>
      <c r="D3" s="4" t="inlineStr">
        <is>
          <t>return on equity of 16.7% against a cost of equity of 37.1%</t>
        </is>
      </c>
    </row>
    <row r="4">
      <c r="A4" s="4" t="inlineStr">
        <is>
          <t>Normalised earnings power</t>
        </is>
      </c>
      <c r="B4" s="9" t="n">
        <v>15.44112968405148</v>
      </c>
      <c r="C4" s="9" t="n">
        <v>23.76576967997966</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Normalised annual contracted sales, EGP mn</t>
        </is>
      </c>
      <c r="B13" s="16" t="n">
        <v>300000</v>
      </c>
      <c r="C13" s="6" t="inlineStr">
        <is>
          <t>below the 2025 figure and far below 2024's launch year</t>
        </is>
      </c>
    </row>
    <row r="14">
      <c r="A14" s="4" t="inlineStr">
        <is>
          <t>Sales fade toward the delivery rate, a year</t>
        </is>
      </c>
      <c r="B14" s="5" t="n">
        <v>0.85</v>
      </c>
      <c r="C14" s="6" t="inlineStr">
        <is>
          <t>TMG currently sells about ten times what it delivers; that is not a steady state and is not extrapolated</t>
        </is>
      </c>
    </row>
    <row r="15">
      <c r="A15" s="4" t="inlineStr">
        <is>
          <t>Long-run growth</t>
        </is>
      </c>
      <c r="B15" s="14" t="n">
        <v>0.15</v>
      </c>
      <c r="C15" s="6" t="inlineStr">
        <is>
          <t>below Egypt's own nominal growth</t>
        </is>
      </c>
    </row>
    <row r="16">
      <c r="A16" s="4" t="inlineStr">
        <is>
          <t>Tax rate</t>
        </is>
      </c>
      <c r="B16" s="14" t="n">
        <v>0.225</v>
      </c>
      <c r="C16" s="6" t="inlineStr">
        <is>
          <t>Egypt's statutory corporate rate</t>
        </is>
      </c>
    </row>
    <row r="17">
      <c r="A17" s="4" t="inlineStr">
        <is>
          <t>Dividend payout</t>
        </is>
      </c>
      <c r="B17" s="14" t="n">
        <v>0.3</v>
      </c>
      <c r="C17"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88580.39593351606</v>
      </c>
    </row>
    <row r="3">
      <c r="A3" s="4" t="inlineStr">
        <is>
          <t>Present value of the order book beyond it</t>
        </is>
      </c>
      <c r="B3" s="7" t="n">
        <v>1119.374131634537</v>
      </c>
    </row>
    <row r="4">
      <c r="A4" s="4" t="inlineStr">
        <is>
          <t>Present value of the recurring businesses beyond it</t>
        </is>
      </c>
      <c r="B4" s="7" t="n">
        <v>7967.597684398287</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book</t>
        </is>
      </c>
      <c r="B12" s="7" t="n">
        <v>-75652.8</v>
      </c>
    </row>
    <row r="13">
      <c r="A13" s="11" t="inlineStr">
        <is>
          <t>Equity attributable to TMG's shareholders</t>
        </is>
      </c>
      <c r="B13" s="17">
        <f>B11+B12</f>
        <v/>
      </c>
    </row>
    <row r="14">
      <c r="A14" s="4" t="inlineStr">
        <is>
          <t>Shares in issue, million</t>
        </is>
      </c>
      <c r="B14" s="18" t="n">
        <v>2060.6538</v>
      </c>
    </row>
    <row r="15">
      <c r="A15" s="11" t="inlineStr">
        <is>
          <t>Value per share, EGP</t>
        </is>
      </c>
      <c r="B15" s="12">
        <f>B13/B14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92464.74916857143</v>
      </c>
      <c r="D2" s="8" t="n">
        <v>107311.4563147326</v>
      </c>
      <c r="E2" s="8" t="n">
        <v>124240.2267948082</v>
      </c>
      <c r="F2" s="8" t="n">
        <v>142859.3821936546</v>
      </c>
      <c r="G2" s="8" t="n">
        <v>163112.8642584402</v>
      </c>
      <c r="H2" s="8" t="n">
        <v>185226.9656137432</v>
      </c>
      <c r="I2" s="8" t="n">
        <v>209675.5815216762</v>
      </c>
      <c r="J2" s="8" t="n">
        <v>237347.4789805146</v>
      </c>
      <c r="K2" s="8" t="n">
        <v>269394.5989417836</v>
      </c>
    </row>
    <row r="3">
      <c r="A3" s="4" t="inlineStr">
        <is>
          <t>Cost of revenue</t>
        </is>
      </c>
      <c r="B3" s="8" t="n">
        <v>55039.06173834017</v>
      </c>
      <c r="C3" s="8" t="n">
        <v>62994.34796611432</v>
      </c>
      <c r="D3" s="8" t="n">
        <v>72898.80794517475</v>
      </c>
      <c r="E3" s="8" t="n">
        <v>84128.90501953494</v>
      </c>
      <c r="F3" s="8" t="n">
        <v>96355.62019931775</v>
      </c>
      <c r="G3" s="8" t="n">
        <v>109487.8773112017</v>
      </c>
      <c r="H3" s="8" t="n">
        <v>123631.6969740675</v>
      </c>
      <c r="I3" s="8" t="n">
        <v>139062.5929800047</v>
      </c>
      <c r="J3" s="8" t="n">
        <v>156345.8628748016</v>
      </c>
      <c r="K3" s="8" t="n">
        <v>176222.1723307616</v>
      </c>
    </row>
    <row r="4">
      <c r="A4" s="4" t="inlineStr">
        <is>
          <t>Gross profit</t>
        </is>
      </c>
      <c r="B4" s="8" t="n">
        <v>25463.43642165983</v>
      </c>
      <c r="C4" s="8" t="n">
        <v>29470.40120245711</v>
      </c>
      <c r="D4" s="8" t="n">
        <v>34412.64836955789</v>
      </c>
      <c r="E4" s="8" t="n">
        <v>40111.32177527326</v>
      </c>
      <c r="F4" s="8" t="n">
        <v>46503.76199433685</v>
      </c>
      <c r="G4" s="8" t="n">
        <v>53624.98694723855</v>
      </c>
      <c r="H4" s="8" t="n">
        <v>61595.26863967572</v>
      </c>
      <c r="I4" s="8" t="n">
        <v>70612.98854167145</v>
      </c>
      <c r="J4" s="8" t="n">
        <v>81001.61610571301</v>
      </c>
      <c r="K4" s="8" t="n">
        <v>93172.42661102201</v>
      </c>
    </row>
    <row r="5">
      <c r="A5" s="4" t="inlineStr">
        <is>
          <t>Overheads</t>
        </is>
      </c>
      <c r="B5" s="8" t="n">
        <v>5434.795527759074</v>
      </c>
      <c r="C5" s="8" t="n">
        <v>6242.37777389139</v>
      </c>
      <c r="D5" s="8" t="n">
        <v>7244.692229270591</v>
      </c>
      <c r="E5" s="8" t="n">
        <v>8387.568639300927</v>
      </c>
      <c r="F5" s="8" t="n">
        <v>9644.564444464417</v>
      </c>
      <c r="G5" s="8" t="n">
        <v>11011.89510206057</v>
      </c>
      <c r="H5" s="8" t="n">
        <v>12504.83782922092</v>
      </c>
      <c r="I5" s="8" t="n">
        <v>14155.38571820997</v>
      </c>
      <c r="J5" s="8" t="n">
        <v>16023.54022262048</v>
      </c>
      <c r="K5" s="8" t="n">
        <v>18187.06990460499</v>
      </c>
    </row>
    <row r="6">
      <c r="A6" s="4" t="inlineStr">
        <is>
          <t>Depreciation</t>
        </is>
      </c>
      <c r="B6" s="8" t="n">
        <v>1142.6904</v>
      </c>
      <c r="C6" s="8" t="n">
        <v>1156.80214752</v>
      </c>
      <c r="D6" s="8" t="n">
        <v>1176.43701782016</v>
      </c>
      <c r="E6" s="8" t="n">
        <v>1202.695310780206</v>
      </c>
      <c r="F6" s="8" t="n">
        <v>1236.903616764587</v>
      </c>
      <c r="G6" s="8" t="n">
        <v>1280.661359248099</v>
      </c>
      <c r="H6" s="8" t="n">
        <v>1335.896929597144</v>
      </c>
      <c r="I6" s="8" t="n">
        <v>1404.93539482405</v>
      </c>
      <c r="J6" s="8" t="n">
        <v>1490.580169020502</v>
      </c>
      <c r="K6" s="8" t="n">
        <v>1596.211534062009</v>
      </c>
    </row>
    <row r="7">
      <c r="A7" s="4" t="inlineStr">
        <is>
          <t>Operating profit</t>
        </is>
      </c>
      <c r="B7" s="8" t="n">
        <v>18885.95049390076</v>
      </c>
      <c r="C7" s="8" t="n">
        <v>22071.22128104572</v>
      </c>
      <c r="D7" s="8" t="n">
        <v>25991.51912246714</v>
      </c>
      <c r="E7" s="8" t="n">
        <v>30521.05782519213</v>
      </c>
      <c r="F7" s="8" t="n">
        <v>35622.29393310785</v>
      </c>
      <c r="G7" s="8" t="n">
        <v>41332.43048592988</v>
      </c>
      <c r="H7" s="8" t="n">
        <v>47754.53388085766</v>
      </c>
      <c r="I7" s="8" t="n">
        <v>55052.66742863743</v>
      </c>
      <c r="J7" s="8" t="n">
        <v>63487.49571407202</v>
      </c>
      <c r="K7" s="8" t="n">
        <v>73389.14517235501</v>
      </c>
    </row>
    <row r="8">
      <c r="A8" s="4" t="inlineStr">
        <is>
          <t>Free cash flow to the firm</t>
        </is>
      </c>
      <c r="B8" s="8" t="n">
        <v>24854.89925771284</v>
      </c>
      <c r="C8" s="8" t="n">
        <v>32743.19108644899</v>
      </c>
      <c r="D8" s="8" t="n">
        <v>36210.03209729883</v>
      </c>
      <c r="E8" s="8" t="n">
        <v>37358.90075724797</v>
      </c>
      <c r="F8" s="8" t="n">
        <v>37562.72356223088</v>
      </c>
      <c r="G8" s="8" t="n">
        <v>37703.15388024685</v>
      </c>
      <c r="H8" s="8" t="n">
        <v>38340.26262790675</v>
      </c>
      <c r="I8" s="8" t="n">
        <v>39832.36305608287</v>
      </c>
      <c r="J8" s="8" t="n">
        <v>42914.74562117796</v>
      </c>
      <c r="K8" s="8" t="n">
        <v>47810.33193218939</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row>
    <row r="10">
      <c r="A10" s="11" t="inlineStr">
        <is>
          <t>Present value</t>
        </is>
      </c>
      <c r="B10" s="8">
        <f>B8*B9</f>
        <v/>
      </c>
      <c r="C10" s="8">
        <f>C8*C9</f>
        <v/>
      </c>
      <c r="D10" s="8">
        <f>D8*D9</f>
        <v/>
      </c>
      <c r="E10" s="8">
        <f>E8*E9</f>
        <v/>
      </c>
      <c r="F10" s="8">
        <f>F8*F9</f>
        <v/>
      </c>
      <c r="G10" s="8">
        <f>G8*G9</f>
        <v/>
      </c>
      <c r="H10" s="8">
        <f>H8*H9</f>
        <v/>
      </c>
      <c r="I10" s="8">
        <f>I8*I9</f>
        <v/>
      </c>
      <c r="J10" s="8">
        <f>J8*J9</f>
        <v/>
      </c>
      <c r="K10" s="8">
        <f>K8*K9</f>
        <v/>
      </c>
    </row>
    <row r="12">
      <c r="A12" s="11" t="inlineStr">
        <is>
          <t>Sum of the explicit years</t>
        </is>
      </c>
      <c r="B12" s="17">
        <f>SUM(B10:K10)</f>
        <v/>
      </c>
    </row>
    <row r="13">
      <c r="A13" s="4" t="inlineStr">
        <is>
          <t>Order book still unconverted, present value</t>
        </is>
      </c>
      <c r="B13" s="7" t="n">
        <v>1119.374131634537</v>
      </c>
    </row>
    <row r="14">
      <c r="A14" s="4" t="inlineStr">
        <is>
          <t>Recurring businesses beyond the window, present value</t>
        </is>
      </c>
      <c r="B14" s="7" t="n">
        <v>7967.597684398287</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row>
    <row r="2">
      <c r="A2" s="4" t="inlineStr">
        <is>
          <t>Development revenue</t>
        </is>
      </c>
      <c r="B2" s="8" t="n">
        <v>21578.7</v>
      </c>
      <c r="C2" s="8" t="n">
        <v>24518.3</v>
      </c>
      <c r="D2" s="8" t="n">
        <v>36705.7</v>
      </c>
      <c r="E2" s="8" t="n">
        <v>49337.22416</v>
      </c>
      <c r="F2" s="8" t="n">
        <v>54800.46768857143</v>
      </c>
      <c r="G2" s="8" t="n">
        <v>61789.85626913265</v>
      </c>
      <c r="H2" s="8" t="n">
        <v>69218.4627711762</v>
      </c>
      <c r="I2" s="8" t="n">
        <v>76350.33572322357</v>
      </c>
      <c r="J2" s="8" t="n">
        <v>82712.8343305944</v>
      </c>
      <c r="K2" s="8" t="n">
        <v>88028.13722106727</v>
      </c>
      <c r="L2" s="8" t="n">
        <v>92160.0606257667</v>
      </c>
      <c r="M2" s="8" t="n">
        <v>95259.00317929126</v>
      </c>
      <c r="N2" s="8" t="n">
        <v>97583.21009443469</v>
      </c>
    </row>
    <row r="3">
      <c r="A3" s="4" t="inlineStr">
        <is>
          <t>Hospitality revenue</t>
        </is>
      </c>
      <c r="B3" s="8" t="n">
        <v>3540.9</v>
      </c>
      <c r="C3" s="8" t="n">
        <v>11496.5</v>
      </c>
      <c r="D3" s="8" t="n">
        <v>14889.7</v>
      </c>
      <c r="E3" s="8" t="n">
        <v>17867.64</v>
      </c>
      <c r="F3" s="8" t="n">
        <v>21441.168</v>
      </c>
      <c r="G3" s="8" t="n">
        <v>25729.4016</v>
      </c>
      <c r="H3" s="8" t="n">
        <v>30875.28192</v>
      </c>
      <c r="I3" s="8" t="n">
        <v>37050.33830399999</v>
      </c>
      <c r="J3" s="8" t="n">
        <v>44460.40596479999</v>
      </c>
      <c r="K3" s="8" t="n">
        <v>53352.48715775999</v>
      </c>
      <c r="L3" s="8" t="n">
        <v>64022.98458931198</v>
      </c>
      <c r="M3" s="8" t="n">
        <v>76827.58150717439</v>
      </c>
      <c r="N3" s="8" t="n">
        <v>92193.09780860925</v>
      </c>
    </row>
    <row r="4">
      <c r="A4" s="4" t="inlineStr">
        <is>
          <t>Other recurring revenue</t>
        </is>
      </c>
      <c r="B4" s="8" t="n">
        <v>3311.7</v>
      </c>
      <c r="C4" s="8" t="n">
        <v>6655.5</v>
      </c>
      <c r="D4" s="8" t="n">
        <v>10899.7</v>
      </c>
      <c r="E4" s="8" t="n">
        <v>13297.634</v>
      </c>
      <c r="F4" s="8" t="n">
        <v>16223.11348</v>
      </c>
      <c r="G4" s="8" t="n">
        <v>19792.1984456</v>
      </c>
      <c r="H4" s="8" t="n">
        <v>24146.482103632</v>
      </c>
      <c r="I4" s="8" t="n">
        <v>29458.70816643104</v>
      </c>
      <c r="J4" s="8" t="n">
        <v>35939.62396304587</v>
      </c>
      <c r="K4" s="8" t="n">
        <v>43846.34123491596</v>
      </c>
      <c r="L4" s="8" t="n">
        <v>53492.53630659747</v>
      </c>
      <c r="M4" s="8" t="n">
        <v>65260.89429404891</v>
      </c>
      <c r="N4" s="8" t="n">
        <v>79618.29103873967</v>
      </c>
    </row>
    <row r="5">
      <c r="A5" s="4" t="inlineStr">
        <is>
          <t>Gross profit</t>
        </is>
      </c>
      <c r="B5" s="8" t="n">
        <v>8637.299999999999</v>
      </c>
      <c r="C5" s="8" t="n">
        <v>15300.2</v>
      </c>
      <c r="D5" s="8" t="n">
        <v>20855.4</v>
      </c>
      <c r="E5" s="8" t="n">
        <v>25463.43642165983</v>
      </c>
      <c r="F5" s="8" t="n">
        <v>29470.40120245711</v>
      </c>
      <c r="G5" s="8" t="n">
        <v>34412.64836955789</v>
      </c>
      <c r="H5" s="8" t="n">
        <v>40111.32177527326</v>
      </c>
      <c r="I5" s="8" t="n">
        <v>46503.76199433685</v>
      </c>
      <c r="J5" s="8" t="n">
        <v>53624.98694723855</v>
      </c>
      <c r="K5" s="8" t="n">
        <v>61595.26863967572</v>
      </c>
      <c r="L5" s="8" t="n">
        <v>70612.98854167145</v>
      </c>
      <c r="M5" s="8" t="n">
        <v>81001.61610571301</v>
      </c>
      <c r="N5" s="8" t="n">
        <v>93172.42661102201</v>
      </c>
    </row>
    <row r="6">
      <c r="A6" s="4" t="inlineStr">
        <is>
          <t>Net profit</t>
        </is>
      </c>
      <c r="B6" s="8" t="n">
        <v>3347.3</v>
      </c>
      <c r="C6" s="8" t="n">
        <v>14467.5</v>
      </c>
      <c r="D6" s="8" t="n">
        <v>18202</v>
      </c>
      <c r="E6" s="8" t="n">
        <v>23122.05950777309</v>
      </c>
      <c r="F6" s="8" t="n">
        <v>30169.34635209502</v>
      </c>
      <c r="G6" s="8" t="n">
        <v>39539.12828247499</v>
      </c>
      <c r="H6" s="8" t="n">
        <v>50661.12043045783</v>
      </c>
      <c r="I6" s="8" t="n">
        <v>63300.70955793542</v>
      </c>
      <c r="J6" s="8" t="n">
        <v>77468.13637203586</v>
      </c>
      <c r="K6" s="8" t="n">
        <v>93358.19935873547</v>
      </c>
      <c r="L6" s="8" t="n">
        <v>111312.6308808015</v>
      </c>
      <c r="M6" s="8" t="n">
        <v>131828.1223648613</v>
      </c>
      <c r="N6" s="8" t="n">
        <v>155602.1894433076</v>
      </c>
    </row>
    <row r="7">
      <c r="A7" s="4" t="inlineStr">
        <is>
          <t>Attributable profit</t>
        </is>
      </c>
      <c r="B7" s="8" t="n">
        <v>3313.3</v>
      </c>
      <c r="C7" s="8" t="n">
        <v>10723.1</v>
      </c>
      <c r="D7" s="8" t="n">
        <v>14383.9</v>
      </c>
      <c r="E7" s="8" t="n">
        <v>12667.78110292276</v>
      </c>
      <c r="F7" s="8" t="n">
        <v>16528.74716796406</v>
      </c>
      <c r="G7" s="8" t="n">
        <v>21662.12840661506</v>
      </c>
      <c r="H7" s="8" t="n">
        <v>27755.48535484487</v>
      </c>
      <c r="I7" s="8" t="n">
        <v>34680.28148920053</v>
      </c>
      <c r="J7" s="8" t="n">
        <v>42442.12734088036</v>
      </c>
      <c r="K7" s="8" t="n">
        <v>51147.74630010395</v>
      </c>
      <c r="L7" s="8" t="n">
        <v>60984.36177427862</v>
      </c>
      <c r="M7" s="8" t="n">
        <v>72224.09391196206</v>
      </c>
      <c r="N7" s="8" t="n">
        <v>85249.08753654447</v>
      </c>
    </row>
    <row r="8">
      <c r="A8" s="4" t="inlineStr">
        <is>
          <t>Earnings per share, EGP</t>
        </is>
      </c>
      <c r="B8" s="9" t="n">
        <v>1.60788774902412</v>
      </c>
      <c r="C8" s="9" t="n">
        <v>5.203736794603732</v>
      </c>
      <c r="D8" s="9" t="n">
        <v>6.980260342615533</v>
      </c>
      <c r="E8" s="9" t="n">
        <v>6.147457230769553</v>
      </c>
      <c r="F8" s="9" t="n">
        <v>8.021117942258936</v>
      </c>
      <c r="G8" s="9" t="n">
        <v>10.5122599471173</v>
      </c>
      <c r="H8" s="9" t="n">
        <v>13.46926172404354</v>
      </c>
      <c r="I8" s="9" t="n">
        <v>16.82974669942157</v>
      </c>
      <c r="J8" s="9" t="n">
        <v>20.5964375679604</v>
      </c>
      <c r="K8" s="9" t="n">
        <v>24.82112536327254</v>
      </c>
      <c r="L8" s="9" t="n">
        <v>29.59466639873162</v>
      </c>
      <c r="M8" s="9" t="n">
        <v>35.04911592231653</v>
      </c>
      <c r="N8" s="9" t="n">
        <v>41.36992227250617</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row>
    <row r="2">
      <c r="A2" s="4" t="inlineStr">
        <is>
          <t>Cash and deposits</t>
        </is>
      </c>
      <c r="C2" s="8" t="n">
        <v>105313.412801836</v>
      </c>
      <c r="D2" s="8" t="n">
        <v>146162.1295971803</v>
      </c>
      <c r="E2" s="8" t="n">
        <v>195269.2241350576</v>
      </c>
      <c r="F2" s="8" t="n">
        <v>251308.7799017861</v>
      </c>
      <c r="G2" s="8" t="n">
        <v>314160.8507770336</v>
      </c>
      <c r="H2" s="8" t="n">
        <v>384566.8692004566</v>
      </c>
      <c r="I2" s="8" t="n">
        <v>463911.2435394029</v>
      </c>
      <c r="J2" s="8" t="n">
        <v>554095.1116868096</v>
      </c>
      <c r="K2" s="8" t="n">
        <v>657967.9423208544</v>
      </c>
      <c r="L2" s="8" t="n">
        <v>778929.149926813</v>
      </c>
    </row>
    <row r="3">
      <c r="A3" s="4" t="inlineStr">
        <is>
          <t>Properties under development</t>
        </is>
      </c>
      <c r="B3" s="8" t="n">
        <v>148315.4</v>
      </c>
      <c r="C3" s="8" t="n">
        <v>147460.4685</v>
      </c>
      <c r="D3" s="8" t="n">
        <v>150830.4417983096</v>
      </c>
      <c r="E3" s="8" t="n">
        <v>158489.6057412495</v>
      </c>
      <c r="F3" s="8" t="n">
        <v>169688.1411707072</v>
      </c>
      <c r="G3" s="8" t="n">
        <v>183323.3402639077</v>
      </c>
      <c r="H3" s="8" t="n">
        <v>198221.1542191824</v>
      </c>
      <c r="I3" s="8" t="n">
        <v>213297.0670076518</v>
      </c>
      <c r="J3" s="8" t="n">
        <v>227637.7040256884</v>
      </c>
      <c r="K3" s="8" t="n">
        <v>240668.4586092294</v>
      </c>
      <c r="L3" s="8" t="n">
        <v>252147.9821618951</v>
      </c>
    </row>
    <row r="4">
      <c r="A4" s="4" t="inlineStr">
        <is>
          <t>Property, plant and equipment</t>
        </is>
      </c>
      <c r="B4" s="8" t="n">
        <v>73322.7</v>
      </c>
      <c r="C4" s="8" t="n">
        <v>96400.17895999999</v>
      </c>
      <c r="D4" s="8" t="n">
        <v>98036.41815167999</v>
      </c>
      <c r="E4" s="8" t="n">
        <v>100224.6092316838</v>
      </c>
      <c r="F4" s="8" t="n">
        <v>103075.3013970489</v>
      </c>
      <c r="G4" s="8" t="n">
        <v>106721.7799373416</v>
      </c>
      <c r="H4" s="8" t="n">
        <v>111324.7441330953</v>
      </c>
      <c r="I4" s="8" t="n">
        <v>117077.9495686708</v>
      </c>
      <c r="J4" s="8" t="n">
        <v>124215.0140850418</v>
      </c>
      <c r="K4" s="8" t="n">
        <v>133017.6278385007</v>
      </c>
      <c r="L4" s="8" t="n">
        <v>143825.4577268492</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row>
    <row r="6">
      <c r="A6" s="4" t="inlineStr">
        <is>
          <t>Total assets</t>
        </is>
      </c>
      <c r="B6" s="8" t="n">
        <v>477897.9</v>
      </c>
      <c r="C6" s="8" t="n">
        <v>507758.960261836</v>
      </c>
      <c r="D6" s="8" t="n">
        <v>553613.8895471699</v>
      </c>
      <c r="E6" s="8" t="n">
        <v>612568.339107991</v>
      </c>
      <c r="F6" s="8" t="n">
        <v>682657.1224695422</v>
      </c>
      <c r="G6" s="8" t="n">
        <v>762790.8709782829</v>
      </c>
      <c r="H6" s="8" t="n">
        <v>852697.6675527343</v>
      </c>
      <c r="I6" s="8" t="n">
        <v>952871.1601157255</v>
      </c>
      <c r="J6" s="8" t="n">
        <v>1064532.72979754</v>
      </c>
      <c r="K6" s="8" t="n">
        <v>1190238.928768585</v>
      </c>
      <c r="L6" s="8" t="n">
        <v>1333487.489815557</v>
      </c>
    </row>
    <row r="7">
      <c r="A7" s="4" t="inlineStr">
        <is>
          <t>Customer advances</t>
        </is>
      </c>
      <c r="B7" s="8" t="n">
        <v>133993.1</v>
      </c>
      <c r="C7" s="8" t="n">
        <v>144532.4350849398</v>
      </c>
      <c r="D7" s="8" t="n">
        <v>165176.6421685679</v>
      </c>
      <c r="E7" s="8" t="n">
        <v>191090.6019688985</v>
      </c>
      <c r="F7" s="8" t="n">
        <v>218844.9105064454</v>
      </c>
      <c r="G7" s="8" t="n">
        <v>246082.0339040108</v>
      </c>
      <c r="H7" s="8" t="n">
        <v>271253.3323086904</v>
      </c>
      <c r="I7" s="8" t="n">
        <v>293412.9494029774</v>
      </c>
      <c r="J7" s="8" t="n">
        <v>312057.1967362739</v>
      </c>
      <c r="K7" s="8" t="n">
        <v>327602.5015160459</v>
      </c>
      <c r="L7" s="8" t="n">
        <v>340823.5993806744</v>
      </c>
    </row>
    <row r="8">
      <c r="A8" s="4" t="inlineStr">
        <is>
          <t>Borrowings</t>
        </is>
      </c>
      <c r="C8" s="8" t="n">
        <v>16493</v>
      </c>
      <c r="D8" s="8" t="n">
        <v>16493</v>
      </c>
      <c r="E8" s="8" t="n">
        <v>16493</v>
      </c>
      <c r="F8" s="8" t="n">
        <v>16493</v>
      </c>
      <c r="G8" s="8" t="n">
        <v>16493</v>
      </c>
      <c r="H8" s="8" t="n">
        <v>16493</v>
      </c>
      <c r="I8" s="8" t="n">
        <v>16493</v>
      </c>
      <c r="J8" s="8" t="n">
        <v>16493</v>
      </c>
      <c r="K8" s="8" t="n">
        <v>16493</v>
      </c>
      <c r="L8" s="8" t="n">
        <v>16493</v>
      </c>
    </row>
    <row r="9">
      <c r="A9" s="4" t="inlineStr">
        <is>
          <t>Total liabilities</t>
        </is>
      </c>
      <c r="B9" s="8" t="n">
        <v>310574.2</v>
      </c>
      <c r="C9" s="8" t="n">
        <v>321113.5350849398</v>
      </c>
      <c r="D9" s="8" t="n">
        <v>341757.742168568</v>
      </c>
      <c r="E9" s="8" t="n">
        <v>367671.7019688985</v>
      </c>
      <c r="F9" s="8" t="n">
        <v>395426.0105064454</v>
      </c>
      <c r="G9" s="8" t="n">
        <v>422663.1339040109</v>
      </c>
      <c r="H9" s="8" t="n">
        <v>447834.4323086904</v>
      </c>
      <c r="I9" s="8" t="n">
        <v>469994.0494029773</v>
      </c>
      <c r="J9" s="8" t="n">
        <v>488638.2967362739</v>
      </c>
      <c r="K9" s="8" t="n">
        <v>504183.6015160459</v>
      </c>
      <c r="L9" s="8" t="n">
        <v>517404.6993806744</v>
      </c>
    </row>
    <row r="10">
      <c r="A10" s="4" t="inlineStr">
        <is>
          <t>Equity attributable to TMG</t>
        </is>
      </c>
      <c r="B10" s="8" t="n">
        <v>91670.89999999999</v>
      </c>
      <c r="C10" s="8" t="n">
        <v>100538.3467720459</v>
      </c>
      <c r="D10" s="8" t="n">
        <v>112108.4697896208</v>
      </c>
      <c r="E10" s="8" t="n">
        <v>127271.9596742513</v>
      </c>
      <c r="F10" s="8" t="n">
        <v>146700.7994226427</v>
      </c>
      <c r="G10" s="8" t="n">
        <v>170976.9964650831</v>
      </c>
      <c r="H10" s="8" t="n">
        <v>200686.4856036993</v>
      </c>
      <c r="I10" s="8" t="n">
        <v>236489.9080137721</v>
      </c>
      <c r="J10" s="8" t="n">
        <v>279178.9612557671</v>
      </c>
      <c r="K10" s="8" t="n">
        <v>329735.8269941406</v>
      </c>
      <c r="L10" s="8" t="n">
        <v>389410.1882697217</v>
      </c>
    </row>
    <row r="11">
      <c r="A11" s="4" t="inlineStr">
        <is>
          <t>Non-controlling interests</t>
        </is>
      </c>
      <c r="B11" s="8" t="n">
        <v>75652.8</v>
      </c>
      <c r="C11" s="8" t="n">
        <v>86107.07840485034</v>
      </c>
      <c r="D11" s="8" t="n">
        <v>99747.6775889813</v>
      </c>
      <c r="E11" s="8" t="n">
        <v>117624.6774648412</v>
      </c>
      <c r="F11" s="8" t="n">
        <v>140530.3125404542</v>
      </c>
      <c r="G11" s="8" t="n">
        <v>169150.7406091891</v>
      </c>
      <c r="H11" s="8" t="n">
        <v>204176.7496403446</v>
      </c>
      <c r="I11" s="8" t="n">
        <v>246387.2026989761</v>
      </c>
      <c r="J11" s="8" t="n">
        <v>296715.4718054989</v>
      </c>
      <c r="K11" s="8" t="n">
        <v>356319.5002583982</v>
      </c>
      <c r="L11" s="8" t="n">
        <v>426672.6021651613</v>
      </c>
    </row>
    <row r="12">
      <c r="A12" s="4" t="inlineStr">
        <is>
          <t>Total equity</t>
        </is>
      </c>
      <c r="B12" s="8" t="n">
        <v>167323.6</v>
      </c>
      <c r="C12" s="8" t="n">
        <v>186645.4251768963</v>
      </c>
      <c r="D12" s="8" t="n">
        <v>211856.1473786021</v>
      </c>
      <c r="E12" s="8" t="n">
        <v>244896.6371390925</v>
      </c>
      <c r="F12" s="8" t="n">
        <v>287231.1119630969</v>
      </c>
      <c r="G12" s="8" t="n">
        <v>340127.7370742721</v>
      </c>
      <c r="H12" s="8" t="n">
        <v>404863.2352440439</v>
      </c>
      <c r="I12" s="8" t="n">
        <v>482877.1107127481</v>
      </c>
      <c r="J12" s="8" t="n">
        <v>575894.4330612661</v>
      </c>
      <c r="K12" s="8" t="n">
        <v>686055.3272525388</v>
      </c>
      <c r="L12" s="8" t="n">
        <v>816082.790434883</v>
      </c>
    </row>
    <row r="13">
      <c r="A13" s="11" t="inlineStr">
        <is>
          <t>Assets less liabilities less equity</t>
        </is>
      </c>
      <c r="C13" s="9" t="n">
        <v>-5.820766091346741e-11</v>
      </c>
      <c r="D13" s="9" t="n">
        <v>-1.164153218269348e-10</v>
      </c>
      <c r="E13" s="9" t="n">
        <v>-8.731149137020111e-11</v>
      </c>
      <c r="F13" s="9" t="n">
        <v>-1.164153218269348e-10</v>
      </c>
      <c r="G13" s="9" t="n">
        <v>-1.164153218269348e-10</v>
      </c>
      <c r="H13" s="9" t="n">
        <v>0</v>
      </c>
      <c r="I13" s="9" t="n">
        <v>0</v>
      </c>
      <c r="J13" s="9" t="n">
        <v>-2.328306436538696e-10</v>
      </c>
      <c r="K13" s="9" t="n">
        <v>-1.164153218269348e-10</v>
      </c>
      <c r="L13" s="9"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Operating cash flow</t>
        </is>
      </c>
      <c r="B2" s="8" t="n">
        <v>35659.01649271284</v>
      </c>
      <c r="C2" s="8" t="n">
        <v>48600.38228493357</v>
      </c>
      <c r="D2" s="8" t="n">
        <v>58970.36115768577</v>
      </c>
      <c r="E2" s="8" t="n">
        <v>68419.58884932718</v>
      </c>
      <c r="F2" s="8" t="n">
        <v>78139.53747906498</v>
      </c>
      <c r="G2" s="8" t="n">
        <v>89022.2821806889</v>
      </c>
      <c r="H2" s="8" t="n">
        <v>101777.8005941502</v>
      </c>
      <c r="I2" s="8" t="n">
        <v>117021.1765908854</v>
      </c>
      <c r="J2" s="8" t="n">
        <v>135833.2527301129</v>
      </c>
      <c r="K2" s="8" t="n">
        <v>158939.9752893324</v>
      </c>
    </row>
    <row r="3">
      <c r="A3" s="4" t="inlineStr">
        <is>
          <t>Capital spend</t>
        </is>
      </c>
      <c r="B3" s="8" t="n">
        <v>-2318.66936</v>
      </c>
      <c r="C3" s="8" t="n">
        <v>-2793.0413392</v>
      </c>
      <c r="D3" s="8" t="n">
        <v>-3364.628097824</v>
      </c>
      <c r="E3" s="8" t="n">
        <v>-4053.38747614528</v>
      </c>
      <c r="F3" s="8" t="n">
        <v>-4883.382157057241</v>
      </c>
      <c r="G3" s="8" t="n">
        <v>-5883.625555001834</v>
      </c>
      <c r="H3" s="8" t="n">
        <v>-7089.102365172638</v>
      </c>
      <c r="I3" s="8" t="n">
        <v>-8541.999911195097</v>
      </c>
      <c r="J3" s="8" t="n">
        <v>-10293.1939224794</v>
      </c>
      <c r="K3" s="8" t="n">
        <v>-12404.04142241051</v>
      </c>
    </row>
    <row r="4">
      <c r="A4" s="4" t="inlineStr">
        <is>
          <t>Dividends</t>
        </is>
      </c>
      <c r="B4" s="8" t="n">
        <v>-3800.334330876827</v>
      </c>
      <c r="C4" s="8" t="n">
        <v>-4958.624150389217</v>
      </c>
      <c r="D4" s="8" t="n">
        <v>-6498.638521984519</v>
      </c>
      <c r="E4" s="8" t="n">
        <v>-8326.645606453461</v>
      </c>
      <c r="F4" s="8" t="n">
        <v>-10404.08444676016</v>
      </c>
      <c r="G4" s="8" t="n">
        <v>-12732.63820226411</v>
      </c>
      <c r="H4" s="8" t="n">
        <v>-15344.32389003118</v>
      </c>
      <c r="I4" s="8" t="n">
        <v>-18295.30853228359</v>
      </c>
      <c r="J4" s="8" t="n">
        <v>-21667.22817358862</v>
      </c>
      <c r="K4" s="8" t="n">
        <v>-25574.72626096334</v>
      </c>
    </row>
    <row r="5">
      <c r="A5" s="4" t="inlineStr">
        <is>
          <t>Movement in customer advances</t>
        </is>
      </c>
      <c r="B5" s="8" t="n">
        <v>10539.33508493975</v>
      </c>
      <c r="C5" s="8" t="n">
        <v>20644.20708362815</v>
      </c>
      <c r="D5" s="8" t="n">
        <v>25913.95980033056</v>
      </c>
      <c r="E5" s="8" t="n">
        <v>27754.30853754688</v>
      </c>
      <c r="F5" s="8" t="n">
        <v>27237.12339756546</v>
      </c>
      <c r="G5" s="8" t="n">
        <v>25171.29840467956</v>
      </c>
      <c r="H5" s="8" t="n">
        <v>22159.61709428694</v>
      </c>
      <c r="I5" s="8" t="n">
        <v>18644.24733329655</v>
      </c>
      <c r="J5" s="8" t="n">
        <v>15545.30477977198</v>
      </c>
      <c r="K5" s="8" t="n">
        <v>13221.09786462855</v>
      </c>
    </row>
    <row r="6">
      <c r="A6" s="4" t="inlineStr">
        <is>
          <t>Movement in work in progress</t>
        </is>
      </c>
      <c r="B6" s="8" t="n">
        <v>854.9315000000061</v>
      </c>
      <c r="C6" s="8" t="n">
        <v>-3369.973298309596</v>
      </c>
      <c r="D6" s="8" t="n">
        <v>-7659.163942939929</v>
      </c>
      <c r="E6" s="8" t="n">
        <v>-11198.53542945773</v>
      </c>
      <c r="F6" s="8" t="n">
        <v>-13635.19909320051</v>
      </c>
      <c r="G6" s="8" t="n">
        <v>-14897.81395527464</v>
      </c>
      <c r="H6" s="8" t="n">
        <v>-15075.91278846937</v>
      </c>
      <c r="I6" s="8" t="n">
        <v>-14340.63701803664</v>
      </c>
      <c r="J6" s="8" t="n">
        <v>-13030.75458354094</v>
      </c>
      <c r="K6" s="8" t="n">
        <v>-11479.52355266579</v>
      </c>
    </row>
    <row r="7">
      <c r="A7" s="4" t="inlineStr">
        <is>
          <t>Free cash flow to the firm</t>
        </is>
      </c>
      <c r="B7" s="8" t="n">
        <v>24854.89925771284</v>
      </c>
      <c r="C7" s="8" t="n">
        <v>32743.19108644899</v>
      </c>
      <c r="D7" s="8" t="n">
        <v>36210.03209729883</v>
      </c>
      <c r="E7" s="8" t="n">
        <v>37358.90075724797</v>
      </c>
      <c r="F7" s="8" t="n">
        <v>37562.72356223088</v>
      </c>
      <c r="G7" s="8" t="n">
        <v>37703.15388024685</v>
      </c>
      <c r="H7" s="8" t="n">
        <v>38340.26262790675</v>
      </c>
      <c r="I7" s="8" t="n">
        <v>39832.36305608287</v>
      </c>
      <c r="J7" s="8" t="n">
        <v>42914.74562117796</v>
      </c>
      <c r="K7" s="8" t="n">
        <v>47810.33193218939</v>
      </c>
    </row>
    <row r="8">
      <c r="A8" s="4" t="inlineStr">
        <is>
          <t>Closing cash and deposits</t>
        </is>
      </c>
      <c r="B8" s="8" t="n">
        <v>105313.412801836</v>
      </c>
      <c r="C8" s="8" t="n">
        <v>146162.1295971803</v>
      </c>
      <c r="D8" s="8" t="n">
        <v>195269.2241350576</v>
      </c>
      <c r="E8" s="8" t="n">
        <v>251308.7799017861</v>
      </c>
      <c r="F8" s="8" t="n">
        <v>314160.8507770336</v>
      </c>
      <c r="G8" s="8" t="n">
        <v>384566.8692004566</v>
      </c>
      <c r="H8" s="8" t="n">
        <v>463911.2435394029</v>
      </c>
      <c r="I8" s="8" t="n">
        <v>554095.1116868096</v>
      </c>
      <c r="J8" s="8" t="n">
        <v>657967.9423208544</v>
      </c>
      <c r="K8" s="8" t="n">
        <v>778929.149926813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92464.74916857143</v>
      </c>
      <c r="D2" s="8" t="n">
        <v>107311.4563147326</v>
      </c>
      <c r="E2" s="8" t="n">
        <v>124240.2267948082</v>
      </c>
      <c r="F2" s="8" t="n">
        <v>142859.3821936546</v>
      </c>
      <c r="G2" s="8" t="n">
        <v>163112.8642584402</v>
      </c>
      <c r="H2" s="8" t="n">
        <v>185226.9656137432</v>
      </c>
      <c r="I2" s="8" t="n">
        <v>209675.5815216762</v>
      </c>
      <c r="J2" s="8" t="n">
        <v>237347.4789805146</v>
      </c>
      <c r="K2" s="8" t="n">
        <v>269394.5989417836</v>
      </c>
    </row>
    <row r="3">
      <c r="A3" s="4" t="inlineStr">
        <is>
          <t>Gross margin</t>
        </is>
      </c>
      <c r="B3" s="10" t="n">
        <v>0.316306164450336</v>
      </c>
      <c r="C3" s="10" t="n">
        <v>0.3187203930952104</v>
      </c>
      <c r="D3" s="10" t="n">
        <v>0.320680098391633</v>
      </c>
      <c r="E3" s="10" t="n">
        <v>0.322852934271603</v>
      </c>
      <c r="F3" s="10" t="n">
        <v>0.3255212312993078</v>
      </c>
      <c r="G3" s="10" t="n">
        <v>0.3287600103832015</v>
      </c>
      <c r="H3" s="10" t="n">
        <v>0.3325394249999287</v>
      </c>
      <c r="I3" s="10" t="n">
        <v>0.3367725894890222</v>
      </c>
      <c r="J3" s="10" t="n">
        <v>0.3412786032261289</v>
      </c>
      <c r="K3" s="10" t="n">
        <v>0.3458585546147369</v>
      </c>
    </row>
    <row r="4">
      <c r="A4" s="4" t="inlineStr">
        <is>
          <t>Operating margin</t>
        </is>
      </c>
      <c r="B4" s="10" t="n">
        <v>0.2346008002927391</v>
      </c>
      <c r="C4" s="10" t="n">
        <v>0.2386987633612452</v>
      </c>
      <c r="D4" s="10" t="n">
        <v>0.2422063777257564</v>
      </c>
      <c r="E4" s="10" t="n">
        <v>0.2456616396523477</v>
      </c>
      <c r="F4" s="10" t="n">
        <v>0.2493521488481565</v>
      </c>
      <c r="G4" s="10" t="n">
        <v>0.2533977358183209</v>
      </c>
      <c r="H4" s="10" t="n">
        <v>0.2578163159053254</v>
      </c>
      <c r="I4" s="10" t="n">
        <v>0.2625611767908516</v>
      </c>
      <c r="J4" s="10" t="n">
        <v>0.2674875502650025</v>
      </c>
      <c r="K4" s="10" t="n">
        <v>0.272422481596279</v>
      </c>
    </row>
    <row r="5">
      <c r="A5" s="4" t="inlineStr">
        <is>
          <t>Net profit</t>
        </is>
      </c>
      <c r="B5" s="8" t="n">
        <v>23122.05950777309</v>
      </c>
      <c r="C5" s="8" t="n">
        <v>30169.34635209502</v>
      </c>
      <c r="D5" s="8" t="n">
        <v>39539.12828247499</v>
      </c>
      <c r="E5" s="8" t="n">
        <v>50661.12043045783</v>
      </c>
      <c r="F5" s="8" t="n">
        <v>63300.70955793542</v>
      </c>
      <c r="G5" s="8" t="n">
        <v>77468.13637203586</v>
      </c>
      <c r="H5" s="8" t="n">
        <v>93358.19935873547</v>
      </c>
      <c r="I5" s="8" t="n">
        <v>111312.6308808015</v>
      </c>
      <c r="J5" s="8" t="n">
        <v>131828.1223648613</v>
      </c>
      <c r="K5" s="8" t="n">
        <v>155602.1894433076</v>
      </c>
    </row>
    <row r="6">
      <c r="A6" s="4" t="inlineStr">
        <is>
          <t>Attributable profit</t>
        </is>
      </c>
      <c r="B6" s="8" t="n">
        <v>12667.78110292276</v>
      </c>
      <c r="C6" s="8" t="n">
        <v>16528.74716796406</v>
      </c>
      <c r="D6" s="8" t="n">
        <v>21662.12840661506</v>
      </c>
      <c r="E6" s="8" t="n">
        <v>27755.48535484487</v>
      </c>
      <c r="F6" s="8" t="n">
        <v>34680.28148920053</v>
      </c>
      <c r="G6" s="8" t="n">
        <v>42442.12734088036</v>
      </c>
      <c r="H6" s="8" t="n">
        <v>51147.74630010395</v>
      </c>
      <c r="I6" s="8" t="n">
        <v>60984.36177427862</v>
      </c>
      <c r="J6" s="8" t="n">
        <v>72224.09391196206</v>
      </c>
      <c r="K6" s="8" t="n">
        <v>85249.08753654447</v>
      </c>
    </row>
    <row r="7">
      <c r="A7" s="4" t="inlineStr">
        <is>
          <t>Earnings per share, EGP</t>
        </is>
      </c>
      <c r="B7" s="9" t="n">
        <v>6.147457230769553</v>
      </c>
      <c r="C7" s="9" t="n">
        <v>8.021117942258936</v>
      </c>
      <c r="D7" s="9" t="n">
        <v>10.5122599471173</v>
      </c>
      <c r="E7" s="9" t="n">
        <v>13.46926172404354</v>
      </c>
      <c r="F7" s="9" t="n">
        <v>16.82974669942157</v>
      </c>
      <c r="G7" s="9" t="n">
        <v>20.5964375679604</v>
      </c>
      <c r="H7" s="9" t="n">
        <v>24.82112536327254</v>
      </c>
      <c r="I7" s="9" t="n">
        <v>29.59466639873162</v>
      </c>
      <c r="J7" s="9" t="n">
        <v>35.04911592231653</v>
      </c>
      <c r="K7" s="9" t="n">
        <v>41.36992227250617</v>
      </c>
    </row>
    <row r="8">
      <c r="A8" s="4" t="inlineStr">
        <is>
          <t>New contracted sales</t>
        </is>
      </c>
      <c r="B8" s="8" t="n">
        <v>300000</v>
      </c>
      <c r="C8" s="8" t="n">
        <v>255000</v>
      </c>
      <c r="D8" s="8" t="n">
        <v>216750</v>
      </c>
      <c r="E8" s="8" t="n">
        <v>184237.5</v>
      </c>
      <c r="F8" s="8" t="n">
        <v>156601.875</v>
      </c>
      <c r="G8" s="8" t="n">
        <v>133111.59375</v>
      </c>
      <c r="H8" s="8" t="n">
        <v>113144.8546875</v>
      </c>
      <c r="I8" s="8" t="n">
        <v>96173.12648437498</v>
      </c>
      <c r="J8" s="8" t="n">
        <v>92160.0606257667</v>
      </c>
      <c r="K8" s="8" t="n">
        <v>95259.00317929126</v>
      </c>
    </row>
    <row r="9">
      <c r="A9" s="4" t="inlineStr">
        <is>
          <t>Order book, closing</t>
        </is>
      </c>
      <c r="B9" s="8" t="n">
        <v>741662.77584</v>
      </c>
      <c r="C9" s="8" t="n">
        <v>941862.3081514286</v>
      </c>
      <c r="D9" s="8" t="n">
        <v>1096822.451882296</v>
      </c>
      <c r="E9" s="8" t="n">
        <v>1211841.48911112</v>
      </c>
      <c r="F9" s="8" t="n">
        <v>1292093.028387896</v>
      </c>
      <c r="G9" s="8" t="n">
        <v>1342491.787807302</v>
      </c>
      <c r="H9" s="8" t="n">
        <v>1367608.505273735</v>
      </c>
      <c r="I9" s="8" t="n">
        <v>1371621.571132343</v>
      </c>
      <c r="J9" s="8" t="n">
        <v>1368522.628578818</v>
      </c>
      <c r="K9" s="8" t="n">
        <v>1366198.421663675</v>
      </c>
    </row>
    <row r="10">
      <c r="A10" s="4" t="inlineStr">
        <is>
          <t>Order book, years of deliveries</t>
        </is>
      </c>
      <c r="B10" s="9" t="n">
        <v>15.03251932931608</v>
      </c>
      <c r="C10" s="9" t="n">
        <v>17.18712171406984</v>
      </c>
      <c r="D10" s="9" t="n">
        <v>17.75084970427772</v>
      </c>
      <c r="E10" s="9" t="n">
        <v>17.50748919572586</v>
      </c>
      <c r="F10" s="9" t="n">
        <v>16.92321344953666</v>
      </c>
      <c r="G10" s="9" t="n">
        <v>16.23075546464174</v>
      </c>
      <c r="H10" s="9" t="n">
        <v>15.53603823103998</v>
      </c>
      <c r="I10" s="9" t="n">
        <v>14.88303677123294</v>
      </c>
      <c r="J10" s="9" t="n">
        <v>14.36633371024322</v>
      </c>
      <c r="K10" s="9" t="n">
        <v>14.00034309530868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t>
        </is>
      </c>
      <c r="C1" s="3" t="inlineStr">
        <is>
          <t>Faster conversion, EGP/share</t>
        </is>
      </c>
      <c r="D1" s="3" t="inlineStr">
        <is>
          <t>Against last close</t>
        </is>
      </c>
    </row>
    <row r="2">
      <c r="A2" s="20" t="n">
        <v>0.18</v>
      </c>
      <c r="B2" s="9" t="n">
        <v>195.3754727204837</v>
      </c>
      <c r="C2" s="9" t="n">
        <v>144.65633402848</v>
      </c>
      <c r="D2" s="10">
        <f>B2/'Summary'!$B$2-1</f>
        <v/>
      </c>
    </row>
    <row r="3">
      <c r="A3" s="20" t="n">
        <v>0.22</v>
      </c>
      <c r="B3" s="9" t="n">
        <v>107.5609373179974</v>
      </c>
      <c r="C3" s="9" t="n">
        <v>61.55781669909621</v>
      </c>
      <c r="D3" s="10">
        <f>B3/'Summary'!$B$2-1</f>
        <v/>
      </c>
    </row>
    <row r="4">
      <c r="A4" s="20" t="n">
        <v>0.26</v>
      </c>
      <c r="B4" s="9" t="n">
        <v>80.14561888690895</v>
      </c>
      <c r="C4" s="9" t="n">
        <v>39.01394934194048</v>
      </c>
      <c r="D4" s="10">
        <f>B4/'Summary'!$B$2-1</f>
        <v/>
      </c>
    </row>
    <row r="5">
      <c r="A5" s="20" t="n">
        <v>0.3</v>
      </c>
      <c r="B5" s="9" t="n">
        <v>65.63699362659911</v>
      </c>
      <c r="C5" s="9" t="n">
        <v>29.0830618982985</v>
      </c>
      <c r="D5" s="10">
        <f>B5/'Summary'!$B$2-1</f>
        <v/>
      </c>
    </row>
    <row r="6">
      <c r="A6" s="20" t="n">
        <v>0.3237</v>
      </c>
      <c r="B6" s="9" t="n">
        <v>59.68128664954667</v>
      </c>
      <c r="C6" s="9" t="n">
        <v>25.62685477596697</v>
      </c>
      <c r="D6" s="10">
        <f>B6/'Summary'!$B$2-1</f>
        <v/>
      </c>
    </row>
    <row r="7">
      <c r="A7" s="20" t="n">
        <v>0.3579</v>
      </c>
      <c r="B7" s="9" t="n">
        <v>53.05126699236023</v>
      </c>
      <c r="C7" s="9" t="n">
        <v>22.29789988459999</v>
      </c>
      <c r="D7" s="10">
        <f>B7/'Summary'!$B$2-1</f>
        <v/>
      </c>
    </row>
    <row r="8">
      <c r="A8" s="20" t="n">
        <v>0.4</v>
      </c>
      <c r="B8" s="9" t="n">
        <v>46.92942906943123</v>
      </c>
      <c r="C8" s="9" t="n">
        <v>19.75271103450331</v>
      </c>
      <c r="D8" s="10">
        <f>B8/'Summary'!$B$2-1</f>
        <v/>
      </c>
    </row>
    <row r="10">
      <c r="A10" s="3" t="inlineStr">
        <is>
          <t>Years to convert the order book</t>
        </is>
      </c>
      <c r="B10" s="3" t="inlineStr">
        <is>
          <t>EGP per share</t>
        </is>
      </c>
    </row>
    <row r="11">
      <c r="A11" s="4" t="n">
        <v>8</v>
      </c>
      <c r="B11" s="9" t="n">
        <v>14.82779888043417</v>
      </c>
    </row>
    <row r="12">
      <c r="A12" s="4" t="n">
        <v>10</v>
      </c>
      <c r="B12" s="9" t="n">
        <v>31.91934450936661</v>
      </c>
    </row>
    <row r="13">
      <c r="A13" s="4" t="n">
        <v>12</v>
      </c>
      <c r="B13" s="9" t="n">
        <v>44.00708088071568</v>
      </c>
    </row>
    <row r="14">
      <c r="A14" s="4" t="n">
        <v>14</v>
      </c>
      <c r="B14" s="9" t="n">
        <v>53.04552746781089</v>
      </c>
    </row>
    <row r="15">
      <c r="A15" s="4" t="n">
        <v>16</v>
      </c>
      <c r="B15" s="9" t="n">
        <v>60.06333889357035</v>
      </c>
    </row>
    <row r="16">
      <c r="A16" s="4" t="n">
        <v>20</v>
      </c>
      <c r="B16" s="9" t="n">
        <v>70.27885274962011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0.3714622808056017</v>
      </c>
    </row>
    <row r="8">
      <c r="A8" s="4" t="inlineStr">
        <is>
          <t>Cost of equity, swap basis</t>
        </is>
      </c>
      <c r="B8" s="13" t="n">
        <v>0.3343918983056465</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11.53</v>
      </c>
      <c r="C2" s="4" t="inlineStr">
        <is>
          <t>2026-07-28</t>
        </is>
      </c>
      <c r="D2" s="4" t="inlineStr">
        <is>
          <t>off-plan developer, comparable payment plans and handover clock</t>
        </is>
      </c>
    </row>
    <row r="3">
      <c r="A3" s="4" t="inlineStr">
        <is>
          <t>Sixth of October Development &amp; Investment (SODIC)</t>
        </is>
      </c>
      <c r="B3" s="9" t="n">
        <v>27.48</v>
      </c>
      <c r="C3" s="4" t="inlineStr">
        <is>
          <t>2026-07-27</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40.16</v>
      </c>
      <c r="C6" s="4" t="inlineStr">
        <is>
          <t>2026-07-27</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2026-09-01T10:16:40Z</dcterms:created>
  <dcterms:modified xmlns:dcterms="http://purl.org/dc/terms/" xmlns:xsi="http://www.w3.org/2001/XMLSchema-instance" xsi:type="dcterms:W3CDTF">2026-09-01T10:16:40Z</dcterms:modified>
</cp:coreProperties>
</file>