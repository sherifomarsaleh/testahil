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2026-09-01</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t>
        </is>
      </c>
      <c r="D6" s="3" t="inlineStr">
        <is>
          <t>Per share, minority at book</t>
        </is>
      </c>
      <c r="E6" s="3" t="inlineStr">
        <is>
          <t>Per share, minority proportional</t>
        </is>
      </c>
      <c r="F6" s="3" t="inlineStr">
        <is>
          <t>Against last close</t>
        </is>
      </c>
    </row>
    <row r="7">
      <c r="A7" s="4" t="inlineStr">
        <is>
          <t>Rating premium, slower conversion</t>
        </is>
      </c>
      <c r="B7" s="8" t="n">
        <v>106030.9924788625</v>
      </c>
      <c r="C7" s="8" t="n">
        <v>117672.0924788625</v>
      </c>
      <c r="D7" s="9">
        <f>C7/$B$3</f>
        <v/>
      </c>
      <c r="E7" s="9" t="n">
        <v>51.39922425996588</v>
      </c>
      <c r="F7" s="10">
        <f>D7/$B$2-1</f>
        <v/>
      </c>
    </row>
    <row r="8">
      <c r="A8" s="4" t="inlineStr">
        <is>
          <t>Rating premium, faster conversion</t>
        </is>
      </c>
      <c r="B8" s="8" t="n">
        <v>142686.417480225</v>
      </c>
      <c r="C8" s="8" t="n">
        <v>154327.517480225</v>
      </c>
      <c r="D8" s="9">
        <f>C8/$B$3</f>
        <v/>
      </c>
      <c r="E8" s="9" t="n">
        <v>61.14478979905127</v>
      </c>
      <c r="F8" s="10">
        <f>D8/$B$2-1</f>
        <v/>
      </c>
    </row>
    <row r="9">
      <c r="A9" s="4" t="inlineStr">
        <is>
          <t>Swap premium, slower conversion</t>
        </is>
      </c>
      <c r="B9" s="8" t="n">
        <v>117303.6516572099</v>
      </c>
      <c r="C9" s="8" t="n">
        <v>128944.7516572099</v>
      </c>
      <c r="D9" s="9">
        <f>C9/$B$3</f>
        <v/>
      </c>
      <c r="E9" s="9" t="n">
        <v>54.39628237123518</v>
      </c>
      <c r="F9" s="10">
        <f>D9/$B$2-1</f>
        <v/>
      </c>
    </row>
    <row r="10">
      <c r="A10" s="4" t="inlineStr">
        <is>
          <t>Swap premium, faster conversion</t>
        </is>
      </c>
      <c r="B10" s="8" t="n">
        <v>159042.4248633388</v>
      </c>
      <c r="C10" s="8" t="n">
        <v>170683.5248633388</v>
      </c>
      <c r="D10" s="9">
        <f>C10/$B$3</f>
        <v/>
      </c>
      <c r="E10" s="9" t="n">
        <v>65.49335599093081</v>
      </c>
      <c r="F10" s="10">
        <f>D10/$B$2-1</f>
        <v/>
      </c>
    </row>
    <row r="12">
      <c r="A12" s="11" t="inlineStr">
        <is>
          <t>Lowest published case, EGP/share</t>
        </is>
      </c>
      <c r="B12" s="12">
        <f>MIN(D7:E10)</f>
        <v/>
      </c>
    </row>
    <row r="13">
      <c r="A13" s="11" t="inlineStr">
        <is>
          <t>Highest published case, EGP/share</t>
        </is>
      </c>
      <c r="B13" s="12">
        <f>MAX(D7:E10)</f>
        <v/>
      </c>
    </row>
    <row r="15">
      <c r="A15" s="4" t="inlineStr">
        <is>
          <t>Discount rate the last close implies, slower conversion</t>
        </is>
      </c>
      <c r="B15" s="13" t="n">
        <v>0.165447241670604</v>
      </c>
    </row>
    <row r="16">
      <c r="A16" s="4" t="inlineStr">
        <is>
          <t>Discount rate the last close implies, faster conversion</t>
        </is>
      </c>
      <c r="B16" s="13" t="n">
        <v>0.2364657157943358</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57.10425132007254</v>
      </c>
      <c r="C2" s="9" t="n">
        <v>82.82979162406552</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9"/>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Delivery growth, real, slower reading</t>
        </is>
      </c>
      <c r="B13" s="14" t="n">
        <v>0</v>
      </c>
      <c r="C13" s="6" t="inlineStr">
        <is>
          <t>it scales with prices and no more</t>
        </is>
      </c>
    </row>
    <row r="14">
      <c r="A14" s="4" t="inlineStr">
        <is>
          <t>Delivery growth, real, faster reading</t>
        </is>
      </c>
      <c r="B14" s="14" t="n">
        <v>0.07099999999999999</v>
      </c>
      <c r="C14" s="6" t="inlineStr">
        <is>
          <t>its own 2019-2025 real rate</t>
        </is>
      </c>
    </row>
    <row r="15">
      <c r="A15" s="4" t="inlineStr">
        <is>
          <t>Long-run real growth</t>
        </is>
      </c>
      <c r="B15" s="14" t="n">
        <v>0.02</v>
      </c>
      <c r="C15" s="6" t="inlineStr">
        <is>
          <t>in the converged state, beside a converged discount rate</t>
        </is>
      </c>
    </row>
    <row r="16">
      <c r="A16" s="4" t="inlineStr">
        <is>
          <t>Share of contracted sales that enters the order book</t>
        </is>
      </c>
      <c r="B16" s="5" t="n">
        <v>0.481</v>
      </c>
      <c r="C16" s="6" t="inlineStr">
        <is>
          <t>measured on the company's own two disclosed series; FY2025 was 48.1%</t>
        </is>
      </c>
    </row>
    <row r="17">
      <c r="A17" s="4" t="inlineStr">
        <is>
          <t>Long-run nominal growth</t>
        </is>
      </c>
      <c r="B17" s="14" t="n">
        <v>0.06079999999999997</v>
      </c>
      <c r="C17" s="6" t="inlineStr">
        <is>
          <t>4% terminal inflation compounded with 2% real</t>
        </is>
      </c>
    </row>
    <row r="18">
      <c r="A18" s="4" t="inlineStr">
        <is>
          <t>Tax rate</t>
        </is>
      </c>
      <c r="B18" s="14" t="n">
        <v>0.225</v>
      </c>
      <c r="C18" s="6" t="inlineStr">
        <is>
          <t>Egypt's statutory corporate rate</t>
        </is>
      </c>
    </row>
    <row r="19">
      <c r="A19" s="4" t="inlineStr">
        <is>
          <t>Dividend payout</t>
        </is>
      </c>
      <c r="B19" s="14" t="n">
        <v>0.3</v>
      </c>
      <c r="C19"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93795.42211005262</v>
      </c>
    </row>
    <row r="3">
      <c r="A3" s="4" t="inlineStr">
        <is>
          <t>Present value of the order book beyond it</t>
        </is>
      </c>
      <c r="B3" s="7" t="n">
        <v>0</v>
      </c>
    </row>
    <row r="4">
      <c r="A4" s="4" t="inlineStr">
        <is>
          <t>Present value of the recurring businesses beyond it</t>
        </is>
      </c>
      <c r="B4" s="7" t="n">
        <v>12235.57036880988</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book</t>
        </is>
      </c>
      <c r="B12" s="7" t="n">
        <v>-75652.8</v>
      </c>
    </row>
    <row r="13">
      <c r="A13" s="11" t="inlineStr">
        <is>
          <t>Equity attributable to TMG's shareholders</t>
        </is>
      </c>
      <c r="B13" s="17">
        <f>B11+B12</f>
        <v/>
      </c>
    </row>
    <row r="14">
      <c r="A14" s="4" t="inlineStr">
        <is>
          <t>Shares in issue, million</t>
        </is>
      </c>
      <c r="B14" s="18" t="n">
        <v>2060.6538</v>
      </c>
    </row>
    <row r="15">
      <c r="A15" s="11" t="inlineStr">
        <is>
          <t>Value per share, EGP</t>
        </is>
      </c>
      <c r="B15" s="12">
        <f>B13/B14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100215.774713344</v>
      </c>
      <c r="D2" s="8" t="n">
        <v>122723.2655915976</v>
      </c>
      <c r="E2" s="8" t="n">
        <v>141819.4575464031</v>
      </c>
      <c r="F2" s="8" t="n">
        <v>161619.3541640292</v>
      </c>
      <c r="G2" s="8" t="n">
        <v>181599.0999907513</v>
      </c>
      <c r="H2" s="8" t="n">
        <v>201144.639889901</v>
      </c>
      <c r="I2" s="8" t="n">
        <v>219576.9591692961</v>
      </c>
      <c r="J2" s="8" t="n">
        <v>236186.4510587204</v>
      </c>
      <c r="K2" s="8" t="n">
        <v>250274.5353551944</v>
      </c>
      <c r="L2" s="8" t="n">
        <v>261199.5477032487</v>
      </c>
      <c r="M2" s="8" t="n">
        <v>272617.1336260029</v>
      </c>
      <c r="N2" s="8" t="n">
        <v>284550.3749097565</v>
      </c>
      <c r="O2" s="8" t="n">
        <v>297023.4820459341</v>
      </c>
      <c r="P2" s="8" t="n">
        <v>310061.8518696578</v>
      </c>
      <c r="Q2" s="8" t="n">
        <v>323692.1282632772</v>
      </c>
      <c r="R2" s="8" t="n">
        <v>337942.2660936264</v>
      </c>
      <c r="S2" s="8" t="n">
        <v>352841.5985613385</v>
      </c>
      <c r="T2" s="8" t="n">
        <v>368420.9081506563</v>
      </c>
      <c r="U2" s="8" t="n">
        <v>384712.501378876</v>
      </c>
    </row>
    <row r="3">
      <c r="A3" s="4" t="inlineStr">
        <is>
          <t>Cost of revenue</t>
        </is>
      </c>
      <c r="B3" s="8" t="n">
        <v>55068.7479115855</v>
      </c>
      <c r="C3" s="8" t="n">
        <v>67892.97563751273</v>
      </c>
      <c r="D3" s="8" t="n">
        <v>82447.78370922552</v>
      </c>
      <c r="E3" s="8" t="n">
        <v>95280.97612813552</v>
      </c>
      <c r="F3" s="8" t="n">
        <v>108588.1134183892</v>
      </c>
      <c r="G3" s="8" t="n">
        <v>122017.2984194673</v>
      </c>
      <c r="H3" s="8" t="n">
        <v>135155.9657701243</v>
      </c>
      <c r="I3" s="8" t="n">
        <v>147547.8268591857</v>
      </c>
      <c r="J3" s="8" t="n">
        <v>158715.9523316421</v>
      </c>
      <c r="K3" s="8" t="n">
        <v>168190.7334719135</v>
      </c>
      <c r="L3" s="8" t="n">
        <v>175540.7212393192</v>
      </c>
      <c r="M3" s="8" t="n">
        <v>183222.5479098757</v>
      </c>
      <c r="N3" s="8" t="n">
        <v>191251.7876747703</v>
      </c>
      <c r="O3" s="8" t="n">
        <v>199644.7775714494</v>
      </c>
      <c r="P3" s="8" t="n">
        <v>208418.6565020887</v>
      </c>
      <c r="Q3" s="8" t="n">
        <v>217591.4063298828</v>
      </c>
      <c r="R3" s="8" t="n">
        <v>227181.8951677054</v>
      </c>
      <c r="S3" s="8" t="n">
        <v>237209.9229801862</v>
      </c>
      <c r="T3" s="8" t="n">
        <v>247696.2696271172</v>
      </c>
      <c r="U3" s="8" t="n">
        <v>258662.7454833711</v>
      </c>
    </row>
    <row r="4">
      <c r="A4" s="4" t="inlineStr">
        <is>
          <t>Gross profit</t>
        </is>
      </c>
      <c r="B4" s="8" t="n">
        <v>25477.34904841449</v>
      </c>
      <c r="C4" s="8" t="n">
        <v>32322.79907583125</v>
      </c>
      <c r="D4" s="8" t="n">
        <v>40275.48188237207</v>
      </c>
      <c r="E4" s="8" t="n">
        <v>46538.48141826762</v>
      </c>
      <c r="F4" s="8" t="n">
        <v>53031.24074564007</v>
      </c>
      <c r="G4" s="8" t="n">
        <v>59581.80157128404</v>
      </c>
      <c r="H4" s="8" t="n">
        <v>65988.67411977664</v>
      </c>
      <c r="I4" s="8" t="n">
        <v>72029.13231011041</v>
      </c>
      <c r="J4" s="8" t="n">
        <v>77470.49872707837</v>
      </c>
      <c r="K4" s="8" t="n">
        <v>82083.80188328095</v>
      </c>
      <c r="L4" s="8" t="n">
        <v>85658.82646392946</v>
      </c>
      <c r="M4" s="8" t="n">
        <v>89394.58571612724</v>
      </c>
      <c r="N4" s="8" t="n">
        <v>93298.58723498625</v>
      </c>
      <c r="O4" s="8" t="n">
        <v>97378.70447448466</v>
      </c>
      <c r="P4" s="8" t="n">
        <v>101643.1953675691</v>
      </c>
      <c r="Q4" s="8" t="n">
        <v>106100.7219333944</v>
      </c>
      <c r="R4" s="8" t="n">
        <v>110760.370925921</v>
      </c>
      <c r="S4" s="8" t="n">
        <v>115631.6755811523</v>
      </c>
      <c r="T4" s="8" t="n">
        <v>120724.6385235391</v>
      </c>
      <c r="U4" s="8" t="n">
        <v>126049.755895505</v>
      </c>
    </row>
    <row r="5">
      <c r="A5" s="4" t="inlineStr">
        <is>
          <t>Overheads</t>
        </is>
      </c>
      <c r="B5" s="8" t="n">
        <v>5437.738921674436</v>
      </c>
      <c r="C5" s="8" t="n">
        <v>6765.656428953144</v>
      </c>
      <c r="D5" s="8" t="n">
        <v>8285.157234047301</v>
      </c>
      <c r="E5" s="8" t="n">
        <v>9574.35820302759</v>
      </c>
      <c r="F5" s="8" t="n">
        <v>10911.06690210042</v>
      </c>
      <c r="G5" s="8" t="n">
        <v>12259.9173818584</v>
      </c>
      <c r="H5" s="8" t="n">
        <v>13579.45423176347</v>
      </c>
      <c r="I5" s="8" t="n">
        <v>14823.83656368543</v>
      </c>
      <c r="J5" s="8" t="n">
        <v>15945.15819099173</v>
      </c>
      <c r="K5" s="8" t="n">
        <v>16896.2573404491</v>
      </c>
      <c r="L5" s="8" t="n">
        <v>17633.81467850722</v>
      </c>
      <c r="M5" s="8" t="n">
        <v>18404.62609838962</v>
      </c>
      <c r="N5" s="8" t="n">
        <v>19210.24987209804</v>
      </c>
      <c r="O5" s="8" t="n">
        <v>20052.32047152498</v>
      </c>
      <c r="P5" s="8" t="n">
        <v>20932.55245968522</v>
      </c>
      <c r="Q5" s="8" t="n">
        <v>21852.74458886526</v>
      </c>
      <c r="R5" s="8" t="n">
        <v>22814.78411708469</v>
      </c>
      <c r="S5" s="8" t="n">
        <v>23820.65135490852</v>
      </c>
      <c r="T5" s="8" t="n">
        <v>24872.42445533224</v>
      </c>
      <c r="U5" s="8" t="n">
        <v>25972.28446018353</v>
      </c>
    </row>
    <row r="6">
      <c r="A6" s="4" t="inlineStr">
        <is>
          <t>Depreciation</t>
        </is>
      </c>
      <c r="B6" s="8" t="n">
        <v>1142.6904</v>
      </c>
      <c r="C6" s="8" t="n">
        <v>1156.823074944</v>
      </c>
      <c r="D6" s="8" t="n">
        <v>1181.501202794066</v>
      </c>
      <c r="E6" s="8" t="n">
        <v>1218.895772837806</v>
      </c>
      <c r="F6" s="8" t="n">
        <v>1263.89292356231</v>
      </c>
      <c r="G6" s="8" t="n">
        <v>1316.704935065755</v>
      </c>
      <c r="H6" s="8" t="n">
        <v>1377.32165281848</v>
      </c>
      <c r="I6" s="8" t="n">
        <v>1445.474788443472</v>
      </c>
      <c r="J6" s="8" t="n">
        <v>1520.613177706499</v>
      </c>
      <c r="K6" s="8" t="n">
        <v>1601.892736940556</v>
      </c>
      <c r="L6" s="8" t="n">
        <v>1688.18403749418</v>
      </c>
      <c r="M6" s="8" t="n">
        <v>1778.099137825282</v>
      </c>
      <c r="N6" s="8" t="n">
        <v>1871.807599230673</v>
      </c>
      <c r="O6" s="8" t="n">
        <v>1969.487091992153</v>
      </c>
      <c r="P6" s="8" t="n">
        <v>2071.323802425683</v>
      </c>
      <c r="Q6" s="8" t="n">
        <v>2177.512861215614</v>
      </c>
      <c r="R6" s="8" t="n">
        <v>2288.258794189867</v>
      </c>
      <c r="S6" s="8" t="n">
        <v>2403.775996756695</v>
      </c>
      <c r="T6" s="8" t="n">
        <v>2524.289233292109</v>
      </c>
      <c r="U6" s="8" t="n">
        <v>2650.034162839454</v>
      </c>
    </row>
    <row r="7">
      <c r="A7" s="4" t="inlineStr">
        <is>
          <t>Operating profit</t>
        </is>
      </c>
      <c r="B7" s="8" t="n">
        <v>18896.91972674006</v>
      </c>
      <c r="C7" s="8" t="n">
        <v>24400.31957193411</v>
      </c>
      <c r="D7" s="8" t="n">
        <v>30808.82344553071</v>
      </c>
      <c r="E7" s="8" t="n">
        <v>35745.22744240223</v>
      </c>
      <c r="F7" s="8" t="n">
        <v>40856.28091997735</v>
      </c>
      <c r="G7" s="8" t="n">
        <v>46005.17925435989</v>
      </c>
      <c r="H7" s="8" t="n">
        <v>51031.89823519469</v>
      </c>
      <c r="I7" s="8" t="n">
        <v>55759.82095798151</v>
      </c>
      <c r="J7" s="8" t="n">
        <v>60004.72735838014</v>
      </c>
      <c r="K7" s="8" t="n">
        <v>63585.65180589128</v>
      </c>
      <c r="L7" s="8" t="n">
        <v>66336.82774792807</v>
      </c>
      <c r="M7" s="8" t="n">
        <v>69211.86047991234</v>
      </c>
      <c r="N7" s="8" t="n">
        <v>72216.52976365754</v>
      </c>
      <c r="O7" s="8" t="n">
        <v>75356.89691096754</v>
      </c>
      <c r="P7" s="8" t="n">
        <v>78639.31910545817</v>
      </c>
      <c r="Q7" s="8" t="n">
        <v>82070.46448331357</v>
      </c>
      <c r="R7" s="8" t="n">
        <v>85657.32801464645</v>
      </c>
      <c r="S7" s="8" t="n">
        <v>89407.2482294871</v>
      </c>
      <c r="T7" s="8" t="n">
        <v>93327.92483491471</v>
      </c>
      <c r="U7" s="8" t="n">
        <v>97427.43727248197</v>
      </c>
    </row>
    <row r="8">
      <c r="A8" s="4" t="inlineStr">
        <is>
          <t>Free cash flow to the firm</t>
        </is>
      </c>
      <c r="B8" s="8" t="n">
        <v>13549.94762425544</v>
      </c>
      <c r="C8" s="8" t="n">
        <v>16272.02015073857</v>
      </c>
      <c r="D8" s="8" t="n">
        <v>19628.53874484749</v>
      </c>
      <c r="E8" s="8" t="n">
        <v>22368.43236098009</v>
      </c>
      <c r="F8" s="8" t="n">
        <v>25316.45652276265</v>
      </c>
      <c r="G8" s="8" t="n">
        <v>28383.32435306889</v>
      </c>
      <c r="H8" s="8" t="n">
        <v>31468.4284336229</v>
      </c>
      <c r="I8" s="8" t="n">
        <v>34462.09229801692</v>
      </c>
      <c r="J8" s="8" t="n">
        <v>37249.49869428568</v>
      </c>
      <c r="K8" s="8" t="n">
        <v>39716.02208133149</v>
      </c>
      <c r="L8" s="8" t="n">
        <v>41753.53928613197</v>
      </c>
      <c r="M8" s="8" t="n">
        <v>43805.65500697248</v>
      </c>
      <c r="N8" s="8" t="n">
        <v>45892.37088365551</v>
      </c>
      <c r="O8" s="8" t="n">
        <v>48029.79863722069</v>
      </c>
      <c r="P8" s="8" t="n">
        <v>50231.18695817297</v>
      </c>
      <c r="Q8" s="8" t="n">
        <v>52507.69445642918</v>
      </c>
      <c r="R8" s="8" t="n">
        <v>54868.9723058354</v>
      </c>
      <c r="S8" s="8" t="n">
        <v>57323.60431606862</v>
      </c>
      <c r="T8" s="8" t="n">
        <v>59879.44024017821</v>
      </c>
      <c r="U8" s="8" t="n">
        <v>62543.84918308332</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c r="L9" s="19">
        <f>1/(1+'Summary'!$B$14)^11</f>
        <v/>
      </c>
      <c r="M9" s="19">
        <f>1/(1+'Summary'!$B$14)^12</f>
        <v/>
      </c>
      <c r="N9" s="19">
        <f>1/(1+'Summary'!$B$14)^13</f>
        <v/>
      </c>
      <c r="O9" s="19">
        <f>1/(1+'Summary'!$B$14)^14</f>
        <v/>
      </c>
      <c r="P9" s="19">
        <f>1/(1+'Summary'!$B$14)^15</f>
        <v/>
      </c>
      <c r="Q9" s="19">
        <f>1/(1+'Summary'!$B$14)^16</f>
        <v/>
      </c>
      <c r="R9" s="19">
        <f>1/(1+'Summary'!$B$14)^17</f>
        <v/>
      </c>
      <c r="S9" s="19">
        <f>1/(1+'Summary'!$B$14)^18</f>
        <v/>
      </c>
      <c r="T9" s="19">
        <f>1/(1+'Summary'!$B$14)^19</f>
        <v/>
      </c>
      <c r="U9" s="19">
        <f>1/(1+'Summary'!$B$14)^20</f>
        <v/>
      </c>
    </row>
    <row r="10">
      <c r="A10" s="11" t="inlineStr">
        <is>
          <t>Present value</t>
        </is>
      </c>
      <c r="B10" s="8">
        <f>B8*B9</f>
        <v/>
      </c>
      <c r="C10" s="8">
        <f>C8*C9</f>
        <v/>
      </c>
      <c r="D10" s="8">
        <f>D8*D9</f>
        <v/>
      </c>
      <c r="E10" s="8">
        <f>E8*E9</f>
        <v/>
      </c>
      <c r="F10" s="8">
        <f>F8*F9</f>
        <v/>
      </c>
      <c r="G10" s="8">
        <f>G8*G9</f>
        <v/>
      </c>
      <c r="H10" s="8">
        <f>H8*H9</f>
        <v/>
      </c>
      <c r="I10" s="8">
        <f>I8*I9</f>
        <v/>
      </c>
      <c r="J10" s="8">
        <f>J8*J9</f>
        <v/>
      </c>
      <c r="K10" s="8">
        <f>K8*K9</f>
        <v/>
      </c>
      <c r="L10" s="8">
        <f>L8*L9</f>
        <v/>
      </c>
      <c r="M10" s="8">
        <f>M8*M9</f>
        <v/>
      </c>
      <c r="N10" s="8">
        <f>N8*N9</f>
        <v/>
      </c>
      <c r="O10" s="8">
        <f>O8*O9</f>
        <v/>
      </c>
      <c r="P10" s="8">
        <f>P8*P9</f>
        <v/>
      </c>
      <c r="Q10" s="8">
        <f>Q8*Q9</f>
        <v/>
      </c>
      <c r="R10" s="8">
        <f>R8*R9</f>
        <v/>
      </c>
      <c r="S10" s="8">
        <f>S8*S9</f>
        <v/>
      </c>
      <c r="T10" s="8">
        <f>T8*T9</f>
        <v/>
      </c>
      <c r="U10" s="8">
        <f>U8*U9</f>
        <v/>
      </c>
    </row>
    <row r="12">
      <c r="A12" s="11" t="inlineStr">
        <is>
          <t>Sum of the explicit years</t>
        </is>
      </c>
      <c r="B12" s="17">
        <f>SUM(B10:U10)</f>
        <v/>
      </c>
    </row>
    <row r="13">
      <c r="A13" s="4" t="inlineStr">
        <is>
          <t>Order book still unconverted, present value</t>
        </is>
      </c>
      <c r="B13" s="7" t="n">
        <v>0</v>
      </c>
    </row>
    <row r="14">
      <c r="A14" s="4" t="inlineStr">
        <is>
          <t>Recurring businesses beyond the window, present value</t>
        </is>
      </c>
      <c r="B14" s="7" t="n">
        <v>12235.57036880988</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c r="O1" s="3" t="inlineStr">
        <is>
          <t>2036</t>
        </is>
      </c>
      <c r="P1" s="3" t="inlineStr">
        <is>
          <t>2037</t>
        </is>
      </c>
      <c r="Q1" s="3" t="inlineStr">
        <is>
          <t>2038</t>
        </is>
      </c>
      <c r="R1" s="3" t="inlineStr">
        <is>
          <t>2039</t>
        </is>
      </c>
      <c r="S1" s="3" t="inlineStr">
        <is>
          <t>2040</t>
        </is>
      </c>
      <c r="T1" s="3" t="inlineStr">
        <is>
          <t>2041</t>
        </is>
      </c>
      <c r="U1" s="3" t="inlineStr">
        <is>
          <t>2042</t>
        </is>
      </c>
      <c r="V1" s="3" t="inlineStr">
        <is>
          <t>2043</t>
        </is>
      </c>
      <c r="W1" s="3" t="inlineStr">
        <is>
          <t>2044</t>
        </is>
      </c>
      <c r="X1" s="3" t="inlineStr">
        <is>
          <t>2045</t>
        </is>
      </c>
    </row>
    <row r="2">
      <c r="A2" s="4" t="inlineStr">
        <is>
          <t>Development revenue</t>
        </is>
      </c>
      <c r="B2" s="8" t="n">
        <v>21578.7</v>
      </c>
      <c r="C2" s="8" t="n">
        <v>24518.3</v>
      </c>
      <c r="D2" s="8" t="n">
        <v>36705.7</v>
      </c>
      <c r="E2" s="8" t="n">
        <v>49337.22416</v>
      </c>
      <c r="F2" s="8" t="n">
        <v>58415.27340543999</v>
      </c>
      <c r="G2" s="8" t="n">
        <v>68229.0393375539</v>
      </c>
      <c r="H2" s="8" t="n">
        <v>78599.85331686211</v>
      </c>
      <c r="I2" s="8" t="n">
        <v>89289.43336795537</v>
      </c>
      <c r="J2" s="8" t="n">
        <v>100004.16537211</v>
      </c>
      <c r="K2" s="8" t="n">
        <v>110404.5985708095</v>
      </c>
      <c r="L2" s="8" t="n">
        <v>120120.2032450407</v>
      </c>
      <c r="M2" s="8" t="n">
        <v>128768.8578786837</v>
      </c>
      <c r="N2" s="8" t="n">
        <v>135979.91391989</v>
      </c>
      <c r="O2" s="8" t="n">
        <v>141419.1104766855</v>
      </c>
      <c r="P2" s="8" t="n">
        <v>147075.874895753</v>
      </c>
      <c r="Q2" s="8" t="n">
        <v>152958.9098915831</v>
      </c>
      <c r="R2" s="8" t="n">
        <v>159077.2662872464</v>
      </c>
      <c r="S2" s="8" t="n">
        <v>165440.3569387363</v>
      </c>
      <c r="T2" s="8" t="n">
        <v>172057.9712162857</v>
      </c>
      <c r="U2" s="8" t="n">
        <v>178940.2900649371</v>
      </c>
      <c r="V2" s="8" t="n">
        <v>186097.9016675346</v>
      </c>
      <c r="W2" s="8" t="n">
        <v>193541.817734236</v>
      </c>
      <c r="X2" s="8" t="n">
        <v>201283.4904436055</v>
      </c>
    </row>
    <row r="3">
      <c r="A3" s="4" t="inlineStr">
        <is>
          <t>Hospitality revenue</t>
        </is>
      </c>
      <c r="B3" s="8" t="n">
        <v>3540.9</v>
      </c>
      <c r="C3" s="8" t="n">
        <v>11496.5</v>
      </c>
      <c r="D3" s="8" t="n">
        <v>14889.7</v>
      </c>
      <c r="E3" s="8" t="n">
        <v>17867.64</v>
      </c>
      <c r="F3" s="8" t="n">
        <v>25688.56127999999</v>
      </c>
      <c r="G3" s="8" t="n">
        <v>35299.10538239999</v>
      </c>
      <c r="H3" s="8" t="n">
        <v>40664.56940052479</v>
      </c>
      <c r="I3" s="8" t="n">
        <v>46194.95083899617</v>
      </c>
      <c r="J3" s="8" t="n">
        <v>51738.34493967571</v>
      </c>
      <c r="K3" s="8" t="n">
        <v>57119.13281340199</v>
      </c>
      <c r="L3" s="8" t="n">
        <v>62145.61650098137</v>
      </c>
      <c r="M3" s="8" t="n">
        <v>66620.10088905203</v>
      </c>
      <c r="N3" s="8" t="n">
        <v>70350.82653883896</v>
      </c>
      <c r="O3" s="8" t="n">
        <v>73164.85960039252</v>
      </c>
      <c r="P3" s="8" t="n">
        <v>76091.45398440822</v>
      </c>
      <c r="Q3" s="8" t="n">
        <v>79135.11214378454</v>
      </c>
      <c r="R3" s="8" t="n">
        <v>82300.51662953592</v>
      </c>
      <c r="S3" s="8" t="n">
        <v>85592.53729471736</v>
      </c>
      <c r="T3" s="8" t="n">
        <v>89016.23878650606</v>
      </c>
      <c r="U3" s="8" t="n">
        <v>92576.8883379663</v>
      </c>
      <c r="V3" s="8" t="n">
        <v>96279.96387148496</v>
      </c>
      <c r="W3" s="8" t="n">
        <v>100131.1624263444</v>
      </c>
      <c r="X3" s="8" t="n">
        <v>104136.4089233981</v>
      </c>
    </row>
    <row r="4">
      <c r="A4" s="4" t="inlineStr">
        <is>
          <t>Other recurring revenue</t>
        </is>
      </c>
      <c r="B4" s="8" t="n">
        <v>3311.7</v>
      </c>
      <c r="C4" s="8" t="n">
        <v>6655.5</v>
      </c>
      <c r="D4" s="8" t="n">
        <v>10899.7</v>
      </c>
      <c r="E4" s="8" t="n">
        <v>13341.2328</v>
      </c>
      <c r="F4" s="8" t="n">
        <v>16111.940027904</v>
      </c>
      <c r="G4" s="8" t="n">
        <v>19195.12087164371</v>
      </c>
      <c r="H4" s="8" t="n">
        <v>22555.03482901623</v>
      </c>
      <c r="I4" s="8" t="n">
        <v>26134.96995707769</v>
      </c>
      <c r="J4" s="8" t="n">
        <v>29856.58967896556</v>
      </c>
      <c r="K4" s="8" t="n">
        <v>33620.90850568953</v>
      </c>
      <c r="L4" s="8" t="n">
        <v>37311.13942327402</v>
      </c>
      <c r="M4" s="8" t="n">
        <v>40797.49229098475</v>
      </c>
      <c r="N4" s="8" t="n">
        <v>43943.79489646549</v>
      </c>
      <c r="O4" s="8" t="n">
        <v>46615.57762617059</v>
      </c>
      <c r="P4" s="8" t="n">
        <v>49449.80474584176</v>
      </c>
      <c r="Q4" s="8" t="n">
        <v>52456.35287438894</v>
      </c>
      <c r="R4" s="8" t="n">
        <v>55645.69912915178</v>
      </c>
      <c r="S4" s="8" t="n">
        <v>59028.95763620421</v>
      </c>
      <c r="T4" s="8" t="n">
        <v>62617.91826048543</v>
      </c>
      <c r="U4" s="8" t="n">
        <v>66425.08769072294</v>
      </c>
      <c r="V4" s="8" t="n">
        <v>70463.73302231889</v>
      </c>
      <c r="W4" s="8" t="n">
        <v>74747.92799007587</v>
      </c>
      <c r="X4" s="8" t="n">
        <v>79292.60201187248</v>
      </c>
    </row>
    <row r="5">
      <c r="A5" s="4" t="inlineStr">
        <is>
          <t>Gross profit</t>
        </is>
      </c>
      <c r="B5" s="8" t="n">
        <v>8637.299999999999</v>
      </c>
      <c r="C5" s="8" t="n">
        <v>15300.2</v>
      </c>
      <c r="D5" s="8" t="n">
        <v>20855.4</v>
      </c>
      <c r="E5" s="8" t="n">
        <v>25477.34904841449</v>
      </c>
      <c r="F5" s="8" t="n">
        <v>32322.79907583125</v>
      </c>
      <c r="G5" s="8" t="n">
        <v>40275.48188237207</v>
      </c>
      <c r="H5" s="8" t="n">
        <v>46538.48141826762</v>
      </c>
      <c r="I5" s="8" t="n">
        <v>53031.24074564007</v>
      </c>
      <c r="J5" s="8" t="n">
        <v>59581.80157128404</v>
      </c>
      <c r="K5" s="8" t="n">
        <v>65988.67411977664</v>
      </c>
      <c r="L5" s="8" t="n">
        <v>72029.13231011041</v>
      </c>
      <c r="M5" s="8" t="n">
        <v>77470.49872707837</v>
      </c>
      <c r="N5" s="8" t="n">
        <v>82083.80188328095</v>
      </c>
      <c r="O5" s="8" t="n">
        <v>85658.82646392946</v>
      </c>
      <c r="P5" s="8" t="n">
        <v>89394.58571612724</v>
      </c>
      <c r="Q5" s="8" t="n">
        <v>93298.58723498625</v>
      </c>
      <c r="R5" s="8" t="n">
        <v>97378.70447448466</v>
      </c>
      <c r="S5" s="8" t="n">
        <v>101643.1953675691</v>
      </c>
      <c r="T5" s="8" t="n">
        <v>106100.7219333944</v>
      </c>
      <c r="U5" s="8" t="n">
        <v>110760.370925921</v>
      </c>
      <c r="V5" s="8" t="n">
        <v>115631.6755811523</v>
      </c>
      <c r="W5" s="8" t="n">
        <v>120724.6385235391</v>
      </c>
      <c r="X5" s="8" t="n">
        <v>126049.755895505</v>
      </c>
    </row>
    <row r="6">
      <c r="A6" s="4" t="inlineStr">
        <is>
          <t>Net profit</t>
        </is>
      </c>
      <c r="B6" s="8" t="n">
        <v>3347.3</v>
      </c>
      <c r="C6" s="8" t="n">
        <v>14467.5</v>
      </c>
      <c r="D6" s="8" t="n">
        <v>18202</v>
      </c>
      <c r="E6" s="8" t="n">
        <v>23130.56066322355</v>
      </c>
      <c r="F6" s="8" t="n">
        <v>30221.91345103159</v>
      </c>
      <c r="G6" s="8" t="n">
        <v>38694.04934315235</v>
      </c>
      <c r="H6" s="8" t="n">
        <v>46873.09372735789</v>
      </c>
      <c r="I6" s="8" t="n">
        <v>56078.57402419132</v>
      </c>
      <c r="J6" s="8" t="n">
        <v>66348.69545698373</v>
      </c>
      <c r="K6" s="8" t="n">
        <v>77711.21076192675</v>
      </c>
      <c r="L6" s="8" t="n">
        <v>90188.23674800989</v>
      </c>
      <c r="M6" s="8" t="n">
        <v>103803.0786917901</v>
      </c>
      <c r="N6" s="8" t="n">
        <v>118588.9154156786</v>
      </c>
      <c r="O6" s="8" t="n">
        <v>134598.9740270309</v>
      </c>
      <c r="P6" s="8" t="n">
        <v>152764.0426318489</v>
      </c>
      <c r="Q6" s="8" t="n">
        <v>173355.1110704936</v>
      </c>
      <c r="R6" s="8" t="n">
        <v>196680.8931005187</v>
      </c>
      <c r="S6" s="8" t="n">
        <v>223092.0868995411</v>
      </c>
      <c r="T6" s="8" t="n">
        <v>252986.3454419876</v>
      </c>
      <c r="U6" s="8" t="n">
        <v>286814.0092762934</v>
      </c>
      <c r="V6" s="8" t="n">
        <v>325084.6708925036</v>
      </c>
      <c r="W6" s="8" t="n">
        <v>368374.6562272313</v>
      </c>
      <c r="X6" s="8" t="n">
        <v>417335.525480068</v>
      </c>
    </row>
    <row r="7">
      <c r="A7" s="4" t="inlineStr">
        <is>
          <t>Attributable profit</t>
        </is>
      </c>
      <c r="B7" s="8" t="n">
        <v>3313.3</v>
      </c>
      <c r="C7" s="8" t="n">
        <v>10723.1</v>
      </c>
      <c r="D7" s="8" t="n">
        <v>14383.9</v>
      </c>
      <c r="E7" s="8" t="n">
        <v>12672.43859359015</v>
      </c>
      <c r="F7" s="8" t="n">
        <v>16557.54687338477</v>
      </c>
      <c r="G7" s="8" t="n">
        <v>21199.13872291364</v>
      </c>
      <c r="H7" s="8" t="n">
        <v>25680.15581636823</v>
      </c>
      <c r="I7" s="8" t="n">
        <v>30723.52184128273</v>
      </c>
      <c r="J7" s="8" t="n">
        <v>36350.16812542162</v>
      </c>
      <c r="K7" s="8" t="n">
        <v>42575.29943836714</v>
      </c>
      <c r="L7" s="8" t="n">
        <v>49411.03281903962</v>
      </c>
      <c r="M7" s="8" t="n">
        <v>56870.13642686138</v>
      </c>
      <c r="N7" s="8" t="n">
        <v>64970.78779741978</v>
      </c>
      <c r="O7" s="8" t="n">
        <v>73742.14823204691</v>
      </c>
      <c r="P7" s="8" t="n">
        <v>83694.16451883361</v>
      </c>
      <c r="Q7" s="8" t="n">
        <v>94975.30267040538</v>
      </c>
      <c r="R7" s="8" t="n">
        <v>107754.696336074</v>
      </c>
      <c r="S7" s="8" t="n">
        <v>122224.4809848165</v>
      </c>
      <c r="T7" s="8" t="n">
        <v>138602.5170037353</v>
      </c>
      <c r="U7" s="8" t="n">
        <v>157135.5304895013</v>
      </c>
      <c r="V7" s="8" t="n">
        <v>178102.7096395766</v>
      </c>
      <c r="W7" s="8" t="n">
        <v>201819.8036114484</v>
      </c>
      <c r="X7" s="8" t="n">
        <v>228643.7798275485</v>
      </c>
    </row>
    <row r="8">
      <c r="A8" s="4" t="inlineStr">
        <is>
          <t>Earnings per share, EGP</t>
        </is>
      </c>
      <c r="B8" s="9" t="n">
        <v>1.60788774902412</v>
      </c>
      <c r="C8" s="9" t="n">
        <v>5.203736794603732</v>
      </c>
      <c r="D8" s="9" t="n">
        <v>6.980260342615533</v>
      </c>
      <c r="E8" s="9" t="n">
        <v>6.149717431229907</v>
      </c>
      <c r="F8" s="9" t="n">
        <v>8.035093946098453</v>
      </c>
      <c r="G8" s="9" t="n">
        <v>10.28757898241502</v>
      </c>
      <c r="H8" s="9" t="n">
        <v>12.462139839486</v>
      </c>
      <c r="I8" s="9" t="n">
        <v>14.90959900264796</v>
      </c>
      <c r="J8" s="9" t="n">
        <v>17.64011408681149</v>
      </c>
      <c r="K8" s="9" t="n">
        <v>20.66106370626989</v>
      </c>
      <c r="L8" s="9" t="n">
        <v>23.97832805250432</v>
      </c>
      <c r="M8" s="9" t="n">
        <v>27.59810329462493</v>
      </c>
      <c r="N8" s="9" t="n">
        <v>31.52921067935806</v>
      </c>
      <c r="O8" s="9" t="n">
        <v>35.78580168684663</v>
      </c>
      <c r="P8" s="9" t="n">
        <v>40.61534476040255</v>
      </c>
      <c r="Q8" s="9" t="n">
        <v>46.08988791344057</v>
      </c>
      <c r="R8" s="9" t="n">
        <v>52.2915088095215</v>
      </c>
      <c r="S8" s="9" t="n">
        <v>59.3134475013787</v>
      </c>
      <c r="T8" s="9" t="n">
        <v>67.26142790396682</v>
      </c>
      <c r="U8" s="9" t="n">
        <v>76.25518196676282</v>
      </c>
      <c r="V8" s="9" t="n">
        <v>86.43019494083701</v>
      </c>
      <c r="W8" s="9" t="n">
        <v>97.93969448504565</v>
      </c>
      <c r="X8" s="9" t="n">
        <v>110.9569107763509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c r="M1" s="3" t="inlineStr">
        <is>
          <t>2036</t>
        </is>
      </c>
      <c r="N1" s="3" t="inlineStr">
        <is>
          <t>2037</t>
        </is>
      </c>
      <c r="O1" s="3" t="inlineStr">
        <is>
          <t>2038</t>
        </is>
      </c>
      <c r="P1" s="3" t="inlineStr">
        <is>
          <t>2039</t>
        </is>
      </c>
      <c r="Q1" s="3" t="inlineStr">
        <is>
          <t>2040</t>
        </is>
      </c>
      <c r="R1" s="3" t="inlineStr">
        <is>
          <t>2041</t>
        </is>
      </c>
      <c r="S1" s="3" t="inlineStr">
        <is>
          <t>2042</t>
        </is>
      </c>
      <c r="T1" s="3" t="inlineStr">
        <is>
          <t>2043</t>
        </is>
      </c>
      <c r="U1" s="3" t="inlineStr">
        <is>
          <t>2044</t>
        </is>
      </c>
      <c r="V1" s="3" t="inlineStr">
        <is>
          <t>2045</t>
        </is>
      </c>
    </row>
    <row r="2">
      <c r="A2" s="4" t="inlineStr">
        <is>
          <t>Cash and deposits</t>
        </is>
      </c>
      <c r="C2" s="8" t="n">
        <v>94007.06392117839</v>
      </c>
      <c r="D2" s="8" t="n">
        <v>116623.4857926842</v>
      </c>
      <c r="E2" s="8" t="n">
        <v>144709.4940935237</v>
      </c>
      <c r="F2" s="8" t="n">
        <v>178544.4221690894</v>
      </c>
      <c r="G2" s="8" t="n">
        <v>219058.7784506761</v>
      </c>
      <c r="H2" s="8" t="n">
        <v>267231.7339009733</v>
      </c>
      <c r="I2" s="8" t="n">
        <v>324089.062132737</v>
      </c>
      <c r="J2" s="8" t="n">
        <v>390702.2200906162</v>
      </c>
      <c r="K2" s="8" t="n">
        <v>468190.092845889</v>
      </c>
      <c r="L2" s="8" t="n">
        <v>557724.9138541074</v>
      </c>
      <c r="M2" s="8" t="n">
        <v>660543.741193012</v>
      </c>
      <c r="N2" s="8" t="n">
        <v>778365.9976042513</v>
      </c>
      <c r="O2" s="8" t="n">
        <v>913153.078190444</v>
      </c>
      <c r="P2" s="8" t="n">
        <v>1067135.765921361</v>
      </c>
      <c r="Q2" s="8" t="n">
        <v>1242846.2231769</v>
      </c>
      <c r="R2" s="8" t="n">
        <v>1443154.897999628</v>
      </c>
      <c r="S2" s="8" t="n">
        <v>1671312.791223556</v>
      </c>
      <c r="T2" s="8" t="n">
        <v>1930999.636162403</v>
      </c>
      <c r="U2" s="8" t="n">
        <v>2226378.649799319</v>
      </c>
      <c r="V2" s="8" t="n">
        <v>2562158.626628032</v>
      </c>
    </row>
    <row r="3">
      <c r="A3" s="4" t="inlineStr">
        <is>
          <t>Properties under development</t>
        </is>
      </c>
      <c r="B3" s="8" t="n">
        <v>148315.4</v>
      </c>
      <c r="C3" s="8" t="n">
        <v>147460.4685</v>
      </c>
      <c r="D3" s="8" t="n">
        <v>153484.470879</v>
      </c>
      <c r="E3" s="8" t="n">
        <v>165207.844739922</v>
      </c>
      <c r="F3" s="8" t="n">
        <v>181614.7378558756</v>
      </c>
      <c r="G3" s="8" t="n">
        <v>201768.3118777679</v>
      </c>
      <c r="H3" s="8" t="n">
        <v>224750.3634124904</v>
      </c>
      <c r="I3" s="8" t="n">
        <v>249623.0115319655</v>
      </c>
      <c r="J3" s="8" t="n">
        <v>275410.7986511603</v>
      </c>
      <c r="K3" s="8" t="n">
        <v>301101.5738707139</v>
      </c>
      <c r="L3" s="8" t="n">
        <v>325664.0898787904</v>
      </c>
      <c r="M3" s="8" t="n">
        <v>348079.4932638779</v>
      </c>
      <c r="N3" s="8" t="n">
        <v>369044.302836885</v>
      </c>
      <c r="O3" s="8" t="n">
        <v>389087.2973321993</v>
      </c>
      <c r="P3" s="8" t="n">
        <v>408611.7060118665</v>
      </c>
      <c r="Q3" s="8" t="n">
        <v>427926.8618421255</v>
      </c>
      <c r="R3" s="8" t="n">
        <v>447271.9520081489</v>
      </c>
      <c r="S3" s="8" t="n">
        <v>466833.8418577285</v>
      </c>
      <c r="T3" s="8" t="n">
        <v>486760.454358978</v>
      </c>
      <c r="U3" s="8" t="n">
        <v>507170.8166535423</v>
      </c>
      <c r="V3" s="8" t="n">
        <v>528162.6074098379</v>
      </c>
    </row>
    <row r="4">
      <c r="A4" s="4" t="inlineStr">
        <is>
          <t>Property, plant and equipment</t>
        </is>
      </c>
      <c r="B4" s="8" t="n">
        <v>73322.7</v>
      </c>
      <c r="C4" s="8" t="n">
        <v>96401.92291199999</v>
      </c>
      <c r="D4" s="8" t="n">
        <v>98458.43356617216</v>
      </c>
      <c r="E4" s="8" t="n">
        <v>101574.6477364838</v>
      </c>
      <c r="F4" s="8" t="n">
        <v>105324.4102968592</v>
      </c>
      <c r="G4" s="8" t="n">
        <v>109725.4112554796</v>
      </c>
      <c r="H4" s="8" t="n">
        <v>114776.80440154</v>
      </c>
      <c r="I4" s="8" t="n">
        <v>120456.2323702893</v>
      </c>
      <c r="J4" s="8" t="n">
        <v>126717.7648088749</v>
      </c>
      <c r="K4" s="8" t="n">
        <v>133491.061411713</v>
      </c>
      <c r="L4" s="8" t="n">
        <v>140682.003124515</v>
      </c>
      <c r="M4" s="8" t="n">
        <v>148174.9281521069</v>
      </c>
      <c r="N4" s="8" t="n">
        <v>155983.9666025561</v>
      </c>
      <c r="O4" s="8" t="n">
        <v>164123.9243326794</v>
      </c>
      <c r="P4" s="8" t="n">
        <v>172610.3168688069</v>
      </c>
      <c r="Q4" s="8" t="n">
        <v>181459.4051013011</v>
      </c>
      <c r="R4" s="8" t="n">
        <v>190688.2328491556</v>
      </c>
      <c r="S4" s="8" t="n">
        <v>200314.6663963912</v>
      </c>
      <c r="T4" s="8" t="n">
        <v>210357.4361076758</v>
      </c>
      <c r="U4" s="8" t="n">
        <v>220836.1802366211</v>
      </c>
      <c r="V4" s="8" t="n">
        <v>231771.4910465964</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c r="M5" s="8" t="n">
        <v>25228</v>
      </c>
      <c r="N5" s="8" t="n">
        <v>25228</v>
      </c>
      <c r="O5" s="8" t="n">
        <v>25228</v>
      </c>
      <c r="P5" s="8" t="n">
        <v>25228</v>
      </c>
      <c r="Q5" s="8" t="n">
        <v>25228</v>
      </c>
      <c r="R5" s="8" t="n">
        <v>25228</v>
      </c>
      <c r="S5" s="8" t="n">
        <v>25228</v>
      </c>
      <c r="T5" s="8" t="n">
        <v>25228</v>
      </c>
      <c r="U5" s="8" t="n">
        <v>25228</v>
      </c>
      <c r="V5" s="8" t="n">
        <v>25228</v>
      </c>
    </row>
    <row r="6">
      <c r="A6" s="4" t="inlineStr">
        <is>
          <t>Total assets</t>
        </is>
      </c>
      <c r="B6" s="8" t="n">
        <v>477897.9</v>
      </c>
      <c r="C6" s="8" t="n">
        <v>496454.3553331784</v>
      </c>
      <c r="D6" s="8" t="n">
        <v>527151.2902378563</v>
      </c>
      <c r="E6" s="8" t="n">
        <v>570076.8865699295</v>
      </c>
      <c r="F6" s="8" t="n">
        <v>624068.4703218243</v>
      </c>
      <c r="G6" s="8" t="n">
        <v>689137.4015839236</v>
      </c>
      <c r="H6" s="8" t="n">
        <v>765343.8017150038</v>
      </c>
      <c r="I6" s="8" t="n">
        <v>852753.2060349918</v>
      </c>
      <c r="J6" s="8" t="n">
        <v>951415.6835506514</v>
      </c>
      <c r="K6" s="8" t="n">
        <v>1061367.628128316</v>
      </c>
      <c r="L6" s="8" t="n">
        <v>1182655.906857413</v>
      </c>
      <c r="M6" s="8" t="n">
        <v>1315383.062608997</v>
      </c>
      <c r="N6" s="8" t="n">
        <v>1461979.167043692</v>
      </c>
      <c r="O6" s="8" t="n">
        <v>1624949.199855323</v>
      </c>
      <c r="P6" s="8" t="n">
        <v>1806942.688802035</v>
      </c>
      <c r="Q6" s="8" t="n">
        <v>2010817.390120327</v>
      </c>
      <c r="R6" s="8" t="n">
        <v>2239699.982856933</v>
      </c>
      <c r="S6" s="8" t="n">
        <v>2497046.199477675</v>
      </c>
      <c r="T6" s="8" t="n">
        <v>2786702.426629056</v>
      </c>
      <c r="U6" s="8" t="n">
        <v>3112970.546689482</v>
      </c>
      <c r="V6" s="8" t="n">
        <v>3480677.625084466</v>
      </c>
    </row>
    <row r="7">
      <c r="A7" s="4" t="inlineStr">
        <is>
          <t>Customer advances</t>
        </is>
      </c>
      <c r="B7" s="8" t="n">
        <v>133993.1</v>
      </c>
      <c r="C7" s="8" t="n">
        <v>133220.7262480319</v>
      </c>
      <c r="D7" s="8" t="n">
        <v>138663.0117636937</v>
      </c>
      <c r="E7" s="8" t="n">
        <v>149254.3003694885</v>
      </c>
      <c r="F7" s="8" t="n">
        <v>164076.8371389359</v>
      </c>
      <c r="G7" s="8" t="n">
        <v>182284.2509292288</v>
      </c>
      <c r="H7" s="8" t="n">
        <v>203047.0060409517</v>
      </c>
      <c r="I7" s="8" t="n">
        <v>225517.7894305231</v>
      </c>
      <c r="J7" s="8" t="n">
        <v>248815.3400438849</v>
      </c>
      <c r="K7" s="8" t="n">
        <v>272025.2468578176</v>
      </c>
      <c r="L7" s="8" t="n">
        <v>294215.8465104618</v>
      </c>
      <c r="M7" s="8" t="n">
        <v>314466.6727046289</v>
      </c>
      <c r="N7" s="8" t="n">
        <v>333406.9838631256</v>
      </c>
      <c r="O7" s="8" t="n">
        <v>351514.4964053842</v>
      </c>
      <c r="P7" s="8" t="n">
        <v>369153.5011523997</v>
      </c>
      <c r="Q7" s="8" t="n">
        <v>386603.4598665959</v>
      </c>
      <c r="R7" s="8" t="n">
        <v>404080.4622623348</v>
      </c>
      <c r="S7" s="8" t="n">
        <v>421753.3287536345</v>
      </c>
      <c r="T7" s="8" t="n">
        <v>439755.6979043846</v>
      </c>
      <c r="U7" s="8" t="n">
        <v>458195.1028210137</v>
      </c>
      <c r="V7" s="8" t="n">
        <v>477159.7896841943</v>
      </c>
    </row>
    <row r="8">
      <c r="A8" s="4" t="inlineStr">
        <is>
          <t>Borrowings</t>
        </is>
      </c>
      <c r="C8" s="8" t="n">
        <v>16493</v>
      </c>
      <c r="D8" s="8" t="n">
        <v>16493</v>
      </c>
      <c r="E8" s="8" t="n">
        <v>16493</v>
      </c>
      <c r="F8" s="8" t="n">
        <v>16493</v>
      </c>
      <c r="G8" s="8" t="n">
        <v>16493</v>
      </c>
      <c r="H8" s="8" t="n">
        <v>16493</v>
      </c>
      <c r="I8" s="8" t="n">
        <v>16493</v>
      </c>
      <c r="J8" s="8" t="n">
        <v>16493</v>
      </c>
      <c r="K8" s="8" t="n">
        <v>16493</v>
      </c>
      <c r="L8" s="8" t="n">
        <v>16493</v>
      </c>
      <c r="M8" s="8" t="n">
        <v>16493</v>
      </c>
      <c r="N8" s="8" t="n">
        <v>16493</v>
      </c>
      <c r="O8" s="8" t="n">
        <v>16493</v>
      </c>
      <c r="P8" s="8" t="n">
        <v>16493</v>
      </c>
      <c r="Q8" s="8" t="n">
        <v>16493</v>
      </c>
      <c r="R8" s="8" t="n">
        <v>16493</v>
      </c>
      <c r="S8" s="8" t="n">
        <v>16493</v>
      </c>
      <c r="T8" s="8" t="n">
        <v>16493</v>
      </c>
      <c r="U8" s="8" t="n">
        <v>16493</v>
      </c>
      <c r="V8" s="8" t="n">
        <v>16493</v>
      </c>
    </row>
    <row r="9">
      <c r="A9" s="4" t="inlineStr">
        <is>
          <t>Total liabilities</t>
        </is>
      </c>
      <c r="B9" s="8" t="n">
        <v>310574.2</v>
      </c>
      <c r="C9" s="8" t="n">
        <v>309801.8262480319</v>
      </c>
      <c r="D9" s="8" t="n">
        <v>315244.1117636937</v>
      </c>
      <c r="E9" s="8" t="n">
        <v>325835.4003694885</v>
      </c>
      <c r="F9" s="8" t="n">
        <v>340657.9371389359</v>
      </c>
      <c r="G9" s="8" t="n">
        <v>358865.3509292288</v>
      </c>
      <c r="H9" s="8" t="n">
        <v>379628.1060409517</v>
      </c>
      <c r="I9" s="8" t="n">
        <v>402098.8894305231</v>
      </c>
      <c r="J9" s="8" t="n">
        <v>425396.4400438849</v>
      </c>
      <c r="K9" s="8" t="n">
        <v>448606.3468578176</v>
      </c>
      <c r="L9" s="8" t="n">
        <v>470796.9465104617</v>
      </c>
      <c r="M9" s="8" t="n">
        <v>491047.7727046289</v>
      </c>
      <c r="N9" s="8" t="n">
        <v>509988.0838631255</v>
      </c>
      <c r="O9" s="8" t="n">
        <v>528095.5964053841</v>
      </c>
      <c r="P9" s="8" t="n">
        <v>545734.6011523997</v>
      </c>
      <c r="Q9" s="8" t="n">
        <v>563184.5598665959</v>
      </c>
      <c r="R9" s="8" t="n">
        <v>580661.5622623347</v>
      </c>
      <c r="S9" s="8" t="n">
        <v>598334.4287536346</v>
      </c>
      <c r="T9" s="8" t="n">
        <v>616336.7979043847</v>
      </c>
      <c r="U9" s="8" t="n">
        <v>634776.2028210136</v>
      </c>
      <c r="V9" s="8" t="n">
        <v>653740.8896841943</v>
      </c>
    </row>
    <row r="10">
      <c r="A10" s="4" t="inlineStr">
        <is>
          <t>Equity attributable to TMG</t>
        </is>
      </c>
      <c r="B10" s="8" t="n">
        <v>91670.89999999999</v>
      </c>
      <c r="C10" s="8" t="n">
        <v>100541.6070155131</v>
      </c>
      <c r="D10" s="8" t="n">
        <v>112131.8898268824</v>
      </c>
      <c r="E10" s="8" t="n">
        <v>126971.286932922</v>
      </c>
      <c r="F10" s="8" t="n">
        <v>144947.3960043798</v>
      </c>
      <c r="G10" s="8" t="n">
        <v>166453.8612932777</v>
      </c>
      <c r="H10" s="8" t="n">
        <v>191898.9789810728</v>
      </c>
      <c r="I10" s="8" t="n">
        <v>221701.6885879298</v>
      </c>
      <c r="J10" s="8" t="n">
        <v>256289.4115612576</v>
      </c>
      <c r="K10" s="8" t="n">
        <v>296098.5070600605</v>
      </c>
      <c r="L10" s="8" t="n">
        <v>341578.0585182544</v>
      </c>
      <c r="M10" s="8" t="n">
        <v>393197.5622806872</v>
      </c>
      <c r="N10" s="8" t="n">
        <v>451783.4774438707</v>
      </c>
      <c r="O10" s="8" t="n">
        <v>518266.1893131545</v>
      </c>
      <c r="P10" s="8" t="n">
        <v>593694.4767484063</v>
      </c>
      <c r="Q10" s="8" t="n">
        <v>679251.6134377779</v>
      </c>
      <c r="R10" s="8" t="n">
        <v>776273.3753403926</v>
      </c>
      <c r="S10" s="8" t="n">
        <v>886268.2466830434</v>
      </c>
      <c r="T10" s="8" t="n">
        <v>1010940.143430747</v>
      </c>
      <c r="U10" s="8" t="n">
        <v>1152214.005958761</v>
      </c>
      <c r="V10" s="8" t="n">
        <v>1312264.651838045</v>
      </c>
    </row>
    <row r="11">
      <c r="A11" s="4" t="inlineStr">
        <is>
          <t>Non-controlling interests</t>
        </is>
      </c>
      <c r="B11" s="8" t="n">
        <v>75652.8</v>
      </c>
      <c r="C11" s="8" t="n">
        <v>86110.92206963341</v>
      </c>
      <c r="D11" s="8" t="n">
        <v>99775.28864728022</v>
      </c>
      <c r="E11" s="8" t="n">
        <v>117270.1992675189</v>
      </c>
      <c r="F11" s="8" t="n">
        <v>138463.1371785086</v>
      </c>
      <c r="G11" s="8" t="n">
        <v>163818.1893614172</v>
      </c>
      <c r="H11" s="8" t="n">
        <v>193816.7166929793</v>
      </c>
      <c r="I11" s="8" t="n">
        <v>228952.6280165389</v>
      </c>
      <c r="J11" s="8" t="n">
        <v>269729.8319455092</v>
      </c>
      <c r="K11" s="8" t="n">
        <v>316662.774210438</v>
      </c>
      <c r="L11" s="8" t="n">
        <v>370280.9018286967</v>
      </c>
      <c r="M11" s="8" t="n">
        <v>431137.7276236807</v>
      </c>
      <c r="N11" s="8" t="n">
        <v>500207.605736696</v>
      </c>
      <c r="O11" s="8" t="n">
        <v>578587.4141367843</v>
      </c>
      <c r="P11" s="8" t="n">
        <v>667513.610901229</v>
      </c>
      <c r="Q11" s="8" t="n">
        <v>768381.2168159535</v>
      </c>
      <c r="R11" s="8" t="n">
        <v>882765.0452542058</v>
      </c>
      <c r="S11" s="8" t="n">
        <v>1012443.524040998</v>
      </c>
      <c r="T11" s="8" t="n">
        <v>1159425.485293925</v>
      </c>
      <c r="U11" s="8" t="n">
        <v>1325980.337909708</v>
      </c>
      <c r="V11" s="8" t="n">
        <v>1514672.083562228</v>
      </c>
    </row>
    <row r="12">
      <c r="A12" s="4" t="inlineStr">
        <is>
          <t>Total equity</t>
        </is>
      </c>
      <c r="B12" s="8" t="n">
        <v>167323.6</v>
      </c>
      <c r="C12" s="8" t="n">
        <v>186652.5290851465</v>
      </c>
      <c r="D12" s="8" t="n">
        <v>211907.1784741626</v>
      </c>
      <c r="E12" s="8" t="n">
        <v>244241.4862004409</v>
      </c>
      <c r="F12" s="8" t="n">
        <v>283410.5331828883</v>
      </c>
      <c r="G12" s="8" t="n">
        <v>330272.0506546948</v>
      </c>
      <c r="H12" s="8" t="n">
        <v>385715.6956740521</v>
      </c>
      <c r="I12" s="8" t="n">
        <v>450654.3166044687</v>
      </c>
      <c r="J12" s="8" t="n">
        <v>526019.2435067667</v>
      </c>
      <c r="K12" s="8" t="n">
        <v>612761.2812704984</v>
      </c>
      <c r="L12" s="8" t="n">
        <v>711858.9603469511</v>
      </c>
      <c r="M12" s="8" t="n">
        <v>824335.2899043679</v>
      </c>
      <c r="N12" s="8" t="n">
        <v>951991.0831805668</v>
      </c>
      <c r="O12" s="8" t="n">
        <v>1096853.603449939</v>
      </c>
      <c r="P12" s="8" t="n">
        <v>1261208.087649635</v>
      </c>
      <c r="Q12" s="8" t="n">
        <v>1447632.830253731</v>
      </c>
      <c r="R12" s="8" t="n">
        <v>1659038.420594598</v>
      </c>
      <c r="S12" s="8" t="n">
        <v>1898711.770724041</v>
      </c>
      <c r="T12" s="8" t="n">
        <v>2170365.628724672</v>
      </c>
      <c r="U12" s="8" t="n">
        <v>2478194.343868469</v>
      </c>
      <c r="V12" s="8" t="n">
        <v>2826936.735400273</v>
      </c>
    </row>
    <row r="13">
      <c r="A13" s="11" t="inlineStr">
        <is>
          <t>Assets less liabilities less equity</t>
        </is>
      </c>
      <c r="C13" s="9" t="n">
        <v>-5.820766091346741e-11</v>
      </c>
      <c r="D13" s="9" t="n">
        <v>0</v>
      </c>
      <c r="E13" s="9" t="n">
        <v>1.164153218269348e-10</v>
      </c>
      <c r="F13" s="9" t="n">
        <v>5.820766091346741e-11</v>
      </c>
      <c r="G13" s="9" t="n">
        <v>0</v>
      </c>
      <c r="H13" s="9" t="n">
        <v>-5.820766091346741e-11</v>
      </c>
      <c r="I13" s="9" t="n">
        <v>-5.820766091346741e-11</v>
      </c>
      <c r="J13" s="9" t="n">
        <v>-2.328306436538696e-10</v>
      </c>
      <c r="K13" s="9" t="n">
        <v>0</v>
      </c>
      <c r="L13" s="9" t="n">
        <v>-1.164153218269348e-10</v>
      </c>
      <c r="M13" s="9" t="n">
        <v>1.164153218269348e-10</v>
      </c>
      <c r="N13" s="9" t="n">
        <v>1.164153218269348e-10</v>
      </c>
      <c r="O13" s="9" t="n">
        <v>0</v>
      </c>
      <c r="P13" s="9" t="n">
        <v>-2.328306436538696e-10</v>
      </c>
      <c r="Q13" s="9" t="n">
        <v>-4.656612873077393e-10</v>
      </c>
      <c r="R13" s="9" t="n">
        <v>-6.984919309616089e-10</v>
      </c>
      <c r="S13" s="9" t="n">
        <v>-4.656612873077393e-10</v>
      </c>
      <c r="T13" s="9" t="n">
        <v>-9.313225746154785e-10</v>
      </c>
      <c r="U13" s="9" t="n">
        <v>0</v>
      </c>
      <c r="V13" s="9" t="n">
        <v>-9.313225746154785e-10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Operating cash flow</t>
        </is>
      </c>
      <c r="B2" s="8" t="n">
        <v>24355.80881125544</v>
      </c>
      <c r="C2" s="8" t="n">
        <v>30797.01966263739</v>
      </c>
      <c r="D2" s="8" t="n">
        <v>38743.46529081929</v>
      </c>
      <c r="E2" s="8" t="n">
        <v>46507.63315368938</v>
      </c>
      <c r="F2" s="8" t="n">
        <v>55396.30671615424</v>
      </c>
      <c r="G2" s="8" t="n">
        <v>65446.1039690499</v>
      </c>
      <c r="H2" s="8" t="n">
        <v>76686.66768484155</v>
      </c>
      <c r="I2" s="8" t="n">
        <v>89143.47503062025</v>
      </c>
      <c r="J2" s="8" t="n">
        <v>102842.8234638758</v>
      </c>
      <c r="K2" s="8" t="n">
        <v>117818.8917971868</v>
      </c>
      <c r="L2" s="8" t="n">
        <v>134122.5808736047</v>
      </c>
      <c r="M2" s="8" t="n">
        <v>152517.6433551638</v>
      </c>
      <c r="N2" s="8" t="n">
        <v>173291.4367166685</v>
      </c>
      <c r="O2" s="8" t="n">
        <v>196764.9762598592</v>
      </c>
      <c r="P2" s="8" t="n">
        <v>223298.2135859039</v>
      </c>
      <c r="Q2" s="8" t="n">
        <v>253295.7705329187</v>
      </c>
      <c r="R2" s="8" t="n">
        <v>287213.2447122033</v>
      </c>
      <c r="S2" s="8" t="n">
        <v>325564.203538761</v>
      </c>
      <c r="T2" s="8" t="n">
        <v>368927.9880825881</v>
      </c>
      <c r="U2" s="8" t="n">
        <v>417958.4557497925</v>
      </c>
    </row>
    <row r="3">
      <c r="A3" s="4" t="inlineStr">
        <is>
          <t>Capital spend</t>
        </is>
      </c>
      <c r="B3" s="8" t="n">
        <v>-2320.413312</v>
      </c>
      <c r="C3" s="8" t="n">
        <v>-3213.33372911616</v>
      </c>
      <c r="D3" s="8" t="n">
        <v>-4297.715373105748</v>
      </c>
      <c r="E3" s="8" t="n">
        <v>-4968.658333213129</v>
      </c>
      <c r="F3" s="8" t="n">
        <v>-5664.893882182725</v>
      </c>
      <c r="G3" s="8" t="n">
        <v>-6368.098081126194</v>
      </c>
      <c r="H3" s="8" t="n">
        <v>-7056.74962156778</v>
      </c>
      <c r="I3" s="8" t="n">
        <v>-7707.007227029098</v>
      </c>
      <c r="J3" s="8" t="n">
        <v>-8293.909780544594</v>
      </c>
      <c r="K3" s="8" t="n">
        <v>-8792.834449742515</v>
      </c>
      <c r="L3" s="8" t="n">
        <v>-9181.109065086075</v>
      </c>
      <c r="M3" s="8" t="n">
        <v>-9587.137588274492</v>
      </c>
      <c r="N3" s="8" t="n">
        <v>-10011.76532935401</v>
      </c>
      <c r="O3" s="8" t="n">
        <v>-10455.87962811966</v>
      </c>
      <c r="P3" s="8" t="n">
        <v>-10920.41203491991</v>
      </c>
      <c r="Q3" s="8" t="n">
        <v>-11406.34060907002</v>
      </c>
      <c r="R3" s="8" t="n">
        <v>-11914.69234142555</v>
      </c>
      <c r="S3" s="8" t="n">
        <v>-12446.54570804125</v>
      </c>
      <c r="T3" s="8" t="n">
        <v>-13003.03336223747</v>
      </c>
      <c r="U3" s="8" t="n">
        <v>-13585.34497281471</v>
      </c>
    </row>
    <row r="4">
      <c r="A4" s="4" t="inlineStr">
        <is>
          <t>Dividends</t>
        </is>
      </c>
      <c r="B4" s="8" t="n">
        <v>-3801.731578077044</v>
      </c>
      <c r="C4" s="8" t="n">
        <v>-4967.264062015432</v>
      </c>
      <c r="D4" s="8" t="n">
        <v>-6359.741616874092</v>
      </c>
      <c r="E4" s="8" t="n">
        <v>-7704.046744910468</v>
      </c>
      <c r="F4" s="8" t="n">
        <v>-9217.05655238482</v>
      </c>
      <c r="G4" s="8" t="n">
        <v>-10905.05043762649</v>
      </c>
      <c r="H4" s="8" t="n">
        <v>-12772.58983151014</v>
      </c>
      <c r="I4" s="8" t="n">
        <v>-14823.30984571189</v>
      </c>
      <c r="J4" s="8" t="n">
        <v>-17061.04092805841</v>
      </c>
      <c r="K4" s="8" t="n">
        <v>-19491.23633922593</v>
      </c>
      <c r="L4" s="8" t="n">
        <v>-22122.64446961407</v>
      </c>
      <c r="M4" s="8" t="n">
        <v>-25108.24935565008</v>
      </c>
      <c r="N4" s="8" t="n">
        <v>-28492.59080112161</v>
      </c>
      <c r="O4" s="8" t="n">
        <v>-32326.40890082219</v>
      </c>
      <c r="P4" s="8" t="n">
        <v>-36667.34429544496</v>
      </c>
      <c r="Q4" s="8" t="n">
        <v>-41580.75510112058</v>
      </c>
      <c r="R4" s="8" t="n">
        <v>-47140.65914685038</v>
      </c>
      <c r="S4" s="8" t="n">
        <v>-53430.81289187296</v>
      </c>
      <c r="T4" s="8" t="n">
        <v>-60545.9410834345</v>
      </c>
      <c r="U4" s="8" t="n">
        <v>-68593.13394826453</v>
      </c>
    </row>
    <row r="5">
      <c r="A5" s="4" t="inlineStr">
        <is>
          <t>Movement in customer advances</t>
        </is>
      </c>
      <c r="B5" s="8" t="n">
        <v>-772.3737519681163</v>
      </c>
      <c r="C5" s="8" t="n">
        <v>5442.285515661788</v>
      </c>
      <c r="D5" s="8" t="n">
        <v>10591.28860579486</v>
      </c>
      <c r="E5" s="8" t="n">
        <v>14822.53676944732</v>
      </c>
      <c r="F5" s="8" t="n">
        <v>18207.41379029289</v>
      </c>
      <c r="G5" s="8" t="n">
        <v>20762.75511172297</v>
      </c>
      <c r="H5" s="8" t="n">
        <v>22470.78338957136</v>
      </c>
      <c r="I5" s="8" t="n">
        <v>23297.55061336177</v>
      </c>
      <c r="J5" s="8" t="n">
        <v>23209.90681393276</v>
      </c>
      <c r="K5" s="8" t="n">
        <v>22190.59965264413</v>
      </c>
      <c r="L5" s="8" t="n">
        <v>20250.82619416714</v>
      </c>
      <c r="M5" s="8" t="n">
        <v>18940.31115849665</v>
      </c>
      <c r="N5" s="8" t="n">
        <v>18107.5125422586</v>
      </c>
      <c r="O5" s="8" t="n">
        <v>17639.00474701554</v>
      </c>
      <c r="P5" s="8" t="n">
        <v>17449.95871419617</v>
      </c>
      <c r="Q5" s="8" t="n">
        <v>17477.00239573891</v>
      </c>
      <c r="R5" s="8" t="n">
        <v>17672.86649129976</v>
      </c>
      <c r="S5" s="8" t="n">
        <v>18002.36915075011</v>
      </c>
      <c r="T5" s="8" t="n">
        <v>18439.40491662902</v>
      </c>
      <c r="U5" s="8" t="n">
        <v>18964.68686318066</v>
      </c>
    </row>
    <row r="6">
      <c r="A6" s="4" t="inlineStr">
        <is>
          <t>Movement in work in progress</t>
        </is>
      </c>
      <c r="B6" s="8" t="n">
        <v>854.9315000000061</v>
      </c>
      <c r="C6" s="8" t="n">
        <v>-6024.00237899999</v>
      </c>
      <c r="D6" s="8" t="n">
        <v>-11723.37386092199</v>
      </c>
      <c r="E6" s="8" t="n">
        <v>-16406.89311595364</v>
      </c>
      <c r="F6" s="8" t="n">
        <v>-20153.57402189227</v>
      </c>
      <c r="G6" s="8" t="n">
        <v>-22982.05153472256</v>
      </c>
      <c r="H6" s="8" t="n">
        <v>-24872.64811947504</v>
      </c>
      <c r="I6" s="8" t="n">
        <v>-25787.78711919489</v>
      </c>
      <c r="J6" s="8" t="n">
        <v>-25690.77521955359</v>
      </c>
      <c r="K6" s="8" t="n">
        <v>-24562.51600807643</v>
      </c>
      <c r="L6" s="8" t="n">
        <v>-22415.40338508753</v>
      </c>
      <c r="M6" s="8" t="n">
        <v>-20964.80957300703</v>
      </c>
      <c r="N6" s="8" t="n">
        <v>-20042.99449531434</v>
      </c>
      <c r="O6" s="8" t="n">
        <v>-19524.40867966718</v>
      </c>
      <c r="P6" s="8" t="n">
        <v>-19315.15583025906</v>
      </c>
      <c r="Q6" s="8" t="n">
        <v>-19345.09016602334</v>
      </c>
      <c r="R6" s="8" t="n">
        <v>-19561.88984957969</v>
      </c>
      <c r="S6" s="8" t="n">
        <v>-19926.61250124944</v>
      </c>
      <c r="T6" s="8" t="n">
        <v>-20410.36229456434</v>
      </c>
      <c r="U6" s="8" t="n">
        <v>-20991.79075629561</v>
      </c>
    </row>
    <row r="7">
      <c r="A7" s="4" t="inlineStr">
        <is>
          <t>Free cash flow to the firm</t>
        </is>
      </c>
      <c r="B7" s="8" t="n">
        <v>13549.94762425544</v>
      </c>
      <c r="C7" s="8" t="n">
        <v>16272.02015073857</v>
      </c>
      <c r="D7" s="8" t="n">
        <v>19628.53874484749</v>
      </c>
      <c r="E7" s="8" t="n">
        <v>22368.43236098009</v>
      </c>
      <c r="F7" s="8" t="n">
        <v>25316.45652276265</v>
      </c>
      <c r="G7" s="8" t="n">
        <v>28383.32435306889</v>
      </c>
      <c r="H7" s="8" t="n">
        <v>31468.4284336229</v>
      </c>
      <c r="I7" s="8" t="n">
        <v>34462.09229801692</v>
      </c>
      <c r="J7" s="8" t="n">
        <v>37249.49869428568</v>
      </c>
      <c r="K7" s="8" t="n">
        <v>39716.02208133149</v>
      </c>
      <c r="L7" s="8" t="n">
        <v>41753.53928613197</v>
      </c>
      <c r="M7" s="8" t="n">
        <v>43805.65500697248</v>
      </c>
      <c r="N7" s="8" t="n">
        <v>45892.37088365551</v>
      </c>
      <c r="O7" s="8" t="n">
        <v>48029.79863722069</v>
      </c>
      <c r="P7" s="8" t="n">
        <v>50231.18695817297</v>
      </c>
      <c r="Q7" s="8" t="n">
        <v>52507.69445642918</v>
      </c>
      <c r="R7" s="8" t="n">
        <v>54868.9723058354</v>
      </c>
      <c r="S7" s="8" t="n">
        <v>57323.60431606862</v>
      </c>
      <c r="T7" s="8" t="n">
        <v>59879.44024017821</v>
      </c>
      <c r="U7" s="8" t="n">
        <v>62543.84918308332</v>
      </c>
    </row>
    <row r="8">
      <c r="A8" s="4" t="inlineStr">
        <is>
          <t>Closing cash and deposits</t>
        </is>
      </c>
      <c r="B8" s="8" t="n">
        <v>94007.06392117839</v>
      </c>
      <c r="C8" s="8" t="n">
        <v>116623.4857926842</v>
      </c>
      <c r="D8" s="8" t="n">
        <v>144709.4940935237</v>
      </c>
      <c r="E8" s="8" t="n">
        <v>178544.4221690894</v>
      </c>
      <c r="F8" s="8" t="n">
        <v>219058.7784506761</v>
      </c>
      <c r="G8" s="8" t="n">
        <v>267231.7339009733</v>
      </c>
      <c r="H8" s="8" t="n">
        <v>324089.062132737</v>
      </c>
      <c r="I8" s="8" t="n">
        <v>390702.2200906162</v>
      </c>
      <c r="J8" s="8" t="n">
        <v>468190.092845889</v>
      </c>
      <c r="K8" s="8" t="n">
        <v>557724.9138541074</v>
      </c>
      <c r="L8" s="8" t="n">
        <v>660543.741193012</v>
      </c>
      <c r="M8" s="8" t="n">
        <v>778365.9976042513</v>
      </c>
      <c r="N8" s="8" t="n">
        <v>913153.078190444</v>
      </c>
      <c r="O8" s="8" t="n">
        <v>1067135.765921361</v>
      </c>
      <c r="P8" s="8" t="n">
        <v>1242846.2231769</v>
      </c>
      <c r="Q8" s="8" t="n">
        <v>1443154.897999628</v>
      </c>
      <c r="R8" s="8" t="n">
        <v>1671312.791223556</v>
      </c>
      <c r="S8" s="8" t="n">
        <v>1930999.636162403</v>
      </c>
      <c r="T8" s="8" t="n">
        <v>2226378.649799319</v>
      </c>
      <c r="U8" s="8" t="n">
        <v>2562158.626628032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c r="L1" s="3" t="inlineStr">
        <is>
          <t>2036</t>
        </is>
      </c>
      <c r="M1" s="3" t="inlineStr">
        <is>
          <t>2037</t>
        </is>
      </c>
      <c r="N1" s="3" t="inlineStr">
        <is>
          <t>2038</t>
        </is>
      </c>
      <c r="O1" s="3" t="inlineStr">
        <is>
          <t>2039</t>
        </is>
      </c>
      <c r="P1" s="3" t="inlineStr">
        <is>
          <t>2040</t>
        </is>
      </c>
      <c r="Q1" s="3" t="inlineStr">
        <is>
          <t>2041</t>
        </is>
      </c>
      <c r="R1" s="3" t="inlineStr">
        <is>
          <t>2042</t>
        </is>
      </c>
      <c r="S1" s="3" t="inlineStr">
        <is>
          <t>2043</t>
        </is>
      </c>
      <c r="T1" s="3" t="inlineStr">
        <is>
          <t>2044</t>
        </is>
      </c>
      <c r="U1" s="3" t="inlineStr">
        <is>
          <t>2045</t>
        </is>
      </c>
    </row>
    <row r="2">
      <c r="A2" s="4" t="inlineStr">
        <is>
          <t>Revenue</t>
        </is>
      </c>
      <c r="B2" s="8" t="n">
        <v>80546.09696</v>
      </c>
      <c r="C2" s="8" t="n">
        <v>100215.774713344</v>
      </c>
      <c r="D2" s="8" t="n">
        <v>122723.2655915976</v>
      </c>
      <c r="E2" s="8" t="n">
        <v>141819.4575464031</v>
      </c>
      <c r="F2" s="8" t="n">
        <v>161619.3541640292</v>
      </c>
      <c r="G2" s="8" t="n">
        <v>181599.0999907513</v>
      </c>
      <c r="H2" s="8" t="n">
        <v>201144.639889901</v>
      </c>
      <c r="I2" s="8" t="n">
        <v>219576.9591692961</v>
      </c>
      <c r="J2" s="8" t="n">
        <v>236186.4510587204</v>
      </c>
      <c r="K2" s="8" t="n">
        <v>250274.5353551944</v>
      </c>
      <c r="L2" s="8" t="n">
        <v>261199.5477032487</v>
      </c>
      <c r="M2" s="8" t="n">
        <v>272617.1336260029</v>
      </c>
      <c r="N2" s="8" t="n">
        <v>284550.3749097565</v>
      </c>
      <c r="O2" s="8" t="n">
        <v>297023.4820459341</v>
      </c>
      <c r="P2" s="8" t="n">
        <v>310061.8518696578</v>
      </c>
      <c r="Q2" s="8" t="n">
        <v>323692.1282632772</v>
      </c>
      <c r="R2" s="8" t="n">
        <v>337942.2660936264</v>
      </c>
      <c r="S2" s="8" t="n">
        <v>352841.5985613385</v>
      </c>
      <c r="T2" s="8" t="n">
        <v>368420.9081506563</v>
      </c>
      <c r="U2" s="8" t="n">
        <v>384712.501378876</v>
      </c>
    </row>
    <row r="3">
      <c r="A3" s="4" t="inlineStr">
        <is>
          <t>Gross margin</t>
        </is>
      </c>
      <c r="B3" s="10" t="n">
        <v>0.3163076798254644</v>
      </c>
      <c r="C3" s="10" t="n">
        <v>0.3225320481559615</v>
      </c>
      <c r="D3" s="10" t="n">
        <v>0.3281813084766022</v>
      </c>
      <c r="E3" s="10" t="n">
        <v>0.3281530068117789</v>
      </c>
      <c r="F3" s="10" t="n">
        <v>0.3281243203819394</v>
      </c>
      <c r="G3" s="10" t="n">
        <v>0.3280952470266565</v>
      </c>
      <c r="H3" s="10" t="n">
        <v>0.3280657846805978</v>
      </c>
      <c r="I3" s="10" t="n">
        <v>0.3280359313773683</v>
      </c>
      <c r="J3" s="10" t="n">
        <v>0.3280056852533753</v>
      </c>
      <c r="K3" s="10" t="n">
        <v>0.3279750445517202</v>
      </c>
      <c r="L3" s="10" t="n">
        <v>0.3279440076261054</v>
      </c>
      <c r="M3" s="10" t="n">
        <v>0.327912572944757</v>
      </c>
      <c r="N3" s="10" t="n">
        <v>0.3278807390943531</v>
      </c>
      <c r="O3" s="10" t="n">
        <v>0.3278485047839593</v>
      </c>
      <c r="P3" s="10" t="n">
        <v>0.3278158688489589</v>
      </c>
      <c r="Q3" s="10" t="n">
        <v>0.3277828302549782</v>
      </c>
      <c r="R3" s="10" t="n">
        <v>0.3277493881017979</v>
      </c>
      <c r="S3" s="10" t="n">
        <v>0.3277155416272459</v>
      </c>
      <c r="T3" s="10" t="n">
        <v>0.3276812902110643</v>
      </c>
      <c r="U3" s="10" t="n">
        <v>0.3276466333787461</v>
      </c>
    </row>
    <row r="4">
      <c r="A4" s="4" t="inlineStr">
        <is>
          <t>Operating margin</t>
        </is>
      </c>
      <c r="B4" s="10" t="n">
        <v>0.2346099989937993</v>
      </c>
      <c r="C4" s="10" t="n">
        <v>0.2434778321250171</v>
      </c>
      <c r="D4" s="10" t="n">
        <v>0.2510430544446013</v>
      </c>
      <c r="E4" s="10" t="n">
        <v>0.252047413386181</v>
      </c>
      <c r="F4" s="10" t="n">
        <v>0.2527932445424318</v>
      </c>
      <c r="G4" s="10" t="n">
        <v>0.2533337404023637</v>
      </c>
      <c r="H4" s="10" t="n">
        <v>0.2537074727078367</v>
      </c>
      <c r="I4" s="10" t="n">
        <v>0.2539420400434187</v>
      </c>
      <c r="J4" s="10" t="n">
        <v>0.2540566026942072</v>
      </c>
      <c r="K4" s="10" t="n">
        <v>0.2540636094505153</v>
      </c>
      <c r="L4" s="10" t="n">
        <v>0.2539699181381967</v>
      </c>
      <c r="M4" s="10" t="n">
        <v>0.2538793492519897</v>
      </c>
      <c r="N4" s="10" t="n">
        <v>0.2537917224201887</v>
      </c>
      <c r="O4" s="10" t="n">
        <v>0.2537068665140548</v>
      </c>
      <c r="P4" s="10" t="n">
        <v>0.2536246191889358</v>
      </c>
      <c r="Q4" s="10" t="n">
        <v>0.253544826448671</v>
      </c>
      <c r="R4" s="10" t="n">
        <v>0.2534673422321055</v>
      </c>
      <c r="S4" s="10" t="n">
        <v>0.2533920280205975</v>
      </c>
      <c r="T4" s="10" t="n">
        <v>0.2533187524654563</v>
      </c>
      <c r="U4" s="10" t="n">
        <v>0.2532473910343054</v>
      </c>
    </row>
    <row r="5">
      <c r="A5" s="4" t="inlineStr">
        <is>
          <t>Net profit</t>
        </is>
      </c>
      <c r="B5" s="8" t="n">
        <v>23130.56066322355</v>
      </c>
      <c r="C5" s="8" t="n">
        <v>30221.91345103159</v>
      </c>
      <c r="D5" s="8" t="n">
        <v>38694.04934315235</v>
      </c>
      <c r="E5" s="8" t="n">
        <v>46873.09372735789</v>
      </c>
      <c r="F5" s="8" t="n">
        <v>56078.57402419132</v>
      </c>
      <c r="G5" s="8" t="n">
        <v>66348.69545698373</v>
      </c>
      <c r="H5" s="8" t="n">
        <v>77711.21076192675</v>
      </c>
      <c r="I5" s="8" t="n">
        <v>90188.23674800989</v>
      </c>
      <c r="J5" s="8" t="n">
        <v>103803.0786917901</v>
      </c>
      <c r="K5" s="8" t="n">
        <v>118588.9154156786</v>
      </c>
      <c r="L5" s="8" t="n">
        <v>134598.9740270309</v>
      </c>
      <c r="M5" s="8" t="n">
        <v>152764.0426318489</v>
      </c>
      <c r="N5" s="8" t="n">
        <v>173355.1110704936</v>
      </c>
      <c r="O5" s="8" t="n">
        <v>196680.8931005187</v>
      </c>
      <c r="P5" s="8" t="n">
        <v>223092.0868995411</v>
      </c>
      <c r="Q5" s="8" t="n">
        <v>252986.3454419876</v>
      </c>
      <c r="R5" s="8" t="n">
        <v>286814.0092762934</v>
      </c>
      <c r="S5" s="8" t="n">
        <v>325084.6708925036</v>
      </c>
      <c r="T5" s="8" t="n">
        <v>368374.6562272313</v>
      </c>
      <c r="U5" s="8" t="n">
        <v>417335.525480068</v>
      </c>
    </row>
    <row r="6">
      <c r="A6" s="4" t="inlineStr">
        <is>
          <t>Attributable profit</t>
        </is>
      </c>
      <c r="B6" s="8" t="n">
        <v>12672.43859359015</v>
      </c>
      <c r="C6" s="8" t="n">
        <v>16557.54687338477</v>
      </c>
      <c r="D6" s="8" t="n">
        <v>21199.13872291364</v>
      </c>
      <c r="E6" s="8" t="n">
        <v>25680.15581636823</v>
      </c>
      <c r="F6" s="8" t="n">
        <v>30723.52184128273</v>
      </c>
      <c r="G6" s="8" t="n">
        <v>36350.16812542162</v>
      </c>
      <c r="H6" s="8" t="n">
        <v>42575.29943836714</v>
      </c>
      <c r="I6" s="8" t="n">
        <v>49411.03281903962</v>
      </c>
      <c r="J6" s="8" t="n">
        <v>56870.13642686138</v>
      </c>
      <c r="K6" s="8" t="n">
        <v>64970.78779741978</v>
      </c>
      <c r="L6" s="8" t="n">
        <v>73742.14823204691</v>
      </c>
      <c r="M6" s="8" t="n">
        <v>83694.16451883361</v>
      </c>
      <c r="N6" s="8" t="n">
        <v>94975.30267040538</v>
      </c>
      <c r="O6" s="8" t="n">
        <v>107754.696336074</v>
      </c>
      <c r="P6" s="8" t="n">
        <v>122224.4809848165</v>
      </c>
      <c r="Q6" s="8" t="n">
        <v>138602.5170037353</v>
      </c>
      <c r="R6" s="8" t="n">
        <v>157135.5304895013</v>
      </c>
      <c r="S6" s="8" t="n">
        <v>178102.7096395766</v>
      </c>
      <c r="T6" s="8" t="n">
        <v>201819.8036114484</v>
      </c>
      <c r="U6" s="8" t="n">
        <v>228643.7798275485</v>
      </c>
    </row>
    <row r="7">
      <c r="A7" s="4" t="inlineStr">
        <is>
          <t>Earnings per share, EGP</t>
        </is>
      </c>
      <c r="B7" s="9" t="n">
        <v>6.149717431229907</v>
      </c>
      <c r="C7" s="9" t="n">
        <v>8.035093946098453</v>
      </c>
      <c r="D7" s="9" t="n">
        <v>10.28757898241502</v>
      </c>
      <c r="E7" s="9" t="n">
        <v>12.462139839486</v>
      </c>
      <c r="F7" s="9" t="n">
        <v>14.90959900264796</v>
      </c>
      <c r="G7" s="9" t="n">
        <v>17.64011408681149</v>
      </c>
      <c r="H7" s="9" t="n">
        <v>20.66106370626989</v>
      </c>
      <c r="I7" s="9" t="n">
        <v>23.97832805250432</v>
      </c>
      <c r="J7" s="9" t="n">
        <v>27.59810329462493</v>
      </c>
      <c r="K7" s="9" t="n">
        <v>31.52921067935806</v>
      </c>
      <c r="L7" s="9" t="n">
        <v>35.78580168684663</v>
      </c>
      <c r="M7" s="9" t="n">
        <v>40.61534476040255</v>
      </c>
      <c r="N7" s="9" t="n">
        <v>46.08988791344057</v>
      </c>
      <c r="O7" s="9" t="n">
        <v>52.2915088095215</v>
      </c>
      <c r="P7" s="9" t="n">
        <v>59.3134475013787</v>
      </c>
      <c r="Q7" s="9" t="n">
        <v>67.26142790396682</v>
      </c>
      <c r="R7" s="9" t="n">
        <v>76.25518196676282</v>
      </c>
      <c r="S7" s="9" t="n">
        <v>86.43019494083701</v>
      </c>
      <c r="T7" s="9" t="n">
        <v>97.93969448504565</v>
      </c>
      <c r="U7" s="9" t="n">
        <v>110.9569107763509</v>
      </c>
    </row>
    <row r="8">
      <c r="A8" s="4" t="inlineStr">
        <is>
          <t>New contracted sales</t>
        </is>
      </c>
      <c r="B8" s="8" t="n">
        <v>49732.59775999999</v>
      </c>
      <c r="C8" s="8" t="n">
        <v>73874.83348117329</v>
      </c>
      <c r="D8" s="8" t="n">
        <v>97468.28262085484</v>
      </c>
      <c r="E8" s="8" t="n">
        <v>120250.5793517932</v>
      </c>
      <c r="F8" s="8" t="n">
        <v>141814.3384822201</v>
      </c>
      <c r="G8" s="8" t="n">
        <v>161632.8063075884</v>
      </c>
      <c r="H8" s="8" t="n">
        <v>179095.8546815405</v>
      </c>
      <c r="I8" s="8" t="n">
        <v>193555.591127702</v>
      </c>
      <c r="J8" s="8" t="n">
        <v>204379.4388369729</v>
      </c>
      <c r="K8" s="8" t="n">
        <v>211007.1581204748</v>
      </c>
      <c r="L8" s="8" t="n">
        <v>213007.1415718323</v>
      </c>
      <c r="M8" s="8" t="n">
        <v>216160.5081734876</v>
      </c>
      <c r="N8" s="8" t="n">
        <v>220334.4959494121</v>
      </c>
      <c r="O8" s="8" t="n">
        <v>225420.8486615428</v>
      </c>
      <c r="P8" s="8" t="n">
        <v>231331.8266697997</v>
      </c>
      <c r="Q8" s="8" t="n">
        <v>237996.8864547543</v>
      </c>
      <c r="R8" s="8" t="n">
        <v>245359.9175114135</v>
      </c>
      <c r="S8" s="8" t="n">
        <v>253376.9438772607</v>
      </c>
      <c r="T8" s="8" t="n">
        <v>262014.2130201767</v>
      </c>
      <c r="U8" s="8" t="n">
        <v>271246.6076975051</v>
      </c>
    </row>
    <row r="9">
      <c r="A9" s="4" t="inlineStr">
        <is>
          <t>Order book, closing</t>
        </is>
      </c>
      <c r="B9" s="8" t="n">
        <v>491395.3736</v>
      </c>
      <c r="C9" s="8" t="n">
        <v>506854.9336757333</v>
      </c>
      <c r="D9" s="8" t="n">
        <v>536094.1769590343</v>
      </c>
      <c r="E9" s="8" t="n">
        <v>577744.9029939654</v>
      </c>
      <c r="F9" s="8" t="n">
        <v>630269.8081082301</v>
      </c>
      <c r="G9" s="8" t="n">
        <v>691898.4490437085</v>
      </c>
      <c r="H9" s="8" t="n">
        <v>760589.7051544396</v>
      </c>
      <c r="I9" s="8" t="n">
        <v>834025.0930371007</v>
      </c>
      <c r="J9" s="8" t="n">
        <v>909635.6739953901</v>
      </c>
      <c r="K9" s="8" t="n">
        <v>984662.9181959749</v>
      </c>
      <c r="L9" s="8" t="n">
        <v>1056250.949291122</v>
      </c>
      <c r="M9" s="8" t="n">
        <v>1125335.582568856</v>
      </c>
      <c r="N9" s="8" t="n">
        <v>1192711.168626686</v>
      </c>
      <c r="O9" s="8" t="n">
        <v>1259054.751000982</v>
      </c>
      <c r="P9" s="8" t="n">
        <v>1324946.220732045</v>
      </c>
      <c r="Q9" s="8" t="n">
        <v>1390885.135970514</v>
      </c>
      <c r="R9" s="8" t="n">
        <v>1457304.76341699</v>
      </c>
      <c r="S9" s="8" t="n">
        <v>1524583.805626716</v>
      </c>
      <c r="T9" s="8" t="n">
        <v>1593056.200912657</v>
      </c>
      <c r="U9" s="8" t="n">
        <v>1663019.318166556</v>
      </c>
    </row>
    <row r="10">
      <c r="A10" s="4" t="inlineStr">
        <is>
          <t>Order book, years of deliveries</t>
        </is>
      </c>
      <c r="B10" s="9" t="n">
        <v>9.959931511477237</v>
      </c>
      <c r="C10" s="9" t="n">
        <v>8.676753597605037</v>
      </c>
      <c r="D10" s="9" t="n">
        <v>7.857272829341495</v>
      </c>
      <c r="E10" s="9" t="n">
        <v>7.350457775854668</v>
      </c>
      <c r="F10" s="9" t="n">
        <v>7.058727828531886</v>
      </c>
      <c r="G10" s="9" t="n">
        <v>6.918696300990987</v>
      </c>
      <c r="H10" s="9" t="n">
        <v>6.889112546037882</v>
      </c>
      <c r="I10" s="9" t="n">
        <v>6.943254094698132</v>
      </c>
      <c r="J10" s="9" t="n">
        <v>7.064096777594941</v>
      </c>
      <c r="K10" s="9" t="n">
        <v>7.241237987369744</v>
      </c>
      <c r="L10" s="9" t="n">
        <v>7.468940695007808</v>
      </c>
      <c r="M10" s="9" t="n">
        <v>7.651394787666513</v>
      </c>
      <c r="N10" s="9" t="n">
        <v>7.797591977296887</v>
      </c>
      <c r="O10" s="9" t="n">
        <v>7.914737161295583</v>
      </c>
      <c r="P10" s="9" t="n">
        <v>8.00860349462787</v>
      </c>
      <c r="Q10" s="9" t="n">
        <v>8.083816902746689</v>
      </c>
      <c r="R10" s="9" t="n">
        <v>8.144084056688051</v>
      </c>
      <c r="S10" s="9" t="n">
        <v>8.192375045423118</v>
      </c>
      <c r="T10" s="9" t="n">
        <v>8.231069747935191</v>
      </c>
      <c r="U10" s="9" t="n">
        <v>8.262075118537812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t>
        </is>
      </c>
      <c r="D1" s="3" t="inlineStr">
        <is>
          <t>Against last close</t>
        </is>
      </c>
    </row>
    <row r="2">
      <c r="A2" s="20" t="n">
        <v>0.22</v>
      </c>
      <c r="B2" s="9" t="n">
        <v>76.86679522233983</v>
      </c>
      <c r="C2" s="9" t="n">
        <v>103.7117235796888</v>
      </c>
      <c r="D2" s="10">
        <f>B2/'Summary'!$B$2-1</f>
        <v/>
      </c>
    </row>
    <row r="3">
      <c r="A3" s="20" t="n">
        <v>0.25</v>
      </c>
      <c r="B3" s="9" t="n">
        <v>69.73797463202921</v>
      </c>
      <c r="C3" s="9" t="n">
        <v>93.2723977210826</v>
      </c>
      <c r="D3" s="10">
        <f>B3/'Summary'!$B$2-1</f>
        <v/>
      </c>
    </row>
    <row r="4">
      <c r="A4" s="20" t="n">
        <v>0.2849</v>
      </c>
      <c r="B4" s="9" t="n">
        <v>62.57295613738459</v>
      </c>
      <c r="C4" s="9" t="n">
        <v>82.82728529390097</v>
      </c>
      <c r="D4" s="10">
        <f>B4/'Summary'!$B$2-1</f>
        <v/>
      </c>
    </row>
    <row r="5">
      <c r="A5" s="20" t="n">
        <v>0.3157</v>
      </c>
      <c r="B5" s="9" t="n">
        <v>57.10287328978551</v>
      </c>
      <c r="C5" s="9" t="n">
        <v>74.89050646471871</v>
      </c>
      <c r="D5" s="10">
        <f>B5/'Summary'!$B$2-1</f>
        <v/>
      </c>
    </row>
    <row r="6">
      <c r="A6" s="20" t="n">
        <v>0.3237</v>
      </c>
      <c r="B6" s="9" t="n">
        <v>55.79727422175603</v>
      </c>
      <c r="C6" s="9" t="n">
        <v>73.0015861999842</v>
      </c>
      <c r="D6" s="10">
        <f>B6/'Summary'!$B$2-1</f>
        <v/>
      </c>
    </row>
    <row r="7">
      <c r="A7" s="20" t="n">
        <v>0.3579</v>
      </c>
      <c r="B7" s="9" t="n">
        <v>50.68972727303409</v>
      </c>
      <c r="C7" s="9" t="n">
        <v>65.63468154752078</v>
      </c>
      <c r="D7" s="10">
        <f>B7/'Summary'!$B$2-1</f>
        <v/>
      </c>
    </row>
    <row r="8">
      <c r="A8" s="20" t="n">
        <v>0.4</v>
      </c>
      <c r="B8" s="9" t="n">
        <v>45.32203314800572</v>
      </c>
      <c r="C8" s="9" t="n">
        <v>57.93674962225298</v>
      </c>
      <c r="D8" s="10">
        <f>B8/'Summary'!$B$2-1</f>
        <v/>
      </c>
    </row>
    <row r="10">
      <c r="A10" s="3" t="inlineStr">
        <is>
          <t>Years to convert the order book</t>
        </is>
      </c>
      <c r="B10" s="3" t="inlineStr">
        <is>
          <t>EGP per share</t>
        </is>
      </c>
    </row>
    <row r="11">
      <c r="A11" s="4" t="n">
        <v>8</v>
      </c>
      <c r="B11" s="9" t="n">
        <v>50.68499212889682</v>
      </c>
    </row>
    <row r="12">
      <c r="A12" s="4" t="n">
        <v>10</v>
      </c>
      <c r="B12" s="9" t="n">
        <v>50.68499212889682</v>
      </c>
    </row>
    <row r="13">
      <c r="A13" s="4" t="n">
        <v>12</v>
      </c>
      <c r="B13" s="9" t="n">
        <v>50.68499212889682</v>
      </c>
    </row>
    <row r="14">
      <c r="A14" s="4" t="n">
        <v>14</v>
      </c>
      <c r="B14" s="9" t="n">
        <v>50.68499212889682</v>
      </c>
    </row>
    <row r="15">
      <c r="A15" s="4" t="n">
        <v>16</v>
      </c>
      <c r="B15" s="9" t="n">
        <v>50.68499212889682</v>
      </c>
    </row>
    <row r="16">
      <c r="A16" s="4" t="n">
        <v>20</v>
      </c>
      <c r="B16" s="9" t="n">
        <v>50.68499212889682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2026-09-01T13:03:14Z</dcterms:created>
  <dcterms:modified xmlns:dcterms="http://purl.org/dc/terms/" xmlns:xsi="http://www.w3.org/2001/XMLSchema-instance" xsi:type="dcterms:W3CDTF">2026-09-01T13:03:14Z</dcterms:modified>
</cp:coreProperties>
</file>