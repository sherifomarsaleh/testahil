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2026-09-01</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t>
        </is>
      </c>
      <c r="D6" s="3" t="inlineStr">
        <is>
          <t>Per share, minority at book</t>
        </is>
      </c>
      <c r="E6" s="3" t="inlineStr">
        <is>
          <t>Per share, minority proportional</t>
        </is>
      </c>
      <c r="F6" s="3" t="inlineStr">
        <is>
          <t>Against last close</t>
        </is>
      </c>
    </row>
    <row r="7">
      <c r="A7" s="4" t="inlineStr">
        <is>
          <t>Rating premium, slower conversion</t>
        </is>
      </c>
      <c r="B7" s="8" t="n">
        <v>103490.2173712564</v>
      </c>
      <c r="C7" s="8" t="n">
        <v>115131.3173712563</v>
      </c>
      <c r="D7" s="9">
        <f>C7/$B$3</f>
        <v/>
      </c>
      <c r="E7" s="9" t="n">
        <v>50.72370923510034</v>
      </c>
      <c r="F7" s="10">
        <f>D7/$B$2-1</f>
        <v/>
      </c>
    </row>
    <row r="8">
      <c r="A8" s="4" t="inlineStr">
        <is>
          <t>Rating premium, faster conversion</t>
        </is>
      </c>
      <c r="B8" s="8" t="n">
        <v>88256.20771011799</v>
      </c>
      <c r="C8" s="8" t="n">
        <v>99897.307710118</v>
      </c>
      <c r="D8" s="9">
        <f>C8/$B$3</f>
        <v/>
      </c>
      <c r="E8" s="9" t="n">
        <v>46.67344820088329</v>
      </c>
      <c r="F8" s="10">
        <f>D8/$B$2-1</f>
        <v/>
      </c>
    </row>
    <row r="9">
      <c r="A9" s="4" t="inlineStr">
        <is>
          <t>Swap premium, slower conversion</t>
        </is>
      </c>
      <c r="B9" s="8" t="n">
        <v>117986.9049356308</v>
      </c>
      <c r="C9" s="8" t="n">
        <v>129628.0049356308</v>
      </c>
      <c r="D9" s="9">
        <f>C9/$B$3</f>
        <v/>
      </c>
      <c r="E9" s="9" t="n">
        <v>54.57793869098589</v>
      </c>
      <c r="F9" s="10">
        <f>D9/$B$2-1</f>
        <v/>
      </c>
    </row>
    <row r="10">
      <c r="A10" s="4" t="inlineStr">
        <is>
          <t>Swap premium, faster conversion</t>
        </is>
      </c>
      <c r="B10" s="8" t="n">
        <v>101232.7379730227</v>
      </c>
      <c r="C10" s="8" t="n">
        <v>112873.8379730227</v>
      </c>
      <c r="D10" s="9">
        <f>C10/$B$3</f>
        <v/>
      </c>
      <c r="E10" s="9" t="n">
        <v>50.12351394537711</v>
      </c>
      <c r="F10" s="10">
        <f>D10/$B$2-1</f>
        <v/>
      </c>
    </row>
    <row r="12">
      <c r="A12" s="11" t="inlineStr">
        <is>
          <t>Lowest published case, EGP/share</t>
        </is>
      </c>
      <c r="B12" s="12">
        <f>MIN(D7:E10)</f>
        <v/>
      </c>
    </row>
    <row r="13">
      <c r="A13" s="11" t="inlineStr">
        <is>
          <t>Highest published case, EGP/share</t>
        </is>
      </c>
      <c r="B13" s="12">
        <f>MAX(D7:E10)</f>
        <v/>
      </c>
    </row>
    <row r="15">
      <c r="A15" s="4" t="inlineStr">
        <is>
          <t>Discount rate the last close implies, slower conversion</t>
        </is>
      </c>
      <c r="B15" s="13" t="n">
        <v>0.237271115555085</v>
      </c>
    </row>
    <row r="16">
      <c r="A16" s="4" t="inlineStr">
        <is>
          <t>Discount rate the last close implies, faster conversion</t>
        </is>
      </c>
      <c r="B16" s="13" t="n">
        <v>0.2243557037726325</v>
      </c>
    </row>
    <row r="17">
      <c r="A17" s="4" t="inlineStr">
        <is>
          <t>Discount rate this workbook uses</t>
        </is>
      </c>
      <c r="B17" s="13" t="n">
        <v>0.3579340986813324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48.47845266881705</v>
      </c>
      <c r="C2" s="9" t="n">
        <v>62.90625088776715</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Annual contracted sales, EGP mn</t>
        </is>
      </c>
      <c r="B13" s="16" t="n">
        <v>382200</v>
      </c>
      <c r="C13" s="6" t="inlineStr">
        <is>
          <t>FY2025 as reported, held flat in nominal terms</t>
        </is>
      </c>
    </row>
    <row r="14">
      <c r="A14" s="4" t="inlineStr">
        <is>
          <t>Share of contracted sales that enters the order book</t>
        </is>
      </c>
      <c r="B14" s="5" t="n">
        <v>0.481</v>
      </c>
      <c r="C14" s="6" t="inlineStr">
        <is>
          <t>measured on the company's own two disclosed series; FY2025 was 48.1%</t>
        </is>
      </c>
    </row>
    <row r="15">
      <c r="A15" s="4" t="inlineStr">
        <is>
          <t>Long-run growth</t>
        </is>
      </c>
      <c r="B15" s="14" t="n">
        <v>0.15</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94533.66354157339</v>
      </c>
    </row>
    <row r="3">
      <c r="A3" s="4" t="inlineStr">
        <is>
          <t>Present value of the order book beyond it</t>
        </is>
      </c>
      <c r="B3" s="7" t="n">
        <v>988.9561452846611</v>
      </c>
    </row>
    <row r="4">
      <c r="A4" s="4" t="inlineStr">
        <is>
          <t>Present value of the recurring businesses beyond it</t>
        </is>
      </c>
      <c r="B4" s="7" t="n">
        <v>7967.597684398287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book</t>
        </is>
      </c>
      <c r="B12" s="7" t="n">
        <v>-75652.8</v>
      </c>
    </row>
    <row r="13">
      <c r="A13" s="11" t="inlineStr">
        <is>
          <t>Equity attributable to TMG's shareholders</t>
        </is>
      </c>
      <c r="B13" s="17">
        <f>B11+B12</f>
        <v/>
      </c>
    </row>
    <row r="14">
      <c r="A14" s="4" t="inlineStr">
        <is>
          <t>Shares in issue, million</t>
        </is>
      </c>
      <c r="B14" s="18" t="n">
        <v>2060.6538</v>
      </c>
    </row>
    <row r="15">
      <c r="A15" s="11" t="inlineStr">
        <is>
          <t>Value per share, EGP</t>
        </is>
      </c>
      <c r="B15" s="12">
        <f>B13/B14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89119.68488285714</v>
      </c>
      <c r="D2" s="8" t="n">
        <v>100929.6163912633</v>
      </c>
      <c r="E2" s="8" t="n">
        <v>115687.6362130844</v>
      </c>
      <c r="F2" s="8" t="n">
        <v>133317.8163964851</v>
      </c>
      <c r="G2" s="8" t="n">
        <v>153905.7844076717</v>
      </c>
      <c r="H2" s="8" t="n">
        <v>177697.5435292622</v>
      </c>
      <c r="I2" s="8" t="n">
        <v>205104.3044690556</v>
      </c>
      <c r="J2" s="8" t="n">
        <v>236713.5502808403</v>
      </c>
      <c r="K2" s="8" t="n">
        <v>273306.7730339688</v>
      </c>
    </row>
    <row r="3">
      <c r="A3" s="4" t="inlineStr">
        <is>
          <t>Cost of revenue</t>
        </is>
      </c>
      <c r="B3" s="8" t="n">
        <v>55039.06173834017</v>
      </c>
      <c r="C3" s="8" t="n">
        <v>60538.36593376451</v>
      </c>
      <c r="D3" s="8" t="n">
        <v>68213.19270832837</v>
      </c>
      <c r="E3" s="8" t="n">
        <v>77849.50139537634</v>
      </c>
      <c r="F3" s="8" t="n">
        <v>89350.10037764777</v>
      </c>
      <c r="G3" s="8" t="n">
        <v>102727.9406545377</v>
      </c>
      <c r="H3" s="8" t="n">
        <v>118103.5146212089</v>
      </c>
      <c r="I3" s="8" t="n">
        <v>135706.3123984697</v>
      </c>
      <c r="J3" s="8" t="n">
        <v>155880.4256325818</v>
      </c>
      <c r="K3" s="8" t="n">
        <v>179094.5324581484</v>
      </c>
    </row>
    <row r="4">
      <c r="A4" s="4" t="inlineStr">
        <is>
          <t>Gross profit</t>
        </is>
      </c>
      <c r="B4" s="8" t="n">
        <v>25463.43642165983</v>
      </c>
      <c r="C4" s="8" t="n">
        <v>28581.31894909263</v>
      </c>
      <c r="D4" s="8" t="n">
        <v>32716.4236829349</v>
      </c>
      <c r="E4" s="8" t="n">
        <v>37838.13481770811</v>
      </c>
      <c r="F4" s="8" t="n">
        <v>43967.71601883737</v>
      </c>
      <c r="G4" s="8" t="n">
        <v>51177.84375313399</v>
      </c>
      <c r="H4" s="8" t="n">
        <v>59594.0289080533</v>
      </c>
      <c r="I4" s="8" t="n">
        <v>69397.9920705859</v>
      </c>
      <c r="J4" s="8" t="n">
        <v>80833.12464825856</v>
      </c>
      <c r="K4" s="8" t="n">
        <v>94212.24057582038</v>
      </c>
    </row>
    <row r="5">
      <c r="A5" s="4" t="inlineStr">
        <is>
          <t>Overheads</t>
        </is>
      </c>
      <c r="B5" s="8" t="n">
        <v>5434.795527759074</v>
      </c>
      <c r="C5" s="8" t="n">
        <v>6016.549497308791</v>
      </c>
      <c r="D5" s="8" t="n">
        <v>6813.848517985873</v>
      </c>
      <c r="E5" s="8" t="n">
        <v>7810.175612914047</v>
      </c>
      <c r="F5" s="8" t="n">
        <v>9000.404818272322</v>
      </c>
      <c r="G5" s="8" t="n">
        <v>10390.31692075711</v>
      </c>
      <c r="H5" s="8" t="n">
        <v>11996.51982162298</v>
      </c>
      <c r="I5" s="8" t="n">
        <v>13846.77472290456</v>
      </c>
      <c r="J5" s="8" t="n">
        <v>15980.7431300997</v>
      </c>
      <c r="K5" s="8" t="n">
        <v>18451.1842705687</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21407.96730426384</v>
      </c>
      <c r="D7" s="8" t="n">
        <v>24726.13814712886</v>
      </c>
      <c r="E7" s="8" t="n">
        <v>28825.26389401385</v>
      </c>
      <c r="F7" s="8" t="n">
        <v>33730.40758380046</v>
      </c>
      <c r="G7" s="8" t="n">
        <v>39506.86547312878</v>
      </c>
      <c r="H7" s="8" t="n">
        <v>46261.61215683318</v>
      </c>
      <c r="I7" s="8" t="n">
        <v>54146.28195285729</v>
      </c>
      <c r="J7" s="8" t="n">
        <v>63361.80134913835</v>
      </c>
      <c r="K7" s="8" t="n">
        <v>74164.84477118967</v>
      </c>
    </row>
    <row r="8">
      <c r="A8" s="4" t="inlineStr">
        <is>
          <t>Free cash flow to the firm</t>
        </is>
      </c>
      <c r="B8" s="8" t="n">
        <v>26857.8504845959</v>
      </c>
      <c r="C8" s="8" t="n">
        <v>32623.9332271676</v>
      </c>
      <c r="D8" s="8" t="n">
        <v>36356.02591193622</v>
      </c>
      <c r="E8" s="8" t="n">
        <v>38926.70517958818</v>
      </c>
      <c r="F8" s="8" t="n">
        <v>40966.15127672323</v>
      </c>
      <c r="G8" s="8" t="n">
        <v>42935.81689718476</v>
      </c>
      <c r="H8" s="8" t="n">
        <v>45183.34377728002</v>
      </c>
      <c r="I8" s="8" t="n">
        <v>47983.8439038974</v>
      </c>
      <c r="J8" s="8" t="n">
        <v>51571.39429315487</v>
      </c>
      <c r="K8" s="8" t="n">
        <v>56163.65797474995</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988.9561452846611</v>
      </c>
    </row>
    <row r="14">
      <c r="A14" s="4" t="inlineStr">
        <is>
          <t>Recurring businesses beyond the window, present value</t>
        </is>
      </c>
      <c r="B14" s="7" t="n">
        <v>7967.597684398287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51455.40340285714</v>
      </c>
      <c r="G2" s="8" t="n">
        <v>55408.01634566326</v>
      </c>
      <c r="H2" s="8" t="n">
        <v>60665.87218945244</v>
      </c>
      <c r="I2" s="8" t="n">
        <v>66808.7699260541</v>
      </c>
      <c r="J2" s="8" t="n">
        <v>73505.7544798258</v>
      </c>
      <c r="K2" s="8" t="n">
        <v>80498.71513658627</v>
      </c>
      <c r="L2" s="8" t="n">
        <v>87588.78357314615</v>
      </c>
      <c r="M2" s="8" t="n">
        <v>94625.07447961702</v>
      </c>
      <c r="N2" s="8" t="n">
        <v>101495.3841866199</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28581.31894909263</v>
      </c>
      <c r="G5" s="8" t="n">
        <v>32716.4236829349</v>
      </c>
      <c r="H5" s="8" t="n">
        <v>37838.13481770811</v>
      </c>
      <c r="I5" s="8" t="n">
        <v>43967.71601883737</v>
      </c>
      <c r="J5" s="8" t="n">
        <v>51177.84375313399</v>
      </c>
      <c r="K5" s="8" t="n">
        <v>59594.0289080533</v>
      </c>
      <c r="L5" s="8" t="n">
        <v>69397.9920705859</v>
      </c>
      <c r="M5" s="8" t="n">
        <v>80833.12464825856</v>
      </c>
      <c r="N5" s="8" t="n">
        <v>94212.24057582038</v>
      </c>
    </row>
    <row r="6">
      <c r="A6" s="4" t="inlineStr">
        <is>
          <t>Net profit</t>
        </is>
      </c>
      <c r="B6" s="8" t="n">
        <v>3347.3</v>
      </c>
      <c r="C6" s="8" t="n">
        <v>14467.5</v>
      </c>
      <c r="D6" s="8" t="n">
        <v>18202</v>
      </c>
      <c r="E6" s="8" t="n">
        <v>23122.05950777309</v>
      </c>
      <c r="F6" s="8" t="n">
        <v>29965.78196025593</v>
      </c>
      <c r="G6" s="8" t="n">
        <v>38903.73735746867</v>
      </c>
      <c r="H6" s="8" t="n">
        <v>49784.49386296726</v>
      </c>
      <c r="I6" s="8" t="n">
        <v>62605.28389967848</v>
      </c>
      <c r="J6" s="8" t="n">
        <v>77488.82940662616</v>
      </c>
      <c r="K6" s="8" t="n">
        <v>94669.72995668893</v>
      </c>
      <c r="L6" s="8" t="n">
        <v>114488.6168876659</v>
      </c>
      <c r="M6" s="8" t="n">
        <v>137392.8702729778</v>
      </c>
      <c r="N6" s="8" t="n">
        <v>163943.1670490099</v>
      </c>
    </row>
    <row r="7">
      <c r="A7" s="4" t="inlineStr">
        <is>
          <t>Attributable profit</t>
        </is>
      </c>
      <c r="B7" s="8" t="n">
        <v>3313.3</v>
      </c>
      <c r="C7" s="8" t="n">
        <v>10723.1</v>
      </c>
      <c r="D7" s="8" t="n">
        <v>14383.9</v>
      </c>
      <c r="E7" s="8" t="n">
        <v>12667.78110292276</v>
      </c>
      <c r="F7" s="8" t="n">
        <v>16417.22123943246</v>
      </c>
      <c r="G7" s="8" t="n">
        <v>21314.01957357371</v>
      </c>
      <c r="H7" s="8" t="n">
        <v>27275.21181077568</v>
      </c>
      <c r="I7" s="8" t="n">
        <v>34299.28169075293</v>
      </c>
      <c r="J7" s="8" t="n">
        <v>42453.46434277922</v>
      </c>
      <c r="K7" s="8" t="n">
        <v>51866.28880359827</v>
      </c>
      <c r="L7" s="8" t="n">
        <v>62724.37526690798</v>
      </c>
      <c r="M7" s="8" t="n">
        <v>75272.8278869468</v>
      </c>
      <c r="N7" s="8" t="n">
        <v>89818.82227223687</v>
      </c>
    </row>
    <row r="8">
      <c r="A8" s="4" t="inlineStr">
        <is>
          <t>Earnings per share, EGP</t>
        </is>
      </c>
      <c r="B8" s="9" t="n">
        <v>1.60788774902412</v>
      </c>
      <c r="C8" s="9" t="n">
        <v>5.203736794603732</v>
      </c>
      <c r="D8" s="9" t="n">
        <v>6.980260342615533</v>
      </c>
      <c r="E8" s="9" t="n">
        <v>6.147457230769553</v>
      </c>
      <c r="F8" s="9" t="n">
        <v>7.966996319048092</v>
      </c>
      <c r="G8" s="9" t="n">
        <v>10.34332869188105</v>
      </c>
      <c r="H8" s="9" t="n">
        <v>13.23619319789461</v>
      </c>
      <c r="I8" s="9" t="n">
        <v>16.64485402193854</v>
      </c>
      <c r="J8" s="9" t="n">
        <v>20.60193922083332</v>
      </c>
      <c r="K8" s="9" t="n">
        <v>25.16982173502326</v>
      </c>
      <c r="L8" s="9" t="n">
        <v>30.43906514859895</v>
      </c>
      <c r="M8" s="9" t="n">
        <v>36.52861431015089</v>
      </c>
      <c r="N8" s="9" t="n">
        <v>43.58753628204644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107316.3640287191</v>
      </c>
      <c r="D2" s="8" t="n">
        <v>148389.7381835084</v>
      </c>
      <c r="E2" s="8" t="n">
        <v>198092.5385168163</v>
      </c>
      <c r="F2" s="8" t="n">
        <v>256281.5944982783</v>
      </c>
      <c r="G2" s="8" t="n">
        <v>323422.1792900087</v>
      </c>
      <c r="H2" s="8" t="n">
        <v>400492.965549311</v>
      </c>
      <c r="I2" s="8" t="n">
        <v>488933.4032206548</v>
      </c>
      <c r="J2" s="8" t="n">
        <v>590625.1829186812</v>
      </c>
      <c r="K2" s="8" t="n">
        <v>707902.2030731476</v>
      </c>
      <c r="L2" s="8" t="n">
        <v>843585.6267175643</v>
      </c>
    </row>
    <row r="3">
      <c r="A3" s="4" t="inlineStr">
        <is>
          <t>Properties under development</t>
        </is>
      </c>
      <c r="B3" s="8" t="n">
        <v>148315.4</v>
      </c>
      <c r="C3" s="8" t="n">
        <v>147460.4685</v>
      </c>
      <c r="D3" s="8" t="n">
        <v>148374.4597659598</v>
      </c>
      <c r="E3" s="8" t="n">
        <v>151962.0039801408</v>
      </c>
      <c r="F3" s="8" t="n">
        <v>158513.0362257171</v>
      </c>
      <c r="G3" s="8" t="n">
        <v>167936.4917334951</v>
      </c>
      <c r="H3" s="8" t="n">
        <v>179921.0811647089</v>
      </c>
      <c r="I3" s="8" t="n">
        <v>194043.8298639381</v>
      </c>
      <c r="J3" s="8" t="n">
        <v>209841.4955863682</v>
      </c>
      <c r="K3" s="8" t="n">
        <v>226855.8650375194</v>
      </c>
      <c r="L3" s="8" t="n">
        <v>244660.8971104994</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509761.9114887191</v>
      </c>
      <c r="D6" s="8" t="n">
        <v>553385.5161011482</v>
      </c>
      <c r="E6" s="8" t="n">
        <v>608864.0517286409</v>
      </c>
      <c r="F6" s="8" t="n">
        <v>676454.8321210443</v>
      </c>
      <c r="G6" s="8" t="n">
        <v>756665.3509608455</v>
      </c>
      <c r="H6" s="8" t="n">
        <v>850323.6908471152</v>
      </c>
      <c r="I6" s="8" t="n">
        <v>958640.0826532637</v>
      </c>
      <c r="J6" s="8" t="n">
        <v>1083266.592590091</v>
      </c>
      <c r="K6" s="8" t="n">
        <v>1226360.595949168</v>
      </c>
      <c r="L6" s="8" t="n">
        <v>1390656.881554913</v>
      </c>
    </row>
    <row r="7">
      <c r="A7" s="4" t="inlineStr">
        <is>
          <t>Customer advances</t>
        </is>
      </c>
      <c r="B7" s="8" t="n">
        <v>133993.1</v>
      </c>
      <c r="C7" s="8" t="n">
        <v>146535.3863118228</v>
      </c>
      <c r="D7" s="8" t="n">
        <v>165118.3753358257</v>
      </c>
      <c r="E7" s="8" t="n">
        <v>188087.3794779219</v>
      </c>
      <c r="F7" s="8" t="n">
        <v>214076.2295505907</v>
      </c>
      <c r="G7" s="8" t="n">
        <v>241971.2489979393</v>
      </c>
      <c r="H7" s="8" t="n">
        <v>270876.7987804168</v>
      </c>
      <c r="I7" s="8" t="n">
        <v>300083.3472709557</v>
      </c>
      <c r="J7" s="8" t="n">
        <v>329038.5529001899</v>
      </c>
      <c r="K7" s="8" t="n">
        <v>357321.5343523726</v>
      </c>
      <c r="L7" s="8" t="n">
        <v>384620.2995907791</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323116.4863118228</v>
      </c>
      <c r="D9" s="8" t="n">
        <v>341699.4753358257</v>
      </c>
      <c r="E9" s="8" t="n">
        <v>364668.4794779219</v>
      </c>
      <c r="F9" s="8" t="n">
        <v>390657.3295505907</v>
      </c>
      <c r="G9" s="8" t="n">
        <v>418552.3489979394</v>
      </c>
      <c r="H9" s="8" t="n">
        <v>447457.8987804168</v>
      </c>
      <c r="I9" s="8" t="n">
        <v>476664.4472709558</v>
      </c>
      <c r="J9" s="8" t="n">
        <v>505619.6529001899</v>
      </c>
      <c r="K9" s="8" t="n">
        <v>533902.6343523726</v>
      </c>
      <c r="L9" s="8" t="n">
        <v>561201.3995907791</v>
      </c>
    </row>
    <row r="10">
      <c r="A10" s="4" t="inlineStr">
        <is>
          <t>Equity attributable to TMG</t>
        </is>
      </c>
      <c r="B10" s="8" t="n">
        <v>91670.89999999999</v>
      </c>
      <c r="C10" s="8" t="n">
        <v>100538.3467720459</v>
      </c>
      <c r="D10" s="8" t="n">
        <v>112030.4016396486</v>
      </c>
      <c r="E10" s="8" t="n">
        <v>126950.2153411502</v>
      </c>
      <c r="F10" s="8" t="n">
        <v>146042.8636086932</v>
      </c>
      <c r="G10" s="8" t="n">
        <v>170052.3607922203</v>
      </c>
      <c r="H10" s="8" t="n">
        <v>199769.7858321657</v>
      </c>
      <c r="I10" s="8" t="n">
        <v>236076.1879946845</v>
      </c>
      <c r="J10" s="8" t="n">
        <v>279983.2506815201</v>
      </c>
      <c r="K10" s="8" t="n">
        <v>332674.2302023828</v>
      </c>
      <c r="L10" s="8" t="n">
        <v>395547.4057929487</v>
      </c>
    </row>
    <row r="11">
      <c r="A11" s="4" t="inlineStr">
        <is>
          <t>Non-controlling interests</t>
        </is>
      </c>
      <c r="B11" s="8" t="n">
        <v>75652.8</v>
      </c>
      <c r="C11" s="8" t="n">
        <v>86107.07840485034</v>
      </c>
      <c r="D11" s="8" t="n">
        <v>99655.63912567381</v>
      </c>
      <c r="E11" s="8" t="n">
        <v>117245.3569095688</v>
      </c>
      <c r="F11" s="8" t="n">
        <v>139754.6389617604</v>
      </c>
      <c r="G11" s="8" t="n">
        <v>168060.6411706859</v>
      </c>
      <c r="H11" s="8" t="n">
        <v>203096.0062345329</v>
      </c>
      <c r="I11" s="8" t="n">
        <v>245899.4473876235</v>
      </c>
      <c r="J11" s="8" t="n">
        <v>297663.6890083815</v>
      </c>
      <c r="K11" s="8" t="n">
        <v>359783.7313944125</v>
      </c>
      <c r="L11" s="8" t="n">
        <v>433908.0761711855</v>
      </c>
    </row>
    <row r="12">
      <c r="A12" s="4" t="inlineStr">
        <is>
          <t>Total equity</t>
        </is>
      </c>
      <c r="B12" s="8" t="n">
        <v>167323.6</v>
      </c>
      <c r="C12" s="8" t="n">
        <v>186645.4251768963</v>
      </c>
      <c r="D12" s="8" t="n">
        <v>211686.0407653225</v>
      </c>
      <c r="E12" s="8" t="n">
        <v>244195.572250719</v>
      </c>
      <c r="F12" s="8" t="n">
        <v>285797.5025704536</v>
      </c>
      <c r="G12" s="8" t="n">
        <v>338113.0019629062</v>
      </c>
      <c r="H12" s="8" t="n">
        <v>402865.7920666986</v>
      </c>
      <c r="I12" s="8" t="n">
        <v>481975.635382308</v>
      </c>
      <c r="J12" s="8" t="n">
        <v>577646.9396899015</v>
      </c>
      <c r="K12" s="8" t="n">
        <v>692457.9615967954</v>
      </c>
      <c r="L12" s="8" t="n">
        <v>829455.4819641341</v>
      </c>
    </row>
    <row r="13">
      <c r="A13" s="11" t="inlineStr">
        <is>
          <t>Assets less liabilities less equity</t>
        </is>
      </c>
      <c r="C13" s="9" t="n">
        <v>0</v>
      </c>
      <c r="D13" s="9" t="n">
        <v>5.820766091346741e-11</v>
      </c>
      <c r="E13" s="9" t="n">
        <v>0</v>
      </c>
      <c r="F13" s="9" t="n">
        <v>0</v>
      </c>
      <c r="G13" s="9" t="n">
        <v>-1.164153218269348e-10</v>
      </c>
      <c r="H13" s="9" t="n">
        <v>-1.746229827404022e-10</v>
      </c>
      <c r="I13" s="9" t="n">
        <v>-1.164153218269348e-10</v>
      </c>
      <c r="J13" s="9" t="n">
        <v>-1.164153218269348e-10</v>
      </c>
      <c r="K13" s="9" t="n">
        <v>-1.164153218269348e-10</v>
      </c>
      <c r="L13" s="9" t="n">
        <v>-4.656612873077393e-10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37661.9677195959</v>
      </c>
      <c r="C2" s="8" t="n">
        <v>48791.58186581906</v>
      </c>
      <c r="D2" s="8" t="n">
        <v>59461.63430320401</v>
      </c>
      <c r="E2" s="8" t="n">
        <v>70425.00700083998</v>
      </c>
      <c r="F2" s="8" t="n">
        <v>82313.75145601362</v>
      </c>
      <c r="G2" s="8" t="n">
        <v>95690.45111713794</v>
      </c>
      <c r="H2" s="8" t="n">
        <v>111089.4266775959</v>
      </c>
      <c r="I2" s="8" t="n">
        <v>129051.092189294</v>
      </c>
      <c r="J2" s="8" t="n">
        <v>150152.0624430299</v>
      </c>
      <c r="K2" s="8" t="n">
        <v>175033.1117484983</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-4925.166371829739</v>
      </c>
      <c r="D4" s="8" t="n">
        <v>-6394.205872072112</v>
      </c>
      <c r="E4" s="8" t="n">
        <v>-8182.563543232703</v>
      </c>
      <c r="F4" s="8" t="n">
        <v>-10289.78450722588</v>
      </c>
      <c r="G4" s="8" t="n">
        <v>-12736.03930283377</v>
      </c>
      <c r="H4" s="8" t="n">
        <v>-15559.88664107948</v>
      </c>
      <c r="I4" s="8" t="n">
        <v>-18817.31258007239</v>
      </c>
      <c r="J4" s="8" t="n">
        <v>-22581.84836608404</v>
      </c>
      <c r="K4" s="8" t="n">
        <v>-26945.64668167106</v>
      </c>
    </row>
    <row r="5">
      <c r="A5" s="4" t="inlineStr">
        <is>
          <t>Movement in customer advances</t>
        </is>
      </c>
      <c r="B5" s="8" t="n">
        <v>12542.28631182281</v>
      </c>
      <c r="C5" s="8" t="n">
        <v>18582.98902400291</v>
      </c>
      <c r="D5" s="8" t="n">
        <v>22969.00414209618</v>
      </c>
      <c r="E5" s="8" t="n">
        <v>25988.85007266884</v>
      </c>
      <c r="F5" s="8" t="n">
        <v>27895.0194473486</v>
      </c>
      <c r="G5" s="8" t="n">
        <v>28905.54978247745</v>
      </c>
      <c r="H5" s="8" t="n">
        <v>29206.54849053897</v>
      </c>
      <c r="I5" s="8" t="n">
        <v>28955.20562923411</v>
      </c>
      <c r="J5" s="8" t="n">
        <v>28282.98145218274</v>
      </c>
      <c r="K5" s="8" t="n">
        <v>27298.76523840651</v>
      </c>
    </row>
    <row r="6">
      <c r="A6" s="4" t="inlineStr">
        <is>
          <t>Movement in work in progress</t>
        </is>
      </c>
      <c r="B6" s="8" t="n">
        <v>854.9315000000061</v>
      </c>
      <c r="C6" s="8" t="n">
        <v>-913.991265959783</v>
      </c>
      <c r="D6" s="8" t="n">
        <v>-3587.544214180998</v>
      </c>
      <c r="E6" s="8" t="n">
        <v>-6551.032245576323</v>
      </c>
      <c r="F6" s="8" t="n">
        <v>-9423.455507778075</v>
      </c>
      <c r="G6" s="8" t="n">
        <v>-11984.58943121376</v>
      </c>
      <c r="H6" s="8" t="n">
        <v>-14122.74869922917</v>
      </c>
      <c r="I6" s="8" t="n">
        <v>-15797.66572243007</v>
      </c>
      <c r="J6" s="8" t="n">
        <v>-17014.3694511512</v>
      </c>
      <c r="K6" s="8" t="n">
        <v>-17805.03207298006</v>
      </c>
    </row>
    <row r="7">
      <c r="A7" s="4" t="inlineStr">
        <is>
          <t>Free cash flow to the firm</t>
        </is>
      </c>
      <c r="B7" s="8" t="n">
        <v>26857.8504845959</v>
      </c>
      <c r="C7" s="8" t="n">
        <v>32623.9332271676</v>
      </c>
      <c r="D7" s="8" t="n">
        <v>36356.02591193622</v>
      </c>
      <c r="E7" s="8" t="n">
        <v>38926.70517958818</v>
      </c>
      <c r="F7" s="8" t="n">
        <v>40966.15127672323</v>
      </c>
      <c r="G7" s="8" t="n">
        <v>42935.81689718476</v>
      </c>
      <c r="H7" s="8" t="n">
        <v>45183.34377728002</v>
      </c>
      <c r="I7" s="8" t="n">
        <v>47983.8439038974</v>
      </c>
      <c r="J7" s="8" t="n">
        <v>51571.39429315487</v>
      </c>
      <c r="K7" s="8" t="n">
        <v>56163.65797474995</v>
      </c>
    </row>
    <row r="8">
      <c r="A8" s="4" t="inlineStr">
        <is>
          <t>Closing cash and deposits</t>
        </is>
      </c>
      <c r="B8" s="8" t="n">
        <v>107316.3640287191</v>
      </c>
      <c r="C8" s="8" t="n">
        <v>148389.7381835084</v>
      </c>
      <c r="D8" s="8" t="n">
        <v>198092.5385168163</v>
      </c>
      <c r="E8" s="8" t="n">
        <v>256281.5944982783</v>
      </c>
      <c r="F8" s="8" t="n">
        <v>323422.1792900087</v>
      </c>
      <c r="G8" s="8" t="n">
        <v>400492.965549311</v>
      </c>
      <c r="H8" s="8" t="n">
        <v>488933.4032206548</v>
      </c>
      <c r="I8" s="8" t="n">
        <v>590625.1829186812</v>
      </c>
      <c r="J8" s="8" t="n">
        <v>707902.2030731476</v>
      </c>
      <c r="K8" s="8" t="n">
        <v>843585.6267175643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89119.68488285714</v>
      </c>
      <c r="D2" s="8" t="n">
        <v>100929.6163912633</v>
      </c>
      <c r="E2" s="8" t="n">
        <v>115687.6362130844</v>
      </c>
      <c r="F2" s="8" t="n">
        <v>133317.8163964851</v>
      </c>
      <c r="G2" s="8" t="n">
        <v>153905.7844076717</v>
      </c>
      <c r="H2" s="8" t="n">
        <v>177697.5435292622</v>
      </c>
      <c r="I2" s="8" t="n">
        <v>205104.3044690556</v>
      </c>
      <c r="J2" s="8" t="n">
        <v>236713.5502808403</v>
      </c>
      <c r="K2" s="8" t="n">
        <v>273306.7730339688</v>
      </c>
    </row>
    <row r="3">
      <c r="A3" s="4" t="inlineStr">
        <is>
          <t>Gross margin</t>
        </is>
      </c>
      <c r="B3" s="10" t="n">
        <v>0.316306164450336</v>
      </c>
      <c r="C3" s="10" t="n">
        <v>0.3207071365508213</v>
      </c>
      <c r="D3" s="10" t="n">
        <v>0.3241508771430039</v>
      </c>
      <c r="E3" s="10" t="n">
        <v>0.3270715528149806</v>
      </c>
      <c r="F3" s="10" t="n">
        <v>0.3297962508482591</v>
      </c>
      <c r="G3" s="10" t="n">
        <v>0.3325270973413976</v>
      </c>
      <c r="H3" s="10" t="n">
        <v>0.3353677700009381</v>
      </c>
      <c r="I3" s="10" t="n">
        <v>0.3383546349757671</v>
      </c>
      <c r="J3" s="10" t="n">
        <v>0.3414807667425755</v>
      </c>
      <c r="K3" s="10" t="n">
        <v>0.3447124252720621</v>
      </c>
    </row>
    <row r="4">
      <c r="A4" s="4" t="inlineStr">
        <is>
          <t>Operating margin</t>
        </is>
      </c>
      <c r="B4" s="10" t="n">
        <v>0.2346008002927391</v>
      </c>
      <c r="C4" s="10" t="n">
        <v>0.2402159223565862</v>
      </c>
      <c r="D4" s="10" t="n">
        <v>0.2449839703271598</v>
      </c>
      <c r="E4" s="10" t="n">
        <v>0.2491646025243419</v>
      </c>
      <c r="F4" s="10" t="n">
        <v>0.2530075011391331</v>
      </c>
      <c r="G4" s="10" t="n">
        <v>0.2566951308891773</v>
      </c>
      <c r="H4" s="10" t="n">
        <v>0.2603390639962059</v>
      </c>
      <c r="I4" s="10" t="n">
        <v>0.2639938839558895</v>
      </c>
      <c r="J4" s="10" t="n">
        <v>0.2676728952523631</v>
      </c>
      <c r="K4" s="10" t="n">
        <v>0.2713611666036973</v>
      </c>
    </row>
    <row r="5">
      <c r="A5" s="4" t="inlineStr">
        <is>
          <t>Net profit</t>
        </is>
      </c>
      <c r="B5" s="8" t="n">
        <v>23122.05950777309</v>
      </c>
      <c r="C5" s="8" t="n">
        <v>29965.78196025593</v>
      </c>
      <c r="D5" s="8" t="n">
        <v>38903.73735746867</v>
      </c>
      <c r="E5" s="8" t="n">
        <v>49784.49386296726</v>
      </c>
      <c r="F5" s="8" t="n">
        <v>62605.28389967848</v>
      </c>
      <c r="G5" s="8" t="n">
        <v>77488.82940662616</v>
      </c>
      <c r="H5" s="8" t="n">
        <v>94669.72995668893</v>
      </c>
      <c r="I5" s="8" t="n">
        <v>114488.6168876659</v>
      </c>
      <c r="J5" s="8" t="n">
        <v>137392.8702729778</v>
      </c>
      <c r="K5" s="8" t="n">
        <v>163943.1670490099</v>
      </c>
    </row>
    <row r="6">
      <c r="A6" s="4" t="inlineStr">
        <is>
          <t>Attributable profit</t>
        </is>
      </c>
      <c r="B6" s="8" t="n">
        <v>12667.78110292276</v>
      </c>
      <c r="C6" s="8" t="n">
        <v>16417.22123943246</v>
      </c>
      <c r="D6" s="8" t="n">
        <v>21314.01957357371</v>
      </c>
      <c r="E6" s="8" t="n">
        <v>27275.21181077568</v>
      </c>
      <c r="F6" s="8" t="n">
        <v>34299.28169075293</v>
      </c>
      <c r="G6" s="8" t="n">
        <v>42453.46434277922</v>
      </c>
      <c r="H6" s="8" t="n">
        <v>51866.28880359827</v>
      </c>
      <c r="I6" s="8" t="n">
        <v>62724.37526690798</v>
      </c>
      <c r="J6" s="8" t="n">
        <v>75272.8278869468</v>
      </c>
      <c r="K6" s="8" t="n">
        <v>89818.82227223687</v>
      </c>
    </row>
    <row r="7">
      <c r="A7" s="4" t="inlineStr">
        <is>
          <t>Earnings per share, EGP</t>
        </is>
      </c>
      <c r="B7" s="9" t="n">
        <v>6.147457230769553</v>
      </c>
      <c r="C7" s="9" t="n">
        <v>7.966996319048092</v>
      </c>
      <c r="D7" s="9" t="n">
        <v>10.34332869188105</v>
      </c>
      <c r="E7" s="9" t="n">
        <v>13.23619319789461</v>
      </c>
      <c r="F7" s="9" t="n">
        <v>16.64485402193854</v>
      </c>
      <c r="G7" s="9" t="n">
        <v>20.60193922083332</v>
      </c>
      <c r="H7" s="9" t="n">
        <v>25.16982173502326</v>
      </c>
      <c r="I7" s="9" t="n">
        <v>30.43906514859895</v>
      </c>
      <c r="J7" s="9" t="n">
        <v>36.52861431015089</v>
      </c>
      <c r="K7" s="9" t="n">
        <v>43.58753628204644</v>
      </c>
    </row>
    <row r="8">
      <c r="A8" s="4" t="inlineStr">
        <is>
          <t>New contracted sales</t>
        </is>
      </c>
      <c r="B8" s="8" t="n">
        <v>183838.2</v>
      </c>
      <c r="C8" s="8" t="n">
        <v>183838.2</v>
      </c>
      <c r="D8" s="8" t="n">
        <v>183838.2</v>
      </c>
      <c r="E8" s="8" t="n">
        <v>183838.2</v>
      </c>
      <c r="F8" s="8" t="n">
        <v>183838.2</v>
      </c>
      <c r="G8" s="8" t="n">
        <v>183838.2</v>
      </c>
      <c r="H8" s="8" t="n">
        <v>183838.2</v>
      </c>
      <c r="I8" s="8" t="n">
        <v>183838.2</v>
      </c>
      <c r="J8" s="8" t="n">
        <v>183838.2</v>
      </c>
      <c r="K8" s="8" t="n">
        <v>183838.2</v>
      </c>
    </row>
    <row r="9">
      <c r="A9" s="4" t="inlineStr">
        <is>
          <t>Order book, closing</t>
        </is>
      </c>
      <c r="B9" s="8" t="n">
        <v>625500.97584</v>
      </c>
      <c r="C9" s="8" t="n">
        <v>757883.7724371428</v>
      </c>
      <c r="D9" s="8" t="n">
        <v>886313.9560914795</v>
      </c>
      <c r="E9" s="8" t="n">
        <v>1009486.283902027</v>
      </c>
      <c r="F9" s="8" t="n">
        <v>1126515.713975973</v>
      </c>
      <c r="G9" s="8" t="n">
        <v>1236848.159496147</v>
      </c>
      <c r="H9" s="8" t="n">
        <v>1340187.644359561</v>
      </c>
      <c r="I9" s="8" t="n">
        <v>1436437.060786415</v>
      </c>
      <c r="J9" s="8" t="n">
        <v>1525650.186306798</v>
      </c>
      <c r="K9" s="8" t="n">
        <v>1607993.002120178</v>
      </c>
    </row>
    <row r="10">
      <c r="A10" s="4" t="inlineStr">
        <is>
          <t>Order book, years of deliveries</t>
        </is>
      </c>
      <c r="B10" s="9" t="n">
        <v>12.67807393888858</v>
      </c>
      <c r="C10" s="9" t="n">
        <v>14.72894433464028</v>
      </c>
      <c r="D10" s="9" t="n">
        <v>15.99613223043764</v>
      </c>
      <c r="E10" s="9" t="n">
        <v>16.6401017156651</v>
      </c>
      <c r="F10" s="9" t="n">
        <v>16.86179397140276</v>
      </c>
      <c r="G10" s="9" t="n">
        <v>16.82654872735997</v>
      </c>
      <c r="H10" s="9" t="n">
        <v>16.64855944701225</v>
      </c>
      <c r="I10" s="9" t="n">
        <v>16.3997831935505</v>
      </c>
      <c r="J10" s="9" t="n">
        <v>16.12310684770383</v>
      </c>
      <c r="K10" s="9" t="n">
        <v>15.8430160642927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t>
        </is>
      </c>
      <c r="D1" s="3" t="inlineStr">
        <is>
          <t>Against last close</t>
        </is>
      </c>
    </row>
    <row r="2">
      <c r="A2" s="20" t="n">
        <v>0.18</v>
      </c>
      <c r="B2" s="9" t="n">
        <v>201.6036914169526</v>
      </c>
      <c r="C2" s="9" t="n">
        <v>189.998087394918</v>
      </c>
      <c r="D2" s="10">
        <f>B2/'Summary'!$B$2-1</f>
        <v/>
      </c>
    </row>
    <row r="3">
      <c r="A3" s="20" t="n">
        <v>0.22</v>
      </c>
      <c r="B3" s="9" t="n">
        <v>112.6846705623544</v>
      </c>
      <c r="C3" s="9" t="n">
        <v>102.0012224605793</v>
      </c>
      <c r="D3" s="10">
        <f>B3/'Summary'!$B$2-1</f>
        <v/>
      </c>
    </row>
    <row r="4">
      <c r="A4" s="20" t="n">
        <v>0.26</v>
      </c>
      <c r="B4" s="9" t="n">
        <v>84.40119551906773</v>
      </c>
      <c r="C4" s="9" t="n">
        <v>74.73108003622716</v>
      </c>
      <c r="D4" s="10">
        <f>B4/'Summary'!$B$2-1</f>
        <v/>
      </c>
    </row>
    <row r="5">
      <c r="A5" s="20" t="n">
        <v>0.3</v>
      </c>
      <c r="B5" s="9" t="n">
        <v>69.20894631831915</v>
      </c>
      <c r="C5" s="9" t="n">
        <v>60.52657784743045</v>
      </c>
      <c r="D5" s="10">
        <f>B5/'Summary'!$B$2-1</f>
        <v/>
      </c>
    </row>
    <row r="6">
      <c r="A6" s="20" t="n">
        <v>0.3237</v>
      </c>
      <c r="B6" s="9" t="n">
        <v>62.9177551183162</v>
      </c>
      <c r="C6" s="9" t="n">
        <v>54.78614785024519</v>
      </c>
      <c r="D6" s="10">
        <f>B6/'Summary'!$B$2-1</f>
        <v/>
      </c>
    </row>
    <row r="7">
      <c r="A7" s="20" t="n">
        <v>0.3579</v>
      </c>
      <c r="B7" s="9" t="n">
        <v>55.87736705533258</v>
      </c>
      <c r="C7" s="9" t="n">
        <v>48.48386209848692</v>
      </c>
      <c r="D7" s="10">
        <f>B7/'Summary'!$B$2-1</f>
        <v/>
      </c>
    </row>
    <row r="8">
      <c r="A8" s="20" t="n">
        <v>0.4</v>
      </c>
      <c r="B8" s="9" t="n">
        <v>49.34699464482212</v>
      </c>
      <c r="C8" s="9" t="n">
        <v>42.76571683996426</v>
      </c>
      <c r="D8" s="10">
        <f>B8/'Summary'!$B$2-1</f>
        <v/>
      </c>
    </row>
    <row r="10">
      <c r="A10" s="3" t="inlineStr">
        <is>
          <t>Years to convert the order book</t>
        </is>
      </c>
      <c r="B10" s="3" t="inlineStr">
        <is>
          <t>EGP per share</t>
        </is>
      </c>
    </row>
    <row r="11">
      <c r="A11" s="4" t="n">
        <v>8</v>
      </c>
      <c r="B11" s="9" t="n">
        <v>46.41982156593504</v>
      </c>
    </row>
    <row r="12">
      <c r="A12" s="4" t="n">
        <v>10</v>
      </c>
      <c r="B12" s="9" t="n">
        <v>50.65079038861755</v>
      </c>
    </row>
    <row r="13">
      <c r="A13" s="4" t="n">
        <v>12</v>
      </c>
      <c r="B13" s="9" t="n">
        <v>53.64100588478227</v>
      </c>
    </row>
    <row r="14">
      <c r="A14" s="4" t="n">
        <v>14</v>
      </c>
      <c r="B14" s="9" t="n">
        <v>55.87125667167204</v>
      </c>
    </row>
    <row r="15">
      <c r="A15" s="4" t="n">
        <v>16</v>
      </c>
      <c r="B15" s="9" t="n">
        <v>57.60028647411903</v>
      </c>
    </row>
    <row r="16">
      <c r="A16" s="4" t="n">
        <v>20</v>
      </c>
      <c r="B16" s="9" t="n">
        <v>60.10808915327755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2026-09-01T12:09:17Z</dcterms:created>
  <dcterms:modified xmlns:dcterms="http://purl.org/dc/terms/" xmlns:xsi="http://www.w3.org/2001/XMLSchema-instance" xsi:type="dcterms:W3CDTF">2026-09-01T12:09:17Z</dcterms:modified>
</cp:coreProperties>
</file>