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2026-09-01</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t>
        </is>
      </c>
      <c r="D6" s="3" t="inlineStr">
        <is>
          <t>Per share, minority at book</t>
        </is>
      </c>
      <c r="E6" s="3" t="inlineStr">
        <is>
          <t>Per share, minority proportional</t>
        </is>
      </c>
      <c r="F6" s="3" t="inlineStr">
        <is>
          <t>Against last close</t>
        </is>
      </c>
    </row>
    <row r="7">
      <c r="A7" s="4" t="inlineStr">
        <is>
          <t>Rating premium, slower conversion</t>
        </is>
      </c>
      <c r="B7" s="8" t="n">
        <v>96360.51181116889</v>
      </c>
      <c r="C7" s="8" t="n">
        <v>108001.6118111689</v>
      </c>
      <c r="D7" s="9">
        <f>C7/$B$3</f>
        <v/>
      </c>
      <c r="E7" s="9" t="n">
        <v>48.82813681143778</v>
      </c>
      <c r="F7" s="10">
        <f>D7/$B$2-1</f>
        <v/>
      </c>
    </row>
    <row r="8">
      <c r="A8" s="4" t="inlineStr">
        <is>
          <t>Rating premium, faster conversion</t>
        </is>
      </c>
      <c r="B8" s="8" t="n">
        <v>133015.9368125314</v>
      </c>
      <c r="C8" s="8" t="n">
        <v>144657.0368125314</v>
      </c>
      <c r="D8" s="9">
        <f>C8/$B$3</f>
        <v/>
      </c>
      <c r="E8" s="9" t="n">
        <v>58.57370235052318</v>
      </c>
      <c r="F8" s="10">
        <f>D8/$B$2-1</f>
        <v/>
      </c>
    </row>
    <row r="9">
      <c r="A9" s="4" t="inlineStr">
        <is>
          <t>Swap premium, slower conversion</t>
        </is>
      </c>
      <c r="B9" s="8" t="n">
        <v>106490.7945082575</v>
      </c>
      <c r="C9" s="8" t="n">
        <v>118131.8945082575</v>
      </c>
      <c r="D9" s="9">
        <f>C9/$B$3</f>
        <v/>
      </c>
      <c r="E9" s="9" t="n">
        <v>51.52147167115555</v>
      </c>
      <c r="F9" s="10">
        <f>D9/$B$2-1</f>
        <v/>
      </c>
    </row>
    <row r="10">
      <c r="A10" s="4" t="inlineStr">
        <is>
          <t>Swap premium, faster conversion</t>
        </is>
      </c>
      <c r="B10" s="8" t="n">
        <v>148229.5677143865</v>
      </c>
      <c r="C10" s="8" t="n">
        <v>159870.6677143865</v>
      </c>
      <c r="D10" s="9">
        <f>C10/$B$3</f>
        <v/>
      </c>
      <c r="E10" s="9" t="n">
        <v>62.61854529085117</v>
      </c>
      <c r="F10" s="10">
        <f>D10/$B$2-1</f>
        <v/>
      </c>
    </row>
    <row r="12">
      <c r="A12" s="11" t="inlineStr">
        <is>
          <t>Lowest published case, EGP/share</t>
        </is>
      </c>
      <c r="B12" s="12">
        <f>MIN(D7:E10)</f>
        <v/>
      </c>
    </row>
    <row r="13">
      <c r="A13" s="11" t="inlineStr">
        <is>
          <t>Highest published case, EGP/share</t>
        </is>
      </c>
      <c r="B13" s="12">
        <f>MAX(D7:E10)</f>
        <v/>
      </c>
    </row>
    <row r="15">
      <c r="A15" s="4" t="inlineStr">
        <is>
          <t>Discount rate the last close implies, slower conversion</t>
        </is>
      </c>
      <c r="B15" s="13" t="n">
        <v>0.1558113694332027</v>
      </c>
    </row>
    <row r="16">
      <c r="A16" s="4" t="inlineStr">
        <is>
          <t>Discount rate the last close implies, faster conversion</t>
        </is>
      </c>
      <c r="B16" s="13" t="n">
        <v>0.2177365969170268</v>
      </c>
    </row>
    <row r="17">
      <c r="A17" s="4" t="inlineStr">
        <is>
          <t>Discount rate this workbook uses</t>
        </is>
      </c>
      <c r="B17" s="13" t="n">
        <v>0.3579340986813324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52.4113326611044</v>
      </c>
      <c r="C2" s="9" t="n">
        <v>77.58249722218574</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Delivery growth, real, slower reading</t>
        </is>
      </c>
      <c r="B13" s="14" t="n">
        <v>0</v>
      </c>
      <c r="C13" s="6" t="inlineStr">
        <is>
          <t>it scales with prices and no more</t>
        </is>
      </c>
    </row>
    <row r="14">
      <c r="A14" s="4" t="inlineStr">
        <is>
          <t>Delivery growth, real, faster reading</t>
        </is>
      </c>
      <c r="B14" s="14" t="n">
        <v>0.07099999999999999</v>
      </c>
      <c r="C14" s="6" t="inlineStr">
        <is>
          <t>its own 2019-2025 real rate</t>
        </is>
      </c>
    </row>
    <row r="15">
      <c r="A15" s="4" t="inlineStr">
        <is>
          <t>Long-run real growth</t>
        </is>
      </c>
      <c r="B15" s="14" t="n">
        <v>0.02</v>
      </c>
      <c r="C15" s="6" t="inlineStr">
        <is>
          <t>in the converged state, beside a converged discount rate</t>
        </is>
      </c>
    </row>
    <row r="16">
      <c r="A16" s="4" t="inlineStr">
        <is>
          <t>Share of contracted sales that enters the order book</t>
        </is>
      </c>
      <c r="B16" s="5" t="n">
        <v>0.481</v>
      </c>
      <c r="C16" s="6" t="inlineStr">
        <is>
          <t>measured on the company's own two disclosed series; FY2025 was 48.1%</t>
        </is>
      </c>
    </row>
    <row r="17">
      <c r="A17" s="4" t="inlineStr">
        <is>
          <t>Long-run nominal growth</t>
        </is>
      </c>
      <c r="B17" s="14" t="n">
        <v>0.06079999999999997</v>
      </c>
      <c r="C17" s="6" t="inlineStr">
        <is>
          <t>4% terminal inflation compounded with 2% real</t>
        </is>
      </c>
    </row>
    <row r="18">
      <c r="A18" s="4" t="inlineStr">
        <is>
          <t>Tax rate</t>
        </is>
      </c>
      <c r="B18" s="14" t="n">
        <v>0.225</v>
      </c>
      <c r="C18" s="6" t="inlineStr">
        <is>
          <t>Egypt's statutory corporate rate</t>
        </is>
      </c>
    </row>
    <row r="19">
      <c r="A19" s="4" t="inlineStr">
        <is>
          <t>Dividend payout</t>
        </is>
      </c>
      <c r="B19" s="14" t="n">
        <v>0.3</v>
      </c>
      <c r="C19"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85360.87492776931</v>
      </c>
    </row>
    <row r="3">
      <c r="A3" s="4" t="inlineStr">
        <is>
          <t>Present value of the order book beyond it</t>
        </is>
      </c>
      <c r="B3" s="7" t="n">
        <v>0</v>
      </c>
    </row>
    <row r="4">
      <c r="A4" s="4" t="inlineStr">
        <is>
          <t>Present value of the recurring businesses beyond it</t>
        </is>
      </c>
      <c r="B4" s="7" t="n">
        <v>10999.63688339958</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book</t>
        </is>
      </c>
      <c r="B12" s="7" t="n">
        <v>-75652.8</v>
      </c>
    </row>
    <row r="13">
      <c r="A13" s="11" t="inlineStr">
        <is>
          <t>Equity attributable to TMG's shareholders</t>
        </is>
      </c>
      <c r="B13" s="17">
        <f>B11+B12</f>
        <v/>
      </c>
    </row>
    <row r="14">
      <c r="A14" s="4" t="inlineStr">
        <is>
          <t>Shares in issue, million</t>
        </is>
      </c>
      <c r="B14" s="18" t="n">
        <v>2060.6538</v>
      </c>
    </row>
    <row r="15">
      <c r="A15" s="11" t="inlineStr">
        <is>
          <t>Value per share, EGP</t>
        </is>
      </c>
      <c r="B15" s="12">
        <f>B13/B14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Revenue</t>
        </is>
      </c>
      <c r="B2" s="8" t="n">
        <v>80546.09696</v>
      </c>
      <c r="C2" s="8" t="n">
        <v>95682.499193344</v>
      </c>
      <c r="D2" s="8" t="n">
        <v>112133.5339768776</v>
      </c>
      <c r="E2" s="8" t="n">
        <v>129620.0867262457</v>
      </c>
      <c r="F2" s="8" t="n">
        <v>147760.8689123304</v>
      </c>
      <c r="G2" s="8" t="n">
        <v>166077.5965088486</v>
      </c>
      <c r="H2" s="8" t="n">
        <v>184008.9000458804</v>
      </c>
      <c r="I2" s="8" t="n">
        <v>200933.2742190017</v>
      </c>
      <c r="J2" s="8" t="n">
        <v>216200.4207920049</v>
      </c>
      <c r="K2" s="8" t="n">
        <v>229169.2873935428</v>
      </c>
      <c r="L2" s="8" t="n">
        <v>239250.0898231309</v>
      </c>
      <c r="M2" s="8" t="n">
        <v>249789.6974306805</v>
      </c>
      <c r="N2" s="8" t="n">
        <v>260809.8412666213</v>
      </c>
      <c r="O2" s="8" t="n">
        <v>272333.3270570734</v>
      </c>
      <c r="P2" s="8" t="n">
        <v>284384.0906812427</v>
      </c>
      <c r="Q2" s="8" t="n">
        <v>296987.2566273254</v>
      </c>
      <c r="R2" s="8" t="n">
        <v>310169.1995922365</v>
      </c>
      <c r="S2" s="8" t="n">
        <v>323957.6093998931</v>
      </c>
      <c r="T2" s="8" t="n">
        <v>338381.5594227531</v>
      </c>
      <c r="U2" s="8" t="n">
        <v>353471.5787018567</v>
      </c>
    </row>
    <row r="3">
      <c r="A3" s="4" t="inlineStr">
        <is>
          <t>Cost of revenue</t>
        </is>
      </c>
      <c r="B3" s="8" t="n">
        <v>55068.7479115855</v>
      </c>
      <c r="C3" s="8" t="n">
        <v>65416.50591354676</v>
      </c>
      <c r="D3" s="8" t="n">
        <v>76662.75043404101</v>
      </c>
      <c r="E3" s="8" t="n">
        <v>88616.61779512296</v>
      </c>
      <c r="F3" s="8" t="n">
        <v>101017.4023520869</v>
      </c>
      <c r="G3" s="8" t="n">
        <v>113538.1020252087</v>
      </c>
      <c r="H3" s="8" t="n">
        <v>125794.9329508629</v>
      </c>
      <c r="I3" s="8" t="n">
        <v>137363.0231518293</v>
      </c>
      <c r="J3" s="8" t="n">
        <v>147797.842757356</v>
      </c>
      <c r="K3" s="8" t="n">
        <v>156661.2097614674</v>
      </c>
      <c r="L3" s="8" t="n">
        <v>163550.0165804552</v>
      </c>
      <c r="M3" s="8" t="n">
        <v>170752.2150646572</v>
      </c>
      <c r="N3" s="8" t="n">
        <v>178282.641515743</v>
      </c>
      <c r="O3" s="8" t="n">
        <v>186156.8655660611</v>
      </c>
      <c r="P3" s="8" t="n">
        <v>194391.2280164848</v>
      </c>
      <c r="Q3" s="8" t="n">
        <v>203002.8807048547</v>
      </c>
      <c r="R3" s="8" t="n">
        <v>212009.8285176762</v>
      </c>
      <c r="S3" s="8" t="n">
        <v>221430.9736641559</v>
      </c>
      <c r="T3" s="8" t="n">
        <v>231286.1623384457</v>
      </c>
      <c r="U3" s="8" t="n">
        <v>241596.2339031527</v>
      </c>
    </row>
    <row r="4">
      <c r="A4" s="4" t="inlineStr">
        <is>
          <t>Gross profit</t>
        </is>
      </c>
      <c r="B4" s="8" t="n">
        <v>25477.34904841449</v>
      </c>
      <c r="C4" s="8" t="n">
        <v>30265.99327979724</v>
      </c>
      <c r="D4" s="8" t="n">
        <v>35470.78354283661</v>
      </c>
      <c r="E4" s="8" t="n">
        <v>41003.46893112274</v>
      </c>
      <c r="F4" s="8" t="n">
        <v>46743.46656024354</v>
      </c>
      <c r="G4" s="8" t="n">
        <v>52539.49448363986</v>
      </c>
      <c r="H4" s="8" t="n">
        <v>58213.96709501751</v>
      </c>
      <c r="I4" s="8" t="n">
        <v>63570.25106717244</v>
      </c>
      <c r="J4" s="8" t="n">
        <v>68402.5780346489</v>
      </c>
      <c r="K4" s="8" t="n">
        <v>72508.07763207541</v>
      </c>
      <c r="L4" s="8" t="n">
        <v>75700.07324267572</v>
      </c>
      <c r="M4" s="8" t="n">
        <v>79037.48236602338</v>
      </c>
      <c r="N4" s="8" t="n">
        <v>82527.19975087827</v>
      </c>
      <c r="O4" s="8" t="n">
        <v>86176.46149101231</v>
      </c>
      <c r="P4" s="8" t="n">
        <v>89992.86266475785</v>
      </c>
      <c r="Q4" s="8" t="n">
        <v>93984.3759224707</v>
      </c>
      <c r="R4" s="8" t="n">
        <v>98159.37107456036</v>
      </c>
      <c r="S4" s="8" t="n">
        <v>102526.6357357372</v>
      </c>
      <c r="T4" s="8" t="n">
        <v>107095.3970843074</v>
      </c>
      <c r="U4" s="8" t="n">
        <v>111875.344798704</v>
      </c>
    </row>
    <row r="5">
      <c r="A5" s="4" t="inlineStr">
        <is>
          <t>Overheads</t>
        </is>
      </c>
      <c r="B5" s="8" t="n">
        <v>5437.738921674436</v>
      </c>
      <c r="C5" s="8" t="n">
        <v>6459.610951044766</v>
      </c>
      <c r="D5" s="8" t="n">
        <v>7570.234997653327</v>
      </c>
      <c r="E5" s="8" t="n">
        <v>8750.76778670173</v>
      </c>
      <c r="F5" s="8" t="n">
        <v>9975.468189154244</v>
      </c>
      <c r="G5" s="8" t="n">
        <v>11212.04682335868</v>
      </c>
      <c r="H5" s="8" t="n">
        <v>12422.60513517979</v>
      </c>
      <c r="I5" s="8" t="n">
        <v>13565.18474660238</v>
      </c>
      <c r="J5" s="8" t="n">
        <v>14595.8834430787</v>
      </c>
      <c r="K5" s="8" t="n">
        <v>15471.42320665294</v>
      </c>
      <c r="L5" s="8" t="n">
        <v>16151.98717935921</v>
      </c>
      <c r="M5" s="8" t="n">
        <v>16863.52549927569</v>
      </c>
      <c r="N5" s="8" t="n">
        <v>17607.50524901955</v>
      </c>
      <c r="O5" s="8" t="n">
        <v>18385.46606352335</v>
      </c>
      <c r="P5" s="8" t="n">
        <v>19199.02387536353</v>
      </c>
      <c r="Q5" s="8" t="n">
        <v>20049.8748611707</v>
      </c>
      <c r="R5" s="8" t="n">
        <v>20939.79960028235</v>
      </c>
      <c r="S5" s="8" t="n">
        <v>21870.66745743409</v>
      </c>
      <c r="T5" s="8" t="n">
        <v>22844.44120195883</v>
      </c>
      <c r="U5" s="8" t="n">
        <v>23863.18187667519</v>
      </c>
    </row>
    <row r="6">
      <c r="A6" s="4" t="inlineStr">
        <is>
          <t>Depreciation</t>
        </is>
      </c>
      <c r="B6" s="8" t="n">
        <v>1142.6904</v>
      </c>
      <c r="C6" s="8" t="n">
        <v>1156.823074944</v>
      </c>
      <c r="D6" s="8" t="n">
        <v>1176.061272170066</v>
      </c>
      <c r="E6" s="8" t="n">
        <v>1200.81344344363</v>
      </c>
      <c r="F6" s="8" t="n">
        <v>1231.388337136675</v>
      </c>
      <c r="G6" s="8" t="n">
        <v>1267.960221375189</v>
      </c>
      <c r="H6" s="8" t="n">
        <v>1310.536071513918</v>
      </c>
      <c r="I6" s="8" t="n">
        <v>1358.92774630174</v>
      </c>
      <c r="J6" s="8" t="n">
        <v>1412.732278130115</v>
      </c>
      <c r="K6" s="8" t="n">
        <v>1471.32317183903</v>
      </c>
      <c r="L6" s="8" t="n">
        <v>1533.85500961989</v>
      </c>
      <c r="M6" s="8" t="n">
        <v>1599.282708829343</v>
      </c>
      <c r="N6" s="8" t="n">
        <v>1667.744043948298</v>
      </c>
      <c r="O6" s="8" t="n">
        <v>1739.383659001403</v>
      </c>
      <c r="P6" s="8" t="n">
        <v>1814.35342464419</v>
      </c>
      <c r="Q6" s="8" t="n">
        <v>1892.8128145414</v>
      </c>
      <c r="R6" s="8" t="n">
        <v>1974.929302112602</v>
      </c>
      <c r="S6" s="8" t="n">
        <v>2060.878778782689</v>
      </c>
      <c r="T6" s="8" t="n">
        <v>2150.845994940057</v>
      </c>
      <c r="U6" s="8" t="n">
        <v>2245.025024874142</v>
      </c>
    </row>
    <row r="7">
      <c r="A7" s="4" t="inlineStr">
        <is>
          <t>Operating profit</t>
        </is>
      </c>
      <c r="B7" s="8" t="n">
        <v>18896.91972674006</v>
      </c>
      <c r="C7" s="8" t="n">
        <v>22649.55925380848</v>
      </c>
      <c r="D7" s="8" t="n">
        <v>26724.48727301322</v>
      </c>
      <c r="E7" s="8" t="n">
        <v>31051.88770097738</v>
      </c>
      <c r="F7" s="8" t="n">
        <v>35536.61003395262</v>
      </c>
      <c r="G7" s="8" t="n">
        <v>40059.48743890599</v>
      </c>
      <c r="H7" s="8" t="n">
        <v>44480.8258883238</v>
      </c>
      <c r="I7" s="8" t="n">
        <v>48646.13857426833</v>
      </c>
      <c r="J7" s="8" t="n">
        <v>52393.96231344009</v>
      </c>
      <c r="K7" s="8" t="n">
        <v>55565.33125358343</v>
      </c>
      <c r="L7" s="8" t="n">
        <v>58014.23105369662</v>
      </c>
      <c r="M7" s="8" t="n">
        <v>60574.67415791834</v>
      </c>
      <c r="N7" s="8" t="n">
        <v>63251.95045791042</v>
      </c>
      <c r="O7" s="8" t="n">
        <v>66051.61176848755</v>
      </c>
      <c r="P7" s="8" t="n">
        <v>68979.48536475014</v>
      </c>
      <c r="Q7" s="8" t="n">
        <v>72041.68824675861</v>
      </c>
      <c r="R7" s="8" t="n">
        <v>75244.6421721654</v>
      </c>
      <c r="S7" s="8" t="n">
        <v>78595.08949952044</v>
      </c>
      <c r="T7" s="8" t="n">
        <v>82100.1098874085</v>
      </c>
      <c r="U7" s="8" t="n">
        <v>85767.13789715467</v>
      </c>
    </row>
    <row r="8">
      <c r="A8" s="4" t="inlineStr">
        <is>
          <t>Free cash flow to the firm</t>
        </is>
      </c>
      <c r="B8" s="8" t="n">
        <v>13549.94762425544</v>
      </c>
      <c r="C8" s="8" t="n">
        <v>15368.50845619121</v>
      </c>
      <c r="D8" s="8" t="n">
        <v>17516.71144199443</v>
      </c>
      <c r="E8" s="8" t="n">
        <v>19932.9488139974</v>
      </c>
      <c r="F8" s="8" t="n">
        <v>22547.05552483774</v>
      </c>
      <c r="G8" s="8" t="n">
        <v>25278.81883059182</v>
      </c>
      <c r="H8" s="8" t="n">
        <v>28038.13576789546</v>
      </c>
      <c r="I8" s="8" t="n">
        <v>30726.80990352692</v>
      </c>
      <c r="J8" s="8" t="n">
        <v>33241.87791155231</v>
      </c>
      <c r="K8" s="8" t="n">
        <v>35480.22888435654</v>
      </c>
      <c r="L8" s="8" t="n">
        <v>37344.14360824008</v>
      </c>
      <c r="M8" s="8" t="n">
        <v>39215.76279796343</v>
      </c>
      <c r="N8" s="8" t="n">
        <v>41114.81173073265</v>
      </c>
      <c r="O8" s="8" t="n">
        <v>43057.11471769403</v>
      </c>
      <c r="P8" s="8" t="n">
        <v>45055.62155018427</v>
      </c>
      <c r="Q8" s="8" t="n">
        <v>47121.17999002004</v>
      </c>
      <c r="R8" s="8" t="n">
        <v>49263.1179359743</v>
      </c>
      <c r="S8" s="8" t="n">
        <v>51489.68299851498</v>
      </c>
      <c r="T8" s="8" t="n">
        <v>53808.37529029918</v>
      </c>
      <c r="U8" s="8" t="n">
        <v>56226.20029694128</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c r="L9" s="19">
        <f>1/(1+'Summary'!$B$14)^11</f>
        <v/>
      </c>
      <c r="M9" s="19">
        <f>1/(1+'Summary'!$B$14)^12</f>
        <v/>
      </c>
      <c r="N9" s="19">
        <f>1/(1+'Summary'!$B$14)^13</f>
        <v/>
      </c>
      <c r="O9" s="19">
        <f>1/(1+'Summary'!$B$14)^14</f>
        <v/>
      </c>
      <c r="P9" s="19">
        <f>1/(1+'Summary'!$B$14)^15</f>
        <v/>
      </c>
      <c r="Q9" s="19">
        <f>1/(1+'Summary'!$B$14)^16</f>
        <v/>
      </c>
      <c r="R9" s="19">
        <f>1/(1+'Summary'!$B$14)^17</f>
        <v/>
      </c>
      <c r="S9" s="19">
        <f>1/(1+'Summary'!$B$14)^18</f>
        <v/>
      </c>
      <c r="T9" s="19">
        <f>1/(1+'Summary'!$B$14)^19</f>
        <v/>
      </c>
      <c r="U9" s="19">
        <f>1/(1+'Summary'!$B$14)^20</f>
        <v/>
      </c>
    </row>
    <row r="10">
      <c r="A10" s="11" t="inlineStr">
        <is>
          <t>Present value</t>
        </is>
      </c>
      <c r="B10" s="8">
        <f>B8*B9</f>
        <v/>
      </c>
      <c r="C10" s="8">
        <f>C8*C9</f>
        <v/>
      </c>
      <c r="D10" s="8">
        <f>D8*D9</f>
        <v/>
      </c>
      <c r="E10" s="8">
        <f>E8*E9</f>
        <v/>
      </c>
      <c r="F10" s="8">
        <f>F8*F9</f>
        <v/>
      </c>
      <c r="G10" s="8">
        <f>G8*G9</f>
        <v/>
      </c>
      <c r="H10" s="8">
        <f>H8*H9</f>
        <v/>
      </c>
      <c r="I10" s="8">
        <f>I8*I9</f>
        <v/>
      </c>
      <c r="J10" s="8">
        <f>J8*J9</f>
        <v/>
      </c>
      <c r="K10" s="8">
        <f>K8*K9</f>
        <v/>
      </c>
      <c r="L10" s="8">
        <f>L8*L9</f>
        <v/>
      </c>
      <c r="M10" s="8">
        <f>M8*M9</f>
        <v/>
      </c>
      <c r="N10" s="8">
        <f>N8*N9</f>
        <v/>
      </c>
      <c r="O10" s="8">
        <f>O8*O9</f>
        <v/>
      </c>
      <c r="P10" s="8">
        <f>P8*P9</f>
        <v/>
      </c>
      <c r="Q10" s="8">
        <f>Q8*Q9</f>
        <v/>
      </c>
      <c r="R10" s="8">
        <f>R8*R9</f>
        <v/>
      </c>
      <c r="S10" s="8">
        <f>S8*S9</f>
        <v/>
      </c>
      <c r="T10" s="8">
        <f>T8*T9</f>
        <v/>
      </c>
      <c r="U10" s="8">
        <f>U8*U9</f>
        <v/>
      </c>
    </row>
    <row r="12">
      <c r="A12" s="11" t="inlineStr">
        <is>
          <t>Sum of the explicit years</t>
        </is>
      </c>
      <c r="B12" s="17">
        <f>SUM(B10:U10)</f>
        <v/>
      </c>
    </row>
    <row r="13">
      <c r="A13" s="4" t="inlineStr">
        <is>
          <t>Order book still unconverted, present value</t>
        </is>
      </c>
      <c r="B13" s="7" t="n">
        <v>0</v>
      </c>
    </row>
    <row r="14">
      <c r="A14" s="4" t="inlineStr">
        <is>
          <t>Recurring businesses beyond the window, present value</t>
        </is>
      </c>
      <c r="B14" s="7" t="n">
        <v>10999.63688339958</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c r="O1" s="3" t="inlineStr">
        <is>
          <t>2036</t>
        </is>
      </c>
      <c r="P1" s="3" t="inlineStr">
        <is>
          <t>2037</t>
        </is>
      </c>
      <c r="Q1" s="3" t="inlineStr">
        <is>
          <t>2038</t>
        </is>
      </c>
      <c r="R1" s="3" t="inlineStr">
        <is>
          <t>2039</t>
        </is>
      </c>
      <c r="S1" s="3" t="inlineStr">
        <is>
          <t>2040</t>
        </is>
      </c>
      <c r="T1" s="3" t="inlineStr">
        <is>
          <t>2041</t>
        </is>
      </c>
      <c r="U1" s="3" t="inlineStr">
        <is>
          <t>2042</t>
        </is>
      </c>
      <c r="V1" s="3" t="inlineStr">
        <is>
          <t>2043</t>
        </is>
      </c>
      <c r="W1" s="3" t="inlineStr">
        <is>
          <t>2044</t>
        </is>
      </c>
      <c r="X1" s="3" t="inlineStr">
        <is>
          <t>2045</t>
        </is>
      </c>
    </row>
    <row r="2">
      <c r="A2" s="4" t="inlineStr">
        <is>
          <t>Development revenue</t>
        </is>
      </c>
      <c r="B2" s="8" t="n">
        <v>21578.7</v>
      </c>
      <c r="C2" s="8" t="n">
        <v>24518.3</v>
      </c>
      <c r="D2" s="8" t="n">
        <v>36705.7</v>
      </c>
      <c r="E2" s="8" t="n">
        <v>49337.22416</v>
      </c>
      <c r="F2" s="8" t="n">
        <v>58415.27340543999</v>
      </c>
      <c r="G2" s="8" t="n">
        <v>68229.0393375539</v>
      </c>
      <c r="H2" s="8" t="n">
        <v>78599.85331686211</v>
      </c>
      <c r="I2" s="8" t="n">
        <v>89289.43336795537</v>
      </c>
      <c r="J2" s="8" t="n">
        <v>100004.16537211</v>
      </c>
      <c r="K2" s="8" t="n">
        <v>110404.5985708095</v>
      </c>
      <c r="L2" s="8" t="n">
        <v>120120.2032450407</v>
      </c>
      <c r="M2" s="8" t="n">
        <v>128768.8578786837</v>
      </c>
      <c r="N2" s="8" t="n">
        <v>135979.91391989</v>
      </c>
      <c r="O2" s="8" t="n">
        <v>141419.1104766855</v>
      </c>
      <c r="P2" s="8" t="n">
        <v>147075.874895753</v>
      </c>
      <c r="Q2" s="8" t="n">
        <v>152958.9098915831</v>
      </c>
      <c r="R2" s="8" t="n">
        <v>159077.2662872464</v>
      </c>
      <c r="S2" s="8" t="n">
        <v>165440.3569387363</v>
      </c>
      <c r="T2" s="8" t="n">
        <v>172057.9712162857</v>
      </c>
      <c r="U2" s="8" t="n">
        <v>178940.2900649371</v>
      </c>
      <c r="V2" s="8" t="n">
        <v>186097.9016675346</v>
      </c>
      <c r="W2" s="8" t="n">
        <v>193541.817734236</v>
      </c>
      <c r="X2" s="8" t="n">
        <v>201283.4904436055</v>
      </c>
    </row>
    <row r="3">
      <c r="A3" s="4" t="inlineStr">
        <is>
          <t>Hospitality revenue</t>
        </is>
      </c>
      <c r="B3" s="8" t="n">
        <v>3540.9</v>
      </c>
      <c r="C3" s="8" t="n">
        <v>11496.5</v>
      </c>
      <c r="D3" s="8" t="n">
        <v>14889.7</v>
      </c>
      <c r="E3" s="8" t="n">
        <v>17867.64</v>
      </c>
      <c r="F3" s="8" t="n">
        <v>21155.28576000001</v>
      </c>
      <c r="G3" s="8" t="n">
        <v>24709.37376768001</v>
      </c>
      <c r="H3" s="8" t="n">
        <v>28465.19858036738</v>
      </c>
      <c r="I3" s="8" t="n">
        <v>32336.46558729735</v>
      </c>
      <c r="J3" s="8" t="n">
        <v>36216.84145777303</v>
      </c>
      <c r="K3" s="8" t="n">
        <v>39983.39296938143</v>
      </c>
      <c r="L3" s="8" t="n">
        <v>43501.931550687</v>
      </c>
      <c r="M3" s="8" t="n">
        <v>46634.07062233646</v>
      </c>
      <c r="N3" s="8" t="n">
        <v>49245.57857718731</v>
      </c>
      <c r="O3" s="8" t="n">
        <v>51215.4017202748</v>
      </c>
      <c r="P3" s="8" t="n">
        <v>53264.0177890858</v>
      </c>
      <c r="Q3" s="8" t="n">
        <v>55394.57850064923</v>
      </c>
      <c r="R3" s="8" t="n">
        <v>57610.3616406752</v>
      </c>
      <c r="S3" s="8" t="n">
        <v>59914.77610630221</v>
      </c>
      <c r="T3" s="8" t="n">
        <v>62311.3671505543</v>
      </c>
      <c r="U3" s="8" t="n">
        <v>64803.82183657648</v>
      </c>
      <c r="V3" s="8" t="n">
        <v>67395.97471003953</v>
      </c>
      <c r="W3" s="8" t="n">
        <v>70091.81369844111</v>
      </c>
      <c r="X3" s="8" t="n">
        <v>72895.48624637876</v>
      </c>
    </row>
    <row r="4">
      <c r="A4" s="4" t="inlineStr">
        <is>
          <t>Other recurring revenue</t>
        </is>
      </c>
      <c r="B4" s="8" t="n">
        <v>3311.7</v>
      </c>
      <c r="C4" s="8" t="n">
        <v>6655.5</v>
      </c>
      <c r="D4" s="8" t="n">
        <v>10899.7</v>
      </c>
      <c r="E4" s="8" t="n">
        <v>13341.2328</v>
      </c>
      <c r="F4" s="8" t="n">
        <v>16111.940027904</v>
      </c>
      <c r="G4" s="8" t="n">
        <v>19195.12087164371</v>
      </c>
      <c r="H4" s="8" t="n">
        <v>22555.03482901623</v>
      </c>
      <c r="I4" s="8" t="n">
        <v>26134.96995707769</v>
      </c>
      <c r="J4" s="8" t="n">
        <v>29856.58967896556</v>
      </c>
      <c r="K4" s="8" t="n">
        <v>33620.90850568953</v>
      </c>
      <c r="L4" s="8" t="n">
        <v>37311.13942327402</v>
      </c>
      <c r="M4" s="8" t="n">
        <v>40797.49229098475</v>
      </c>
      <c r="N4" s="8" t="n">
        <v>43943.79489646549</v>
      </c>
      <c r="O4" s="8" t="n">
        <v>46615.57762617059</v>
      </c>
      <c r="P4" s="8" t="n">
        <v>49449.80474584176</v>
      </c>
      <c r="Q4" s="8" t="n">
        <v>52456.35287438894</v>
      </c>
      <c r="R4" s="8" t="n">
        <v>55645.69912915178</v>
      </c>
      <c r="S4" s="8" t="n">
        <v>59028.95763620421</v>
      </c>
      <c r="T4" s="8" t="n">
        <v>62617.91826048543</v>
      </c>
      <c r="U4" s="8" t="n">
        <v>66425.08769072294</v>
      </c>
      <c r="V4" s="8" t="n">
        <v>70463.73302231889</v>
      </c>
      <c r="W4" s="8" t="n">
        <v>74747.92799007587</v>
      </c>
      <c r="X4" s="8" t="n">
        <v>79292.60201187248</v>
      </c>
    </row>
    <row r="5">
      <c r="A5" s="4" t="inlineStr">
        <is>
          <t>Gross profit</t>
        </is>
      </c>
      <c r="B5" s="8" t="n">
        <v>8637.299999999999</v>
      </c>
      <c r="C5" s="8" t="n">
        <v>15300.2</v>
      </c>
      <c r="D5" s="8" t="n">
        <v>20855.4</v>
      </c>
      <c r="E5" s="8" t="n">
        <v>25477.34904841449</v>
      </c>
      <c r="F5" s="8" t="n">
        <v>30265.99327979724</v>
      </c>
      <c r="G5" s="8" t="n">
        <v>35470.78354283661</v>
      </c>
      <c r="H5" s="8" t="n">
        <v>41003.46893112274</v>
      </c>
      <c r="I5" s="8" t="n">
        <v>46743.46656024354</v>
      </c>
      <c r="J5" s="8" t="n">
        <v>52539.49448363986</v>
      </c>
      <c r="K5" s="8" t="n">
        <v>58213.96709501751</v>
      </c>
      <c r="L5" s="8" t="n">
        <v>63570.25106717244</v>
      </c>
      <c r="M5" s="8" t="n">
        <v>68402.5780346489</v>
      </c>
      <c r="N5" s="8" t="n">
        <v>72508.07763207541</v>
      </c>
      <c r="O5" s="8" t="n">
        <v>75700.07324267572</v>
      </c>
      <c r="P5" s="8" t="n">
        <v>79037.48236602338</v>
      </c>
      <c r="Q5" s="8" t="n">
        <v>82527.19975087827</v>
      </c>
      <c r="R5" s="8" t="n">
        <v>86176.46149101231</v>
      </c>
      <c r="S5" s="8" t="n">
        <v>89992.86266475785</v>
      </c>
      <c r="T5" s="8" t="n">
        <v>93984.3759224707</v>
      </c>
      <c r="U5" s="8" t="n">
        <v>98159.37107456036</v>
      </c>
      <c r="V5" s="8" t="n">
        <v>102526.6357357372</v>
      </c>
      <c r="W5" s="8" t="n">
        <v>107095.3970843074</v>
      </c>
      <c r="X5" s="8" t="n">
        <v>111875.344798704</v>
      </c>
    </row>
    <row r="6">
      <c r="A6" s="4" t="inlineStr">
        <is>
          <t>Net profit</t>
        </is>
      </c>
      <c r="B6" s="8" t="n">
        <v>3347.3</v>
      </c>
      <c r="C6" s="8" t="n">
        <v>14467.5</v>
      </c>
      <c r="D6" s="8" t="n">
        <v>18202</v>
      </c>
      <c r="E6" s="8" t="n">
        <v>23130.56066322355</v>
      </c>
      <c r="F6" s="8" t="n">
        <v>28865.07420448423</v>
      </c>
      <c r="G6" s="8" t="n">
        <v>35423.21099504035</v>
      </c>
      <c r="H6" s="8" t="n">
        <v>42869.92238216312</v>
      </c>
      <c r="I6" s="8" t="n">
        <v>51257.77576486601</v>
      </c>
      <c r="J6" s="8" t="n">
        <v>60628.08901178896</v>
      </c>
      <c r="K6" s="8" t="n">
        <v>71013.50502228174</v>
      </c>
      <c r="L6" s="8" t="n">
        <v>82442.24512363585</v>
      </c>
      <c r="M6" s="8" t="n">
        <v>94944.11657912612</v>
      </c>
      <c r="N6" s="8" t="n">
        <v>108558.159296363</v>
      </c>
      <c r="O6" s="8" t="n">
        <v>123341.6208012305</v>
      </c>
      <c r="P6" s="8" t="n">
        <v>140121.0778155063</v>
      </c>
      <c r="Q6" s="8" t="n">
        <v>159146.9548781974</v>
      </c>
      <c r="R6" s="8" t="n">
        <v>180704.7375389325</v>
      </c>
      <c r="S6" s="8" t="n">
        <v>205118.887987066</v>
      </c>
      <c r="T6" s="8" t="n">
        <v>232757.4258865683</v>
      </c>
      <c r="U6" s="8" t="n">
        <v>264037.2211577346</v>
      </c>
      <c r="V6" s="8" t="n">
        <v>299430.0613607529</v>
      </c>
      <c r="W6" s="8" t="n">
        <v>339469.5718467511</v>
      </c>
      <c r="X6" s="8" t="n">
        <v>384759.0825130233</v>
      </c>
    </row>
    <row r="7">
      <c r="A7" s="4" t="inlineStr">
        <is>
          <t>Attributable profit</t>
        </is>
      </c>
      <c r="B7" s="8" t="n">
        <v>3313.3</v>
      </c>
      <c r="C7" s="8" t="n">
        <v>10723.1</v>
      </c>
      <c r="D7" s="8" t="n">
        <v>14383.9</v>
      </c>
      <c r="E7" s="8" t="n">
        <v>12672.43859359015</v>
      </c>
      <c r="F7" s="8" t="n">
        <v>15814.18131975239</v>
      </c>
      <c r="G7" s="8" t="n">
        <v>19407.15889503546</v>
      </c>
      <c r="H7" s="8" t="n">
        <v>23486.95592855667</v>
      </c>
      <c r="I7" s="8" t="n">
        <v>28082.37229013855</v>
      </c>
      <c r="J7" s="8" t="n">
        <v>33216.04461884841</v>
      </c>
      <c r="K7" s="8" t="n">
        <v>38905.85683646183</v>
      </c>
      <c r="L7" s="8" t="n">
        <v>45167.27043750712</v>
      </c>
      <c r="M7" s="8" t="n">
        <v>52016.61579628835</v>
      </c>
      <c r="N7" s="8" t="n">
        <v>59475.281535377</v>
      </c>
      <c r="O7" s="8" t="n">
        <v>67574.63160513135</v>
      </c>
      <c r="P7" s="8" t="n">
        <v>76767.51896065829</v>
      </c>
      <c r="Q7" s="8" t="n">
        <v>87191.14259333107</v>
      </c>
      <c r="R7" s="8" t="n">
        <v>99001.91021629171</v>
      </c>
      <c r="S7" s="8" t="n">
        <v>112377.5835029558</v>
      </c>
      <c r="T7" s="8" t="n">
        <v>127519.7877688876</v>
      </c>
      <c r="U7" s="8" t="n">
        <v>144656.9117048486</v>
      </c>
      <c r="V7" s="8" t="n">
        <v>164047.4314875624</v>
      </c>
      <c r="W7" s="8" t="n">
        <v>185983.7020924492</v>
      </c>
      <c r="X7" s="8" t="n">
        <v>210796.267218231</v>
      </c>
    </row>
    <row r="8">
      <c r="A8" s="4" t="inlineStr">
        <is>
          <t>Earnings per share, EGP</t>
        </is>
      </c>
      <c r="B8" s="9" t="n">
        <v>1.60788774902412</v>
      </c>
      <c r="C8" s="9" t="n">
        <v>5.203736794603732</v>
      </c>
      <c r="D8" s="9" t="n">
        <v>6.980260342615533</v>
      </c>
      <c r="E8" s="9" t="n">
        <v>6.149717431229907</v>
      </c>
      <c r="F8" s="9" t="n">
        <v>7.674351373215817</v>
      </c>
      <c r="G8" s="9" t="n">
        <v>9.417961859986118</v>
      </c>
      <c r="H8" s="9" t="n">
        <v>11.39781749295135</v>
      </c>
      <c r="I8" s="9" t="n">
        <v>13.62789435573241</v>
      </c>
      <c r="J8" s="9" t="n">
        <v>16.11917762161136</v>
      </c>
      <c r="K8" s="9" t="n">
        <v>18.88034605155986</v>
      </c>
      <c r="L8" s="9" t="n">
        <v>21.91890284409109</v>
      </c>
      <c r="M8" s="9" t="n">
        <v>25.24277285019364</v>
      </c>
      <c r="N8" s="9" t="n">
        <v>28.86233560211667</v>
      </c>
      <c r="O8" s="9" t="n">
        <v>32.79281148785466</v>
      </c>
      <c r="P8" s="9" t="n">
        <v>37.25396229131661</v>
      </c>
      <c r="Q8" s="9" t="n">
        <v>42.31236833345371</v>
      </c>
      <c r="R8" s="9" t="n">
        <v>48.04393159893802</v>
      </c>
      <c r="S8" s="9" t="n">
        <v>54.53491678367119</v>
      </c>
      <c r="T8" s="9" t="n">
        <v>61.88316920041958</v>
      </c>
      <c r="U8" s="9" t="n">
        <v>70.19952196960431</v>
      </c>
      <c r="V8" s="9" t="n">
        <v>79.6094091533291</v>
      </c>
      <c r="W8" s="9" t="n">
        <v>90.2547056145235</v>
      </c>
      <c r="X8" s="9" t="n">
        <v>102.2958185495453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c r="M1" s="3" t="inlineStr">
        <is>
          <t>2036</t>
        </is>
      </c>
      <c r="N1" s="3" t="inlineStr">
        <is>
          <t>2037</t>
        </is>
      </c>
      <c r="O1" s="3" t="inlineStr">
        <is>
          <t>2038</t>
        </is>
      </c>
      <c r="P1" s="3" t="inlineStr">
        <is>
          <t>2039</t>
        </is>
      </c>
      <c r="Q1" s="3" t="inlineStr">
        <is>
          <t>2040</t>
        </is>
      </c>
      <c r="R1" s="3" t="inlineStr">
        <is>
          <t>2041</t>
        </is>
      </c>
      <c r="S1" s="3" t="inlineStr">
        <is>
          <t>2042</t>
        </is>
      </c>
      <c r="T1" s="3" t="inlineStr">
        <is>
          <t>2043</t>
        </is>
      </c>
      <c r="U1" s="3" t="inlineStr">
        <is>
          <t>2044</t>
        </is>
      </c>
      <c r="V1" s="3" t="inlineStr">
        <is>
          <t>2045</t>
        </is>
      </c>
    </row>
    <row r="2">
      <c r="A2" s="4" t="inlineStr">
        <is>
          <t>Cash and deposits</t>
        </is>
      </c>
      <c r="C2" s="8" t="n">
        <v>94007.06392117839</v>
      </c>
      <c r="D2" s="8" t="n">
        <v>115942.9837642265</v>
      </c>
      <c r="E2" s="8" t="n">
        <v>142349.2808961654</v>
      </c>
      <c r="F2" s="8" t="n">
        <v>174040.8523455015</v>
      </c>
      <c r="G2" s="8" t="n">
        <v>211880.0991718504</v>
      </c>
      <c r="H2" s="8" t="n">
        <v>256776.0908634245</v>
      </c>
      <c r="I2" s="8" t="n">
        <v>309683.3345392122</v>
      </c>
      <c r="J2" s="8" t="n">
        <v>371601.4510400648</v>
      </c>
      <c r="K2" s="8" t="n">
        <v>443577.1399989407</v>
      </c>
      <c r="L2" s="8" t="n">
        <v>526709.8119975199</v>
      </c>
      <c r="M2" s="8" t="n">
        <v>622162.1578588361</v>
      </c>
      <c r="N2" s="8" t="n">
        <v>731523.3703117218</v>
      </c>
      <c r="O2" s="8" t="n">
        <v>856607.5325377719</v>
      </c>
      <c r="P2" s="8" t="n">
        <v>999478.812608933</v>
      </c>
      <c r="Q2" s="8" t="n">
        <v>1162480.945937615</v>
      </c>
      <c r="R2" s="8" t="n">
        <v>1348271.307092299</v>
      </c>
      <c r="S2" s="8" t="n">
        <v>1559859.974991126</v>
      </c>
      <c r="T2" s="8" t="n">
        <v>1800654.295541997</v>
      </c>
      <c r="U2" s="8" t="n">
        <v>2074509.546888571</v>
      </c>
      <c r="V2" s="8" t="n">
        <v>2385786.417662771</v>
      </c>
    </row>
    <row r="3">
      <c r="A3" s="4" t="inlineStr">
        <is>
          <t>Properties under development</t>
        </is>
      </c>
      <c r="B3" s="8" t="n">
        <v>148315.4</v>
      </c>
      <c r="C3" s="8" t="n">
        <v>147460.4685</v>
      </c>
      <c r="D3" s="8" t="n">
        <v>153484.470879</v>
      </c>
      <c r="E3" s="8" t="n">
        <v>165207.844739922</v>
      </c>
      <c r="F3" s="8" t="n">
        <v>181614.7378558756</v>
      </c>
      <c r="G3" s="8" t="n">
        <v>201768.3118777679</v>
      </c>
      <c r="H3" s="8" t="n">
        <v>224750.3634124904</v>
      </c>
      <c r="I3" s="8" t="n">
        <v>249623.0115319655</v>
      </c>
      <c r="J3" s="8" t="n">
        <v>275410.7986511603</v>
      </c>
      <c r="K3" s="8" t="n">
        <v>301101.5738707139</v>
      </c>
      <c r="L3" s="8" t="n">
        <v>325664.0898787904</v>
      </c>
      <c r="M3" s="8" t="n">
        <v>348079.4932638779</v>
      </c>
      <c r="N3" s="8" t="n">
        <v>369044.302836885</v>
      </c>
      <c r="O3" s="8" t="n">
        <v>389087.2973321993</v>
      </c>
      <c r="P3" s="8" t="n">
        <v>408611.7060118665</v>
      </c>
      <c r="Q3" s="8" t="n">
        <v>427926.8618421255</v>
      </c>
      <c r="R3" s="8" t="n">
        <v>447271.9520081489</v>
      </c>
      <c r="S3" s="8" t="n">
        <v>466833.8418577285</v>
      </c>
      <c r="T3" s="8" t="n">
        <v>486760.454358978</v>
      </c>
      <c r="U3" s="8" t="n">
        <v>507170.8166535423</v>
      </c>
      <c r="V3" s="8" t="n">
        <v>528162.6074098379</v>
      </c>
    </row>
    <row r="4">
      <c r="A4" s="4" t="inlineStr">
        <is>
          <t>Property, plant and equipment</t>
        </is>
      </c>
      <c r="B4" s="8" t="n">
        <v>73322.7</v>
      </c>
      <c r="C4" s="8" t="n">
        <v>96401.92291199999</v>
      </c>
      <c r="D4" s="8" t="n">
        <v>98005.10601417215</v>
      </c>
      <c r="E4" s="8" t="n">
        <v>100067.7869536358</v>
      </c>
      <c r="F4" s="8" t="n">
        <v>102615.6947613896</v>
      </c>
      <c r="G4" s="8" t="n">
        <v>105663.3517812658</v>
      </c>
      <c r="H4" s="8" t="n">
        <v>109211.3392928265</v>
      </c>
      <c r="I4" s="8" t="n">
        <v>113243.9788584783</v>
      </c>
      <c r="J4" s="8" t="n">
        <v>117727.6898441762</v>
      </c>
      <c r="K4" s="8" t="n">
        <v>122610.2643199192</v>
      </c>
      <c r="L4" s="8" t="n">
        <v>127821.2508016575</v>
      </c>
      <c r="M4" s="8" t="n">
        <v>133273.5590691119</v>
      </c>
      <c r="N4" s="8" t="n">
        <v>138978.6703290248</v>
      </c>
      <c r="O4" s="8" t="n">
        <v>144948.638250117</v>
      </c>
      <c r="P4" s="8" t="n">
        <v>151196.1187203492</v>
      </c>
      <c r="Q4" s="8" t="n">
        <v>157734.4012117833</v>
      </c>
      <c r="R4" s="8" t="n">
        <v>164577.4418427168</v>
      </c>
      <c r="S4" s="8" t="n">
        <v>171739.8982318908</v>
      </c>
      <c r="T4" s="8" t="n">
        <v>179237.1662450048</v>
      </c>
      <c r="U4" s="8" t="n">
        <v>187085.4187395119</v>
      </c>
      <c r="V4" s="8" t="n">
        <v>195301.6464197505</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c r="M5" s="8" t="n">
        <v>25228</v>
      </c>
      <c r="N5" s="8" t="n">
        <v>25228</v>
      </c>
      <c r="O5" s="8" t="n">
        <v>25228</v>
      </c>
      <c r="P5" s="8" t="n">
        <v>25228</v>
      </c>
      <c r="Q5" s="8" t="n">
        <v>25228</v>
      </c>
      <c r="R5" s="8" t="n">
        <v>25228</v>
      </c>
      <c r="S5" s="8" t="n">
        <v>25228</v>
      </c>
      <c r="T5" s="8" t="n">
        <v>25228</v>
      </c>
      <c r="U5" s="8" t="n">
        <v>25228</v>
      </c>
      <c r="V5" s="8" t="n">
        <v>25228</v>
      </c>
    </row>
    <row r="6">
      <c r="A6" s="4" t="inlineStr">
        <is>
          <t>Total assets</t>
        </is>
      </c>
      <c r="B6" s="8" t="n">
        <v>477897.9</v>
      </c>
      <c r="C6" s="8" t="n">
        <v>496454.3553331784</v>
      </c>
      <c r="D6" s="8" t="n">
        <v>526017.4606573987</v>
      </c>
      <c r="E6" s="8" t="n">
        <v>566209.8125897233</v>
      </c>
      <c r="F6" s="8" t="n">
        <v>616856.1849627667</v>
      </c>
      <c r="G6" s="8" t="n">
        <v>677896.662830884</v>
      </c>
      <c r="H6" s="8" t="n">
        <v>749322.6935687414</v>
      </c>
      <c r="I6" s="8" t="n">
        <v>831135.224929656</v>
      </c>
      <c r="J6" s="8" t="n">
        <v>923324.8395354013</v>
      </c>
      <c r="K6" s="8" t="n">
        <v>1025873.878189574</v>
      </c>
      <c r="L6" s="8" t="n">
        <v>1138780.052677968</v>
      </c>
      <c r="M6" s="8" t="n">
        <v>1262100.110191826</v>
      </c>
      <c r="N6" s="8" t="n">
        <v>1398131.243477632</v>
      </c>
      <c r="O6" s="8" t="n">
        <v>1549228.368120088</v>
      </c>
      <c r="P6" s="8" t="n">
        <v>1717871.537341149</v>
      </c>
      <c r="Q6" s="8" t="n">
        <v>1906727.108991524</v>
      </c>
      <c r="R6" s="8" t="n">
        <v>2118705.600943165</v>
      </c>
      <c r="S6" s="8" t="n">
        <v>2357018.615080745</v>
      </c>
      <c r="T6" s="8" t="n">
        <v>2625236.816145979</v>
      </c>
      <c r="U6" s="8" t="n">
        <v>2927350.682281625</v>
      </c>
      <c r="V6" s="8" t="n">
        <v>3267835.57149236</v>
      </c>
    </row>
    <row r="7">
      <c r="A7" s="4" t="inlineStr">
        <is>
          <t>Customer advances</t>
        </is>
      </c>
      <c r="B7" s="8" t="n">
        <v>133993.1</v>
      </c>
      <c r="C7" s="8" t="n">
        <v>133220.7262480319</v>
      </c>
      <c r="D7" s="8" t="n">
        <v>138663.0117636937</v>
      </c>
      <c r="E7" s="8" t="n">
        <v>149254.3003694885</v>
      </c>
      <c r="F7" s="8" t="n">
        <v>164076.8371389359</v>
      </c>
      <c r="G7" s="8" t="n">
        <v>182284.2509292288</v>
      </c>
      <c r="H7" s="8" t="n">
        <v>203047.0060409517</v>
      </c>
      <c r="I7" s="8" t="n">
        <v>225517.7894305231</v>
      </c>
      <c r="J7" s="8" t="n">
        <v>248815.3400438849</v>
      </c>
      <c r="K7" s="8" t="n">
        <v>272025.2468578176</v>
      </c>
      <c r="L7" s="8" t="n">
        <v>294215.8465104618</v>
      </c>
      <c r="M7" s="8" t="n">
        <v>314466.6727046289</v>
      </c>
      <c r="N7" s="8" t="n">
        <v>333406.9838631256</v>
      </c>
      <c r="O7" s="8" t="n">
        <v>351514.4964053842</v>
      </c>
      <c r="P7" s="8" t="n">
        <v>369153.5011523997</v>
      </c>
      <c r="Q7" s="8" t="n">
        <v>386603.4598665959</v>
      </c>
      <c r="R7" s="8" t="n">
        <v>404080.4622623348</v>
      </c>
      <c r="S7" s="8" t="n">
        <v>421753.3287536345</v>
      </c>
      <c r="T7" s="8" t="n">
        <v>439755.6979043846</v>
      </c>
      <c r="U7" s="8" t="n">
        <v>458195.1028210137</v>
      </c>
      <c r="V7" s="8" t="n">
        <v>477159.7896841943</v>
      </c>
    </row>
    <row r="8">
      <c r="A8" s="4" t="inlineStr">
        <is>
          <t>Borrowings</t>
        </is>
      </c>
      <c r="C8" s="8" t="n">
        <v>16493</v>
      </c>
      <c r="D8" s="8" t="n">
        <v>16493</v>
      </c>
      <c r="E8" s="8" t="n">
        <v>16493</v>
      </c>
      <c r="F8" s="8" t="n">
        <v>16493</v>
      </c>
      <c r="G8" s="8" t="n">
        <v>16493</v>
      </c>
      <c r="H8" s="8" t="n">
        <v>16493</v>
      </c>
      <c r="I8" s="8" t="n">
        <v>16493</v>
      </c>
      <c r="J8" s="8" t="n">
        <v>16493</v>
      </c>
      <c r="K8" s="8" t="n">
        <v>16493</v>
      </c>
      <c r="L8" s="8" t="n">
        <v>16493</v>
      </c>
      <c r="M8" s="8" t="n">
        <v>16493</v>
      </c>
      <c r="N8" s="8" t="n">
        <v>16493</v>
      </c>
      <c r="O8" s="8" t="n">
        <v>16493</v>
      </c>
      <c r="P8" s="8" t="n">
        <v>16493</v>
      </c>
      <c r="Q8" s="8" t="n">
        <v>16493</v>
      </c>
      <c r="R8" s="8" t="n">
        <v>16493</v>
      </c>
      <c r="S8" s="8" t="n">
        <v>16493</v>
      </c>
      <c r="T8" s="8" t="n">
        <v>16493</v>
      </c>
      <c r="U8" s="8" t="n">
        <v>16493</v>
      </c>
      <c r="V8" s="8" t="n">
        <v>16493</v>
      </c>
    </row>
    <row r="9">
      <c r="A9" s="4" t="inlineStr">
        <is>
          <t>Total liabilities</t>
        </is>
      </c>
      <c r="B9" s="8" t="n">
        <v>310574.2</v>
      </c>
      <c r="C9" s="8" t="n">
        <v>309801.8262480319</v>
      </c>
      <c r="D9" s="8" t="n">
        <v>315244.1117636937</v>
      </c>
      <c r="E9" s="8" t="n">
        <v>325835.4003694885</v>
      </c>
      <c r="F9" s="8" t="n">
        <v>340657.9371389359</v>
      </c>
      <c r="G9" s="8" t="n">
        <v>358865.3509292288</v>
      </c>
      <c r="H9" s="8" t="n">
        <v>379628.1060409517</v>
      </c>
      <c r="I9" s="8" t="n">
        <v>402098.8894305231</v>
      </c>
      <c r="J9" s="8" t="n">
        <v>425396.4400438849</v>
      </c>
      <c r="K9" s="8" t="n">
        <v>448606.3468578176</v>
      </c>
      <c r="L9" s="8" t="n">
        <v>470796.9465104617</v>
      </c>
      <c r="M9" s="8" t="n">
        <v>491047.7727046289</v>
      </c>
      <c r="N9" s="8" t="n">
        <v>509988.0838631255</v>
      </c>
      <c r="O9" s="8" t="n">
        <v>528095.5964053841</v>
      </c>
      <c r="P9" s="8" t="n">
        <v>545734.6011523997</v>
      </c>
      <c r="Q9" s="8" t="n">
        <v>563184.5598665959</v>
      </c>
      <c r="R9" s="8" t="n">
        <v>580661.5622623347</v>
      </c>
      <c r="S9" s="8" t="n">
        <v>598334.4287536346</v>
      </c>
      <c r="T9" s="8" t="n">
        <v>616336.7979043847</v>
      </c>
      <c r="U9" s="8" t="n">
        <v>634776.2028210136</v>
      </c>
      <c r="V9" s="8" t="n">
        <v>653740.8896841943</v>
      </c>
    </row>
    <row r="10">
      <c r="A10" s="4" t="inlineStr">
        <is>
          <t>Equity attributable to TMG</t>
        </is>
      </c>
      <c r="B10" s="8" t="n">
        <v>91670.89999999999</v>
      </c>
      <c r="C10" s="8" t="n">
        <v>100541.6070155131</v>
      </c>
      <c r="D10" s="8" t="n">
        <v>111611.5339393398</v>
      </c>
      <c r="E10" s="8" t="n">
        <v>125196.5451658646</v>
      </c>
      <c r="F10" s="8" t="n">
        <v>141637.4143158543</v>
      </c>
      <c r="G10" s="8" t="n">
        <v>161295.0749189513</v>
      </c>
      <c r="H10" s="8" t="n">
        <v>184546.3061521451</v>
      </c>
      <c r="I10" s="8" t="n">
        <v>211780.4059376684</v>
      </c>
      <c r="J10" s="8" t="n">
        <v>243397.4952439234</v>
      </c>
      <c r="K10" s="8" t="n">
        <v>279809.1263013253</v>
      </c>
      <c r="L10" s="8" t="n">
        <v>321441.8233760892</v>
      </c>
      <c r="M10" s="8" t="n">
        <v>368744.0654996811</v>
      </c>
      <c r="N10" s="8" t="n">
        <v>422481.3287721419</v>
      </c>
      <c r="O10" s="8" t="n">
        <v>483515.1285874736</v>
      </c>
      <c r="P10" s="8" t="n">
        <v>552816.4657388779</v>
      </c>
      <c r="Q10" s="8" t="n">
        <v>631480.7741909469</v>
      </c>
      <c r="R10" s="8" t="n">
        <v>720744.6256291682</v>
      </c>
      <c r="S10" s="8" t="n">
        <v>822004.4638225622</v>
      </c>
      <c r="T10" s="8" t="n">
        <v>936837.665863856</v>
      </c>
      <c r="U10" s="8" t="n">
        <v>1067026.25732857</v>
      </c>
      <c r="V10" s="8" t="n">
        <v>1214583.644381332</v>
      </c>
    </row>
    <row r="11">
      <c r="A11" s="4" t="inlineStr">
        <is>
          <t>Non-controlling interests</t>
        </is>
      </c>
      <c r="B11" s="8" t="n">
        <v>75652.8</v>
      </c>
      <c r="C11" s="8" t="n">
        <v>86110.92206963341</v>
      </c>
      <c r="D11" s="8" t="n">
        <v>99161.81495436524</v>
      </c>
      <c r="E11" s="8" t="n">
        <v>115177.8670543701</v>
      </c>
      <c r="F11" s="8" t="n">
        <v>134560.8335079766</v>
      </c>
      <c r="G11" s="8" t="n">
        <v>157736.2369827041</v>
      </c>
      <c r="H11" s="8" t="n">
        <v>185148.2813756446</v>
      </c>
      <c r="I11" s="8" t="n">
        <v>217255.9295614645</v>
      </c>
      <c r="J11" s="8" t="n">
        <v>254530.9042475933</v>
      </c>
      <c r="K11" s="8" t="n">
        <v>297458.405030431</v>
      </c>
      <c r="L11" s="8" t="n">
        <v>346541.282791417</v>
      </c>
      <c r="M11" s="8" t="n">
        <v>402308.2719875161</v>
      </c>
      <c r="N11" s="8" t="n">
        <v>465661.8308423641</v>
      </c>
      <c r="O11" s="8" t="n">
        <v>537617.6431272305</v>
      </c>
      <c r="P11" s="8" t="n">
        <v>619320.4704498713</v>
      </c>
      <c r="Q11" s="8" t="n">
        <v>712061.7749339815</v>
      </c>
      <c r="R11" s="8" t="n">
        <v>817299.4130516622</v>
      </c>
      <c r="S11" s="8" t="n">
        <v>936679.7225045481</v>
      </c>
      <c r="T11" s="8" t="n">
        <v>1072062.352377739</v>
      </c>
      <c r="U11" s="8" t="n">
        <v>1225548.22213204</v>
      </c>
      <c r="V11" s="8" t="n">
        <v>1399511.037426833</v>
      </c>
    </row>
    <row r="12">
      <c r="A12" s="4" t="inlineStr">
        <is>
          <t>Total equity</t>
        </is>
      </c>
      <c r="B12" s="8" t="n">
        <v>167323.6</v>
      </c>
      <c r="C12" s="8" t="n">
        <v>186652.5290851465</v>
      </c>
      <c r="D12" s="8" t="n">
        <v>210773.348893705</v>
      </c>
      <c r="E12" s="8" t="n">
        <v>240374.4122202347</v>
      </c>
      <c r="F12" s="8" t="n">
        <v>276198.2478238308</v>
      </c>
      <c r="G12" s="8" t="n">
        <v>319031.3119016553</v>
      </c>
      <c r="H12" s="8" t="n">
        <v>369694.5875277898</v>
      </c>
      <c r="I12" s="8" t="n">
        <v>429036.335499133</v>
      </c>
      <c r="J12" s="8" t="n">
        <v>497928.3994915166</v>
      </c>
      <c r="K12" s="8" t="n">
        <v>577267.5313317563</v>
      </c>
      <c r="L12" s="8" t="n">
        <v>667983.1061675062</v>
      </c>
      <c r="M12" s="8" t="n">
        <v>771052.3374871972</v>
      </c>
      <c r="N12" s="8" t="n">
        <v>888143.1596145059</v>
      </c>
      <c r="O12" s="8" t="n">
        <v>1021132.771714704</v>
      </c>
      <c r="P12" s="8" t="n">
        <v>1172136.936188749</v>
      </c>
      <c r="Q12" s="8" t="n">
        <v>1343542.549124928</v>
      </c>
      <c r="R12" s="8" t="n">
        <v>1538044.038680831</v>
      </c>
      <c r="S12" s="8" t="n">
        <v>1758684.186327111</v>
      </c>
      <c r="T12" s="8" t="n">
        <v>2008900.018241595</v>
      </c>
      <c r="U12" s="8" t="n">
        <v>2292574.479460611</v>
      </c>
      <c r="V12" s="8" t="n">
        <v>2614094.681808165</v>
      </c>
    </row>
    <row r="13">
      <c r="A13" s="11" t="inlineStr">
        <is>
          <t>Assets less liabilities less equity</t>
        </is>
      </c>
      <c r="C13" s="9" t="n">
        <v>-5.820766091346741e-11</v>
      </c>
      <c r="D13" s="9" t="n">
        <v>0</v>
      </c>
      <c r="E13" s="9" t="n">
        <v>0</v>
      </c>
      <c r="F13" s="9" t="n">
        <v>0</v>
      </c>
      <c r="G13" s="9" t="n">
        <v>-5.820766091346741e-11</v>
      </c>
      <c r="H13" s="9" t="n">
        <v>-5.820766091346741e-11</v>
      </c>
      <c r="I13" s="9" t="n">
        <v>-5.820766091346741e-11</v>
      </c>
      <c r="J13" s="9" t="n">
        <v>-2.328306436538696e-10</v>
      </c>
      <c r="K13" s="9" t="n">
        <v>-1.164153218269348e-10</v>
      </c>
      <c r="L13" s="9" t="n">
        <v>-1.164153218269348e-10</v>
      </c>
      <c r="M13" s="9" t="n">
        <v>-3.492459654808044e-10</v>
      </c>
      <c r="N13" s="9" t="n">
        <v>3.492459654808044e-10</v>
      </c>
      <c r="O13" s="9" t="n">
        <v>0</v>
      </c>
      <c r="P13" s="9" t="n">
        <v>0</v>
      </c>
      <c r="Q13" s="9" t="n">
        <v>-6.984919309616089e-10</v>
      </c>
      <c r="R13" s="9" t="n">
        <v>0</v>
      </c>
      <c r="S13" s="9" t="n">
        <v>0</v>
      </c>
      <c r="T13" s="9" t="n">
        <v>-4.656612873077393e-10</v>
      </c>
      <c r="U13" s="9" t="n">
        <v>4.656612873077393e-10</v>
      </c>
      <c r="V13" s="9" t="n">
        <v>4.656612873077393e-10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Operating cash flow</t>
        </is>
      </c>
      <c r="B2" s="8" t="n">
        <v>24355.80881125544</v>
      </c>
      <c r="C2" s="8" t="n">
        <v>29440.18041609003</v>
      </c>
      <c r="D2" s="8" t="n">
        <v>35467.1870120833</v>
      </c>
      <c r="E2" s="8" t="n">
        <v>42486.37947910043</v>
      </c>
      <c r="F2" s="8" t="n">
        <v>50543.00387040331</v>
      </c>
      <c r="G2" s="8" t="n">
        <v>59676.75281016456</v>
      </c>
      <c r="H2" s="8" t="n">
        <v>69922.17636389198</v>
      </c>
      <c r="I2" s="8" t="n">
        <v>81310.93636410446</v>
      </c>
      <c r="J2" s="8" t="n">
        <v>93875.98045163541</v>
      </c>
      <c r="K2" s="8" t="n">
        <v>107657.5661127697</v>
      </c>
      <c r="L2" s="8" t="n">
        <v>122710.8986199299</v>
      </c>
      <c r="M2" s="8" t="n">
        <v>139695.8621098253</v>
      </c>
      <c r="N2" s="8" t="n">
        <v>158879.21696909</v>
      </c>
      <c r="O2" s="8" t="n">
        <v>180558.7172652823</v>
      </c>
      <c r="P2" s="8" t="n">
        <v>205068.0442956473</v>
      </c>
      <c r="Q2" s="8" t="n">
        <v>232782.1509308253</v>
      </c>
      <c r="R2" s="8" t="n">
        <v>264123.1271015673</v>
      </c>
      <c r="S2" s="8" t="n">
        <v>299566.6967890363</v>
      </c>
      <c r="T2" s="8" t="n">
        <v>339649.4604637559</v>
      </c>
      <c r="U2" s="8" t="n">
        <v>384977.0036447825</v>
      </c>
    </row>
    <row r="3">
      <c r="A3" s="4" t="inlineStr">
        <is>
          <t>Capital spend</t>
        </is>
      </c>
      <c r="B3" s="8" t="n">
        <v>-2320.413312000001</v>
      </c>
      <c r="C3" s="8" t="n">
        <v>-2760.006177116161</v>
      </c>
      <c r="D3" s="8" t="n">
        <v>-3238.74221163375</v>
      </c>
      <c r="E3" s="8" t="n">
        <v>-3748.721251197387</v>
      </c>
      <c r="F3" s="8" t="n">
        <v>-4279.045357012842</v>
      </c>
      <c r="G3" s="8" t="n">
        <v>-4815.947732935925</v>
      </c>
      <c r="H3" s="8" t="n">
        <v>-5343.175637165725</v>
      </c>
      <c r="I3" s="8" t="n">
        <v>-5842.63873199966</v>
      </c>
      <c r="J3" s="8" t="n">
        <v>-6295.306753873037</v>
      </c>
      <c r="K3" s="8" t="n">
        <v>-6682.30965357735</v>
      </c>
      <c r="L3" s="8" t="n">
        <v>-6986.163277074304</v>
      </c>
      <c r="M3" s="8" t="n">
        <v>-7304.393968742251</v>
      </c>
      <c r="N3" s="8" t="n">
        <v>-7637.71196504048</v>
      </c>
      <c r="O3" s="8" t="n">
        <v>-7986.864129233592</v>
      </c>
      <c r="P3" s="8" t="n">
        <v>-8352.63591607839</v>
      </c>
      <c r="Q3" s="8" t="n">
        <v>-8735.853445474848</v>
      </c>
      <c r="R3" s="8" t="n">
        <v>-9137.385691286567</v>
      </c>
      <c r="S3" s="8" t="n">
        <v>-9558.14679189671</v>
      </c>
      <c r="T3" s="8" t="n">
        <v>-9999.098489447146</v>
      </c>
      <c r="U3" s="8" t="n">
        <v>-10461.25270511278</v>
      </c>
    </row>
    <row r="4">
      <c r="A4" s="4" t="inlineStr">
        <is>
          <t>Dividends</t>
        </is>
      </c>
      <c r="B4" s="8" t="n">
        <v>-3801.731578077044</v>
      </c>
      <c r="C4" s="8" t="n">
        <v>-4744.254395925717</v>
      </c>
      <c r="D4" s="8" t="n">
        <v>-5822.147668510639</v>
      </c>
      <c r="E4" s="8" t="n">
        <v>-7046.086778567001</v>
      </c>
      <c r="F4" s="8" t="n">
        <v>-8424.711687041565</v>
      </c>
      <c r="G4" s="8" t="n">
        <v>-9964.813385654521</v>
      </c>
      <c r="H4" s="8" t="n">
        <v>-11671.75705093855</v>
      </c>
      <c r="I4" s="8" t="n">
        <v>-13550.18113125213</v>
      </c>
      <c r="J4" s="8" t="n">
        <v>-15604.98473888651</v>
      </c>
      <c r="K4" s="8" t="n">
        <v>-17842.5844606131</v>
      </c>
      <c r="L4" s="8" t="n">
        <v>-20272.38948153941</v>
      </c>
      <c r="M4" s="8" t="n">
        <v>-23030.25568819749</v>
      </c>
      <c r="N4" s="8" t="n">
        <v>-26157.34277799932</v>
      </c>
      <c r="O4" s="8" t="n">
        <v>-29700.57306488751</v>
      </c>
      <c r="P4" s="8" t="n">
        <v>-33713.27505088675</v>
      </c>
      <c r="Q4" s="8" t="n">
        <v>-38255.93633066627</v>
      </c>
      <c r="R4" s="8" t="n">
        <v>-43397.07351145458</v>
      </c>
      <c r="S4" s="8" t="n">
        <v>-49214.22944626872</v>
      </c>
      <c r="T4" s="8" t="n">
        <v>-55795.11062773475</v>
      </c>
      <c r="U4" s="8" t="n">
        <v>-63238.88016546929</v>
      </c>
    </row>
    <row r="5">
      <c r="A5" s="4" t="inlineStr">
        <is>
          <t>Movement in customer advances</t>
        </is>
      </c>
      <c r="B5" s="8" t="n">
        <v>-772.3737519681163</v>
      </c>
      <c r="C5" s="8" t="n">
        <v>5442.285515661788</v>
      </c>
      <c r="D5" s="8" t="n">
        <v>10591.28860579486</v>
      </c>
      <c r="E5" s="8" t="n">
        <v>14822.53676944732</v>
      </c>
      <c r="F5" s="8" t="n">
        <v>18207.41379029289</v>
      </c>
      <c r="G5" s="8" t="n">
        <v>20762.75511172297</v>
      </c>
      <c r="H5" s="8" t="n">
        <v>22470.78338957136</v>
      </c>
      <c r="I5" s="8" t="n">
        <v>23297.55061336177</v>
      </c>
      <c r="J5" s="8" t="n">
        <v>23209.90681393276</v>
      </c>
      <c r="K5" s="8" t="n">
        <v>22190.59965264413</v>
      </c>
      <c r="L5" s="8" t="n">
        <v>20250.82619416714</v>
      </c>
      <c r="M5" s="8" t="n">
        <v>18940.31115849665</v>
      </c>
      <c r="N5" s="8" t="n">
        <v>18107.5125422586</v>
      </c>
      <c r="O5" s="8" t="n">
        <v>17639.00474701554</v>
      </c>
      <c r="P5" s="8" t="n">
        <v>17449.95871419617</v>
      </c>
      <c r="Q5" s="8" t="n">
        <v>17477.00239573891</v>
      </c>
      <c r="R5" s="8" t="n">
        <v>17672.86649129976</v>
      </c>
      <c r="S5" s="8" t="n">
        <v>18002.36915075011</v>
      </c>
      <c r="T5" s="8" t="n">
        <v>18439.40491662902</v>
      </c>
      <c r="U5" s="8" t="n">
        <v>18964.68686318066</v>
      </c>
    </row>
    <row r="6">
      <c r="A6" s="4" t="inlineStr">
        <is>
          <t>Movement in work in progress</t>
        </is>
      </c>
      <c r="B6" s="8" t="n">
        <v>854.9315000000061</v>
      </c>
      <c r="C6" s="8" t="n">
        <v>-6024.00237899999</v>
      </c>
      <c r="D6" s="8" t="n">
        <v>-11723.37386092199</v>
      </c>
      <c r="E6" s="8" t="n">
        <v>-16406.89311595364</v>
      </c>
      <c r="F6" s="8" t="n">
        <v>-20153.57402189227</v>
      </c>
      <c r="G6" s="8" t="n">
        <v>-22982.05153472256</v>
      </c>
      <c r="H6" s="8" t="n">
        <v>-24872.64811947504</v>
      </c>
      <c r="I6" s="8" t="n">
        <v>-25787.78711919489</v>
      </c>
      <c r="J6" s="8" t="n">
        <v>-25690.77521955359</v>
      </c>
      <c r="K6" s="8" t="n">
        <v>-24562.51600807643</v>
      </c>
      <c r="L6" s="8" t="n">
        <v>-22415.40338508753</v>
      </c>
      <c r="M6" s="8" t="n">
        <v>-20964.80957300703</v>
      </c>
      <c r="N6" s="8" t="n">
        <v>-20042.99449531434</v>
      </c>
      <c r="O6" s="8" t="n">
        <v>-19524.40867966718</v>
      </c>
      <c r="P6" s="8" t="n">
        <v>-19315.15583025906</v>
      </c>
      <c r="Q6" s="8" t="n">
        <v>-19345.09016602334</v>
      </c>
      <c r="R6" s="8" t="n">
        <v>-19561.88984957969</v>
      </c>
      <c r="S6" s="8" t="n">
        <v>-19926.61250124944</v>
      </c>
      <c r="T6" s="8" t="n">
        <v>-20410.36229456434</v>
      </c>
      <c r="U6" s="8" t="n">
        <v>-20991.79075629561</v>
      </c>
    </row>
    <row r="7">
      <c r="A7" s="4" t="inlineStr">
        <is>
          <t>Free cash flow to the firm</t>
        </is>
      </c>
      <c r="B7" s="8" t="n">
        <v>13549.94762425544</v>
      </c>
      <c r="C7" s="8" t="n">
        <v>15368.50845619121</v>
      </c>
      <c r="D7" s="8" t="n">
        <v>17516.71144199443</v>
      </c>
      <c r="E7" s="8" t="n">
        <v>19932.9488139974</v>
      </c>
      <c r="F7" s="8" t="n">
        <v>22547.05552483774</v>
      </c>
      <c r="G7" s="8" t="n">
        <v>25278.81883059182</v>
      </c>
      <c r="H7" s="8" t="n">
        <v>28038.13576789546</v>
      </c>
      <c r="I7" s="8" t="n">
        <v>30726.80990352692</v>
      </c>
      <c r="J7" s="8" t="n">
        <v>33241.87791155231</v>
      </c>
      <c r="K7" s="8" t="n">
        <v>35480.22888435654</v>
      </c>
      <c r="L7" s="8" t="n">
        <v>37344.14360824008</v>
      </c>
      <c r="M7" s="8" t="n">
        <v>39215.76279796343</v>
      </c>
      <c r="N7" s="8" t="n">
        <v>41114.81173073265</v>
      </c>
      <c r="O7" s="8" t="n">
        <v>43057.11471769403</v>
      </c>
      <c r="P7" s="8" t="n">
        <v>45055.62155018427</v>
      </c>
      <c r="Q7" s="8" t="n">
        <v>47121.17999002004</v>
      </c>
      <c r="R7" s="8" t="n">
        <v>49263.1179359743</v>
      </c>
      <c r="S7" s="8" t="n">
        <v>51489.68299851498</v>
      </c>
      <c r="T7" s="8" t="n">
        <v>53808.37529029918</v>
      </c>
      <c r="U7" s="8" t="n">
        <v>56226.20029694128</v>
      </c>
    </row>
    <row r="8">
      <c r="A8" s="4" t="inlineStr">
        <is>
          <t>Closing cash and deposits</t>
        </is>
      </c>
      <c r="B8" s="8" t="n">
        <v>94007.06392117839</v>
      </c>
      <c r="C8" s="8" t="n">
        <v>115942.9837642265</v>
      </c>
      <c r="D8" s="8" t="n">
        <v>142349.2808961654</v>
      </c>
      <c r="E8" s="8" t="n">
        <v>174040.8523455015</v>
      </c>
      <c r="F8" s="8" t="n">
        <v>211880.0991718504</v>
      </c>
      <c r="G8" s="8" t="n">
        <v>256776.0908634245</v>
      </c>
      <c r="H8" s="8" t="n">
        <v>309683.3345392122</v>
      </c>
      <c r="I8" s="8" t="n">
        <v>371601.4510400648</v>
      </c>
      <c r="J8" s="8" t="n">
        <v>443577.1399989407</v>
      </c>
      <c r="K8" s="8" t="n">
        <v>526709.8119975199</v>
      </c>
      <c r="L8" s="8" t="n">
        <v>622162.1578588361</v>
      </c>
      <c r="M8" s="8" t="n">
        <v>731523.3703117218</v>
      </c>
      <c r="N8" s="8" t="n">
        <v>856607.5325377719</v>
      </c>
      <c r="O8" s="8" t="n">
        <v>999478.812608933</v>
      </c>
      <c r="P8" s="8" t="n">
        <v>1162480.945937615</v>
      </c>
      <c r="Q8" s="8" t="n">
        <v>1348271.307092299</v>
      </c>
      <c r="R8" s="8" t="n">
        <v>1559859.974991126</v>
      </c>
      <c r="S8" s="8" t="n">
        <v>1800654.295541997</v>
      </c>
      <c r="T8" s="8" t="n">
        <v>2074509.546888571</v>
      </c>
      <c r="U8" s="8" t="n">
        <v>2385786.417662771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Revenue</t>
        </is>
      </c>
      <c r="B2" s="8" t="n">
        <v>80546.09696</v>
      </c>
      <c r="C2" s="8" t="n">
        <v>95682.499193344</v>
      </c>
      <c r="D2" s="8" t="n">
        <v>112133.5339768776</v>
      </c>
      <c r="E2" s="8" t="n">
        <v>129620.0867262457</v>
      </c>
      <c r="F2" s="8" t="n">
        <v>147760.8689123304</v>
      </c>
      <c r="G2" s="8" t="n">
        <v>166077.5965088486</v>
      </c>
      <c r="H2" s="8" t="n">
        <v>184008.9000458804</v>
      </c>
      <c r="I2" s="8" t="n">
        <v>200933.2742190017</v>
      </c>
      <c r="J2" s="8" t="n">
        <v>216200.4207920049</v>
      </c>
      <c r="K2" s="8" t="n">
        <v>229169.2873935428</v>
      </c>
      <c r="L2" s="8" t="n">
        <v>239250.0898231309</v>
      </c>
      <c r="M2" s="8" t="n">
        <v>249789.6974306805</v>
      </c>
      <c r="N2" s="8" t="n">
        <v>260809.8412666213</v>
      </c>
      <c r="O2" s="8" t="n">
        <v>272333.3270570734</v>
      </c>
      <c r="P2" s="8" t="n">
        <v>284384.0906812427</v>
      </c>
      <c r="Q2" s="8" t="n">
        <v>296987.2566273254</v>
      </c>
      <c r="R2" s="8" t="n">
        <v>310169.1995922365</v>
      </c>
      <c r="S2" s="8" t="n">
        <v>323957.6093998931</v>
      </c>
      <c r="T2" s="8" t="n">
        <v>338381.5594227531</v>
      </c>
      <c r="U2" s="8" t="n">
        <v>353471.5787018567</v>
      </c>
    </row>
    <row r="3">
      <c r="A3" s="4" t="inlineStr">
        <is>
          <t>Gross margin</t>
        </is>
      </c>
      <c r="B3" s="10" t="n">
        <v>0.3163076798254644</v>
      </c>
      <c r="C3" s="10" t="n">
        <v>0.3163169182970363</v>
      </c>
      <c r="D3" s="10" t="n">
        <v>0.3163262789002158</v>
      </c>
      <c r="E3" s="10" t="n">
        <v>0.3163357622011241</v>
      </c>
      <c r="F3" s="10" t="n">
        <v>0.3163453687320789</v>
      </c>
      <c r="G3" s="10" t="n">
        <v>0.3163550989903721</v>
      </c>
      <c r="H3" s="10" t="n">
        <v>0.3163649534370487</v>
      </c>
      <c r="I3" s="10" t="n">
        <v>0.3163749324956791</v>
      </c>
      <c r="J3" s="10" t="n">
        <v>0.3163850365511335</v>
      </c>
      <c r="K3" s="10" t="n">
        <v>0.3163952659483569</v>
      </c>
      <c r="L3" s="10" t="n">
        <v>0.3164056209911482</v>
      </c>
      <c r="M3" s="10" t="n">
        <v>0.3164161019409424</v>
      </c>
      <c r="N3" s="10" t="n">
        <v>0.316426709015601</v>
      </c>
      <c r="O3" s="10" t="n">
        <v>0.3164374423882104</v>
      </c>
      <c r="P3" s="10" t="n">
        <v>0.3164483021858915</v>
      </c>
      <c r="Q3" s="10" t="n">
        <v>0.3164592884886203</v>
      </c>
      <c r="R3" s="10" t="n">
        <v>0.3164704013280668</v>
      </c>
      <c r="S3" s="10" t="n">
        <v>0.3164816406864467</v>
      </c>
      <c r="T3" s="10" t="n">
        <v>0.3164930064953954</v>
      </c>
      <c r="U3" s="10" t="n">
        <v>0.3165044986348611</v>
      </c>
    </row>
    <row r="4">
      <c r="A4" s="4" t="inlineStr">
        <is>
          <t>Operating margin</t>
        </is>
      </c>
      <c r="B4" s="10" t="n">
        <v>0.2346099989937993</v>
      </c>
      <c r="C4" s="10" t="n">
        <v>0.2367157990725232</v>
      </c>
      <c r="D4" s="10" t="n">
        <v>0.2383273435270836</v>
      </c>
      <c r="E4" s="10" t="n">
        <v>0.2395607693625308</v>
      </c>
      <c r="F4" s="10" t="n">
        <v>0.2405008193003875</v>
      </c>
      <c r="G4" s="10" t="n">
        <v>0.2412094604028764</v>
      </c>
      <c r="H4" s="10" t="n">
        <v>0.2417319264298251</v>
      </c>
      <c r="I4" s="10" t="n">
        <v>0.2421009599497582</v>
      </c>
      <c r="J4" s="10" t="n">
        <v>0.2423397795504088</v>
      </c>
      <c r="K4" s="10" t="n">
        <v>0.2424641272203436</v>
      </c>
      <c r="L4" s="10" t="n">
        <v>0.2424836333252141</v>
      </c>
      <c r="M4" s="10" t="n">
        <v>0.2425026923887784</v>
      </c>
      <c r="N4" s="10" t="n">
        <v>0.2425213333619918</v>
      </c>
      <c r="O4" s="10" t="n">
        <v>0.2425395836868875</v>
      </c>
      <c r="P4" s="10" t="n">
        <v>0.2425574693700679</v>
      </c>
      <c r="Q4" s="10" t="n">
        <v>0.2425750150524477</v>
      </c>
      <c r="R4" s="10" t="n">
        <v>0.2425922440754454</v>
      </c>
      <c r="S4" s="10" t="n">
        <v>0.2426091785437974</v>
      </c>
      <c r="T4" s="10" t="n">
        <v>0.2426258393851708</v>
      </c>
      <c r="U4" s="10" t="n">
        <v>0.2426422464067382</v>
      </c>
    </row>
    <row r="5">
      <c r="A5" s="4" t="inlineStr">
        <is>
          <t>Net profit</t>
        </is>
      </c>
      <c r="B5" s="8" t="n">
        <v>23130.56066322355</v>
      </c>
      <c r="C5" s="8" t="n">
        <v>28865.07420448423</v>
      </c>
      <c r="D5" s="8" t="n">
        <v>35423.21099504035</v>
      </c>
      <c r="E5" s="8" t="n">
        <v>42869.92238216312</v>
      </c>
      <c r="F5" s="8" t="n">
        <v>51257.77576486601</v>
      </c>
      <c r="G5" s="8" t="n">
        <v>60628.08901178896</v>
      </c>
      <c r="H5" s="8" t="n">
        <v>71013.50502228174</v>
      </c>
      <c r="I5" s="8" t="n">
        <v>82442.24512363585</v>
      </c>
      <c r="J5" s="8" t="n">
        <v>94944.11657912612</v>
      </c>
      <c r="K5" s="8" t="n">
        <v>108558.159296363</v>
      </c>
      <c r="L5" s="8" t="n">
        <v>123341.6208012305</v>
      </c>
      <c r="M5" s="8" t="n">
        <v>140121.0778155063</v>
      </c>
      <c r="N5" s="8" t="n">
        <v>159146.9548781974</v>
      </c>
      <c r="O5" s="8" t="n">
        <v>180704.7375389325</v>
      </c>
      <c r="P5" s="8" t="n">
        <v>205118.887987066</v>
      </c>
      <c r="Q5" s="8" t="n">
        <v>232757.4258865683</v>
      </c>
      <c r="R5" s="8" t="n">
        <v>264037.2211577346</v>
      </c>
      <c r="S5" s="8" t="n">
        <v>299430.0613607529</v>
      </c>
      <c r="T5" s="8" t="n">
        <v>339469.5718467511</v>
      </c>
      <c r="U5" s="8" t="n">
        <v>384759.0825130233</v>
      </c>
    </row>
    <row r="6">
      <c r="A6" s="4" t="inlineStr">
        <is>
          <t>Attributable profit</t>
        </is>
      </c>
      <c r="B6" s="8" t="n">
        <v>12672.43859359015</v>
      </c>
      <c r="C6" s="8" t="n">
        <v>15814.18131975239</v>
      </c>
      <c r="D6" s="8" t="n">
        <v>19407.15889503546</v>
      </c>
      <c r="E6" s="8" t="n">
        <v>23486.95592855667</v>
      </c>
      <c r="F6" s="8" t="n">
        <v>28082.37229013855</v>
      </c>
      <c r="G6" s="8" t="n">
        <v>33216.04461884841</v>
      </c>
      <c r="H6" s="8" t="n">
        <v>38905.85683646183</v>
      </c>
      <c r="I6" s="8" t="n">
        <v>45167.27043750712</v>
      </c>
      <c r="J6" s="8" t="n">
        <v>52016.61579628835</v>
      </c>
      <c r="K6" s="8" t="n">
        <v>59475.281535377</v>
      </c>
      <c r="L6" s="8" t="n">
        <v>67574.63160513135</v>
      </c>
      <c r="M6" s="8" t="n">
        <v>76767.51896065829</v>
      </c>
      <c r="N6" s="8" t="n">
        <v>87191.14259333107</v>
      </c>
      <c r="O6" s="8" t="n">
        <v>99001.91021629171</v>
      </c>
      <c r="P6" s="8" t="n">
        <v>112377.5835029558</v>
      </c>
      <c r="Q6" s="8" t="n">
        <v>127519.7877688876</v>
      </c>
      <c r="R6" s="8" t="n">
        <v>144656.9117048486</v>
      </c>
      <c r="S6" s="8" t="n">
        <v>164047.4314875624</v>
      </c>
      <c r="T6" s="8" t="n">
        <v>185983.7020924492</v>
      </c>
      <c r="U6" s="8" t="n">
        <v>210796.267218231</v>
      </c>
    </row>
    <row r="7">
      <c r="A7" s="4" t="inlineStr">
        <is>
          <t>Earnings per share, EGP</t>
        </is>
      </c>
      <c r="B7" s="9" t="n">
        <v>6.149717431229907</v>
      </c>
      <c r="C7" s="9" t="n">
        <v>7.674351373215817</v>
      </c>
      <c r="D7" s="9" t="n">
        <v>9.417961859986118</v>
      </c>
      <c r="E7" s="9" t="n">
        <v>11.39781749295135</v>
      </c>
      <c r="F7" s="9" t="n">
        <v>13.62789435573241</v>
      </c>
      <c r="G7" s="9" t="n">
        <v>16.11917762161136</v>
      </c>
      <c r="H7" s="9" t="n">
        <v>18.88034605155986</v>
      </c>
      <c r="I7" s="9" t="n">
        <v>21.91890284409109</v>
      </c>
      <c r="J7" s="9" t="n">
        <v>25.24277285019364</v>
      </c>
      <c r="K7" s="9" t="n">
        <v>28.86233560211667</v>
      </c>
      <c r="L7" s="9" t="n">
        <v>32.79281148785466</v>
      </c>
      <c r="M7" s="9" t="n">
        <v>37.25396229131661</v>
      </c>
      <c r="N7" s="9" t="n">
        <v>42.31236833345371</v>
      </c>
      <c r="O7" s="9" t="n">
        <v>48.04393159893802</v>
      </c>
      <c r="P7" s="9" t="n">
        <v>54.53491678367119</v>
      </c>
      <c r="Q7" s="9" t="n">
        <v>61.88316920041958</v>
      </c>
      <c r="R7" s="9" t="n">
        <v>70.19952196960431</v>
      </c>
      <c r="S7" s="9" t="n">
        <v>79.6094091533291</v>
      </c>
      <c r="T7" s="9" t="n">
        <v>90.2547056145235</v>
      </c>
      <c r="U7" s="9" t="n">
        <v>102.2958185495453</v>
      </c>
    </row>
    <row r="8">
      <c r="A8" s="4" t="inlineStr">
        <is>
          <t>New contracted sales</t>
        </is>
      </c>
      <c r="B8" s="8" t="n">
        <v>49732.59775999999</v>
      </c>
      <c r="C8" s="8" t="n">
        <v>73874.83348117329</v>
      </c>
      <c r="D8" s="8" t="n">
        <v>97468.28262085484</v>
      </c>
      <c r="E8" s="8" t="n">
        <v>120250.5793517932</v>
      </c>
      <c r="F8" s="8" t="n">
        <v>141814.3384822201</v>
      </c>
      <c r="G8" s="8" t="n">
        <v>161632.8063075884</v>
      </c>
      <c r="H8" s="8" t="n">
        <v>179095.8546815405</v>
      </c>
      <c r="I8" s="8" t="n">
        <v>193555.591127702</v>
      </c>
      <c r="J8" s="8" t="n">
        <v>204379.4388369729</v>
      </c>
      <c r="K8" s="8" t="n">
        <v>211007.1581204748</v>
      </c>
      <c r="L8" s="8" t="n">
        <v>213007.1415718323</v>
      </c>
      <c r="M8" s="8" t="n">
        <v>216160.5081734876</v>
      </c>
      <c r="N8" s="8" t="n">
        <v>220334.4959494121</v>
      </c>
      <c r="O8" s="8" t="n">
        <v>225420.8486615428</v>
      </c>
      <c r="P8" s="8" t="n">
        <v>231331.8266697997</v>
      </c>
      <c r="Q8" s="8" t="n">
        <v>237996.8864547543</v>
      </c>
      <c r="R8" s="8" t="n">
        <v>245359.9175114135</v>
      </c>
      <c r="S8" s="8" t="n">
        <v>253376.9438772607</v>
      </c>
      <c r="T8" s="8" t="n">
        <v>262014.2130201767</v>
      </c>
      <c r="U8" s="8" t="n">
        <v>271246.6076975051</v>
      </c>
    </row>
    <row r="9">
      <c r="A9" s="4" t="inlineStr">
        <is>
          <t>Order book, closing</t>
        </is>
      </c>
      <c r="B9" s="8" t="n">
        <v>491395.3736</v>
      </c>
      <c r="C9" s="8" t="n">
        <v>506854.9336757333</v>
      </c>
      <c r="D9" s="8" t="n">
        <v>536094.1769590343</v>
      </c>
      <c r="E9" s="8" t="n">
        <v>577744.9029939654</v>
      </c>
      <c r="F9" s="8" t="n">
        <v>630269.8081082301</v>
      </c>
      <c r="G9" s="8" t="n">
        <v>691898.4490437085</v>
      </c>
      <c r="H9" s="8" t="n">
        <v>760589.7051544396</v>
      </c>
      <c r="I9" s="8" t="n">
        <v>834025.0930371007</v>
      </c>
      <c r="J9" s="8" t="n">
        <v>909635.6739953901</v>
      </c>
      <c r="K9" s="8" t="n">
        <v>984662.9181959749</v>
      </c>
      <c r="L9" s="8" t="n">
        <v>1056250.949291122</v>
      </c>
      <c r="M9" s="8" t="n">
        <v>1125335.582568856</v>
      </c>
      <c r="N9" s="8" t="n">
        <v>1192711.168626686</v>
      </c>
      <c r="O9" s="8" t="n">
        <v>1259054.751000982</v>
      </c>
      <c r="P9" s="8" t="n">
        <v>1324946.220732045</v>
      </c>
      <c r="Q9" s="8" t="n">
        <v>1390885.135970514</v>
      </c>
      <c r="R9" s="8" t="n">
        <v>1457304.76341699</v>
      </c>
      <c r="S9" s="8" t="n">
        <v>1524583.805626716</v>
      </c>
      <c r="T9" s="8" t="n">
        <v>1593056.200912657</v>
      </c>
      <c r="U9" s="8" t="n">
        <v>1663019.318166556</v>
      </c>
    </row>
    <row r="10">
      <c r="A10" s="4" t="inlineStr">
        <is>
          <t>Order book, years of deliveries</t>
        </is>
      </c>
      <c r="B10" s="9" t="n">
        <v>9.959931511477237</v>
      </c>
      <c r="C10" s="9" t="n">
        <v>8.676753597605037</v>
      </c>
      <c r="D10" s="9" t="n">
        <v>7.857272829341495</v>
      </c>
      <c r="E10" s="9" t="n">
        <v>7.350457775854668</v>
      </c>
      <c r="F10" s="9" t="n">
        <v>7.058727828531886</v>
      </c>
      <c r="G10" s="9" t="n">
        <v>6.918696300990987</v>
      </c>
      <c r="H10" s="9" t="n">
        <v>6.889112546037882</v>
      </c>
      <c r="I10" s="9" t="n">
        <v>6.943254094698132</v>
      </c>
      <c r="J10" s="9" t="n">
        <v>7.064096777594941</v>
      </c>
      <c r="K10" s="9" t="n">
        <v>7.241237987369744</v>
      </c>
      <c r="L10" s="9" t="n">
        <v>7.468940695007808</v>
      </c>
      <c r="M10" s="9" t="n">
        <v>7.651394787666513</v>
      </c>
      <c r="N10" s="9" t="n">
        <v>7.797591977296887</v>
      </c>
      <c r="O10" s="9" t="n">
        <v>7.914737161295583</v>
      </c>
      <c r="P10" s="9" t="n">
        <v>8.00860349462787</v>
      </c>
      <c r="Q10" s="9" t="n">
        <v>8.083816902746689</v>
      </c>
      <c r="R10" s="9" t="n">
        <v>8.144084056688051</v>
      </c>
      <c r="S10" s="9" t="n">
        <v>8.192375045423118</v>
      </c>
      <c r="T10" s="9" t="n">
        <v>8.231069747935191</v>
      </c>
      <c r="U10" s="9" t="n">
        <v>8.262075118537812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t>
        </is>
      </c>
      <c r="D1" s="3" t="inlineStr">
        <is>
          <t>Against last close</t>
        </is>
      </c>
    </row>
    <row r="2">
      <c r="A2" s="20" t="n">
        <v>0.22</v>
      </c>
      <c r="B2" s="9" t="n">
        <v>70.16479609998046</v>
      </c>
      <c r="C2" s="9" t="n">
        <v>97.0097244573295</v>
      </c>
      <c r="D2" s="10">
        <f>B2/'Summary'!$B$2-1</f>
        <v/>
      </c>
    </row>
    <row r="3">
      <c r="A3" s="20" t="n">
        <v>0.25</v>
      </c>
      <c r="B3" s="9" t="n">
        <v>63.76257054983443</v>
      </c>
      <c r="C3" s="9" t="n">
        <v>87.29699363888786</v>
      </c>
      <c r="D3" s="10">
        <f>B3/'Summary'!$B$2-1</f>
        <v/>
      </c>
    </row>
    <row r="4">
      <c r="A4" s="20" t="n">
        <v>0.2849</v>
      </c>
      <c r="B4" s="9" t="n">
        <v>57.32583665473236</v>
      </c>
      <c r="C4" s="9" t="n">
        <v>77.58016581124872</v>
      </c>
      <c r="D4" s="10">
        <f>B4/'Summary'!$B$2-1</f>
        <v/>
      </c>
    </row>
    <row r="5">
      <c r="A5" s="20" t="n">
        <v>0.3157</v>
      </c>
      <c r="B5" s="9" t="n">
        <v>52.41009407163257</v>
      </c>
      <c r="C5" s="9" t="n">
        <v>70.19772724656579</v>
      </c>
      <c r="D5" s="10">
        <f>B5/'Summary'!$B$2-1</f>
        <v/>
      </c>
    </row>
    <row r="6">
      <c r="A6" s="20" t="n">
        <v>0.3237</v>
      </c>
      <c r="B6" s="9" t="n">
        <v>51.23655514421238</v>
      </c>
      <c r="C6" s="9" t="n">
        <v>68.44086712244061</v>
      </c>
      <c r="D6" s="10">
        <f>B6/'Summary'!$B$2-1</f>
        <v/>
      </c>
    </row>
    <row r="7">
      <c r="A7" s="20" t="n">
        <v>0.3579</v>
      </c>
      <c r="B7" s="9" t="n">
        <v>46.64455562171646</v>
      </c>
      <c r="C7" s="9" t="n">
        <v>61.58950989620313</v>
      </c>
      <c r="D7" s="10">
        <f>B7/'Summary'!$B$2-1</f>
        <v/>
      </c>
    </row>
    <row r="8">
      <c r="A8" s="20" t="n">
        <v>0.4</v>
      </c>
      <c r="B8" s="9" t="n">
        <v>41.81648289180088</v>
      </c>
      <c r="C8" s="9" t="n">
        <v>54.43119936604813</v>
      </c>
      <c r="D8" s="10">
        <f>B8/'Summary'!$B$2-1</f>
        <v/>
      </c>
    </row>
    <row r="10">
      <c r="A10" s="3" t="inlineStr">
        <is>
          <t>Years to convert the order book</t>
        </is>
      </c>
      <c r="B10" s="3" t="inlineStr">
        <is>
          <t>EGP per share</t>
        </is>
      </c>
    </row>
    <row r="11">
      <c r="A11" s="4" t="n">
        <v>8</v>
      </c>
      <c r="B11" s="9" t="n">
        <v>46.64029756780567</v>
      </c>
    </row>
    <row r="12">
      <c r="A12" s="4" t="n">
        <v>10</v>
      </c>
      <c r="B12" s="9" t="n">
        <v>46.64029756780567</v>
      </c>
    </row>
    <row r="13">
      <c r="A13" s="4" t="n">
        <v>12</v>
      </c>
      <c r="B13" s="9" t="n">
        <v>46.64029756780567</v>
      </c>
    </row>
    <row r="14">
      <c r="A14" s="4" t="n">
        <v>14</v>
      </c>
      <c r="B14" s="9" t="n">
        <v>46.64029756780567</v>
      </c>
    </row>
    <row r="15">
      <c r="A15" s="4" t="n">
        <v>16</v>
      </c>
      <c r="B15" s="9" t="n">
        <v>46.64029756780567</v>
      </c>
    </row>
    <row r="16">
      <c r="A16" s="4" t="n">
        <v>20</v>
      </c>
      <c r="B16" s="9" t="n">
        <v>46.64029756780567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2026-09-01T12:38:37Z</dcterms:created>
  <dcterms:modified xmlns:dcterms="http://purl.org/dc/terms/" xmlns:xsi="http://www.w3.org/2001/XMLSchema-instance" xsi:type="dcterms:W3CDTF">2026-09-01T12:38:37Z</dcterms:modified>
</cp:coreProperties>
</file>