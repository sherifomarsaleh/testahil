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2">
    <numFmt numFmtId="164" formatCode="0.0%"/>
    <numFmt numFmtId="165" formatCode="0.000000"/>
  </numFmts>
  <fonts count="6">
    <font>
      <name val="Calibri"/>
      <family val="2"/>
      <color theme="1"/>
      <sz val="11"/>
      <scheme val="minor"/>
    </font>
    <font>
      <name val="Calibri"/>
      <b val="1"/>
      <color rgb="001A1D21"/>
      <sz val="10"/>
    </font>
    <font>
      <name val="Calibri"/>
      <color rgb="001A1D21"/>
      <sz val="10"/>
    </font>
    <font>
      <name val="Calibri"/>
      <b val="1"/>
      <color rgb="00FFFFFF"/>
      <sz val="10"/>
    </font>
    <font>
      <name val="Calibri"/>
      <color rgb="001F4E9C"/>
      <sz val="10"/>
    </font>
    <font>
      <name val="Calibri"/>
      <i val="1"/>
      <color rgb="005B6570"/>
      <sz val="9"/>
    </font>
  </fonts>
  <fills count="3">
    <fill>
      <patternFill/>
    </fill>
    <fill>
      <patternFill patternType="gray125"/>
    </fill>
    <fill>
      <patternFill patternType="solid">
        <fgColor rgb="002E5E4E"/>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2" fillId="0" borderId="0" pivotButton="0" quotePrefix="0" xfId="0"/>
    <xf numFmtId="4" fontId="4" fillId="0" borderId="0" pivotButton="0" quotePrefix="0" xfId="0"/>
    <xf numFmtId="0" fontId="5" fillId="0" borderId="0" pivotButton="0" quotePrefix="0" xfId="0"/>
    <xf numFmtId="3" fontId="2" fillId="0" borderId="0" pivotButton="0" quotePrefix="0" xfId="0"/>
    <xf numFmtId="3" fontId="0" fillId="0" borderId="0" pivotButton="0" quotePrefix="0" xfId="0"/>
    <xf numFmtId="4" fontId="0" fillId="0" borderId="0" pivotButton="0" quotePrefix="0" xfId="0"/>
    <xf numFmtId="164" fontId="0" fillId="0" borderId="0" pivotButton="0" quotePrefix="0" xfId="0"/>
    <xf numFmtId="0" fontId="1" fillId="0" borderId="0" pivotButton="0" quotePrefix="0" xfId="0"/>
    <xf numFmtId="4" fontId="1" fillId="0" borderId="0" pivotButton="0" quotePrefix="0" xfId="0"/>
    <xf numFmtId="10" fontId="2" fillId="0" borderId="0" pivotButton="0" quotePrefix="0" xfId="0"/>
    <xf numFmtId="164" fontId="4" fillId="0" borderId="0" pivotButton="0" quotePrefix="0" xfId="0"/>
    <xf numFmtId="10" fontId="4" fillId="0" borderId="0" pivotButton="0" quotePrefix="0" xfId="0"/>
    <xf numFmtId="3" fontId="4" fillId="0" borderId="0" pivotButton="0" quotePrefix="0" xfId="0"/>
    <xf numFmtId="3" fontId="1" fillId="0" borderId="0" pivotButton="0" quotePrefix="0" xfId="0"/>
    <xf numFmtId="4" fontId="2" fillId="0" borderId="0" pivotButton="0" quotePrefix="0" xfId="0"/>
    <xf numFmtId="165" fontId="0" fillId="0" borderId="0" pivotButton="0" quotePrefix="0" xfId="0"/>
    <xf numFmtId="10" fontId="0"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110" customWidth="1" min="1" max="1"/>
  </cols>
  <sheetData>
    <row r="1">
      <c r="A1" s="1" t="inlineStr">
        <is>
          <t>TALAAT MOUSTAFA GROUP HOLDING — valuation workbook</t>
        </is>
      </c>
    </row>
    <row r="2">
      <c r="A2" s="1" t="inlineStr">
        <is>
          <t>Egyptian Exchange · TMGH · Egyptian pounds · 2026-09-10</t>
        </is>
      </c>
    </row>
    <row r="3">
      <c r="A3" s="2" t="inlineStr"/>
    </row>
    <row r="4">
      <c r="A4" s="2" t="inlineStr">
        <is>
          <t>BLUE cells are inputs. BLACK cells are formulas. Change a blue cell and the value per share on the Summary sheet recomputes.</t>
        </is>
      </c>
    </row>
    <row r="5">
      <c r="A5" s="2" t="inlineStr"/>
    </row>
    <row r="6">
      <c r="A6" s="2" t="inlineStr">
        <is>
          <t>This workbook contains no recommendation, no target price and no rating.</t>
        </is>
      </c>
    </row>
    <row r="7">
      <c r="A7" s="2" t="inlineStr"/>
    </row>
    <row r="8">
      <c r="A8" s="2" t="inlineStr">
        <is>
          <t>The four cases on the Summary sheet are alternatives, not a distribution. They are two ways of measuring Egypt's equity risk premium crossed with two readings of how fast the order book converts. They are never averaged.</t>
        </is>
      </c>
    </row>
    <row r="9">
      <c r="A9" s="2" t="inlineStr"/>
    </row>
    <row r="10">
      <c r="A10" s="2" t="inlineStr">
        <is>
          <t>Sheet order: READ FIRST · Summary · Fundamental Valuation · Assumptions · SOTP Bridge · Segments · Relative &amp; Normalized · DCF · Income Statement · Balance Sheet · Cash Flow · Summary Financials · Monte Carlo · Sensitivity · Per-Share &amp; 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46" customWidth="1" min="1" max="1"/>
    <col width="18" customWidth="1" min="2" max="2"/>
    <col width="60" customWidth="1" min="3" max="3"/>
  </cols>
  <sheetData>
    <row r="1">
      <c r="A1" s="3" t="inlineStr">
        <is>
          <t>Summary</t>
        </is>
      </c>
      <c r="B1" s="3" t="inlineStr">
        <is>
          <t>Value</t>
        </is>
      </c>
      <c r="C1" s="3" t="inlineStr">
        <is>
          <t>Note</t>
        </is>
      </c>
    </row>
    <row r="2">
      <c r="A2" s="4" t="inlineStr">
        <is>
          <t>Last close, EGP</t>
        </is>
      </c>
      <c r="B2" s="5" t="n">
        <v>96.59999999999999</v>
      </c>
      <c r="C2" s="6" t="inlineStr">
        <is>
          <t>Egyptian Exchange close for 2 September 2026, the latest price this repository holds for this name, read from the committed supplied price file through gap_today.latest_price_per_ticker(). SUPERSEDES the 23 August 2026 close of 97.80 the study was struck at: a fair value put against a price ten days old is a comparison a reader cannot use, however good the fair value is.</t>
        </is>
      </c>
    </row>
    <row r="3">
      <c r="A3" s="4" t="inlineStr">
        <is>
          <t>Shares in issue, million</t>
        </is>
      </c>
      <c r="B3" s="5" t="n">
        <v>2060.6538</v>
      </c>
    </row>
    <row r="4">
      <c r="A4" s="4" t="inlineStr">
        <is>
          <t>Market capitalisation, EGP mn</t>
        </is>
      </c>
      <c r="B4" s="7">
        <f>B2*B3</f>
        <v/>
      </c>
    </row>
    <row r="6">
      <c r="A6" s="3" t="inlineStr">
        <is>
          <t>Case</t>
        </is>
      </c>
      <c r="B6" s="3" t="inlineStr">
        <is>
          <t>Enterprise value</t>
        </is>
      </c>
      <c r="C6" s="3" t="inlineStr">
        <is>
          <t>Equity value (adopted basis)</t>
        </is>
      </c>
      <c r="D6" s="3" t="inlineStr">
        <is>
          <t>Per share, minority at value share (adopted)</t>
        </is>
      </c>
      <c r="E6" s="3" t="inlineStr">
        <is>
          <t>Per share, minority at book</t>
        </is>
      </c>
      <c r="F6" s="3" t="inlineStr">
        <is>
          <t>Against last close</t>
        </is>
      </c>
    </row>
    <row r="7">
      <c r="A7" s="4" t="inlineStr">
        <is>
          <t>Rating premium, slower conversion</t>
        </is>
      </c>
      <c r="B7" s="8" t="n">
        <v>294735.9295708061</v>
      </c>
      <c r="C7" s="8" t="n">
        <v>301894.2350051377</v>
      </c>
      <c r="D7" s="9">
        <f>C7/$B$3</f>
        <v/>
      </c>
      <c r="E7" s="9" t="n">
        <v>148.6795256781154</v>
      </c>
      <c r="F7" s="10">
        <f>D7/$B$2-1</f>
        <v/>
      </c>
    </row>
    <row r="8">
      <c r="A8" s="4" t="inlineStr">
        <is>
          <t>Rating premium, faster conversion</t>
        </is>
      </c>
      <c r="B8" s="8" t="n">
        <v>133147.9677800082</v>
      </c>
      <c r="C8" s="8" t="n">
        <v>174201.3944599967</v>
      </c>
      <c r="D8" s="9">
        <f>C8/$B$3</f>
        <v/>
      </c>
      <c r="E8" s="9" t="n">
        <v>70.26365504967801</v>
      </c>
      <c r="F8" s="10">
        <f>D8/$B$2-1</f>
        <v/>
      </c>
    </row>
    <row r="9">
      <c r="A9" s="4" t="inlineStr">
        <is>
          <t>Swap premium, slower conversion</t>
        </is>
      </c>
      <c r="B9" s="8" t="n">
        <v>301876.8924871483</v>
      </c>
      <c r="C9" s="8" t="n">
        <v>307537.2905205962</v>
      </c>
      <c r="D9" s="9">
        <f>C9/$B$3</f>
        <v/>
      </c>
      <c r="E9" s="9" t="n">
        <v>152.1449126908888</v>
      </c>
      <c r="F9" s="10">
        <f>D9/$B$2-1</f>
        <v/>
      </c>
    </row>
    <row r="10">
      <c r="A10" s="4" t="inlineStr">
        <is>
          <t>Swap premium, faster conversion</t>
        </is>
      </c>
      <c r="B10" s="8" t="n">
        <v>136359.3313474745</v>
      </c>
      <c r="C10" s="8" t="n">
        <v>176739.1338522656</v>
      </c>
      <c r="D10" s="9">
        <f>C10/$B$3</f>
        <v/>
      </c>
      <c r="E10" s="9" t="n">
        <v>71.82207479367689</v>
      </c>
      <c r="F10" s="10">
        <f>D10/$B$2-1</f>
        <v/>
      </c>
    </row>
    <row r="12">
      <c r="A12" s="11" t="inlineStr">
        <is>
          <t>Lowest published case, EGP/share</t>
        </is>
      </c>
      <c r="B12" s="12">
        <f>MIN(D7:D10)</f>
        <v/>
      </c>
    </row>
    <row r="13">
      <c r="A13" s="11" t="inlineStr">
        <is>
          <t>Highest published case, EGP/share</t>
        </is>
      </c>
      <c r="B13" s="12">
        <f>MAX(D7:D10)</f>
        <v/>
      </c>
    </row>
    <row r="15">
      <c r="A15" s="4" t="inlineStr">
        <is>
          <t>Discount rate the last close implies, slower conversion</t>
        </is>
      </c>
      <c r="B15" s="13" t="n">
        <v>0.3231986232272755</v>
      </c>
    </row>
    <row r="16">
      <c r="A16" s="4" t="inlineStr">
        <is>
          <t>Discount rate the last close implies, faster conversion</t>
        </is>
      </c>
      <c r="B16" s="13" t="n">
        <v>0.1757914038035152</v>
      </c>
    </row>
    <row r="17">
      <c r="A17" s="4" t="inlineStr">
        <is>
          <t>Cost of capital, first year</t>
        </is>
      </c>
      <c r="B17" s="13" t="n">
        <v>0.3155765623218869</v>
      </c>
    </row>
    <row r="18">
      <c r="A18" s="4" t="inlineStr">
        <is>
          <t>Cost of capital, once normalised</t>
        </is>
      </c>
      <c r="B18" s="13" t="n">
        <v>0.1748066973261209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showGridLines="0" workbookViewId="0">
      <selection activeCell="A1" sqref="A1"/>
    </sheetView>
  </sheetViews>
  <sheetFormatPr baseColWidth="8" defaultRowHeight="15"/>
  <cols>
    <col width="38" customWidth="1" min="1" max="1"/>
    <col width="16" customWidth="1" min="2" max="2"/>
    <col width="16" customWidth="1" min="3" max="3"/>
    <col width="74" customWidth="1" min="4" max="4"/>
  </cols>
  <sheetData>
    <row r="1">
      <c r="A1" s="3" t="inlineStr">
        <is>
          <t>Lens</t>
        </is>
      </c>
      <c r="B1" s="3" t="inlineStr">
        <is>
          <t>Low, EGP/share</t>
        </is>
      </c>
      <c r="C1" s="3" t="inlineStr">
        <is>
          <t>High, EGP/share</t>
        </is>
      </c>
      <c r="D1" s="3" t="inlineStr">
        <is>
          <t>What it measures</t>
        </is>
      </c>
    </row>
    <row r="2">
      <c r="A2" s="4" t="inlineStr">
        <is>
          <t>Cash flow, sum of the parts</t>
        </is>
      </c>
      <c r="B2" s="9" t="n">
        <v>70.26365504967801</v>
      </c>
      <c r="C2" s="9" t="n">
        <v>152.1449126908888</v>
      </c>
      <c r="D2" s="4" t="inlineStr">
        <is>
          <t>the order book, hotels and recurring businesses, discounted</t>
        </is>
      </c>
    </row>
    <row r="3">
      <c r="A3" s="4" t="inlineStr">
        <is>
          <t>Book value and sustainable return</t>
        </is>
      </c>
      <c r="B3" s="9" t="n">
        <v>4.19372149068249</v>
      </c>
      <c r="C3" s="9" t="n">
        <v>14.11260456761903</v>
      </c>
      <c r="D3" s="4" t="inlineStr">
        <is>
          <t>return on equity of 16.7% against a cost of equity of 32.6%</t>
        </is>
      </c>
    </row>
    <row r="4">
      <c r="A4" s="4" t="inlineStr">
        <is>
          <t>Normalised earnings power</t>
        </is>
      </c>
      <c r="B4" s="9" t="n">
        <v>18.57572105502225</v>
      </c>
      <c r="C4" s="9" t="n">
        <v>27.421482628649</v>
      </c>
      <c r="D4" s="4" t="inlineStr">
        <is>
          <t>three years of profit with revaluation gains removed, capitalised</t>
        </is>
      </c>
    </row>
    <row r="5">
      <c r="A5" s="4" t="inlineStr">
        <is>
          <t>Its own history of multiples</t>
        </is>
      </c>
      <c r="B5" s="9" t="n">
        <v>34.0400107870742</v>
      </c>
      <c r="C5" s="9" t="n">
        <v>57.99913627950852</v>
      </c>
      <c r="D5" s="4" t="inlineStr">
        <is>
          <t>the multiples these shares have actually carried, on normalised earnings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46" customWidth="1" min="1" max="1"/>
    <col width="16" customWidth="1" min="2" max="2"/>
    <col width="74" customWidth="1" min="3" max="3"/>
  </cols>
  <sheetData>
    <row r="1">
      <c r="A1" s="3" t="inlineStr">
        <is>
          <t>Assumption</t>
        </is>
      </c>
      <c r="B1" s="3" t="inlineStr">
        <is>
          <t>Value</t>
        </is>
      </c>
      <c r="C1" s="3" t="inlineStr">
        <is>
          <t>Where it comes from</t>
        </is>
      </c>
    </row>
    <row r="2">
      <c r="A2" s="4" t="inlineStr">
        <is>
          <t>Development gross margin, first half 2026</t>
        </is>
      </c>
      <c r="B2" s="14" t="n">
        <v>0.2657892875665991</v>
      </c>
      <c r="C2" s="6" t="inlineStr">
        <is>
          <t>an output of the disclosed cost line, not an input</t>
        </is>
      </c>
    </row>
    <row r="3">
      <c r="A3" s="4" t="inlineStr">
        <is>
          <t>Hospitality gross margin, first half 2026</t>
        </is>
      </c>
      <c r="B3" s="14" t="n">
        <v>0.4537129470643826</v>
      </c>
      <c r="C3" s="6" t="inlineStr">
        <is>
          <t>an output of the disclosed cost line</t>
        </is>
      </c>
    </row>
    <row r="4">
      <c r="A4" s="4" t="inlineStr">
        <is>
          <t>Other recurring gross margin, first half 2026</t>
        </is>
      </c>
      <c r="B4" s="14" t="n">
        <v>0.3191057266408726</v>
      </c>
      <c r="C4" s="6" t="inlineStr">
        <is>
          <t>an output of the disclosed cost line</t>
        </is>
      </c>
    </row>
    <row r="5">
      <c r="A5" s="4" t="inlineStr">
        <is>
          <t>Overhead as a share of revenue, 2025</t>
        </is>
      </c>
      <c r="B5" s="15" t="n">
        <v>0.06751089285399976</v>
      </c>
      <c r="C5" s="6" t="inlineStr">
        <is>
          <t>general and administrative, marketing and government charges over revenue</t>
        </is>
      </c>
    </row>
    <row r="6">
      <c r="A6" s="4" t="inlineStr">
        <is>
          <t>Collections on the order book, a year</t>
        </is>
      </c>
      <c r="B6" s="15" t="n">
        <v>0.07569729360927907</v>
      </c>
      <c r="C6" s="6" t="inlineStr">
        <is>
          <t>from the movement in customer advances in the first half of 2026</t>
        </is>
      </c>
    </row>
    <row r="7">
      <c r="A7" s="4" t="inlineStr">
        <is>
          <t>Work in progress, years of cost</t>
        </is>
      </c>
      <c r="B7" s="5" t="n">
        <v>4</v>
      </c>
      <c r="C7" s="6" t="inlineStr">
        <is>
          <t>the company's own position at 30 June 2026</t>
        </is>
      </c>
    </row>
    <row r="8">
      <c r="A8" s="4" t="inlineStr">
        <is>
          <t>Marginal borrowing rate</t>
        </is>
      </c>
      <c r="B8" s="15" t="n">
        <v>0.255</v>
      </c>
      <c r="C8" s="6" t="inlineStr">
        <is>
          <t>sovereign yield plus a 250 basis-point corporate spread; TMG does not disclose its own facility pricing</t>
        </is>
      </c>
    </row>
    <row r="9">
      <c r="A9" s="4" t="inlineStr">
        <is>
          <t>Hospitality revenue growth</t>
        </is>
      </c>
      <c r="B9" s="14" t="n">
        <v>0.2</v>
      </c>
      <c r="C9" s="6" t="inlineStr">
        <is>
          <t>stated</t>
        </is>
      </c>
    </row>
    <row r="10">
      <c r="A10" s="4" t="inlineStr">
        <is>
          <t>Other recurring revenue growth</t>
        </is>
      </c>
      <c r="B10" s="14" t="n">
        <v>0.22</v>
      </c>
      <c r="C10" s="6" t="inlineStr">
        <is>
          <t>stated</t>
        </is>
      </c>
    </row>
    <row r="11">
      <c r="A11" s="4" t="inlineStr">
        <is>
          <t>Order book converts over, years — slower</t>
        </is>
      </c>
      <c r="B11" s="16" t="n">
        <v>14</v>
      </c>
      <c r="C11" s="6" t="inlineStr">
        <is>
          <t>the crux, read one way</t>
        </is>
      </c>
    </row>
    <row r="12">
      <c r="A12" s="4" t="inlineStr">
        <is>
          <t>Order book converts over, years — faster</t>
        </is>
      </c>
      <c r="B12" s="16" t="n">
        <v>10</v>
      </c>
      <c r="C12" s="6" t="inlineStr">
        <is>
          <t>the crux, read the other way</t>
        </is>
      </c>
    </row>
    <row r="13">
      <c r="A13" s="4" t="inlineStr">
        <is>
          <t>Normalised annual contracted sales, EGP mn</t>
        </is>
      </c>
      <c r="B13" s="16" t="n">
        <v>300000</v>
      </c>
      <c r="C13" s="6" t="inlineStr">
        <is>
          <t>below the 2025 figure and far below 2024's launch year</t>
        </is>
      </c>
    </row>
    <row r="14">
      <c r="A14" s="4" t="inlineStr">
        <is>
          <t>Contracted sales, nominal growth factor a year (flat in real terms)</t>
        </is>
      </c>
      <c r="B14" s="5" t="n">
        <v>1.15</v>
      </c>
      <c r="C14" s="6" t="inlineStr">
        <is>
          <t>held flat in real terms against the inflation inside the terminal rate; the order-book guard still caps recognised revenue at what has been sold</t>
        </is>
      </c>
    </row>
    <row r="15">
      <c r="A15" s="4" t="inlineStr">
        <is>
          <t>Long-run growth</t>
        </is>
      </c>
      <c r="B15" s="14" t="n">
        <v>0.07000000000000006</v>
      </c>
      <c r="C15" s="6" t="inlineStr">
        <is>
          <t>below Egypt's own nominal growth</t>
        </is>
      </c>
    </row>
    <row r="16">
      <c r="A16" s="4" t="inlineStr">
        <is>
          <t>Tax rate</t>
        </is>
      </c>
      <c r="B16" s="14" t="n">
        <v>0.225</v>
      </c>
      <c r="C16" s="6" t="inlineStr">
        <is>
          <t>Egypt's statutory corporate rate</t>
        </is>
      </c>
    </row>
    <row r="17">
      <c r="A17" s="4" t="inlineStr">
        <is>
          <t>Dividend payout</t>
        </is>
      </c>
      <c r="B17" s="14" t="n">
        <v>0.3</v>
      </c>
      <c r="C17" s="6" t="inlineStr">
        <is>
          <t>the company's recent behaviour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52" customWidth="1" min="1" max="1"/>
    <col width="18" customWidth="1" min="2" max="2"/>
  </cols>
  <sheetData>
    <row r="1">
      <c r="A1" s="3" t="inlineStr">
        <is>
          <t>Bridge, slower-conversion case</t>
        </is>
      </c>
      <c r="B1" s="3" t="inlineStr">
        <is>
          <t>EGP mn</t>
        </is>
      </c>
    </row>
    <row r="2">
      <c r="A2" s="4" t="inlineStr">
        <is>
          <t>Present value of the explicit ten years</t>
        </is>
      </c>
      <c r="B2" s="7" t="n">
        <v>221850.0395304456</v>
      </c>
    </row>
    <row r="3">
      <c r="A3" s="4" t="inlineStr">
        <is>
          <t>Present value of the order book beyond it</t>
        </is>
      </c>
      <c r="B3" s="7" t="n">
        <v>24044.06135376647</v>
      </c>
    </row>
    <row r="4">
      <c r="A4" s="4" t="inlineStr">
        <is>
          <t>Present value of the recurring businesses beyond it</t>
        </is>
      </c>
      <c r="B4" s="7" t="n">
        <v>48841.82868659397</v>
      </c>
    </row>
    <row r="5">
      <c r="A5" s="11" t="inlineStr">
        <is>
          <t>Enterprise value</t>
        </is>
      </c>
      <c r="B5" s="17">
        <f>SUM(B2:B4)</f>
        <v/>
      </c>
    </row>
    <row r="6">
      <c r="A6" s="4" t="inlineStr">
        <is>
          <t>Cash, deposits and amortised-cost assets</t>
        </is>
      </c>
      <c r="B6" s="7" t="n">
        <v>75773.39999999999</v>
      </c>
    </row>
    <row r="7">
      <c r="A7" s="4" t="inlineStr">
        <is>
          <t>Borrowings</t>
        </is>
      </c>
      <c r="B7" s="7" t="n">
        <v>-16493</v>
      </c>
    </row>
    <row r="8">
      <c r="A8" s="4" t="inlineStr">
        <is>
          <t>Lease liabilities</t>
        </is>
      </c>
      <c r="B8" s="7" t="n">
        <v>-513.9</v>
      </c>
    </row>
    <row r="9">
      <c r="A9" s="4" t="inlineStr">
        <is>
          <t>Investment property</t>
        </is>
      </c>
      <c r="B9" s="7" t="n">
        <v>25228</v>
      </c>
    </row>
    <row r="10">
      <c r="A10" s="4" t="inlineStr">
        <is>
          <t>Associates and other financial assets</t>
        </is>
      </c>
      <c r="B10" s="7" t="n">
        <v>3299.4</v>
      </c>
    </row>
    <row r="11">
      <c r="A11" s="11" t="inlineStr">
        <is>
          <t>Value of the whole group's equity</t>
        </is>
      </c>
      <c r="B11" s="17">
        <f>B5+SUM(B6:B10)</f>
        <v/>
      </c>
    </row>
    <row r="12">
      <c r="A12" s="4" t="inlineStr">
        <is>
          <t>Non-controlling interests at their share of value (adopted)</t>
        </is>
      </c>
      <c r="B12" s="7" t="n">
        <v>-80135.59456566832</v>
      </c>
    </row>
    <row r="13">
      <c r="A13" s="4" t="inlineStr">
        <is>
          <t xml:space="preserve">  reference: minority at book — NOT deducted below</t>
        </is>
      </c>
      <c r="B13" s="7" t="n">
        <v>-75652.8</v>
      </c>
    </row>
    <row r="14">
      <c r="A14" s="11" t="inlineStr">
        <is>
          <t>Equity attributable to TMG's shareholders</t>
        </is>
      </c>
      <c r="B14" s="17">
        <f>B11+B12</f>
        <v/>
      </c>
    </row>
    <row r="15">
      <c r="A15" s="4" t="inlineStr">
        <is>
          <t>Shares in issue, million</t>
        </is>
      </c>
      <c r="B15" s="18" t="n">
        <v>2060.6538</v>
      </c>
    </row>
    <row r="16">
      <c r="A16" s="11" t="inlineStr">
        <is>
          <t>Value per share, EGP</t>
        </is>
      </c>
      <c r="B16" s="12">
        <f>B14/B15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showGridLines="0" workbookViewId="0">
      <selection activeCell="A1" sqref="A1"/>
    </sheetView>
  </sheetViews>
  <sheetFormatPr baseColWidth="8" defaultRowHeight="15"/>
  <cols>
    <col width="26" customWidth="1" min="1" max="1"/>
    <col width="15" customWidth="1" min="2" max="2"/>
    <col width="15" customWidth="1" min="3" max="3"/>
    <col width="15" customWidth="1" min="4" max="4"/>
    <col width="13" customWidth="1" min="5" max="5"/>
    <col width="15" customWidth="1" min="6" max="6"/>
    <col width="15" customWidth="1" min="7" max="7"/>
    <col width="13" customWidth="1" min="8" max="8"/>
  </cols>
  <sheetData>
    <row r="1">
      <c r="A1" s="3" t="inlineStr">
        <is>
          <t>Segment</t>
        </is>
      </c>
      <c r="B1" s="3" t="inlineStr">
        <is>
          <t>FY2025 revenue</t>
        </is>
      </c>
      <c r="C1" s="3" t="inlineStr">
        <is>
          <t>FY2025 cost</t>
        </is>
      </c>
      <c r="D1" s="3" t="inlineStr">
        <is>
          <t>Gross profit</t>
        </is>
      </c>
      <c r="E1" s="3" t="inlineStr">
        <is>
          <t>Gross margin</t>
        </is>
      </c>
      <c r="F1" s="3" t="inlineStr">
        <is>
          <t>1H2026 revenue</t>
        </is>
      </c>
      <c r="G1" s="3" t="inlineStr">
        <is>
          <t>1H2026 cost</t>
        </is>
      </c>
      <c r="H1" s="3" t="inlineStr">
        <is>
          <t>1H2026 margin</t>
        </is>
      </c>
    </row>
    <row r="2">
      <c r="A2" s="4" t="inlineStr">
        <is>
          <t>Real-estate development</t>
        </is>
      </c>
      <c r="B2" s="8" t="n">
        <v>36705.7</v>
      </c>
      <c r="C2" s="8" t="n">
        <v>26645.4</v>
      </c>
      <c r="D2" s="8">
        <f>B2-C2</f>
        <v/>
      </c>
      <c r="E2" s="10">
        <f>D2/B2</f>
        <v/>
      </c>
      <c r="F2" s="8" t="n">
        <v>16967.2</v>
      </c>
      <c r="G2" s="8" t="n">
        <v>12457.5</v>
      </c>
      <c r="H2" s="10">
        <f>(F2-G2)/F2</f>
        <v/>
      </c>
    </row>
    <row r="3">
      <c r="A3" s="4" t="inlineStr">
        <is>
          <t>Hospitality</t>
        </is>
      </c>
      <c r="B3" s="8" t="n">
        <v>14889.7</v>
      </c>
      <c r="C3" s="8" t="n">
        <v>7800.6</v>
      </c>
      <c r="D3" s="8">
        <f>B3-C3</f>
        <v/>
      </c>
      <c r="E3" s="10">
        <f>D3/B3</f>
        <v/>
      </c>
      <c r="F3" s="8" t="n">
        <v>7512.9</v>
      </c>
      <c r="G3" s="8" t="n">
        <v>4104.2</v>
      </c>
      <c r="H3" s="10">
        <f>(F3-G3)/F3</f>
        <v/>
      </c>
    </row>
    <row r="4">
      <c r="A4" s="4" t="inlineStr">
        <is>
          <t>Other recurring income</t>
        </is>
      </c>
      <c r="B4" s="8" t="n">
        <v>10899.7</v>
      </c>
      <c r="C4" s="8" t="n">
        <v>7193.7</v>
      </c>
      <c r="D4" s="8">
        <f>B4-C4</f>
        <v/>
      </c>
      <c r="E4" s="10">
        <f>D4/B4</f>
        <v/>
      </c>
      <c r="F4" s="8" t="n">
        <v>5711.9</v>
      </c>
      <c r="G4" s="8" t="n">
        <v>3889.2</v>
      </c>
      <c r="H4" s="10">
        <f>(F4-G4)/F4</f>
        <v/>
      </c>
    </row>
    <row r="5">
      <c r="A5" s="11" t="inlineStr">
        <is>
          <t>Total</t>
        </is>
      </c>
      <c r="B5" s="8">
        <f>SUM(B2:B4)</f>
        <v/>
      </c>
      <c r="C5" s="8">
        <f>SUM(C2:C4)</f>
        <v/>
      </c>
      <c r="D5" s="8">
        <f>SUM(D2:D4)</f>
        <v/>
      </c>
      <c r="E5" s="10">
        <f>D5/B5</f>
        <v/>
      </c>
      <c r="F5" s="8">
        <f>SUM(F2:F4)</f>
        <v/>
      </c>
      <c r="G5" s="8">
        <f>SUM(G2:G4)</f>
        <v/>
      </c>
      <c r="H5" s="10">
        <f>(F5-G5)/F5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14" customWidth="1" min="1" max="1"/>
    <col width="14" customWidth="1" min="2" max="2"/>
    <col width="18" customWidth="1" min="3" max="3"/>
    <col width="16" customWidth="1" min="4" max="4"/>
    <col width="20" customWidth="1" min="5" max="5"/>
    <col width="14" customWidth="1" min="6" max="6"/>
  </cols>
  <sheetData>
    <row r="1">
      <c r="A1" s="3" t="inlineStr">
        <is>
          <t>Year end</t>
        </is>
      </c>
      <c r="B1" s="3" t="inlineStr">
        <is>
          <t>Close, EGP</t>
        </is>
      </c>
      <c r="C1" s="3" t="inlineStr">
        <is>
          <t>Earnings per share</t>
        </is>
      </c>
      <c r="D1" s="3" t="inlineStr">
        <is>
          <t>Price to earnings</t>
        </is>
      </c>
      <c r="E1" s="3" t="inlineStr">
        <is>
          <t>Book value per share</t>
        </is>
      </c>
      <c r="F1" s="3" t="inlineStr">
        <is>
          <t>Price to book</t>
        </is>
      </c>
    </row>
    <row r="2">
      <c r="A2" s="4" t="n">
        <v>2011</v>
      </c>
      <c r="B2" s="9" t="n">
        <v>2.96</v>
      </c>
    </row>
    <row r="3">
      <c r="A3" s="4" t="n">
        <v>2012</v>
      </c>
      <c r="B3" s="9" t="n">
        <v>4.43</v>
      </c>
    </row>
    <row r="4">
      <c r="A4" s="4" t="n">
        <v>2013</v>
      </c>
      <c r="B4" s="9" t="n">
        <v>6.18</v>
      </c>
    </row>
    <row r="5">
      <c r="A5" s="4" t="n">
        <v>2014</v>
      </c>
      <c r="B5" s="9" t="n">
        <v>9.859999999999999</v>
      </c>
    </row>
    <row r="6">
      <c r="A6" s="4" t="n">
        <v>2015</v>
      </c>
      <c r="B6" s="9" t="n">
        <v>6.47</v>
      </c>
    </row>
    <row r="7">
      <c r="A7" s="4" t="n">
        <v>2016</v>
      </c>
      <c r="B7" s="9" t="n">
        <v>9.130000000000001</v>
      </c>
    </row>
    <row r="8">
      <c r="A8" s="4" t="n">
        <v>2017</v>
      </c>
      <c r="B8" s="9" t="n">
        <v>9.800000000000001</v>
      </c>
      <c r="C8" s="9" t="n">
        <v>0.6438733182643295</v>
      </c>
      <c r="D8" s="9">
        <f>B8/C8</f>
        <v/>
      </c>
    </row>
    <row r="9">
      <c r="A9" s="4" t="n">
        <v>2018</v>
      </c>
      <c r="B9" s="9" t="n">
        <v>9.890000000000001</v>
      </c>
      <c r="C9" s="9" t="n">
        <v>0.8273102449329431</v>
      </c>
      <c r="D9" s="9">
        <f>B9/C9</f>
        <v/>
      </c>
    </row>
    <row r="10">
      <c r="A10" s="4" t="n">
        <v>2019</v>
      </c>
      <c r="B10" s="9" t="n">
        <v>8.17</v>
      </c>
      <c r="C10" s="9" t="n">
        <v>0.9085465981719006</v>
      </c>
      <c r="D10" s="9">
        <f>B10/C10</f>
        <v/>
      </c>
    </row>
    <row r="11">
      <c r="A11" s="4" t="n">
        <v>2020</v>
      </c>
      <c r="B11" s="9" t="n">
        <v>6.57</v>
      </c>
    </row>
    <row r="12">
      <c r="A12" s="4" t="n">
        <v>2021</v>
      </c>
      <c r="B12" s="9" t="n">
        <v>9.07</v>
      </c>
      <c r="C12" s="9" t="n">
        <v>0.8549228405081921</v>
      </c>
      <c r="D12" s="9">
        <f>B12/C12</f>
        <v/>
      </c>
    </row>
    <row r="13">
      <c r="A13" s="4" t="n">
        <v>2022</v>
      </c>
      <c r="B13" s="9" t="n">
        <v>9.99</v>
      </c>
      <c r="C13" s="9" t="n">
        <v>1.118334384941323</v>
      </c>
      <c r="D13" s="9">
        <f>B13/C13</f>
        <v/>
      </c>
    </row>
    <row r="14">
      <c r="A14" s="4" t="n">
        <v>2023</v>
      </c>
      <c r="B14" s="9" t="n">
        <v>24.15</v>
      </c>
      <c r="C14" s="9" t="n">
        <v>1.607907500037124</v>
      </c>
      <c r="D14" s="9">
        <f>B14/C14</f>
        <v/>
      </c>
      <c r="E14" s="9" t="n">
        <v>18.61002226574886</v>
      </c>
      <c r="F14" s="9">
        <f>B14/E14</f>
        <v/>
      </c>
    </row>
    <row r="15">
      <c r="A15" s="4" t="n">
        <v>2024</v>
      </c>
      <c r="B15" s="9" t="n">
        <v>56</v>
      </c>
      <c r="C15" s="9" t="n">
        <v>5.203736794603732</v>
      </c>
      <c r="D15" s="9">
        <f>B15/C15</f>
        <v/>
      </c>
    </row>
    <row r="16">
      <c r="A16" s="4" t="n">
        <v>2025</v>
      </c>
      <c r="B16" s="9" t="n">
        <v>80</v>
      </c>
      <c r="C16" s="9" t="n">
        <v>6.980255635371647</v>
      </c>
      <c r="D16" s="9">
        <f>B16/C16</f>
        <v/>
      </c>
      <c r="E16" s="9" t="n">
        <v>39.33100067561082</v>
      </c>
      <c r="F16" s="9">
        <f>B16/E16</f>
        <v/>
      </c>
    </row>
    <row r="18">
      <c r="A18" s="3" t="inlineStr">
        <is>
          <t>Normalised earnings</t>
        </is>
      </c>
      <c r="B18" s="3" t="inlineStr">
        <is>
          <t>EGP mn</t>
        </is>
      </c>
    </row>
    <row r="19">
      <c r="A19" s="4" t="inlineStr">
        <is>
          <t>Attributable profit 2023, cleaned</t>
        </is>
      </c>
      <c r="B19" s="7" t="n">
        <v>3313.3</v>
      </c>
    </row>
    <row r="20">
      <c r="A20" s="4" t="inlineStr">
        <is>
          <t>Attributable profit 2024, cleaned</t>
        </is>
      </c>
      <c r="B20" s="7" t="n">
        <v>8025.356308853025</v>
      </c>
    </row>
    <row r="21">
      <c r="A21" s="4" t="inlineStr">
        <is>
          <t>Attributable profit 2025, cleaned</t>
        </is>
      </c>
      <c r="B21" s="7" t="n">
        <v>12218.46226736695</v>
      </c>
    </row>
    <row r="22">
      <c r="A22" s="11" t="inlineStr">
        <is>
          <t>Average</t>
        </is>
      </c>
      <c r="B22" s="17" t="n">
        <v>7852.372858739989</v>
      </c>
    </row>
    <row r="23">
      <c r="A23" s="11" t="inlineStr">
        <is>
          <t>Average per share, EGP</t>
        </is>
      </c>
      <c r="B23" s="12">
        <f>B22/'Summary'!$B$3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showGridLines="0"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3" t="inlineStr">
        <is>
          <t>Discounted cash flow, slower conversion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row>
    <row r="2">
      <c r="A2" s="4" t="inlineStr">
        <is>
          <t>Revenue</t>
        </is>
      </c>
      <c r="B2" s="8" t="n">
        <v>80502.49816</v>
      </c>
      <c r="C2" s="8" t="n">
        <v>94071.89202571429</v>
      </c>
      <c r="D2" s="8" t="n">
        <v>113309.5430494265</v>
      </c>
      <c r="E2" s="8" t="n">
        <v>138282.0020316887</v>
      </c>
      <c r="F2" s="8" t="n">
        <v>169256.3921065165</v>
      </c>
      <c r="G2" s="8" t="n">
        <v>206703.0600459155</v>
      </c>
      <c r="H2" s="8" t="n">
        <v>251304.6075788308</v>
      </c>
      <c r="I2" s="8" t="n">
        <v>303971.5794716009</v>
      </c>
      <c r="J2" s="8" t="n">
        <v>365865.2939223891</v>
      </c>
      <c r="K2" s="8" t="n">
        <v>438428.527867885</v>
      </c>
    </row>
    <row r="3">
      <c r="A3" s="4" t="inlineStr">
        <is>
          <t>Cost of revenue</t>
        </is>
      </c>
      <c r="B3" s="8" t="n">
        <v>55039.06173834017</v>
      </c>
      <c r="C3" s="8" t="n">
        <v>64174.32946823943</v>
      </c>
      <c r="D3" s="8" t="n">
        <v>77302.66747989166</v>
      </c>
      <c r="E3" s="8" t="n">
        <v>94438.52682003463</v>
      </c>
      <c r="F3" s="8" t="n">
        <v>115736.5876535516</v>
      </c>
      <c r="G3" s="8" t="n">
        <v>141492.2660154354</v>
      </c>
      <c r="H3" s="8" t="n">
        <v>172146.6095571737</v>
      </c>
      <c r="I3" s="8" t="n">
        <v>208295.7248144375</v>
      </c>
      <c r="J3" s="8" t="n">
        <v>250705.0193436592</v>
      </c>
      <c r="K3" s="8" t="n">
        <v>300328.6937130113</v>
      </c>
    </row>
    <row r="4">
      <c r="A4" s="4" t="inlineStr">
        <is>
          <t>Gross profit</t>
        </is>
      </c>
      <c r="B4" s="8" t="n">
        <v>25463.43642165983</v>
      </c>
      <c r="C4" s="8" t="n">
        <v>29897.56255747486</v>
      </c>
      <c r="D4" s="8" t="n">
        <v>36006.87556953485</v>
      </c>
      <c r="E4" s="8" t="n">
        <v>43843.47521165403</v>
      </c>
      <c r="F4" s="8" t="n">
        <v>53519.80445296489</v>
      </c>
      <c r="G4" s="8" t="n">
        <v>65210.79403048017</v>
      </c>
      <c r="H4" s="8" t="n">
        <v>79157.99802165717</v>
      </c>
      <c r="I4" s="8" t="n">
        <v>95675.85465716344</v>
      </c>
      <c r="J4" s="8" t="n">
        <v>115160.2745787299</v>
      </c>
      <c r="K4" s="8" t="n">
        <v>138099.8341548737</v>
      </c>
    </row>
    <row r="5">
      <c r="A5" s="4" t="inlineStr">
        <is>
          <t>Overheads</t>
        </is>
      </c>
      <c r="B5" s="8" t="n">
        <v>5434.795527759074</v>
      </c>
      <c r="C5" s="8" t="n">
        <v>6350.877423121032</v>
      </c>
      <c r="D5" s="8" t="n">
        <v>7649.628420145507</v>
      </c>
      <c r="E5" s="8" t="n">
        <v>9335.541422797911</v>
      </c>
      <c r="F5" s="8" t="n">
        <v>11426.6501523576</v>
      </c>
      <c r="G5" s="8" t="n">
        <v>13954.70813935368</v>
      </c>
      <c r="H5" s="8" t="n">
        <v>16965.7984359709</v>
      </c>
      <c r="I5" s="8" t="n">
        <v>20521.39273236832</v>
      </c>
      <c r="J5" s="8" t="n">
        <v>24699.89265699154</v>
      </c>
      <c r="K5" s="8" t="n">
        <v>29598.70136902563</v>
      </c>
    </row>
    <row r="6">
      <c r="A6" s="4" t="inlineStr">
        <is>
          <t>Depreciation</t>
        </is>
      </c>
      <c r="B6" s="8" t="n">
        <v>1142.6904</v>
      </c>
      <c r="C6" s="8" t="n">
        <v>1156.80214752</v>
      </c>
      <c r="D6" s="8" t="n">
        <v>1176.43701782016</v>
      </c>
      <c r="E6" s="8" t="n">
        <v>1202.695310780206</v>
      </c>
      <c r="F6" s="8" t="n">
        <v>1236.903616764587</v>
      </c>
      <c r="G6" s="8" t="n">
        <v>1280.661359248099</v>
      </c>
      <c r="H6" s="8" t="n">
        <v>1335.896929597144</v>
      </c>
      <c r="I6" s="8" t="n">
        <v>1404.93539482405</v>
      </c>
      <c r="J6" s="8" t="n">
        <v>1490.580169020502</v>
      </c>
      <c r="K6" s="8" t="n">
        <v>1596.211534062009</v>
      </c>
    </row>
    <row r="7">
      <c r="A7" s="4" t="inlineStr">
        <is>
          <t>Operating profit</t>
        </is>
      </c>
      <c r="B7" s="8" t="n">
        <v>18885.95049390076</v>
      </c>
      <c r="C7" s="8" t="n">
        <v>22389.88298683383</v>
      </c>
      <c r="D7" s="8" t="n">
        <v>27180.81013156919</v>
      </c>
      <c r="E7" s="8" t="n">
        <v>33305.23847807592</v>
      </c>
      <c r="F7" s="8" t="n">
        <v>40856.2506838427</v>
      </c>
      <c r="G7" s="8" t="n">
        <v>49975.42453187839</v>
      </c>
      <c r="H7" s="8" t="n">
        <v>60856.30265608912</v>
      </c>
      <c r="I7" s="8" t="n">
        <v>73749.52652997107</v>
      </c>
      <c r="J7" s="8" t="n">
        <v>88969.80175271783</v>
      </c>
      <c r="K7" s="8" t="n">
        <v>106904.921251786</v>
      </c>
    </row>
    <row r="8">
      <c r="A8" s="4" t="inlineStr">
        <is>
          <t>Free cash flow to the firm</t>
        </is>
      </c>
      <c r="B8" s="8" t="n">
        <v>24854.89925771284</v>
      </c>
      <c r="C8" s="8" t="n">
        <v>37015.78597400192</v>
      </c>
      <c r="D8" s="8" t="n">
        <v>47341.39464524954</v>
      </c>
      <c r="E8" s="8" t="n">
        <v>56941.58541237067</v>
      </c>
      <c r="F8" s="8" t="n">
        <v>66665.50635443961</v>
      </c>
      <c r="G8" s="8" t="n">
        <v>77186.22838020876</v>
      </c>
      <c r="H8" s="8" t="n">
        <v>89064.8175333845</v>
      </c>
      <c r="I8" s="8" t="n">
        <v>102799.5568156951</v>
      </c>
      <c r="J8" s="8" t="n">
        <v>118864.633999149</v>
      </c>
      <c r="K8" s="8" t="n">
        <v>137741.5829721244</v>
      </c>
    </row>
    <row r="9">
      <c r="A9" s="4" t="inlineStr">
        <is>
          <t>Cost of capital, this year's forward rate</t>
        </is>
      </c>
      <c r="B9" s="15" t="n">
        <v>0.3155765623218869</v>
      </c>
      <c r="C9" s="15" t="n">
        <v>0.2653491059519036</v>
      </c>
      <c r="D9" s="15" t="n">
        <v>0.225167140855917</v>
      </c>
      <c r="E9" s="15" t="n">
        <v>0.1950306670339272</v>
      </c>
      <c r="F9" s="15" t="n">
        <v>0.1749396844859339</v>
      </c>
      <c r="G9" s="15" t="n">
        <v>0.1749396844859339</v>
      </c>
      <c r="H9" s="15" t="n">
        <v>0.1749396844859339</v>
      </c>
      <c r="I9" s="15" t="n">
        <v>0.1749396844859339</v>
      </c>
      <c r="J9" s="15" t="n">
        <v>0.1749396844859339</v>
      </c>
      <c r="K9" s="15" t="n">
        <v>0.1749396844859339</v>
      </c>
    </row>
    <row r="10">
      <c r="A10" s="4" t="inlineStr">
        <is>
          <t>Discount factor</t>
        </is>
      </c>
      <c r="B10" s="19">
        <f>1/(1+B9)</f>
        <v/>
      </c>
      <c r="C10" s="19">
        <f>B10/(1+C9)</f>
        <v/>
      </c>
      <c r="D10" s="19">
        <f>C10/(1+D9)</f>
        <v/>
      </c>
      <c r="E10" s="19">
        <f>D10/(1+E9)</f>
        <v/>
      </c>
      <c r="F10" s="19">
        <f>E10/(1+F9)</f>
        <v/>
      </c>
      <c r="G10" s="19">
        <f>F10/(1+G9)</f>
        <v/>
      </c>
      <c r="H10" s="19">
        <f>G10/(1+H9)</f>
        <v/>
      </c>
      <c r="I10" s="19">
        <f>H10/(1+I9)</f>
        <v/>
      </c>
      <c r="J10" s="19">
        <f>I10/(1+J9)</f>
        <v/>
      </c>
      <c r="K10" s="19">
        <f>J10/(1+K9)</f>
        <v/>
      </c>
    </row>
    <row r="11">
      <c r="A11" s="11" t="inlineStr">
        <is>
          <t>Present value</t>
        </is>
      </c>
      <c r="B11" s="8">
        <f>B8*B10</f>
        <v/>
      </c>
      <c r="C11" s="8">
        <f>C8*C10</f>
        <v/>
      </c>
      <c r="D11" s="8">
        <f>D8*D10</f>
        <v/>
      </c>
      <c r="E11" s="8">
        <f>E8*E10</f>
        <v/>
      </c>
      <c r="F11" s="8">
        <f>F8*F10</f>
        <v/>
      </c>
      <c r="G11" s="8">
        <f>G8*G10</f>
        <v/>
      </c>
      <c r="H11" s="8">
        <f>H8*H10</f>
        <v/>
      </c>
      <c r="I11" s="8">
        <f>I8*I10</f>
        <v/>
      </c>
      <c r="J11" s="8">
        <f>J8*J10</f>
        <v/>
      </c>
      <c r="K11" s="8">
        <f>K8*K10</f>
        <v/>
      </c>
    </row>
    <row r="13">
      <c r="A13" s="11" t="inlineStr">
        <is>
          <t>Sum of the explicit years</t>
        </is>
      </c>
      <c r="B13" s="17">
        <f>SUM(B11:K11)</f>
        <v/>
      </c>
    </row>
    <row r="14">
      <c r="A14" s="4" t="inlineStr">
        <is>
          <t>Order book still unconverted, present value</t>
        </is>
      </c>
      <c r="B14" s="7" t="n">
        <v>24044.06135376647</v>
      </c>
    </row>
    <row r="15">
      <c r="A15" s="4" t="inlineStr">
        <is>
          <t>Recurring businesses beyond the window, present value</t>
        </is>
      </c>
      <c r="B15" s="7" t="n">
        <v>48841.82868659397</v>
      </c>
    </row>
    <row r="16">
      <c r="A16" s="11" t="inlineStr">
        <is>
          <t>Enterprise value</t>
        </is>
      </c>
      <c r="B16" s="17">
        <f>B13+B14+B15</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
  <sheetViews>
    <sheetView showGridLines="0" workbookViewId="0">
      <selection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3" t="inlineStr">
        <is>
          <t>EGP mn</t>
        </is>
      </c>
      <c r="B1" s="3" t="inlineStr">
        <is>
          <t>2023</t>
        </is>
      </c>
      <c r="C1" s="3" t="inlineStr">
        <is>
          <t>2024</t>
        </is>
      </c>
      <c r="D1" s="3" t="inlineStr">
        <is>
          <t>2025</t>
        </is>
      </c>
      <c r="E1" s="3" t="inlineStr">
        <is>
          <t>2026</t>
        </is>
      </c>
      <c r="F1" s="3" t="inlineStr">
        <is>
          <t>2027</t>
        </is>
      </c>
      <c r="G1" s="3" t="inlineStr">
        <is>
          <t>2028</t>
        </is>
      </c>
      <c r="H1" s="3" t="inlineStr">
        <is>
          <t>2029</t>
        </is>
      </c>
      <c r="I1" s="3" t="inlineStr">
        <is>
          <t>2030</t>
        </is>
      </c>
      <c r="J1" s="3" t="inlineStr">
        <is>
          <t>2031</t>
        </is>
      </c>
      <c r="K1" s="3" t="inlineStr">
        <is>
          <t>2032</t>
        </is>
      </c>
      <c r="L1" s="3" t="inlineStr">
        <is>
          <t>2033</t>
        </is>
      </c>
      <c r="M1" s="3" t="inlineStr">
        <is>
          <t>2034</t>
        </is>
      </c>
      <c r="N1" s="3" t="inlineStr">
        <is>
          <t>2035</t>
        </is>
      </c>
    </row>
    <row r="2">
      <c r="A2" s="4" t="inlineStr">
        <is>
          <t>Development revenue</t>
        </is>
      </c>
      <c r="B2" s="8" t="n">
        <v>21578.7</v>
      </c>
      <c r="C2" s="8" t="n">
        <v>24518.3</v>
      </c>
      <c r="D2" s="8" t="n">
        <v>36705.7</v>
      </c>
      <c r="E2" s="8" t="n">
        <v>49337.22416</v>
      </c>
      <c r="F2" s="8" t="n">
        <v>56407.61054571428</v>
      </c>
      <c r="G2" s="8" t="n">
        <v>67787.94300382653</v>
      </c>
      <c r="H2" s="8" t="n">
        <v>83260.23800805667</v>
      </c>
      <c r="I2" s="8" t="n">
        <v>102747.3456360854</v>
      </c>
      <c r="J2" s="8" t="n">
        <v>126303.0301180697</v>
      </c>
      <c r="K2" s="8" t="n">
        <v>154105.7791861549</v>
      </c>
      <c r="L2" s="8" t="n">
        <v>186456.0585756915</v>
      </c>
      <c r="M2" s="8" t="n">
        <v>223776.8181211658</v>
      </c>
      <c r="N2" s="8" t="n">
        <v>266617.139020536</v>
      </c>
    </row>
    <row r="3">
      <c r="A3" s="4" t="inlineStr">
        <is>
          <t>Hospitality revenue</t>
        </is>
      </c>
      <c r="B3" s="8" t="n">
        <v>3540.9</v>
      </c>
      <c r="C3" s="8" t="n">
        <v>11496.5</v>
      </c>
      <c r="D3" s="8" t="n">
        <v>14889.7</v>
      </c>
      <c r="E3" s="8" t="n">
        <v>17867.64</v>
      </c>
      <c r="F3" s="8" t="n">
        <v>21441.168</v>
      </c>
      <c r="G3" s="8" t="n">
        <v>25729.4016</v>
      </c>
      <c r="H3" s="8" t="n">
        <v>30875.28192</v>
      </c>
      <c r="I3" s="8" t="n">
        <v>37050.33830399999</v>
      </c>
      <c r="J3" s="8" t="n">
        <v>44460.40596479999</v>
      </c>
      <c r="K3" s="8" t="n">
        <v>53352.48715775999</v>
      </c>
      <c r="L3" s="8" t="n">
        <v>64022.98458931198</v>
      </c>
      <c r="M3" s="8" t="n">
        <v>76827.58150717439</v>
      </c>
      <c r="N3" s="8" t="n">
        <v>92193.09780860925</v>
      </c>
    </row>
    <row r="4">
      <c r="A4" s="4" t="inlineStr">
        <is>
          <t>Other recurring revenue</t>
        </is>
      </c>
      <c r="B4" s="8" t="n">
        <v>3311.7</v>
      </c>
      <c r="C4" s="8" t="n">
        <v>6655.5</v>
      </c>
      <c r="D4" s="8" t="n">
        <v>10899.7</v>
      </c>
      <c r="E4" s="8" t="n">
        <v>13297.634</v>
      </c>
      <c r="F4" s="8" t="n">
        <v>16223.11348</v>
      </c>
      <c r="G4" s="8" t="n">
        <v>19792.1984456</v>
      </c>
      <c r="H4" s="8" t="n">
        <v>24146.482103632</v>
      </c>
      <c r="I4" s="8" t="n">
        <v>29458.70816643104</v>
      </c>
      <c r="J4" s="8" t="n">
        <v>35939.62396304587</v>
      </c>
      <c r="K4" s="8" t="n">
        <v>43846.34123491596</v>
      </c>
      <c r="L4" s="8" t="n">
        <v>53492.53630659747</v>
      </c>
      <c r="M4" s="8" t="n">
        <v>65260.89429404891</v>
      </c>
      <c r="N4" s="8" t="n">
        <v>79618.29103873967</v>
      </c>
    </row>
    <row r="5">
      <c r="A5" s="4" t="inlineStr">
        <is>
          <t>Gross profit</t>
        </is>
      </c>
      <c r="B5" s="8" t="n">
        <v>8637.299999999999</v>
      </c>
      <c r="C5" s="8" t="n">
        <v>15300.2</v>
      </c>
      <c r="D5" s="8" t="n">
        <v>20855.4</v>
      </c>
      <c r="E5" s="8" t="n">
        <v>25463.43642165983</v>
      </c>
      <c r="F5" s="8" t="n">
        <v>29897.56255747486</v>
      </c>
      <c r="G5" s="8" t="n">
        <v>36006.87556953485</v>
      </c>
      <c r="H5" s="8" t="n">
        <v>43843.47521165403</v>
      </c>
      <c r="I5" s="8" t="n">
        <v>53519.80445296489</v>
      </c>
      <c r="J5" s="8" t="n">
        <v>65210.79403048017</v>
      </c>
      <c r="K5" s="8" t="n">
        <v>79157.99802165717</v>
      </c>
      <c r="L5" s="8" t="n">
        <v>95675.85465716344</v>
      </c>
      <c r="M5" s="8" t="n">
        <v>115160.2745787299</v>
      </c>
      <c r="N5" s="8" t="n">
        <v>138099.8341548737</v>
      </c>
    </row>
    <row r="6">
      <c r="A6" s="4" t="inlineStr">
        <is>
          <t>Net profit</t>
        </is>
      </c>
      <c r="B6" s="8" t="n">
        <v>3347.3</v>
      </c>
      <c r="C6" s="8" t="n">
        <v>14467.5</v>
      </c>
      <c r="D6" s="8" t="n">
        <v>18202</v>
      </c>
      <c r="E6" s="8" t="n">
        <v>23122.05950777309</v>
      </c>
      <c r="F6" s="8" t="n">
        <v>30416.3091740808</v>
      </c>
      <c r="G6" s="8" t="n">
        <v>41116.78945884039</v>
      </c>
      <c r="H6" s="8" t="n">
        <v>55261.66407290062</v>
      </c>
      <c r="I6" s="8" t="n">
        <v>73096.57805896687</v>
      </c>
      <c r="J6" s="8" t="n">
        <v>95057.01356982463</v>
      </c>
      <c r="K6" s="8" t="n">
        <v>121762.4499763457</v>
      </c>
      <c r="L6" s="8" t="n">
        <v>154020.5717784944</v>
      </c>
      <c r="M6" s="8" t="n">
        <v>192840.4534605274</v>
      </c>
      <c r="N6" s="8" t="n">
        <v>239454.2068958298</v>
      </c>
    </row>
    <row r="7">
      <c r="A7" s="4" t="inlineStr">
        <is>
          <t>Attributable profit</t>
        </is>
      </c>
      <c r="B7" s="8" t="n">
        <v>3313.3</v>
      </c>
      <c r="C7" s="8" t="n">
        <v>10723.1</v>
      </c>
      <c r="D7" s="8" t="n">
        <v>14383.9</v>
      </c>
      <c r="E7" s="8" t="n">
        <v>12667.78110292276</v>
      </c>
      <c r="F7" s="8" t="n">
        <v>16664.04960364995</v>
      </c>
      <c r="G7" s="8" t="n">
        <v>22526.47470025114</v>
      </c>
      <c r="H7" s="8" t="n">
        <v>30275.96497722956</v>
      </c>
      <c r="I7" s="8" t="n">
        <v>40047.10090432943</v>
      </c>
      <c r="J7" s="8" t="n">
        <v>52078.46817431146</v>
      </c>
      <c r="K7" s="8" t="n">
        <v>66709.45822699709</v>
      </c>
      <c r="L7" s="8" t="n">
        <v>84382.57361897438</v>
      </c>
      <c r="M7" s="8" t="n">
        <v>105650.6515522587</v>
      </c>
      <c r="N7" s="8" t="n">
        <v>131188.7237428226</v>
      </c>
    </row>
    <row r="8">
      <c r="A8" s="4" t="inlineStr">
        <is>
          <t>Earnings per share, EGP</t>
        </is>
      </c>
      <c r="B8" s="9" t="n">
        <v>1.60788774902412</v>
      </c>
      <c r="C8" s="9" t="n">
        <v>5.203736794603732</v>
      </c>
      <c r="D8" s="9" t="n">
        <v>6.980260342615533</v>
      </c>
      <c r="E8" s="9" t="n">
        <v>6.147457230769553</v>
      </c>
      <c r="F8" s="9" t="n">
        <v>8.086777897213958</v>
      </c>
      <c r="G8" s="9" t="n">
        <v>10.93171240130251</v>
      </c>
      <c r="H8" s="9" t="n">
        <v>14.69240732103062</v>
      </c>
      <c r="I8" s="9" t="n">
        <v>19.43417225364563</v>
      </c>
      <c r="J8" s="9" t="n">
        <v>25.27278875001296</v>
      </c>
      <c r="K8" s="9" t="n">
        <v>32.37295766372647</v>
      </c>
      <c r="L8" s="9" t="n">
        <v>40.9494179075468</v>
      </c>
      <c r="M8" s="9" t="n">
        <v>51.27045190815588</v>
      </c>
      <c r="N8" s="9" t="n">
        <v>63.66364099725175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
  <sheetViews>
    <sheetView showGridLines="0" workbookViewId="0">
      <selection activeCell="A1" sqref="A1"/>
    </sheetView>
  </sheetViews>
  <sheetFormatPr baseColWidth="8" defaultRowHeight="15"/>
  <cols>
    <col width="40"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3" t="inlineStr">
        <is>
          <t>EGP mn</t>
        </is>
      </c>
      <c r="B1" s="3" t="inlineStr">
        <is>
          <t>30 Jun 2026 reported</t>
        </is>
      </c>
      <c r="C1" s="3" t="inlineStr">
        <is>
          <t>2026</t>
        </is>
      </c>
      <c r="D1" s="3" t="inlineStr">
        <is>
          <t>2027</t>
        </is>
      </c>
      <c r="E1" s="3" t="inlineStr">
        <is>
          <t>2028</t>
        </is>
      </c>
      <c r="F1" s="3" t="inlineStr">
        <is>
          <t>2029</t>
        </is>
      </c>
      <c r="G1" s="3" t="inlineStr">
        <is>
          <t>2030</t>
        </is>
      </c>
      <c r="H1" s="3" t="inlineStr">
        <is>
          <t>2031</t>
        </is>
      </c>
      <c r="I1" s="3" t="inlineStr">
        <is>
          <t>2032</t>
        </is>
      </c>
      <c r="J1" s="3" t="inlineStr">
        <is>
          <t>2033</t>
        </is>
      </c>
      <c r="K1" s="3" t="inlineStr">
        <is>
          <t>2034</t>
        </is>
      </c>
      <c r="L1" s="3" t="inlineStr">
        <is>
          <t>2035</t>
        </is>
      </c>
    </row>
    <row r="2">
      <c r="A2" s="4" t="inlineStr">
        <is>
          <t>Cash and deposits</t>
        </is>
      </c>
      <c r="C2" s="8" t="n">
        <v>105313.412801836</v>
      </c>
      <c r="D2" s="8" t="n">
        <v>150394.1337540275</v>
      </c>
      <c r="E2" s="8" t="n">
        <v>211029.247596076</v>
      </c>
      <c r="F2" s="8" t="n">
        <v>288338.1477676696</v>
      </c>
      <c r="G2" s="8" t="n">
        <v>384422.5076297991</v>
      </c>
      <c r="H2" s="8" t="n">
        <v>502311.2551153334</v>
      </c>
      <c r="I2" s="8" t="n">
        <v>645962.0505984955</v>
      </c>
      <c r="J2" s="8" t="n">
        <v>820311.5240462652</v>
      </c>
      <c r="K2" s="8" t="n">
        <v>1031369.819681908</v>
      </c>
      <c r="L2" s="8" t="n">
        <v>1286357.678456881</v>
      </c>
    </row>
    <row r="3">
      <c r="A3" s="4" t="inlineStr">
        <is>
          <t>Properties under development</t>
        </is>
      </c>
      <c r="B3" s="8" t="n">
        <v>148315.4</v>
      </c>
      <c r="C3" s="8" t="n">
        <v>147460.4685</v>
      </c>
      <c r="D3" s="8" t="n">
        <v>152010.4233004347</v>
      </c>
      <c r="E3" s="8" t="n">
        <v>163778.4514025603</v>
      </c>
      <c r="F3" s="8" t="n">
        <v>183964.39721719</v>
      </c>
      <c r="G3" s="8" t="n">
        <v>213411.4997530036</v>
      </c>
      <c r="H3" s="8" t="n">
        <v>252791.6625402379</v>
      </c>
      <c r="I3" s="8" t="n">
        <v>302739.8608315496</v>
      </c>
      <c r="J3" s="8" t="n">
        <v>363952.9312280446</v>
      </c>
      <c r="K3" s="8" t="n">
        <v>437264.0354798542</v>
      </c>
      <c r="L3" s="8" t="n">
        <v>523701.1861971135</v>
      </c>
    </row>
    <row r="4">
      <c r="A4" s="4" t="inlineStr">
        <is>
          <t>Property, plant and equipment</t>
        </is>
      </c>
      <c r="B4" s="8" t="n">
        <v>73322.7</v>
      </c>
      <c r="C4" s="8" t="n">
        <v>96400.17895999999</v>
      </c>
      <c r="D4" s="8" t="n">
        <v>98036.41815167999</v>
      </c>
      <c r="E4" s="8" t="n">
        <v>100224.6092316838</v>
      </c>
      <c r="F4" s="8" t="n">
        <v>103075.3013970489</v>
      </c>
      <c r="G4" s="8" t="n">
        <v>106721.7799373416</v>
      </c>
      <c r="H4" s="8" t="n">
        <v>111324.7441330953</v>
      </c>
      <c r="I4" s="8" t="n">
        <v>117077.9495686708</v>
      </c>
      <c r="J4" s="8" t="n">
        <v>124215.0140850418</v>
      </c>
      <c r="K4" s="8" t="n">
        <v>133017.6278385007</v>
      </c>
      <c r="L4" s="8" t="n">
        <v>143825.4577268492</v>
      </c>
    </row>
    <row r="5">
      <c r="A5" s="4" t="inlineStr">
        <is>
          <t>Investment property</t>
        </is>
      </c>
      <c r="B5" s="8" t="n">
        <v>25228</v>
      </c>
      <c r="C5" s="8" t="n">
        <v>25228</v>
      </c>
      <c r="D5" s="8" t="n">
        <v>25228</v>
      </c>
      <c r="E5" s="8" t="n">
        <v>25228</v>
      </c>
      <c r="F5" s="8" t="n">
        <v>25228</v>
      </c>
      <c r="G5" s="8" t="n">
        <v>25228</v>
      </c>
      <c r="H5" s="8" t="n">
        <v>25228</v>
      </c>
      <c r="I5" s="8" t="n">
        <v>25228</v>
      </c>
      <c r="J5" s="8" t="n">
        <v>25228</v>
      </c>
      <c r="K5" s="8" t="n">
        <v>25228</v>
      </c>
      <c r="L5" s="8" t="n">
        <v>25228</v>
      </c>
    </row>
    <row r="6">
      <c r="A6" s="4" t="inlineStr">
        <is>
          <t>Total assets</t>
        </is>
      </c>
      <c r="B6" s="8" t="n">
        <v>477897.9</v>
      </c>
      <c r="C6" s="8" t="n">
        <v>507758.960261836</v>
      </c>
      <c r="D6" s="8" t="n">
        <v>559025.8752061422</v>
      </c>
      <c r="E6" s="8" t="n">
        <v>633617.2082303201</v>
      </c>
      <c r="F6" s="8" t="n">
        <v>733962.7463819084</v>
      </c>
      <c r="G6" s="8" t="n">
        <v>863140.6873201444</v>
      </c>
      <c r="H6" s="8" t="n">
        <v>1025012.561788667</v>
      </c>
      <c r="I6" s="8" t="n">
        <v>1224364.760998716</v>
      </c>
      <c r="J6" s="8" t="n">
        <v>1467064.369359352</v>
      </c>
      <c r="K6" s="8" t="n">
        <v>1760236.383000263</v>
      </c>
      <c r="L6" s="8" t="n">
        <v>2112469.222380843</v>
      </c>
    </row>
    <row r="7">
      <c r="A7" s="4" t="inlineStr">
        <is>
          <t>Customer advances</t>
        </is>
      </c>
      <c r="B7" s="8" t="n">
        <v>133993.1</v>
      </c>
      <c r="C7" s="8" t="n">
        <v>144532.4350849398</v>
      </c>
      <c r="D7" s="8" t="n">
        <v>170382.2557362602</v>
      </c>
      <c r="E7" s="8" t="n">
        <v>210614.741711673</v>
      </c>
      <c r="F7" s="8" t="n">
        <v>264781.4052835296</v>
      </c>
      <c r="G7" s="8" t="n">
        <v>332876.8984340974</v>
      </c>
      <c r="H7" s="8" t="n">
        <v>415315.2997850885</v>
      </c>
      <c r="I7" s="8" t="n">
        <v>512917.8864868911</v>
      </c>
      <c r="J7" s="8" t="n">
        <v>626911.6951547246</v>
      </c>
      <c r="K7" s="8" t="n">
        <v>758938.4508007858</v>
      </c>
      <c r="L7" s="8" t="n">
        <v>911073.7004083837</v>
      </c>
    </row>
    <row r="8">
      <c r="A8" s="4" t="inlineStr">
        <is>
          <t>Borrowings</t>
        </is>
      </c>
      <c r="C8" s="8" t="n">
        <v>16493</v>
      </c>
      <c r="D8" s="8" t="n">
        <v>16493</v>
      </c>
      <c r="E8" s="8" t="n">
        <v>16493</v>
      </c>
      <c r="F8" s="8" t="n">
        <v>16493</v>
      </c>
      <c r="G8" s="8" t="n">
        <v>16493</v>
      </c>
      <c r="H8" s="8" t="n">
        <v>16493</v>
      </c>
      <c r="I8" s="8" t="n">
        <v>16493</v>
      </c>
      <c r="J8" s="8" t="n">
        <v>16493</v>
      </c>
      <c r="K8" s="8" t="n">
        <v>16493</v>
      </c>
      <c r="L8" s="8" t="n">
        <v>16493</v>
      </c>
    </row>
    <row r="9">
      <c r="A9" s="4" t="inlineStr">
        <is>
          <t>Total liabilities</t>
        </is>
      </c>
      <c r="B9" s="8" t="n">
        <v>310574.2</v>
      </c>
      <c r="C9" s="8" t="n">
        <v>321113.5350849398</v>
      </c>
      <c r="D9" s="8" t="n">
        <v>346963.3557362602</v>
      </c>
      <c r="E9" s="8" t="n">
        <v>387195.841711673</v>
      </c>
      <c r="F9" s="8" t="n">
        <v>441362.5052835296</v>
      </c>
      <c r="G9" s="8" t="n">
        <v>509457.9984340974</v>
      </c>
      <c r="H9" s="8" t="n">
        <v>591896.3997850885</v>
      </c>
      <c r="I9" s="8" t="n">
        <v>689498.9864868911</v>
      </c>
      <c r="J9" s="8" t="n">
        <v>803492.7951547246</v>
      </c>
      <c r="K9" s="8" t="n">
        <v>935519.5508007858</v>
      </c>
      <c r="L9" s="8" t="n">
        <v>1087654.800408384</v>
      </c>
    </row>
    <row r="10">
      <c r="A10" s="4" t="inlineStr">
        <is>
          <t>Equity attributable to TMG</t>
        </is>
      </c>
      <c r="B10" s="8" t="n">
        <v>91670.89999999999</v>
      </c>
      <c r="C10" s="8" t="n">
        <v>100538.3467720459</v>
      </c>
      <c r="D10" s="8" t="n">
        <v>112203.1814946009</v>
      </c>
      <c r="E10" s="8" t="n">
        <v>127971.7137847767</v>
      </c>
      <c r="F10" s="8" t="n">
        <v>149164.8892688374</v>
      </c>
      <c r="G10" s="8" t="n">
        <v>177197.859901868</v>
      </c>
      <c r="H10" s="8" t="n">
        <v>213652.787623886</v>
      </c>
      <c r="I10" s="8" t="n">
        <v>260349.408382784</v>
      </c>
      <c r="J10" s="8" t="n">
        <v>319417.209916066</v>
      </c>
      <c r="K10" s="8" t="n">
        <v>393372.6660026471</v>
      </c>
      <c r="L10" s="8" t="n">
        <v>485204.772622623</v>
      </c>
    </row>
    <row r="11">
      <c r="A11" s="4" t="inlineStr">
        <is>
          <t>Non-controlling interests</t>
        </is>
      </c>
      <c r="B11" s="8" t="n">
        <v>75652.8</v>
      </c>
      <c r="C11" s="8" t="n">
        <v>86107.07840485034</v>
      </c>
      <c r="D11" s="8" t="n">
        <v>99859.33797528119</v>
      </c>
      <c r="E11" s="8" t="n">
        <v>118449.6527338704</v>
      </c>
      <c r="F11" s="8" t="n">
        <v>143435.3518295415</v>
      </c>
      <c r="G11" s="8" t="n">
        <v>176484.828984179</v>
      </c>
      <c r="H11" s="8" t="n">
        <v>219463.3743796921</v>
      </c>
      <c r="I11" s="8" t="n">
        <v>274516.3661290408</v>
      </c>
      <c r="J11" s="8" t="n">
        <v>344154.3642885608</v>
      </c>
      <c r="K11" s="8" t="n">
        <v>431344.1661968295</v>
      </c>
      <c r="L11" s="8" t="n">
        <v>539609.6493498367</v>
      </c>
    </row>
    <row r="12">
      <c r="A12" s="4" t="inlineStr">
        <is>
          <t>Total equity</t>
        </is>
      </c>
      <c r="B12" s="8" t="n">
        <v>167323.6</v>
      </c>
      <c r="C12" s="8" t="n">
        <v>186645.4251768963</v>
      </c>
      <c r="D12" s="8" t="n">
        <v>212062.5194698821</v>
      </c>
      <c r="E12" s="8" t="n">
        <v>246421.3665186471</v>
      </c>
      <c r="F12" s="8" t="n">
        <v>292600.2410983789</v>
      </c>
      <c r="G12" s="8" t="n">
        <v>353682.6888860469</v>
      </c>
      <c r="H12" s="8" t="n">
        <v>433116.1620035782</v>
      </c>
      <c r="I12" s="8" t="n">
        <v>534865.7745118248</v>
      </c>
      <c r="J12" s="8" t="n">
        <v>663571.5742046268</v>
      </c>
      <c r="K12" s="8" t="n">
        <v>824716.8321994767</v>
      </c>
      <c r="L12" s="8" t="n">
        <v>1024814.42197246</v>
      </c>
    </row>
    <row r="13">
      <c r="A13" s="11" t="inlineStr">
        <is>
          <t>Assets less liabilities less equity</t>
        </is>
      </c>
      <c r="C13" s="9" t="n">
        <v>-5.820766091346741e-11</v>
      </c>
      <c r="D13" s="9" t="n">
        <v>-5.820766091346741e-11</v>
      </c>
      <c r="E13" s="9" t="n">
        <v>5.820766091346741e-11</v>
      </c>
      <c r="F13" s="9" t="n">
        <v>-1.164153218269348e-10</v>
      </c>
      <c r="G13" s="9" t="n">
        <v>5.820766091346741e-11</v>
      </c>
      <c r="H13" s="9" t="n">
        <v>0</v>
      </c>
      <c r="I13" s="9" t="n">
        <v>-2.328306436538696e-10</v>
      </c>
      <c r="J13" s="9" t="n">
        <v>2.328306436538696e-10</v>
      </c>
      <c r="K13" s="9" t="n">
        <v>1.164153218269348e-10</v>
      </c>
      <c r="L13" s="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8"/>
  <sheetViews>
    <sheetView showGridLines="0"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EGP mn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row>
    <row r="2">
      <c r="A2" s="4" t="inlineStr">
        <is>
          <t>Operating cash flow</t>
        </is>
      </c>
      <c r="B2" s="8" t="n">
        <v>35659.01649271284</v>
      </c>
      <c r="C2" s="8" t="n">
        <v>52872.9771724865</v>
      </c>
      <c r="D2" s="8" t="n">
        <v>70757.68434994781</v>
      </c>
      <c r="E2" s="8" t="n">
        <v>90445.07714090773</v>
      </c>
      <c r="F2" s="8" t="n">
        <v>112981.8722904856</v>
      </c>
      <c r="G2" s="8" t="n">
        <v>139395.9134928295</v>
      </c>
      <c r="H2" s="8" t="n">
        <v>170752.7353164338</v>
      </c>
      <c r="I2" s="8" t="n">
        <v>208206.245444657</v>
      </c>
      <c r="J2" s="8" t="n">
        <v>253046.6850237995</v>
      </c>
      <c r="K2" s="8" t="n">
        <v>306748.5173202305</v>
      </c>
    </row>
    <row r="3">
      <c r="A3" s="4" t="inlineStr">
        <is>
          <t>Capital spend</t>
        </is>
      </c>
      <c r="B3" s="8" t="n">
        <v>-2318.66936</v>
      </c>
      <c r="C3" s="8" t="n">
        <v>-2793.0413392</v>
      </c>
      <c r="D3" s="8" t="n">
        <v>-3364.628097824</v>
      </c>
      <c r="E3" s="8" t="n">
        <v>-4053.38747614528</v>
      </c>
      <c r="F3" s="8" t="n">
        <v>-4883.382157057241</v>
      </c>
      <c r="G3" s="8" t="n">
        <v>-5883.625555001834</v>
      </c>
      <c r="H3" s="8" t="n">
        <v>-7089.102365172638</v>
      </c>
      <c r="I3" s="8" t="n">
        <v>-8541.999911195097</v>
      </c>
      <c r="J3" s="8" t="n">
        <v>-10293.1939224794</v>
      </c>
      <c r="K3" s="8" t="n">
        <v>-12404.04142241051</v>
      </c>
    </row>
    <row r="4">
      <c r="A4" s="4" t="inlineStr">
        <is>
          <t>Dividends</t>
        </is>
      </c>
      <c r="B4" s="8" t="n">
        <v>-3800.334330876827</v>
      </c>
      <c r="C4" s="8" t="n">
        <v>-4999.214881094986</v>
      </c>
      <c r="D4" s="8" t="n">
        <v>-6757.942410075341</v>
      </c>
      <c r="E4" s="8" t="n">
        <v>-9082.789493168868</v>
      </c>
      <c r="F4" s="8" t="n">
        <v>-12014.13027129883</v>
      </c>
      <c r="G4" s="8" t="n">
        <v>-15623.54045229344</v>
      </c>
      <c r="H4" s="8" t="n">
        <v>-20012.83746809913</v>
      </c>
      <c r="I4" s="8" t="n">
        <v>-25314.77208569231</v>
      </c>
      <c r="J4" s="8" t="n">
        <v>-31695.1954656776</v>
      </c>
      <c r="K4" s="8" t="n">
        <v>-39356.61712284679</v>
      </c>
    </row>
    <row r="5">
      <c r="A5" s="4" t="inlineStr">
        <is>
          <t>Movement in customer advances</t>
        </is>
      </c>
      <c r="B5" s="8" t="n">
        <v>10539.33508493975</v>
      </c>
      <c r="C5" s="8" t="n">
        <v>25849.82065132041</v>
      </c>
      <c r="D5" s="8" t="n">
        <v>40232.48597541283</v>
      </c>
      <c r="E5" s="8" t="n">
        <v>54166.66357185664</v>
      </c>
      <c r="F5" s="8" t="n">
        <v>68095.49315056781</v>
      </c>
      <c r="G5" s="8" t="n">
        <v>82438.40135099107</v>
      </c>
      <c r="H5" s="8" t="n">
        <v>97602.58670180256</v>
      </c>
      <c r="I5" s="8" t="n">
        <v>113993.8086678336</v>
      </c>
      <c r="J5" s="8" t="n">
        <v>132026.7556460612</v>
      </c>
      <c r="K5" s="8" t="n">
        <v>152135.249607598</v>
      </c>
    </row>
    <row r="6">
      <c r="A6" s="4" t="inlineStr">
        <is>
          <t>Movement in work in progress</t>
        </is>
      </c>
      <c r="B6" s="8" t="n">
        <v>854.9315000000061</v>
      </c>
      <c r="C6" s="8" t="n">
        <v>-4549.954800434702</v>
      </c>
      <c r="D6" s="8" t="n">
        <v>-11768.02810212557</v>
      </c>
      <c r="E6" s="8" t="n">
        <v>-20185.94581462973</v>
      </c>
      <c r="F6" s="8" t="n">
        <v>-29447.10253581364</v>
      </c>
      <c r="G6" s="8" t="n">
        <v>-39380.16278723434</v>
      </c>
      <c r="H6" s="8" t="n">
        <v>-49948.19829131164</v>
      </c>
      <c r="I6" s="8" t="n">
        <v>-61213.07039649496</v>
      </c>
      <c r="J6" s="8" t="n">
        <v>-73311.10425180959</v>
      </c>
      <c r="K6" s="8" t="n">
        <v>-86437.15071725933</v>
      </c>
    </row>
    <row r="7">
      <c r="A7" s="4" t="inlineStr">
        <is>
          <t>Free cash flow to the firm</t>
        </is>
      </c>
      <c r="B7" s="8" t="n">
        <v>24854.89925771284</v>
      </c>
      <c r="C7" s="8" t="n">
        <v>37015.78597400192</v>
      </c>
      <c r="D7" s="8" t="n">
        <v>47341.39464524954</v>
      </c>
      <c r="E7" s="8" t="n">
        <v>56941.58541237067</v>
      </c>
      <c r="F7" s="8" t="n">
        <v>66665.50635443961</v>
      </c>
      <c r="G7" s="8" t="n">
        <v>77186.22838020876</v>
      </c>
      <c r="H7" s="8" t="n">
        <v>89064.8175333845</v>
      </c>
      <c r="I7" s="8" t="n">
        <v>102799.5568156951</v>
      </c>
      <c r="J7" s="8" t="n">
        <v>118864.633999149</v>
      </c>
      <c r="K7" s="8" t="n">
        <v>137741.5829721244</v>
      </c>
    </row>
    <row r="8">
      <c r="A8" s="4" t="inlineStr">
        <is>
          <t>Closing cash and deposits</t>
        </is>
      </c>
      <c r="B8" s="8" t="n">
        <v>105313.412801836</v>
      </c>
      <c r="C8" s="8" t="n">
        <v>150394.1337540275</v>
      </c>
      <c r="D8" s="8" t="n">
        <v>211029.247596076</v>
      </c>
      <c r="E8" s="8" t="n">
        <v>288338.1477676696</v>
      </c>
      <c r="F8" s="8" t="n">
        <v>384422.5076297991</v>
      </c>
      <c r="G8" s="8" t="n">
        <v>502311.2551153334</v>
      </c>
      <c r="H8" s="8" t="n">
        <v>645962.0505984955</v>
      </c>
      <c r="I8" s="8" t="n">
        <v>820311.5240462652</v>
      </c>
      <c r="J8" s="8" t="n">
        <v>1031369.819681908</v>
      </c>
      <c r="K8" s="8" t="n">
        <v>1286357.678456881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
  <sheetViews>
    <sheetView showGridLines="0"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EGP mn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row>
    <row r="2">
      <c r="A2" s="4" t="inlineStr">
        <is>
          <t>Revenue</t>
        </is>
      </c>
      <c r="B2" s="8" t="n">
        <v>80502.49816</v>
      </c>
      <c r="C2" s="8" t="n">
        <v>94071.89202571429</v>
      </c>
      <c r="D2" s="8" t="n">
        <v>113309.5430494265</v>
      </c>
      <c r="E2" s="8" t="n">
        <v>138282.0020316887</v>
      </c>
      <c r="F2" s="8" t="n">
        <v>169256.3921065165</v>
      </c>
      <c r="G2" s="8" t="n">
        <v>206703.0600459155</v>
      </c>
      <c r="H2" s="8" t="n">
        <v>251304.6075788308</v>
      </c>
      <c r="I2" s="8" t="n">
        <v>303971.5794716009</v>
      </c>
      <c r="J2" s="8" t="n">
        <v>365865.2939223891</v>
      </c>
      <c r="K2" s="8" t="n">
        <v>438428.527867885</v>
      </c>
    </row>
    <row r="3">
      <c r="A3" s="4" t="inlineStr">
        <is>
          <t>Gross margin</t>
        </is>
      </c>
      <c r="B3" s="10" t="n">
        <v>0.316306164450336</v>
      </c>
      <c r="C3" s="10" t="n">
        <v>0.3178161075925043</v>
      </c>
      <c r="D3" s="10" t="n">
        <v>0.3177744310011767</v>
      </c>
      <c r="E3" s="10" t="n">
        <v>0.3170584354253627</v>
      </c>
      <c r="F3" s="10" t="n">
        <v>0.316205513935827</v>
      </c>
      <c r="G3" s="10" t="n">
        <v>0.3154805449711036</v>
      </c>
      <c r="H3" s="10" t="n">
        <v>0.3149882478649994</v>
      </c>
      <c r="I3" s="10" t="n">
        <v>0.3147526318857783</v>
      </c>
      <c r="J3" s="10" t="n">
        <v>0.3147614067027598</v>
      </c>
      <c r="K3" s="10" t="n">
        <v>0.3149882486581447</v>
      </c>
    </row>
    <row r="4">
      <c r="A4" s="4" t="inlineStr">
        <is>
          <t>Operating margin</t>
        </is>
      </c>
      <c r="B4" s="10" t="n">
        <v>0.2346008002927391</v>
      </c>
      <c r="C4" s="10" t="n">
        <v>0.238008213768185</v>
      </c>
      <c r="D4" s="10" t="n">
        <v>0.2398810320831733</v>
      </c>
      <c r="E4" s="10" t="n">
        <v>0.2408501322568623</v>
      </c>
      <c r="F4" s="10" t="n">
        <v>0.2413867516337642</v>
      </c>
      <c r="G4" s="10" t="n">
        <v>0.241773994641285</v>
      </c>
      <c r="H4" s="10" t="n">
        <v>0.242161507671519</v>
      </c>
      <c r="I4" s="10" t="n">
        <v>0.2426198089248053</v>
      </c>
      <c r="J4" s="10" t="n">
        <v>0.2431763909576812</v>
      </c>
      <c r="K4" s="10" t="n">
        <v>0.2438365992552395</v>
      </c>
    </row>
    <row r="5">
      <c r="A5" s="4" t="inlineStr">
        <is>
          <t>Net profit</t>
        </is>
      </c>
      <c r="B5" s="8" t="n">
        <v>23122.05950777309</v>
      </c>
      <c r="C5" s="8" t="n">
        <v>30416.3091740808</v>
      </c>
      <c r="D5" s="8" t="n">
        <v>41116.78945884039</v>
      </c>
      <c r="E5" s="8" t="n">
        <v>55261.66407290062</v>
      </c>
      <c r="F5" s="8" t="n">
        <v>73096.57805896687</v>
      </c>
      <c r="G5" s="8" t="n">
        <v>95057.01356982463</v>
      </c>
      <c r="H5" s="8" t="n">
        <v>121762.4499763457</v>
      </c>
      <c r="I5" s="8" t="n">
        <v>154020.5717784944</v>
      </c>
      <c r="J5" s="8" t="n">
        <v>192840.4534605274</v>
      </c>
      <c r="K5" s="8" t="n">
        <v>239454.2068958298</v>
      </c>
    </row>
    <row r="6">
      <c r="A6" s="4" t="inlineStr">
        <is>
          <t>Attributable profit</t>
        </is>
      </c>
      <c r="B6" s="8" t="n">
        <v>12667.78110292276</v>
      </c>
      <c r="C6" s="8" t="n">
        <v>16664.04960364995</v>
      </c>
      <c r="D6" s="8" t="n">
        <v>22526.47470025114</v>
      </c>
      <c r="E6" s="8" t="n">
        <v>30275.96497722956</v>
      </c>
      <c r="F6" s="8" t="n">
        <v>40047.10090432943</v>
      </c>
      <c r="G6" s="8" t="n">
        <v>52078.46817431146</v>
      </c>
      <c r="H6" s="8" t="n">
        <v>66709.45822699709</v>
      </c>
      <c r="I6" s="8" t="n">
        <v>84382.57361897438</v>
      </c>
      <c r="J6" s="8" t="n">
        <v>105650.6515522587</v>
      </c>
      <c r="K6" s="8" t="n">
        <v>131188.7237428226</v>
      </c>
    </row>
    <row r="7">
      <c r="A7" s="4" t="inlineStr">
        <is>
          <t>Earnings per share, EGP</t>
        </is>
      </c>
      <c r="B7" s="9" t="n">
        <v>6.147457230769553</v>
      </c>
      <c r="C7" s="9" t="n">
        <v>8.086777897213958</v>
      </c>
      <c r="D7" s="9" t="n">
        <v>10.93171240130251</v>
      </c>
      <c r="E7" s="9" t="n">
        <v>14.69240732103062</v>
      </c>
      <c r="F7" s="9" t="n">
        <v>19.43417225364563</v>
      </c>
      <c r="G7" s="9" t="n">
        <v>25.27278875001296</v>
      </c>
      <c r="H7" s="9" t="n">
        <v>32.37295766372647</v>
      </c>
      <c r="I7" s="9" t="n">
        <v>40.9494179075468</v>
      </c>
      <c r="J7" s="9" t="n">
        <v>51.27045190815588</v>
      </c>
      <c r="K7" s="9" t="n">
        <v>63.66364099725175</v>
      </c>
    </row>
    <row r="8">
      <c r="A8" s="4" t="inlineStr">
        <is>
          <t>New contracted sales</t>
        </is>
      </c>
      <c r="B8" s="8" t="n">
        <v>300000</v>
      </c>
      <c r="C8" s="8" t="n">
        <v>345000</v>
      </c>
      <c r="D8" s="8" t="n">
        <v>396749.9999999999</v>
      </c>
      <c r="E8" s="8" t="n">
        <v>456262.4999999999</v>
      </c>
      <c r="F8" s="8" t="n">
        <v>524701.8749999999</v>
      </c>
      <c r="G8" s="8" t="n">
        <v>603407.1562499998</v>
      </c>
      <c r="H8" s="8" t="n">
        <v>693918.2296874997</v>
      </c>
      <c r="I8" s="8" t="n">
        <v>798005.9641406246</v>
      </c>
      <c r="J8" s="8" t="n">
        <v>917706.8587617183</v>
      </c>
      <c r="K8" s="8" t="n">
        <v>1055362.887575976</v>
      </c>
    </row>
    <row r="9">
      <c r="A9" s="4" t="inlineStr">
        <is>
          <t>Order book, closing</t>
        </is>
      </c>
      <c r="B9" s="8" t="n">
        <v>741662.77584</v>
      </c>
      <c r="C9" s="8" t="n">
        <v>1030255.165294286</v>
      </c>
      <c r="D9" s="8" t="n">
        <v>1359217.222290459</v>
      </c>
      <c r="E9" s="8" t="n">
        <v>1732219.484282402</v>
      </c>
      <c r="F9" s="8" t="n">
        <v>2154174.013646317</v>
      </c>
      <c r="G9" s="8" t="n">
        <v>2631278.139778247</v>
      </c>
      <c r="H9" s="8" t="n">
        <v>3171090.590279592</v>
      </c>
      <c r="I9" s="8" t="n">
        <v>3782640.495844525</v>
      </c>
      <c r="J9" s="8" t="n">
        <v>4476570.536485078</v>
      </c>
      <c r="K9" s="8" t="n">
        <v>5265316.285040517</v>
      </c>
    </row>
    <row r="10">
      <c r="A10" s="4" t="inlineStr">
        <is>
          <t>Order book, years of deliveries</t>
        </is>
      </c>
      <c r="B10" s="9" t="n">
        <v>15.03251932931608</v>
      </c>
      <c r="C10" s="9" t="n">
        <v>18.26447096991174</v>
      </c>
      <c r="D10" s="9" t="n">
        <v>20.05101736475074</v>
      </c>
      <c r="E10" s="9" t="n">
        <v>20.80488268739737</v>
      </c>
      <c r="F10" s="9" t="n">
        <v>20.96573882576057</v>
      </c>
      <c r="G10" s="9" t="n">
        <v>20.83305631953956</v>
      </c>
      <c r="H10" s="9" t="n">
        <v>20.57736320484786</v>
      </c>
      <c r="I10" s="9" t="n">
        <v>20.28703451493892</v>
      </c>
      <c r="J10" s="9" t="n">
        <v>20.00462145306401</v>
      </c>
      <c r="K10" s="9" t="n">
        <v>19.74860395090715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6" customWidth="1" min="7" max="7"/>
  </cols>
  <sheetData>
    <row r="1">
      <c r="A1" s="3" t="inlineStr">
        <is>
          <t>Horizon</t>
        </is>
      </c>
      <c r="B1" s="3" t="inlineStr">
        <is>
          <t>5th</t>
        </is>
      </c>
      <c r="C1" s="3" t="inlineStr">
        <is>
          <t>25th</t>
        </is>
      </c>
      <c r="D1" s="3" t="inlineStr">
        <is>
          <t>50th</t>
        </is>
      </c>
      <c r="E1" s="3" t="inlineStr">
        <is>
          <t>75th</t>
        </is>
      </c>
      <c r="F1" s="3" t="inlineStr">
        <is>
          <t>95th</t>
        </is>
      </c>
      <c r="G1" s="3" t="inlineStr">
        <is>
          <t>Resolves</t>
        </is>
      </c>
    </row>
    <row r="2">
      <c r="A2" s="4" t="inlineStr">
        <is>
          <t>1 month</t>
        </is>
      </c>
      <c r="B2" s="9" t="n">
        <v>86.73</v>
      </c>
      <c r="C2" s="9" t="n">
        <v>95</v>
      </c>
      <c r="D2" s="9" t="n">
        <v>99.95</v>
      </c>
      <c r="E2" s="9" t="n">
        <v>105.22</v>
      </c>
      <c r="F2" s="9" t="n">
        <v>115.25</v>
      </c>
      <c r="G2" s="4" t="inlineStr">
        <is>
          <t>2026-09-23</t>
        </is>
      </c>
    </row>
    <row r="3">
      <c r="A3" s="4" t="inlineStr">
        <is>
          <t>3 months</t>
        </is>
      </c>
      <c r="B3" s="9" t="n">
        <v>80.5</v>
      </c>
      <c r="C3" s="9" t="n">
        <v>94.73999999999999</v>
      </c>
      <c r="D3" s="9" t="n">
        <v>103.82</v>
      </c>
      <c r="E3" s="9" t="n">
        <v>113.76</v>
      </c>
      <c r="F3" s="9" t="n">
        <v>133.71</v>
      </c>
      <c r="G3" s="4" t="inlineStr">
        <is>
          <t>2026-11-23</t>
        </is>
      </c>
    </row>
    <row r="5">
      <c r="A5" s="4" t="inlineStr">
        <is>
          <t>These describe the PRICE, not the business. They are produced independently of the valuation and are shown beside it so that agreement is information rather than repetition.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16" customWidth="1" min="1" max="1"/>
    <col width="28" customWidth="1" min="2" max="2"/>
    <col width="28" customWidth="1" min="3" max="3"/>
    <col width="20" customWidth="1" min="4" max="4"/>
  </cols>
  <sheetData>
    <row r="1">
      <c r="A1" s="3" t="inlineStr">
        <is>
          <t>Discount rate</t>
        </is>
      </c>
      <c r="B1" s="3" t="inlineStr">
        <is>
          <t>Slower conversion, EGP/share (minority at value share, adopted)</t>
        </is>
      </c>
      <c r="C1" s="3" t="inlineStr">
        <is>
          <t>Faster conversion, EGP/share (minority at value share, adopted)</t>
        </is>
      </c>
      <c r="D1" s="3" t="inlineStr">
        <is>
          <t>Against last close</t>
        </is>
      </c>
    </row>
    <row r="2">
      <c r="A2" s="20" t="n">
        <v>0.2209793469145113</v>
      </c>
      <c r="B2" s="9" t="n">
        <v>352.6692812553042</v>
      </c>
      <c r="C2" s="9" t="n">
        <v>282.8696056955822</v>
      </c>
      <c r="D2" s="10">
        <f>B2/'Summary'!$B$2-1</f>
        <v/>
      </c>
    </row>
    <row r="3">
      <c r="A3" s="20" t="n">
        <v>0.2609793469145114</v>
      </c>
      <c r="B3" s="9" t="n">
        <v>198.3298111919148</v>
      </c>
      <c r="C3" s="9" t="n">
        <v>129.4588867429611</v>
      </c>
      <c r="D3" s="10">
        <f>B3/'Summary'!$B$2-1</f>
        <v/>
      </c>
    </row>
    <row r="4">
      <c r="A4" s="20" t="n">
        <v>0.2809793469145113</v>
      </c>
      <c r="B4" s="9" t="n">
        <v>169.3690531270592</v>
      </c>
      <c r="C4" s="9" t="n">
        <v>102.8840693329291</v>
      </c>
      <c r="D4" s="10">
        <f>B4/'Summary'!$B$2-1</f>
        <v/>
      </c>
    </row>
    <row r="5">
      <c r="A5" s="20" t="n">
        <v>0.3009793469145113</v>
      </c>
      <c r="B5" s="9" t="n">
        <v>149.24258044733</v>
      </c>
      <c r="C5" s="9" t="n">
        <v>85.76847496278396</v>
      </c>
      <c r="D5" s="10">
        <f>B5/'Summary'!$B$2-1</f>
        <v/>
      </c>
    </row>
    <row r="6">
      <c r="A6" s="20" t="n">
        <v>0.3209793469145114</v>
      </c>
      <c r="B6" s="9" t="n">
        <v>134.1948653558038</v>
      </c>
      <c r="C6" s="9" t="n">
        <v>74.05750806663541</v>
      </c>
      <c r="D6" s="10">
        <f>B6/'Summary'!$B$2-1</f>
        <v/>
      </c>
    </row>
    <row r="7">
      <c r="A7" s="20" t="n">
        <v>0.3409793469145113</v>
      </c>
      <c r="B7" s="9" t="n">
        <v>122.4250383939514</v>
      </c>
      <c r="C7" s="9" t="n">
        <v>65.7499076078301</v>
      </c>
      <c r="D7" s="10">
        <f>B7/'Summary'!$B$2-1</f>
        <v/>
      </c>
    </row>
    <row r="8">
      <c r="A8" s="20" t="n">
        <v>0.3809793469145114</v>
      </c>
      <c r="B8" s="9" t="n">
        <v>105.1074662293701</v>
      </c>
      <c r="C8" s="9" t="n">
        <v>55.25296255944607</v>
      </c>
      <c r="D8" s="10">
        <f>B8/'Summary'!$B$2-1</f>
        <v/>
      </c>
    </row>
    <row r="10">
      <c r="A10" s="3" t="inlineStr">
        <is>
          <t>Years to convert the order book</t>
        </is>
      </c>
      <c r="B10" s="3" t="inlineStr">
        <is>
          <t>EGP per share</t>
        </is>
      </c>
    </row>
    <row r="11">
      <c r="A11" s="4" t="n">
        <v>8</v>
      </c>
      <c r="B11" s="9" t="n">
        <v>79.50601029726216</v>
      </c>
    </row>
    <row r="12">
      <c r="A12" s="4" t="n">
        <v>10</v>
      </c>
      <c r="B12" s="9" t="n">
        <v>108.1058848211029</v>
      </c>
    </row>
    <row r="13">
      <c r="A13" s="4" t="n">
        <v>12</v>
      </c>
      <c r="B13" s="9" t="n">
        <v>129.596545496059</v>
      </c>
    </row>
    <row r="14">
      <c r="A14" s="4" t="n">
        <v>14</v>
      </c>
      <c r="B14" s="9" t="n">
        <v>146.5041022442187</v>
      </c>
    </row>
    <row r="15">
      <c r="A15" s="4" t="n">
        <v>16</v>
      </c>
      <c r="B15" s="9" t="n">
        <v>160.2278760989781</v>
      </c>
    </row>
    <row r="16">
      <c r="A16" s="4" t="n">
        <v>20</v>
      </c>
      <c r="B16" s="9" t="n">
        <v>181.2471576629438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0" customWidth="1" min="1" max="1"/>
    <col width="16" customWidth="1" min="2" max="2"/>
    <col width="62" customWidth="1" min="3" max="3"/>
  </cols>
  <sheetData>
    <row r="1">
      <c r="A1" s="3" t="inlineStr">
        <is>
          <t>Measure</t>
        </is>
      </c>
      <c r="B1" s="3" t="inlineStr">
        <is>
          <t>Value</t>
        </is>
      </c>
      <c r="C1" s="3" t="inlineStr">
        <is>
          <t>Note</t>
        </is>
      </c>
    </row>
    <row r="2">
      <c r="A2" s="4" t="inlineStr">
        <is>
          <t>Book value per share, EGP</t>
        </is>
      </c>
      <c r="B2" s="18" t="n">
        <v>44.48631788610003</v>
      </c>
    </row>
    <row r="3">
      <c r="A3" s="4" t="inlineStr">
        <is>
          <t>Earnings per share 2025, EGP</t>
        </is>
      </c>
      <c r="B3" s="18" t="n">
        <v>6.98</v>
      </c>
    </row>
    <row r="4">
      <c r="A4" s="4" t="inlineStr">
        <is>
          <t>Price to earnings at last close</t>
        </is>
      </c>
      <c r="B4" s="18">
        <f>'Summary'!B2/B3</f>
        <v/>
      </c>
    </row>
    <row r="5">
      <c r="A5" s="4" t="inlineStr">
        <is>
          <t>Price to book at last close</t>
        </is>
      </c>
      <c r="B5" s="18">
        <f>'Summary'!B2/B2</f>
        <v/>
      </c>
    </row>
    <row r="6">
      <c r="A6" s="4" t="inlineStr">
        <is>
          <t>Return on equity 2025</t>
        </is>
      </c>
      <c r="B6" s="21" t="n">
        <v>0.1665588804905091</v>
      </c>
    </row>
    <row r="7">
      <c r="A7" s="4" t="inlineStr">
        <is>
          <t>Cost of equity, rating basis</t>
        </is>
      </c>
      <c r="B7" s="13" t="n">
        <v>0.3256539205036353</v>
      </c>
    </row>
    <row r="8">
      <c r="A8" s="4" t="inlineStr">
        <is>
          <t>Cost of equity, swap basis</t>
        </is>
      </c>
      <c r="B8" s="13" t="n">
        <v>0.3098095713981506</v>
      </c>
    </row>
    <row r="9">
      <c r="A9" s="4" t="inlineStr">
        <is>
          <t>Net cash, EGP mn</t>
        </is>
      </c>
      <c r="B9" s="7" t="n">
        <v>58766.49999999999</v>
      </c>
    </row>
    <row r="10">
      <c r="A10" s="4" t="inlineStr">
        <is>
          <t>Order book, EGP mn</t>
        </is>
      </c>
      <c r="B10" s="7" t="n">
        <v>491000</v>
      </c>
    </row>
    <row r="11">
      <c r="A11" s="4" t="inlineStr">
        <is>
          <t>Order book per share, EGP</t>
        </is>
      </c>
      <c r="B11" s="18">
        <f>B10/'Summary'!$B$3</f>
        <v/>
      </c>
    </row>
    <row r="12">
      <c r="A12" s="4" t="inlineStr">
        <is>
          <t>Minority share of consolidated equity</t>
        </is>
      </c>
      <c r="B12" s="21" t="n">
        <v>0.4521346660004925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40" customWidth="1" min="1" max="1"/>
    <col width="16" customWidth="1" min="2" max="2"/>
    <col width="14" customWidth="1" min="3" max="3"/>
    <col width="78" customWidth="1" min="4" max="4"/>
  </cols>
  <sheetData>
    <row r="1">
      <c r="A1" s="3" t="inlineStr">
        <is>
          <t>Company</t>
        </is>
      </c>
      <c r="B1" s="3" t="inlineStr">
        <is>
          <t>Last close, EGP</t>
        </is>
      </c>
      <c r="C1" s="3" t="inlineStr">
        <is>
          <t>As at</t>
        </is>
      </c>
      <c r="D1" s="3" t="inlineStr">
        <is>
          <t>Why it is a comparator</t>
        </is>
      </c>
    </row>
    <row r="2">
      <c r="A2" s="4" t="inlineStr">
        <is>
          <t>Emaar Misr for Development</t>
        </is>
      </c>
      <c r="B2" s="9" t="n">
        <v>13.7</v>
      </c>
      <c r="C2" s="4" t="inlineStr">
        <is>
          <t>2026-09-01</t>
        </is>
      </c>
      <c r="D2" s="4" t="inlineStr">
        <is>
          <t>off-plan developer, comparable payment plans and handover clock</t>
        </is>
      </c>
    </row>
    <row r="3">
      <c r="A3" s="4" t="inlineStr">
        <is>
          <t>Sixth of October Development &amp; Investment (SODIC)</t>
        </is>
      </c>
      <c r="B3" s="9" t="n">
        <v>31.01</v>
      </c>
      <c r="C3" s="4" t="inlineStr">
        <is>
          <t>2026-09-01</t>
        </is>
      </c>
      <c r="D3" s="4" t="inlineStr">
        <is>
          <t>integrated-community developer, similar product mix</t>
        </is>
      </c>
    </row>
    <row r="4">
      <c r="A4" s="4" t="inlineStr">
        <is>
          <t>Palm Hills Developments</t>
        </is>
      </c>
      <c r="B4" s="9" t="n">
        <v>15.2</v>
      </c>
      <c r="C4" s="4" t="inlineStr">
        <is>
          <t>2026-08-23</t>
        </is>
      </c>
      <c r="D4" s="4" t="inlineStr">
        <is>
          <t>closest listed comparator by scale and by land position; note it recognises revenue on PERCENTAGE OF COMPLETION, not handover, so its margin and revenue timing are not directly comparable</t>
        </is>
      </c>
    </row>
    <row r="5">
      <c r="A5" s="4" t="inlineStr">
        <is>
          <t>Heliopolis Housing &amp; Development</t>
        </is>
      </c>
      <c r="B5" s="9" t="n">
        <v>7.75</v>
      </c>
      <c r="C5" s="4" t="inlineStr">
        <is>
          <t>2026-08-23</t>
        </is>
      </c>
      <c r="D5" s="4" t="inlineStr">
        <is>
          <t>land-rich developer with a comparable legacy landbank</t>
        </is>
      </c>
    </row>
    <row r="6">
      <c r="A6" s="4" t="inlineStr">
        <is>
          <t>Orascom Development Egypt</t>
        </is>
      </c>
      <c r="B6" s="9" t="n">
        <v>41.5</v>
      </c>
      <c r="C6" s="4" t="inlineStr">
        <is>
          <t>2026-09-01</t>
        </is>
      </c>
      <c r="D6" s="4" t="inlineStr">
        <is>
          <t>developer with a substantial hospitality leg — the nearest listed analogue for TMG's three-segment shape</t>
        </is>
      </c>
    </row>
    <row r="8">
      <c r="A8" s="4" t="inlineStr">
        <is>
          <t>Emaar Properties (DFM: EMAAR)</t>
        </is>
      </c>
      <c r="C8" s="4" t="inlineStr">
        <is>
          <t>UAE</t>
        </is>
      </c>
      <c r="D8" s="4" t="inlineStr">
        <is>
          <t>the regional template for a developer with a large recurring-income and hospitality platform alongside a development book</t>
        </is>
      </c>
    </row>
    <row r="9">
      <c r="A9" s="4" t="inlineStr">
        <is>
          <t>Aldar Properties (ADX: ALDAR)</t>
        </is>
      </c>
      <c r="C9" s="4" t="inlineStr">
        <is>
          <t>UAE</t>
        </is>
      </c>
      <c r="D9" s="4" t="inlineStr">
        <is>
          <t>development plus investment-property and management legs, with a disclosed backlog the market prices explicitly</t>
        </is>
      </c>
    </row>
    <row r="10">
      <c r="A10" s="4" t="inlineStr">
        <is>
          <t>Dar Al Arkan (Tadawul: 4300)</t>
        </is>
      </c>
      <c r="C10" s="4" t="inlineStr">
        <is>
          <t>Saudi Arabia</t>
        </is>
      </c>
      <c r="D10" s="4" t="inlineStr">
        <is>
          <t>the market TMG has just entered with Banan; a reference for how a Saudi development book is priced</t>
        </is>
      </c>
    </row>
    <row r="12">
      <c r="A12" s="4" t="inlineStr">
        <is>
          <t>Peer MULTIPLES are not tabulated here. This study holds committed price libraries for the Egyptian names but has not sourced their financial statements, and a peer multiple built on an unsourced denominator is a number wearing a decimal point. The relative lens is therefore built on TMGH's OWN history of multiples, which is sourced end to end, and the peer set is carried as context with its sourcing 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2026-09-19T10:36:27Z</dcterms:created>
  <dcterms:modified xmlns:dcterms="http://purl.org/dc/terms/" xmlns:xsi="http://www.w3.org/2001/XMLSchema-instance" xsi:type="dcterms:W3CDTF">2026-09-19T10:36:27Z</dcterms:modified>
</cp:coreProperties>
</file>