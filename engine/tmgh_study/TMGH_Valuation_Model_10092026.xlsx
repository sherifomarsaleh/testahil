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96.59999999999999</v>
      </c>
      <c r="C2" s="6" t="inlineStr">
        <is>
          <t>Egyptian Exchange close for 2 September 2026, the latest price this repository holds for this name, read from the committed supplied price file through gap_today.latest_price_per_ticker(). SUPERSEDES the 23 August 2026 close of 97.80 the study was struck at: a fair value put against a price ten days old is a comparison a reader cannot use, however good the fair value is.</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273165.6735498477</v>
      </c>
      <c r="C7" s="8" t="n">
        <v>284848.6133382954</v>
      </c>
      <c r="D7" s="9">
        <f>C7/$B$3</f>
        <v/>
      </c>
      <c r="E7" s="9" t="n">
        <v>138.2118498264229</v>
      </c>
      <c r="F7" s="10">
        <f>D7/$B$2-1</f>
        <v/>
      </c>
    </row>
    <row r="8">
      <c r="A8" s="4" t="inlineStr">
        <is>
          <t>Rating premium, faster conversion</t>
        </is>
      </c>
      <c r="B8" s="8" t="n">
        <v>113830.8979970636</v>
      </c>
      <c r="C8" s="8" t="n">
        <v>158936.324684648</v>
      </c>
      <c r="D8" s="9">
        <f>C8/$B$3</f>
        <v/>
      </c>
      <c r="E8" s="9" t="n">
        <v>60.88941189299415</v>
      </c>
      <c r="F8" s="10">
        <f>D8/$B$2-1</f>
        <v/>
      </c>
    </row>
    <row r="9">
      <c r="A9" s="4" t="inlineStr">
        <is>
          <t>Swap premium, slower conversion</t>
        </is>
      </c>
      <c r="B9" s="8" t="n">
        <v>279712.3680269551</v>
      </c>
      <c r="C9" s="8" t="n">
        <v>290022.0557451334</v>
      </c>
      <c r="D9" s="9">
        <f>C9/$B$3</f>
        <v/>
      </c>
      <c r="E9" s="9" t="n">
        <v>141.3888485426106</v>
      </c>
      <c r="F9" s="10">
        <f>D9/$B$2-1</f>
        <v/>
      </c>
    </row>
    <row r="10">
      <c r="A10" s="4" t="inlineStr">
        <is>
          <t>Swap premium, faster conversion</t>
        </is>
      </c>
      <c r="B10" s="8" t="n">
        <v>116509.7472782852</v>
      </c>
      <c r="C10" s="8" t="n">
        <v>161053.2514056767</v>
      </c>
      <c r="D10" s="9">
        <f>C10/$B$3</f>
        <v/>
      </c>
      <c r="E10" s="9" t="n">
        <v>62.1894115733003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0.3231986232272755</v>
      </c>
    </row>
    <row r="16">
      <c r="A16" s="4" t="inlineStr">
        <is>
          <t>Discount rate the last close implies, faster conversion</t>
        </is>
      </c>
      <c r="B16" s="13" t="n">
        <v>0.1757914038035152</v>
      </c>
    </row>
    <row r="17">
      <c r="A17" s="4" t="inlineStr">
        <is>
          <t>Cost of capital, first year</t>
        </is>
      </c>
      <c r="B17" s="13" t="n">
        <v>0.3155765623218869</v>
      </c>
    </row>
    <row r="18">
      <c r="A18" s="4" t="inlineStr">
        <is>
          <t>Cost of capital, once normalised</t>
        </is>
      </c>
      <c r="B18" s="13" t="n">
        <v>0.1886260236772954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60.88941189299415</v>
      </c>
      <c r="C2" s="9" t="n">
        <v>141.3888485426106</v>
      </c>
      <c r="D2" s="4" t="inlineStr">
        <is>
          <t>the order book, hotels and recurring businesses, discounted</t>
        </is>
      </c>
    </row>
    <row r="3">
      <c r="A3" s="4" t="inlineStr">
        <is>
          <t>Book value and sustainable return</t>
        </is>
      </c>
      <c r="B3" s="9" t="n">
        <v>4.19372149068249</v>
      </c>
      <c r="C3" s="9" t="n">
        <v>14.11260456761903</v>
      </c>
      <c r="D3" s="4" t="inlineStr">
        <is>
          <t>return on equity of 16.7% against a cost of equity of 32.6%</t>
        </is>
      </c>
    </row>
    <row r="4">
      <c r="A4" s="4" t="inlineStr">
        <is>
          <t>Normalised earnings power</t>
        </is>
      </c>
      <c r="B4" s="9" t="n">
        <v>18.57572105502225</v>
      </c>
      <c r="C4" s="9" t="n">
        <v>27.421482628649</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0.07000000000000006</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213065.1044863595</v>
      </c>
    </row>
    <row r="3">
      <c r="A3" s="4" t="inlineStr">
        <is>
          <t>Present value of the order book beyond it</t>
        </is>
      </c>
      <c r="B3" s="7" t="n">
        <v>20701.71014497908</v>
      </c>
    </row>
    <row r="4">
      <c r="A4" s="4" t="inlineStr">
        <is>
          <t>Present value of the recurring businesses beyond it</t>
        </is>
      </c>
      <c r="B4" s="7" t="n">
        <v>39398.8589185091</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-75610.96021155221</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Cost of capital, this year's forward rate</t>
        </is>
      </c>
      <c r="B9" s="15" t="n">
        <v>0.3155765623218869</v>
      </c>
      <c r="C9" s="15" t="n">
        <v>0.2702845796487516</v>
      </c>
      <c r="D9" s="15" t="n">
        <v>0.2340509935102434</v>
      </c>
      <c r="E9" s="15" t="n">
        <v>0.2068758039063623</v>
      </c>
      <c r="F9" s="15" t="n">
        <v>0.1887590108371082</v>
      </c>
      <c r="G9" s="15" t="n">
        <v>0.1887590108371082</v>
      </c>
      <c r="H9" s="15" t="n">
        <v>0.1887590108371082</v>
      </c>
      <c r="I9" s="15" t="n">
        <v>0.1887590108371082</v>
      </c>
      <c r="J9" s="15" t="n">
        <v>0.1887590108371082</v>
      </c>
      <c r="K9" s="15" t="n">
        <v>0.1887590108371082</v>
      </c>
    </row>
    <row r="10">
      <c r="A10" s="4" t="inlineStr">
        <is>
          <t>Discount factor</t>
        </is>
      </c>
      <c r="B10" s="19">
        <f>1/(1+B9)</f>
        <v/>
      </c>
      <c r="C10" s="19">
        <f>B10/(1+C9)</f>
        <v/>
      </c>
      <c r="D10" s="19">
        <f>C10/(1+D9)</f>
        <v/>
      </c>
      <c r="E10" s="19">
        <f>D10/(1+E9)</f>
        <v/>
      </c>
      <c r="F10" s="19">
        <f>E10/(1+F9)</f>
        <v/>
      </c>
      <c r="G10" s="19">
        <f>F10/(1+G9)</f>
        <v/>
      </c>
      <c r="H10" s="19">
        <f>G10/(1+H9)</f>
        <v/>
      </c>
      <c r="I10" s="19">
        <f>H10/(1+I9)</f>
        <v/>
      </c>
      <c r="J10" s="19">
        <f>I10/(1+J9)</f>
        <v/>
      </c>
      <c r="K10" s="19">
        <f>J10/(1+K9)</f>
        <v/>
      </c>
    </row>
    <row r="11">
      <c r="A11" s="11" t="inlineStr">
        <is>
          <t>Present value</t>
        </is>
      </c>
      <c r="B11" s="8">
        <f>B8*B10</f>
        <v/>
      </c>
      <c r="C11" s="8">
        <f>C8*C10</f>
        <v/>
      </c>
      <c r="D11" s="8">
        <f>D8*D10</f>
        <v/>
      </c>
      <c r="E11" s="8">
        <f>E8*E10</f>
        <v/>
      </c>
      <c r="F11" s="8">
        <f>F8*F10</f>
        <v/>
      </c>
      <c r="G11" s="8">
        <f>G8*G10</f>
        <v/>
      </c>
      <c r="H11" s="8">
        <f>H8*H10</f>
        <v/>
      </c>
      <c r="I11" s="8">
        <f>I8*I10</f>
        <v/>
      </c>
      <c r="J11" s="8">
        <f>J8*J10</f>
        <v/>
      </c>
      <c r="K11" s="8">
        <f>K8*K10</f>
        <v/>
      </c>
    </row>
    <row r="13">
      <c r="A13" s="11" t="inlineStr">
        <is>
          <t>Sum of the explicit years</t>
        </is>
      </c>
      <c r="B13" s="17">
        <f>SUM(B11:K11)</f>
        <v/>
      </c>
    </row>
    <row r="14">
      <c r="A14" s="4" t="inlineStr">
        <is>
          <t>Order book still unconverted, present value</t>
        </is>
      </c>
      <c r="B14" s="7" t="n">
        <v>20701.71014497908</v>
      </c>
    </row>
    <row r="15">
      <c r="A15" s="4" t="inlineStr">
        <is>
          <t>Recurring businesses beyond the window, present value</t>
        </is>
      </c>
      <c r="B15" s="7" t="n">
        <v>39398.8589185091</v>
      </c>
    </row>
    <row r="16">
      <c r="A16" s="11" t="inlineStr">
        <is>
          <t>Enterprise value</t>
        </is>
      </c>
      <c r="B16" s="17">
        <f>B13+B14+B15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0.2209793469145113</v>
      </c>
      <c r="B2" s="9" t="n">
        <v>274.3133452381433</v>
      </c>
      <c r="C2" s="9" t="n">
        <v>202.3111709138331</v>
      </c>
      <c r="D2" s="10">
        <f>B2/'Summary'!$B$2-1</f>
        <v/>
      </c>
    </row>
    <row r="3">
      <c r="A3" s="20" t="n">
        <v>0.2609793469145114</v>
      </c>
      <c r="B3" s="9" t="n">
        <v>180.4220469149492</v>
      </c>
      <c r="C3" s="9" t="n">
        <v>111.5280800180366</v>
      </c>
      <c r="D3" s="10">
        <f>B3/'Summary'!$B$2-1</f>
        <v/>
      </c>
    </row>
    <row r="4">
      <c r="A4" s="20" t="n">
        <v>0.2809793469145113</v>
      </c>
      <c r="B4" s="9" t="n">
        <v>157.5353184931988</v>
      </c>
      <c r="C4" s="9" t="n">
        <v>91.58878529132585</v>
      </c>
      <c r="D4" s="10">
        <f>B4/'Summary'!$B$2-1</f>
        <v/>
      </c>
    </row>
    <row r="5">
      <c r="A5" s="20" t="n">
        <v>0.3009793469145113</v>
      </c>
      <c r="B5" s="9" t="n">
        <v>140.7427369629646</v>
      </c>
      <c r="C5" s="9" t="n">
        <v>78.15638483556853</v>
      </c>
      <c r="D5" s="10">
        <f>B5/'Summary'!$B$2-1</f>
        <v/>
      </c>
    </row>
    <row r="6">
      <c r="A6" s="20" t="n">
        <v>0.3209793469145114</v>
      </c>
      <c r="B6" s="9" t="n">
        <v>127.7671355698158</v>
      </c>
      <c r="C6" s="9" t="n">
        <v>68.72099226941695</v>
      </c>
      <c r="D6" s="10">
        <f>B6/'Summary'!$B$2-1</f>
        <v/>
      </c>
    </row>
    <row r="7">
      <c r="A7" s="20" t="n">
        <v>0.3409793469145113</v>
      </c>
      <c r="B7" s="9" t="n">
        <v>117.3925236932185</v>
      </c>
      <c r="C7" s="9" t="n">
        <v>61.91266790077783</v>
      </c>
      <c r="D7" s="10">
        <f>B7/'Summary'!$B$2-1</f>
        <v/>
      </c>
    </row>
    <row r="8">
      <c r="A8" s="20" t="n">
        <v>0.3809793469145114</v>
      </c>
      <c r="B8" s="9" t="n">
        <v>101.8018594384564</v>
      </c>
      <c r="C8" s="9" t="n">
        <v>53.17272021775515</v>
      </c>
      <c r="D8" s="10">
        <f>B8/'Summary'!$B$2-1</f>
        <v/>
      </c>
    </row>
    <row r="10">
      <c r="A10" s="3" t="inlineStr">
        <is>
          <t>Years to convert the order book</t>
        </is>
      </c>
      <c r="B10" s="3" t="inlineStr">
        <is>
          <t>EGP per share</t>
        </is>
      </c>
    </row>
    <row r="11">
      <c r="A11" s="4" t="n">
        <v>8</v>
      </c>
      <c r="B11" s="9" t="n">
        <v>71.89462109656567</v>
      </c>
    </row>
    <row r="12">
      <c r="A12" s="4" t="n">
        <v>10</v>
      </c>
      <c r="B12" s="9" t="n">
        <v>100.3476984105075</v>
      </c>
    </row>
    <row r="13">
      <c r="A13" s="4" t="n">
        <v>12</v>
      </c>
      <c r="B13" s="9" t="n">
        <v>121.6024859971885</v>
      </c>
    </row>
    <row r="14">
      <c r="A14" s="4" t="n">
        <v>14</v>
      </c>
      <c r="B14" s="9" t="n">
        <v>138.2321539592412</v>
      </c>
    </row>
    <row r="15">
      <c r="A15" s="4" t="n">
        <v>16</v>
      </c>
      <c r="B15" s="9" t="n">
        <v>151.6618179308157</v>
      </c>
    </row>
    <row r="16">
      <c r="A16" s="4" t="n">
        <v>20</v>
      </c>
      <c r="B16" s="9" t="n">
        <v>172.0973110694273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0.3256539205036353</v>
      </c>
    </row>
    <row r="8">
      <c r="A8" s="4" t="inlineStr">
        <is>
          <t>Cost of equity, swap basis</t>
        </is>
      </c>
      <c r="B8" s="13" t="n">
        <v>0.3098095713981506</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2026-09-13T13:14:38Z</dcterms:created>
  <dcterms:modified xmlns:dcterms="http://purl.org/dc/terms/" xmlns:xsi="http://www.w3.org/2001/XMLSchema-instance" xsi:type="dcterms:W3CDTF">2026-09-13T13:14:38Z</dcterms:modified>
</cp:coreProperties>
</file>