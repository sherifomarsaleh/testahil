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0.3187056809350682</v>
      </c>
    </row>
    <row r="16">
      <c r="A16" s="4" t="inlineStr">
        <is>
          <t>Discount rate the last close implies, faster conversion</t>
        </is>
      </c>
      <c r="B16" s="13" t="n">
        <v>0.1744219434346233</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0.2437485685188716</v>
      </c>
      <c r="B2" s="9" t="n">
        <v>196.5101788932792</v>
      </c>
      <c r="C2" s="9" t="n">
        <v>125.5209481014641</v>
      </c>
      <c r="D2" s="10">
        <f>B2/'Summary'!$B$2-1</f>
        <v/>
      </c>
    </row>
    <row r="3">
      <c r="A3" s="20" t="n">
        <v>0.2837485685188716</v>
      </c>
      <c r="B3" s="9" t="n">
        <v>149.4396952483696</v>
      </c>
      <c r="C3" s="9" t="n">
        <v>84.40789729584293</v>
      </c>
      <c r="D3" s="10">
        <f>B3/'Summary'!$B$2-1</f>
        <v/>
      </c>
    </row>
    <row r="4">
      <c r="A4" s="20" t="n">
        <v>0.3037485685188716</v>
      </c>
      <c r="B4" s="9" t="n">
        <v>134.6689258121608</v>
      </c>
      <c r="C4" s="9" t="n">
        <v>73.17595754356496</v>
      </c>
      <c r="D4" s="10">
        <f>B4/'Summary'!$B$2-1</f>
        <v/>
      </c>
    </row>
    <row r="5">
      <c r="A5" s="20" t="n">
        <v>0.3237485685188716</v>
      </c>
      <c r="B5" s="9" t="n">
        <v>123.028438127374</v>
      </c>
      <c r="C5" s="9" t="n">
        <v>65.16331605181323</v>
      </c>
      <c r="D5" s="10">
        <f>B5/'Summary'!$B$2-1</f>
        <v/>
      </c>
    </row>
    <row r="6">
      <c r="A6" s="20" t="n">
        <v>0.3437485685188716</v>
      </c>
      <c r="B6" s="9" t="n">
        <v>113.5921213965149</v>
      </c>
      <c r="C6" s="9" t="n">
        <v>59.32000632749752</v>
      </c>
      <c r="D6" s="10">
        <f>B6/'Summary'!$B$2-1</f>
        <v/>
      </c>
    </row>
    <row r="7">
      <c r="A7" s="20" t="n">
        <v>0.3637485685188716</v>
      </c>
      <c r="B7" s="9" t="n">
        <v>105.782092460582</v>
      </c>
      <c r="C7" s="9" t="n">
        <v>54.98967616003811</v>
      </c>
      <c r="D7" s="10">
        <f>B7/'Summary'!$B$2-1</f>
        <v/>
      </c>
    </row>
    <row r="8">
      <c r="A8" s="20" t="n">
        <v>0.4037485685188716</v>
      </c>
      <c r="B8" s="9" t="n">
        <v>93.61726151188044</v>
      </c>
      <c r="C8" s="9" t="n">
        <v>49.27647548446123</v>
      </c>
      <c r="D8" s="10">
        <f>B8/'Summary'!$B$2-1</f>
        <v/>
      </c>
    </row>
    <row r="10">
      <c r="A10" s="3" t="inlineStr">
        <is>
          <t>Years to convert the order book</t>
        </is>
      </c>
      <c r="B10" s="3" t="inlineStr">
        <is>
          <t>EGP per share</t>
        </is>
      </c>
    </row>
    <row r="11">
      <c r="A11" s="4" t="n">
        <v>8</v>
      </c>
      <c r="B11" s="9" t="n">
        <v>58.53797697850982</v>
      </c>
    </row>
    <row r="12">
      <c r="A12" s="4" t="n">
        <v>10</v>
      </c>
      <c r="B12" s="9" t="n">
        <v>84.50337145192553</v>
      </c>
    </row>
    <row r="13">
      <c r="A13" s="4" t="n">
        <v>12</v>
      </c>
      <c r="B13" s="9" t="n">
        <v>103.6680228307067</v>
      </c>
    </row>
    <row r="14">
      <c r="A14" s="4" t="n">
        <v>14</v>
      </c>
      <c r="B14" s="9" t="n">
        <v>118.4978488759164</v>
      </c>
    </row>
    <row r="15">
      <c r="A15" s="4" t="n">
        <v>16</v>
      </c>
      <c r="B15" s="9" t="n">
        <v>130.3555583231125</v>
      </c>
    </row>
    <row r="16">
      <c r="A16" s="4" t="n">
        <v>20</v>
      </c>
      <c r="B16" s="9" t="n">
        <v>148.1768744855158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2026-09-03T23:20:00Z</dcterms:created>
  <dcterms:modified xmlns:dcterms="http://purl.org/dc/terms/" xmlns:xsi="http://www.w3.org/2001/XMLSchema-instance" xsi:type="dcterms:W3CDTF">2026-09-03T23:20:01Z</dcterms:modified>
</cp:coreProperties>
</file>