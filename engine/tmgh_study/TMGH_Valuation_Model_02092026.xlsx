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97.8</v>
      </c>
      <c r="C2" s="6" t="inlineStr">
        <is>
          <t>Egyptian Exchange close, 23 August 2026, from the same cleaned price history the probability distribution is fitted to</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221705.727430978</v>
      </c>
      <c r="C7" s="8" t="n">
        <v>244183.0425779828</v>
      </c>
      <c r="D7" s="9">
        <f>C7/$B$3</f>
        <v/>
      </c>
      <c r="E7" s="9" t="n">
        <v>113.2392192375924</v>
      </c>
      <c r="F7" s="10">
        <f>D7/$B$2-1</f>
        <v/>
      </c>
    </row>
    <row r="8">
      <c r="A8" s="4" t="inlineStr">
        <is>
          <t>Rating premium, faster conversion</t>
        </is>
      </c>
      <c r="B8" s="8" t="n">
        <v>78802.21433028321</v>
      </c>
      <c r="C8" s="8" t="n">
        <v>131255.351000734</v>
      </c>
      <c r="D8" s="9">
        <f>C8/$B$3</f>
        <v/>
      </c>
      <c r="E8" s="9" t="n">
        <v>43.89059158325536</v>
      </c>
      <c r="F8" s="10">
        <f>D8/$B$2-1</f>
        <v/>
      </c>
    </row>
    <row r="9">
      <c r="A9" s="4" t="inlineStr">
        <is>
          <t>Swap premium, slower conversion</t>
        </is>
      </c>
      <c r="B9" s="8" t="n">
        <v>233519.8692404983</v>
      </c>
      <c r="C9" s="8" t="n">
        <v>253519.0185352381</v>
      </c>
      <c r="D9" s="9">
        <f>C9/$B$3</f>
        <v/>
      </c>
      <c r="E9" s="9" t="n">
        <v>118.9724199380305</v>
      </c>
      <c r="F9" s="10">
        <f>D9/$B$2-1</f>
        <v/>
      </c>
    </row>
    <row r="10">
      <c r="A10" s="4" t="inlineStr">
        <is>
          <t>Swap premium, faster conversion</t>
        </is>
      </c>
      <c r="B10" s="8" t="n">
        <v>82628.51271199735</v>
      </c>
      <c r="C10" s="8" t="n">
        <v>134279.0348427699</v>
      </c>
      <c r="D10" s="9">
        <f>C10/$B$3</f>
        <v/>
      </c>
      <c r="E10" s="9" t="n">
        <v>45.74742866171763</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0.2905246324533263</v>
      </c>
    </row>
    <row r="16">
      <c r="A16" s="4" t="inlineStr">
        <is>
          <t>Discount rate the last close implies, faster conversion</t>
        </is>
      </c>
      <c r="B16" s="13" t="n">
        <v>0.1656407888144581</v>
      </c>
    </row>
    <row r="17">
      <c r="A17" s="4" t="inlineStr">
        <is>
          <t>Cost of capital, first year</t>
        </is>
      </c>
      <c r="B17" s="13" t="n">
        <v>0.3579340986813324</v>
      </c>
    </row>
    <row r="18">
      <c r="A18" s="4" t="inlineStr">
        <is>
          <t>Cost of capital, once normalised</t>
        </is>
      </c>
      <c r="B18" s="13" t="n">
        <v>0.2193244111908764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43.89059158325536</v>
      </c>
      <c r="C2" s="9" t="n">
        <v>118.9724199380305</v>
      </c>
      <c r="D2" s="4" t="inlineStr">
        <is>
          <t>the order book, hotels and recurring businesses, discounted</t>
        </is>
      </c>
    </row>
    <row r="3">
      <c r="A3" s="4" t="inlineStr">
        <is>
          <t>Book value and sustainable return</t>
        </is>
      </c>
      <c r="B3" s="9" t="n">
        <v>3.326271266868016</v>
      </c>
      <c r="C3" s="9" t="n">
        <v>12.63251646941587</v>
      </c>
      <c r="D3" s="4" t="inlineStr">
        <is>
          <t>return on equity of 16.7% against a cost of equity of 37.1%</t>
        </is>
      </c>
    </row>
    <row r="4">
      <c r="A4" s="4" t="inlineStr">
        <is>
          <t>Normalised earnings power</t>
        </is>
      </c>
      <c r="B4" s="9" t="n">
        <v>15.44112968405148</v>
      </c>
      <c r="C4" s="9" t="n">
        <v>23.76576967997966</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0.07000000000000001</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183703.1858848733</v>
      </c>
    </row>
    <row r="3">
      <c r="A3" s="4" t="inlineStr">
        <is>
          <t>Present value of the order book beyond it</t>
        </is>
      </c>
      <c r="B3" s="7" t="n">
        <v>14029.00760827959</v>
      </c>
    </row>
    <row r="4">
      <c r="A4" s="4" t="inlineStr">
        <is>
          <t>Present value of the recurring businesses beyond it</t>
        </is>
      </c>
      <c r="B4" s="7" t="n">
        <v>23973.53393782507</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-64816.58485299512</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14029.00760827959</v>
      </c>
    </row>
    <row r="14">
      <c r="A14" s="4" t="inlineStr">
        <is>
          <t>Recurring businesses beyond the window, present value</t>
        </is>
      </c>
      <c r="B14" s="7" t="n">
        <v>23973.53393782507</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t>
        </is>
      </c>
      <c r="C1" s="3" t="inlineStr">
        <is>
          <t>Faster conversion, EGP/share (minority at book)</t>
        </is>
      </c>
      <c r="D1" s="3" t="inlineStr">
        <is>
          <t>Against last close</t>
        </is>
      </c>
    </row>
    <row r="2">
      <c r="A2" s="20" t="n">
        <v>0.2437485685188716</v>
      </c>
      <c r="B2" s="9" t="n">
        <v>211.95934597485</v>
      </c>
      <c r="C2" s="9" t="n">
        <v>122.1265482723757</v>
      </c>
      <c r="D2" s="10">
        <f>B2/'Summary'!$B$2-1</f>
        <v/>
      </c>
    </row>
    <row r="3">
      <c r="A3" s="20" t="n">
        <v>0.2837485685188716</v>
      </c>
      <c r="B3" s="9" t="n">
        <v>152.3943501597619</v>
      </c>
      <c r="C3" s="9" t="n">
        <v>70.10034183574056</v>
      </c>
      <c r="D3" s="10">
        <f>B3/'Summary'!$B$2-1</f>
        <v/>
      </c>
    </row>
    <row r="4">
      <c r="A4" s="20" t="n">
        <v>0.3037485685188716</v>
      </c>
      <c r="B4" s="9" t="n">
        <v>133.7027890895464</v>
      </c>
      <c r="C4" s="9" t="n">
        <v>55.88696664744229</v>
      </c>
      <c r="D4" s="10">
        <f>B4/'Summary'!$B$2-1</f>
        <v/>
      </c>
    </row>
    <row r="5">
      <c r="A5" s="20" t="n">
        <v>0.3237485685188716</v>
      </c>
      <c r="B5" s="9" t="n">
        <v>118.9724199380305</v>
      </c>
      <c r="C5" s="9" t="n">
        <v>45.74742866171763</v>
      </c>
      <c r="D5" s="10">
        <f>B5/'Summary'!$B$2-1</f>
        <v/>
      </c>
    </row>
    <row r="6">
      <c r="A6" s="20" t="n">
        <v>0.3437485685188716</v>
      </c>
      <c r="B6" s="9" t="n">
        <v>107.0313026377783</v>
      </c>
      <c r="C6" s="9" t="n">
        <v>38.35305553607058</v>
      </c>
      <c r="D6" s="10">
        <f>B6/'Summary'!$B$2-1</f>
        <v/>
      </c>
    </row>
    <row r="7">
      <c r="A7" s="20" t="n">
        <v>0.3637485685188716</v>
      </c>
      <c r="B7" s="9" t="n">
        <v>97.14815921409972</v>
      </c>
      <c r="C7" s="9" t="n">
        <v>32.8732712141484</v>
      </c>
      <c r="D7" s="10">
        <f>B7/'Summary'!$B$2-1</f>
        <v/>
      </c>
    </row>
    <row r="8">
      <c r="A8" s="20" t="n">
        <v>0.4037485685188716</v>
      </c>
      <c r="B8" s="9" t="n">
        <v>81.75426375262785</v>
      </c>
      <c r="C8" s="9" t="n">
        <v>25.64354362310214</v>
      </c>
      <c r="D8" s="10">
        <f>B8/'Summary'!$B$2-1</f>
        <v/>
      </c>
    </row>
    <row r="10">
      <c r="A10" s="3" t="inlineStr">
        <is>
          <t>Years to convert the order book</t>
        </is>
      </c>
      <c r="B10" s="3" t="inlineStr">
        <is>
          <t>EGP per share</t>
        </is>
      </c>
    </row>
    <row r="11">
      <c r="A11" s="4" t="n">
        <v>8</v>
      </c>
      <c r="B11" s="9" t="n">
        <v>37.36344227330636</v>
      </c>
    </row>
    <row r="12">
      <c r="A12" s="4" t="n">
        <v>10</v>
      </c>
      <c r="B12" s="9" t="n">
        <v>70.22115890128019</v>
      </c>
    </row>
    <row r="13">
      <c r="A13" s="4" t="n">
        <v>12</v>
      </c>
      <c r="B13" s="9" t="n">
        <v>94.4729254177726</v>
      </c>
    </row>
    <row r="14">
      <c r="A14" s="4" t="n">
        <v>14</v>
      </c>
      <c r="B14" s="9" t="n">
        <v>113.2392192375924</v>
      </c>
    </row>
    <row r="15">
      <c r="A15" s="4" t="n">
        <v>16</v>
      </c>
      <c r="B15" s="9" t="n">
        <v>128.244470063715</v>
      </c>
    </row>
    <row r="16">
      <c r="A16" s="4" t="n">
        <v>20</v>
      </c>
      <c r="B16" s="9" t="n">
        <v>150.7963229539649</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0.3714622808056017</v>
      </c>
    </row>
    <row r="8">
      <c r="A8" s="4" t="inlineStr">
        <is>
          <t>Cost of equity, swap basis</t>
        </is>
      </c>
      <c r="B8" s="13" t="n">
        <v>0.3343918983056465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11.53</v>
      </c>
      <c r="C2" s="4" t="inlineStr">
        <is>
          <t>2026-07-28</t>
        </is>
      </c>
      <c r="D2" s="4" t="inlineStr">
        <is>
          <t>off-plan developer, comparable payment plans and handover clock</t>
        </is>
      </c>
    </row>
    <row r="3">
      <c r="A3" s="4" t="inlineStr">
        <is>
          <t>Sixth of October Development &amp; Investment (SODIC)</t>
        </is>
      </c>
      <c r="B3" s="9" t="n">
        <v>27.48</v>
      </c>
      <c r="C3" s="4" t="inlineStr">
        <is>
          <t>2026-07-27</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40.16</v>
      </c>
      <c r="C6" s="4" t="inlineStr">
        <is>
          <t>2026-07-27</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2026-09-02T20:17:16Z</dcterms:created>
  <dcterms:modified xmlns:dcterms="http://purl.org/dc/terms/" xmlns:xsi="http://www.w3.org/2001/XMLSchema-instance" xsi:type="dcterms:W3CDTF">2026-09-02T20:17:16Z</dcterms:modified>
</cp:coreProperties>
</file>