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222171.938483465</v>
      </c>
      <c r="C7" s="8" t="n">
        <v>244551.4599583733</v>
      </c>
      <c r="D7" s="9">
        <f>C7/$B$3</f>
        <v/>
      </c>
      <c r="E7" s="9" t="n">
        <v>113.4654634773997</v>
      </c>
      <c r="F7" s="10">
        <f>D7/$B$2-1</f>
        <v/>
      </c>
    </row>
    <row r="8">
      <c r="A8" s="4" t="inlineStr">
        <is>
          <t>Rating premium, faster conversion</t>
        </is>
      </c>
      <c r="B8" s="8" t="n">
        <v>79079.60237675605</v>
      </c>
      <c r="C8" s="8" t="n">
        <v>131474.5533917713</v>
      </c>
      <c r="D8" s="9">
        <f>C8/$B$3</f>
        <v/>
      </c>
      <c r="E8" s="9" t="n">
        <v>44.02520325187862</v>
      </c>
      <c r="F8" s="10">
        <f>D8/$B$2-1</f>
        <v/>
      </c>
    </row>
    <row r="9">
      <c r="A9" s="4" t="inlineStr">
        <is>
          <t>Swap premium, slower conversion</t>
        </is>
      </c>
      <c r="B9" s="8" t="n">
        <v>233958.7797832709</v>
      </c>
      <c r="C9" s="8" t="n">
        <v>253865.8620335452</v>
      </c>
      <c r="D9" s="9">
        <f>C9/$B$3</f>
        <v/>
      </c>
      <c r="E9" s="9" t="n">
        <v>119.1854157080004</v>
      </c>
      <c r="F9" s="10">
        <f>D9/$B$2-1</f>
        <v/>
      </c>
    </row>
    <row r="10">
      <c r="A10" s="4" t="inlineStr">
        <is>
          <t>Swap premium, faster conversion</t>
        </is>
      </c>
      <c r="B10" s="8" t="n">
        <v>82904.18337133406</v>
      </c>
      <c r="C10" s="8" t="n">
        <v>134496.8800903709</v>
      </c>
      <c r="D10" s="9">
        <f>C10/$B$3</f>
        <v/>
      </c>
      <c r="E10" s="9" t="n">
        <v>45.88120691177434</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0.1757914038035151</v>
      </c>
    </row>
    <row r="17">
      <c r="A17" s="4" t="inlineStr">
        <is>
          <t>Cost of capital, first year</t>
        </is>
      </c>
      <c r="B17" s="13" t="n">
        <v>0.3573828894703562</v>
      </c>
    </row>
    <row r="18">
      <c r="A18" s="4" t="inlineStr">
        <is>
          <t>Cost of capital, once normalised</t>
        </is>
      </c>
      <c r="B18" s="13" t="n">
        <v>0.2190258178466077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44.02520325187862</v>
      </c>
      <c r="C2" s="9" t="n">
        <v>119.1854157080004</v>
      </c>
      <c r="D2" s="4" t="inlineStr">
        <is>
          <t>the order book, hotels and recurring businesses, discounted</t>
        </is>
      </c>
    </row>
    <row r="3">
      <c r="A3" s="4" t="inlineStr">
        <is>
          <t>Book value and sustainable return</t>
        </is>
      </c>
      <c r="B3" s="9" t="n">
        <v>3.33274603069955</v>
      </c>
      <c r="C3" s="9" t="n">
        <v>12.64818881769384</v>
      </c>
      <c r="D3" s="4" t="inlineStr">
        <is>
          <t>return on equity of 16.7% against a cost of equity of 37.1%</t>
        </is>
      </c>
    </row>
    <row r="4">
      <c r="A4" s="4" t="inlineStr">
        <is>
          <t>Normalised earnings power</t>
        </is>
      </c>
      <c r="B4" s="9" t="n">
        <v>15.46564175092172</v>
      </c>
      <c r="C4" s="9" t="n">
        <v>23.80326205675117</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183998.5351018925</v>
      </c>
    </row>
    <row r="3">
      <c r="A3" s="4" t="inlineStr">
        <is>
          <t>Present value of the order book beyond it</t>
        </is>
      </c>
      <c r="B3" s="7" t="n">
        <v>14084.37260100699</v>
      </c>
    </row>
    <row r="4">
      <c r="A4" s="4" t="inlineStr">
        <is>
          <t>Present value of the recurring businesses beyond it</t>
        </is>
      </c>
      <c r="B4" s="7" t="n">
        <v>24089.03078056552</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-64914.37852509163</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14084.37260100699</v>
      </c>
    </row>
    <row r="14">
      <c r="A14" s="4" t="inlineStr">
        <is>
          <t>Recurring businesses beyond the window, present value</t>
        </is>
      </c>
      <c r="B14" s="7" t="n">
        <v>24089.03078056552</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0.2433591860944612</v>
      </c>
      <c r="B2" s="9" t="n">
        <v>197.0370228802018</v>
      </c>
      <c r="C2" s="9" t="n">
        <v>126.0026582327154</v>
      </c>
      <c r="D2" s="10">
        <f>B2/'Summary'!$B$2-1</f>
        <v/>
      </c>
    </row>
    <row r="3">
      <c r="A3" s="20" t="n">
        <v>0.2833591860944613</v>
      </c>
      <c r="B3" s="9" t="n">
        <v>149.7078407339783</v>
      </c>
      <c r="C3" s="9" t="n">
        <v>84.61493533824613</v>
      </c>
      <c r="D3" s="10">
        <f>B3/'Summary'!$B$2-1</f>
        <v/>
      </c>
    </row>
    <row r="4">
      <c r="A4" s="20" t="n">
        <v>0.3033591860944612</v>
      </c>
      <c r="B4" s="9" t="n">
        <v>134.8779631426536</v>
      </c>
      <c r="C4" s="9" t="n">
        <v>73.322000779918</v>
      </c>
      <c r="D4" s="10">
        <f>B4/'Summary'!$B$2-1</f>
        <v/>
      </c>
    </row>
    <row r="5">
      <c r="A5" s="20" t="n">
        <v>0.3233591860944612</v>
      </c>
      <c r="B5" s="9" t="n">
        <v>123.1967553373328</v>
      </c>
      <c r="C5" s="9" t="n">
        <v>65.26903261982723</v>
      </c>
      <c r="D5" s="10">
        <f>B5/'Summary'!$B$2-1</f>
        <v/>
      </c>
    </row>
    <row r="6">
      <c r="A6" s="20" t="n">
        <v>0.3433591860944613</v>
      </c>
      <c r="B6" s="9" t="n">
        <v>113.7308299366004</v>
      </c>
      <c r="C6" s="9" t="n">
        <v>59.39795607481796</v>
      </c>
      <c r="D6" s="10">
        <f>B6/'Summary'!$B$2-1</f>
        <v/>
      </c>
    </row>
    <row r="7">
      <c r="A7" s="20" t="n">
        <v>0.3633591860944612</v>
      </c>
      <c r="B7" s="9" t="n">
        <v>105.8984267910268</v>
      </c>
      <c r="C7" s="9" t="n">
        <v>55.04797094819054</v>
      </c>
      <c r="D7" s="10">
        <f>B7/'Summary'!$B$2-1</f>
        <v/>
      </c>
    </row>
    <row r="8">
      <c r="A8" s="20" t="n">
        <v>0.4033591860944613</v>
      </c>
      <c r="B8" s="9" t="n">
        <v>93.7023601270504</v>
      </c>
      <c r="C8" s="9" t="n">
        <v>49.31017509612661</v>
      </c>
      <c r="D8" s="10">
        <f>B8/'Summary'!$B$2-1</f>
        <v/>
      </c>
    </row>
    <row r="10">
      <c r="A10" s="3" t="inlineStr">
        <is>
          <t>Years to convert the order book</t>
        </is>
      </c>
      <c r="B10" s="3" t="inlineStr">
        <is>
          <t>EGP per share</t>
        </is>
      </c>
    </row>
    <row r="11">
      <c r="A11" s="4" t="n">
        <v>8</v>
      </c>
      <c r="B11" s="9" t="n">
        <v>58.64158059455131</v>
      </c>
    </row>
    <row r="12">
      <c r="A12" s="4" t="n">
        <v>10</v>
      </c>
      <c r="B12" s="9" t="n">
        <v>84.63726479471869</v>
      </c>
    </row>
    <row r="13">
      <c r="A13" s="4" t="n">
        <v>12</v>
      </c>
      <c r="B13" s="9" t="n">
        <v>103.8263898538421</v>
      </c>
    </row>
    <row r="14">
      <c r="A14" s="4" t="n">
        <v>14</v>
      </c>
      <c r="B14" s="9" t="n">
        <v>118.6766355213929</v>
      </c>
    </row>
    <row r="15">
      <c r="A15" s="4" t="n">
        <v>16</v>
      </c>
      <c r="B15" s="9" t="n">
        <v>130.5517255732667</v>
      </c>
    </row>
    <row r="16">
      <c r="A16" s="4" t="n">
        <v>20</v>
      </c>
      <c r="B16" s="9" t="n">
        <v>148.4011061241003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0.3710320302096666</v>
      </c>
    </row>
    <row r="8">
      <c r="A8" s="4" t="inlineStr">
        <is>
          <t>Cost of equity, swap basis</t>
        </is>
      </c>
      <c r="B8" s="13" t="n">
        <v>0.3341014637211595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2026-09-08T22:37:31Z</dcterms:created>
  <dcterms:modified xmlns:dcterms="http://purl.org/dc/terms/" xmlns:xsi="http://www.w3.org/2001/XMLSchema-instance" xsi:type="dcterms:W3CDTF">2026-09-08T22:37:31Z</dcterms:modified>
</cp:coreProperties>
</file>