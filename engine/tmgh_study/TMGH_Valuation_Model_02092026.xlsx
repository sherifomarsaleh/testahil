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2026-09-02</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97.8</v>
      </c>
      <c r="C2" s="6" t="inlineStr">
        <is>
          <t>Egyptian Exchange close, 23 August 2026, from the same cleaned price history the probability distribution is fitted to</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 (adopted basis)</t>
        </is>
      </c>
      <c r="D6" s="3" t="inlineStr">
        <is>
          <t>Per share, minority at value share (adopted)</t>
        </is>
      </c>
      <c r="E6" s="3" t="inlineStr">
        <is>
          <t>Per share, minority at book</t>
        </is>
      </c>
      <c r="F6" s="3" t="inlineStr">
        <is>
          <t>Against last close</t>
        </is>
      </c>
    </row>
    <row r="7">
      <c r="A7" s="4" t="inlineStr">
        <is>
          <t>Rating premium, slower conversion</t>
        </is>
      </c>
      <c r="B7" s="8" t="n">
        <v>221705.727430978</v>
      </c>
      <c r="C7" s="8" t="n">
        <v>244183.0425779828</v>
      </c>
      <c r="D7" s="9">
        <f>C7/$B$3</f>
        <v/>
      </c>
      <c r="E7" s="9" t="n">
        <v>113.2392192375924</v>
      </c>
      <c r="F7" s="10">
        <f>D7/$B$2-1</f>
        <v/>
      </c>
    </row>
    <row r="8">
      <c r="A8" s="4" t="inlineStr">
        <is>
          <t>Rating premium, faster conversion</t>
        </is>
      </c>
      <c r="B8" s="8" t="n">
        <v>78802.21433028321</v>
      </c>
      <c r="C8" s="8" t="n">
        <v>131255.351000734</v>
      </c>
      <c r="D8" s="9">
        <f>C8/$B$3</f>
        <v/>
      </c>
      <c r="E8" s="9" t="n">
        <v>43.89059158325536</v>
      </c>
      <c r="F8" s="10">
        <f>D8/$B$2-1</f>
        <v/>
      </c>
    </row>
    <row r="9">
      <c r="A9" s="4" t="inlineStr">
        <is>
          <t>Swap premium, slower conversion</t>
        </is>
      </c>
      <c r="B9" s="8" t="n">
        <v>233519.8692404983</v>
      </c>
      <c r="C9" s="8" t="n">
        <v>253519.0185352381</v>
      </c>
      <c r="D9" s="9">
        <f>C9/$B$3</f>
        <v/>
      </c>
      <c r="E9" s="9" t="n">
        <v>118.9724199380305</v>
      </c>
      <c r="F9" s="10">
        <f>D9/$B$2-1</f>
        <v/>
      </c>
    </row>
    <row r="10">
      <c r="A10" s="4" t="inlineStr">
        <is>
          <t>Swap premium, faster conversion</t>
        </is>
      </c>
      <c r="B10" s="8" t="n">
        <v>82628.51271199735</v>
      </c>
      <c r="C10" s="8" t="n">
        <v>134279.0348427699</v>
      </c>
      <c r="D10" s="9">
        <f>C10/$B$3</f>
        <v/>
      </c>
      <c r="E10" s="9" t="n">
        <v>45.74742866171763</v>
      </c>
      <c r="F10" s="10">
        <f>D10/$B$2-1</f>
        <v/>
      </c>
    </row>
    <row r="12">
      <c r="A12" s="11" t="inlineStr">
        <is>
          <t>Lowest published case, EGP/share</t>
        </is>
      </c>
      <c r="B12" s="12">
        <f>MIN(D7:D10)</f>
        <v/>
      </c>
    </row>
    <row r="13">
      <c r="A13" s="11" t="inlineStr">
        <is>
          <t>Highest published case, EGP/share</t>
        </is>
      </c>
      <c r="B13" s="12">
        <f>MAX(D7:D10)</f>
        <v/>
      </c>
    </row>
    <row r="15">
      <c r="A15" s="4" t="inlineStr">
        <is>
          <t>Discount rate the last close implies, slower conversion</t>
        </is>
      </c>
      <c r="B15" s="13" t="n">
        <v>0.2905246324533263</v>
      </c>
    </row>
    <row r="16">
      <c r="A16" s="4" t="inlineStr">
        <is>
          <t>Discount rate the last close implies, faster conversion</t>
        </is>
      </c>
      <c r="B16" s="13" t="n">
        <v>0.1656407888144581</v>
      </c>
    </row>
    <row r="17">
      <c r="A17" s="4" t="inlineStr">
        <is>
          <t>Cost of capital, first year</t>
        </is>
      </c>
      <c r="B17" s="13" t="n">
        <v>0.3579340986813324</v>
      </c>
    </row>
    <row r="18">
      <c r="A18" s="4" t="inlineStr">
        <is>
          <t>Cost of capital, once normalised</t>
        </is>
      </c>
      <c r="B18" s="13" t="n">
        <v>0.2193244111908764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43.89059158325536</v>
      </c>
      <c r="C2" s="9" t="n">
        <v>118.9724199380305</v>
      </c>
      <c r="D2" s="4" t="inlineStr">
        <is>
          <t>the order book, hotels and recurring businesses, discounted</t>
        </is>
      </c>
    </row>
    <row r="3">
      <c r="A3" s="4" t="inlineStr">
        <is>
          <t>Book value and sustainable return</t>
        </is>
      </c>
      <c r="B3" s="9" t="n">
        <v>3.326271266868016</v>
      </c>
      <c r="C3" s="9" t="n">
        <v>12.63251646941587</v>
      </c>
      <c r="D3" s="4" t="inlineStr">
        <is>
          <t>return on equity of 16.7% against a cost of equity of 37.1%</t>
        </is>
      </c>
    </row>
    <row r="4">
      <c r="A4" s="4" t="inlineStr">
        <is>
          <t>Normalised earnings power</t>
        </is>
      </c>
      <c r="B4" s="9" t="n">
        <v>15.44112968405148</v>
      </c>
      <c r="C4" s="9" t="n">
        <v>23.76576967997966</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Normalised annual contracted sales, EGP mn</t>
        </is>
      </c>
      <c r="B13" s="16" t="n">
        <v>300000</v>
      </c>
      <c r="C13" s="6" t="inlineStr">
        <is>
          <t>below the 2025 figure and far below 2024's launch year</t>
        </is>
      </c>
    </row>
    <row r="14">
      <c r="A14" s="4" t="inlineStr">
        <is>
          <t>Contracted sales, nominal growth factor a year (flat in real terms)</t>
        </is>
      </c>
      <c r="B14" s="5" t="n">
        <v>1.15</v>
      </c>
      <c r="C14" s="6" t="inlineStr">
        <is>
          <t>held flat in real terms against the inflation inside the terminal rate; the order-book guard still caps recognised revenue at what has been sold</t>
        </is>
      </c>
    </row>
    <row r="15">
      <c r="A15" s="4" t="inlineStr">
        <is>
          <t>Long-run growth</t>
        </is>
      </c>
      <c r="B15" s="14" t="n">
        <v>0.07000000000000001</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183703.1858848733</v>
      </c>
    </row>
    <row r="3">
      <c r="A3" s="4" t="inlineStr">
        <is>
          <t>Present value of the order book beyond it</t>
        </is>
      </c>
      <c r="B3" s="7" t="n">
        <v>14029.00760827959</v>
      </c>
    </row>
    <row r="4">
      <c r="A4" s="4" t="inlineStr">
        <is>
          <t>Present value of the recurring businesses beyond it</t>
        </is>
      </c>
      <c r="B4" s="7" t="n">
        <v>23973.53393782507</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their share of value (adopted)</t>
        </is>
      </c>
      <c r="B12" s="7" t="n">
        <v>-64816.58485299512</v>
      </c>
    </row>
    <row r="13">
      <c r="A13" s="4" t="inlineStr">
        <is>
          <t xml:space="preserve">  reference: minority at book</t>
        </is>
      </c>
      <c r="B13" s="7" t="n">
        <v>-75652.8</v>
      </c>
    </row>
    <row r="14">
      <c r="A14" s="11" t="inlineStr">
        <is>
          <t>Equity attributable to TMG's shareholders</t>
        </is>
      </c>
      <c r="B14" s="17">
        <f>B11+B13</f>
        <v/>
      </c>
    </row>
    <row r="15">
      <c r="A15" s="4" t="inlineStr">
        <is>
          <t>Shares in issue, million</t>
        </is>
      </c>
      <c r="B15" s="18" t="n">
        <v>2060.6538</v>
      </c>
    </row>
    <row r="16">
      <c r="A16" s="11" t="inlineStr">
        <is>
          <t>Value per share, EGP</t>
        </is>
      </c>
      <c r="B16" s="12">
        <f>B14/B15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Cost of revenue</t>
        </is>
      </c>
      <c r="B3" s="8" t="n">
        <v>55039.06173834017</v>
      </c>
      <c r="C3" s="8" t="n">
        <v>64174.32946823943</v>
      </c>
      <c r="D3" s="8" t="n">
        <v>77302.66747989166</v>
      </c>
      <c r="E3" s="8" t="n">
        <v>94438.52682003463</v>
      </c>
      <c r="F3" s="8" t="n">
        <v>115736.5876535516</v>
      </c>
      <c r="G3" s="8" t="n">
        <v>141492.2660154354</v>
      </c>
      <c r="H3" s="8" t="n">
        <v>172146.6095571737</v>
      </c>
      <c r="I3" s="8" t="n">
        <v>208295.7248144375</v>
      </c>
      <c r="J3" s="8" t="n">
        <v>250705.0193436592</v>
      </c>
      <c r="K3" s="8" t="n">
        <v>300328.6937130113</v>
      </c>
    </row>
    <row r="4">
      <c r="A4" s="4" t="inlineStr">
        <is>
          <t>Gross profit</t>
        </is>
      </c>
      <c r="B4" s="8" t="n">
        <v>25463.43642165983</v>
      </c>
      <c r="C4" s="8" t="n">
        <v>29897.56255747486</v>
      </c>
      <c r="D4" s="8" t="n">
        <v>36006.87556953485</v>
      </c>
      <c r="E4" s="8" t="n">
        <v>43843.47521165403</v>
      </c>
      <c r="F4" s="8" t="n">
        <v>53519.80445296489</v>
      </c>
      <c r="G4" s="8" t="n">
        <v>65210.79403048017</v>
      </c>
      <c r="H4" s="8" t="n">
        <v>79157.99802165717</v>
      </c>
      <c r="I4" s="8" t="n">
        <v>95675.85465716344</v>
      </c>
      <c r="J4" s="8" t="n">
        <v>115160.2745787299</v>
      </c>
      <c r="K4" s="8" t="n">
        <v>138099.8341548737</v>
      </c>
    </row>
    <row r="5">
      <c r="A5" s="4" t="inlineStr">
        <is>
          <t>Overheads</t>
        </is>
      </c>
      <c r="B5" s="8" t="n">
        <v>5434.795527759074</v>
      </c>
      <c r="C5" s="8" t="n">
        <v>6350.877423121032</v>
      </c>
      <c r="D5" s="8" t="n">
        <v>7649.628420145507</v>
      </c>
      <c r="E5" s="8" t="n">
        <v>9335.541422797911</v>
      </c>
      <c r="F5" s="8" t="n">
        <v>11426.6501523576</v>
      </c>
      <c r="G5" s="8" t="n">
        <v>13954.70813935368</v>
      </c>
      <c r="H5" s="8" t="n">
        <v>16965.7984359709</v>
      </c>
      <c r="I5" s="8" t="n">
        <v>20521.39273236832</v>
      </c>
      <c r="J5" s="8" t="n">
        <v>24699.89265699154</v>
      </c>
      <c r="K5" s="8" t="n">
        <v>29598.70136902563</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22389.88298683383</v>
      </c>
      <c r="D7" s="8" t="n">
        <v>27180.81013156919</v>
      </c>
      <c r="E7" s="8" t="n">
        <v>33305.23847807592</v>
      </c>
      <c r="F7" s="8" t="n">
        <v>40856.2506838427</v>
      </c>
      <c r="G7" s="8" t="n">
        <v>49975.42453187839</v>
      </c>
      <c r="H7" s="8" t="n">
        <v>60856.30265608912</v>
      </c>
      <c r="I7" s="8" t="n">
        <v>73749.52652997107</v>
      </c>
      <c r="J7" s="8" t="n">
        <v>88969.80175271783</v>
      </c>
      <c r="K7" s="8" t="n">
        <v>106904.921251786</v>
      </c>
    </row>
    <row r="8">
      <c r="A8" s="4" t="inlineStr">
        <is>
          <t>Free cash flow to the firm</t>
        </is>
      </c>
      <c r="B8" s="8" t="n">
        <v>24854.89925771284</v>
      </c>
      <c r="C8" s="8" t="n">
        <v>37015.78597400192</v>
      </c>
      <c r="D8" s="8" t="n">
        <v>47341.39464524954</v>
      </c>
      <c r="E8" s="8" t="n">
        <v>56941.58541237067</v>
      </c>
      <c r="F8" s="8" t="n">
        <v>66665.50635443961</v>
      </c>
      <c r="G8" s="8" t="n">
        <v>77186.22838020876</v>
      </c>
      <c r="H8" s="8" t="n">
        <v>89064.8175333845</v>
      </c>
      <c r="I8" s="8" t="n">
        <v>102799.5568156951</v>
      </c>
      <c r="J8" s="8" t="n">
        <v>118864.633999149</v>
      </c>
      <c r="K8" s="8" t="n">
        <v>137741.5829721244</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row>
    <row r="10">
      <c r="A10" s="11" t="inlineStr">
        <is>
          <t>Present value</t>
        </is>
      </c>
      <c r="B10" s="8">
        <f>B8*B9</f>
        <v/>
      </c>
      <c r="C10" s="8">
        <f>C8*C9</f>
        <v/>
      </c>
      <c r="D10" s="8">
        <f>D8*D9</f>
        <v/>
      </c>
      <c r="E10" s="8">
        <f>E8*E9</f>
        <v/>
      </c>
      <c r="F10" s="8">
        <f>F8*F9</f>
        <v/>
      </c>
      <c r="G10" s="8">
        <f>G8*G9</f>
        <v/>
      </c>
      <c r="H10" s="8">
        <f>H8*H9</f>
        <v/>
      </c>
      <c r="I10" s="8">
        <f>I8*I9</f>
        <v/>
      </c>
      <c r="J10" s="8">
        <f>J8*J9</f>
        <v/>
      </c>
      <c r="K10" s="8">
        <f>K8*K9</f>
        <v/>
      </c>
    </row>
    <row r="12">
      <c r="A12" s="11" t="inlineStr">
        <is>
          <t>Sum of the explicit years</t>
        </is>
      </c>
      <c r="B12" s="17">
        <f>SUM(B10:K10)</f>
        <v/>
      </c>
    </row>
    <row r="13">
      <c r="A13" s="4" t="inlineStr">
        <is>
          <t>Order book still unconverted, present value</t>
        </is>
      </c>
      <c r="B13" s="7" t="n">
        <v>14029.00760827959</v>
      </c>
    </row>
    <row r="14">
      <c r="A14" s="4" t="inlineStr">
        <is>
          <t>Recurring businesses beyond the window, present value</t>
        </is>
      </c>
      <c r="B14" s="7" t="n">
        <v>23973.53393782507</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56407.61054571428</v>
      </c>
      <c r="G2" s="8" t="n">
        <v>67787.94300382653</v>
      </c>
      <c r="H2" s="8" t="n">
        <v>83260.23800805667</v>
      </c>
      <c r="I2" s="8" t="n">
        <v>102747.3456360854</v>
      </c>
      <c r="J2" s="8" t="n">
        <v>126303.0301180697</v>
      </c>
      <c r="K2" s="8" t="n">
        <v>154105.7791861549</v>
      </c>
      <c r="L2" s="8" t="n">
        <v>186456.0585756915</v>
      </c>
      <c r="M2" s="8" t="n">
        <v>223776.8181211658</v>
      </c>
      <c r="N2" s="8" t="n">
        <v>266617.139020536</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29897.56255747486</v>
      </c>
      <c r="G5" s="8" t="n">
        <v>36006.87556953485</v>
      </c>
      <c r="H5" s="8" t="n">
        <v>43843.47521165403</v>
      </c>
      <c r="I5" s="8" t="n">
        <v>53519.80445296489</v>
      </c>
      <c r="J5" s="8" t="n">
        <v>65210.79403048017</v>
      </c>
      <c r="K5" s="8" t="n">
        <v>79157.99802165717</v>
      </c>
      <c r="L5" s="8" t="n">
        <v>95675.85465716344</v>
      </c>
      <c r="M5" s="8" t="n">
        <v>115160.2745787299</v>
      </c>
      <c r="N5" s="8" t="n">
        <v>138099.8341548737</v>
      </c>
    </row>
    <row r="6">
      <c r="A6" s="4" t="inlineStr">
        <is>
          <t>Net profit</t>
        </is>
      </c>
      <c r="B6" s="8" t="n">
        <v>3347.3</v>
      </c>
      <c r="C6" s="8" t="n">
        <v>14467.5</v>
      </c>
      <c r="D6" s="8" t="n">
        <v>18202</v>
      </c>
      <c r="E6" s="8" t="n">
        <v>23122.05950777309</v>
      </c>
      <c r="F6" s="8" t="n">
        <v>30416.3091740808</v>
      </c>
      <c r="G6" s="8" t="n">
        <v>41116.78945884039</v>
      </c>
      <c r="H6" s="8" t="n">
        <v>55261.66407290062</v>
      </c>
      <c r="I6" s="8" t="n">
        <v>73096.57805896687</v>
      </c>
      <c r="J6" s="8" t="n">
        <v>95057.01356982463</v>
      </c>
      <c r="K6" s="8" t="n">
        <v>121762.4499763457</v>
      </c>
      <c r="L6" s="8" t="n">
        <v>154020.5717784944</v>
      </c>
      <c r="M6" s="8" t="n">
        <v>192840.4534605274</v>
      </c>
      <c r="N6" s="8" t="n">
        <v>239454.2068958298</v>
      </c>
    </row>
    <row r="7">
      <c r="A7" s="4" t="inlineStr">
        <is>
          <t>Attributable profit</t>
        </is>
      </c>
      <c r="B7" s="8" t="n">
        <v>3313.3</v>
      </c>
      <c r="C7" s="8" t="n">
        <v>10723.1</v>
      </c>
      <c r="D7" s="8" t="n">
        <v>14383.9</v>
      </c>
      <c r="E7" s="8" t="n">
        <v>12667.78110292276</v>
      </c>
      <c r="F7" s="8" t="n">
        <v>16664.04960364995</v>
      </c>
      <c r="G7" s="8" t="n">
        <v>22526.47470025114</v>
      </c>
      <c r="H7" s="8" t="n">
        <v>30275.96497722956</v>
      </c>
      <c r="I7" s="8" t="n">
        <v>40047.10090432943</v>
      </c>
      <c r="J7" s="8" t="n">
        <v>52078.46817431146</v>
      </c>
      <c r="K7" s="8" t="n">
        <v>66709.45822699709</v>
      </c>
      <c r="L7" s="8" t="n">
        <v>84382.57361897438</v>
      </c>
      <c r="M7" s="8" t="n">
        <v>105650.6515522587</v>
      </c>
      <c r="N7" s="8" t="n">
        <v>131188.7237428226</v>
      </c>
    </row>
    <row r="8">
      <c r="A8" s="4" t="inlineStr">
        <is>
          <t>Earnings per share, EGP</t>
        </is>
      </c>
      <c r="B8" s="9" t="n">
        <v>1.60788774902412</v>
      </c>
      <c r="C8" s="9" t="n">
        <v>5.203736794603732</v>
      </c>
      <c r="D8" s="9" t="n">
        <v>6.980260342615533</v>
      </c>
      <c r="E8" s="9" t="n">
        <v>6.147457230769553</v>
      </c>
      <c r="F8" s="9" t="n">
        <v>8.086777897213958</v>
      </c>
      <c r="G8" s="9" t="n">
        <v>10.93171240130251</v>
      </c>
      <c r="H8" s="9" t="n">
        <v>14.69240732103062</v>
      </c>
      <c r="I8" s="9" t="n">
        <v>19.43417225364563</v>
      </c>
      <c r="J8" s="9" t="n">
        <v>25.27278875001296</v>
      </c>
      <c r="K8" s="9" t="n">
        <v>32.37295766372647</v>
      </c>
      <c r="L8" s="9" t="n">
        <v>40.9494179075468</v>
      </c>
      <c r="M8" s="9" t="n">
        <v>51.27045190815588</v>
      </c>
      <c r="N8" s="9" t="n">
        <v>63.66364099725175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105313.412801836</v>
      </c>
      <c r="D2" s="8" t="n">
        <v>150394.1337540275</v>
      </c>
      <c r="E2" s="8" t="n">
        <v>211029.247596076</v>
      </c>
      <c r="F2" s="8" t="n">
        <v>288338.1477676696</v>
      </c>
      <c r="G2" s="8" t="n">
        <v>384422.5076297991</v>
      </c>
      <c r="H2" s="8" t="n">
        <v>502311.2551153334</v>
      </c>
      <c r="I2" s="8" t="n">
        <v>645962.0505984955</v>
      </c>
      <c r="J2" s="8" t="n">
        <v>820311.5240462652</v>
      </c>
      <c r="K2" s="8" t="n">
        <v>1031369.819681908</v>
      </c>
      <c r="L2" s="8" t="n">
        <v>1286357.678456881</v>
      </c>
    </row>
    <row r="3">
      <c r="A3" s="4" t="inlineStr">
        <is>
          <t>Properties under development</t>
        </is>
      </c>
      <c r="B3" s="8" t="n">
        <v>148315.4</v>
      </c>
      <c r="C3" s="8" t="n">
        <v>147460.4685</v>
      </c>
      <c r="D3" s="8" t="n">
        <v>152010.4233004347</v>
      </c>
      <c r="E3" s="8" t="n">
        <v>163778.4514025603</v>
      </c>
      <c r="F3" s="8" t="n">
        <v>183964.39721719</v>
      </c>
      <c r="G3" s="8" t="n">
        <v>213411.4997530036</v>
      </c>
      <c r="H3" s="8" t="n">
        <v>252791.6625402379</v>
      </c>
      <c r="I3" s="8" t="n">
        <v>302739.8608315496</v>
      </c>
      <c r="J3" s="8" t="n">
        <v>363952.9312280446</v>
      </c>
      <c r="K3" s="8" t="n">
        <v>437264.0354798542</v>
      </c>
      <c r="L3" s="8" t="n">
        <v>523701.1861971135</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507758.960261836</v>
      </c>
      <c r="D6" s="8" t="n">
        <v>559025.8752061422</v>
      </c>
      <c r="E6" s="8" t="n">
        <v>633617.2082303201</v>
      </c>
      <c r="F6" s="8" t="n">
        <v>733962.7463819084</v>
      </c>
      <c r="G6" s="8" t="n">
        <v>863140.6873201444</v>
      </c>
      <c r="H6" s="8" t="n">
        <v>1025012.561788667</v>
      </c>
      <c r="I6" s="8" t="n">
        <v>1224364.760998716</v>
      </c>
      <c r="J6" s="8" t="n">
        <v>1467064.369359352</v>
      </c>
      <c r="K6" s="8" t="n">
        <v>1760236.383000263</v>
      </c>
      <c r="L6" s="8" t="n">
        <v>2112469.222380843</v>
      </c>
    </row>
    <row r="7">
      <c r="A7" s="4" t="inlineStr">
        <is>
          <t>Customer advances</t>
        </is>
      </c>
      <c r="B7" s="8" t="n">
        <v>133993.1</v>
      </c>
      <c r="C7" s="8" t="n">
        <v>144532.4350849398</v>
      </c>
      <c r="D7" s="8" t="n">
        <v>170382.2557362602</v>
      </c>
      <c r="E7" s="8" t="n">
        <v>210614.741711673</v>
      </c>
      <c r="F7" s="8" t="n">
        <v>264781.4052835296</v>
      </c>
      <c r="G7" s="8" t="n">
        <v>332876.8984340974</v>
      </c>
      <c r="H7" s="8" t="n">
        <v>415315.2997850885</v>
      </c>
      <c r="I7" s="8" t="n">
        <v>512917.8864868911</v>
      </c>
      <c r="J7" s="8" t="n">
        <v>626911.6951547246</v>
      </c>
      <c r="K7" s="8" t="n">
        <v>758938.4508007858</v>
      </c>
      <c r="L7" s="8" t="n">
        <v>911073.7004083837</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321113.5350849398</v>
      </c>
      <c r="D9" s="8" t="n">
        <v>346963.3557362602</v>
      </c>
      <c r="E9" s="8" t="n">
        <v>387195.841711673</v>
      </c>
      <c r="F9" s="8" t="n">
        <v>441362.5052835296</v>
      </c>
      <c r="G9" s="8" t="n">
        <v>509457.9984340974</v>
      </c>
      <c r="H9" s="8" t="n">
        <v>591896.3997850885</v>
      </c>
      <c r="I9" s="8" t="n">
        <v>689498.9864868911</v>
      </c>
      <c r="J9" s="8" t="n">
        <v>803492.7951547246</v>
      </c>
      <c r="K9" s="8" t="n">
        <v>935519.5508007858</v>
      </c>
      <c r="L9" s="8" t="n">
        <v>1087654.800408384</v>
      </c>
    </row>
    <row r="10">
      <c r="A10" s="4" t="inlineStr">
        <is>
          <t>Equity attributable to TMG</t>
        </is>
      </c>
      <c r="B10" s="8" t="n">
        <v>91670.89999999999</v>
      </c>
      <c r="C10" s="8" t="n">
        <v>100538.3467720459</v>
      </c>
      <c r="D10" s="8" t="n">
        <v>112203.1814946009</v>
      </c>
      <c r="E10" s="8" t="n">
        <v>127971.7137847767</v>
      </c>
      <c r="F10" s="8" t="n">
        <v>149164.8892688374</v>
      </c>
      <c r="G10" s="8" t="n">
        <v>177197.859901868</v>
      </c>
      <c r="H10" s="8" t="n">
        <v>213652.787623886</v>
      </c>
      <c r="I10" s="8" t="n">
        <v>260349.408382784</v>
      </c>
      <c r="J10" s="8" t="n">
        <v>319417.209916066</v>
      </c>
      <c r="K10" s="8" t="n">
        <v>393372.6660026471</v>
      </c>
      <c r="L10" s="8" t="n">
        <v>485204.772622623</v>
      </c>
    </row>
    <row r="11">
      <c r="A11" s="4" t="inlineStr">
        <is>
          <t>Non-controlling interests</t>
        </is>
      </c>
      <c r="B11" s="8" t="n">
        <v>75652.8</v>
      </c>
      <c r="C11" s="8" t="n">
        <v>86107.07840485034</v>
      </c>
      <c r="D11" s="8" t="n">
        <v>99859.33797528119</v>
      </c>
      <c r="E11" s="8" t="n">
        <v>118449.6527338704</v>
      </c>
      <c r="F11" s="8" t="n">
        <v>143435.3518295415</v>
      </c>
      <c r="G11" s="8" t="n">
        <v>176484.828984179</v>
      </c>
      <c r="H11" s="8" t="n">
        <v>219463.3743796921</v>
      </c>
      <c r="I11" s="8" t="n">
        <v>274516.3661290408</v>
      </c>
      <c r="J11" s="8" t="n">
        <v>344154.3642885608</v>
      </c>
      <c r="K11" s="8" t="n">
        <v>431344.1661968295</v>
      </c>
      <c r="L11" s="8" t="n">
        <v>539609.6493498367</v>
      </c>
    </row>
    <row r="12">
      <c r="A12" s="4" t="inlineStr">
        <is>
          <t>Total equity</t>
        </is>
      </c>
      <c r="B12" s="8" t="n">
        <v>167323.6</v>
      </c>
      <c r="C12" s="8" t="n">
        <v>186645.4251768963</v>
      </c>
      <c r="D12" s="8" t="n">
        <v>212062.5194698821</v>
      </c>
      <c r="E12" s="8" t="n">
        <v>246421.3665186471</v>
      </c>
      <c r="F12" s="8" t="n">
        <v>292600.2410983789</v>
      </c>
      <c r="G12" s="8" t="n">
        <v>353682.6888860469</v>
      </c>
      <c r="H12" s="8" t="n">
        <v>433116.1620035782</v>
      </c>
      <c r="I12" s="8" t="n">
        <v>534865.7745118248</v>
      </c>
      <c r="J12" s="8" t="n">
        <v>663571.5742046268</v>
      </c>
      <c r="K12" s="8" t="n">
        <v>824716.8321994767</v>
      </c>
      <c r="L12" s="8" t="n">
        <v>1024814.42197246</v>
      </c>
    </row>
    <row r="13">
      <c r="A13" s="11" t="inlineStr">
        <is>
          <t>Assets less liabilities less equity</t>
        </is>
      </c>
      <c r="C13" s="9" t="n">
        <v>-5.820766091346741e-11</v>
      </c>
      <c r="D13" s="9" t="n">
        <v>-5.820766091346741e-11</v>
      </c>
      <c r="E13" s="9" t="n">
        <v>5.820766091346741e-11</v>
      </c>
      <c r="F13" s="9" t="n">
        <v>-1.164153218269348e-10</v>
      </c>
      <c r="G13" s="9" t="n">
        <v>5.820766091346741e-11</v>
      </c>
      <c r="H13" s="9" t="n">
        <v>0</v>
      </c>
      <c r="I13" s="9" t="n">
        <v>-2.328306436538696e-10</v>
      </c>
      <c r="J13" s="9" t="n">
        <v>2.328306436538696e-10</v>
      </c>
      <c r="K13" s="9" t="n">
        <v>1.164153218269348e-10</v>
      </c>
      <c r="L13" s="9"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35659.01649271284</v>
      </c>
      <c r="C2" s="8" t="n">
        <v>52872.9771724865</v>
      </c>
      <c r="D2" s="8" t="n">
        <v>70757.68434994781</v>
      </c>
      <c r="E2" s="8" t="n">
        <v>90445.07714090773</v>
      </c>
      <c r="F2" s="8" t="n">
        <v>112981.8722904856</v>
      </c>
      <c r="G2" s="8" t="n">
        <v>139395.9134928295</v>
      </c>
      <c r="H2" s="8" t="n">
        <v>170752.7353164338</v>
      </c>
      <c r="I2" s="8" t="n">
        <v>208206.245444657</v>
      </c>
      <c r="J2" s="8" t="n">
        <v>253046.6850237995</v>
      </c>
      <c r="K2" s="8" t="n">
        <v>306748.5173202305</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-4999.214881094986</v>
      </c>
      <c r="D4" s="8" t="n">
        <v>-6757.942410075341</v>
      </c>
      <c r="E4" s="8" t="n">
        <v>-9082.789493168868</v>
      </c>
      <c r="F4" s="8" t="n">
        <v>-12014.13027129883</v>
      </c>
      <c r="G4" s="8" t="n">
        <v>-15623.54045229344</v>
      </c>
      <c r="H4" s="8" t="n">
        <v>-20012.83746809913</v>
      </c>
      <c r="I4" s="8" t="n">
        <v>-25314.77208569231</v>
      </c>
      <c r="J4" s="8" t="n">
        <v>-31695.1954656776</v>
      </c>
      <c r="K4" s="8" t="n">
        <v>-39356.61712284679</v>
      </c>
    </row>
    <row r="5">
      <c r="A5" s="4" t="inlineStr">
        <is>
          <t>Movement in customer advances</t>
        </is>
      </c>
      <c r="B5" s="8" t="n">
        <v>10539.33508493975</v>
      </c>
      <c r="C5" s="8" t="n">
        <v>25849.82065132041</v>
      </c>
      <c r="D5" s="8" t="n">
        <v>40232.48597541283</v>
      </c>
      <c r="E5" s="8" t="n">
        <v>54166.66357185664</v>
      </c>
      <c r="F5" s="8" t="n">
        <v>68095.49315056781</v>
      </c>
      <c r="G5" s="8" t="n">
        <v>82438.40135099107</v>
      </c>
      <c r="H5" s="8" t="n">
        <v>97602.58670180256</v>
      </c>
      <c r="I5" s="8" t="n">
        <v>113993.8086678336</v>
      </c>
      <c r="J5" s="8" t="n">
        <v>132026.7556460612</v>
      </c>
      <c r="K5" s="8" t="n">
        <v>152135.249607598</v>
      </c>
    </row>
    <row r="6">
      <c r="A6" s="4" t="inlineStr">
        <is>
          <t>Movement in work in progress</t>
        </is>
      </c>
      <c r="B6" s="8" t="n">
        <v>854.9315000000061</v>
      </c>
      <c r="C6" s="8" t="n">
        <v>-4549.954800434702</v>
      </c>
      <c r="D6" s="8" t="n">
        <v>-11768.02810212557</v>
      </c>
      <c r="E6" s="8" t="n">
        <v>-20185.94581462973</v>
      </c>
      <c r="F6" s="8" t="n">
        <v>-29447.10253581364</v>
      </c>
      <c r="G6" s="8" t="n">
        <v>-39380.16278723434</v>
      </c>
      <c r="H6" s="8" t="n">
        <v>-49948.19829131164</v>
      </c>
      <c r="I6" s="8" t="n">
        <v>-61213.07039649496</v>
      </c>
      <c r="J6" s="8" t="n">
        <v>-73311.10425180959</v>
      </c>
      <c r="K6" s="8" t="n">
        <v>-86437.15071725933</v>
      </c>
    </row>
    <row r="7">
      <c r="A7" s="4" t="inlineStr">
        <is>
          <t>Free cash flow to the firm</t>
        </is>
      </c>
      <c r="B7" s="8" t="n">
        <v>24854.89925771284</v>
      </c>
      <c r="C7" s="8" t="n">
        <v>37015.78597400192</v>
      </c>
      <c r="D7" s="8" t="n">
        <v>47341.39464524954</v>
      </c>
      <c r="E7" s="8" t="n">
        <v>56941.58541237067</v>
      </c>
      <c r="F7" s="8" t="n">
        <v>66665.50635443961</v>
      </c>
      <c r="G7" s="8" t="n">
        <v>77186.22838020876</v>
      </c>
      <c r="H7" s="8" t="n">
        <v>89064.8175333845</v>
      </c>
      <c r="I7" s="8" t="n">
        <v>102799.5568156951</v>
      </c>
      <c r="J7" s="8" t="n">
        <v>118864.633999149</v>
      </c>
      <c r="K7" s="8" t="n">
        <v>137741.5829721244</v>
      </c>
    </row>
    <row r="8">
      <c r="A8" s="4" t="inlineStr">
        <is>
          <t>Closing cash and deposits</t>
        </is>
      </c>
      <c r="B8" s="8" t="n">
        <v>105313.412801836</v>
      </c>
      <c r="C8" s="8" t="n">
        <v>150394.1337540275</v>
      </c>
      <c r="D8" s="8" t="n">
        <v>211029.247596076</v>
      </c>
      <c r="E8" s="8" t="n">
        <v>288338.1477676696</v>
      </c>
      <c r="F8" s="8" t="n">
        <v>384422.5076297991</v>
      </c>
      <c r="G8" s="8" t="n">
        <v>502311.2551153334</v>
      </c>
      <c r="H8" s="8" t="n">
        <v>645962.0505984955</v>
      </c>
      <c r="I8" s="8" t="n">
        <v>820311.5240462652</v>
      </c>
      <c r="J8" s="8" t="n">
        <v>1031369.819681908</v>
      </c>
      <c r="K8" s="8" t="n">
        <v>1286357.678456881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Gross margin</t>
        </is>
      </c>
      <c r="B3" s="10" t="n">
        <v>0.316306164450336</v>
      </c>
      <c r="C3" s="10" t="n">
        <v>0.3178161075925043</v>
      </c>
      <c r="D3" s="10" t="n">
        <v>0.3177744310011767</v>
      </c>
      <c r="E3" s="10" t="n">
        <v>0.3170584354253627</v>
      </c>
      <c r="F3" s="10" t="n">
        <v>0.316205513935827</v>
      </c>
      <c r="G3" s="10" t="n">
        <v>0.3154805449711036</v>
      </c>
      <c r="H3" s="10" t="n">
        <v>0.3149882478649994</v>
      </c>
      <c r="I3" s="10" t="n">
        <v>0.3147526318857783</v>
      </c>
      <c r="J3" s="10" t="n">
        <v>0.3147614067027598</v>
      </c>
      <c r="K3" s="10" t="n">
        <v>0.3149882486581447</v>
      </c>
    </row>
    <row r="4">
      <c r="A4" s="4" t="inlineStr">
        <is>
          <t>Operating margin</t>
        </is>
      </c>
      <c r="B4" s="10" t="n">
        <v>0.2346008002927391</v>
      </c>
      <c r="C4" s="10" t="n">
        <v>0.238008213768185</v>
      </c>
      <c r="D4" s="10" t="n">
        <v>0.2398810320831733</v>
      </c>
      <c r="E4" s="10" t="n">
        <v>0.2408501322568623</v>
      </c>
      <c r="F4" s="10" t="n">
        <v>0.2413867516337642</v>
      </c>
      <c r="G4" s="10" t="n">
        <v>0.241773994641285</v>
      </c>
      <c r="H4" s="10" t="n">
        <v>0.242161507671519</v>
      </c>
      <c r="I4" s="10" t="n">
        <v>0.2426198089248053</v>
      </c>
      <c r="J4" s="10" t="n">
        <v>0.2431763909576812</v>
      </c>
      <c r="K4" s="10" t="n">
        <v>0.2438365992552395</v>
      </c>
    </row>
    <row r="5">
      <c r="A5" s="4" t="inlineStr">
        <is>
          <t>Net profit</t>
        </is>
      </c>
      <c r="B5" s="8" t="n">
        <v>23122.05950777309</v>
      </c>
      <c r="C5" s="8" t="n">
        <v>30416.3091740808</v>
      </c>
      <c r="D5" s="8" t="n">
        <v>41116.78945884039</v>
      </c>
      <c r="E5" s="8" t="n">
        <v>55261.66407290062</v>
      </c>
      <c r="F5" s="8" t="n">
        <v>73096.57805896687</v>
      </c>
      <c r="G5" s="8" t="n">
        <v>95057.01356982463</v>
      </c>
      <c r="H5" s="8" t="n">
        <v>121762.4499763457</v>
      </c>
      <c r="I5" s="8" t="n">
        <v>154020.5717784944</v>
      </c>
      <c r="J5" s="8" t="n">
        <v>192840.4534605274</v>
      </c>
      <c r="K5" s="8" t="n">
        <v>239454.2068958298</v>
      </c>
    </row>
    <row r="6">
      <c r="A6" s="4" t="inlineStr">
        <is>
          <t>Attributable profit</t>
        </is>
      </c>
      <c r="B6" s="8" t="n">
        <v>12667.78110292276</v>
      </c>
      <c r="C6" s="8" t="n">
        <v>16664.04960364995</v>
      </c>
      <c r="D6" s="8" t="n">
        <v>22526.47470025114</v>
      </c>
      <c r="E6" s="8" t="n">
        <v>30275.96497722956</v>
      </c>
      <c r="F6" s="8" t="n">
        <v>40047.10090432943</v>
      </c>
      <c r="G6" s="8" t="n">
        <v>52078.46817431146</v>
      </c>
      <c r="H6" s="8" t="n">
        <v>66709.45822699709</v>
      </c>
      <c r="I6" s="8" t="n">
        <v>84382.57361897438</v>
      </c>
      <c r="J6" s="8" t="n">
        <v>105650.6515522587</v>
      </c>
      <c r="K6" s="8" t="n">
        <v>131188.7237428226</v>
      </c>
    </row>
    <row r="7">
      <c r="A7" s="4" t="inlineStr">
        <is>
          <t>Earnings per share, EGP</t>
        </is>
      </c>
      <c r="B7" s="9" t="n">
        <v>6.147457230769553</v>
      </c>
      <c r="C7" s="9" t="n">
        <v>8.086777897213958</v>
      </c>
      <c r="D7" s="9" t="n">
        <v>10.93171240130251</v>
      </c>
      <c r="E7" s="9" t="n">
        <v>14.69240732103062</v>
      </c>
      <c r="F7" s="9" t="n">
        <v>19.43417225364563</v>
      </c>
      <c r="G7" s="9" t="n">
        <v>25.27278875001296</v>
      </c>
      <c r="H7" s="9" t="n">
        <v>32.37295766372647</v>
      </c>
      <c r="I7" s="9" t="n">
        <v>40.9494179075468</v>
      </c>
      <c r="J7" s="9" t="n">
        <v>51.27045190815588</v>
      </c>
      <c r="K7" s="9" t="n">
        <v>63.66364099725175</v>
      </c>
    </row>
    <row r="8">
      <c r="A8" s="4" t="inlineStr">
        <is>
          <t>New contracted sales</t>
        </is>
      </c>
      <c r="B8" s="8" t="n">
        <v>300000</v>
      </c>
      <c r="C8" s="8" t="n">
        <v>345000</v>
      </c>
      <c r="D8" s="8" t="n">
        <v>396749.9999999999</v>
      </c>
      <c r="E8" s="8" t="n">
        <v>456262.4999999999</v>
      </c>
      <c r="F8" s="8" t="n">
        <v>524701.8749999999</v>
      </c>
      <c r="G8" s="8" t="n">
        <v>603407.1562499998</v>
      </c>
      <c r="H8" s="8" t="n">
        <v>693918.2296874997</v>
      </c>
      <c r="I8" s="8" t="n">
        <v>798005.9641406246</v>
      </c>
      <c r="J8" s="8" t="n">
        <v>917706.8587617183</v>
      </c>
      <c r="K8" s="8" t="n">
        <v>1055362.887575976</v>
      </c>
    </row>
    <row r="9">
      <c r="A9" s="4" t="inlineStr">
        <is>
          <t>Order book, closing</t>
        </is>
      </c>
      <c r="B9" s="8" t="n">
        <v>741662.77584</v>
      </c>
      <c r="C9" s="8" t="n">
        <v>1030255.165294286</v>
      </c>
      <c r="D9" s="8" t="n">
        <v>1359217.222290459</v>
      </c>
      <c r="E9" s="8" t="n">
        <v>1732219.484282402</v>
      </c>
      <c r="F9" s="8" t="n">
        <v>2154174.013646317</v>
      </c>
      <c r="G9" s="8" t="n">
        <v>2631278.139778247</v>
      </c>
      <c r="H9" s="8" t="n">
        <v>3171090.590279592</v>
      </c>
      <c r="I9" s="8" t="n">
        <v>3782640.495844525</v>
      </c>
      <c r="J9" s="8" t="n">
        <v>4476570.536485078</v>
      </c>
      <c r="K9" s="8" t="n">
        <v>5265316.285040517</v>
      </c>
    </row>
    <row r="10">
      <c r="A10" s="4" t="inlineStr">
        <is>
          <t>Order book, years of deliveries</t>
        </is>
      </c>
      <c r="B10" s="9" t="n">
        <v>15.03251932931608</v>
      </c>
      <c r="C10" s="9" t="n">
        <v>18.26447096991174</v>
      </c>
      <c r="D10" s="9" t="n">
        <v>20.05101736475074</v>
      </c>
      <c r="E10" s="9" t="n">
        <v>20.80488268739737</v>
      </c>
      <c r="F10" s="9" t="n">
        <v>20.96573882576057</v>
      </c>
      <c r="G10" s="9" t="n">
        <v>20.83305631953956</v>
      </c>
      <c r="H10" s="9" t="n">
        <v>20.57736320484786</v>
      </c>
      <c r="I10" s="9" t="n">
        <v>20.28703451493892</v>
      </c>
      <c r="J10" s="9" t="n">
        <v>20.00462145306401</v>
      </c>
      <c r="K10" s="9" t="n">
        <v>19.74860395090715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t>
        </is>
      </c>
      <c r="C1" s="3" t="inlineStr">
        <is>
          <t>Faster conversion, EGP/share (minority at book)</t>
        </is>
      </c>
      <c r="D1" s="3" t="inlineStr">
        <is>
          <t>Against last close</t>
        </is>
      </c>
    </row>
    <row r="2">
      <c r="A2" s="20" t="n">
        <v>0.2437485685188716</v>
      </c>
      <c r="B2" s="9" t="n">
        <v>211.95934597485</v>
      </c>
      <c r="C2" s="9" t="n">
        <v>122.1265482723757</v>
      </c>
      <c r="D2" s="10">
        <f>B2/'Summary'!$B$2-1</f>
        <v/>
      </c>
    </row>
    <row r="3">
      <c r="A3" s="20" t="n">
        <v>0.2837485685188716</v>
      </c>
      <c r="B3" s="9" t="n">
        <v>152.3943501597619</v>
      </c>
      <c r="C3" s="9" t="n">
        <v>70.10034183574056</v>
      </c>
      <c r="D3" s="10">
        <f>B3/'Summary'!$B$2-1</f>
        <v/>
      </c>
    </row>
    <row r="4">
      <c r="A4" s="20" t="n">
        <v>0.3037485685188716</v>
      </c>
      <c r="B4" s="9" t="n">
        <v>133.7027890895464</v>
      </c>
      <c r="C4" s="9" t="n">
        <v>55.88696664744229</v>
      </c>
      <c r="D4" s="10">
        <f>B4/'Summary'!$B$2-1</f>
        <v/>
      </c>
    </row>
    <row r="5">
      <c r="A5" s="20" t="n">
        <v>0.3237485685188716</v>
      </c>
      <c r="B5" s="9" t="n">
        <v>118.9724199380305</v>
      </c>
      <c r="C5" s="9" t="n">
        <v>45.74742866171763</v>
      </c>
      <c r="D5" s="10">
        <f>B5/'Summary'!$B$2-1</f>
        <v/>
      </c>
    </row>
    <row r="6">
      <c r="A6" s="20" t="n">
        <v>0.3437485685188716</v>
      </c>
      <c r="B6" s="9" t="n">
        <v>107.0313026377783</v>
      </c>
      <c r="C6" s="9" t="n">
        <v>38.35305553607058</v>
      </c>
      <c r="D6" s="10">
        <f>B6/'Summary'!$B$2-1</f>
        <v/>
      </c>
    </row>
    <row r="7">
      <c r="A7" s="20" t="n">
        <v>0.3637485685188716</v>
      </c>
      <c r="B7" s="9" t="n">
        <v>97.14815921409972</v>
      </c>
      <c r="C7" s="9" t="n">
        <v>32.8732712141484</v>
      </c>
      <c r="D7" s="10">
        <f>B7/'Summary'!$B$2-1</f>
        <v/>
      </c>
    </row>
    <row r="8">
      <c r="A8" s="20" t="n">
        <v>0.4037485685188716</v>
      </c>
      <c r="B8" s="9" t="n">
        <v>81.75426375262785</v>
      </c>
      <c r="C8" s="9" t="n">
        <v>25.64354362310214</v>
      </c>
      <c r="D8" s="10">
        <f>B8/'Summary'!$B$2-1</f>
        <v/>
      </c>
    </row>
    <row r="10">
      <c r="A10" s="3" t="inlineStr">
        <is>
          <t>Years to convert the order book</t>
        </is>
      </c>
      <c r="B10" s="3" t="inlineStr">
        <is>
          <t>EGP per share</t>
        </is>
      </c>
    </row>
    <row r="11">
      <c r="A11" s="4" t="n">
        <v>8</v>
      </c>
      <c r="B11" s="9" t="n">
        <v>37.36344227330636</v>
      </c>
    </row>
    <row r="12">
      <c r="A12" s="4" t="n">
        <v>10</v>
      </c>
      <c r="B12" s="9" t="n">
        <v>70.22115890128019</v>
      </c>
    </row>
    <row r="13">
      <c r="A13" s="4" t="n">
        <v>12</v>
      </c>
      <c r="B13" s="9" t="n">
        <v>94.4729254177726</v>
      </c>
    </row>
    <row r="14">
      <c r="A14" s="4" t="n">
        <v>14</v>
      </c>
      <c r="B14" s="9" t="n">
        <v>113.2392192375924</v>
      </c>
    </row>
    <row r="15">
      <c r="A15" s="4" t="n">
        <v>16</v>
      </c>
      <c r="B15" s="9" t="n">
        <v>128.244470063715</v>
      </c>
    </row>
    <row r="16">
      <c r="A16" s="4" t="n">
        <v>20</v>
      </c>
      <c r="B16" s="9" t="n">
        <v>150.7963229539649</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0.3714622808056017</v>
      </c>
    </row>
    <row r="8">
      <c r="A8" s="4" t="inlineStr">
        <is>
          <t>Cost of equity, swap basis</t>
        </is>
      </c>
      <c r="B8" s="13" t="n">
        <v>0.3343918983056465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11.53</v>
      </c>
      <c r="C2" s="4" t="inlineStr">
        <is>
          <t>2026-07-28</t>
        </is>
      </c>
      <c r="D2" s="4" t="inlineStr">
        <is>
          <t>off-plan developer, comparable payment plans and handover clock</t>
        </is>
      </c>
    </row>
    <row r="3">
      <c r="A3" s="4" t="inlineStr">
        <is>
          <t>Sixth of October Development &amp; Investment (SODIC)</t>
        </is>
      </c>
      <c r="B3" s="9" t="n">
        <v>27.48</v>
      </c>
      <c r="C3" s="4" t="inlineStr">
        <is>
          <t>2026-07-27</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40.16</v>
      </c>
      <c r="C6" s="4" t="inlineStr">
        <is>
          <t>2026-07-27</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2026-09-03T19:39:51Z</dcterms:created>
  <dcterms:modified xmlns:dcterms="http://purl.org/dc/terms/" xmlns:xsi="http://www.w3.org/2001/XMLSchema-instance" xsi:type="dcterms:W3CDTF">2026-09-03T19:39:51Z</dcterms:modified>
</cp:coreProperties>
</file>