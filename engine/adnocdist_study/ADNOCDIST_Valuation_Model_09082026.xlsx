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%"/>
    <numFmt numFmtId="166" formatCode="#,##0.0"/>
    <numFmt numFmtId="167" formatCode="0.000"/>
    <numFmt numFmtId="168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b val="1"/>
      <color rgb="001C3A36"/>
      <sz val="10"/>
    </font>
    <font>
      <name val="Calibri"/>
      <color rgb="001C3A36"/>
      <sz val="10"/>
    </font>
    <font>
      <name val="Calibri"/>
      <i val="1"/>
      <color rgb="006E7B77"/>
      <sz val="8.800000000000001"/>
    </font>
    <font>
      <name val="Calibri"/>
      <color rgb="000B4F9E"/>
      <sz val="10"/>
    </font>
    <font>
      <name val="Calibri"/>
      <b val="1"/>
      <color rgb="000B4F9E"/>
      <sz val="1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6">
    <border>
      <left/>
      <right/>
      <top/>
      <bottom/>
      <diagonal/>
    </border>
    <border>
      <left style="thin">
        <color rgb="00C9D4D1"/>
      </left>
      <right style="thin">
        <color rgb="00C9D4D1"/>
      </right>
      <top style="thin">
        <color rgb="00C9D4D1"/>
      </top>
      <bottom style="thin">
        <color rgb="00C9D4D1"/>
      </bottom>
    </border>
    <border>
      <left/>
      <right/>
      <top style="thin">
        <color rgb="00C9D4D1"/>
      </top>
      <bottom/>
      <diagonal/>
    </border>
    <border>
      <left/>
      <right style="thin">
        <color rgb="00C9D4D1"/>
      </right>
      <top style="thin">
        <color rgb="00C9D4D1"/>
      </top>
      <bottom/>
      <diagonal/>
    </border>
    <border>
      <left/>
      <right/>
      <top style="thin">
        <color rgb="00C9D4D1"/>
      </top>
      <bottom style="thin">
        <color rgb="00C9D4D1"/>
      </bottom>
      <diagonal/>
    </border>
    <border>
      <left/>
      <right style="thin">
        <color rgb="00C9D4D1"/>
      </right>
      <top style="thin">
        <color rgb="00C9D4D1"/>
      </top>
      <bottom style="thin">
        <color rgb="00C9D4D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4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5" fontId="2" fillId="4" borderId="1" pivotButton="0" quotePrefix="0" xfId="0"/>
    <xf numFmtId="4" fontId="2" fillId="4" borderId="1" pivotButton="0" quotePrefix="0" xfId="0"/>
    <xf numFmtId="4" fontId="2" fillId="0" borderId="1" pivotButton="0" quotePrefix="0" xfId="0"/>
    <xf numFmtId="165" fontId="5" fillId="0" borderId="1" pivotButton="0" quotePrefix="0" xfId="0"/>
    <xf numFmtId="165" fontId="2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3" fontId="2" fillId="0" borderId="1" pivotButton="0" quotePrefix="0" xfId="0"/>
    <xf numFmtId="10" fontId="5" fillId="0" borderId="1" pivotButton="0" quotePrefix="0" xfId="0"/>
    <xf numFmtId="10" fontId="2" fillId="0" borderId="1" pivotButton="0" quotePrefix="0" xfId="0"/>
    <xf numFmtId="3" fontId="5" fillId="0" borderId="1" pivotButton="0" quotePrefix="0" xfId="0"/>
    <xf numFmtId="164" fontId="2" fillId="0" borderId="1" pivotButton="0" quotePrefix="0" xfId="0"/>
    <xf numFmtId="3" fontId="3" fillId="0" borderId="1" pivotButton="0" quotePrefix="0" xfId="0"/>
    <xf numFmtId="166" fontId="5" fillId="0" borderId="1" pivotButton="0" quotePrefix="0" xfId="0"/>
    <xf numFmtId="3" fontId="2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66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8" fontId="3" fillId="0" borderId="1" pivotButton="0" quotePrefix="0" xfId="0"/>
    <xf numFmtId="10" fontId="3" fillId="0" borderId="1" pivotButton="0" quotePrefix="0" xfId="0"/>
    <xf numFmtId="168" fontId="2" fillId="4" borderId="1" pivotButton="0" quotePrefix="0" xfId="0"/>
    <xf numFmtId="167" fontId="3" fillId="0" borderId="1" pivotButton="0" quotePrefix="0" xfId="0"/>
    <xf numFmtId="3" fontId="6" fillId="4" borderId="1" pivotButton="0" quotePrefix="0" xfId="0"/>
    <xf numFmtId="3" fontId="6" fillId="0" borderId="1" pivotButton="0" quotePrefix="0" xfId="0"/>
    <xf numFmtId="164" fontId="6" fillId="0" borderId="1" pivotButton="0" quotePrefix="0" xfId="0"/>
    <xf numFmtId="168" fontId="5" fillId="0" borderId="1" pivotButton="0" quotePrefix="0" xfId="0"/>
    <xf numFmtId="168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  <col width="96" customWidth="1" min="2" max="2"/>
  </cols>
  <sheetData>
    <row r="1">
      <c r="A1" s="1" t="inlineStr">
        <is>
          <t>ADNOC Distribution — valuation model</t>
        </is>
      </c>
      <c r="B1" s="2" t="inlineStr">
        <is>
          <t>Abu Dhabi National Oil Company for Distribution PJSC · Abu Dhabi Securities Exchange · AED · study date 2026-08-09 · price date 2026-08-07</t>
        </is>
      </c>
    </row>
    <row r="3" ht="46" customHeight="1">
      <c r="A3" s="3" t="inlineStr">
        <is>
          <t>THIS WORKBOOK CALCULATES</t>
        </is>
      </c>
      <c r="B3" s="4" t="inlineStr">
        <is>
          <t>Everything that can be derived from a driver is a live formula. Change a driver on the Assumptions sheet and the cost of capital, the glide, the discount factors, the cash-flow waterfall, the terminal block, the statements and every ratio all move.</t>
        </is>
      </c>
    </row>
    <row r="4" ht="46" customHeight="1">
      <c r="A4" s="3" t="inlineStr">
        <is>
          <t>BLUE IS AN INPUT, BLACK IS A FORMULA</t>
        </is>
      </c>
      <c r="B4" s="4" t="inlineStr">
        <is>
          <t>That is the whole colour code. A blue cell is a number that came from somewhere; a black one is computed by the sheet from cells above it.</t>
        </is>
      </c>
    </row>
    <row r="5" ht="46" customHeight="1">
      <c r="A5" s="3" t="inlineStr">
        <is>
          <t>ONLY THREE KINDS OF CELL ARE PASTED — 1. AUDITED AND DISCLOSED HISTORY</t>
        </is>
      </c>
      <c r="B5" s="4" t="inlineStr">
        <is>
          <t>The FY2023, FY2024 and FY2025 statement columns and the disclosed operating figures (volumes, station counts, segment gross profit). Where a line is both disclosed and derivable, the DISCLOSED figure is carried, because that is what the company reported.</t>
        </is>
      </c>
    </row>
    <row r="6" ht="46" customHeight="1">
      <c r="A6" s="3" t="inlineStr">
        <is>
          <t>2. THE OUTPUT OF THE UNIT BUILD</t>
        </is>
      </c>
      <c r="B6" s="4" t="inlineStr">
        <is>
          <t>The opening volumes, prices and margins per litre that the forecast grows from. Flattening the reconciliation behind them into this grid would make it unreadable.</t>
        </is>
      </c>
    </row>
    <row r="7" ht="46" customHeight="1">
      <c r="A7" s="3" t="inlineStr">
        <is>
          <t>3. WHOLE-MODEL RE-RUNS</t>
        </is>
      </c>
      <c r="B7" s="4" t="inlineStr">
        <is>
          <t>The probability map on the Monte Carlo sheet and the grids on the Sensitivity sheet. Each of those cells is a COMPLETE revaluation of the entire model at a different setting. THEY DO NOT REDRAW WHEN A DRIVER CHANGES. Every other number here does.</t>
        </is>
      </c>
    </row>
    <row r="8" ht="46" customHeight="1">
      <c r="A8" s="3" t="inlineStr">
        <is>
          <t>THE CONTESTED JUDGEMENT IS CARRIED BOTH WAYS</t>
        </is>
      </c>
      <c r="B8" s="4" t="inlineStr">
        <is>
          <t>Inventory movements were AED 254m in FY2024, AED 335m in FY2025 and AED 762m in the first half of 2026 alone, against fuel volume growth of 1.6% in that half. Frame A normalises them to zero from FY2027; Frame B carries the FY2024-FY2025 average. Both run all the way through to a value per share and they are NEVER averaged together.</t>
        </is>
      </c>
    </row>
    <row r="9" ht="46" customHeight="1">
      <c r="A9" s="3" t="inlineStr">
        <is>
          <t>WHERE TO START</t>
        </is>
      </c>
      <c r="B9" s="4" t="inlineStr">
        <is>
          <t>Summary for the answer, Assumptions for every driver, Segments for the volume and margin build, DCF for the waterfall and the terminal block, SOTP Bridge for the enterprise-to-equity walk and the terminal share of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44" customWidth="1" min="4" max="4"/>
  </cols>
  <sheetData>
    <row r="1" ht="28" customHeight="1">
      <c r="A1" s="5" t="inlineStr">
        <is>
          <t>Summary valuation</t>
        </is>
      </c>
      <c r="B1" s="6" t="inlineStr">
        <is>
          <t>Frame A (AED)</t>
        </is>
      </c>
      <c r="C1" s="6" t="inlineStr">
        <is>
          <t>Frame B (AED)</t>
        </is>
      </c>
      <c r="D1" s="6" t="inlineStr">
        <is>
          <t>Note</t>
        </is>
      </c>
    </row>
    <row r="2">
      <c r="A2" s="4" t="inlineStr">
        <is>
          <t>Discounted cash flow</t>
        </is>
      </c>
      <c r="B2" s="7">
        <f>'Fundamental Valuation'!B2</f>
        <v/>
      </c>
      <c r="C2" s="7">
        <f>'Fundamental Valuation'!C2</f>
        <v/>
      </c>
      <c r="D2" s="8" t="inlineStr">
        <is>
          <t>the cash the business generates</t>
        </is>
      </c>
    </row>
    <row r="3">
      <c r="A3" s="4" t="inlineStr">
        <is>
          <t>Normalised earnings power</t>
        </is>
      </c>
      <c r="B3" s="7">
        <f>'Fundamental Valuation'!B3</f>
        <v/>
      </c>
      <c r="C3" s="7">
        <f>'Fundamental Valuation'!C3</f>
        <v/>
      </c>
      <c r="D3" s="8" t="inlineStr">
        <is>
          <t>structural gross profit only</t>
        </is>
      </c>
    </row>
    <row r="4">
      <c r="A4" s="4" t="inlineStr">
        <is>
          <t>Relative multiples</t>
        </is>
      </c>
      <c r="B4" s="7">
        <f>'Fundamental Valuation'!B4</f>
        <v/>
      </c>
      <c r="C4" s="7">
        <f>'Fundamental Valuation'!C4</f>
        <v/>
      </c>
      <c r="D4" s="8" t="inlineStr">
        <is>
          <t>triangulated on the company’s own history</t>
        </is>
      </c>
    </row>
    <row r="5">
      <c r="A5" s="4" t="inlineStr">
        <is>
          <t>Book value and sustainable return</t>
        </is>
      </c>
      <c r="B5" s="7">
        <f>'Fundamental Valuation'!B5</f>
        <v/>
      </c>
      <c r="C5" s="7">
        <f>'Fundamental Valuation'!C5</f>
        <v/>
      </c>
      <c r="D5" s="8" t="inlineStr">
        <is>
          <t>return on a deliberately thin equity base</t>
        </is>
      </c>
    </row>
    <row r="6">
      <c r="A6" s="9" t="inlineStr">
        <is>
          <t>TERMINAL VALUE AS A PERCENTAGE OF ENTERPRISE VALUE, beside the cash-flow reading</t>
        </is>
      </c>
      <c r="B6" s="10">
        <f>'SOTP Bridge'!B5</f>
        <v/>
      </c>
      <c r="C6" s="10">
        <f>'SOTP Bridge'!C5</f>
        <v/>
      </c>
      <c r="D6" s="8" t="inlineStr">
        <is>
          <t>it is high, and it is stated here rather than buried</t>
        </is>
      </c>
    </row>
    <row r="7">
      <c r="A7" s="9" t="inlineStr">
        <is>
          <t>WEIGHTED CENTRE</t>
        </is>
      </c>
      <c r="B7" s="11">
        <f>'Fundamental Valuation'!B7</f>
        <v/>
      </c>
      <c r="C7" s="11">
        <f>'Fundamental Valuation'!C7</f>
        <v/>
      </c>
      <c r="D7" s="8" t="inlineStr">
        <is>
          <t>the two frames are published side by side, never averaged</t>
        </is>
      </c>
    </row>
    <row r="8">
      <c r="A8" s="4" t="inlineStr">
        <is>
          <t>Dividend capitalisation (unweighted fifth reading)</t>
        </is>
      </c>
      <c r="B8" s="7">
        <f>'Relative &amp; Normalized'!B23</f>
        <v/>
      </c>
    </row>
    <row r="9">
      <c r="A9" s="3" t="inlineStr">
        <is>
          <t>Market price (AED)</t>
        </is>
      </c>
      <c r="B9" s="12">
        <f>Assumptions!$C$3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 ht="28" customHeight="1">
      <c r="A1" s="5" t="inlineStr">
        <is>
          <t>The four lenses</t>
        </is>
      </c>
      <c r="B1" s="6" t="inlineStr">
        <is>
          <t>Frame A (AED)</t>
        </is>
      </c>
      <c r="C1" s="6" t="inlineStr">
        <is>
          <t>Frame B (AED)</t>
        </is>
      </c>
      <c r="D1" s="6" t="inlineStr">
        <is>
          <t>Weight</t>
        </is>
      </c>
      <c r="E1" s="6" t="inlineStr">
        <is>
          <t>Note</t>
        </is>
      </c>
    </row>
    <row r="2">
      <c r="A2" s="4" t="inlineStr">
        <is>
          <t>Discounted cash flow</t>
        </is>
      </c>
      <c r="B2" s="7">
        <f>'SOTP Bridge'!B10</f>
        <v/>
      </c>
      <c r="C2" s="7">
        <f>'SOTP Bridge'!C10</f>
        <v/>
      </c>
      <c r="D2" s="13" t="n">
        <v>0.4</v>
      </c>
      <c r="E2" s="8" t="inlineStr">
        <is>
          <t>the cash the business generates</t>
        </is>
      </c>
    </row>
    <row r="3">
      <c r="A3" s="4" t="inlineStr">
        <is>
          <t>Normalised earnings power</t>
        </is>
      </c>
      <c r="B3" s="7">
        <f>'Relative &amp; Normalized'!B18</f>
        <v/>
      </c>
      <c r="C3" s="7">
        <f>'Relative &amp; Normalized'!B18</f>
        <v/>
      </c>
      <c r="D3" s="13" t="n">
        <v>0.25</v>
      </c>
      <c r="E3" s="8" t="inlineStr">
        <is>
          <t>structural gross profit only</t>
        </is>
      </c>
    </row>
    <row r="4">
      <c r="A4" s="4" t="inlineStr">
        <is>
          <t>Relative multiples</t>
        </is>
      </c>
      <c r="B4" s="7">
        <f>'Relative &amp; Normalized'!B9</f>
        <v/>
      </c>
      <c r="C4" s="7">
        <f>'Relative &amp; Normalized'!B11</f>
        <v/>
      </c>
      <c r="D4" s="13" t="n">
        <v>0.2</v>
      </c>
      <c r="E4" s="8" t="inlineStr">
        <is>
          <t>triangulated on the company’s own history</t>
        </is>
      </c>
    </row>
    <row r="5">
      <c r="A5" s="4" t="inlineStr">
        <is>
          <t>Book value and sustainable return</t>
        </is>
      </c>
      <c r="B5" s="7">
        <f>'Relative &amp; Normalized'!B22</f>
        <v/>
      </c>
      <c r="C5" s="7">
        <f>'Relative &amp; Normalized'!B22</f>
        <v/>
      </c>
      <c r="D5" s="13" t="n">
        <v>0.15</v>
      </c>
      <c r="E5" s="8" t="inlineStr">
        <is>
          <t>return on a deliberately thin equity base</t>
        </is>
      </c>
    </row>
    <row r="6">
      <c r="A6" s="3" t="inlineStr">
        <is>
          <t>SUM OF WEIGHTS (must be one)</t>
        </is>
      </c>
      <c r="D6" s="14">
        <f>SUM(D2:D5)</f>
        <v/>
      </c>
    </row>
    <row r="7">
      <c r="A7" s="9" t="inlineStr">
        <is>
          <t>WEIGHTED CENTRE</t>
        </is>
      </c>
      <c r="B7" s="11">
        <f>B2*D2+B3*D3+B4*D4+B5*D5</f>
        <v/>
      </c>
      <c r="C7" s="11">
        <f>C2*D2+C3*D3+C4*D4+C5*D5</f>
        <v/>
      </c>
      <c r="E7" s="8" t="inlineStr">
        <is>
          <t>the two frames are NEVER averaged into one number</t>
        </is>
      </c>
    </row>
    <row r="8">
      <c r="A8" s="3" t="inlineStr">
        <is>
          <t>Market price (AED)</t>
        </is>
      </c>
      <c r="B8" s="12">
        <f>Assumptions!$C$3</f>
        <v/>
      </c>
    </row>
    <row r="9">
      <c r="A9" s="3" t="inlineStr">
        <is>
          <t>Difference against the market price</t>
        </is>
      </c>
      <c r="B9" s="14">
        <f>B7/B8-1</f>
        <v/>
      </c>
      <c r="C9" s="14">
        <f>C7/B8-1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Assumption</t>
        </is>
      </c>
      <c r="B1" s="6" t="inlineStr">
        <is>
          <t>Basis</t>
        </is>
      </c>
      <c r="C1" s="6" t="inlineStr">
        <is>
          <t>FY2026E</t>
        </is>
      </c>
      <c r="D1" s="6" t="inlineStr">
        <is>
          <t>FY2027E</t>
        </is>
      </c>
      <c r="E1" s="6" t="inlineStr">
        <is>
          <t>FY2028E</t>
        </is>
      </c>
      <c r="F1" s="6" t="inlineStr">
        <is>
          <t>FY2029E</t>
        </is>
      </c>
      <c r="G1" s="6" t="inlineStr">
        <is>
          <t>FY2030E</t>
        </is>
      </c>
    </row>
    <row r="2">
      <c r="A2" s="1" t="inlineStr">
        <is>
          <t>Market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24" customHeight="1">
      <c r="A3" s="4" t="inlineStr">
        <is>
          <t>Share price (AED)</t>
        </is>
      </c>
      <c r="B3" s="8" t="inlineStr">
        <is>
          <t>close of 2026-08-07</t>
        </is>
      </c>
      <c r="C3" s="15" t="n">
        <v>4.02</v>
      </c>
    </row>
    <row r="4" ht="24" customHeight="1">
      <c r="A4" s="4" t="inlineStr">
        <is>
          <t>Shares in issue (millions)</t>
        </is>
      </c>
      <c r="B4" s="8" t="inlineStr">
        <is>
          <t>issued capital note</t>
        </is>
      </c>
      <c r="C4" s="16" t="n">
        <v>12500</v>
      </c>
    </row>
    <row r="5">
      <c r="A5" s="4" t="inlineStr">
        <is>
          <t>Market capitalisation (AED m)</t>
        </is>
      </c>
      <c r="B5" s="8" t="inlineStr">
        <is>
          <t>calculated</t>
        </is>
      </c>
      <c r="C5" s="17">
        <f>Assumptions!$C$3*Assumptions!$C$4</f>
        <v/>
      </c>
    </row>
    <row r="6">
      <c r="A6" s="1" t="inlineStr">
        <is>
          <t>Cost of capital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 ht="24" customHeight="1">
      <c r="A7" s="4" t="inlineStr">
        <is>
          <t>Government bond yield, local currency</t>
        </is>
      </c>
      <c r="B7" s="8" t="inlineStr">
        <is>
          <t>federal Treasury Bond auction, Jul-2026</t>
        </is>
      </c>
      <c r="C7" s="18" t="n">
        <v>0.0448</v>
      </c>
    </row>
    <row r="8" ht="24" customHeight="1">
      <c r="A8" s="4" t="inlineStr">
        <is>
          <t>Sovereign default spread</t>
        </is>
      </c>
      <c r="B8" s="8" t="inlineStr">
        <is>
          <t>published country-risk file, Jan-2026</t>
        </is>
      </c>
      <c r="C8" s="18" t="n">
        <v>0.0004</v>
      </c>
    </row>
    <row r="9">
      <c r="A9" s="4" t="inlineStr">
        <is>
          <t>Normalised risk-free rate = yield less sovereign spread</t>
        </is>
      </c>
      <c r="B9" s="8" t="inlineStr">
        <is>
          <t>calculated</t>
        </is>
      </c>
      <c r="C9" s="19">
        <f>Assumptions!$C$7-Assumptions!$C$8</f>
        <v/>
      </c>
    </row>
    <row r="10" ht="24" customHeight="1">
      <c r="A10" s="4" t="inlineStr">
        <is>
          <t>Total equity risk premium</t>
        </is>
      </c>
      <c r="B10" s="8" t="inlineStr">
        <is>
          <t>published country-risk file, Jan-2026</t>
        </is>
      </c>
      <c r="C10" s="18" t="n">
        <v>0.0487</v>
      </c>
    </row>
    <row r="11" ht="24" customHeight="1">
      <c r="A11" s="4" t="inlineStr">
        <is>
          <t>Beta</t>
        </is>
      </c>
      <c r="B11" s="8" t="inlineStr">
        <is>
          <t>own five-year weekly regression against the published index of its own exchange</t>
        </is>
      </c>
      <c r="C11" s="16" t="n">
        <v>0.6494</v>
      </c>
    </row>
    <row r="12">
      <c r="A12" s="4" t="inlineStr">
        <is>
          <t>Cost of equity = normalised risk-free + beta x premium</t>
        </is>
      </c>
      <c r="B12" s="8" t="inlineStr">
        <is>
          <t>calculated</t>
        </is>
      </c>
      <c r="C12" s="19">
        <f>Assumptions!$C$9+Assumptions!$C$11*Assumptions!$C$10</f>
        <v/>
      </c>
    </row>
    <row r="13" ht="24" customHeight="1">
      <c r="A13" s="4" t="inlineStr">
        <is>
          <t>Credit margin over the sovereign</t>
        </is>
      </c>
      <c r="B13" s="8" t="inlineStr">
        <is>
          <t>company's own disclosed loan margin</t>
        </is>
      </c>
      <c r="C13" s="18" t="n">
        <v>0.006</v>
      </c>
    </row>
    <row r="14">
      <c r="A14" s="4" t="inlineStr">
        <is>
          <t>Cost of debt before tax = government yield + credit margin</t>
        </is>
      </c>
      <c r="B14" s="8" t="inlineStr">
        <is>
          <t>calculated</t>
        </is>
      </c>
      <c r="C14" s="19">
        <f>Assumptions!$C$7+Assumptions!$C$13</f>
        <v/>
      </c>
    </row>
    <row r="15" ht="24" customHeight="1">
      <c r="A15" s="4" t="inlineStr">
        <is>
          <t>Statutory tax rate</t>
        </is>
      </c>
      <c r="B15" s="8" t="inlineStr">
        <is>
          <t>federal corporate tax</t>
        </is>
      </c>
      <c r="C15" s="13" t="n">
        <v>0.09</v>
      </c>
    </row>
    <row r="16" ht="24" customHeight="1">
      <c r="A16" s="4" t="inlineStr">
        <is>
          <t>Effective tax rate applied to cash flows</t>
        </is>
      </c>
      <c r="B16" s="8" t="inlineStr">
        <is>
          <t>audited tax reconciliation, FY2025</t>
        </is>
      </c>
      <c r="C16" s="18" t="n">
        <v>0.1017</v>
      </c>
    </row>
    <row r="17">
      <c r="A17" s="4" t="inlineStr">
        <is>
          <t>Cost of debt after tax = before tax x (1 less statutory rate)</t>
        </is>
      </c>
      <c r="B17" s="8" t="inlineStr">
        <is>
          <t>calculated</t>
        </is>
      </c>
      <c r="C17" s="19">
        <f>Assumptions!$C$14*(1-Assumptions!$C$15)</f>
        <v/>
      </c>
    </row>
    <row r="18" ht="24" customHeight="1">
      <c r="A18" s="4" t="inlineStr">
        <is>
          <t>Net debt excluding leases (AED m)</t>
        </is>
      </c>
      <c r="B18" s="8" t="inlineStr">
        <is>
          <t>disclosure, FY2025 balance sheet</t>
        </is>
      </c>
      <c r="C18" s="20" t="n">
        <v>2985.121000000001</v>
      </c>
    </row>
    <row r="19">
      <c r="A19" s="4" t="inlineStr">
        <is>
          <t>Equity weight = market capitalisation / (market capitalisation + net debt)</t>
        </is>
      </c>
      <c r="B19" s="8" t="inlineStr">
        <is>
          <t>calculated</t>
        </is>
      </c>
      <c r="C19" s="14">
        <f>Assumptions!$C$5/(Assumptions!$C$5+Assumptions!$C$18)</f>
        <v/>
      </c>
    </row>
    <row r="20">
      <c r="A20" s="4" t="inlineStr">
        <is>
          <t>Debt weight = 1 less the equity weight</t>
        </is>
      </c>
      <c r="B20" s="8" t="inlineStr">
        <is>
          <t>calculated</t>
        </is>
      </c>
      <c r="C20" s="14">
        <f>1-Assumptions!$C$19</f>
        <v/>
      </c>
    </row>
    <row r="21">
      <c r="A21" s="4" t="inlineStr">
        <is>
          <t>Cost of capital, first forecast year</t>
        </is>
      </c>
      <c r="B21" s="8" t="inlineStr">
        <is>
          <t>calculated</t>
        </is>
      </c>
      <c r="C21" s="19">
        <f>Assumptions!$C$19*Assumptions!$C$12+Assumptions!$C$20*Assumptions!$C$17</f>
        <v/>
      </c>
    </row>
    <row r="22">
      <c r="A22" s="4" t="inlineStr">
        <is>
          <t>Terminal beta = the measured beta (flat, pegged market)</t>
        </is>
      </c>
      <c r="B22" s="8" t="inlineStr">
        <is>
          <t>calculated</t>
        </is>
      </c>
      <c r="C22" s="21">
        <f>Assumptions!$C$11</f>
        <v/>
      </c>
    </row>
    <row r="23">
      <c r="A23" s="4" t="inlineStr">
        <is>
          <t>Terminal cost of equity = normalised risk-free + terminal beta x premium</t>
        </is>
      </c>
      <c r="B23" s="8" t="inlineStr">
        <is>
          <t>calculated</t>
        </is>
      </c>
      <c r="C23" s="19">
        <f>Assumptions!$C$9+Assumptions!$C$22*Assumptions!$C$10</f>
        <v/>
      </c>
    </row>
    <row r="24">
      <c r="A24" s="4" t="inlineStr">
        <is>
          <t>Terminal debt weight = today's weight (flat, pegged market)</t>
        </is>
      </c>
      <c r="B24" s="8" t="inlineStr">
        <is>
          <t>calculated</t>
        </is>
      </c>
      <c r="C24" s="14">
        <f>Assumptions!$C$20</f>
        <v/>
      </c>
    </row>
    <row r="25">
      <c r="A25" s="4" t="inlineStr">
        <is>
          <t>Terminal cost of capital = terminal equity and debt weights on their costs</t>
        </is>
      </c>
      <c r="B25" s="8" t="inlineStr">
        <is>
          <t>calculated</t>
        </is>
      </c>
      <c r="C25" s="19">
        <f>(1-Assumptions!$C$24)*Assumptions!$C$23+Assumptions!$C$24*Assumptions!$C$17</f>
        <v/>
      </c>
    </row>
    <row r="26" ht="24" customHeight="1">
      <c r="A26" s="4" t="inlineStr">
        <is>
          <t>Long-run growth after the forecast period</t>
        </is>
      </c>
      <c r="B26" s="8" t="inlineStr">
        <is>
          <t>below domestic inflation</t>
        </is>
      </c>
      <c r="C26" s="18" t="n">
        <v>0.015</v>
      </c>
    </row>
    <row r="27" ht="24" customHeight="1">
      <c r="A27" s="4" t="inlineStr">
        <is>
          <t>Terminal return on invested capital</t>
        </is>
      </c>
      <c r="B27" s="8" t="inlineStr">
        <is>
          <t>fade from the realised return</t>
        </is>
      </c>
      <c r="C27" s="13" t="n">
        <v>0.25</v>
      </c>
    </row>
    <row r="28">
      <c r="A28" s="1" t="inlineStr">
        <is>
          <t>Volume and price drivers — built bottom-up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 ht="24" customHeight="1">
      <c r="A29" s="4" t="inlineStr">
        <is>
          <t>Service-station network growth</t>
        </is>
      </c>
      <c r="B29" s="8" t="inlineStr">
        <is>
          <t>network +11.3% y/y to June 2026</t>
        </is>
      </c>
      <c r="C29" s="18" t="n">
        <v>0.025</v>
      </c>
      <c r="D29" s="18" t="n">
        <v>0.045</v>
      </c>
      <c r="E29" s="18" t="n">
        <v>0.04</v>
      </c>
      <c r="F29" s="18" t="n">
        <v>0.035</v>
      </c>
      <c r="G29" s="18" t="n">
        <v>0.03</v>
      </c>
    </row>
    <row r="30" ht="24" customHeight="1">
      <c r="A30" s="4" t="inlineStr">
        <is>
          <t>Growth in litres sold per station</t>
        </is>
      </c>
      <c r="B30" s="8" t="inlineStr">
        <is>
          <t>realised MINUS 9.3% y/y to June 2026</t>
        </is>
      </c>
      <c r="C30" s="18" t="n">
        <v>-0.01</v>
      </c>
      <c r="D30" s="18" t="n">
        <v>-0.025</v>
      </c>
      <c r="E30" s="18" t="n">
        <v>-0.02</v>
      </c>
      <c r="F30" s="18" t="n">
        <v>-0.01</v>
      </c>
      <c r="G30" s="18" t="n">
        <v>-0.005</v>
      </c>
    </row>
    <row r="31" ht="24" customHeight="1">
      <c r="A31" s="4" t="inlineStr">
        <is>
          <t>Corporate fuel volume growth</t>
        </is>
      </c>
      <c r="B31" s="8" t="inlineStr">
        <is>
          <t>realised MINUS 2.6% in the first half</t>
        </is>
      </c>
      <c r="C31" s="18" t="n">
        <v>0</v>
      </c>
      <c r="D31" s="18" t="n">
        <v>0.005</v>
      </c>
      <c r="E31" s="18" t="n">
        <v>0.01</v>
      </c>
      <c r="F31" s="18" t="n">
        <v>0.01</v>
      </c>
      <c r="G31" s="18" t="n">
        <v>0.01</v>
      </c>
    </row>
    <row r="32" ht="24" customHeight="1">
      <c r="A32" s="4" t="inlineStr">
        <is>
          <t>Aviation fuel volume growth</t>
        </is>
      </c>
      <c r="B32" s="8" t="inlineStr">
        <is>
          <t>realised PLUS 53.9% in the first half, faded</t>
        </is>
      </c>
      <c r="C32" s="18" t="n">
        <v>0</v>
      </c>
      <c r="D32" s="18" t="n">
        <v>0.04</v>
      </c>
      <c r="E32" s="18" t="n">
        <v>0.03</v>
      </c>
      <c r="F32" s="18" t="n">
        <v>0.025</v>
      </c>
      <c r="G32" s="18" t="n">
        <v>0.02</v>
      </c>
    </row>
    <row r="33" ht="24" customHeight="1">
      <c r="A33" s="4" t="inlineStr">
        <is>
          <t>Realised retail price per litre (AED)</t>
        </is>
      </c>
      <c r="B33" s="8" t="inlineStr">
        <is>
          <t>crude-linked price path</t>
        </is>
      </c>
      <c r="C33" s="16" t="n">
        <v>2.42</v>
      </c>
      <c r="D33" s="16" t="n">
        <v>2.34</v>
      </c>
      <c r="E33" s="16" t="n">
        <v>2.363</v>
      </c>
      <c r="F33" s="16" t="n">
        <v>2.387</v>
      </c>
      <c r="G33" s="16" t="n">
        <v>2.411</v>
      </c>
    </row>
    <row r="34" ht="24" customHeight="1">
      <c r="A34" s="4" t="inlineStr">
        <is>
          <t>Realised corporate price per litre (AED)</t>
        </is>
      </c>
      <c r="B34" s="8" t="inlineStr">
        <is>
          <t>crude-linked price path</t>
        </is>
      </c>
      <c r="C34" s="16" t="n">
        <v>3.05</v>
      </c>
      <c r="D34" s="16" t="n">
        <v>2.95</v>
      </c>
      <c r="E34" s="16" t="n">
        <v>2.98</v>
      </c>
      <c r="F34" s="16" t="n">
        <v>3.01</v>
      </c>
      <c r="G34" s="16" t="n">
        <v>3.04</v>
      </c>
    </row>
    <row r="35" ht="24" customHeight="1">
      <c r="A35" s="4" t="inlineStr">
        <is>
          <t>Realised aviation price per litre (AED)</t>
        </is>
      </c>
      <c r="B35" s="8" t="inlineStr">
        <is>
          <t>crude-linked; jet prices ~50% above</t>
        </is>
      </c>
      <c r="C35" s="16" t="n">
        <v>4.55</v>
      </c>
      <c r="D35" s="16" t="n">
        <v>4.4</v>
      </c>
      <c r="E35" s="16" t="n">
        <v>4.44</v>
      </c>
      <c r="F35" s="16" t="n">
        <v>4.49</v>
      </c>
      <c r="G35" s="16" t="n">
        <v>4.53</v>
      </c>
    </row>
    <row r="36" ht="24" customHeight="1">
      <c r="A36" s="4" t="inlineStr">
        <is>
          <t>Retail margin per litre, escalation</t>
        </is>
      </c>
      <c r="B36" s="8" t="inlineStr">
        <is>
          <t>domestic escalator</t>
        </is>
      </c>
      <c r="C36" s="18" t="n">
        <v>0.02</v>
      </c>
      <c r="D36" s="18" t="n">
        <v>0.02</v>
      </c>
      <c r="E36" s="18" t="n">
        <v>0.02</v>
      </c>
      <c r="F36" s="18" t="n">
        <v>0.02</v>
      </c>
      <c r="G36" s="18" t="n">
        <v>0.02</v>
      </c>
    </row>
    <row r="37" ht="24" customHeight="1">
      <c r="A37" s="4" t="inlineStr">
        <is>
          <t>Commercial margin per litre, escalation</t>
        </is>
      </c>
      <c r="B37" s="8" t="inlineStr">
        <is>
          <t>realised step then domestic escalator</t>
        </is>
      </c>
      <c r="C37" s="18" t="n">
        <v>0.17</v>
      </c>
      <c r="D37" s="18" t="n">
        <v>0.02</v>
      </c>
      <c r="E37" s="18" t="n">
        <v>0.02</v>
      </c>
      <c r="F37" s="18" t="n">
        <v>0.02</v>
      </c>
      <c r="G37" s="18" t="n">
        <v>0.02</v>
      </c>
    </row>
    <row r="38" ht="24" customHeight="1">
      <c r="A38" s="4" t="inlineStr">
        <is>
          <t>Fuel transaction growth</t>
        </is>
      </c>
      <c r="B38" s="8" t="inlineStr">
        <is>
          <t>realised +4.9% in the first half</t>
        </is>
      </c>
      <c r="C38" s="18" t="n">
        <v>0.01</v>
      </c>
      <c r="D38" s="18" t="n">
        <v>0.025</v>
      </c>
      <c r="E38" s="18" t="n">
        <v>0.022</v>
      </c>
      <c r="F38" s="18" t="n">
        <v>0.02</v>
      </c>
      <c r="G38" s="18" t="n">
        <v>0.018</v>
      </c>
    </row>
    <row r="39" ht="24" customHeight="1">
      <c r="A39" s="4" t="inlineStr">
        <is>
          <t>Growth in the non-fuel conversion rate</t>
        </is>
      </c>
      <c r="B39" s="8" t="inlineStr">
        <is>
          <t>FELL from 27.0% to 26.2% y/y</t>
        </is>
      </c>
      <c r="C39" s="18" t="n">
        <v>-0.005</v>
      </c>
      <c r="D39" s="18" t="n">
        <v>-0.01</v>
      </c>
      <c r="E39" s="18" t="n">
        <v>0</v>
      </c>
      <c r="F39" s="18" t="n">
        <v>0.005</v>
      </c>
      <c r="G39" s="18" t="n">
        <v>0.005</v>
      </c>
    </row>
    <row r="40" ht="24" customHeight="1">
      <c r="A40" s="4" t="inlineStr">
        <is>
          <t>Growth in the average non-fuel basket</t>
        </is>
      </c>
      <c r="B40" s="8" t="inlineStr">
        <is>
          <t>domestic escalator plus food service</t>
        </is>
      </c>
      <c r="C40" s="18" t="n">
        <v>0.015</v>
      </c>
      <c r="D40" s="18" t="n">
        <v>0.035</v>
      </c>
      <c r="E40" s="18" t="n">
        <v>0.03</v>
      </c>
      <c r="F40" s="18" t="n">
        <v>0.03</v>
      </c>
      <c r="G40" s="18" t="n">
        <v>0.03</v>
      </c>
    </row>
    <row r="41" ht="24" customHeight="1">
      <c r="A41" s="4" t="inlineStr">
        <is>
          <t>Non-fuel retail gross margin</t>
        </is>
      </c>
      <c r="B41" s="8" t="inlineStr">
        <is>
          <t>realised first half 2026</t>
        </is>
      </c>
      <c r="C41" s="13" t="n">
        <v>0.5600000000000001</v>
      </c>
      <c r="D41" s="13" t="n">
        <v>0.5600000000000001</v>
      </c>
      <c r="E41" s="13" t="n">
        <v>0.5600000000000001</v>
      </c>
      <c r="F41" s="13" t="n">
        <v>0.5600000000000001</v>
      </c>
      <c r="G41" s="13" t="n">
        <v>0.5600000000000001</v>
      </c>
    </row>
    <row r="42" ht="24" customHeight="1">
      <c r="A42" s="4" t="inlineStr">
        <is>
          <t>Inventory movement, normalised frame (AED m)</t>
        </is>
      </c>
      <c r="B42" s="8" t="inlineStr">
        <is>
          <t>realised first half only, nil thereafter</t>
        </is>
      </c>
      <c r="C42" s="20" t="n">
        <v>762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24" customHeight="1">
      <c r="A43" s="4" t="inlineStr">
        <is>
          <t>Inventory movement, through-cycle frame (AED m)</t>
        </is>
      </c>
      <c r="B43" s="8" t="inlineStr">
        <is>
          <t>FY2024-FY2025 average carried forward</t>
        </is>
      </c>
      <c r="C43" s="20" t="n">
        <v>950</v>
      </c>
      <c r="D43" s="20" t="n">
        <v>295</v>
      </c>
      <c r="E43" s="20" t="n">
        <v>295</v>
      </c>
      <c r="F43" s="20" t="n">
        <v>295</v>
      </c>
      <c r="G43" s="20" t="n">
        <v>295</v>
      </c>
    </row>
    <row r="44">
      <c r="A44" s="1" t="inlineStr">
        <is>
          <t>Cost, capital spending and working capital</t>
        </is>
      </c>
      <c r="B44" s="2" t="inlineStr"/>
      <c r="C44" s="2" t="inlineStr"/>
      <c r="D44" s="2" t="inlineStr"/>
      <c r="E44" s="2" t="inlineStr"/>
      <c r="F44" s="2" t="inlineStr"/>
      <c r="G44" s="2" t="inlineStr"/>
    </row>
    <row r="45" ht="24" customHeight="1">
      <c r="A45" s="4" t="inlineStr">
        <is>
          <t>Cash operating cost growth</t>
        </is>
      </c>
      <c r="B45" s="8" t="inlineStr">
        <is>
          <t>domestic escalator plus network, less efficiency</t>
        </is>
      </c>
      <c r="C45" s="18" t="n">
        <v>0.04</v>
      </c>
      <c r="D45" s="18" t="n">
        <v>0.04</v>
      </c>
      <c r="E45" s="18" t="n">
        <v>0.04</v>
      </c>
      <c r="F45" s="18" t="n">
        <v>0.04</v>
      </c>
      <c r="G45" s="18" t="n">
        <v>0.04</v>
      </c>
    </row>
    <row r="46" ht="24" customHeight="1">
      <c r="A46" s="4" t="inlineStr">
        <is>
          <t>Other income growth</t>
        </is>
      </c>
      <c r="B46" s="8" t="inlineStr">
        <is>
          <t>domestic escalator</t>
        </is>
      </c>
      <c r="C46" s="18" t="n">
        <v>0.03</v>
      </c>
      <c r="D46" s="18" t="n">
        <v>0.03</v>
      </c>
      <c r="E46" s="18" t="n">
        <v>0.03</v>
      </c>
      <c r="F46" s="18" t="n">
        <v>0.03</v>
      </c>
      <c r="G46" s="18" t="n">
        <v>0.03</v>
      </c>
    </row>
    <row r="47" ht="24" customHeight="1">
      <c r="A47" s="4" t="inlineStr">
        <is>
          <t>Impairments and other operating expenses (AED m)</t>
        </is>
      </c>
      <c r="B47" s="8" t="inlineStr">
        <is>
          <t>realised then normalised</t>
        </is>
      </c>
      <c r="C47" s="20" t="n">
        <v>360</v>
      </c>
      <c r="D47" s="20" t="n">
        <v>220</v>
      </c>
      <c r="E47" s="20" t="n">
        <v>225</v>
      </c>
      <c r="F47" s="20" t="n">
        <v>230</v>
      </c>
      <c r="G47" s="20" t="n">
        <v>235</v>
      </c>
    </row>
    <row r="48" ht="24" customHeight="1">
      <c r="A48" s="4" t="inlineStr">
        <is>
          <t>Depreciation and amortisation (AED m)</t>
        </is>
      </c>
      <c r="B48" s="8" t="inlineStr">
        <is>
          <t>calculated</t>
        </is>
      </c>
      <c r="C48" s="22">
        <f>Segments!C36</f>
        <v/>
      </c>
      <c r="D48" s="22">
        <f>Segments!D36</f>
        <v/>
      </c>
      <c r="E48" s="22">
        <f>Segments!E36</f>
        <v/>
      </c>
      <c r="F48" s="22">
        <f>Segments!F36</f>
        <v/>
      </c>
      <c r="G48" s="22">
        <f>Segments!G36</f>
        <v/>
      </c>
    </row>
    <row r="49" ht="24" customHeight="1">
      <c r="A49" s="4" t="inlineStr">
        <is>
          <t>Capital expenditure (AED m)</t>
        </is>
      </c>
      <c r="B49" s="8" t="inlineStr">
        <is>
          <t>calculated</t>
        </is>
      </c>
      <c r="C49" s="22">
        <f>Segments!C40</f>
        <v/>
      </c>
      <c r="D49" s="22">
        <f>Segments!D40</f>
        <v/>
      </c>
      <c r="E49" s="22">
        <f>Segments!E40</f>
        <v/>
      </c>
      <c r="F49" s="22">
        <f>Segments!F40</f>
        <v/>
      </c>
      <c r="G49" s="22">
        <f>Segments!G40</f>
        <v/>
      </c>
    </row>
    <row r="50" ht="24" customHeight="1">
      <c r="A50" s="4" t="inlineStr">
        <is>
          <t>Depreciation rate on the opening fixed and right-of-use base</t>
        </is>
      </c>
      <c r="B50" s="8" t="inlineStr">
        <is>
          <t>measured off the audited FY2025 accounts</t>
        </is>
      </c>
      <c r="C50" s="18" t="n">
        <v>0.08359999999999999</v>
      </c>
    </row>
    <row r="51" ht="24" customHeight="1">
      <c r="A51" s="4" t="inlineStr">
        <is>
          <t>Maintenance capital spending, share of the opening base</t>
        </is>
      </c>
      <c r="B51" s="8" t="inlineStr">
        <is>
          <t>set equal to the depreciation rate: a network replaces what it consumes</t>
        </is>
      </c>
      <c r="C51" s="18" t="n">
        <v>0.08359999999999999</v>
      </c>
    </row>
    <row r="52" ht="24" customHeight="1">
      <c r="A52" s="4" t="inlineStr">
        <is>
          <t>Capital cost per station added (AED m)</t>
        </is>
      </c>
      <c r="B52" s="8" t="inlineStr">
        <is>
          <t>backed out of the company's own FY2026 guidance</t>
        </is>
      </c>
      <c r="C52" s="16" t="n">
        <v>3.5924</v>
      </c>
    </row>
    <row r="53" ht="24" customHeight="1">
      <c r="A53" s="4" t="inlineStr">
        <is>
          <t>Receivable days including parent balances</t>
        </is>
      </c>
      <c r="B53" s="8" t="inlineStr">
        <is>
          <t>FY2025 statements</t>
        </is>
      </c>
      <c r="C53" s="15" t="n">
        <v>34.47981727637454</v>
      </c>
    </row>
    <row r="54" ht="24" customHeight="1">
      <c r="A54" s="4" t="inlineStr">
        <is>
          <t>Inventory days</t>
        </is>
      </c>
      <c r="B54" s="8" t="inlineStr">
        <is>
          <t>FY2025 statements</t>
        </is>
      </c>
      <c r="C54" s="15" t="n">
        <v>19.84754045195324</v>
      </c>
    </row>
    <row r="55" ht="24" customHeight="1">
      <c r="A55" s="4" t="inlineStr">
        <is>
          <t>Payable days including parent balances</t>
        </is>
      </c>
      <c r="B55" s="8" t="inlineStr">
        <is>
          <t>FY2025 statements</t>
        </is>
      </c>
      <c r="C55" s="15" t="n">
        <v>85.25432762248899</v>
      </c>
    </row>
    <row r="56" ht="24" customHeight="1">
      <c r="A56" s="4" t="inlineStr">
        <is>
          <t>Dividend per share (AED)</t>
        </is>
      </c>
      <c r="B56" s="8" t="inlineStr">
        <is>
          <t>stated policy</t>
        </is>
      </c>
      <c r="C56" s="16" t="n">
        <v>0.2057</v>
      </c>
    </row>
    <row r="57" ht="24" customHeight="1">
      <c r="A57" s="4" t="inlineStr">
        <is>
          <t>Dividend policy floor, share of net profit</t>
        </is>
      </c>
      <c r="B57" s="8" t="inlineStr">
        <is>
          <t>the policy the company states: a minimum of 75%</t>
        </is>
      </c>
      <c r="C57" s="13" t="n">
        <v>0.75</v>
      </c>
    </row>
    <row r="58">
      <c r="A58" s="1" t="inlineStr">
        <is>
          <t>Anchors — the annualised disclosed first half of 2026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 ht="24" customHeight="1">
      <c r="A59" s="4" t="inlineStr">
        <is>
          <t>Service stations, June 2026</t>
        </is>
      </c>
      <c r="B59" s="8" t="inlineStr">
        <is>
          <t>disclosure</t>
        </is>
      </c>
      <c r="C59" s="23" t="n">
        <v>1045</v>
      </c>
    </row>
    <row r="60" ht="24" customHeight="1">
      <c r="A60" s="4" t="inlineStr">
        <is>
          <t>Service stations, FY2025 year end</t>
        </is>
      </c>
      <c r="B60" s="8" t="inlineStr">
        <is>
          <t>disclosure</t>
        </is>
      </c>
      <c r="C60" s="23" t="n">
        <v>1010</v>
      </c>
    </row>
    <row r="61" ht="24" customHeight="1">
      <c r="A61" s="4" t="inlineStr">
        <is>
          <t>Litres per station, first half annualised (million)</t>
        </is>
      </c>
      <c r="B61" s="8" t="inlineStr">
        <is>
          <t>disclosed retail volume over the disclosed station count</t>
        </is>
      </c>
      <c r="C61" s="16" t="n">
        <v>10.288995215311</v>
      </c>
    </row>
    <row r="62" ht="24" customHeight="1">
      <c r="A62" s="4" t="inlineStr">
        <is>
          <t>Corporate fuel volume, first half annualised (million litres)</t>
        </is>
      </c>
      <c r="B62" s="8" t="inlineStr">
        <is>
          <t>disclosure</t>
        </is>
      </c>
      <c r="C62" s="16" t="n">
        <v>4030</v>
      </c>
    </row>
    <row r="63" ht="24" customHeight="1">
      <c r="A63" s="4" t="inlineStr">
        <is>
          <t>Aviation fuel volume, first half annualised (million litres)</t>
        </is>
      </c>
      <c r="B63" s="8" t="inlineStr">
        <is>
          <t>disclosure</t>
        </is>
      </c>
      <c r="C63" s="16" t="n">
        <v>714</v>
      </c>
    </row>
    <row r="64" ht="24" customHeight="1">
      <c r="A64" s="4" t="inlineStr">
        <is>
          <t>Fuel transactions, first half annualised (million)</t>
        </is>
      </c>
      <c r="B64" s="8" t="inlineStr">
        <is>
          <t>disclosure</t>
        </is>
      </c>
      <c r="C64" s="23" t="n">
        <v>201.8</v>
      </c>
    </row>
    <row r="65" ht="24" customHeight="1">
      <c r="A65" s="4" t="inlineStr">
        <is>
          <t>Non-fuel conversion rate, first half 2026</t>
        </is>
      </c>
      <c r="B65" s="8" t="inlineStr">
        <is>
          <t>disclosed non-fuel transactions over disclosed fuel transactions</t>
        </is>
      </c>
      <c r="C65" s="13" t="n">
        <v>0.2616451932606541</v>
      </c>
    </row>
    <row r="66" ht="24" customHeight="1">
      <c r="A66" s="4" t="inlineStr">
        <is>
          <t>Average non-fuel basket, first half 2026 (AED)</t>
        </is>
      </c>
      <c r="B66" s="8" t="inlineStr">
        <is>
          <t>disclosed non-fuel revenue over disclosed non-fuel transactions</t>
        </is>
      </c>
      <c r="C66" s="15" t="n">
        <v>35.12958333333334</v>
      </c>
    </row>
    <row r="67">
      <c r="A67" s="1" t="inlineStr">
        <is>
          <t>Opening position, from the audited FY2025 balance sheet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 ht="24" customHeight="1">
      <c r="A68" s="4" t="inlineStr">
        <is>
          <t>Retail fuel volume, FY2025 (million litres)</t>
        </is>
      </c>
      <c r="B68" s="8" t="inlineStr">
        <is>
          <t>disclosure</t>
        </is>
      </c>
      <c r="C68" s="20" t="n">
        <v>11042</v>
      </c>
    </row>
    <row r="69" ht="24" customHeight="1">
      <c r="A69" s="4" t="inlineStr">
        <is>
          <t>Commercial fuel volume, FY2025 (million litres)</t>
        </is>
      </c>
      <c r="B69" s="8" t="inlineStr">
        <is>
          <t>disclosure</t>
        </is>
      </c>
      <c r="C69" s="20" t="n">
        <v>4668</v>
      </c>
    </row>
    <row r="70" ht="24" customHeight="1">
      <c r="A70" s="4" t="inlineStr">
        <is>
          <t>Retail margin per litre, first half 2026 (AED)</t>
        </is>
      </c>
      <c r="B70" s="8" t="inlineStr">
        <is>
          <t>unit build: segment gross profit less inventory movement, over volume</t>
        </is>
      </c>
      <c r="C70" s="16" t="n">
        <v>0.3597470238095238</v>
      </c>
    </row>
    <row r="71" ht="24" customHeight="1">
      <c r="A71" s="4" t="inlineStr">
        <is>
          <t>Commercial margin per litre, first half 2026 (AED)</t>
        </is>
      </c>
      <c r="B71" s="8" t="inlineStr">
        <is>
          <t>unit build: segment gross profit less inventory movement, over volume</t>
        </is>
      </c>
      <c r="C71" s="16" t="n">
        <v>0.4363406408094435</v>
      </c>
    </row>
    <row r="72" ht="24" customHeight="1">
      <c r="A72" s="4" t="inlineStr">
        <is>
          <t>Non-fuel retail revenue, FY2025 (AED m)</t>
        </is>
      </c>
      <c r="B72" s="8" t="inlineStr">
        <is>
          <t>disclosure</t>
        </is>
      </c>
      <c r="C72" s="20" t="n">
        <v>1783.747</v>
      </c>
    </row>
    <row r="73" ht="24" customHeight="1">
      <c r="A73" s="4" t="inlineStr">
        <is>
          <t>Cash operating costs, FY2025 (AED m)</t>
        </is>
      </c>
      <c r="B73" s="8" t="inlineStr">
        <is>
          <t>disclosure</t>
        </is>
      </c>
      <c r="C73" s="20" t="n">
        <v>2547.6</v>
      </c>
    </row>
    <row r="74" ht="24" customHeight="1">
      <c r="A74" s="4" t="inlineStr">
        <is>
          <t>Other income, FY2025 (AED m)</t>
        </is>
      </c>
      <c r="B74" s="8" t="inlineStr">
        <is>
          <t>disclosure</t>
        </is>
      </c>
      <c r="C74" s="20" t="n">
        <v>167.665</v>
      </c>
    </row>
    <row r="75" ht="24" customHeight="1">
      <c r="A75" s="4" t="inlineStr">
        <is>
          <t>Fixed and right-of-use assets, FY2025 (AED m)</t>
        </is>
      </c>
      <c r="B75" s="8" t="inlineStr">
        <is>
          <t>disclosure</t>
        </is>
      </c>
      <c r="C75" s="20" t="n">
        <v>9478.001</v>
      </c>
    </row>
    <row r="76" ht="24" customHeight="1">
      <c r="A76" s="4" t="inlineStr">
        <is>
          <t>Goodwill, intangibles and other non-current, FY2025 (AED m)</t>
        </is>
      </c>
      <c r="B76" s="8" t="inlineStr">
        <is>
          <t>disclosure</t>
        </is>
      </c>
      <c r="C76" s="20" t="n">
        <v>671.2729999999999</v>
      </c>
    </row>
    <row r="77" ht="24" customHeight="1">
      <c r="A77" s="4" t="inlineStr">
        <is>
          <t>Equity attributable to owners, FY2025 (AED m)</t>
        </is>
      </c>
      <c r="B77" s="8" t="inlineStr">
        <is>
          <t>disclosure</t>
        </is>
      </c>
      <c r="C77" s="20" t="n">
        <v>3230.423</v>
      </c>
    </row>
    <row r="78" ht="24" customHeight="1">
      <c r="A78" s="4" t="inlineStr">
        <is>
          <t>Non-controlling interests, FY2025 (AED m)</t>
        </is>
      </c>
      <c r="B78" s="8" t="inlineStr">
        <is>
          <t>disclosure</t>
        </is>
      </c>
      <c r="C78" s="20" t="n">
        <v>230.374</v>
      </c>
    </row>
    <row r="79" ht="24" customHeight="1">
      <c r="A79" s="4" t="inlineStr">
        <is>
          <t>Borrowings, FY2025 (AED m)</t>
        </is>
      </c>
      <c r="B79" s="8" t="inlineStr">
        <is>
          <t>disclosure</t>
        </is>
      </c>
      <c r="C79" s="20" t="n">
        <v>5545.975</v>
      </c>
    </row>
    <row r="80" ht="24" customHeight="1">
      <c r="A80" s="4" t="inlineStr">
        <is>
          <t>Lease liabilities, FY2025 (AED m)</t>
        </is>
      </c>
      <c r="B80" s="8" t="inlineStr">
        <is>
          <t>disclosure</t>
        </is>
      </c>
      <c r="C80" s="20" t="n">
        <v>1446.327</v>
      </c>
    </row>
    <row r="81" ht="24" customHeight="1">
      <c r="A81" s="4" t="inlineStr">
        <is>
          <t>Provisions and deferred tax, FY2025 (AED m)</t>
        </is>
      </c>
      <c r="B81" s="8" t="inlineStr">
        <is>
          <t>disclosure</t>
        </is>
      </c>
      <c r="C81" s="20" t="n">
        <v>460.12</v>
      </c>
    </row>
    <row r="82" ht="24" customHeight="1">
      <c r="A82" s="4" t="inlineStr">
        <is>
          <t>Term deposits, FY2025 (AED m)</t>
        </is>
      </c>
      <c r="B82" s="8" t="inlineStr">
        <is>
          <t>disclosure</t>
        </is>
      </c>
      <c r="C82" s="20" t="n">
        <v>200</v>
      </c>
    </row>
    <row r="83" ht="24" customHeight="1">
      <c r="A83" s="4" t="inlineStr">
        <is>
          <t>Finance costs, held at the FY2025 level (AED m)</t>
        </is>
      </c>
      <c r="B83" s="8" t="inlineStr">
        <is>
          <t>disclosure, held flat</t>
        </is>
      </c>
      <c r="C83" s="20" t="n">
        <v>402.945</v>
      </c>
    </row>
    <row r="84" ht="24" customHeight="1">
      <c r="A84" s="4" t="inlineStr">
        <is>
          <t>Interest income, held at the FY2025 level (AED m)</t>
        </is>
      </c>
      <c r="B84" s="8" t="inlineStr">
        <is>
          <t>disclosure, held flat</t>
        </is>
      </c>
      <c r="C84" s="20" t="n">
        <v>71.274</v>
      </c>
    </row>
    <row r="85" ht="24" customHeight="1">
      <c r="A85" s="4" t="inlineStr">
        <is>
          <t>Non-controlling share of profit (AED m)</t>
        </is>
      </c>
      <c r="B85" s="8" t="inlineStr">
        <is>
          <t>disclosure, held flat</t>
        </is>
      </c>
      <c r="C85" s="20" t="n">
        <v>57.042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 ht="28" customHeight="1">
      <c r="A1" s="5" t="inlineStr">
        <is>
          <t>Enterprise value to equity value</t>
        </is>
      </c>
      <c r="B1" s="6" t="inlineStr">
        <is>
          <t>Frame A (AED m)</t>
        </is>
      </c>
      <c r="C1" s="6" t="inlineStr">
        <is>
          <t>Frame B (AED m)</t>
        </is>
      </c>
    </row>
    <row r="2">
      <c r="A2" s="4" t="inlineStr">
        <is>
          <t>Present value of five years of free cash flow</t>
        </is>
      </c>
      <c r="B2" s="22">
        <f>DCF!G14</f>
        <v/>
      </c>
      <c r="C2" s="22">
        <f>DCF!G24</f>
        <v/>
      </c>
    </row>
    <row r="3">
      <c r="A3" s="4" t="inlineStr">
        <is>
          <t>Present value of the terminal value</t>
        </is>
      </c>
      <c r="B3" s="22">
        <f>DCF!B30</f>
        <v/>
      </c>
      <c r="C3" s="22">
        <f>DCF!B38</f>
        <v/>
      </c>
    </row>
    <row r="4">
      <c r="A4" s="9" t="inlineStr">
        <is>
          <t>ENTERPRISE VALUE</t>
        </is>
      </c>
      <c r="B4" s="24">
        <f>B2+B3</f>
        <v/>
      </c>
      <c r="C4" s="24">
        <f>C2+C3</f>
        <v/>
      </c>
    </row>
    <row r="5">
      <c r="A5" s="9" t="inlineStr">
        <is>
          <t>TERMINAL VALUE AS A PERCENTAGE OF ENTERPRISE VALUE</t>
        </is>
      </c>
      <c r="B5" s="10">
        <f>B3/B4</f>
        <v/>
      </c>
      <c r="C5" s="10">
        <f>C3/C4</f>
        <v/>
      </c>
    </row>
    <row r="6">
      <c r="A6" s="4" t="inlineStr">
        <is>
          <t>Less net debt excluding leases</t>
        </is>
      </c>
      <c r="B6" s="22">
        <f>-Assumptions!$C$18</f>
        <v/>
      </c>
      <c r="C6" s="22">
        <f>-Assumptions!$C$18</f>
        <v/>
      </c>
    </row>
    <row r="7">
      <c r="A7" s="4" t="inlineStr">
        <is>
          <t>Less lease liabilities</t>
        </is>
      </c>
      <c r="B7" s="22">
        <f>-Assumptions!$C$80</f>
        <v/>
      </c>
      <c r="C7" s="22">
        <f>-Assumptions!$C$80</f>
        <v/>
      </c>
    </row>
    <row r="8">
      <c r="A8" s="4" t="inlineStr">
        <is>
          <t>Less non-controlling interests</t>
        </is>
      </c>
      <c r="B8" s="22">
        <f>-Assumptions!$C$78</f>
        <v/>
      </c>
      <c r="C8" s="22">
        <f>-Assumptions!$C$78</f>
        <v/>
      </c>
    </row>
    <row r="9">
      <c r="A9" s="9" t="inlineStr">
        <is>
          <t>EQUITY VALUE</t>
        </is>
      </c>
      <c r="B9" s="24">
        <f>B4+B6+B7+B8</f>
        <v/>
      </c>
      <c r="C9" s="24">
        <f>C4+C6+C7+C8</f>
        <v/>
      </c>
    </row>
    <row r="10">
      <c r="A10" s="9" t="inlineStr">
        <is>
          <t>VALUE PER SHARE (AED)</t>
        </is>
      </c>
      <c r="B10" s="11">
        <f>B9/Assumptions!$C$4</f>
        <v/>
      </c>
      <c r="C10" s="11">
        <f>C9/Assumptions!$C$4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The unit build — every forecast cell is a formula</t>
        </is>
      </c>
      <c r="B1" s="6" t="inlineStr">
        <is>
          <t>Anchor</t>
        </is>
      </c>
      <c r="C1" s="6" t="inlineStr">
        <is>
          <t>FY2026E</t>
        </is>
      </c>
      <c r="D1" s="6" t="inlineStr">
        <is>
          <t>FY2027E</t>
        </is>
      </c>
      <c r="E1" s="6" t="inlineStr">
        <is>
          <t>FY2028E</t>
        </is>
      </c>
      <c r="F1" s="6" t="inlineStr">
        <is>
          <t>FY2029E</t>
        </is>
      </c>
    </row>
    <row r="2" ht="32" customHeight="1">
      <c r="A2" s="8" t="inlineStr">
        <is>
          <t>The anchor column is the ANNUALISED DISCLOSED FIRST HALF of 2026, not FY2025: two quarters of the study year are already on the public record. The first forecast column therefore carries the second-half shape on that realised run rate, and growth proper begins in FY2027.</t>
        </is>
      </c>
      <c r="B2" s="25" t="n"/>
      <c r="C2" s="25" t="n"/>
      <c r="D2" s="25" t="n"/>
      <c r="E2" s="25" t="n"/>
      <c r="F2" s="25" t="n"/>
      <c r="G2" s="26" t="n"/>
    </row>
    <row r="3">
      <c r="A3" s="4" t="inlineStr">
        <is>
          <t>Service stations</t>
        </is>
      </c>
      <c r="B3" s="23" t="n">
        <v>1045</v>
      </c>
      <c r="C3" s="27">
        <f>Assumptions!$C$59*(1+Assumptions!C$29)</f>
        <v/>
      </c>
      <c r="D3" s="27">
        <f>C3*(1+Assumptions!D$29)</f>
        <v/>
      </c>
      <c r="E3" s="27">
        <f>D3*(1+Assumptions!E$29)</f>
        <v/>
      </c>
      <c r="F3" s="27">
        <f>E3*(1+Assumptions!F$29)</f>
        <v/>
      </c>
      <c r="G3" s="27">
        <f>F3*(1+Assumptions!G$29)</f>
        <v/>
      </c>
    </row>
    <row r="4">
      <c r="A4" s="4" t="inlineStr">
        <is>
          <t>Litres sold per station (million)</t>
        </is>
      </c>
      <c r="B4" s="16" t="n">
        <v>10.288995215311</v>
      </c>
      <c r="C4" s="28">
        <f>Assumptions!$C$61*(1+Assumptions!C$30)</f>
        <v/>
      </c>
      <c r="D4" s="28">
        <f>C4*(1+Assumptions!D$30)</f>
        <v/>
      </c>
      <c r="E4" s="28">
        <f>D4*(1+Assumptions!E$30)</f>
        <v/>
      </c>
      <c r="F4" s="28">
        <f>E4*(1+Assumptions!F$30)</f>
        <v/>
      </c>
      <c r="G4" s="28">
        <f>F4*(1+Assumptions!G$30)</f>
        <v/>
      </c>
    </row>
    <row r="5">
      <c r="A5" s="3" t="inlineStr">
        <is>
          <t>RETAIL FUEL VOLUME = stations x litres per station</t>
        </is>
      </c>
      <c r="B5" s="20" t="n">
        <v>10752</v>
      </c>
      <c r="C5" s="17">
        <f>C3*C4</f>
        <v/>
      </c>
      <c r="D5" s="17">
        <f>D3*D4</f>
        <v/>
      </c>
      <c r="E5" s="17">
        <f>E3*E4</f>
        <v/>
      </c>
      <c r="F5" s="17">
        <f>F3*F4</f>
        <v/>
      </c>
      <c r="G5" s="17">
        <f>G3*G4</f>
        <v/>
      </c>
    </row>
    <row r="6">
      <c r="A6" s="4" t="inlineStr">
        <is>
          <t>Corporate fuel volume (million litres)</t>
        </is>
      </c>
      <c r="B6" s="20" t="n">
        <v>4030</v>
      </c>
      <c r="C6" s="22">
        <f>Assumptions!$C$62*(1+Assumptions!C$31)</f>
        <v/>
      </c>
      <c r="D6" s="22">
        <f>C6*(1+Assumptions!D$31)</f>
        <v/>
      </c>
      <c r="E6" s="22">
        <f>D6*(1+Assumptions!E$31)</f>
        <v/>
      </c>
      <c r="F6" s="22">
        <f>E6*(1+Assumptions!F$31)</f>
        <v/>
      </c>
      <c r="G6" s="22">
        <f>F6*(1+Assumptions!G$31)</f>
        <v/>
      </c>
    </row>
    <row r="7">
      <c r="A7" s="4" t="inlineStr">
        <is>
          <t>Aviation fuel volume (million litres)</t>
        </is>
      </c>
      <c r="B7" s="20" t="n">
        <v>714</v>
      </c>
      <c r="C7" s="22">
        <f>Assumptions!$C$63*(1+Assumptions!C$32)</f>
        <v/>
      </c>
      <c r="D7" s="22">
        <f>C7*(1+Assumptions!D$32)</f>
        <v/>
      </c>
      <c r="E7" s="22">
        <f>D7*(1+Assumptions!E$32)</f>
        <v/>
      </c>
      <c r="F7" s="22">
        <f>E7*(1+Assumptions!F$32)</f>
        <v/>
      </c>
      <c r="G7" s="22">
        <f>F7*(1+Assumptions!G$32)</f>
        <v/>
      </c>
    </row>
    <row r="8">
      <c r="A8" s="3" t="inlineStr">
        <is>
          <t>Commercial fuel volume = corporate + aviation</t>
        </is>
      </c>
      <c r="B8" s="20" t="n">
        <v>4744</v>
      </c>
      <c r="C8" s="17">
        <f>C6+C7</f>
        <v/>
      </c>
      <c r="D8" s="17">
        <f>D6+D7</f>
        <v/>
      </c>
      <c r="E8" s="17">
        <f>E6+E7</f>
        <v/>
      </c>
      <c r="F8" s="17">
        <f>F6+F7</f>
        <v/>
      </c>
      <c r="G8" s="17">
        <f>G6+G7</f>
        <v/>
      </c>
    </row>
    <row r="9">
      <c r="A9" s="9" t="inlineStr">
        <is>
          <t>TOTAL FUEL VOLUME</t>
        </is>
      </c>
      <c r="B9" s="20" t="n">
        <v>15496</v>
      </c>
      <c r="C9" s="24">
        <f>C5+C8</f>
        <v/>
      </c>
      <c r="D9" s="24">
        <f>D5+D8</f>
        <v/>
      </c>
      <c r="E9" s="24">
        <f>E5+E8</f>
        <v/>
      </c>
      <c r="F9" s="24">
        <f>F5+F8</f>
        <v/>
      </c>
      <c r="G9" s="24">
        <f>G5+G8</f>
        <v/>
      </c>
    </row>
    <row r="10">
      <c r="A10" s="4" t="inlineStr">
        <is>
          <t>Realised retail price per litre (AED)</t>
        </is>
      </c>
      <c r="B10" s="16" t="n">
        <v>2.449770275297619</v>
      </c>
      <c r="C10" s="28">
        <f>Assumptions!C$33</f>
        <v/>
      </c>
      <c r="D10" s="28">
        <f>Assumptions!D$33</f>
        <v/>
      </c>
      <c r="E10" s="28">
        <f>Assumptions!E$33</f>
        <v/>
      </c>
      <c r="F10" s="28">
        <f>Assumptions!F$33</f>
        <v/>
      </c>
      <c r="G10" s="28">
        <f>Assumptions!G$33</f>
        <v/>
      </c>
    </row>
    <row r="11">
      <c r="A11" s="4" t="inlineStr">
        <is>
          <t>Realised corporate price per litre (AED)</t>
        </is>
      </c>
      <c r="B11" s="16" t="n">
        <v>3.117804466501241</v>
      </c>
      <c r="C11" s="28">
        <f>Assumptions!C$34</f>
        <v/>
      </c>
      <c r="D11" s="28">
        <f>Assumptions!D$34</f>
        <v/>
      </c>
      <c r="E11" s="28">
        <f>Assumptions!E$34</f>
        <v/>
      </c>
      <c r="F11" s="28">
        <f>Assumptions!F$34</f>
        <v/>
      </c>
      <c r="G11" s="28">
        <f>Assumptions!G$34</f>
        <v/>
      </c>
    </row>
    <row r="12">
      <c r="A12" s="4" t="inlineStr">
        <is>
          <t>Realised aviation price per litre (AED)</t>
        </is>
      </c>
      <c r="B12" s="16" t="n">
        <v>4.636532212885154</v>
      </c>
      <c r="C12" s="28">
        <f>Assumptions!C$35</f>
        <v/>
      </c>
      <c r="D12" s="28">
        <f>Assumptions!D$35</f>
        <v/>
      </c>
      <c r="E12" s="28">
        <f>Assumptions!E$35</f>
        <v/>
      </c>
      <c r="F12" s="28">
        <f>Assumptions!F$35</f>
        <v/>
      </c>
      <c r="G12" s="28">
        <f>Assumptions!G$35</f>
        <v/>
      </c>
    </row>
    <row r="13">
      <c r="A13" s="4" t="inlineStr">
        <is>
          <t>Retail fuel revenue = volume x price</t>
        </is>
      </c>
      <c r="B13" s="20" t="n">
        <v>26339.93</v>
      </c>
      <c r="C13" s="22">
        <f>C5*C10</f>
        <v/>
      </c>
      <c r="D13" s="22">
        <f>D5*D10</f>
        <v/>
      </c>
      <c r="E13" s="22">
        <f>E5*E10</f>
        <v/>
      </c>
      <c r="F13" s="22">
        <f>F5*F10</f>
        <v/>
      </c>
      <c r="G13" s="22">
        <f>G5*G10</f>
        <v/>
      </c>
    </row>
    <row r="14">
      <c r="A14" s="4" t="inlineStr">
        <is>
          <t>Corporate revenue = volume x price</t>
        </is>
      </c>
      <c r="B14" s="20" t="n">
        <v>12564.752</v>
      </c>
      <c r="C14" s="22">
        <f>C6*C11</f>
        <v/>
      </c>
      <c r="D14" s="22">
        <f>D6*D11</f>
        <v/>
      </c>
      <c r="E14" s="22">
        <f>E6*E11</f>
        <v/>
      </c>
      <c r="F14" s="22">
        <f>F6*F11</f>
        <v/>
      </c>
      <c r="G14" s="22">
        <f>G6*G11</f>
        <v/>
      </c>
    </row>
    <row r="15">
      <c r="A15" s="4" t="inlineStr">
        <is>
          <t>Aviation revenue = volume x price</t>
        </is>
      </c>
      <c r="B15" s="20" t="n">
        <v>3310.484</v>
      </c>
      <c r="C15" s="22">
        <f>C7*C12</f>
        <v/>
      </c>
      <c r="D15" s="22">
        <f>D7*D12</f>
        <v/>
      </c>
      <c r="E15" s="22">
        <f>E7*E12</f>
        <v/>
      </c>
      <c r="F15" s="22">
        <f>F7*F12</f>
        <v/>
      </c>
      <c r="G15" s="22">
        <f>G7*G12</f>
        <v/>
      </c>
    </row>
    <row r="16">
      <c r="A16" s="4" t="inlineStr">
        <is>
          <t>Commercial revenue = corporate + aviation</t>
        </is>
      </c>
      <c r="B16" s="20" t="n">
        <v>15875.236</v>
      </c>
      <c r="C16" s="22">
        <f>C14+C15</f>
        <v/>
      </c>
      <c r="D16" s="22">
        <f>D14+D15</f>
        <v/>
      </c>
      <c r="E16" s="22">
        <f>E14+E15</f>
        <v/>
      </c>
      <c r="F16" s="22">
        <f>F14+F15</f>
        <v/>
      </c>
      <c r="G16" s="22">
        <f>G14+G15</f>
        <v/>
      </c>
    </row>
    <row r="17">
      <c r="A17" s="4" t="inlineStr">
        <is>
          <t>Blended commercial price per litre — AN OUTPUT of the mix</t>
        </is>
      </c>
      <c r="B17" s="16" t="n">
        <v>3.346381956155144</v>
      </c>
      <c r="C17" s="28">
        <f>C16/C8</f>
        <v/>
      </c>
      <c r="D17" s="28">
        <f>D16/D8</f>
        <v/>
      </c>
      <c r="E17" s="28">
        <f>E16/E8</f>
        <v/>
      </c>
      <c r="F17" s="28">
        <f>F16/F8</f>
        <v/>
      </c>
      <c r="G17" s="28">
        <f>G16/G8</f>
        <v/>
      </c>
    </row>
    <row r="18">
      <c r="A18" s="4" t="inlineStr">
        <is>
          <t>Fuel transactions (million)</t>
        </is>
      </c>
      <c r="B18" s="23" t="n">
        <v>201.8</v>
      </c>
      <c r="C18" s="27">
        <f>Assumptions!$C$64*(1+Assumptions!C$38)</f>
        <v/>
      </c>
      <c r="D18" s="27">
        <f>C18*(1+Assumptions!D$38)</f>
        <v/>
      </c>
      <c r="E18" s="27">
        <f>D18*(1+Assumptions!E$38)</f>
        <v/>
      </c>
      <c r="F18" s="27">
        <f>E18*(1+Assumptions!F$38)</f>
        <v/>
      </c>
      <c r="G18" s="27">
        <f>F18*(1+Assumptions!G$38)</f>
        <v/>
      </c>
    </row>
    <row r="19">
      <c r="A19" s="4" t="inlineStr">
        <is>
          <t>Non-fuel conversion rate</t>
        </is>
      </c>
      <c r="B19" s="13" t="n">
        <v>0.2616451932606541</v>
      </c>
      <c r="C19" s="29">
        <f>Assumptions!$C$65*(1+Assumptions!C$39)</f>
        <v/>
      </c>
      <c r="D19" s="29">
        <f>C19*(1+Assumptions!D$39)</f>
        <v/>
      </c>
      <c r="E19" s="29">
        <f>D19*(1+Assumptions!E$39)</f>
        <v/>
      </c>
      <c r="F19" s="29">
        <f>E19*(1+Assumptions!F$39)</f>
        <v/>
      </c>
      <c r="G19" s="29">
        <f>F19*(1+Assumptions!G$39)</f>
        <v/>
      </c>
    </row>
    <row r="20">
      <c r="A20" s="4" t="inlineStr">
        <is>
          <t>Non-fuel transactions = fuel transactions x conversion</t>
        </is>
      </c>
      <c r="B20" s="23" t="n">
        <v>52.8</v>
      </c>
      <c r="C20" s="27">
        <f>C18*C19</f>
        <v/>
      </c>
      <c r="D20" s="27">
        <f>D18*D19</f>
        <v/>
      </c>
      <c r="E20" s="27">
        <f>E18*E19</f>
        <v/>
      </c>
      <c r="F20" s="27">
        <f>F18*F19</f>
        <v/>
      </c>
      <c r="G20" s="27">
        <f>G18*G19</f>
        <v/>
      </c>
    </row>
    <row r="21">
      <c r="A21" s="4" t="inlineStr">
        <is>
          <t>Average non-fuel basket (AED)</t>
        </is>
      </c>
      <c r="B21" s="15" t="n">
        <v>35.12958333333334</v>
      </c>
      <c r="C21" s="7">
        <f>Assumptions!$C$66*(1+Assumptions!C$40)</f>
        <v/>
      </c>
      <c r="D21" s="7">
        <f>C21*(1+Assumptions!D$40)</f>
        <v/>
      </c>
      <c r="E21" s="7">
        <f>D21*(1+Assumptions!E$40)</f>
        <v/>
      </c>
      <c r="F21" s="7">
        <f>E21*(1+Assumptions!F$40)</f>
        <v/>
      </c>
      <c r="G21" s="7">
        <f>F21*(1+Assumptions!G$40)</f>
        <v/>
      </c>
    </row>
    <row r="22">
      <c r="A22" s="4" t="inlineStr">
        <is>
          <t>Non-fuel revenue = transactions x basket</t>
        </is>
      </c>
      <c r="B22" s="20" t="n">
        <v>1854.842</v>
      </c>
      <c r="C22" s="22">
        <f>C20*C21</f>
        <v/>
      </c>
      <c r="D22" s="22">
        <f>D20*D21</f>
        <v/>
      </c>
      <c r="E22" s="22">
        <f>E20*E21</f>
        <v/>
      </c>
      <c r="F22" s="22">
        <f>F20*F21</f>
        <v/>
      </c>
      <c r="G22" s="22">
        <f>G20*G21</f>
        <v/>
      </c>
    </row>
    <row r="23">
      <c r="A23" s="9" t="inlineStr">
        <is>
          <t>TOTAL REVENUE</t>
        </is>
      </c>
      <c r="B23" s="20" t="n">
        <v>44070.008</v>
      </c>
      <c r="C23" s="24">
        <f>C13+C16+C22</f>
        <v/>
      </c>
      <c r="D23" s="24">
        <f>D13+D16+D22</f>
        <v/>
      </c>
      <c r="E23" s="24">
        <f>E13+E16+E22</f>
        <v/>
      </c>
      <c r="F23" s="24">
        <f>F13+F16+F22</f>
        <v/>
      </c>
      <c r="G23" s="24">
        <f>G13+G16+G22</f>
        <v/>
      </c>
    </row>
    <row r="24">
      <c r="A24" s="4" t="inlineStr">
        <is>
          <t>Retail margin per litre (AED)</t>
        </is>
      </c>
      <c r="B24" s="16" t="n">
        <v>0.3597470238095238</v>
      </c>
      <c r="C24" s="28">
        <f>Assumptions!$C$70*(1+Assumptions!C$36)</f>
        <v/>
      </c>
      <c r="D24" s="28">
        <f>C24*(1+Assumptions!D$36)</f>
        <v/>
      </c>
      <c r="E24" s="28">
        <f>D24*(1+Assumptions!E$36)</f>
        <v/>
      </c>
      <c r="F24" s="28">
        <f>E24*(1+Assumptions!F$36)</f>
        <v/>
      </c>
      <c r="G24" s="28">
        <f>F24*(1+Assumptions!G$36)</f>
        <v/>
      </c>
    </row>
    <row r="25">
      <c r="A25" s="4" t="inlineStr">
        <is>
          <t>Commercial margin per litre (AED) — blended, split NOT disclosed</t>
        </is>
      </c>
      <c r="B25" s="16" t="n">
        <v>0.4363406408094435</v>
      </c>
      <c r="C25" s="28">
        <f>Assumptions!$C$71*(1+Assumptions!C$37)</f>
        <v/>
      </c>
      <c r="D25" s="28">
        <f>C25*(1+Assumptions!D$37)</f>
        <v/>
      </c>
      <c r="E25" s="28">
        <f>D25*(1+Assumptions!E$37)</f>
        <v/>
      </c>
      <c r="F25" s="28">
        <f>E25*(1+Assumptions!F$37)</f>
        <v/>
      </c>
      <c r="G25" s="28">
        <f>F25*(1+Assumptions!G$37)</f>
        <v/>
      </c>
    </row>
    <row r="26">
      <c r="A26" s="4" t="inlineStr">
        <is>
          <t>Retail fuel gross profit = volume x margin</t>
        </is>
      </c>
      <c r="B26" s="20" t="n">
        <v>3868</v>
      </c>
      <c r="C26" s="22">
        <f>C5*C24</f>
        <v/>
      </c>
      <c r="D26" s="22">
        <f>D5*D24</f>
        <v/>
      </c>
      <c r="E26" s="22">
        <f>E5*E24</f>
        <v/>
      </c>
      <c r="F26" s="22">
        <f>F5*F24</f>
        <v/>
      </c>
      <c r="G26" s="22">
        <f>G5*G24</f>
        <v/>
      </c>
    </row>
    <row r="27">
      <c r="A27" s="4" t="inlineStr">
        <is>
          <t>Commercial gross profit = volume x margin</t>
        </is>
      </c>
      <c r="B27" s="20" t="n">
        <v>2070</v>
      </c>
      <c r="C27" s="22">
        <f>C8*C25</f>
        <v/>
      </c>
      <c r="D27" s="22">
        <f>D8*D25</f>
        <v/>
      </c>
      <c r="E27" s="22">
        <f>E8*E25</f>
        <v/>
      </c>
      <c r="F27" s="22">
        <f>F8*F25</f>
        <v/>
      </c>
      <c r="G27" s="22">
        <f>G8*G25</f>
        <v/>
      </c>
    </row>
    <row r="28">
      <c r="A28" s="4" t="inlineStr">
        <is>
          <t>Non-fuel gross profit = revenue x margin</t>
        </is>
      </c>
      <c r="B28" s="20" t="n">
        <v>1044</v>
      </c>
      <c r="C28" s="22">
        <f>C22*Assumptions!C$41</f>
        <v/>
      </c>
      <c r="D28" s="22">
        <f>D22*Assumptions!D$41</f>
        <v/>
      </c>
      <c r="E28" s="22">
        <f>E22*Assumptions!E$41</f>
        <v/>
      </c>
      <c r="F28" s="22">
        <f>F22*Assumptions!F$41</f>
        <v/>
      </c>
      <c r="G28" s="22">
        <f>G22*Assumptions!G$41</f>
        <v/>
      </c>
    </row>
    <row r="29">
      <c r="A29" s="9" t="inlineStr">
        <is>
          <t>STRUCTURAL GROSS PROFIT</t>
        </is>
      </c>
      <c r="B29" s="20" t="n">
        <v>6980.204</v>
      </c>
      <c r="C29" s="24">
        <f>C26+C27+C28</f>
        <v/>
      </c>
      <c r="D29" s="24">
        <f>D26+D27+D28</f>
        <v/>
      </c>
      <c r="E29" s="24">
        <f>E26+E27+E28</f>
        <v/>
      </c>
      <c r="F29" s="24">
        <f>F26+F27+F28</f>
        <v/>
      </c>
      <c r="G29" s="24">
        <f>G26+G27+G28</f>
        <v/>
      </c>
    </row>
    <row r="30">
      <c r="A30" s="4" t="inlineStr">
        <is>
          <t>Inventory movement — Frame A, normalised</t>
        </is>
      </c>
      <c r="B30" s="20" t="n">
        <v>762</v>
      </c>
      <c r="C30" s="22">
        <f>Assumptions!C$42</f>
        <v/>
      </c>
      <c r="D30" s="22">
        <f>Assumptions!D$42</f>
        <v/>
      </c>
      <c r="E30" s="22">
        <f>Assumptions!E$42</f>
        <v/>
      </c>
      <c r="F30" s="22">
        <f>Assumptions!F$42</f>
        <v/>
      </c>
      <c r="G30" s="22">
        <f>Assumptions!G$42</f>
        <v/>
      </c>
    </row>
    <row r="31">
      <c r="A31" s="4" t="inlineStr">
        <is>
          <t>Inventory movement — Frame B, through-cycle</t>
        </is>
      </c>
      <c r="B31" s="20" t="n">
        <v>762</v>
      </c>
      <c r="C31" s="22">
        <f>Assumptions!C$43</f>
        <v/>
      </c>
      <c r="D31" s="22">
        <f>Assumptions!D$43</f>
        <v/>
      </c>
      <c r="E31" s="22">
        <f>Assumptions!E$43</f>
        <v/>
      </c>
      <c r="F31" s="22">
        <f>Assumptions!F$43</f>
        <v/>
      </c>
      <c r="G31" s="22">
        <f>Assumptions!G$43</f>
        <v/>
      </c>
    </row>
    <row r="32">
      <c r="A32" s="9" t="inlineStr">
        <is>
          <t>GROSS PROFIT — Frame A</t>
        </is>
      </c>
      <c r="B32" s="20" t="n">
        <v>8504.204</v>
      </c>
      <c r="C32" s="24">
        <f>C29+C30</f>
        <v/>
      </c>
      <c r="D32" s="24">
        <f>D29+D30</f>
        <v/>
      </c>
      <c r="E32" s="24">
        <f>E29+E30</f>
        <v/>
      </c>
      <c r="F32" s="24">
        <f>F29+F30</f>
        <v/>
      </c>
      <c r="G32" s="24">
        <f>G29+G30</f>
        <v/>
      </c>
    </row>
    <row r="33">
      <c r="A33" s="9" t="inlineStr">
        <is>
          <t>GROSS PROFIT — Frame B</t>
        </is>
      </c>
      <c r="B33" s="20" t="n">
        <v>8504.204</v>
      </c>
      <c r="C33" s="24">
        <f>C29+C31</f>
        <v/>
      </c>
      <c r="D33" s="24">
        <f>D29+D31</f>
        <v/>
      </c>
      <c r="E33" s="24">
        <f>E29+E31</f>
        <v/>
      </c>
      <c r="F33" s="24">
        <f>F29+F31</f>
        <v/>
      </c>
      <c r="G33" s="24">
        <f>G29+G31</f>
        <v/>
      </c>
    </row>
    <row r="34">
      <c r="A34" s="1" t="inlineStr">
        <is>
          <t>The asset base, rolled — depreciation and capital spending are outputs of it, not pasted arrays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4" t="inlineStr">
        <is>
          <t>Opening fixed and right-of-use base</t>
        </is>
      </c>
      <c r="B35" s="4" t="inlineStr"/>
      <c r="C35" s="22">
        <f>Assumptions!$C$75</f>
        <v/>
      </c>
      <c r="D35" s="22">
        <f>C41</f>
        <v/>
      </c>
      <c r="E35" s="22">
        <f>D41</f>
        <v/>
      </c>
      <c r="F35" s="22">
        <f>E41</f>
        <v/>
      </c>
      <c r="G35" s="22">
        <f>F41</f>
        <v/>
      </c>
    </row>
    <row r="36">
      <c r="A36" s="4" t="inlineStr">
        <is>
          <t>Depreciation = opening base x the measured rate</t>
        </is>
      </c>
      <c r="B36" s="4" t="inlineStr"/>
      <c r="C36" s="22">
        <f>C35*Assumptions!$C$50</f>
        <v/>
      </c>
      <c r="D36" s="22">
        <f>D35*Assumptions!$C$50</f>
        <v/>
      </c>
      <c r="E36" s="22">
        <f>E35*Assumptions!$C$50</f>
        <v/>
      </c>
      <c r="F36" s="22">
        <f>F35*Assumptions!$C$50</f>
        <v/>
      </c>
      <c r="G36" s="22">
        <f>G35*Assumptions!$C$50</f>
        <v/>
      </c>
    </row>
    <row r="37">
      <c r="A37" s="4" t="inlineStr">
        <is>
          <t>Maintenance capital spending = opening base x the maintenance rate</t>
        </is>
      </c>
      <c r="B37" s="4" t="inlineStr"/>
      <c r="C37" s="22">
        <f>C35*Assumptions!$C$51</f>
        <v/>
      </c>
      <c r="D37" s="22">
        <f>D35*Assumptions!$C$51</f>
        <v/>
      </c>
      <c r="E37" s="22">
        <f>E35*Assumptions!$C$51</f>
        <v/>
      </c>
      <c r="F37" s="22">
        <f>F35*Assumptions!$C$51</f>
        <v/>
      </c>
      <c r="G37" s="22">
        <f>G35*Assumptions!$C$51</f>
        <v/>
      </c>
    </row>
    <row r="38">
      <c r="A38" s="4" t="inlineStr">
        <is>
          <t>Stations added</t>
        </is>
      </c>
      <c r="B38" s="4" t="inlineStr"/>
      <c r="C38" s="27">
        <f>C3-Assumptions!$C$60</f>
        <v/>
      </c>
      <c r="D38" s="27">
        <f>D3-C3</f>
        <v/>
      </c>
      <c r="E38" s="27">
        <f>E3-D3</f>
        <v/>
      </c>
      <c r="F38" s="27">
        <f>F3-E3</f>
        <v/>
      </c>
      <c r="G38" s="27">
        <f>G3-F3</f>
        <v/>
      </c>
    </row>
    <row r="39">
      <c r="A39" s="4" t="inlineStr">
        <is>
          <t>Growth capital spending = stations added x cost per station</t>
        </is>
      </c>
      <c r="B39" s="4" t="inlineStr"/>
      <c r="C39" s="22">
        <f>C38*Assumptions!$C$52</f>
        <v/>
      </c>
      <c r="D39" s="22">
        <f>D38*Assumptions!$C$52</f>
        <v/>
      </c>
      <c r="E39" s="22">
        <f>E38*Assumptions!$C$52</f>
        <v/>
      </c>
      <c r="F39" s="22">
        <f>F38*Assumptions!$C$52</f>
        <v/>
      </c>
      <c r="G39" s="22">
        <f>G38*Assumptions!$C$52</f>
        <v/>
      </c>
    </row>
    <row r="40">
      <c r="A40" s="9" t="inlineStr">
        <is>
          <t>TOTAL CAPITAL SPENDING = maintenance + growth</t>
        </is>
      </c>
      <c r="B40" s="4" t="inlineStr"/>
      <c r="C40" s="24">
        <f>C37+C39</f>
        <v/>
      </c>
      <c r="D40" s="24">
        <f>D37+D39</f>
        <v/>
      </c>
      <c r="E40" s="24">
        <f>E37+E39</f>
        <v/>
      </c>
      <c r="F40" s="24">
        <f>F37+F39</f>
        <v/>
      </c>
      <c r="G40" s="24">
        <f>G37+G39</f>
        <v/>
      </c>
    </row>
    <row r="41">
      <c r="A41" s="4" t="inlineStr">
        <is>
          <t>Closing base = opening + capital spending less depreciation</t>
        </is>
      </c>
      <c r="B41" s="4" t="inlineStr"/>
      <c r="C41" s="22">
        <f>C35+C40-C36</f>
        <v/>
      </c>
      <c r="D41" s="22">
        <f>D35+D40-D36</f>
        <v/>
      </c>
      <c r="E41" s="22">
        <f>E35+E40-E36</f>
        <v/>
      </c>
      <c r="F41" s="22">
        <f>F35+F40-F36</f>
        <v/>
      </c>
      <c r="G41" s="22">
        <f>G35+G40-G36</f>
        <v/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40" customWidth="1" min="4" max="4"/>
  </cols>
  <sheetData>
    <row r="1" ht="28" customHeight="1">
      <c r="A1" s="5" t="inlineStr">
        <is>
          <t>Relative multiples and normalised earnings power</t>
        </is>
      </c>
      <c r="B1" s="6" t="inlineStr">
        <is>
          <t>Frame A</t>
        </is>
      </c>
      <c r="C1" s="6" t="inlineStr">
        <is>
          <t>Frame B</t>
        </is>
      </c>
      <c r="D1" s="6" t="inlineStr">
        <is>
          <t>Basis</t>
        </is>
      </c>
    </row>
    <row r="2">
      <c r="A2" s="8" t="inlineStr">
        <is>
          <t>Triangulation: the reference multiple is the AVERAGE of three independently-derived readings, taken on the sheet rather than asserted.</t>
        </is>
      </c>
      <c r="B2" s="25" t="n"/>
      <c r="C2" s="25" t="n"/>
      <c r="D2" s="26" t="n"/>
    </row>
    <row r="3">
      <c r="A3" s="4" t="inlineStr">
        <is>
          <t>Own trailing multiple today</t>
        </is>
      </c>
      <c r="B3" s="30">
        <f>Assumptions!$C$3/'Income Statement'!D19</f>
        <v/>
      </c>
      <c r="D3" s="8" t="inlineStr">
        <is>
          <t>traded price over the FY2025 audited earnings per share</t>
        </is>
      </c>
    </row>
    <row r="4">
      <c r="A4" s="4" t="inlineStr">
        <is>
          <t>Own three-year average multiple</t>
        </is>
      </c>
      <c r="B4" s="30">
        <f>(Assumptions!$C$3/'Income Statement'!B19+Assumptions!$C$3/'Income Statement'!C19+Assumptions!$C$3/'Income Statement'!D19)/3</f>
        <v/>
      </c>
      <c r="D4" s="8" t="inlineStr">
        <is>
          <t>traded price against each audited year, averaged</t>
        </is>
      </c>
    </row>
    <row r="5">
      <c r="A5" s="4" t="inlineStr">
        <is>
          <t>Retention the growth rate requires = growth / return on equity</t>
        </is>
      </c>
      <c r="B5" s="31">
        <f>Assumptions!$C$26/0.8077013806</f>
        <v/>
      </c>
      <c r="D5" s="8" t="inlineStr">
        <is>
          <t>the sustainable-growth identity g = retention x ROE</t>
        </is>
      </c>
    </row>
    <row r="6">
      <c r="A6" s="4" t="inlineStr">
        <is>
          <t>Payout consistent with that growth = 1 less the retention</t>
        </is>
      </c>
      <c r="B6" s="29">
        <f>1-B5</f>
        <v/>
      </c>
      <c r="D6" s="8" t="inlineStr"/>
    </row>
    <row r="7">
      <c r="A7" s="9" t="inlineStr">
        <is>
          <t>REFERENCE MULTIPLE — what the company’s own economics justify</t>
        </is>
      </c>
      <c r="B7" s="32">
        <f>B6*(1+Assumptions!$C$26)/(Assumptions!$C$12-Assumptions!$C$26)</f>
        <v/>
      </c>
      <c r="D7" s="8" t="inlineStr">
        <is>
          <t>payout x (1 + growth) / (cost of equity less growth), on the payout the growth rate itself implies — NOT the realised payout and NOT the policy floor, either of which breaks the identity</t>
        </is>
      </c>
    </row>
    <row r="8">
      <c r="A8" s="9" t="inlineStr">
        <is>
          <t>Reference multiple carried into the lens</t>
        </is>
      </c>
      <c r="B8" s="32">
        <f>B7</f>
        <v/>
      </c>
      <c r="D8" s="8" t="inlineStr">
        <is>
          <t>the fundamentals leg ALONE. The two traded multiples above are published as context and are deliberately NOT averaged in: both are the traded price divided by earnings, so averaging them would anchor the lens to the price it is being compared against</t>
        </is>
      </c>
    </row>
    <row r="9">
      <c r="A9" s="9" t="inlineStr">
        <is>
          <t>RELATIVE MULTIPLES READING (AED a share)</t>
        </is>
      </c>
      <c r="B9" s="11">
        <f>B8*'Income Statement'!E19</f>
        <v/>
      </c>
      <c r="D9" s="8" t="inlineStr">
        <is>
          <t>reference multiple on the first forecast year</t>
        </is>
      </c>
    </row>
    <row r="10">
      <c r="A10" s="4" t="inlineStr">
        <is>
          <t>First forecast year earnings per share — Frame B (AED)</t>
        </is>
      </c>
      <c r="B10" s="28">
        <f>(DCF!B18+Assumptions!$C$84-Assumptions!$C$83)*(1-Assumptions!$C$16)/Assumptions!$C$4-Assumptions!$C$85/Assumptions!$C$4</f>
        <v/>
      </c>
      <c r="D10" s="8" t="inlineStr">
        <is>
          <t>the same construction as the income statement, on Frame B earnings</t>
        </is>
      </c>
    </row>
    <row r="11">
      <c r="A11" s="9" t="inlineStr">
        <is>
          <t>RELATIVE MULTIPLES READING — Frame B (AED a share)</t>
        </is>
      </c>
      <c r="B11" s="11">
        <f>B8*B10</f>
        <v/>
      </c>
      <c r="D11" s="8" t="inlineStr">
        <is>
          <t>the same reference multiple on Frame B earnings</t>
        </is>
      </c>
    </row>
    <row r="12">
      <c r="A12" s="4" t="inlineStr">
        <is>
          <t>Normalised EBITDA — structural gross profit only, no inventory movement</t>
        </is>
      </c>
      <c r="B12" s="22">
        <f>Segments!C29+'Income Statement'!E5+'Income Statement'!E6+'Income Statement'!E7</f>
        <v/>
      </c>
      <c r="D12" s="8" t="inlineStr"/>
    </row>
    <row r="13">
      <c r="A13" s="4" t="inlineStr">
        <is>
          <t>Normalised EBIT</t>
        </is>
      </c>
      <c r="B13" s="22">
        <f>B12-Assumptions!C$48</f>
        <v/>
      </c>
      <c r="D13" s="8" t="inlineStr"/>
    </row>
    <row r="14">
      <c r="A14" s="4" t="inlineStr">
        <is>
          <t>Normalised NOPAT</t>
        </is>
      </c>
      <c r="B14" s="22">
        <f>B13*(1-Assumptions!$C$16)</f>
        <v/>
      </c>
      <c r="D14" s="8" t="inlineStr"/>
    </row>
    <row r="15">
      <c r="A15" s="4" t="inlineStr">
        <is>
          <t>Reinvestment this perpetuity must fund = growth / return on capital</t>
        </is>
      </c>
      <c r="B15" s="29">
        <f>Assumptions!$C$26/Assumptions!$C$27</f>
        <v/>
      </c>
      <c r="D15" s="8" t="inlineStr"/>
    </row>
    <row r="16">
      <c r="A16" s="4" t="inlineStr">
        <is>
          <t>Normalised enterprise value = NOPAT x (1 less reinvestment) / (cost of capital less growth)</t>
        </is>
      </c>
      <c r="B16" s="22">
        <f>B14*(1-B15)/(Assumptions!$C$21-Assumptions!$C$26)</f>
        <v/>
      </c>
      <c r="D16" s="8" t="inlineStr">
        <is>
          <t>the identity g = ROIC x reinvestment governs EVERY perpetuity, not only the cash-flow model terminal block. This lens previously credited growth for free</t>
        </is>
      </c>
    </row>
    <row r="17">
      <c r="A17" s="4" t="inlineStr">
        <is>
          <t>Normalised equity value</t>
        </is>
      </c>
      <c r="B17" s="22">
        <f>B16-Assumptions!$C$18-Assumptions!$C$80-Assumptions!$C$78</f>
        <v/>
      </c>
      <c r="D17" s="8" t="inlineStr"/>
    </row>
    <row r="18">
      <c r="A18" s="9" t="inlineStr">
        <is>
          <t>NORMALISED EARNINGS POWER READING (AED a share)</t>
        </is>
      </c>
      <c r="B18" s="11">
        <f>B17/Assumptions!$C$4</f>
        <v/>
      </c>
      <c r="D18" s="8" t="inlineStr"/>
    </row>
    <row r="19">
      <c r="A19" s="4" t="inlineStr">
        <is>
          <t>Book value per share (AED)</t>
        </is>
      </c>
      <c r="B19" s="28">
        <f>Assumptions!$C$77/Assumptions!$C$4</f>
        <v/>
      </c>
      <c r="D19" s="8" t="inlineStr"/>
    </row>
    <row r="20">
      <c r="A20" s="4" t="inlineStr">
        <is>
          <t>Sustainable return on equity — the three-year mean</t>
        </is>
      </c>
      <c r="B20" s="29">
        <f>('Income Statement'!B18/3472.066+'Income Statement'!C18/2991.839+'Income Statement'!D18/3230.423)/3</f>
        <v/>
      </c>
      <c r="D20" s="8" t="inlineStr"/>
    </row>
    <row r="21">
      <c r="A21" s="4" t="inlineStr">
        <is>
          <t>Justified multiple of book = (return less growth) / (cost of equity less growth)</t>
        </is>
      </c>
      <c r="B21" s="30">
        <f>(B20-Assumptions!$C$26)/(Assumptions!$C$12-Assumptions!$C$26)</f>
        <v/>
      </c>
      <c r="D21" s="8" t="inlineStr"/>
    </row>
    <row r="22">
      <c r="A22" s="9" t="inlineStr">
        <is>
          <t>BOOK VALUE AND SUSTAINABLE RETURN READING (AED a share)</t>
        </is>
      </c>
      <c r="B22" s="11">
        <f>B19*B21</f>
        <v/>
      </c>
      <c r="D22" s="8" t="inlineStr"/>
    </row>
    <row r="23">
      <c r="A23" s="3" t="inlineStr">
        <is>
          <t>DIVIDEND CAPITALISATION READING (AED a share, unweighted)</t>
        </is>
      </c>
      <c r="B23" s="12">
        <f>Assumptions!$C$56/Assumptions!$C$12</f>
        <v/>
      </c>
      <c r="D23" s="8" t="inlineStr">
        <is>
          <t>the dividend is a FIXED commitment held flat from 2024 through 2030, so it is valued flat. Growing it credited growth the policy does not promise</t>
        </is>
      </c>
    </row>
  </sheetData>
  <mergeCells count="1"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8" customHeight="1">
      <c r="A1" s="5" t="inlineStr">
        <is>
          <t>The discounted cash flow</t>
        </is>
      </c>
      <c r="B1" s="6" t="inlineStr">
        <is>
          <t>FY2026E</t>
        </is>
      </c>
      <c r="C1" s="6" t="inlineStr">
        <is>
          <t>FY2027E</t>
        </is>
      </c>
      <c r="D1" s="6" t="inlineStr">
        <is>
          <t>FY2028E</t>
        </is>
      </c>
      <c r="E1" s="6" t="inlineStr">
        <is>
          <t>FY2029E</t>
        </is>
      </c>
      <c r="F1" s="6" t="inlineStr">
        <is>
          <t>FY2030E</t>
        </is>
      </c>
      <c r="G1" s="6" t="inlineStr">
        <is>
          <t>Total</t>
        </is>
      </c>
    </row>
    <row r="2">
      <c r="A2" s="4" t="inlineStr">
        <is>
          <t>Glide fraction toward the terminal cost of capital</t>
        </is>
      </c>
      <c r="B2" s="29">
        <f>(1)/5</f>
        <v/>
      </c>
      <c r="C2" s="29">
        <f>(2)/5</f>
        <v/>
      </c>
      <c r="D2" s="29">
        <f>(3)/5</f>
        <v/>
      </c>
      <c r="E2" s="29">
        <f>(4)/5</f>
        <v/>
      </c>
      <c r="F2" s="29">
        <f>(5)/5</f>
        <v/>
      </c>
    </row>
    <row r="3">
      <c r="A3" s="4" t="inlineStr">
        <is>
          <t>Discount rate = first-year rate + glide x (terminal less first-year)</t>
        </is>
      </c>
      <c r="B3" s="31">
        <f>Assumptions!$C$21+B2*(Assumptions!$C$25-Assumptions!$C$21)</f>
        <v/>
      </c>
      <c r="C3" s="31">
        <f>Assumptions!$C$21+C2*(Assumptions!$C$25-Assumptions!$C$21)</f>
        <v/>
      </c>
      <c r="D3" s="31">
        <f>Assumptions!$C$21+D2*(Assumptions!$C$25-Assumptions!$C$21)</f>
        <v/>
      </c>
      <c r="E3" s="31">
        <f>Assumptions!$C$21+E2*(Assumptions!$C$25-Assumptions!$C$21)</f>
        <v/>
      </c>
      <c r="F3" s="31">
        <f>Assumptions!$C$21+F2*(Assumptions!$C$25-Assumptions!$C$21)</f>
        <v/>
      </c>
    </row>
    <row r="4">
      <c r="A4" s="4" t="inlineStr">
        <is>
          <t>Discount factor (compounding)</t>
        </is>
      </c>
      <c r="B4" s="33">
        <f>1/(1+B3)</f>
        <v/>
      </c>
      <c r="C4" s="33">
        <f>B4/(1+C3)</f>
        <v/>
      </c>
      <c r="D4" s="33">
        <f>C4/(1+D3)</f>
        <v/>
      </c>
      <c r="E4" s="33">
        <f>D4/(1+E3)</f>
        <v/>
      </c>
      <c r="F4" s="33">
        <f>E4/(1+F3)</f>
        <v/>
      </c>
    </row>
    <row r="5">
      <c r="A5" s="1" t="inlineStr">
        <is>
          <t>FRAME A — inventory movements normalised to zero from FY2027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4" t="inlineStr">
        <is>
          <t>EBITDA — Frame A</t>
        </is>
      </c>
      <c r="B6" s="22">
        <f>Segments!C32-Assumptions!$C$73*0+'Income Statement'!E5+'Income Statement'!E6+'Income Statement'!E7</f>
        <v/>
      </c>
      <c r="C6" s="22">
        <f>Segments!D32-Assumptions!$C$73*0+'Income Statement'!F5+'Income Statement'!F6+'Income Statement'!F7</f>
        <v/>
      </c>
      <c r="D6" s="22">
        <f>Segments!E32-Assumptions!$C$73*0+'Income Statement'!G5+'Income Statement'!G6+'Income Statement'!G7</f>
        <v/>
      </c>
      <c r="E6" s="22">
        <f>Segments!F32-Assumptions!$C$73*0+'Income Statement'!H5+'Income Statement'!H6+'Income Statement'!H7</f>
        <v/>
      </c>
      <c r="F6" s="22">
        <f>Segments!G32-Assumptions!$C$73*0+'Income Statement'!I5+'Income Statement'!I6+'Income Statement'!I7</f>
        <v/>
      </c>
    </row>
    <row r="7">
      <c r="A7" s="4" t="inlineStr">
        <is>
          <t>Less depreciation and amortisation</t>
        </is>
      </c>
      <c r="B7" s="22">
        <f>-Assumptions!C$48</f>
        <v/>
      </c>
      <c r="C7" s="22">
        <f>-Assumptions!D$48</f>
        <v/>
      </c>
      <c r="D7" s="22">
        <f>-Assumptions!E$48</f>
        <v/>
      </c>
      <c r="E7" s="22">
        <f>-Assumptions!F$48</f>
        <v/>
      </c>
      <c r="F7" s="22">
        <f>-Assumptions!G$48</f>
        <v/>
      </c>
    </row>
    <row r="8">
      <c r="A8" s="3" t="inlineStr">
        <is>
          <t>EBIT — Frame A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7">
        <f>F6+F7</f>
        <v/>
      </c>
    </row>
    <row r="9">
      <c r="A9" s="3" t="inlineStr">
        <is>
          <t>NOPAT = EBIT x (1 less the tax rate)</t>
        </is>
      </c>
      <c r="B9" s="17">
        <f>B8*(1-Assumptions!$C$16)</f>
        <v/>
      </c>
      <c r="C9" s="17">
        <f>C8*(1-Assumptions!$C$16)</f>
        <v/>
      </c>
      <c r="D9" s="17">
        <f>D8*(1-Assumptions!$C$16)</f>
        <v/>
      </c>
      <c r="E9" s="17">
        <f>E8*(1-Assumptions!$C$16)</f>
        <v/>
      </c>
      <c r="F9" s="17">
        <f>F8*(1-Assumptions!$C$16)</f>
        <v/>
      </c>
    </row>
    <row r="10">
      <c r="A10" s="4" t="inlineStr">
        <is>
          <t>Add back depreciation and amortisation</t>
        </is>
      </c>
      <c r="B10" s="22">
        <f>Assumptions!C$48</f>
        <v/>
      </c>
      <c r="C10" s="22">
        <f>Assumptions!D$48</f>
        <v/>
      </c>
      <c r="D10" s="22">
        <f>Assumptions!E$48</f>
        <v/>
      </c>
      <c r="E10" s="22">
        <f>Assumptions!F$48</f>
        <v/>
      </c>
      <c r="F10" s="22">
        <f>Assumptions!G$48</f>
        <v/>
      </c>
    </row>
    <row r="11">
      <c r="A11" s="4" t="inlineStr">
        <is>
          <t>Less capital expenditure</t>
        </is>
      </c>
      <c r="B11" s="22">
        <f>-Assumptions!C$49</f>
        <v/>
      </c>
      <c r="C11" s="22">
        <f>-Assumptions!D$49</f>
        <v/>
      </c>
      <c r="D11" s="22">
        <f>-Assumptions!E$49</f>
        <v/>
      </c>
      <c r="E11" s="22">
        <f>-Assumptions!F$49</f>
        <v/>
      </c>
      <c r="F11" s="22">
        <f>-Assumptions!G$49</f>
        <v/>
      </c>
    </row>
    <row r="12">
      <c r="A12" s="4" t="inlineStr">
        <is>
          <t>Less increase in working capital</t>
        </is>
      </c>
      <c r="B12" s="22">
        <f>'Cash Flow'!E7</f>
        <v/>
      </c>
      <c r="C12" s="22">
        <f>'Cash Flow'!F7</f>
        <v/>
      </c>
      <c r="D12" s="22">
        <f>'Cash Flow'!G7</f>
        <v/>
      </c>
      <c r="E12" s="22">
        <f>'Cash Flow'!H7</f>
        <v/>
      </c>
      <c r="F12" s="22">
        <f>'Cash Flow'!I7</f>
        <v/>
      </c>
    </row>
    <row r="13">
      <c r="A13" s="9" t="inlineStr">
        <is>
          <t>FREE CASH FLOW TO THE FIRM — Frame A</t>
        </is>
      </c>
      <c r="B13" s="24">
        <f>B9+B10+B11+B12</f>
        <v/>
      </c>
      <c r="C13" s="24">
        <f>C9+C10+C11+C12</f>
        <v/>
      </c>
      <c r="D13" s="24">
        <f>D9+D10+D11+D12</f>
        <v/>
      </c>
      <c r="E13" s="24">
        <f>E9+E10+E11+E12</f>
        <v/>
      </c>
      <c r="F13" s="24">
        <f>F9+F10+F11+F12</f>
        <v/>
      </c>
    </row>
    <row r="14">
      <c r="A14" s="9" t="inlineStr">
        <is>
          <t>PRESENT VALUE of free cash flow</t>
        </is>
      </c>
      <c r="B14" s="24">
        <f>B13*B4</f>
        <v/>
      </c>
      <c r="C14" s="24">
        <f>C13*C4</f>
        <v/>
      </c>
      <c r="D14" s="24">
        <f>D13*D4</f>
        <v/>
      </c>
      <c r="E14" s="24">
        <f>E13*E4</f>
        <v/>
      </c>
      <c r="F14" s="24">
        <f>F13*F4</f>
        <v/>
      </c>
      <c r="G14" s="24">
        <f>SUM(B14:F14)</f>
        <v/>
      </c>
    </row>
    <row r="15">
      <c r="A15" s="1" t="inlineStr">
        <is>
          <t>FRAME B — inventory movements carried at the through-cycle average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4" t="inlineStr">
        <is>
          <t>EBITDA — Frame B</t>
        </is>
      </c>
      <c r="B16" s="22">
        <f>Segments!C33-Assumptions!$C$73*0+'Income Statement'!E5+'Income Statement'!E6+'Income Statement'!E7</f>
        <v/>
      </c>
      <c r="C16" s="22">
        <f>Segments!D33-Assumptions!$C$73*0+'Income Statement'!F5+'Income Statement'!F6+'Income Statement'!F7</f>
        <v/>
      </c>
      <c r="D16" s="22">
        <f>Segments!E33-Assumptions!$C$73*0+'Income Statement'!G5+'Income Statement'!G6+'Income Statement'!G7</f>
        <v/>
      </c>
      <c r="E16" s="22">
        <f>Segments!F33-Assumptions!$C$73*0+'Income Statement'!H5+'Income Statement'!H6+'Income Statement'!H7</f>
        <v/>
      </c>
      <c r="F16" s="22">
        <f>Segments!G33-Assumptions!$C$73*0+'Income Statement'!I5+'Income Statement'!I6+'Income Statement'!I7</f>
        <v/>
      </c>
    </row>
    <row r="17">
      <c r="A17" s="4" t="inlineStr">
        <is>
          <t>Less depreciation and amortisation</t>
        </is>
      </c>
      <c r="B17" s="22">
        <f>-Assumptions!C$48</f>
        <v/>
      </c>
      <c r="C17" s="22">
        <f>-Assumptions!D$48</f>
        <v/>
      </c>
      <c r="D17" s="22">
        <f>-Assumptions!E$48</f>
        <v/>
      </c>
      <c r="E17" s="22">
        <f>-Assumptions!F$48</f>
        <v/>
      </c>
      <c r="F17" s="22">
        <f>-Assumptions!G$48</f>
        <v/>
      </c>
    </row>
    <row r="18">
      <c r="A18" s="3" t="inlineStr">
        <is>
          <t>EBIT — Frame B</t>
        </is>
      </c>
      <c r="B18" s="17">
        <f>B16+B17</f>
        <v/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</row>
    <row r="19">
      <c r="A19" s="3" t="inlineStr">
        <is>
          <t>NOPAT = EBIT x (1 less the tax rate)</t>
        </is>
      </c>
      <c r="B19" s="17">
        <f>B18*(1-Assumptions!$C$16)</f>
        <v/>
      </c>
      <c r="C19" s="17">
        <f>C18*(1-Assumptions!$C$16)</f>
        <v/>
      </c>
      <c r="D19" s="17">
        <f>D18*(1-Assumptions!$C$16)</f>
        <v/>
      </c>
      <c r="E19" s="17">
        <f>E18*(1-Assumptions!$C$16)</f>
        <v/>
      </c>
      <c r="F19" s="17">
        <f>F18*(1-Assumptions!$C$16)</f>
        <v/>
      </c>
    </row>
    <row r="20">
      <c r="A20" s="4" t="inlineStr">
        <is>
          <t>Add back depreciation and amortisation</t>
        </is>
      </c>
      <c r="B20" s="22">
        <f>Assumptions!C$48</f>
        <v/>
      </c>
      <c r="C20" s="22">
        <f>Assumptions!D$48</f>
        <v/>
      </c>
      <c r="D20" s="22">
        <f>Assumptions!E$48</f>
        <v/>
      </c>
      <c r="E20" s="22">
        <f>Assumptions!F$48</f>
        <v/>
      </c>
      <c r="F20" s="22">
        <f>Assumptions!G$48</f>
        <v/>
      </c>
    </row>
    <row r="21">
      <c r="A21" s="4" t="inlineStr">
        <is>
          <t>Less capital expenditure</t>
        </is>
      </c>
      <c r="B21" s="22">
        <f>-Assumptions!C$49</f>
        <v/>
      </c>
      <c r="C21" s="22">
        <f>-Assumptions!D$49</f>
        <v/>
      </c>
      <c r="D21" s="22">
        <f>-Assumptions!E$49</f>
        <v/>
      </c>
      <c r="E21" s="22">
        <f>-Assumptions!F$49</f>
        <v/>
      </c>
      <c r="F21" s="22">
        <f>-Assumptions!G$49</f>
        <v/>
      </c>
    </row>
    <row r="22">
      <c r="A22" s="4" t="inlineStr">
        <is>
          <t>Less increase in working capital</t>
        </is>
      </c>
      <c r="B22" s="22">
        <f>'Cash Flow'!E7</f>
        <v/>
      </c>
      <c r="C22" s="22">
        <f>'Cash Flow'!F7</f>
        <v/>
      </c>
      <c r="D22" s="22">
        <f>'Cash Flow'!G7</f>
        <v/>
      </c>
      <c r="E22" s="22">
        <f>'Cash Flow'!H7</f>
        <v/>
      </c>
      <c r="F22" s="22">
        <f>'Cash Flow'!I7</f>
        <v/>
      </c>
    </row>
    <row r="23">
      <c r="A23" s="9" t="inlineStr">
        <is>
          <t>FREE CASH FLOW TO THE FIRM — Frame B</t>
        </is>
      </c>
      <c r="B23" s="24">
        <f>B19+B20+B21+B22</f>
        <v/>
      </c>
      <c r="C23" s="24">
        <f>C19+C20+C21+C22</f>
        <v/>
      </c>
      <c r="D23" s="24">
        <f>D19+D20+D21+D22</f>
        <v/>
      </c>
      <c r="E23" s="24">
        <f>E19+E20+E21+E22</f>
        <v/>
      </c>
      <c r="F23" s="24">
        <f>F19+F20+F21+F22</f>
        <v/>
      </c>
    </row>
    <row r="24">
      <c r="A24" s="9" t="inlineStr">
        <is>
          <t>PRESENT VALUE of free cash flow</t>
        </is>
      </c>
      <c r="B24" s="24">
        <f>B23*B4</f>
        <v/>
      </c>
      <c r="C24" s="24">
        <f>C23*C4</f>
        <v/>
      </c>
      <c r="D24" s="24">
        <f>D23*D4</f>
        <v/>
      </c>
      <c r="E24" s="24">
        <f>E23*E4</f>
        <v/>
      </c>
      <c r="F24" s="24">
        <f>F23*F4</f>
        <v/>
      </c>
      <c r="G24" s="24">
        <f>SUM(B24:F24)</f>
        <v/>
      </c>
    </row>
    <row r="25">
      <c r="A25" s="1" t="inlineStr">
        <is>
          <t>TERMINAL BLOCK — Frame A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4" t="inlineStr">
        <is>
          <t>Reinvestment rate = long-run growth / terminal return on capital</t>
        </is>
      </c>
      <c r="B26" s="29">
        <f>Assumptions!$C$26/Assumptions!$C$27</f>
        <v/>
      </c>
    </row>
    <row r="27">
      <c r="A27" s="4" t="inlineStr">
        <is>
          <t>Terminal NOPAT = final-year NOPAT x (1 + growth)</t>
        </is>
      </c>
      <c r="B27" s="22">
        <f>F9*(1+Assumptions!$C$26)</f>
        <v/>
      </c>
    </row>
    <row r="28">
      <c r="A28" s="4" t="inlineStr">
        <is>
          <t>Terminal free cash flow = terminal NOPAT x (1 less reinvestment)</t>
        </is>
      </c>
      <c r="B28" s="22">
        <f>B27*(1-B26)</f>
        <v/>
      </c>
    </row>
    <row r="29">
      <c r="A29" s="3" t="inlineStr">
        <is>
          <t>Terminal value = terminal free cash flow / (terminal rate less growth)</t>
        </is>
      </c>
      <c r="B29" s="17">
        <f>B28/(Assumptions!$C$25-Assumptions!$C$26)</f>
        <v/>
      </c>
    </row>
    <row r="30">
      <c r="A30" s="3" t="inlineStr">
        <is>
          <t>Present value of the terminal value</t>
        </is>
      </c>
      <c r="B30" s="24">
        <f>B29*F4</f>
        <v/>
      </c>
    </row>
    <row r="31">
      <c r="A31" s="9" t="inlineStr">
        <is>
          <t>ENTERPRISE VALUE</t>
        </is>
      </c>
      <c r="B31" s="24">
        <f>G14+B30</f>
        <v/>
      </c>
    </row>
    <row r="32">
      <c r="A32" s="9" t="inlineStr">
        <is>
          <t>TERMINAL VALUE AS A PERCENTAGE OF ENTERPRISE VALUE</t>
        </is>
      </c>
      <c r="B32" s="10">
        <f>B30/B31</f>
        <v/>
      </c>
    </row>
    <row r="33">
      <c r="A33" s="1" t="inlineStr">
        <is>
          <t>TERMINAL BLOCK — Frame B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4" t="inlineStr">
        <is>
          <t>Reinvestment rate = long-run growth / terminal return on capital</t>
        </is>
      </c>
      <c r="B34" s="29">
        <f>Assumptions!$C$26/Assumptions!$C$27</f>
        <v/>
      </c>
    </row>
    <row r="35">
      <c r="A35" s="4" t="inlineStr">
        <is>
          <t>Terminal NOPAT = final-year NOPAT x (1 + growth)</t>
        </is>
      </c>
      <c r="B35" s="22">
        <f>F19*(1+Assumptions!$C$26)</f>
        <v/>
      </c>
    </row>
    <row r="36">
      <c r="A36" s="4" t="inlineStr">
        <is>
          <t>Terminal free cash flow = terminal NOPAT x (1 less reinvestment)</t>
        </is>
      </c>
      <c r="B36" s="22">
        <f>B35*(1-B34)</f>
        <v/>
      </c>
    </row>
    <row r="37">
      <c r="A37" s="3" t="inlineStr">
        <is>
          <t>Terminal value = terminal free cash flow / (terminal rate less growth)</t>
        </is>
      </c>
      <c r="B37" s="17">
        <f>B36/(Assumptions!$C$25-Assumptions!$C$26)</f>
        <v/>
      </c>
    </row>
    <row r="38">
      <c r="A38" s="3" t="inlineStr">
        <is>
          <t>Present value of the terminal value</t>
        </is>
      </c>
      <c r="B38" s="24">
        <f>B37*F4</f>
        <v/>
      </c>
    </row>
    <row r="39">
      <c r="A39" s="9" t="inlineStr">
        <is>
          <t>ENTERPRISE VALUE</t>
        </is>
      </c>
      <c r="B39" s="24">
        <f>G24+B38</f>
        <v/>
      </c>
    </row>
    <row r="40">
      <c r="A40" s="9" t="inlineStr">
        <is>
          <t>TERMINAL VALUE AS A PERCENTAGE OF ENTERPRISE VALUE</t>
        </is>
      </c>
      <c r="B40" s="10">
        <f>B38/B39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5" t="inlineStr">
        <is>
          <t>AED million</t>
        </is>
      </c>
      <c r="B1" s="6" t="inlineStr">
        <is>
          <t>FY2023</t>
        </is>
      </c>
      <c r="C1" s="6" t="inlineStr">
        <is>
          <t>FY2024</t>
        </is>
      </c>
      <c r="D1" s="6" t="inlineStr">
        <is>
          <t>FY2025</t>
        </is>
      </c>
      <c r="E1" s="6" t="inlineStr">
        <is>
          <t>FY2026E</t>
        </is>
      </c>
      <c r="F1" s="6" t="inlineStr">
        <is>
          <t>FY2027E</t>
        </is>
      </c>
      <c r="G1" s="6" t="inlineStr">
        <is>
          <t>FY2028E</t>
        </is>
      </c>
      <c r="H1" s="6" t="inlineStr">
        <is>
          <t>FY2029E</t>
        </is>
      </c>
      <c r="I1" s="6" t="inlineStr">
        <is>
          <t>FY2030E</t>
        </is>
      </c>
    </row>
    <row r="2">
      <c r="A2" s="4" t="inlineStr">
        <is>
          <t>Revenue</t>
        </is>
      </c>
      <c r="B2" s="20" t="n">
        <v>34629.178</v>
      </c>
      <c r="C2" s="20" t="n">
        <v>35453.716</v>
      </c>
      <c r="D2" s="20" t="n">
        <v>35896.617</v>
      </c>
      <c r="E2" s="22">
        <f>Segments!C23</f>
        <v/>
      </c>
      <c r="F2" s="22">
        <f>Segments!D23</f>
        <v/>
      </c>
      <c r="G2" s="22">
        <f>Segments!E23</f>
        <v/>
      </c>
      <c r="H2" s="22">
        <f>Segments!F23</f>
        <v/>
      </c>
      <c r="I2" s="22">
        <f>Segments!G23</f>
        <v/>
      </c>
    </row>
    <row r="3">
      <c r="A3" s="4" t="inlineStr">
        <is>
          <t>Gross profit — Frame A</t>
        </is>
      </c>
      <c r="B3" s="20" t="n">
        <v>5836.285</v>
      </c>
      <c r="C3" s="20" t="n">
        <v>6216.032</v>
      </c>
      <c r="D3" s="20" t="n">
        <v>6945.79</v>
      </c>
      <c r="E3" s="22">
        <f>Segments!C32</f>
        <v/>
      </c>
      <c r="F3" s="22">
        <f>Segments!D32</f>
        <v/>
      </c>
      <c r="G3" s="22">
        <f>Segments!E32</f>
        <v/>
      </c>
      <c r="H3" s="22">
        <f>Segments!F32</f>
        <v/>
      </c>
      <c r="I3" s="22">
        <f>Segments!G32</f>
        <v/>
      </c>
    </row>
    <row r="4">
      <c r="A4" s="4" t="inlineStr">
        <is>
          <t>Gross margin</t>
        </is>
      </c>
      <c r="B4" s="13" t="n">
        <v>0.1685366311611555</v>
      </c>
      <c r="C4" s="13" t="n">
        <v>0.1753280812651627</v>
      </c>
      <c r="D4" s="13" t="n">
        <v>0.193494278304833</v>
      </c>
      <c r="E4" s="29">
        <f>E3/E2</f>
        <v/>
      </c>
      <c r="F4" s="29">
        <f>F3/F2</f>
        <v/>
      </c>
      <c r="G4" s="29">
        <f>G3/G2</f>
        <v/>
      </c>
      <c r="H4" s="29">
        <f>H3/H2</f>
        <v/>
      </c>
      <c r="I4" s="29">
        <f>I3/I2</f>
        <v/>
      </c>
    </row>
    <row r="5">
      <c r="A5" s="4" t="inlineStr">
        <is>
          <t>Cash operating expenses</t>
        </is>
      </c>
      <c r="B5" s="20" t="n">
        <v>-2219.973</v>
      </c>
      <c r="C5" s="20" t="n">
        <v>-2409.135</v>
      </c>
      <c r="D5" s="20" t="n">
        <v>-2547.6</v>
      </c>
      <c r="E5" s="22">
        <f>-Assumptions!$C$73*(1+Assumptions!C$45)</f>
        <v/>
      </c>
      <c r="F5" s="22">
        <f>E5*(1+Assumptions!D$45)</f>
        <v/>
      </c>
      <c r="G5" s="22">
        <f>F5*(1+Assumptions!E$45)</f>
        <v/>
      </c>
      <c r="H5" s="22">
        <f>G5*(1+Assumptions!F$45)</f>
        <v/>
      </c>
      <c r="I5" s="22">
        <f>H5*(1+Assumptions!G$45)</f>
        <v/>
      </c>
    </row>
    <row r="6">
      <c r="A6" s="4" t="inlineStr">
        <is>
          <t>Other income</t>
        </is>
      </c>
      <c r="B6" s="20" t="n">
        <v>145.645</v>
      </c>
      <c r="C6" s="20" t="n">
        <v>138.059</v>
      </c>
      <c r="D6" s="20" t="n">
        <v>167.665</v>
      </c>
      <c r="E6" s="22">
        <f>Assumptions!$C$74*(1+Assumptions!C$46)</f>
        <v/>
      </c>
      <c r="F6" s="22">
        <f>E6*(1+Assumptions!D$46)</f>
        <v/>
      </c>
      <c r="G6" s="22">
        <f>F6*(1+Assumptions!E$46)</f>
        <v/>
      </c>
      <c r="H6" s="22">
        <f>G6*(1+Assumptions!F$46)</f>
        <v/>
      </c>
      <c r="I6" s="22">
        <f>H6*(1+Assumptions!G$46)</f>
        <v/>
      </c>
    </row>
    <row r="7">
      <c r="A7" s="4" t="inlineStr">
        <is>
          <t>Impairments and other operating expenses</t>
        </is>
      </c>
      <c r="B7" s="20" t="n">
        <v>-82.143</v>
      </c>
      <c r="C7" s="20" t="n">
        <v>-90.254</v>
      </c>
      <c r="D7" s="20" t="n">
        <v>-284.305</v>
      </c>
      <c r="E7" s="22">
        <f>-Assumptions!C$47</f>
        <v/>
      </c>
      <c r="F7" s="22">
        <f>-Assumptions!D$47</f>
        <v/>
      </c>
      <c r="G7" s="22">
        <f>-Assumptions!E$47</f>
        <v/>
      </c>
      <c r="H7" s="22">
        <f>-Assumptions!F$47</f>
        <v/>
      </c>
      <c r="I7" s="22">
        <f>-Assumptions!G$47</f>
        <v/>
      </c>
    </row>
    <row r="8">
      <c r="A8" s="9" t="inlineStr">
        <is>
          <t>EBITDA</t>
        </is>
      </c>
      <c r="B8" s="34" t="n">
        <v>3679.814</v>
      </c>
      <c r="C8" s="34" t="n">
        <v>3854.702</v>
      </c>
      <c r="D8" s="34" t="n">
        <v>4281.55</v>
      </c>
      <c r="E8" s="24">
        <f>E3+E5+E6+E7</f>
        <v/>
      </c>
      <c r="F8" s="24">
        <f>F3+F5+F6+F7</f>
        <v/>
      </c>
      <c r="G8" s="24">
        <f>G3+G5+G6+G7</f>
        <v/>
      </c>
      <c r="H8" s="24">
        <f>H3+H5+H6+H7</f>
        <v/>
      </c>
      <c r="I8" s="24">
        <f>I3+I5+I6+I7</f>
        <v/>
      </c>
    </row>
    <row r="9">
      <c r="A9" s="4" t="inlineStr">
        <is>
          <t>EBITDA margin</t>
        </is>
      </c>
      <c r="B9" s="13" t="n">
        <v>0.106263394412654</v>
      </c>
      <c r="C9" s="13" t="n">
        <v>0.1087249077078408</v>
      </c>
      <c r="D9" s="13" t="n">
        <v>0.1192744709062695</v>
      </c>
      <c r="E9" s="29">
        <f>E8/E2</f>
        <v/>
      </c>
      <c r="F9" s="29">
        <f>F8/F2</f>
        <v/>
      </c>
      <c r="G9" s="29">
        <f>G8/G2</f>
        <v/>
      </c>
      <c r="H9" s="29">
        <f>H8/H2</f>
        <v/>
      </c>
      <c r="I9" s="29">
        <f>I8/I2</f>
        <v/>
      </c>
    </row>
    <row r="10">
      <c r="A10" s="4" t="inlineStr">
        <is>
          <t>Depreciation and amortisation</t>
        </is>
      </c>
      <c r="B10" s="20" t="n">
        <v>-696.5650000000001</v>
      </c>
      <c r="C10" s="20" t="n">
        <v>-785.807</v>
      </c>
      <c r="D10" s="20" t="n">
        <v>-775.946</v>
      </c>
      <c r="E10" s="22">
        <f>-Assumptions!C$48</f>
        <v/>
      </c>
      <c r="F10" s="22">
        <f>-Assumptions!D$48</f>
        <v/>
      </c>
      <c r="G10" s="22">
        <f>-Assumptions!E$48</f>
        <v/>
      </c>
      <c r="H10" s="22">
        <f>-Assumptions!F$48</f>
        <v/>
      </c>
      <c r="I10" s="22">
        <f>-Assumptions!G$48</f>
        <v/>
      </c>
    </row>
    <row r="11">
      <c r="A11" s="9" t="inlineStr">
        <is>
          <t>EBIT</t>
        </is>
      </c>
      <c r="B11" s="34" t="n">
        <v>2983.249</v>
      </c>
      <c r="C11" s="34" t="n">
        <v>3068.895</v>
      </c>
      <c r="D11" s="34" t="n">
        <v>3505.604</v>
      </c>
      <c r="E11" s="24">
        <f>E8+E10</f>
        <v/>
      </c>
      <c r="F11" s="24">
        <f>F8+F10</f>
        <v/>
      </c>
      <c r="G11" s="24">
        <f>G8+G10</f>
        <v/>
      </c>
      <c r="H11" s="24">
        <f>H8+H10</f>
        <v/>
      </c>
      <c r="I11" s="24">
        <f>I8+I10</f>
        <v/>
      </c>
    </row>
    <row r="12">
      <c r="A12" s="4" t="inlineStr">
        <is>
          <t>Interest income</t>
        </is>
      </c>
      <c r="B12" s="20" t="n">
        <v>98.834</v>
      </c>
      <c r="C12" s="20" t="n">
        <v>143.893</v>
      </c>
      <c r="D12" s="20" t="n">
        <v>71.274</v>
      </c>
      <c r="E12" s="22">
        <f>Assumptions!$C$84</f>
        <v/>
      </c>
      <c r="F12" s="22">
        <f>Assumptions!$C$84</f>
        <v/>
      </c>
      <c r="G12" s="22">
        <f>Assumptions!$C$84</f>
        <v/>
      </c>
      <c r="H12" s="22">
        <f>Assumptions!$C$84</f>
        <v/>
      </c>
      <c r="I12" s="22">
        <f>Assumptions!$C$84</f>
        <v/>
      </c>
    </row>
    <row r="13">
      <c r="A13" s="4" t="inlineStr">
        <is>
          <t>Finance costs</t>
        </is>
      </c>
      <c r="B13" s="20" t="n">
        <v>-432.757</v>
      </c>
      <c r="C13" s="20" t="n">
        <v>-457.111</v>
      </c>
      <c r="D13" s="20" t="n">
        <v>-402.945</v>
      </c>
      <c r="E13" s="22">
        <f>-Assumptions!$C$83</f>
        <v/>
      </c>
      <c r="F13" s="22">
        <f>-Assumptions!$C$83</f>
        <v/>
      </c>
      <c r="G13" s="22">
        <f>-Assumptions!$C$83</f>
        <v/>
      </c>
      <c r="H13" s="22">
        <f>-Assumptions!$C$83</f>
        <v/>
      </c>
      <c r="I13" s="22">
        <f>-Assumptions!$C$83</f>
        <v/>
      </c>
    </row>
    <row r="14">
      <c r="A14" s="4" t="inlineStr">
        <is>
          <t>Profit before tax</t>
        </is>
      </c>
      <c r="B14" s="20" t="n">
        <v>2649.326</v>
      </c>
      <c r="C14" s="20" t="n">
        <v>2755.677</v>
      </c>
      <c r="D14" s="20" t="n">
        <v>3173.933</v>
      </c>
      <c r="E14" s="22">
        <f>E11+E12+E13</f>
        <v/>
      </c>
      <c r="F14" s="22">
        <f>F11+F12+F13</f>
        <v/>
      </c>
      <c r="G14" s="22">
        <f>G11+G12+G13</f>
        <v/>
      </c>
      <c r="H14" s="22">
        <f>H11+H12+H13</f>
        <v/>
      </c>
      <c r="I14" s="22">
        <f>I11+I12+I13</f>
        <v/>
      </c>
    </row>
    <row r="15">
      <c r="A15" s="4" t="inlineStr">
        <is>
          <t>Income tax</t>
        </is>
      </c>
      <c r="B15" s="20" t="n">
        <v>-18.837</v>
      </c>
      <c r="C15" s="20" t="n">
        <v>-283.394</v>
      </c>
      <c r="D15" s="20" t="n">
        <v>-322.891</v>
      </c>
      <c r="E15" s="22">
        <f>-E14*Assumptions!$C$16</f>
        <v/>
      </c>
      <c r="F15" s="22">
        <f>-F14*Assumptions!$C$16</f>
        <v/>
      </c>
      <c r="G15" s="22">
        <f>-G14*Assumptions!$C$16</f>
        <v/>
      </c>
      <c r="H15" s="22">
        <f>-H14*Assumptions!$C$16</f>
        <v/>
      </c>
      <c r="I15" s="22">
        <f>-I14*Assumptions!$C$16</f>
        <v/>
      </c>
    </row>
    <row r="16">
      <c r="A16" s="3" t="inlineStr">
        <is>
          <t>Profit for the year</t>
        </is>
      </c>
      <c r="B16" s="35" t="n">
        <v>2630.489</v>
      </c>
      <c r="C16" s="35" t="n">
        <v>2472.283</v>
      </c>
      <c r="D16" s="35" t="n">
        <v>2851.042</v>
      </c>
      <c r="E16" s="17">
        <f>E14+E15</f>
        <v/>
      </c>
      <c r="F16" s="17">
        <f>F14+F15</f>
        <v/>
      </c>
      <c r="G16" s="17">
        <f>G14+G15</f>
        <v/>
      </c>
      <c r="H16" s="17">
        <f>H14+H15</f>
        <v/>
      </c>
      <c r="I16" s="17">
        <f>I14+I15</f>
        <v/>
      </c>
    </row>
    <row r="17">
      <c r="A17" s="4" t="inlineStr">
        <is>
          <t>Non-controlling interests</t>
        </is>
      </c>
      <c r="B17" s="20" t="n">
        <v>-29.068</v>
      </c>
      <c r="C17" s="20" t="n">
        <v>-52.008</v>
      </c>
      <c r="D17" s="20" t="n">
        <v>-57.042</v>
      </c>
      <c r="E17" s="22">
        <f>-Assumptions!$C$85</f>
        <v/>
      </c>
      <c r="F17" s="22">
        <f>-Assumptions!$C$85</f>
        <v/>
      </c>
      <c r="G17" s="22">
        <f>-Assumptions!$C$85</f>
        <v/>
      </c>
      <c r="H17" s="22">
        <f>-Assumptions!$C$85</f>
        <v/>
      </c>
      <c r="I17" s="22">
        <f>-Assumptions!$C$85</f>
        <v/>
      </c>
    </row>
    <row r="18">
      <c r="A18" s="9" t="inlineStr">
        <is>
          <t>Profit attributable to owners</t>
        </is>
      </c>
      <c r="B18" s="34" t="n">
        <v>2601.421</v>
      </c>
      <c r="C18" s="34" t="n">
        <v>2420.275</v>
      </c>
      <c r="D18" s="34" t="n">
        <v>2794</v>
      </c>
      <c r="E18" s="24">
        <f>E16+E17</f>
        <v/>
      </c>
      <c r="F18" s="24">
        <f>F16+F17</f>
        <v/>
      </c>
      <c r="G18" s="24">
        <f>G16+G17</f>
        <v/>
      </c>
      <c r="H18" s="24">
        <f>H16+H17</f>
        <v/>
      </c>
      <c r="I18" s="24">
        <f>I16+I17</f>
        <v/>
      </c>
    </row>
    <row r="19">
      <c r="A19" s="4" t="inlineStr">
        <is>
          <t>Earnings per share (AED)</t>
        </is>
      </c>
      <c r="B19" s="16" t="n">
        <v>0.208</v>
      </c>
      <c r="C19" s="16" t="n">
        <v>0.194</v>
      </c>
      <c r="D19" s="16" t="n">
        <v>0.224</v>
      </c>
      <c r="E19" s="28">
        <f>E18/Assumptions!$C$4</f>
        <v/>
      </c>
      <c r="F19" s="28">
        <f>F18/Assumptions!$C$4</f>
        <v/>
      </c>
      <c r="G19" s="28">
        <f>G18/Assumptions!$C$4</f>
        <v/>
      </c>
      <c r="H19" s="28">
        <f>H18/Assumptions!$C$4</f>
        <v/>
      </c>
      <c r="I19" s="28">
        <f>I18/Assumptions!$C$4</f>
        <v/>
      </c>
    </row>
    <row r="20">
      <c r="A20" s="4" t="inlineStr">
        <is>
          <t>Dividend — the fixed policy commitment</t>
        </is>
      </c>
      <c r="B20" s="20" t="n"/>
      <c r="C20" s="20" t="n"/>
      <c r="D20" s="20" t="n"/>
      <c r="E20" s="22">
        <f>Assumptions!$C$56*Assumptions!$C$4</f>
        <v/>
      </c>
      <c r="F20" s="22">
        <f>Assumptions!$C$56*Assumptions!$C$4</f>
        <v/>
      </c>
      <c r="G20" s="22">
        <f>Assumptions!$C$56*Assumptions!$C$4</f>
        <v/>
      </c>
      <c r="H20" s="22">
        <f>Assumptions!$C$56*Assumptions!$C$4</f>
        <v/>
      </c>
      <c r="I20" s="22">
        <f>Assumptions!$C$56*Assumptions!$C$4</f>
        <v/>
      </c>
    </row>
    <row r="21">
      <c r="A21" s="4" t="inlineStr">
        <is>
          <t>Dividend — the 75% of profit minimum</t>
        </is>
      </c>
      <c r="B21" s="20" t="n"/>
      <c r="C21" s="20" t="n"/>
      <c r="D21" s="20" t="n"/>
      <c r="E21" s="22">
        <f>Assumptions!$C$57*E18</f>
        <v/>
      </c>
      <c r="F21" s="22">
        <f>Assumptions!$C$57*F18</f>
        <v/>
      </c>
      <c r="G21" s="22">
        <f>Assumptions!$C$57*G18</f>
        <v/>
      </c>
      <c r="H21" s="22">
        <f>Assumptions!$C$57*H18</f>
        <v/>
      </c>
      <c r="I21" s="22">
        <f>Assumptions!$C$57*I18</f>
        <v/>
      </c>
    </row>
    <row r="22">
      <c r="A22" s="3" t="inlineStr">
        <is>
          <t>DIVIDEND PAID = the higher of the two</t>
        </is>
      </c>
      <c r="B22" s="35" t="n"/>
      <c r="C22" s="35" t="n"/>
      <c r="D22" s="35" t="n"/>
      <c r="E22" s="17">
        <f>MAX(E20,E21)</f>
        <v/>
      </c>
      <c r="F22" s="17">
        <f>MAX(F20,F21)</f>
        <v/>
      </c>
      <c r="G22" s="17">
        <f>MAX(G20,G21)</f>
        <v/>
      </c>
      <c r="H22" s="17">
        <f>MAX(H20,H21)</f>
        <v/>
      </c>
      <c r="I22" s="17">
        <f>MAX(I20,I21)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5" t="inlineStr">
        <is>
          <t>AED million</t>
        </is>
      </c>
      <c r="B1" s="6" t="inlineStr">
        <is>
          <t>FY2023</t>
        </is>
      </c>
      <c r="C1" s="6" t="inlineStr">
        <is>
          <t>FY2024</t>
        </is>
      </c>
      <c r="D1" s="6" t="inlineStr">
        <is>
          <t>FY2025</t>
        </is>
      </c>
      <c r="E1" s="6" t="inlineStr">
        <is>
          <t>FY2026E</t>
        </is>
      </c>
      <c r="F1" s="6" t="inlineStr">
        <is>
          <t>FY2027E</t>
        </is>
      </c>
      <c r="G1" s="6" t="inlineStr">
        <is>
          <t>FY2028E</t>
        </is>
      </c>
      <c r="H1" s="6" t="inlineStr">
        <is>
          <t>FY2029E</t>
        </is>
      </c>
      <c r="I1" s="6" t="inlineStr">
        <is>
          <t>FY2030E</t>
        </is>
      </c>
    </row>
    <row r="2">
      <c r="A2" s="4" t="inlineStr">
        <is>
          <t>Fixed and right-of-use assets</t>
        </is>
      </c>
      <c r="B2" s="20" t="n">
        <v>8968.079</v>
      </c>
      <c r="C2" s="20" t="n">
        <v>9278.529</v>
      </c>
      <c r="D2" s="20" t="n">
        <v>9478.001</v>
      </c>
      <c r="E2" s="22">
        <f>Assumptions!$C$75+Assumptions!C$49-Assumptions!C$48</f>
        <v/>
      </c>
      <c r="F2" s="22">
        <f>E2+Assumptions!D$49-Assumptions!D$48</f>
        <v/>
      </c>
      <c r="G2" s="22">
        <f>F2+Assumptions!E$49-Assumptions!E$48</f>
        <v/>
      </c>
      <c r="H2" s="22">
        <f>G2+Assumptions!F$49-Assumptions!F$48</f>
        <v/>
      </c>
      <c r="I2" s="22">
        <f>H2+Assumptions!G$49-Assumptions!G$48</f>
        <v/>
      </c>
    </row>
    <row r="3">
      <c r="A3" s="4" t="inlineStr">
        <is>
          <t>Goodwill, intangibles and other non-current</t>
        </is>
      </c>
      <c r="B3" s="20" t="n">
        <v>1109.994</v>
      </c>
      <c r="C3" s="20" t="n">
        <v>661.41</v>
      </c>
      <c r="D3" s="20" t="n">
        <v>671.2729999999999</v>
      </c>
      <c r="E3" s="22">
        <f>Assumptions!$C$76</f>
        <v/>
      </c>
      <c r="F3" s="22">
        <f>Assumptions!$C$76</f>
        <v/>
      </c>
      <c r="G3" s="22">
        <f>Assumptions!$C$76</f>
        <v/>
      </c>
      <c r="H3" s="22">
        <f>Assumptions!$C$76</f>
        <v/>
      </c>
      <c r="I3" s="22">
        <f>Assumptions!$C$76</f>
        <v/>
      </c>
    </row>
    <row r="4">
      <c r="A4" s="4" t="inlineStr">
        <is>
          <t>Inventories</t>
        </is>
      </c>
      <c r="B4" s="20" t="n">
        <v>1294.423</v>
      </c>
      <c r="C4" s="20" t="n">
        <v>1619.887</v>
      </c>
      <c r="D4" s="20" t="n">
        <v>1574.254</v>
      </c>
      <c r="E4" s="22">
        <f>Assumptions!$C$54/365*('Income Statement'!E2-'Income Statement'!E3)</f>
        <v/>
      </c>
      <c r="F4" s="22">
        <f>Assumptions!$C$54/365*('Income Statement'!F2-'Income Statement'!F3)</f>
        <v/>
      </c>
      <c r="G4" s="22">
        <f>Assumptions!$C$54/365*('Income Statement'!G2-'Income Statement'!G3)</f>
        <v/>
      </c>
      <c r="H4" s="22">
        <f>Assumptions!$C$54/365*('Income Statement'!H2-'Income Statement'!H3)</f>
        <v/>
      </c>
      <c r="I4" s="22">
        <f>Assumptions!$C$54/365*('Income Statement'!I2-'Income Statement'!I3)</f>
        <v/>
      </c>
    </row>
    <row r="5">
      <c r="A5" s="4" t="inlineStr">
        <is>
          <t>Receivables including related parties</t>
        </is>
      </c>
      <c r="B5" s="20" t="n">
        <v>4324.971</v>
      </c>
      <c r="C5" s="20" t="n">
        <v>3686.705</v>
      </c>
      <c r="D5" s="20" t="n">
        <v>3390.983</v>
      </c>
      <c r="E5" s="22">
        <f>Assumptions!$C$53/365*'Income Statement'!E2</f>
        <v/>
      </c>
      <c r="F5" s="22">
        <f>Assumptions!$C$53/365*'Income Statement'!F2</f>
        <v/>
      </c>
      <c r="G5" s="22">
        <f>Assumptions!$C$53/365*'Income Statement'!G2</f>
        <v/>
      </c>
      <c r="H5" s="22">
        <f>Assumptions!$C$53/365*'Income Statement'!H2</f>
        <v/>
      </c>
      <c r="I5" s="22">
        <f>Assumptions!$C$53/365*'Income Statement'!I2</f>
        <v/>
      </c>
    </row>
    <row r="6">
      <c r="A6" s="4" t="inlineStr">
        <is>
          <t>Cash and term deposits</t>
        </is>
      </c>
      <c r="B6" s="20" t="n">
        <v>3194.162</v>
      </c>
      <c r="C6" s="20" t="n">
        <v>2934.263</v>
      </c>
      <c r="D6" s="20" t="n">
        <v>2560.854</v>
      </c>
      <c r="E6" s="22">
        <f>E8+E9+E10+E11+E12+E13-E2-E3-E4-E5</f>
        <v/>
      </c>
      <c r="F6" s="22">
        <f>F8+F9+F10+F11+F12+F13-F2-F3-F4-F5</f>
        <v/>
      </c>
      <c r="G6" s="22">
        <f>G8+G9+G10+G11+G12+G13-G2-G3-G4-G5</f>
        <v/>
      </c>
      <c r="H6" s="22">
        <f>H8+H9+H10+H11+H12+H13-H2-H3-H4-H5</f>
        <v/>
      </c>
      <c r="I6" s="22">
        <f>I8+I9+I10+I11+I12+I13-I2-I3-I4-I5</f>
        <v/>
      </c>
    </row>
    <row r="7">
      <c r="A7" s="9" t="inlineStr">
        <is>
          <t>TOTAL ASSETS</t>
        </is>
      </c>
      <c r="B7" s="34" t="n">
        <v>18891.629</v>
      </c>
      <c r="C7" s="34" t="n">
        <v>18180.794</v>
      </c>
      <c r="D7" s="34" t="n">
        <v>17675.365</v>
      </c>
      <c r="E7" s="24">
        <f>E2+E3+E4+E5+E6</f>
        <v/>
      </c>
      <c r="F7" s="24">
        <f>F2+F3+F4+F5+F6</f>
        <v/>
      </c>
      <c r="G7" s="24">
        <f>G2+G3+G4+G5+G6</f>
        <v/>
      </c>
      <c r="H7" s="24">
        <f>H2+H3+H4+H5+H6</f>
        <v/>
      </c>
      <c r="I7" s="24">
        <f>I2+I3+I4+I5+I6</f>
        <v/>
      </c>
    </row>
    <row r="8">
      <c r="A8" s="4" t="inlineStr">
        <is>
          <t>Equity attributable to owners</t>
        </is>
      </c>
      <c r="B8" s="20" t="n">
        <v>3472.066</v>
      </c>
      <c r="C8" s="20" t="n">
        <v>2991.839</v>
      </c>
      <c r="D8" s="20" t="n">
        <v>3230.423</v>
      </c>
      <c r="E8" s="22">
        <f>Assumptions!$C$77+'Income Statement'!E18-'Income Statement'!E22</f>
        <v/>
      </c>
      <c r="F8" s="22">
        <f>E8+'Income Statement'!F18-'Income Statement'!F22</f>
        <v/>
      </c>
      <c r="G8" s="22">
        <f>F8+'Income Statement'!G18-'Income Statement'!G22</f>
        <v/>
      </c>
      <c r="H8" s="22">
        <f>G8+'Income Statement'!H18-'Income Statement'!H22</f>
        <v/>
      </c>
      <c r="I8" s="22">
        <f>H8+'Income Statement'!I18-'Income Statement'!I22</f>
        <v/>
      </c>
    </row>
    <row r="9">
      <c r="A9" s="4" t="inlineStr">
        <is>
          <t>Non-controlling interests</t>
        </is>
      </c>
      <c r="B9" s="20" t="n">
        <v>323.767</v>
      </c>
      <c r="C9" s="20" t="n">
        <v>189.437</v>
      </c>
      <c r="D9" s="20" t="n">
        <v>230.374</v>
      </c>
      <c r="E9" s="22">
        <f>Assumptions!$C$78+Assumptions!$C$85</f>
        <v/>
      </c>
      <c r="F9" s="22">
        <f>E9+Assumptions!$C$85</f>
        <v/>
      </c>
      <c r="G9" s="22">
        <f>F9+Assumptions!$C$85</f>
        <v/>
      </c>
      <c r="H9" s="22">
        <f>G9+Assumptions!$C$85</f>
        <v/>
      </c>
      <c r="I9" s="22">
        <f>H9+Assumptions!$C$85</f>
        <v/>
      </c>
    </row>
    <row r="10">
      <c r="A10" s="4" t="inlineStr">
        <is>
          <t>Borrowings</t>
        </is>
      </c>
      <c r="B10" s="20" t="n">
        <v>5492.28</v>
      </c>
      <c r="C10" s="20" t="n">
        <v>5590.644</v>
      </c>
      <c r="D10" s="20" t="n">
        <v>5545.975</v>
      </c>
      <c r="E10" s="22">
        <f>Assumptions!$C$79</f>
        <v/>
      </c>
      <c r="F10" s="22">
        <f>Assumptions!$C$79</f>
        <v/>
      </c>
      <c r="G10" s="22">
        <f>Assumptions!$C$79</f>
        <v/>
      </c>
      <c r="H10" s="22">
        <f>Assumptions!$C$79</f>
        <v/>
      </c>
      <c r="I10" s="22">
        <f>Assumptions!$C$79</f>
        <v/>
      </c>
    </row>
    <row r="11">
      <c r="A11" s="4" t="inlineStr">
        <is>
          <t>Lease liabilities</t>
        </is>
      </c>
      <c r="B11" s="20" t="n">
        <v>1747.264</v>
      </c>
      <c r="C11" s="20" t="n">
        <v>1722.622</v>
      </c>
      <c r="D11" s="20" t="n">
        <v>1446.327</v>
      </c>
      <c r="E11" s="22">
        <f>Assumptions!$C$80</f>
        <v/>
      </c>
      <c r="F11" s="22">
        <f>Assumptions!$C$80</f>
        <v/>
      </c>
      <c r="G11" s="22">
        <f>Assumptions!$C$80</f>
        <v/>
      </c>
      <c r="H11" s="22">
        <f>Assumptions!$C$80</f>
        <v/>
      </c>
      <c r="I11" s="22">
        <f>Assumptions!$C$80</f>
        <v/>
      </c>
    </row>
    <row r="12">
      <c r="A12" s="4" t="inlineStr">
        <is>
          <t>Provisions, deferred tax and other</t>
        </is>
      </c>
      <c r="B12" s="20" t="n"/>
      <c r="C12" s="20" t="n"/>
      <c r="D12" s="20" t="n">
        <v>460.12</v>
      </c>
      <c r="E12" s="22">
        <f>Assumptions!$C$81</f>
        <v/>
      </c>
      <c r="F12" s="22">
        <f>Assumptions!$C$81</f>
        <v/>
      </c>
      <c r="G12" s="22">
        <f>Assumptions!$C$81</f>
        <v/>
      </c>
      <c r="H12" s="22">
        <f>Assumptions!$C$81</f>
        <v/>
      </c>
      <c r="I12" s="22">
        <f>Assumptions!$C$81</f>
        <v/>
      </c>
    </row>
    <row r="13">
      <c r="A13" s="4" t="inlineStr">
        <is>
          <t>Payables including related parties</t>
        </is>
      </c>
      <c r="B13" s="20" t="n">
        <v>7368.986000000001</v>
      </c>
      <c r="C13" s="20" t="n">
        <v>7236.399</v>
      </c>
      <c r="D13" s="20" t="n">
        <v>6762.146000000001</v>
      </c>
      <c r="E13" s="22">
        <f>Assumptions!$C$55/365*('Income Statement'!E2-'Income Statement'!E3)</f>
        <v/>
      </c>
      <c r="F13" s="22">
        <f>Assumptions!$C$55/365*('Income Statement'!F2-'Income Statement'!F3)</f>
        <v/>
      </c>
      <c r="G13" s="22">
        <f>Assumptions!$C$55/365*('Income Statement'!G2-'Income Statement'!G3)</f>
        <v/>
      </c>
      <c r="H13" s="22">
        <f>Assumptions!$C$55/365*('Income Statement'!H2-'Income Statement'!H3)</f>
        <v/>
      </c>
      <c r="I13" s="22">
        <f>Assumptions!$C$55/365*('Income Statement'!I2-'Income Statement'!I3)</f>
        <v/>
      </c>
    </row>
    <row r="14">
      <c r="A14" s="9" t="inlineStr">
        <is>
          <t>TOTAL EQUITY AND LIABILITIES</t>
        </is>
      </c>
      <c r="B14" s="34" t="n">
        <v>18891.629</v>
      </c>
      <c r="C14" s="34" t="n">
        <v>18180.794</v>
      </c>
      <c r="D14" s="34" t="n">
        <v>17675.365</v>
      </c>
      <c r="E14" s="24">
        <f>E8+E9+E10+E11+E12+E13</f>
        <v/>
      </c>
      <c r="F14" s="24">
        <f>F8+F9+F10+F11+F12+F13</f>
        <v/>
      </c>
      <c r="G14" s="24">
        <f>G8+G9+G10+G11+G12+G13</f>
        <v/>
      </c>
      <c r="H14" s="24">
        <f>H8+H9+H10+H11+H12+H13</f>
        <v/>
      </c>
      <c r="I14" s="24">
        <f>I8+I9+I10+I11+I12+I13</f>
        <v/>
      </c>
    </row>
    <row r="15">
      <c r="A15" s="3" t="inlineStr">
        <is>
          <t>BALANCE CHECK (must be zero)</t>
        </is>
      </c>
      <c r="B15" s="36" t="n">
        <v>0</v>
      </c>
      <c r="C15" s="36" t="n">
        <v>0</v>
      </c>
      <c r="D15" s="36" t="n">
        <v>0</v>
      </c>
      <c r="E15" s="21">
        <f>E7-E14</f>
        <v/>
      </c>
      <c r="F15" s="21">
        <f>F7-F14</f>
        <v/>
      </c>
      <c r="G15" s="21">
        <f>G7-G14</f>
        <v/>
      </c>
      <c r="H15" s="21">
        <f>H7-H14</f>
        <v/>
      </c>
      <c r="I15" s="21">
        <f>I7-I14</f>
        <v/>
      </c>
    </row>
    <row r="16">
      <c r="A16" s="4" t="inlineStr">
        <is>
          <t>Net debt excluding leases</t>
        </is>
      </c>
      <c r="B16" s="20" t="n">
        <v>2298.118</v>
      </c>
      <c r="C16" s="20" t="n">
        <v>2656.381</v>
      </c>
      <c r="D16" s="20" t="n">
        <v>2985.121000000001</v>
      </c>
      <c r="E16" s="22">
        <f>E10-E6</f>
        <v/>
      </c>
      <c r="F16" s="22">
        <f>F10-F6</f>
        <v/>
      </c>
      <c r="G16" s="22">
        <f>G10-G6</f>
        <v/>
      </c>
      <c r="H16" s="22">
        <f>H10-H6</f>
        <v/>
      </c>
      <c r="I16" s="22">
        <f>I10-I6</f>
        <v/>
      </c>
    </row>
    <row r="17">
      <c r="A17" s="4" t="inlineStr">
        <is>
          <t>Book value per share (AED)</t>
        </is>
      </c>
      <c r="B17" s="16" t="n">
        <v>0.27776528</v>
      </c>
      <c r="C17" s="16" t="n">
        <v>0.23934712</v>
      </c>
      <c r="D17" s="16" t="n">
        <v>0.25843384</v>
      </c>
      <c r="E17" s="28">
        <f>E8/Assumptions!$C$4</f>
        <v/>
      </c>
      <c r="F17" s="28">
        <f>F8/Assumptions!$C$4</f>
        <v/>
      </c>
      <c r="G17" s="28">
        <f>G8/Assumptions!$C$4</f>
        <v/>
      </c>
      <c r="H17" s="28">
        <f>H8/Assumptions!$C$4</f>
        <v/>
      </c>
      <c r="I17" s="28">
        <f>I8/Assumptions!$C$4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5" t="inlineStr">
        <is>
          <t>AED million</t>
        </is>
      </c>
      <c r="B1" s="6" t="inlineStr">
        <is>
          <t>FY2023</t>
        </is>
      </c>
      <c r="C1" s="6" t="inlineStr">
        <is>
          <t>FY2024</t>
        </is>
      </c>
      <c r="D1" s="6" t="inlineStr">
        <is>
          <t>FY2025</t>
        </is>
      </c>
      <c r="E1" s="6" t="inlineStr">
        <is>
          <t>FY2026E</t>
        </is>
      </c>
      <c r="F1" s="6" t="inlineStr">
        <is>
          <t>FY2027E</t>
        </is>
      </c>
      <c r="G1" s="6" t="inlineStr">
        <is>
          <t>FY2028E</t>
        </is>
      </c>
      <c r="H1" s="6" t="inlineStr">
        <is>
          <t>FY2029E</t>
        </is>
      </c>
      <c r="I1" s="6" t="inlineStr">
        <is>
          <t>FY2030E</t>
        </is>
      </c>
    </row>
    <row r="2">
      <c r="A2" s="4" t="inlineStr">
        <is>
          <t>EBIT</t>
        </is>
      </c>
      <c r="B2" s="20" t="n">
        <v>2983.249</v>
      </c>
      <c r="C2" s="20" t="n">
        <v>3068.895</v>
      </c>
      <c r="D2" s="20" t="n">
        <v>3505.604</v>
      </c>
      <c r="E2" s="22">
        <f>'Income Statement'!E11</f>
        <v/>
      </c>
      <c r="F2" s="22">
        <f>'Income Statement'!F11</f>
        <v/>
      </c>
      <c r="G2" s="22">
        <f>'Income Statement'!G11</f>
        <v/>
      </c>
      <c r="H2" s="22">
        <f>'Income Statement'!H11</f>
        <v/>
      </c>
      <c r="I2" s="22">
        <f>'Income Statement'!I11</f>
        <v/>
      </c>
    </row>
    <row r="3">
      <c r="A3" s="4" t="inlineStr">
        <is>
          <t>Tax rate applied to EBIT</t>
        </is>
      </c>
      <c r="B3" s="18" t="n">
        <v>0.00711011026955535</v>
      </c>
      <c r="C3" s="18" t="n">
        <v>0.1028400643471641</v>
      </c>
      <c r="D3" s="18" t="n">
        <v>0.1017321411636604</v>
      </c>
      <c r="E3" s="31">
        <f>Assumptions!$C$16</f>
        <v/>
      </c>
      <c r="F3" s="31">
        <f>Assumptions!$C$16</f>
        <v/>
      </c>
      <c r="G3" s="31">
        <f>Assumptions!$C$16</f>
        <v/>
      </c>
      <c r="H3" s="31">
        <f>Assumptions!$C$16</f>
        <v/>
      </c>
      <c r="I3" s="31">
        <f>Assumptions!$C$16</f>
        <v/>
      </c>
    </row>
    <row r="4">
      <c r="A4" s="3" t="inlineStr">
        <is>
          <t>NOPAT = EBIT x (1 less the tax rate)</t>
        </is>
      </c>
      <c r="B4" s="35" t="n">
        <v>2962.037770648459</v>
      </c>
      <c r="C4" s="35" t="n">
        <v>2753.28964072531</v>
      </c>
      <c r="D4" s="35" t="n">
        <v>3148.971399008107</v>
      </c>
      <c r="E4" s="17">
        <f>E2*(1-E3)</f>
        <v/>
      </c>
      <c r="F4" s="17">
        <f>F2*(1-F3)</f>
        <v/>
      </c>
      <c r="G4" s="17">
        <f>G2*(1-G3)</f>
        <v/>
      </c>
      <c r="H4" s="17">
        <f>H2*(1-H3)</f>
        <v/>
      </c>
      <c r="I4" s="17">
        <f>I2*(1-I3)</f>
        <v/>
      </c>
    </row>
    <row r="5">
      <c r="A5" s="4" t="inlineStr">
        <is>
          <t>Add back depreciation and amortisation</t>
        </is>
      </c>
      <c r="B5" s="20" t="n">
        <v>696.5650000000001</v>
      </c>
      <c r="C5" s="20" t="n">
        <v>785.807</v>
      </c>
      <c r="D5" s="20" t="n">
        <v>775.946</v>
      </c>
      <c r="E5" s="22">
        <f>Assumptions!C$48</f>
        <v/>
      </c>
      <c r="F5" s="22">
        <f>Assumptions!D$48</f>
        <v/>
      </c>
      <c r="G5" s="22">
        <f>Assumptions!E$48</f>
        <v/>
      </c>
      <c r="H5" s="22">
        <f>Assumptions!F$48</f>
        <v/>
      </c>
      <c r="I5" s="22">
        <f>Assumptions!G$48</f>
        <v/>
      </c>
    </row>
    <row r="6">
      <c r="A6" s="4" t="inlineStr">
        <is>
          <t>Less capital expenditure</t>
        </is>
      </c>
      <c r="B6" s="20" t="n">
        <v>-1032.241</v>
      </c>
      <c r="C6" s="20" t="n">
        <v>-1179.233</v>
      </c>
      <c r="D6" s="20" t="n">
        <v>-1207.394</v>
      </c>
      <c r="E6" s="22">
        <f>-Assumptions!C$49</f>
        <v/>
      </c>
      <c r="F6" s="22">
        <f>-Assumptions!D$49</f>
        <v/>
      </c>
      <c r="G6" s="22">
        <f>-Assumptions!E$49</f>
        <v/>
      </c>
      <c r="H6" s="22">
        <f>-Assumptions!F$49</f>
        <v/>
      </c>
      <c r="I6" s="22">
        <f>-Assumptions!G$49</f>
        <v/>
      </c>
    </row>
    <row r="7">
      <c r="A7" s="4" t="inlineStr">
        <is>
          <t>Less increase in working capital</t>
        </is>
      </c>
      <c r="B7" s="20" t="n"/>
      <c r="C7" s="20" t="n"/>
      <c r="D7" s="20" t="n"/>
      <c r="E7" s="22">
        <f>-('Balance Sheet'!E5+'Balance Sheet'!E4-'Balance Sheet'!E13-'Balance Sheet'!D5-'Balance Sheet'!D4+'Balance Sheet'!D13)</f>
        <v/>
      </c>
      <c r="F7" s="22">
        <f>-('Balance Sheet'!F5+'Balance Sheet'!F4-'Balance Sheet'!F13-'Balance Sheet'!E5-'Balance Sheet'!E4+'Balance Sheet'!E13)</f>
        <v/>
      </c>
      <c r="G7" s="22">
        <f>-('Balance Sheet'!G5+'Balance Sheet'!G4-'Balance Sheet'!G13-'Balance Sheet'!F5-'Balance Sheet'!F4+'Balance Sheet'!F13)</f>
        <v/>
      </c>
      <c r="H7" s="22">
        <f>-('Balance Sheet'!H5+'Balance Sheet'!H4-'Balance Sheet'!H13-'Balance Sheet'!G5-'Balance Sheet'!G4+'Balance Sheet'!G13)</f>
        <v/>
      </c>
      <c r="I7" s="22">
        <f>-('Balance Sheet'!I5+'Balance Sheet'!I4-'Balance Sheet'!I13-'Balance Sheet'!H5-'Balance Sheet'!H4+'Balance Sheet'!H13)</f>
        <v/>
      </c>
    </row>
    <row r="8">
      <c r="A8" s="9" t="inlineStr">
        <is>
          <t>FREE CASH FLOW TO THE FIRM</t>
        </is>
      </c>
      <c r="B8" s="34" t="n"/>
      <c r="C8" s="34" t="n"/>
      <c r="D8" s="34" t="n"/>
      <c r="E8" s="24">
        <f>E4+E5+E6+E7</f>
        <v/>
      </c>
      <c r="F8" s="24">
        <f>F4+F5+F6+F7</f>
        <v/>
      </c>
      <c r="G8" s="24">
        <f>G4+G5+G6+G7</f>
        <v/>
      </c>
      <c r="H8" s="24">
        <f>H4+H5+H6+H7</f>
        <v/>
      </c>
      <c r="I8" s="24">
        <f>I4+I5+I6+I7</f>
        <v/>
      </c>
    </row>
    <row r="9">
      <c r="A9" s="4" t="inlineStr">
        <is>
          <t>Dividends paid</t>
        </is>
      </c>
      <c r="B9" s="20" t="n">
        <v>-2622.89</v>
      </c>
      <c r="C9" s="20" t="n">
        <v>-2613.7</v>
      </c>
      <c r="D9" s="20" t="n">
        <v>-2599.146</v>
      </c>
      <c r="E9" s="22">
        <f>-'Income Statement'!E22</f>
        <v/>
      </c>
      <c r="F9" s="22">
        <f>-'Income Statement'!F22</f>
        <v/>
      </c>
      <c r="G9" s="22">
        <f>-'Income Statement'!G22</f>
        <v/>
      </c>
      <c r="H9" s="22">
        <f>-'Income Statement'!H22</f>
        <v/>
      </c>
      <c r="I9" s="22">
        <f>-'Income Statement'!I22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5" t="inlineStr">
        <is>
          <t>AED million</t>
        </is>
      </c>
      <c r="B1" s="6" t="inlineStr">
        <is>
          <t>FY2023</t>
        </is>
      </c>
      <c r="C1" s="6" t="inlineStr">
        <is>
          <t>FY2024</t>
        </is>
      </c>
      <c r="D1" s="6" t="inlineStr">
        <is>
          <t>FY2025</t>
        </is>
      </c>
      <c r="E1" s="6" t="inlineStr">
        <is>
          <t>FY2026E</t>
        </is>
      </c>
      <c r="F1" s="6" t="inlineStr">
        <is>
          <t>FY2027E</t>
        </is>
      </c>
      <c r="G1" s="6" t="inlineStr">
        <is>
          <t>FY2028E</t>
        </is>
      </c>
      <c r="H1" s="6" t="inlineStr">
        <is>
          <t>FY2029E</t>
        </is>
      </c>
      <c r="I1" s="6" t="inlineStr">
        <is>
          <t>FY2030E</t>
        </is>
      </c>
    </row>
    <row r="2">
      <c r="A2" s="4" t="inlineStr">
        <is>
          <t>Revenue</t>
        </is>
      </c>
      <c r="B2" s="20" t="n">
        <v>34629.178</v>
      </c>
      <c r="C2" s="20" t="n">
        <v>35453.716</v>
      </c>
      <c r="D2" s="20" t="n">
        <v>35896.617</v>
      </c>
      <c r="E2" s="22">
        <f>'Income Statement'!E2</f>
        <v/>
      </c>
      <c r="F2" s="22">
        <f>'Income Statement'!F2</f>
        <v/>
      </c>
      <c r="G2" s="22">
        <f>'Income Statement'!G2</f>
        <v/>
      </c>
      <c r="H2" s="22">
        <f>'Income Statement'!H2</f>
        <v/>
      </c>
      <c r="I2" s="22">
        <f>'Income Statement'!I2</f>
        <v/>
      </c>
    </row>
    <row r="3">
      <c r="A3" s="4" t="inlineStr">
        <is>
          <t>Gross profit</t>
        </is>
      </c>
      <c r="B3" s="20" t="n">
        <v>5836.285</v>
      </c>
      <c r="C3" s="20" t="n">
        <v>6216.032</v>
      </c>
      <c r="D3" s="20" t="n">
        <v>6945.79</v>
      </c>
      <c r="E3" s="22">
        <f>'Income Statement'!E3</f>
        <v/>
      </c>
      <c r="F3" s="22">
        <f>'Income Statement'!F3</f>
        <v/>
      </c>
      <c r="G3" s="22">
        <f>'Income Statement'!G3</f>
        <v/>
      </c>
      <c r="H3" s="22">
        <f>'Income Statement'!H3</f>
        <v/>
      </c>
      <c r="I3" s="22">
        <f>'Income Statement'!I3</f>
        <v/>
      </c>
    </row>
    <row r="4">
      <c r="A4" s="4" t="inlineStr">
        <is>
          <t>EBITDA</t>
        </is>
      </c>
      <c r="B4" s="20" t="n">
        <v>3679.814</v>
      </c>
      <c r="C4" s="20" t="n">
        <v>3854.702</v>
      </c>
      <c r="D4" s="20" t="n">
        <v>4281.55</v>
      </c>
      <c r="E4" s="22">
        <f>'Income Statement'!E8</f>
        <v/>
      </c>
      <c r="F4" s="22">
        <f>'Income Statement'!F8</f>
        <v/>
      </c>
      <c r="G4" s="22">
        <f>'Income Statement'!G8</f>
        <v/>
      </c>
      <c r="H4" s="22">
        <f>'Income Statement'!H8</f>
        <v/>
      </c>
      <c r="I4" s="22">
        <f>'Income Statement'!I8</f>
        <v/>
      </c>
    </row>
    <row r="5">
      <c r="A5" s="4" t="inlineStr">
        <is>
          <t>EBIT</t>
        </is>
      </c>
      <c r="B5" s="20" t="n">
        <v>2983.249</v>
      </c>
      <c r="C5" s="20" t="n">
        <v>3068.895</v>
      </c>
      <c r="D5" s="20" t="n">
        <v>3505.604</v>
      </c>
      <c r="E5" s="22">
        <f>'Income Statement'!E11</f>
        <v/>
      </c>
      <c r="F5" s="22">
        <f>'Income Statement'!F11</f>
        <v/>
      </c>
      <c r="G5" s="22">
        <f>'Income Statement'!G11</f>
        <v/>
      </c>
      <c r="H5" s="22">
        <f>'Income Statement'!H11</f>
        <v/>
      </c>
      <c r="I5" s="22">
        <f>'Income Statement'!I11</f>
        <v/>
      </c>
    </row>
    <row r="6">
      <c r="A6" s="4" t="inlineStr">
        <is>
          <t>Profit attributable to owners</t>
        </is>
      </c>
      <c r="B6" s="20" t="n">
        <v>2601.421</v>
      </c>
      <c r="C6" s="20" t="n">
        <v>2420.275</v>
      </c>
      <c r="D6" s="20" t="n">
        <v>2794</v>
      </c>
      <c r="E6" s="22">
        <f>'Income Statement'!E18</f>
        <v/>
      </c>
      <c r="F6" s="22">
        <f>'Income Statement'!F18</f>
        <v/>
      </c>
      <c r="G6" s="22">
        <f>'Income Statement'!G18</f>
        <v/>
      </c>
      <c r="H6" s="22">
        <f>'Income Statement'!H18</f>
        <v/>
      </c>
      <c r="I6" s="22">
        <f>'Income Statement'!I18</f>
        <v/>
      </c>
    </row>
    <row r="7">
      <c r="A7" s="4" t="inlineStr">
        <is>
          <t>Free cash flow to the firm</t>
        </is>
      </c>
      <c r="B7" s="4" t="inlineStr"/>
      <c r="C7" s="4" t="inlineStr"/>
      <c r="D7" s="4" t="inlineStr"/>
      <c r="E7" s="22">
        <f>'Cash Flow'!E8</f>
        <v/>
      </c>
      <c r="F7" s="22">
        <f>'Cash Flow'!F8</f>
        <v/>
      </c>
      <c r="G7" s="22">
        <f>'Cash Flow'!G8</f>
        <v/>
      </c>
      <c r="H7" s="22">
        <f>'Cash Flow'!H8</f>
        <v/>
      </c>
      <c r="I7" s="22">
        <f>'Cash Flow'!I8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44" customWidth="1" min="4" max="4"/>
  </cols>
  <sheetData>
    <row r="1" ht="28" customHeight="1">
      <c r="A1" s="5" t="inlineStr">
        <is>
          <t>Probability map</t>
        </is>
      </c>
      <c r="B1" s="6" t="inlineStr">
        <is>
          <t>One month</t>
        </is>
      </c>
      <c r="C1" s="6" t="inlineStr">
        <is>
          <t>Three months</t>
        </is>
      </c>
      <c r="D1" s="6" t="inlineStr">
        <is>
          <t>Note</t>
        </is>
      </c>
    </row>
    <row r="2">
      <c r="A2" s="9" t="inlineStr">
        <is>
          <t>THESE CELLS ARE A WHOLE-MODEL RE-RUN — 50,000 simulated price paths each. They do NOT redraw when a driver on the Assumptions sheet changes.</t>
        </is>
      </c>
      <c r="B2" s="25" t="n"/>
      <c r="C2" s="25" t="n"/>
      <c r="D2" s="26" t="n"/>
    </row>
    <row r="3">
      <c r="A3" s="4" t="inlineStr">
        <is>
          <t>5th percentile (AED)</t>
        </is>
      </c>
      <c r="B3" s="15" t="n">
        <v>3.692183407363756</v>
      </c>
      <c r="C3" s="15" t="n">
        <v>3.390614715067509</v>
      </c>
    </row>
    <row r="4">
      <c r="A4" s="4" t="inlineStr">
        <is>
          <t>25th percentile (AED)</t>
        </is>
      </c>
      <c r="B4" s="15" t="n">
        <v>3.917586484336529</v>
      </c>
      <c r="C4" s="15" t="n">
        <v>3.787880161481327</v>
      </c>
    </row>
    <row r="5">
      <c r="A5" s="4" t="inlineStr">
        <is>
          <t>50th percentile (AED)</t>
        </is>
      </c>
      <c r="B5" s="15" t="n">
        <v>4.065054883468372</v>
      </c>
      <c r="C5" s="15" t="n">
        <v>4.058424146704285</v>
      </c>
    </row>
    <row r="6">
      <c r="A6" s="4" t="inlineStr">
        <is>
          <t>75th percentile (AED)</t>
        </is>
      </c>
      <c r="B6" s="15" t="n">
        <v>4.218866419993176</v>
      </c>
      <c r="C6" s="15" t="n">
        <v>4.347274247197705</v>
      </c>
    </row>
    <row r="7">
      <c r="A7" s="4" t="inlineStr">
        <is>
          <t>95th percentile (AED)</t>
        </is>
      </c>
      <c r="B7" s="15" t="n">
        <v>4.468710636064625</v>
      </c>
      <c r="C7" s="15" t="n">
        <v>4.862261274836419</v>
      </c>
    </row>
    <row r="8">
      <c r="A8" s="4" t="inlineStr">
        <is>
          <t>Probability of finishing above the anchor</t>
        </is>
      </c>
      <c r="B8" s="13" t="n">
        <v>0.49132</v>
      </c>
      <c r="C8" s="13" t="n">
        <v>0.48872</v>
      </c>
    </row>
    <row r="9">
      <c r="A9" s="4" t="inlineStr">
        <is>
          <t>Probability of finishing 10% higher</t>
        </is>
      </c>
      <c r="B9" s="13" t="n">
        <v>0.04742</v>
      </c>
      <c r="C9" s="13" t="n">
        <v>0.17202</v>
      </c>
    </row>
    <row r="10">
      <c r="A10" s="4" t="inlineStr">
        <is>
          <t>Probability of finishing 10% lower</t>
        </is>
      </c>
      <c r="B10" s="13" t="n">
        <v>0.03952</v>
      </c>
      <c r="C10" s="13" t="n">
        <v>0.16112</v>
      </c>
    </row>
    <row r="11">
      <c r="A11" s="4" t="inlineStr">
        <is>
          <t>Probability of TOUCHING 10% higher</t>
        </is>
      </c>
      <c r="B11" s="13" t="n">
        <v>0.07679999999999999</v>
      </c>
      <c r="C11" s="13" t="n">
        <v>0.31482</v>
      </c>
    </row>
    <row r="12">
      <c r="A12" s="4" t="inlineStr">
        <is>
          <t>Probability of TOUCHING 10% lower</t>
        </is>
      </c>
      <c r="B12" s="13" t="n">
        <v>0.06074</v>
      </c>
      <c r="C12" s="13" t="n">
        <v>0.28772</v>
      </c>
    </row>
  </sheetData>
  <mergeCells count="1"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8" customHeight="1">
      <c r="A1" s="5" t="inlineStr">
        <is>
          <t>Value per share (AED), Frame A</t>
        </is>
      </c>
      <c r="B1" s="6" t="inlineStr">
        <is>
          <t>0.5% growth</t>
        </is>
      </c>
      <c r="C1" s="6" t="inlineStr">
        <is>
          <t>1.0% growth</t>
        </is>
      </c>
      <c r="D1" s="6" t="inlineStr">
        <is>
          <t>1.5% growth</t>
        </is>
      </c>
      <c r="E1" s="6" t="inlineStr">
        <is>
          <t>2.0% growth</t>
        </is>
      </c>
      <c r="F1" s="6" t="inlineStr">
        <is>
          <t>2.5% growth</t>
        </is>
      </c>
    </row>
    <row r="2">
      <c r="A2" s="9" t="inlineStr">
        <is>
          <t>EACH CELL IS A COMPLETE REVALUATION of the whole model. These grids do NOT redraw when a driver changes.</t>
        </is>
      </c>
      <c r="B2" s="25" t="n"/>
      <c r="C2" s="25" t="n"/>
      <c r="D2" s="25" t="n"/>
      <c r="E2" s="25" t="n"/>
      <c r="F2" s="26" t="n"/>
    </row>
    <row r="3">
      <c r="A3" s="4" t="inlineStr">
        <is>
          <t>Terminal cost of capital 6.44%</t>
        </is>
      </c>
      <c r="B3" s="15" t="n">
        <v>5.039624840025958</v>
      </c>
      <c r="C3" s="15" t="n">
        <v>5.347254783976864</v>
      </c>
      <c r="D3" s="15" t="n">
        <v>5.716213552971893</v>
      </c>
      <c r="E3" s="15" t="n">
        <v>6.167241416127026</v>
      </c>
      <c r="F3" s="15" t="n">
        <v>6.731618765321264</v>
      </c>
    </row>
    <row r="4">
      <c r="A4" s="4" t="inlineStr">
        <is>
          <t>Terminal cost of capital 6.94%</t>
        </is>
      </c>
      <c r="B4" s="15" t="n">
        <v>4.660291078202476</v>
      </c>
      <c r="C4" s="15" t="n">
        <v>4.911618031216516</v>
      </c>
      <c r="D4" s="15" t="n">
        <v>5.208286557962923</v>
      </c>
      <c r="E4" s="15" t="n">
        <v>5.56407692605848</v>
      </c>
      <c r="F4" s="15" t="n">
        <v>5.998983043740145</v>
      </c>
    </row>
    <row r="5">
      <c r="A5" s="4" t="inlineStr">
        <is>
          <t>Terminal cost of capital 7.44%</t>
        </is>
      </c>
      <c r="B5" s="15" t="n">
        <v>4.335436272321719</v>
      </c>
      <c r="C5" s="15" t="n">
        <v>4.543419809706135</v>
      </c>
      <c r="D5" s="15" t="n">
        <v>4.785634375641991</v>
      </c>
      <c r="E5" s="15" t="n">
        <v>5.071526506015136</v>
      </c>
      <c r="F5" s="15" t="n">
        <v>5.41437074066283</v>
      </c>
    </row>
    <row r="6">
      <c r="A6" s="4" t="inlineStr">
        <is>
          <t>Terminal cost of capital 7.94%</t>
        </is>
      </c>
      <c r="B6" s="15" t="n">
        <v>4.054072221721011</v>
      </c>
      <c r="C6" s="15" t="n">
        <v>4.228077263095823</v>
      </c>
      <c r="D6" s="15" t="n">
        <v>4.428384255273475</v>
      </c>
      <c r="E6" s="15" t="n">
        <v>4.66164015279281</v>
      </c>
      <c r="F6" s="15" t="n">
        <v>4.936937671528304</v>
      </c>
    </row>
    <row r="7">
      <c r="A7" s="4" t="inlineStr">
        <is>
          <t>Terminal cost of capital 8.44%</t>
        </is>
      </c>
      <c r="B7" s="15" t="n">
        <v>3.807980077733704</v>
      </c>
      <c r="C7" s="15" t="n">
        <v>3.954929995051433</v>
      </c>
      <c r="D7" s="15" t="n">
        <v>4.122394135194883</v>
      </c>
      <c r="E7" s="15" t="n">
        <v>4.315154004863403</v>
      </c>
      <c r="F7" s="15" t="n">
        <v>4.5396022692034</v>
      </c>
    </row>
    <row r="9" ht="28" customHeight="1">
      <c r="A9" s="5" t="inlineStr">
        <is>
          <t>Single-driver sensitivity</t>
        </is>
      </c>
      <c r="B9" s="6" t="inlineStr">
        <is>
          <t>Input</t>
        </is>
      </c>
      <c r="C9" s="6" t="inlineStr">
        <is>
          <t>Value per share</t>
        </is>
      </c>
      <c r="D9" s="6" t="inlineStr"/>
      <c r="E9" s="6" t="inlineStr"/>
      <c r="F9" s="6" t="inlineStr"/>
    </row>
    <row r="10">
      <c r="A10" s="4" t="inlineStr">
        <is>
          <t>Terminal cost of capital</t>
        </is>
      </c>
      <c r="B10" s="16" t="n">
        <v>0.06435489098612174</v>
      </c>
      <c r="C10" s="15" t="n">
        <v>5.716213552971893</v>
      </c>
    </row>
    <row r="11">
      <c r="A11" s="4" t="inlineStr">
        <is>
          <t>Terminal cost of capital</t>
        </is>
      </c>
      <c r="B11" s="16" t="n">
        <v>0.06935489098612173</v>
      </c>
      <c r="C11" s="15" t="n">
        <v>5.208286557962923</v>
      </c>
    </row>
    <row r="12">
      <c r="A12" s="4" t="inlineStr">
        <is>
          <t>Terminal cost of capital</t>
        </is>
      </c>
      <c r="B12" s="16" t="n">
        <v>0.07435489098612173</v>
      </c>
      <c r="C12" s="15" t="n">
        <v>4.785634375641991</v>
      </c>
    </row>
    <row r="13">
      <c r="A13" s="4" t="inlineStr">
        <is>
          <t>Terminal cost of capital</t>
        </is>
      </c>
      <c r="B13" s="16" t="n">
        <v>0.07935489098612174</v>
      </c>
      <c r="C13" s="15" t="n">
        <v>4.428384255273475</v>
      </c>
    </row>
    <row r="14">
      <c r="A14" s="4" t="inlineStr">
        <is>
          <t>Terminal cost of capital</t>
        </is>
      </c>
      <c r="B14" s="16" t="n">
        <v>0.08435489098612173</v>
      </c>
      <c r="C14" s="15" t="n">
        <v>4.122394135194883</v>
      </c>
    </row>
    <row r="15">
      <c r="A15" s="4" t="inlineStr">
        <is>
          <t>Long-run growth</t>
        </is>
      </c>
      <c r="B15" s="16" t="n">
        <v>0.005</v>
      </c>
      <c r="C15" s="15" t="n">
        <v>4.335436272321719</v>
      </c>
    </row>
    <row r="16">
      <c r="A16" s="4" t="inlineStr">
        <is>
          <t>Long-run growth</t>
        </is>
      </c>
      <c r="B16" s="16" t="n">
        <v>0.01</v>
      </c>
      <c r="C16" s="15" t="n">
        <v>4.543419809706135</v>
      </c>
    </row>
    <row r="17">
      <c r="A17" s="4" t="inlineStr">
        <is>
          <t>Long-run growth</t>
        </is>
      </c>
      <c r="B17" s="16" t="n">
        <v>0.015</v>
      </c>
      <c r="C17" s="15" t="n">
        <v>4.785634375641991</v>
      </c>
    </row>
    <row r="18">
      <c r="A18" s="4" t="inlineStr">
        <is>
          <t>Long-run growth</t>
        </is>
      </c>
      <c r="B18" s="16" t="n">
        <v>0.02</v>
      </c>
      <c r="C18" s="15" t="n">
        <v>5.071526506015136</v>
      </c>
    </row>
    <row r="19">
      <c r="A19" s="4" t="inlineStr">
        <is>
          <t>Long-run growth</t>
        </is>
      </c>
      <c r="B19" s="16" t="n">
        <v>0.025</v>
      </c>
      <c r="C19" s="15" t="n">
        <v>5.41437074066283</v>
      </c>
    </row>
    <row r="20">
      <c r="A20" s="4" t="inlineStr">
        <is>
          <t>Beta</t>
        </is>
      </c>
      <c r="B20" s="16" t="n">
        <v>0.45</v>
      </c>
      <c r="C20" s="15" t="n">
        <v>5.72321287684248</v>
      </c>
    </row>
    <row r="21">
      <c r="A21" s="4" t="inlineStr">
        <is>
          <t>Beta</t>
        </is>
      </c>
      <c r="B21" s="16" t="n">
        <v>0.55</v>
      </c>
      <c r="C21" s="15" t="n">
        <v>5.21380830844749</v>
      </c>
    </row>
    <row r="22">
      <c r="A22" s="4" t="inlineStr">
        <is>
          <t>Beta</t>
        </is>
      </c>
      <c r="B22" s="16" t="n">
        <v>0.6494</v>
      </c>
      <c r="C22" s="15" t="n">
        <v>4.785634375641991</v>
      </c>
    </row>
    <row r="23">
      <c r="A23" s="4" t="inlineStr">
        <is>
          <t>Beta</t>
        </is>
      </c>
      <c r="B23" s="16" t="n">
        <v>0.8</v>
      </c>
      <c r="C23" s="15" t="n">
        <v>4.249362241125167</v>
      </c>
    </row>
    <row r="24">
      <c r="A24" s="4" t="inlineStr">
        <is>
          <t>Beta</t>
        </is>
      </c>
      <c r="B24" s="16" t="n">
        <v>1</v>
      </c>
      <c r="C24" s="15" t="n">
        <v>3.689210943290246</v>
      </c>
    </row>
    <row r="25">
      <c r="A25" s="4" t="inlineStr">
        <is>
          <t>Retail volume growth</t>
        </is>
      </c>
      <c r="B25" s="16" t="n">
        <v>-0.01</v>
      </c>
      <c r="C25" s="15" t="n">
        <v>4.505124152371323</v>
      </c>
    </row>
    <row r="26">
      <c r="A26" s="4" t="inlineStr">
        <is>
          <t>Retail volume growth</t>
        </is>
      </c>
      <c r="B26" s="16" t="n">
        <v>-0.005</v>
      </c>
      <c r="C26" s="15" t="n">
        <v>4.683100005271345</v>
      </c>
    </row>
    <row r="27">
      <c r="A27" s="4" t="inlineStr">
        <is>
          <t>Retail volume growth</t>
        </is>
      </c>
      <c r="B27" s="16" t="n">
        <v>0</v>
      </c>
      <c r="C27" s="15" t="n">
        <v>4.864502043009441</v>
      </c>
    </row>
    <row r="28">
      <c r="A28" s="4" t="inlineStr">
        <is>
          <t>Retail volume growth</t>
        </is>
      </c>
      <c r="B28" s="16" t="n">
        <v>0.005</v>
      </c>
      <c r="C28" s="15" t="n">
        <v>5.049380956261225</v>
      </c>
    </row>
    <row r="29">
      <c r="A29" s="4" t="inlineStr">
        <is>
          <t>Retail volume growth</t>
        </is>
      </c>
      <c r="B29" s="16" t="n">
        <v>0.01</v>
      </c>
      <c r="C29" s="15" t="n">
        <v>5.237787939225549</v>
      </c>
    </row>
    <row r="30">
      <c r="A30" s="4" t="inlineStr">
        <is>
          <t>Margin per litre</t>
        </is>
      </c>
      <c r="B30" s="16" t="n">
        <v>-0.1</v>
      </c>
      <c r="C30" s="15" t="n">
        <v>3.981765775764861</v>
      </c>
    </row>
    <row r="31">
      <c r="A31" s="4" t="inlineStr">
        <is>
          <t>Margin per litre</t>
        </is>
      </c>
      <c r="B31" s="16" t="n">
        <v>-0.05</v>
      </c>
      <c r="C31" s="15" t="n">
        <v>4.383700075703425</v>
      </c>
    </row>
    <row r="32">
      <c r="A32" s="4" t="inlineStr">
        <is>
          <t>Margin per litre</t>
        </is>
      </c>
      <c r="B32" s="16" t="n">
        <v>0</v>
      </c>
      <c r="C32" s="15" t="n">
        <v>4.785634375641991</v>
      </c>
    </row>
    <row r="33">
      <c r="A33" s="4" t="inlineStr">
        <is>
          <t>Margin per litre</t>
        </is>
      </c>
      <c r="B33" s="16" t="n">
        <v>0.05</v>
      </c>
      <c r="C33" s="15" t="n">
        <v>5.187568675580559</v>
      </c>
    </row>
    <row r="34">
      <c r="A34" s="4" t="inlineStr">
        <is>
          <t>Margin per litre</t>
        </is>
      </c>
      <c r="B34" s="16" t="n">
        <v>0.1</v>
      </c>
      <c r="C34" s="15" t="n">
        <v>5.589502975519126</v>
      </c>
    </row>
    <row r="35">
      <c r="A35" s="4" t="inlineStr">
        <is>
          <t>Recurring inventory movement</t>
        </is>
      </c>
      <c r="B35" s="16" t="n">
        <v>0</v>
      </c>
      <c r="C35" s="15" t="n">
        <v>4.785634375641991</v>
      </c>
    </row>
    <row r="36">
      <c r="A36" s="4" t="inlineStr">
        <is>
          <t>Recurring inventory movement</t>
        </is>
      </c>
      <c r="B36" s="16" t="n">
        <v>150</v>
      </c>
      <c r="C36" s="15" t="n">
        <v>4.940348831172789</v>
      </c>
    </row>
    <row r="37">
      <c r="A37" s="4" t="inlineStr">
        <is>
          <t>Recurring inventory movement</t>
        </is>
      </c>
      <c r="B37" s="16" t="n">
        <v>295</v>
      </c>
      <c r="C37" s="15" t="n">
        <v>5.089906138185894</v>
      </c>
    </row>
    <row r="38">
      <c r="A38" s="4" t="inlineStr">
        <is>
          <t>Recurring inventory movement</t>
        </is>
      </c>
      <c r="B38" s="16" t="n">
        <v>450</v>
      </c>
      <c r="C38" s="15" t="n">
        <v>5.249777742234385</v>
      </c>
    </row>
    <row r="39">
      <c r="A39" s="4" t="inlineStr">
        <is>
          <t>Recurring inventory movement</t>
        </is>
      </c>
      <c r="B39" s="16" t="n">
        <v>600</v>
      </c>
      <c r="C39" s="15" t="n">
        <v>5.404492197765181</v>
      </c>
    </row>
    <row r="40">
      <c r="A40" s="4" t="inlineStr">
        <is>
          <t>Effective tax rate</t>
        </is>
      </c>
      <c r="B40" s="16" t="n">
        <v>0.09</v>
      </c>
      <c r="C40" s="15" t="n">
        <v>4.852949586505804</v>
      </c>
    </row>
    <row r="41">
      <c r="A41" s="4" t="inlineStr">
        <is>
          <t>Effective tax rate</t>
        </is>
      </c>
      <c r="B41" s="16" t="n">
        <v>0.1017</v>
      </c>
      <c r="C41" s="15" t="n">
        <v>4.785634375641991</v>
      </c>
    </row>
    <row r="42">
      <c r="A42" s="4" t="inlineStr">
        <is>
          <t>Effective tax rate</t>
        </is>
      </c>
      <c r="B42" s="16" t="n">
        <v>0.12</v>
      </c>
      <c r="C42" s="15" t="n">
        <v>4.680346481726801</v>
      </c>
    </row>
    <row r="43">
      <c r="A43" s="4" t="inlineStr">
        <is>
          <t>Effective tax rate</t>
        </is>
      </c>
      <c r="B43" s="16" t="n">
        <v>0.15</v>
      </c>
      <c r="C43" s="15" t="n">
        <v>4.507743376947799</v>
      </c>
    </row>
    <row r="44">
      <c r="A44" s="4" t="inlineStr">
        <is>
          <t>Effective tax rate</t>
        </is>
      </c>
      <c r="B44" s="16" t="n">
        <v>0.18</v>
      </c>
      <c r="C44" s="15" t="n">
        <v>4.335140272168797</v>
      </c>
    </row>
    <row r="45">
      <c r="A45" s="4" t="inlineStr">
        <is>
          <t>Capital expenditure</t>
        </is>
      </c>
      <c r="B45" s="16" t="n">
        <v>-0.2</v>
      </c>
      <c r="C45" s="15" t="n">
        <v>4.849858313746314</v>
      </c>
    </row>
    <row r="46">
      <c r="A46" s="4" t="inlineStr">
        <is>
          <t>Capital expenditure</t>
        </is>
      </c>
      <c r="B46" s="16" t="n">
        <v>-0.1</v>
      </c>
      <c r="C46" s="15" t="n">
        <v>4.817746344694153</v>
      </c>
    </row>
    <row r="47">
      <c r="A47" s="4" t="inlineStr">
        <is>
          <t>Capital expenditure</t>
        </is>
      </c>
      <c r="B47" s="16" t="n">
        <v>0</v>
      </c>
      <c r="C47" s="15" t="n">
        <v>4.785634375641991</v>
      </c>
    </row>
    <row r="48">
      <c r="A48" s="4" t="inlineStr">
        <is>
          <t>Capital expenditure</t>
        </is>
      </c>
      <c r="B48" s="16" t="n">
        <v>0.1</v>
      </c>
      <c r="C48" s="15" t="n">
        <v>4.75352240658983</v>
      </c>
    </row>
    <row r="49">
      <c r="A49" s="4" t="inlineStr">
        <is>
          <t>Capital expenditure</t>
        </is>
      </c>
      <c r="B49" s="16" t="n">
        <v>0.2</v>
      </c>
      <c r="C49" s="15" t="n">
        <v>4.721410437537669</v>
      </c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5" t="inlineStr">
        <is>
          <t>Per share and ratios</t>
        </is>
      </c>
      <c r="B1" s="6" t="inlineStr">
        <is>
          <t>FY2023</t>
        </is>
      </c>
      <c r="C1" s="6" t="inlineStr">
        <is>
          <t>FY2024</t>
        </is>
      </c>
      <c r="D1" s="6" t="inlineStr">
        <is>
          <t>FY2025</t>
        </is>
      </c>
      <c r="E1" s="6" t="inlineStr">
        <is>
          <t>FY2026E</t>
        </is>
      </c>
      <c r="F1" s="6" t="inlineStr">
        <is>
          <t>FY2027E</t>
        </is>
      </c>
      <c r="G1" s="6" t="inlineStr">
        <is>
          <t>FY2028E</t>
        </is>
      </c>
      <c r="H1" s="6" t="inlineStr">
        <is>
          <t>FY2029E</t>
        </is>
      </c>
      <c r="I1" s="6" t="inlineStr">
        <is>
          <t>FY2030E</t>
        </is>
      </c>
    </row>
    <row r="2">
      <c r="A2" s="4" t="inlineStr">
        <is>
          <t>Earnings per share (AED)</t>
        </is>
      </c>
      <c r="B2" s="16" t="n">
        <v>0.208</v>
      </c>
      <c r="C2" s="16" t="n">
        <v>0.194</v>
      </c>
      <c r="D2" s="16" t="n">
        <v>0.224</v>
      </c>
      <c r="E2" s="28">
        <f>'Income Statement'!E19</f>
        <v/>
      </c>
      <c r="F2" s="28">
        <f>'Income Statement'!F19</f>
        <v/>
      </c>
      <c r="G2" s="28">
        <f>'Income Statement'!G19</f>
        <v/>
      </c>
      <c r="H2" s="28">
        <f>'Income Statement'!H19</f>
        <v/>
      </c>
      <c r="I2" s="28">
        <f>'Income Statement'!I19</f>
        <v/>
      </c>
    </row>
    <row r="3">
      <c r="A3" s="4" t="inlineStr">
        <is>
          <t>Book value per share (AED)</t>
        </is>
      </c>
      <c r="B3" s="16" t="n">
        <v>0.27776528</v>
      </c>
      <c r="C3" s="16" t="n">
        <v>0.23934712</v>
      </c>
      <c r="D3" s="16" t="n">
        <v>0.25843384</v>
      </c>
      <c r="E3" s="28">
        <f>'Balance Sheet'!E17</f>
        <v/>
      </c>
      <c r="F3" s="28">
        <f>'Balance Sheet'!F17</f>
        <v/>
      </c>
      <c r="G3" s="28">
        <f>'Balance Sheet'!G17</f>
        <v/>
      </c>
      <c r="H3" s="28">
        <f>'Balance Sheet'!H17</f>
        <v/>
      </c>
      <c r="I3" s="28">
        <f>'Balance Sheet'!I17</f>
        <v/>
      </c>
    </row>
    <row r="4">
      <c r="A4" s="4" t="inlineStr">
        <is>
          <t>Dividend per share (AED)</t>
        </is>
      </c>
      <c r="B4" s="16" t="n">
        <v>0.2098312</v>
      </c>
      <c r="C4" s="16" t="n">
        <v>0.209096</v>
      </c>
      <c r="D4" s="16" t="n">
        <v>0.20793168</v>
      </c>
      <c r="E4" s="28">
        <f>Assumptions!$C$56</f>
        <v/>
      </c>
      <c r="F4" s="28">
        <f>Assumptions!$C$56</f>
        <v/>
      </c>
      <c r="G4" s="28">
        <f>Assumptions!$C$56</f>
        <v/>
      </c>
      <c r="H4" s="28">
        <f>Assumptions!$C$56</f>
        <v/>
      </c>
      <c r="I4" s="28">
        <f>Assumptions!$C$56</f>
        <v/>
      </c>
    </row>
    <row r="5">
      <c r="A5" s="4" t="inlineStr">
        <is>
          <t>EBITDA margin</t>
        </is>
      </c>
      <c r="B5" s="13" t="n">
        <v>0.106263394412654</v>
      </c>
      <c r="C5" s="13" t="n">
        <v>0.1087249077078408</v>
      </c>
      <c r="D5" s="13" t="n">
        <v>0.1192744709062695</v>
      </c>
      <c r="E5" s="29">
        <f>'Income Statement'!E9</f>
        <v/>
      </c>
      <c r="F5" s="29">
        <f>'Income Statement'!F9</f>
        <v/>
      </c>
      <c r="G5" s="29">
        <f>'Income Statement'!G9</f>
        <v/>
      </c>
      <c r="H5" s="29">
        <f>'Income Statement'!H9</f>
        <v/>
      </c>
      <c r="I5" s="29">
        <f>'Income Statement'!I9</f>
        <v/>
      </c>
    </row>
    <row r="6">
      <c r="A6" s="4" t="inlineStr">
        <is>
          <t>Return on equity</t>
        </is>
      </c>
      <c r="B6" s="13" t="n">
        <v>0.7492429579391636</v>
      </c>
      <c r="C6" s="13" t="n">
        <v>0.8089589713885006</v>
      </c>
      <c r="D6" s="13" t="n">
        <v>0.8649022124966298</v>
      </c>
      <c r="E6" s="29">
        <f>'Income Statement'!E18/'Balance Sheet'!E8</f>
        <v/>
      </c>
      <c r="F6" s="29">
        <f>'Income Statement'!F18/'Balance Sheet'!F8</f>
        <v/>
      </c>
      <c r="G6" s="29">
        <f>'Income Statement'!G18/'Balance Sheet'!G8</f>
        <v/>
      </c>
      <c r="H6" s="29">
        <f>'Income Statement'!H18/'Balance Sheet'!H8</f>
        <v/>
      </c>
      <c r="I6" s="29">
        <f>'Income Statement'!I18/'Balance Sheet'!I8</f>
        <v/>
      </c>
    </row>
    <row r="7">
      <c r="A7" s="4" t="inlineStr">
        <is>
          <t>Net debt to EBITDA</t>
        </is>
      </c>
      <c r="B7" s="37" t="n">
        <v>0.6245201523772669</v>
      </c>
      <c r="C7" s="37" t="n">
        <v>0.6891274604366304</v>
      </c>
      <c r="D7" s="37" t="n">
        <v>0.6972056848571196</v>
      </c>
      <c r="E7" s="30">
        <f>'Balance Sheet'!E16/'Income Statement'!E8</f>
        <v/>
      </c>
      <c r="F7" s="30">
        <f>'Balance Sheet'!F16/'Income Statement'!F8</f>
        <v/>
      </c>
      <c r="G7" s="30">
        <f>'Balance Sheet'!G16/'Income Statement'!G8</f>
        <v/>
      </c>
      <c r="H7" s="30">
        <f>'Balance Sheet'!H16/'Income Statement'!H8</f>
        <v/>
      </c>
      <c r="I7" s="30">
        <f>'Balance Sheet'!I16/'Income Statement'!I8</f>
        <v/>
      </c>
    </row>
    <row r="8">
      <c r="A8" s="4" t="inlineStr">
        <is>
          <t>Return on capital employed</t>
        </is>
      </c>
      <c r="B8" s="13" t="n">
        <v>0.4895426628799608</v>
      </c>
      <c r="C8" s="13" t="n">
        <v>0.525706631958678</v>
      </c>
      <c r="D8" s="13" t="n">
        <v>0.5438486806689132</v>
      </c>
      <c r="E8" s="29">
        <f>'Income Statement'!E11/('Balance Sheet'!E8+'Balance Sheet'!E9+'Balance Sheet'!E16)</f>
        <v/>
      </c>
      <c r="F8" s="29">
        <f>'Income Statement'!F11/('Balance Sheet'!F8+'Balance Sheet'!F9+'Balance Sheet'!F16)</f>
        <v/>
      </c>
      <c r="G8" s="29">
        <f>'Income Statement'!G11/('Balance Sheet'!G8+'Balance Sheet'!G9+'Balance Sheet'!G16)</f>
        <v/>
      </c>
      <c r="H8" s="29">
        <f>'Income Statement'!H11/('Balance Sheet'!H8+'Balance Sheet'!H9+'Balance Sheet'!H16)</f>
        <v/>
      </c>
      <c r="I8" s="29">
        <f>'Income Statement'!I11/('Balance Sheet'!I8+'Balance Sheet'!I9+'Balance Sheet'!I16)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44" customWidth="1" min="4" max="4"/>
  </cols>
  <sheetData>
    <row r="1" ht="28" customHeight="1">
      <c r="A1" s="5" t="inlineStr">
        <is>
          <t>Peer and sector evidence</t>
        </is>
      </c>
      <c r="B1" s="6" t="inlineStr">
        <is>
          <t>EV / EBITDA</t>
        </is>
      </c>
      <c r="C1" s="6" t="inlineStr">
        <is>
          <t>Role</t>
        </is>
      </c>
      <c r="D1" s="6" t="inlineStr">
        <is>
          <t>Note</t>
        </is>
      </c>
    </row>
    <row r="2">
      <c r="A2" s="9" t="inlineStr">
        <is>
          <t>Peer observations are a CROSS-CHECK. They are not the source of any number in this valuation: the reference multiple is triangulated from the company’s own history on the Relative &amp; Normalized sheet.</t>
        </is>
      </c>
      <c r="B2" s="25" t="n"/>
      <c r="C2" s="25" t="n"/>
      <c r="D2" s="26" t="n"/>
    </row>
    <row r="3">
      <c r="A3" s="4" t="inlineStr">
        <is>
          <t>Aldrees Petroleum and Transport Services</t>
        </is>
      </c>
      <c r="B3" s="37" t="n">
        <v>12.89</v>
      </c>
      <c r="C3" s="4" t="inlineStr">
        <is>
          <t>cross-check</t>
        </is>
      </c>
    </row>
    <row r="4">
      <c r="A4" s="4" t="inlineStr">
        <is>
          <t>Saudi Automotive Services Company / SASCO</t>
        </is>
      </c>
      <c r="B4" s="37" t="n">
        <v>12.28</v>
      </c>
      <c r="C4" s="4" t="inlineStr">
        <is>
          <t>cross-check</t>
        </is>
      </c>
    </row>
    <row r="5">
      <c r="A5" s="4" t="inlineStr">
        <is>
          <t>Alimentation Couche-Tard</t>
        </is>
      </c>
      <c r="B5" s="37" t="n">
        <v>10.66</v>
      </c>
      <c r="C5" s="4" t="inlineStr">
        <is>
          <t>cross-check</t>
        </is>
      </c>
    </row>
    <row r="6">
      <c r="A6" s="4" t="inlineStr">
        <is>
          <t>Casey's General Stores</t>
        </is>
      </c>
      <c r="B6" s="37" t="n">
        <v>22.41</v>
      </c>
      <c r="C6" s="4" t="inlineStr">
        <is>
          <t>cross-check</t>
        </is>
      </c>
    </row>
    <row r="7">
      <c r="A7" s="4" t="inlineStr">
        <is>
          <t>Murphy USA</t>
        </is>
      </c>
      <c r="B7" s="37" t="n">
        <v>10.03</v>
      </c>
      <c r="C7" s="4" t="inlineStr">
        <is>
          <t>cross-check</t>
        </is>
      </c>
    </row>
    <row r="8">
      <c r="A8" s="4" t="inlineStr">
        <is>
          <t>OMV Petrom</t>
        </is>
      </c>
      <c r="B8" s="37" t="n">
        <v>9.91</v>
      </c>
      <c r="C8" s="4" t="inlineStr">
        <is>
          <t>cross-check</t>
        </is>
      </c>
    </row>
    <row r="9">
      <c r="A9" s="4" t="inlineStr">
        <is>
          <t>Vibra Energia</t>
        </is>
      </c>
      <c r="B9" s="37" t="n">
        <v>7.7</v>
      </c>
      <c r="C9" s="4" t="inlineStr">
        <is>
          <t>cross-check</t>
        </is>
      </c>
    </row>
    <row r="10">
      <c r="A10" s="4" t="inlineStr">
        <is>
          <t>Ultrapar Participacoes</t>
        </is>
      </c>
      <c r="B10" s="37" t="n">
        <v>6.8</v>
      </c>
      <c r="C10" s="4" t="inlineStr">
        <is>
          <t>cross-check</t>
        </is>
      </c>
    </row>
    <row r="11">
      <c r="A11" s="9" t="inlineStr">
        <is>
          <t>PEER AVERAGE (context only)</t>
        </is>
      </c>
      <c r="B11" s="32">
        <f>AVERAGE(B3:B10)</f>
        <v/>
      </c>
      <c r="C11" s="3" t="inlineStr">
        <is>
          <t>not used</t>
        </is>
      </c>
      <c r="D11" s="8" t="inlineStr">
        <is>
          <t>the spread across these names is more than three to one, across different fuel-pricing regimes</t>
        </is>
      </c>
    </row>
    <row r="12">
      <c r="A12" s="3" t="inlineStr">
        <is>
          <t>This company, on the traded price</t>
        </is>
      </c>
      <c r="B12" s="38">
        <f>(Assumptions!$C$5+Assumptions!$C$18+Assumptions!$C$80)/'Income Statement'!D8</f>
        <v/>
      </c>
      <c r="C12" s="3" t="inlineStr">
        <is>
          <t>the subject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2026-09-09T00:37:01Z</dcterms:created>
  <dcterms:modified xmlns:dcterms="http://purl.org/dc/terms/" xmlns:xsi="http://www.w3.org/2001/XMLSchema-instance" xsi:type="dcterms:W3CDTF">2026-09-09T00:37:02Z</dcterms:modified>
</cp:coreProperties>
</file>