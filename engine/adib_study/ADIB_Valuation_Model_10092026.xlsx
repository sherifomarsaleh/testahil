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0.0000"/>
    <numFmt numFmtId="166" formatCode="0.000"/>
  </numFmts>
  <fonts count="7">
    <font>
      <name val="Calibri"/>
      <family val="2"/>
      <color theme="1"/>
      <sz val="11"/>
      <scheme val="minor"/>
    </font>
    <font>
      <b val="1"/>
      <color rgb="001C3A36"/>
      <sz val="13"/>
    </font>
    <font>
      <b val="1"/>
      <color rgb="00FFFFFF"/>
      <sz val="10.5"/>
    </font>
    <font>
      <b val="1"/>
      <color rgb="001C3A36"/>
    </font>
    <font>
      <b val="1"/>
      <color rgb="000B4C8C"/>
    </font>
    <font>
      <i val="1"/>
      <color rgb="006E7B77"/>
      <sz val="9"/>
    </font>
    <font>
      <b val="1"/>
      <color rgb="001C3A36"/>
      <sz val="12"/>
    </font>
  </fonts>
  <fills count="5">
    <fill>
      <patternFill/>
    </fill>
    <fill>
      <patternFill patternType="gray125"/>
    </fill>
    <fill>
      <patternFill patternType="solid">
        <fgColor rgb="001C3A36"/>
      </patternFill>
    </fill>
    <fill>
      <patternFill patternType="solid">
        <fgColor rgb="00EAF0EE"/>
      </patternFill>
    </fill>
    <fill>
      <patternFill patternType="solid">
        <fgColor rgb="00EAF2FB"/>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center"/>
    </xf>
    <xf numFmtId="0" fontId="3" fillId="0" borderId="0" pivotButton="0" quotePrefix="0" xfId="0"/>
    <xf numFmtId="4" fontId="0" fillId="0" borderId="0" pivotButton="0" quotePrefix="0" xfId="0"/>
    <xf numFmtId="3" fontId="0" fillId="0" borderId="0" pivotButton="0" quotePrefix="0" xfId="0"/>
    <xf numFmtId="0" fontId="3" fillId="3" borderId="0" pivotButton="0" quotePrefix="0" xfId="0"/>
    <xf numFmtId="0" fontId="0" fillId="3" borderId="0" pivotButton="0" quotePrefix="0" xfId="0"/>
    <xf numFmtId="164" fontId="0" fillId="0" borderId="0" pivotButton="0" quotePrefix="0" xfId="0"/>
    <xf numFmtId="0" fontId="5" fillId="0" borderId="0" pivotButton="0" quotePrefix="0" xfId="0"/>
    <xf numFmtId="165" fontId="0" fillId="0" borderId="0" pivotButton="0" quotePrefix="0" xfId="0"/>
    <xf numFmtId="164" fontId="4" fillId="4" borderId="0" pivotButton="0" quotePrefix="0" xfId="0"/>
    <xf numFmtId="10" fontId="4" fillId="4" borderId="0" pivotButton="0" quotePrefix="0" xfId="0"/>
    <xf numFmtId="3" fontId="4" fillId="4" borderId="0" pivotButton="0" quotePrefix="0" xfId="0"/>
    <xf numFmtId="4" fontId="4" fillId="4" borderId="0" pivotButton="0" quotePrefix="0" xfId="0"/>
    <xf numFmtId="10" fontId="0" fillId="0" borderId="0" pivotButton="0" quotePrefix="0" xfId="0"/>
    <xf numFmtId="0" fontId="6" fillId="0" borderId="0" applyAlignment="1" pivotButton="0" quotePrefix="0" xfId="0">
      <alignment vertical="top" wrapText="1"/>
    </xf>
    <xf numFmtId="0" fontId="6" fillId="0" borderId="0" pivotButton="0" quotePrefix="0" xfId="0"/>
    <xf numFmtId="166" fontId="0" fillId="0"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ADIB-Egypt (EGX: ADIB) — valuation model, 2026-09-10</t>
        </is>
      </c>
    </row>
    <row r="2">
      <c r="A2" s="2" t="inlineStr"/>
    </row>
    <row r="3">
      <c r="A3" s="2" t="inlineStr">
        <is>
          <t>WHICH COMPANY. Abu Dhabi Islamic Bank – Egypt S.A.E., listed in Cairo, reporting in Egyptian pounds. NOT Abu Dhabi Islamic Bank PJSC (ADX: ADIB), its Abu Dhabi parent, which is a different company covered separately.</t>
        </is>
      </c>
    </row>
    <row r="4">
      <c r="A4" s="2" t="inlineStr"/>
    </row>
    <row r="5">
      <c r="A5" s="2" t="inlineStr">
        <is>
          <t>HOW TO USE THIS FILE. Every BLUE cell on the Assumptions sheet is an input you may change. Everything downstream of one is a formula. Change the cost of risk, or the asset yield, or the growth path, and the value per share on Summary recomputes.</t>
        </is>
      </c>
    </row>
    <row r="6">
      <c r="A6" s="2" t="inlineStr"/>
    </row>
    <row r="7">
      <c r="A7" s="2" t="inlineStr">
        <is>
          <t>THERE IS NO ENTERPRISE VALUE AND NO WACC IN THIS MODEL, and that is deliberate. A bank's deposits are its raw material rather than its financing, so subtracting them as though they were debt produces a number with no meaning. Everything here is built on equity and discounted at the cost of equity.</t>
        </is>
      </c>
    </row>
    <row r="8">
      <c r="A8" s="2" t="inlineStr"/>
    </row>
    <row r="9">
      <c r="A9" s="2" t="inlineStr">
        <is>
          <t>MARGINS ARE OUTPUTS. The asset yield and the cost of funds are inputs; the net interest margin, the cost-to-income ratio and the returns on assets and equity are computed from them. None of those four is typed anywhere in this file.</t>
        </is>
      </c>
    </row>
    <row r="10">
      <c r="A10" s="2" t="inlineStr"/>
    </row>
    <row r="11">
      <c r="A11" s="2" t="inlineStr">
        <is>
          <t>ONE LENS IS THE ANSWER. The dividend discount is the central. Residual income, the relative multiple and book value are cross-checks published beside it. They are not averaged, and there are no weights in this workbook.</t>
        </is>
      </c>
    </row>
    <row r="12">
      <c r="A12" s="2" t="inlineStr"/>
    </row>
    <row r="13">
      <c r="A13" s="2" t="inlineStr">
        <is>
          <t>NOT INVESTMENT ADVICE. No rating, no price target. An educational valuation exercise.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42" customWidth="1" min="1" max="1"/>
    <col width="16" customWidth="1" min="2" max="2"/>
    <col width="16" customWidth="1" min="3" max="3"/>
    <col width="46" customWidth="1" min="4" max="4"/>
  </cols>
  <sheetData>
    <row r="1">
      <c r="A1" s="3" t="inlineStr">
        <is>
          <t>ADIB-Egypt — summary</t>
        </is>
      </c>
      <c r="B1" s="3" t="inlineStr"/>
      <c r="C1" s="3" t="inlineStr"/>
      <c r="D1" s="3" t="inlineStr"/>
    </row>
    <row r="4">
      <c r="A4" s="4" t="inlineStr">
        <is>
          <t>Share price (3 Sep 2026)</t>
        </is>
      </c>
      <c r="B4" s="5" t="n">
        <v>52.05</v>
      </c>
    </row>
    <row r="5">
      <c r="A5" s="4" t="inlineStr">
        <is>
          <t>Shares in issue, million</t>
        </is>
      </c>
      <c r="B5" s="6" t="n">
        <v>1500</v>
      </c>
    </row>
    <row r="6">
      <c r="A6" s="4" t="inlineStr">
        <is>
          <t>Market capitalisation, EGP million</t>
        </is>
      </c>
      <c r="B6" s="6">
        <f>B4*B5</f>
        <v/>
      </c>
    </row>
    <row r="8">
      <c r="A8" s="7" t="inlineStr">
        <is>
          <t>THE LENSES — the dividend discount is the central; the rest are cross-checks</t>
        </is>
      </c>
      <c r="B8" s="8" t="n"/>
      <c r="C8" s="8" t="n"/>
      <c r="D8" s="8" t="n"/>
      <c r="E8" s="8" t="n"/>
      <c r="F8" s="8" t="n"/>
      <c r="G8" s="8" t="n"/>
      <c r="H8" s="8" t="n"/>
    </row>
    <row r="9">
      <c r="A9" s="4" t="inlineStr">
        <is>
          <t>Dividend discount  (PRIMARY = the central)</t>
        </is>
      </c>
      <c r="B9" s="5">
        <f>'Fundamental Valuation'!B30</f>
        <v/>
      </c>
    </row>
    <row r="10">
      <c r="A10" t="inlineStr">
        <is>
          <t>Free cash flow to equity</t>
        </is>
      </c>
      <c r="B10" s="5">
        <f>'Fundamental Valuation'!B31</f>
        <v/>
      </c>
    </row>
    <row r="11">
      <c r="A11" t="inlineStr">
        <is>
          <t>Residual income</t>
        </is>
      </c>
      <c r="B11" s="5">
        <f>'Fundamental Valuation'!B32</f>
        <v/>
      </c>
    </row>
    <row r="12">
      <c r="A12" t="inlineStr">
        <is>
          <t>Relative multiples</t>
        </is>
      </c>
      <c r="B12" s="5">
        <f>'Relative &amp; Normalized'!B12</f>
        <v/>
      </c>
    </row>
    <row r="13">
      <c r="A13" t="inlineStr">
        <is>
          <t>Book value and sustainable return</t>
        </is>
      </c>
      <c r="B13" s="5">
        <f>'Relative &amp; Normalized'!B20</f>
        <v/>
      </c>
    </row>
    <row r="14">
      <c r="A14" t="inlineStr">
        <is>
          <t>Normalised earnings power</t>
        </is>
      </c>
      <c r="B14" s="5">
        <f>'Relative &amp; Normalized'!B28</f>
        <v/>
      </c>
    </row>
    <row r="16">
      <c r="A16" s="7" t="inlineStr">
        <is>
          <t>THE ENVELOPE — the range of the three present-value reads, nothing invented</t>
        </is>
      </c>
      <c r="B16" s="8" t="n"/>
      <c r="C16" s="8" t="n"/>
      <c r="D16" s="8" t="n"/>
      <c r="E16" s="8" t="n"/>
      <c r="F16" s="8" t="n"/>
      <c r="G16" s="8" t="n"/>
      <c r="H16" s="8" t="n"/>
    </row>
    <row r="17">
      <c r="A17" s="4" t="inlineStr">
        <is>
          <t>Low  (free cash flow to equity)</t>
        </is>
      </c>
      <c r="B17" s="5">
        <f>MIN('Fundamental Valuation'!B30:B32)</f>
        <v/>
      </c>
      <c r="C17" s="9">
        <f>B17/$B$4-1</f>
        <v/>
      </c>
    </row>
    <row r="18">
      <c r="A18" s="4" t="inlineStr">
        <is>
          <t>CENTRAL  (dividend discount)</t>
        </is>
      </c>
      <c r="B18" s="5">
        <f>'Fundamental Valuation'!B30</f>
        <v/>
      </c>
      <c r="C18" s="9">
        <f>B18/$B$4-1</f>
        <v/>
      </c>
    </row>
    <row r="19">
      <c r="A19" s="4" t="inlineStr">
        <is>
          <t>High  (residual income)</t>
        </is>
      </c>
      <c r="B19" s="5">
        <f>MAX('Fundamental Valuation'!B30:B32)</f>
        <v/>
      </c>
      <c r="C19" s="9">
        <f>B19/$B$4-1</f>
        <v/>
      </c>
      <c r="D19" s="10" t="inlineStr">
        <is>
          <t>against the share price</t>
        </is>
      </c>
    </row>
    <row r="21">
      <c r="A21" s="7" t="inlineStr">
        <is>
          <t>WHAT THE FORECAST SAYS</t>
        </is>
      </c>
      <c r="B21" s="8" t="n"/>
      <c r="C21" s="8" t="n"/>
      <c r="D21" s="8" t="n"/>
      <c r="E21" s="8" t="n"/>
      <c r="F21" s="8" t="n"/>
      <c r="G21" s="8" t="n"/>
      <c r="H21" s="8" t="n"/>
    </row>
    <row r="22">
      <c r="A22" s="3" t="inlineStr">
        <is>
          <t>EGP million</t>
        </is>
      </c>
      <c r="B22" s="3" t="inlineStr">
        <is>
          <t>2026</t>
        </is>
      </c>
      <c r="C22" s="3" t="inlineStr">
        <is>
          <t>2027</t>
        </is>
      </c>
      <c r="D22" s="3" t="inlineStr">
        <is>
          <t>2028</t>
        </is>
      </c>
      <c r="E22" s="3" t="inlineStr">
        <is>
          <t>2029</t>
        </is>
      </c>
      <c r="F22" s="3" t="inlineStr">
        <is>
          <t>2030</t>
        </is>
      </c>
    </row>
    <row r="23">
      <c r="A23" s="4" t="inlineStr">
        <is>
          <t>Attributable profit</t>
        </is>
      </c>
      <c r="B23" s="6">
        <f>'Income Statement'!E14</f>
        <v/>
      </c>
      <c r="C23" s="6">
        <f>'Income Statement'!F14</f>
        <v/>
      </c>
      <c r="D23" s="6">
        <f>'Income Statement'!G14</f>
        <v/>
      </c>
      <c r="E23" s="6">
        <f>'Income Statement'!H14</f>
        <v/>
      </c>
      <c r="F23" s="6">
        <f>'Income Statement'!I14</f>
        <v/>
      </c>
    </row>
    <row r="24">
      <c r="A24" s="4" t="inlineStr">
        <is>
          <t>Earnings per share</t>
        </is>
      </c>
      <c r="B24" s="5">
        <f>'Income Statement'!E21</f>
        <v/>
      </c>
      <c r="C24" s="5">
        <f>'Income Statement'!F21</f>
        <v/>
      </c>
      <c r="D24" s="5">
        <f>'Income Statement'!G21</f>
        <v/>
      </c>
      <c r="E24" s="5">
        <f>'Income Statement'!H21</f>
        <v/>
      </c>
      <c r="F24" s="5">
        <f>'Income Statement'!I21</f>
        <v/>
      </c>
    </row>
    <row r="25">
      <c r="A25" s="4" t="inlineStr">
        <is>
          <t>Dividend per share</t>
        </is>
      </c>
      <c r="B25" s="5">
        <f>'Income Statement'!E22</f>
        <v/>
      </c>
      <c r="C25" s="5">
        <f>'Income Statement'!F22</f>
        <v/>
      </c>
      <c r="D25" s="5">
        <f>'Income Statement'!G22</f>
        <v/>
      </c>
      <c r="E25" s="5">
        <f>'Income Statement'!H22</f>
        <v/>
      </c>
      <c r="F25" s="5">
        <f>'Income Statement'!I22</f>
        <v/>
      </c>
    </row>
    <row r="26">
      <c r="A26" s="4" t="inlineStr">
        <is>
          <t>Book value per share</t>
        </is>
      </c>
      <c r="B26" s="5">
        <f>'Income Statement'!E23</f>
        <v/>
      </c>
      <c r="C26" s="5">
        <f>'Income Statement'!F23</f>
        <v/>
      </c>
      <c r="D26" s="5">
        <f>'Income Statement'!G23</f>
        <v/>
      </c>
      <c r="E26" s="5">
        <f>'Income Statement'!H23</f>
        <v/>
      </c>
      <c r="F26" s="5">
        <f>'Income Statement'!I23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cols>
    <col width="46" customWidth="1" min="1" max="1"/>
    <col width="15" customWidth="1" min="2" max="2"/>
    <col width="4" customWidth="1" min="3" max="3"/>
    <col width="13" customWidth="1" min="4" max="4"/>
    <col width="13" customWidth="1" min="5" max="5"/>
    <col width="13" customWidth="1" min="6" max="6"/>
    <col width="13" customWidth="1" min="7" max="7"/>
    <col width="13" customWidth="1" min="8" max="8"/>
  </cols>
  <sheetData>
    <row r="1">
      <c r="A1" s="3" t="inlineStr">
        <is>
          <t>ADIB-Egypt — the three present-value lenses</t>
        </is>
      </c>
      <c r="B1" s="3" t="inlineStr">
        <is>
          <t>Value</t>
        </is>
      </c>
      <c r="C1" s="3" t="inlineStr"/>
      <c r="D1" s="3" t="inlineStr">
        <is>
          <t>2026E</t>
        </is>
      </c>
      <c r="E1" s="3" t="inlineStr">
        <is>
          <t>2027E</t>
        </is>
      </c>
      <c r="F1" s="3" t="inlineStr">
        <is>
          <t>2028E</t>
        </is>
      </c>
      <c r="G1" s="3" t="inlineStr">
        <is>
          <t>2029E</t>
        </is>
      </c>
      <c r="H1" s="3" t="inlineStr">
        <is>
          <t>2030E</t>
        </is>
      </c>
    </row>
    <row r="3">
      <c r="A3" s="7" t="inlineStr">
        <is>
          <t>LENS 1 — DIVIDEND DISCOUNT  (the PRIMARY; this is the central)</t>
        </is>
      </c>
      <c r="B3" s="8" t="n"/>
      <c r="C3" s="8" t="n"/>
      <c r="D3" s="8" t="n"/>
      <c r="E3" s="8" t="n"/>
      <c r="F3" s="8" t="n"/>
      <c r="G3" s="8" t="n"/>
      <c r="H3" s="8" t="n"/>
    </row>
    <row r="4">
      <c r="A4" s="4" t="inlineStr">
        <is>
          <t>Dividend, EGP million</t>
        </is>
      </c>
      <c r="D4" s="6">
        <f>'Balance Sheet'!C13</f>
        <v/>
      </c>
      <c r="E4" s="6">
        <f>'Balance Sheet'!D13</f>
        <v/>
      </c>
      <c r="F4" s="6">
        <f>'Balance Sheet'!E13</f>
        <v/>
      </c>
      <c r="G4" s="6">
        <f>'Balance Sheet'!F13</f>
        <v/>
      </c>
      <c r="H4" s="6">
        <f>'Balance Sheet'!G13</f>
        <v/>
      </c>
    </row>
    <row r="5">
      <c r="A5" s="4" t="inlineStr">
        <is>
          <t>Discount factor</t>
        </is>
      </c>
      <c r="D5" s="11">
        <f>'Assumptions'!B36</f>
        <v/>
      </c>
      <c r="E5" s="11">
        <f>'Assumptions'!C36</f>
        <v/>
      </c>
      <c r="F5" s="11">
        <f>'Assumptions'!D36</f>
        <v/>
      </c>
      <c r="G5" s="11">
        <f>'Assumptions'!E36</f>
        <v/>
      </c>
      <c r="H5" s="11">
        <f>'Assumptions'!F36</f>
        <v/>
      </c>
    </row>
    <row r="6">
      <c r="A6" s="4" t="inlineStr">
        <is>
          <t>Present value of the dividend</t>
        </is>
      </c>
      <c r="D6" s="6">
        <f>D4*D5</f>
        <v/>
      </c>
      <c r="E6" s="6">
        <f>E4*E5</f>
        <v/>
      </c>
      <c r="F6" s="6">
        <f>F4*F5</f>
        <v/>
      </c>
      <c r="G6" s="6">
        <f>G4*G5</f>
        <v/>
      </c>
      <c r="H6" s="6">
        <f>H4*H5</f>
        <v/>
      </c>
    </row>
    <row r="7">
      <c r="A7" s="4" t="inlineStr">
        <is>
          <t>Sum of the explicit years</t>
        </is>
      </c>
      <c r="B7" s="6">
        <f>SUM(D6:H6)</f>
        <v/>
      </c>
    </row>
    <row r="8">
      <c r="A8" s="4" t="inlineStr">
        <is>
          <t>Terminal return on equity</t>
        </is>
      </c>
      <c r="B8" s="9">
        <f>'Income Statement'!I20</f>
        <v/>
      </c>
    </row>
    <row r="9">
      <c r="A9" s="4" t="inlineStr">
        <is>
          <t>Terminal payout  (DERIVED as 1 − g / return, never typed)</t>
        </is>
      </c>
      <c r="B9" s="9">
        <f>1-'Assumptions'!$B$31/B8</f>
        <v/>
      </c>
    </row>
    <row r="10">
      <c r="A10" s="4" t="inlineStr">
        <is>
          <t>Terminal value</t>
        </is>
      </c>
      <c r="B10" s="6">
        <f>'Income Statement'!I14*(1+'Assumptions'!$B$31)*B9/('Assumptions'!$B$34-'Assumptions'!$B$31)</f>
        <v/>
      </c>
    </row>
    <row r="11">
      <c r="A11" s="4" t="inlineStr">
        <is>
          <t>Present value of the terminal</t>
        </is>
      </c>
      <c r="B11" s="6">
        <f>B10*H5</f>
        <v/>
      </c>
    </row>
    <row r="12">
      <c r="A12" s="4" t="inlineStr">
        <is>
          <t>Equity value</t>
        </is>
      </c>
      <c r="B12" s="6">
        <f>B7+B11</f>
        <v/>
      </c>
    </row>
    <row r="14">
      <c r="A14" s="7" t="inlineStr">
        <is>
          <t>LENS 2 — FREE CASH FLOW TO EQUITY  (cross-check)</t>
        </is>
      </c>
      <c r="B14" s="8" t="n"/>
      <c r="C14" s="8" t="n"/>
      <c r="D14" s="8" t="n"/>
      <c r="E14" s="8" t="n"/>
      <c r="F14" s="8" t="n"/>
      <c r="G14" s="8" t="n"/>
      <c r="H14" s="8" t="n"/>
    </row>
    <row r="15">
      <c r="A15" s="4" t="inlineStr">
        <is>
          <t>Net flow to shareholders</t>
        </is>
      </c>
      <c r="D15" s="6">
        <f>'Balance Sheet'!C15</f>
        <v/>
      </c>
      <c r="E15" s="6">
        <f>'Balance Sheet'!D15</f>
        <v/>
      </c>
      <c r="F15" s="6">
        <f>'Balance Sheet'!E15</f>
        <v/>
      </c>
      <c r="G15" s="6">
        <f>'Balance Sheet'!F15</f>
        <v/>
      </c>
      <c r="H15" s="6">
        <f>'Balance Sheet'!G15</f>
        <v/>
      </c>
    </row>
    <row r="16">
      <c r="A16" s="4" t="inlineStr">
        <is>
          <t>Present value</t>
        </is>
      </c>
      <c r="D16" s="6">
        <f>D15*D5</f>
        <v/>
      </c>
      <c r="E16" s="6">
        <f>E15*E5</f>
        <v/>
      </c>
      <c r="F16" s="6">
        <f>F15*F5</f>
        <v/>
      </c>
      <c r="G16" s="6">
        <f>G15*G5</f>
        <v/>
      </c>
      <c r="H16" s="6">
        <f>H15*H5</f>
        <v/>
      </c>
    </row>
    <row r="17">
      <c r="A17" s="4" t="inlineStr">
        <is>
          <t>Terminal value</t>
        </is>
      </c>
      <c r="B17" s="6">
        <f>('Income Statement'!I14*(1+'Assumptions'!$B$31)-'Assumptions'!$B$19*'Balance Sheet'!G4*'Assumptions'!$B$31)/('Assumptions'!$B$34-'Assumptions'!$B$31)</f>
        <v/>
      </c>
    </row>
    <row r="18">
      <c r="A18" s="4" t="inlineStr">
        <is>
          <t>Equity value</t>
        </is>
      </c>
      <c r="B18" s="6">
        <f>SUM(D16:H16)+B17*H5</f>
        <v/>
      </c>
    </row>
    <row r="20">
      <c r="A20" s="7" t="inlineStr">
        <is>
          <t>LENS 3 — RESIDUAL INCOME  (cross-check)</t>
        </is>
      </c>
      <c r="B20" s="8" t="n"/>
      <c r="C20" s="8" t="n"/>
      <c r="D20" s="8" t="n"/>
      <c r="E20" s="8" t="n"/>
      <c r="F20" s="8" t="n"/>
      <c r="G20" s="8" t="n"/>
      <c r="H20" s="8" t="n"/>
    </row>
    <row r="21">
      <c r="A21" s="4" t="inlineStr">
        <is>
          <t>Residual income  (profit less a charge for the equity used)</t>
        </is>
      </c>
      <c r="D21" s="6">
        <f>'Income Statement'!E14-'Assumptions'!B35*'Balance Sheet'!C10</f>
        <v/>
      </c>
      <c r="E21" s="6">
        <f>'Income Statement'!F14-'Assumptions'!C35*'Balance Sheet'!D10</f>
        <v/>
      </c>
      <c r="F21" s="6">
        <f>'Income Statement'!G14-'Assumptions'!D35*'Balance Sheet'!E10</f>
        <v/>
      </c>
      <c r="G21" s="6">
        <f>'Income Statement'!H14-'Assumptions'!E35*'Balance Sheet'!F10</f>
        <v/>
      </c>
      <c r="H21" s="6">
        <f>'Income Statement'!I14-'Assumptions'!F35*'Balance Sheet'!G10</f>
        <v/>
      </c>
    </row>
    <row r="22">
      <c r="A22" s="4" t="inlineStr">
        <is>
          <t>Present value</t>
        </is>
      </c>
      <c r="D22" s="6">
        <f>D21*D5</f>
        <v/>
      </c>
      <c r="E22" s="6">
        <f>E21*E5</f>
        <v/>
      </c>
      <c r="F22" s="6">
        <f>F21*F5</f>
        <v/>
      </c>
      <c r="G22" s="6">
        <f>G21*G5</f>
        <v/>
      </c>
      <c r="H22" s="6">
        <f>H21*H5</f>
        <v/>
      </c>
    </row>
    <row r="23">
      <c r="A23" s="4" t="inlineStr">
        <is>
          <t>Opening book value plus capital paid in</t>
        </is>
      </c>
      <c r="B23" s="6">
        <f>'Balance Sheet'!B11+'Assumptions'!$B$20</f>
        <v/>
      </c>
    </row>
    <row r="24">
      <c r="A24" s="4" t="inlineStr">
        <is>
          <t>Terminal residual income, discounted</t>
        </is>
      </c>
      <c r="B24" s="6">
        <f>(('Income Statement'!I14-'Assumptions'!$B$34*'Balance Sheet'!G10)*(1+'Assumptions'!$B$31)/('Assumptions'!$B$34-'Assumptions'!$B$31))*H5</f>
        <v/>
      </c>
    </row>
    <row r="25">
      <c r="A25" s="4" t="inlineStr">
        <is>
          <t>Equity value</t>
        </is>
      </c>
      <c r="B25" s="6">
        <f>B23+SUM(D22:H22)+B24</f>
        <v/>
      </c>
    </row>
    <row r="30">
      <c r="A30" s="4" t="inlineStr">
        <is>
          <t>DIVIDEND DISCOUNT — value per share  (THE CENTRAL)</t>
        </is>
      </c>
      <c r="B30" s="5">
        <f>B12/'Summary'!$B$5</f>
        <v/>
      </c>
    </row>
    <row r="31">
      <c r="A31" s="4" t="inlineStr">
        <is>
          <t>Free cash flow to equity — value per share</t>
        </is>
      </c>
      <c r="B31" s="5">
        <f>B18/'Summary'!$B$5</f>
        <v/>
      </c>
    </row>
    <row r="32">
      <c r="A32" s="4" t="inlineStr">
        <is>
          <t>Residual income — value per share</t>
        </is>
      </c>
      <c r="B32" s="5">
        <f>B25/'Summary'!$B$5</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78" customWidth="1" min="7" max="7"/>
  </cols>
  <sheetData>
    <row r="1">
      <c r="A1" s="3" t="inlineStr">
        <is>
          <t>Driver  (BLUE cells are inputs — change them)</t>
        </is>
      </c>
      <c r="B1" s="3" t="inlineStr">
        <is>
          <t>2026</t>
        </is>
      </c>
      <c r="C1" s="3" t="inlineStr">
        <is>
          <t>2027</t>
        </is>
      </c>
      <c r="D1" s="3" t="inlineStr">
        <is>
          <t>2028</t>
        </is>
      </c>
      <c r="E1" s="3" t="inlineStr">
        <is>
          <t>2029</t>
        </is>
      </c>
      <c r="F1" s="3" t="inlineStr">
        <is>
          <t>2030</t>
        </is>
      </c>
      <c r="G1" s="3" t="inlineStr">
        <is>
          <t>Source / basis</t>
        </is>
      </c>
    </row>
    <row r="3">
      <c r="A3" s="7" t="inlineStr">
        <is>
          <t>VOLUME</t>
        </is>
      </c>
      <c r="B3" s="8" t="n"/>
      <c r="C3" s="8" t="n"/>
      <c r="D3" s="8" t="n"/>
      <c r="E3" s="8" t="n"/>
      <c r="F3" s="8" t="n"/>
      <c r="G3" s="8" t="n"/>
      <c r="H3" s="8" t="n"/>
    </row>
    <row r="4">
      <c r="A4" s="4" t="inlineStr">
        <is>
          <t>Financing to customers, growth</t>
        </is>
      </c>
      <c r="B4" s="12" t="n">
        <v>0.48</v>
      </c>
      <c r="C4" s="12" t="n">
        <v>0.26</v>
      </c>
      <c r="D4" s="12" t="n">
        <v>0.19</v>
      </c>
      <c r="E4" s="12" t="n">
        <v>0.15</v>
      </c>
      <c r="F4" s="12" t="n">
        <v>0.12</v>
      </c>
      <c r="G4" s="10" t="inlineStr">
        <is>
          <t>Net financing to customers, year-on-year. FY2026 +48% takes the FY2025 close of EGP 147,226 million to EGP 217,895 million — and the bank was ALREADY at EGP 190,427 million on 30 June, so this asks for only +14.4% in the second half against +29.3% in the first. The path then decays toward nominal GDP. IT IS NOT A FLAT SHARE OF SYSTEM CREDIT, and that is the walk-forward's doing: a flat-share rule under-forecast this name at every one of eleven origins, by a median 0.29 in logs at three years, because ADIB has taken share at about 8.7% a year for a decade. The share path this implies is disclosed in the macro-coherence table and it decelerates to zero drift by FY2030.</t>
        </is>
      </c>
    </row>
    <row r="5">
      <c r="A5" s="4" t="inlineStr">
        <is>
          <t>Financing / total assets</t>
        </is>
      </c>
      <c r="B5" s="12" t="n">
        <v>0.47</v>
      </c>
      <c r="C5" s="12" t="n">
        <v>0.485</v>
      </c>
      <c r="D5" s="12" t="n">
        <v>0.5</v>
      </c>
      <c r="E5" s="12" t="n">
        <v>0.51</v>
      </c>
      <c r="F5" s="12" t="n">
        <v>0.52</v>
      </c>
      <c r="G5" s="10" t="inlineStr">
        <is>
          <t>Financing to customers over total assets. FY2025 actual 42.46%; 30 June 2026 actual 45.96%. The bank is rotating out of treasury bills into customer financing as policy rates fall and bill yields compress, and the path continues that observed rotation at a decelerating pace. Every point is above both observations, which is the assumption, and it is sensitised.</t>
        </is>
      </c>
    </row>
    <row r="6">
      <c r="A6" s="7" t="inlineStr">
        <is>
          <t>RATES — inputs. The margin is an OUTPUT of these two rows.</t>
        </is>
      </c>
      <c r="B6" s="8" t="n"/>
      <c r="C6" s="8" t="n"/>
      <c r="D6" s="8" t="n"/>
      <c r="E6" s="8" t="n"/>
      <c r="F6" s="8" t="n"/>
      <c r="G6" s="8" t="n"/>
      <c r="H6" s="8" t="n"/>
    </row>
    <row r="7">
      <c r="A7" s="4" t="inlineStr">
        <is>
          <t>Asset yield on average assets</t>
        </is>
      </c>
      <c r="B7" s="13" t="n">
        <v>0.15</v>
      </c>
      <c r="C7" s="13" t="n">
        <v>0.134</v>
      </c>
      <c r="D7" s="13" t="n">
        <v>0.121</v>
      </c>
      <c r="E7" s="13" t="n">
        <v>0.113</v>
      </c>
      <c r="F7" s="13" t="n">
        <v>0.108</v>
      </c>
      <c r="G7" s="10" t="inlineStr">
        <is>
          <t>Income from Murabaha, Musharaka, Mudaraba and similar income over AVERAGE total assets. FY2025 actual 16.23%; the six months to June 2026 annualise to 15.30%. The path falls with the CBE's published policy glide (19.00 -&gt; 12.00) at an asset beta of about 0.75, which is what an Egyptian bank holding treasury bills and floating-rate corporate paper reprices at. IT IS AN INPUT; net interest margin is not.</t>
        </is>
      </c>
    </row>
    <row r="8">
      <c r="A8" s="4" t="inlineStr">
        <is>
          <t>Cost of funds on average interest-bearing liabilities</t>
        </is>
      </c>
      <c r="B8" s="13" t="n">
        <v>0.106</v>
      </c>
      <c r="C8" s="13" t="n">
        <v>0.092</v>
      </c>
      <c r="D8" s="13" t="n">
        <v>0.081</v>
      </c>
      <c r="E8" s="13" t="n">
        <v>0.074</v>
      </c>
      <c r="F8" s="13" t="n">
        <v>0.07000000000000001</v>
      </c>
      <c r="G8" s="10" t="inlineStr">
        <is>
          <t>Cost of deposits and similar costs over AVERAGE INTEREST-BEARING LIABILITIES — customers' deposits plus due to banks plus subordinated financing, and nothing else. FY2025 actual 11.22%. Total liabilities is NOT the denominator: at FY2025 it would add EGP 17.9 billion of other liabilities, current tax and provisions that pay nothing, and understate the funding rate by about a sixth of itself. The path falls at a deposit beta of about 0.80 to the policy glide, slower than the asset side, which is why the margin compresses.</t>
        </is>
      </c>
    </row>
    <row r="9">
      <c r="A9" s="4" t="inlineStr">
        <is>
          <t>Interest-bearing liabilities / total assets</t>
        </is>
      </c>
      <c r="B9" s="13" t="n">
        <v>0.855</v>
      </c>
      <c r="G9" s="10" t="inlineStr">
        <is>
          <t>Average interest-bearing liabilities over average total assets, held at the FY2025 observed 85.5%. The bank funds itself with deposits and that ratio has moved within two points across the whole panel.</t>
        </is>
      </c>
    </row>
    <row r="10">
      <c r="A10" s="7" t="inlineStr">
        <is>
          <t>OTHER INCOME AND COST</t>
        </is>
      </c>
      <c r="B10" s="8" t="n"/>
      <c r="C10" s="8" t="n"/>
      <c r="D10" s="8" t="n"/>
      <c r="E10" s="8" t="n"/>
      <c r="F10" s="8" t="n"/>
      <c r="G10" s="8" t="n"/>
      <c r="H10" s="8" t="n"/>
    </row>
    <row r="11">
      <c r="A11" s="4" t="inlineStr">
        <is>
          <t>Net fees / average assets</t>
        </is>
      </c>
      <c r="B11" s="13" t="n">
        <v>0.008</v>
      </c>
      <c r="C11" s="13" t="n">
        <v>0.008200000000000001</v>
      </c>
      <c r="D11" s="13" t="n">
        <v>0.008399999999999999</v>
      </c>
      <c r="E11" s="13" t="n">
        <v>0.008500000000000001</v>
      </c>
      <c r="F11" s="13" t="n">
        <v>0.008500000000000001</v>
      </c>
      <c r="G11" s="10" t="inlineStr">
        <is>
          <t>Net fees and commissions over average total assets. FY2025 actual 0.899%; the June 2026 half annualises to 0.797%. The path opens at the reviewed half's level and recovers slowly as trade finance and card income grow with the branch network.</t>
        </is>
      </c>
    </row>
    <row r="12">
      <c r="A12" s="4" t="inlineStr">
        <is>
          <t>Other non-interest income / average assets</t>
        </is>
      </c>
      <c r="B12" s="13" t="n">
        <v>0.0028</v>
      </c>
      <c r="C12" s="13" t="n">
        <v>0.0026</v>
      </c>
      <c r="D12" s="13" t="n">
        <v>0.0024</v>
      </c>
      <c r="E12" s="13" t="n">
        <v>0.0023</v>
      </c>
      <c r="F12" s="13" t="n">
        <v>0.0022</v>
      </c>
      <c r="G12" s="10" t="inlineStr">
        <is>
          <t>Dividends, net trading, share of associates and gains on investments, as one block, over average total assets. FY2025 actual 0.238%; the June 2026 half annualises to 0.372%, flattered by trading gains on a moving currency. The path normalises DOWN toward the FY2022-FY2024 average as the pound settles.</t>
        </is>
      </c>
    </row>
    <row r="13">
      <c r="A13" s="4" t="inlineStr">
        <is>
          <t>Other operating expenses / average assets</t>
        </is>
      </c>
      <c r="B13" s="13" t="n">
        <v>-0.0075</v>
      </c>
      <c r="C13" s="13" t="n">
        <v>-0.007</v>
      </c>
      <c r="D13" s="13" t="n">
        <v>-0.0065</v>
      </c>
      <c r="E13" s="13" t="n">
        <v>-0.006</v>
      </c>
      <c r="F13" s="13" t="n">
        <v>-0.0055</v>
      </c>
      <c r="G13" s="10" t="inlineStr">
        <is>
          <t>Other operating expenses over average total assets — deposit insurance, central-bank charges and the operating-provision line. FY2025 actual -0.387%; the June 2026 half annualises to -0.797%, more than double. The path opens at the reviewed level and decays, which is the conservative reading of a line that has doubled.</t>
        </is>
      </c>
    </row>
    <row r="14">
      <c r="A14" s="4" t="inlineStr">
        <is>
          <t>Administrative expenses, growth</t>
        </is>
      </c>
      <c r="B14" s="13" t="n">
        <v>0.34</v>
      </c>
      <c r="C14" s="13" t="n">
        <v>0.18</v>
      </c>
      <c r="D14" s="13" t="n">
        <v>0.15</v>
      </c>
      <c r="E14" s="13" t="n">
        <v>0.135</v>
      </c>
      <c r="F14" s="13" t="n">
        <v>0.13</v>
      </c>
      <c r="G14" s="10" t="inlineStr">
        <is>
          <t>Administrative expenses, year-on-year. FY2026 +34% on FY2025 takes EGP 3,431 million to EGP 4,598 million; the June half already spent EGP 2,239 million, so this asks for EGP 2,359 million in the second. Thereafter inflation plus about six points, because a bank adding branches and systems does not hold headcount flat. Cost-to-income is an OUTPUT of this and of the revenue lines; it is not typed anywhere.</t>
        </is>
      </c>
    </row>
    <row r="15">
      <c r="A15" s="4" t="inlineStr">
        <is>
          <t>Cost of risk on average financing</t>
        </is>
      </c>
      <c r="B15" s="13" t="n">
        <v>0.01</v>
      </c>
      <c r="C15" s="13" t="n">
        <v>0.013</v>
      </c>
      <c r="D15" s="13" t="n">
        <v>0.013</v>
      </c>
      <c r="E15" s="13" t="n">
        <v>0.013</v>
      </c>
      <c r="F15" s="13" t="n">
        <v>0.013</v>
      </c>
      <c r="G15" s="10" t="inlineStr">
        <is>
          <t>Expected credit losses over AVERAGE net financing to customers. The observed series is 1.64% (FY2022), 2.73% (FY2023), 2.73% (FY2024), 1.25% (FY2025) and effectively ZERO in the June 2026 half — EGP 2.176 million on a EGP 190 billion book. FY2026 is set at 1.00%, above the half-year run rate and below the four-year mean of 2.09%; the outer years at 1.30% sit between the two. ANNUALISING THE JUNE HALF WOULD HAVE ADDED ABOUT EGP 1.8 BILLION TO FY2026 PRE-TAX PROFIT and it is not done. Sensitised +/-50 basis points in 1.9.</t>
        </is>
      </c>
    </row>
    <row r="16">
      <c r="A16" s="7" t="inlineStr">
        <is>
          <t>TAX, CAPITAL AND THE SHAREHOLDER</t>
        </is>
      </c>
      <c r="B16" s="8" t="n"/>
      <c r="C16" s="8" t="n"/>
      <c r="D16" s="8" t="n"/>
      <c r="E16" s="8" t="n"/>
      <c r="F16" s="8" t="n"/>
      <c r="G16" s="8" t="n"/>
      <c r="H16" s="8" t="n"/>
    </row>
    <row r="17">
      <c r="A17" s="4" t="inlineStr">
        <is>
          <t>Effective tax rate</t>
        </is>
      </c>
      <c r="B17" s="13" t="n">
        <v>0.285</v>
      </c>
      <c r="G17" s="10" t="inlineStr">
        <is>
          <t>Effective tax rate. FY2025 actual 27.92%, FY2024 26.64%, the June 2026 half 29.57%. The Egyptian statutory corporate rate is 22.5%; an Egyptian bank pays materially more because the 20% withholding on treasury-bill income is not creditable and part of its cost base is disallowed. 28.5% sits inside the observed range and above the statutory rate for that reason.</t>
        </is>
      </c>
    </row>
    <row r="18">
      <c r="A18" s="4" t="inlineStr">
        <is>
          <t>Non-controlling interests, share of profit</t>
        </is>
      </c>
      <c r="B18" s="13" t="n">
        <v>0.001</v>
      </c>
      <c r="G18" s="10" t="inlineStr">
        <is>
          <t>Non-controlling interests take 0.10% of net profit — EGP 12.4 million of EGP 12,601.0 million in FY2025. Held at that level; it is immaterial and is carried rather than dropped so the bridge to attributable profit closes.</t>
        </is>
      </c>
    </row>
    <row r="19">
      <c r="A19" s="4" t="inlineStr">
        <is>
          <t>Target equity / total assets</t>
        </is>
      </c>
      <c r="B19" s="13" t="n">
        <v>0.105</v>
      </c>
      <c r="G19" s="10" t="inlineStr">
        <is>
          <t>Attributable equity to total assets, held at 10.5% — the level ADIB-Egypt actually stood at on 30 June 2026 after its EGP 3 billion cash increase, against 9.98% at the FY2025 year end. THIS IS THE BINDING CONSTRAINT ON A GROWING BANK and the model pins the RATIO, not the increment: equity each year is 10.5% of that year's assets and the dividend is whatever profit is left after getting there. A bank growing its balance sheet 34% cannot also distribute, and the arithmetic says so rather than a sentence saying so beside a typed payout.</t>
        </is>
      </c>
    </row>
    <row r="20">
      <c r="A20" s="4" t="inlineStr">
        <is>
          <t>Capital raised in 2026, EGP million</t>
        </is>
      </c>
      <c r="B20" s="14" t="n">
        <v>3000</v>
      </c>
      <c r="G20" s="10" t="inlineStr">
        <is>
          <t>The EGP 3,000 million cash capital increase completed in the first half of 2026, taking issued capital from EGP 12 billion to EGP 15 billion — 300 million new shares at the LE 10 par. IT WAS ISSUED AT PAR, far below book: attributable book value per share was EGP 28.83 at 31 December 2025 on 1,200 million shares and EGP 29.04 at 30 June 2026 on 1,500 million, so a half-year at a 38.6% return on equity bought existing holders 0.7% of book value per share and the rest went to the new shares. This is the study's crux and it is in 1.7.</t>
        </is>
      </c>
    </row>
    <row r="21">
      <c r="A21" s="7" t="inlineStr">
        <is>
          <t>COST OF EQUITY</t>
        </is>
      </c>
      <c r="B21" s="8" t="n"/>
      <c r="C21" s="8" t="n"/>
      <c r="D21" s="8" t="n"/>
      <c r="E21" s="8" t="n"/>
      <c r="F21" s="8" t="n"/>
      <c r="G21" s="8" t="n"/>
      <c r="H21" s="8" t="n"/>
    </row>
    <row r="22">
      <c r="A22" s="4" t="inlineStr">
        <is>
          <t>Egyptian ten-year local-currency yield</t>
        </is>
      </c>
      <c r="B22" s="13" t="n">
        <v>0.23</v>
      </c>
      <c r="G22" s="10" t="inlineStr">
        <is>
          <t>Egypt ten-year EGP government bond yield, 23.00%, the quote of 6 August 2026 held in the house macroeconomic path and already used by the PHDC, EGCH and PHAR cost-of-capital records. IT IS 34 DAYS OLD AGAINST THIS STUDY'S PRICING DATE AND THE HOUSE PATH'S OWN 14-DAY STALENESS RULE FLAGS IT AS STALE. A live re-source was attempted on 9 September 2026 down four routes and all four failed: the central bank's treasury-bond auction pages return 404, its auction API returns the site shell, the market-data pages render their yield tables in JavaScript, and the investing.com bond page returns 403. The level is carried, the staleness is declared here rather than buried, and the rate is sensitised by +/-200 basis points in section 1.9.</t>
        </is>
      </c>
    </row>
    <row r="23">
      <c r="A23" s="4" t="inlineStr">
        <is>
          <t>less the sovereign default spread</t>
        </is>
      </c>
      <c r="B23" s="13" t="n">
        <v>0.0342</v>
      </c>
      <c r="G23" s="10" t="inlineStr">
        <is>
          <t>Egypt sovereign credit-default-swap spread, 3.42%, mid-year (July 2026) vintage of the country default-spread dataset, Egypt row, "Sovereign CDS net of Swiss CDS". Netted out of the local-currency risk-free rate so that sovereign default risk is charged ONCE, inside the equity risk premium, and not twice. The house macroeconomic path carries 3.41% for the same field from the same file; the one-basis-point difference is a rounding artefact and is immaterial.</t>
        </is>
      </c>
    </row>
    <row r="24">
      <c r="A24" s="4" t="inlineStr">
        <is>
          <t>Beta against the EGX30 index</t>
        </is>
      </c>
      <c r="B24" s="15" t="n">
        <v>1.074693250691366</v>
      </c>
      <c r="G24" s="10" t="inlineStr">
        <is>
          <t>Own-stock first-tier weekly regression against EGX30 — THE PUBLISHED INDEX OF THE EXCHANGE THIS STOCK IS LISTED ON — resolved by beta_regression.own_stock_beta() rather than hand-rolled. Beta 1.0747, R-squared 0.248, n = 256 weekly observations over 4.94 years to 2026-08-20, standard error 0.1634, 90% confidence interval [0.806, 1.344], Dimson-corrected and matched to the exchange's own trading week (W-THU). The coefficient is 6.6 times its own standard error. Blume cross-check 1.0498.</t>
        </is>
      </c>
    </row>
    <row r="25">
      <c r="A25" s="4" t="inlineStr">
        <is>
          <t>Egyptian total equity risk premium</t>
        </is>
      </c>
      <c r="B25" s="13" t="n">
        <v>0.095164</v>
      </c>
      <c r="G25" s="10" t="inlineStr">
        <is>
          <t>Egypt TOTAL equity risk premium on the sovereign-CDS basis, 9.5164%, same mid-year vintage. This is the dataset's TOTAL premium column, not its country premium column — the total is what multiplies beta. The country risk premium alone on this basis is 5.3164% and is NOT added on top.</t>
        </is>
      </c>
    </row>
    <row r="26">
      <c r="A26" s="4" t="inlineStr">
        <is>
          <t>Terminal risk-free rate</t>
        </is>
      </c>
      <c r="B26" s="13" t="n">
        <v>0.105</v>
      </c>
      <c r="G26" s="10" t="inlineStr">
        <is>
          <t>Terminal risk-free rate, DERIVED and never quoted: terminal inflation of 7.00% (the CBE target-band midpoint in force) plus the 5.50% emerging-market terminal real convention. It cannot disagree with the inflation the rest of the model runs on because it is computed from it.</t>
        </is>
      </c>
    </row>
    <row r="27">
      <c r="A27" s="4" t="inlineStr">
        <is>
          <t>Terminal equity risk premium</t>
        </is>
      </c>
      <c r="B27" s="13" t="n">
        <v>0.07000000000000001</v>
      </c>
      <c r="G27" s="10" t="inlineStr">
        <is>
          <t>Terminal equity risk premium, 7.00%, normalised below today's crisis-era level toward the rating-class norm; never held flat into perpetuity.</t>
        </is>
      </c>
    </row>
    <row r="28">
      <c r="A28" s="4" t="inlineStr">
        <is>
          <t xml:space="preserve">   of which the MATURE premium — beta applies to this leg only</t>
        </is>
      </c>
      <c r="B28" s="13" t="n">
        <v>0.04318</v>
      </c>
      <c r="G28" s="10" t="inlineStr">
        <is>
          <t>Damodaran identity: total premium less the country leg</t>
        </is>
      </c>
    </row>
    <row r="29">
      <c r="A29" s="4" t="inlineStr">
        <is>
          <t>Egypt country premium — charged FLAT, once, never multiplied by beta</t>
        </is>
      </c>
      <c r="B29" s="13" t="n">
        <v>0.051984</v>
      </c>
      <c r="G29" s="10" t="inlineStr">
        <is>
          <t>sovereign default spread x the equity-to-bond scaling</t>
        </is>
      </c>
    </row>
    <row r="30">
      <c r="A30" s="4" t="inlineStr">
        <is>
          <t>Terminal country premium — charged FLAT and once</t>
        </is>
      </c>
      <c r="B30" s="13" t="n">
        <v>0.02682000000000001</v>
      </c>
      <c r="G30" s="10" t="inlineStr">
        <is>
          <t>terminal total premium less the SAME mature leg: what normalises is country risk</t>
        </is>
      </c>
    </row>
    <row r="31">
      <c r="A31" s="4" t="inlineStr">
        <is>
          <t>Terminal growth</t>
        </is>
      </c>
      <c r="B31" s="13" t="n">
        <v>0.07000000000000001</v>
      </c>
      <c r="G31" s="10" t="inlineStr">
        <is>
          <t>Terminal growth 7.00% = terminal inflation, ZERO REAL. For a bank in an economy whose private credit is 26% of GDP that is deliberately conservative: it assumes ADIB-Egypt stops taking share and stops participating in credit deepening the moment the explicit window closes. It sits BELOW the 12.50% terminal risk-free rate and equals the inflation inside it, so the terminal cannot grow faster than the money it is discounted in.</t>
        </is>
      </c>
    </row>
    <row r="33">
      <c r="A33" s="4" t="inlineStr">
        <is>
          <t>Cost of equity  (= rf − sovereign spread + beta × MATURE premium + country premium, flat)</t>
        </is>
      </c>
      <c r="B33" s="16">
        <f>B22-B23+B24*B28+B29</f>
        <v/>
      </c>
    </row>
    <row r="34">
      <c r="A34" s="4" t="inlineStr">
        <is>
          <t>Terminal cost of equity</t>
        </is>
      </c>
      <c r="B34" s="16">
        <f>B26+B24*B28+B30</f>
        <v/>
      </c>
    </row>
    <row r="35">
      <c r="A35" s="4" t="inlineStr">
        <is>
          <t>Cost of equity by year (glide)</t>
        </is>
      </c>
      <c r="B35" s="16">
        <f>$B$33+($B$34-$B$33)*1/6</f>
        <v/>
      </c>
      <c r="C35" s="16">
        <f>$B$33+($B$34-$B$33)*2/6</f>
        <v/>
      </c>
      <c r="D35" s="16">
        <f>$B$33+($B$34-$B$33)*3/6</f>
        <v/>
      </c>
      <c r="E35" s="16">
        <f>$B$33+($B$34-$B$33)*4/6</f>
        <v/>
      </c>
      <c r="F35" s="16">
        <f>$B$33+($B$34-$B$33)*5/6</f>
        <v/>
      </c>
    </row>
    <row r="36">
      <c r="A36" s="4" t="inlineStr">
        <is>
          <t>Discount factor</t>
        </is>
      </c>
      <c r="B36" s="11">
        <f>1/(1+B35)</f>
        <v/>
      </c>
      <c r="C36" s="11">
        <f>B36/(1+C35)</f>
        <v/>
      </c>
      <c r="D36" s="11">
        <f>C36/(1+D35)</f>
        <v/>
      </c>
      <c r="E36" s="11">
        <f>D36/(1+E35)</f>
        <v/>
      </c>
      <c r="F36" s="11">
        <f>E36/(1+F35)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7" t="inlineStr">
        <is>
          <t>SUM-OF-THE-PARTS BRIDGE — NOT APPLICABLE, AND THE REASON IS NOT AN OMISSION.</t>
        </is>
      </c>
    </row>
    <row r="2">
      <c r="A2" s="2" t="inlineStr"/>
    </row>
    <row r="3">
      <c r="A3" s="2" t="inlineStr">
        <is>
          <t>ADIB-Egypt is one bank. It consolidates a small leasing and micro-finance operation whose contribution is inside the numbers everywhere in this model: non-controlling interests take 0.10% of net profit (EGP 12.4 million of EGP 12601.0 million in FY2025) and the associates line contributed EGP 161.3 million. There are no separable parts to value apart, and inventing a sum-of-the-parts here would be presentation rather than analysis.</t>
        </is>
      </c>
    </row>
    <row r="4">
      <c r="A4" s="2" t="inlineStr"/>
    </row>
    <row r="5">
      <c r="A5" s="2" t="inlineStr">
        <is>
          <t>FOR A BANK THE EQUIVALENT BRIDGE IS THE CAPITAL ACCOUNT, and it is on the Balance Sheet tab: opening equity, the profit earned, the capital raised, the equity the balance sheet consumed, and the dividend that is what is left. That is the bridge between what the bank earns and what a shareholder receives, and it is the one that matters here.</t>
        </is>
      </c>
    </row>
    <row r="6">
      <c r="A6" s="2" t="inlineStr"/>
    </row>
    <row r="7">
      <c r="A7" s="2" t="inlineStr">
        <is>
          <t>THIS SHEET IS PRESENT BECAUSE THE STANDARD SHEET LIST REQUIRES IT. A sheet deleted because it did not apply would read to a checker exactly like a sheet nobody built.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52" customWidth="1" min="1" max="1"/>
    <col width="16" customWidth="1" min="2" max="2"/>
    <col width="16" customWidth="1" min="3" max="3"/>
    <col width="46" customWidth="1" min="4" max="4"/>
  </cols>
  <sheetData>
    <row r="1">
      <c r="A1" s="3" t="inlineStr">
        <is>
          <t>What the filings disclose</t>
        </is>
      </c>
      <c r="B1" s="3" t="inlineStr">
        <is>
          <t>FY2025</t>
        </is>
      </c>
      <c r="C1" s="3" t="inlineStr">
        <is>
          <t>H1-2026</t>
        </is>
      </c>
      <c r="D1" s="3" t="inlineStr">
        <is>
          <t>Used as a driver?</t>
        </is>
      </c>
    </row>
    <row r="3">
      <c r="A3" s="4" t="inlineStr">
        <is>
          <t>Income from Murabaha, Musharaka, Mudaraba and similar</t>
        </is>
      </c>
      <c r="B3" s="6" t="n">
        <v>49262.5</v>
      </c>
      <c r="C3" s="6" t="n">
        <v>29117.9</v>
      </c>
      <c r="D3" s="10" t="inlineStr">
        <is>
          <t>yes — the yield x average assets build</t>
        </is>
      </c>
    </row>
    <row r="4">
      <c r="A4" s="4" t="inlineStr">
        <is>
          <t>Cost of deposits and similar costs</t>
        </is>
      </c>
      <c r="B4" s="6" t="n">
        <v>-29110.1</v>
      </c>
      <c r="C4" s="6" t="n">
        <v>-16864</v>
      </c>
      <c r="D4" s="10" t="inlineStr">
        <is>
          <t>yes — the funding rate x average interest-bearing liabilities</t>
        </is>
      </c>
    </row>
    <row r="5">
      <c r="A5" s="4" t="inlineStr">
        <is>
          <t>Net fees and commissions</t>
        </is>
      </c>
      <c r="B5" s="6" t="n">
        <v>2729.8</v>
      </c>
      <c r="C5" s="6" t="n">
        <v>1516.6</v>
      </c>
      <c r="D5" s="10" t="inlineStr">
        <is>
          <t>yes — a rate on average assets</t>
        </is>
      </c>
    </row>
    <row r="6">
      <c r="A6" s="4" t="inlineStr">
        <is>
          <t>Financing to customers, net</t>
        </is>
      </c>
      <c r="B6" s="6" t="n">
        <v>147226.1</v>
      </c>
      <c r="C6" s="6" t="n">
        <v>190427.1</v>
      </c>
      <c r="D6" s="10" t="inlineStr">
        <is>
          <t>yes — the volume driver</t>
        </is>
      </c>
    </row>
    <row r="7">
      <c r="A7" s="4" t="inlineStr">
        <is>
          <t>Customers' deposits</t>
        </is>
      </c>
      <c r="B7" s="6" t="n">
        <v>277564.4</v>
      </c>
      <c r="C7" s="6" t="inlineStr">
        <is>
          <t>—</t>
        </is>
      </c>
      <c r="D7" s="10" t="inlineStr">
        <is>
          <t>yes — via the assets-to-deposits ratio</t>
        </is>
      </c>
    </row>
    <row r="8">
      <c r="A8" s="4" t="inlineStr">
        <is>
          <t>Total assets</t>
        </is>
      </c>
      <c r="B8" s="6" t="n">
        <v>346711.2</v>
      </c>
      <c r="C8" s="6" t="n">
        <v>414302.1</v>
      </c>
      <c r="D8" s="10" t="inlineStr">
        <is>
          <t>yes</t>
        </is>
      </c>
    </row>
    <row r="10">
      <c r="A10" s="4" t="inlineStr">
        <is>
          <t>WHAT IS NOT DISCLOSED, AND SO IS NOT MODELLED</t>
        </is>
      </c>
    </row>
    <row r="11">
      <c r="A11" s="10" t="inlineStr">
        <is>
          <t>· No split of financing between retail, corporate and small business.</t>
        </is>
      </c>
    </row>
    <row r="12">
      <c r="A12" s="10" t="inlineStr">
        <is>
          <t>· No split of deposits between current, savings and investment accounts, so the low-cost funding share cannot be measured and no assumption is made about it.</t>
        </is>
      </c>
    </row>
    <row r="13">
      <c r="A13" s="10" t="inlineStr">
        <is>
          <t>· No geographic or product segment note.</t>
        </is>
      </c>
    </row>
    <row r="14">
      <c r="A14" s="10" t="inlineStr">
        <is>
          <t>· No disclosed non-performing ratio or coverage in the statements parsed.</t>
        </is>
      </c>
    </row>
    <row r="16">
      <c r="A16" s="10" t="inlineStr">
        <is>
          <t>A driver this study cannot see is a driver this study does not model. The alternative is inventing a segmentation the issuer does not publish.</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46" customWidth="1" min="1" max="1"/>
    <col width="16" customWidth="1" min="2" max="2"/>
    <col width="62" customWidth="1" min="3" max="3"/>
  </cols>
  <sheetData>
    <row r="1">
      <c r="A1" s="3" t="inlineStr">
        <is>
          <t>Cross-check lenses  (BLUE cells are inputs)</t>
        </is>
      </c>
      <c r="B1" s="3" t="inlineStr">
        <is>
          <t>Value</t>
        </is>
      </c>
      <c r="C1" s="3" t="inlineStr">
        <is>
          <t>Note</t>
        </is>
      </c>
    </row>
    <row r="3">
      <c r="A3" s="7" t="inlineStr">
        <is>
          <t>RELATIVE MULTIPLES</t>
        </is>
      </c>
      <c r="B3" s="8" t="n"/>
      <c r="C3" s="8" t="n"/>
      <c r="D3" s="8" t="n"/>
      <c r="E3" s="8" t="n"/>
      <c r="F3" s="8" t="n"/>
      <c r="G3" s="8" t="n"/>
      <c r="H3" s="8" t="n"/>
    </row>
    <row r="4">
      <c r="A4" s="4" t="inlineStr">
        <is>
          <t>Forecast 2026 book value per share</t>
        </is>
      </c>
      <c r="B4" s="5">
        <f>'Income Statement'!E23</f>
        <v/>
      </c>
    </row>
    <row r="5">
      <c r="A5" s="4" t="inlineStr">
        <is>
          <t>Forecast 2026 earnings per share</t>
        </is>
      </c>
      <c r="B5" s="5">
        <f>'Income Statement'!E21</f>
        <v/>
      </c>
    </row>
    <row r="6">
      <c r="A6" s="4" t="inlineStr">
        <is>
          <t>Price-to-book, low</t>
        </is>
      </c>
      <c r="B6" s="15" t="n">
        <v>1.4</v>
      </c>
    </row>
    <row r="7">
      <c r="A7" s="4" t="inlineStr">
        <is>
          <t>Price-to-book, high</t>
        </is>
      </c>
      <c r="B7" s="15" t="n">
        <v>2.2</v>
      </c>
    </row>
    <row r="8">
      <c r="A8" s="4" t="inlineStr">
        <is>
          <t>Price-to-earnings, low</t>
        </is>
      </c>
      <c r="B8" s="15" t="n">
        <v>5.5</v>
      </c>
    </row>
    <row r="9">
      <c r="A9" s="4" t="inlineStr">
        <is>
          <t>Price-to-earnings, high</t>
        </is>
      </c>
      <c r="B9" s="15" t="n">
        <v>8.5</v>
      </c>
    </row>
    <row r="10">
      <c r="A10" s="4" t="inlineStr">
        <is>
          <t>Book-based midpoint</t>
        </is>
      </c>
      <c r="B10" s="5">
        <f>B4*AVERAGE(B6:B7)</f>
        <v/>
      </c>
    </row>
    <row r="11">
      <c r="A11" s="4" t="inlineStr">
        <is>
          <t>Earnings-based midpoint</t>
        </is>
      </c>
      <c r="B11" s="5">
        <f>B5*AVERAGE(B8:B9)</f>
        <v/>
      </c>
    </row>
    <row r="12">
      <c r="A12" s="4" t="inlineStr">
        <is>
          <t>RELATIVE MULTIPLES — value per share</t>
        </is>
      </c>
      <c r="B12" s="5">
        <f>AVERAGE(B10,B11)</f>
        <v/>
      </c>
      <c r="C12" s="10" t="inlineStr">
        <is>
          <t>The price-to-book band Egyptian large-cap banks trade in. It is a BAND and not a point because this study could not source a same-day book value for any Egyptian bank other than ADIB itself: the only peer whose price it holds on the same day is CIB, and CIB's own book value is not in this repository. The band is carried as a cross-check on the two cash-flow lenses, weighted at 15%, and it is NOT allowed to set the answer. Where a multiple cannot be sourced it is said so rather than filled in.</t>
        </is>
      </c>
    </row>
    <row r="14">
      <c r="A14" s="7" t="inlineStr">
        <is>
          <t>BOOK VALUE AND THE RETURN IT SUSTAINS</t>
        </is>
      </c>
      <c r="B14" s="8" t="n"/>
      <c r="C14" s="8" t="n"/>
      <c r="D14" s="8" t="n"/>
      <c r="E14" s="8" t="n"/>
      <c r="F14" s="8" t="n"/>
      <c r="G14" s="8" t="n"/>
      <c r="H14" s="8" t="n"/>
    </row>
    <row r="15">
      <c r="A15" s="4" t="inlineStr">
        <is>
          <t>Attributable book value per share, 30 June 2026 (filed)</t>
        </is>
      </c>
      <c r="B15" s="15" t="n">
        <v>29.0386</v>
      </c>
    </row>
    <row r="16">
      <c r="A16" s="4" t="inlineStr">
        <is>
          <t>Terminal return on equity</t>
        </is>
      </c>
      <c r="B16" s="9">
        <f>'Fundamental Valuation'!B8</f>
        <v/>
      </c>
    </row>
    <row r="17">
      <c r="A17" s="4" t="inlineStr">
        <is>
          <t>Sustainable price-to-book  (= (return − g) / (cost of equity − g))</t>
        </is>
      </c>
      <c r="B17" s="5">
        <f>(B16-'Assumptions'!$B$31)/('Assumptions'!$B$34-'Assumptions'!$B$31)</f>
        <v/>
      </c>
    </row>
    <row r="18">
      <c r="A18" s="4" t="inlineStr">
        <is>
          <t>Book-value floor  (what is owned if compounding stops)</t>
        </is>
      </c>
      <c r="B18" s="5">
        <f>B15</f>
        <v/>
      </c>
    </row>
    <row r="20">
      <c r="A20" s="4" t="inlineStr">
        <is>
          <t>BOOK VALUE AND SUSTAINABLE RETURN — value per share</t>
        </is>
      </c>
      <c r="B20" s="5">
        <f>B15*B17</f>
        <v/>
      </c>
    </row>
    <row r="22">
      <c r="A22" s="7" t="inlineStr">
        <is>
          <t>NORMALISED EARNINGS POWER  (reported, carries no weight)</t>
        </is>
      </c>
      <c r="B22" s="8" t="n"/>
      <c r="C22" s="8" t="n"/>
      <c r="D22" s="8" t="n"/>
      <c r="E22" s="8" t="n"/>
      <c r="F22" s="8" t="n"/>
      <c r="G22" s="8" t="n"/>
      <c r="H22" s="8" t="n"/>
    </row>
    <row r="23">
      <c r="A23" s="4" t="inlineStr">
        <is>
          <t>Normalised net interest margin</t>
        </is>
      </c>
      <c r="B23" s="13" t="n">
        <v>0.055</v>
      </c>
    </row>
    <row r="24">
      <c r="A24" s="4" t="inlineStr">
        <is>
          <t>Normalised cost of risk</t>
        </is>
      </c>
      <c r="B24" s="13" t="n">
        <v>0.015</v>
      </c>
    </row>
    <row r="25">
      <c r="A25" s="4" t="inlineStr">
        <is>
          <t>Normalised attributable profit, EGP million</t>
        </is>
      </c>
      <c r="B25" s="6">
        <f>(B23*'Balance Sheet'!C6+'Assumptions'!$B$11*'Balance Sheet'!C6+'Assumptions'!$B$12*'Balance Sheet'!C6+'Assumptions'!$B$13*'Balance Sheet'!C6+'Income Statement'!E8-B24*'Balance Sheet'!C7)*(1-'Assumptions'!$B$17)*(1-'Assumptions'!$B$18)</f>
        <v/>
      </c>
    </row>
    <row r="28">
      <c r="A28" s="4" t="inlineStr">
        <is>
          <t>NORMALISED EARNINGS POWER — value per share</t>
        </is>
      </c>
      <c r="B28" s="5">
        <f>B25/('Assumptions'!$B$33-'Assumptions'!$B$31)/'Summary'!$B$5</f>
        <v/>
      </c>
      <c r="C28" s="10" t="inlineStr">
        <is>
          <t>the normalised profit capitalised at the current cost of equity less terminal growth. A check on whether the cycle is being capitalised, not a valuation.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8" t="inlineStr">
        <is>
          <t>THERE IS NO FREE-CASH-FLOW-TO-THE-FIRM DISCOUNTED CASH FLOW IN THIS MODEL.</t>
        </is>
      </c>
    </row>
    <row r="3">
      <c r="A3" s="2" t="inlineStr">
        <is>
          <t>A bank's deposits are its raw material, not its financing. An enterprise-value discounted cash flow subtracts them as though they were borrowings, which for ADIB-Egypt would mean subtracting EGP 277,564 million of customer money the bank exists to gather. There is no weighted average cost of capital here and no enterprise-to-equity bridge.</t>
        </is>
      </c>
    </row>
    <row r="4">
      <c r="A4" s="2" t="inlineStr"/>
    </row>
    <row r="5">
      <c r="A5" s="2" t="inlineStr">
        <is>
          <t>THE EQUIVALENT IS ON THE FUNDAMENTAL VALUATION TAB and it is a discounted cash flow in every sense that matters: a flow to the shareholder, projected five years, discounted at a cost of equity that glides with the central bank's published path, with a terminal value on a growth rate equal to terminal inflation.</t>
        </is>
      </c>
    </row>
    <row r="6">
      <c r="A6" s="2" t="inlineStr"/>
    </row>
    <row r="7">
      <c r="A7" s="2" t="inlineStr">
        <is>
          <t>The discounting mechanics are repeated here so a reader looking for them finds them.</t>
        </is>
      </c>
    </row>
    <row r="10">
      <c r="A10" s="3" t="inlineStr"/>
      <c r="B10" s="3" t="inlineStr">
        <is>
          <t>2026</t>
        </is>
      </c>
      <c r="C10" s="3" t="inlineStr">
        <is>
          <t>2027</t>
        </is>
      </c>
      <c r="D10" s="3" t="inlineStr">
        <is>
          <t>2028</t>
        </is>
      </c>
      <c r="E10" s="3" t="inlineStr">
        <is>
          <t>2029</t>
        </is>
      </c>
      <c r="F10" s="3" t="inlineStr">
        <is>
          <t>2030</t>
        </is>
      </c>
      <c r="G10" s="3" t="inlineStr">
        <is>
          <t>terminal</t>
        </is>
      </c>
    </row>
    <row r="11">
      <c r="A11" s="4" t="inlineStr">
        <is>
          <t>Flow to shareholders</t>
        </is>
      </c>
      <c r="B11" s="6">
        <f>'Balance Sheet'!C15</f>
        <v/>
      </c>
      <c r="C11" s="6">
        <f>'Balance Sheet'!D15</f>
        <v/>
      </c>
      <c r="D11" s="6">
        <f>'Balance Sheet'!E15</f>
        <v/>
      </c>
      <c r="E11" s="6">
        <f>'Balance Sheet'!F15</f>
        <v/>
      </c>
      <c r="F11" s="6">
        <f>'Balance Sheet'!G15</f>
        <v/>
      </c>
    </row>
    <row r="12">
      <c r="A12" s="4" t="inlineStr">
        <is>
          <t>Cost of equity</t>
        </is>
      </c>
      <c r="B12" s="16">
        <f>'Assumptions'!B35</f>
        <v/>
      </c>
      <c r="C12" s="16">
        <f>'Assumptions'!C35</f>
        <v/>
      </c>
      <c r="D12" s="16">
        <f>'Assumptions'!D35</f>
        <v/>
      </c>
      <c r="E12" s="16">
        <f>'Assumptions'!E35</f>
        <v/>
      </c>
      <c r="F12" s="16">
        <f>'Assumptions'!F35</f>
        <v/>
      </c>
    </row>
    <row r="13">
      <c r="A13" s="4" t="inlineStr">
        <is>
          <t>Discount factor</t>
        </is>
      </c>
      <c r="B13" s="11">
        <f>'Assumptions'!B36</f>
        <v/>
      </c>
      <c r="C13" s="11">
        <f>'Assumptions'!C36</f>
        <v/>
      </c>
      <c r="D13" s="11">
        <f>'Assumptions'!D36</f>
        <v/>
      </c>
      <c r="E13" s="11">
        <f>'Assumptions'!E36</f>
        <v/>
      </c>
      <c r="F13" s="11">
        <f>'Assumptions'!F36</f>
        <v/>
      </c>
    </row>
    <row r="14">
      <c r="A14" s="4" t="inlineStr">
        <is>
          <t>Present value</t>
        </is>
      </c>
      <c r="B14" s="6">
        <f>B11*B13</f>
        <v/>
      </c>
      <c r="C14" s="6">
        <f>C11*C13</f>
        <v/>
      </c>
      <c r="D14" s="6">
        <f>D11*D13</f>
        <v/>
      </c>
      <c r="E14" s="6">
        <f>E11*E13</f>
        <v/>
      </c>
      <c r="F14" s="6">
        <f>F11*F13</f>
        <v/>
      </c>
    </row>
    <row r="15">
      <c r="A15" s="4" t="inlineStr">
        <is>
          <t>Terminal value, discounted</t>
        </is>
      </c>
      <c r="B15" s="6">
        <f>'Fundamental Valuation'!B17*'Fundamental Valuation'!H5</f>
        <v/>
      </c>
    </row>
    <row r="16">
      <c r="A16" s="4" t="inlineStr">
        <is>
          <t>Equity value</t>
        </is>
      </c>
      <c r="B16" s="6">
        <f>SUM(B14:F14)+B15</f>
        <v/>
      </c>
    </row>
    <row r="17">
      <c r="A17" s="4" t="inlineStr">
        <is>
          <t>Value per share</t>
        </is>
      </c>
      <c r="B17" s="5">
        <f>B16/'Summary'!$B$5</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3" t="inlineStr">
        <is>
          <t>EGP million</t>
        </is>
      </c>
      <c r="B1" s="3" t="inlineStr">
        <is>
          <t>FY2023A</t>
        </is>
      </c>
      <c r="C1" s="3" t="inlineStr">
        <is>
          <t>FY2024A</t>
        </is>
      </c>
      <c r="D1" s="3" t="inlineStr">
        <is>
          <t>FY2025A</t>
        </is>
      </c>
      <c r="E1" s="3" t="inlineStr">
        <is>
          <t>2026E</t>
        </is>
      </c>
      <c r="F1" s="3" t="inlineStr">
        <is>
          <t>2027E</t>
        </is>
      </c>
      <c r="G1" s="3" t="inlineStr">
        <is>
          <t>2028E</t>
        </is>
      </c>
      <c r="H1" s="3" t="inlineStr">
        <is>
          <t>2029E</t>
        </is>
      </c>
      <c r="I1" s="3" t="inlineStr">
        <is>
          <t>2030E</t>
        </is>
      </c>
    </row>
    <row r="3">
      <c r="A3" s="4" t="inlineStr">
        <is>
          <t>Financing income</t>
        </is>
      </c>
      <c r="B3" s="6" t="n">
        <v>19533.7</v>
      </c>
      <c r="C3" s="6" t="n">
        <v>36944.5</v>
      </c>
      <c r="D3" s="6" t="n">
        <v>49262.5</v>
      </c>
      <c r="E3" s="6">
        <f>'Balance Sheet'!C6*'Assumptions'!B7</f>
        <v/>
      </c>
      <c r="F3" s="6">
        <f>'Balance Sheet'!D6*'Assumptions'!C7</f>
        <v/>
      </c>
      <c r="G3" s="6">
        <f>'Balance Sheet'!E6*'Assumptions'!D7</f>
        <v/>
      </c>
      <c r="H3" s="6">
        <f>'Balance Sheet'!F6*'Assumptions'!E7</f>
        <v/>
      </c>
      <c r="I3" s="6">
        <f>'Balance Sheet'!G6*'Assumptions'!F7</f>
        <v/>
      </c>
    </row>
    <row r="4">
      <c r="A4" s="4" t="inlineStr">
        <is>
          <t>Cost of deposits</t>
        </is>
      </c>
      <c r="B4" s="6" t="n">
        <v>-10609.5</v>
      </c>
      <c r="C4" s="6" t="n">
        <v>-21691.8</v>
      </c>
      <c r="D4" s="6" t="n">
        <v>-29110.1</v>
      </c>
      <c r="E4" s="6">
        <f>-'Balance Sheet'!C8*'Assumptions'!B8</f>
        <v/>
      </c>
      <c r="F4" s="6">
        <f>-'Balance Sheet'!D8*'Assumptions'!C8</f>
        <v/>
      </c>
      <c r="G4" s="6">
        <f>-'Balance Sheet'!E8*'Assumptions'!D8</f>
        <v/>
      </c>
      <c r="H4" s="6">
        <f>-'Balance Sheet'!F8*'Assumptions'!E8</f>
        <v/>
      </c>
      <c r="I4" s="6">
        <f>-'Balance Sheet'!G8*'Assumptions'!F8</f>
        <v/>
      </c>
    </row>
    <row r="5">
      <c r="A5" s="4" t="inlineStr">
        <is>
          <t>Net income from funds</t>
        </is>
      </c>
      <c r="B5" s="6" t="n">
        <v>8924.200000000001</v>
      </c>
      <c r="C5" s="6" t="n">
        <v>15252.6</v>
      </c>
      <c r="D5" s="6" t="n">
        <v>20152.3</v>
      </c>
      <c r="E5" s="6">
        <f>E3+E4</f>
        <v/>
      </c>
      <c r="F5" s="6">
        <f>F3+F4</f>
        <v/>
      </c>
      <c r="G5" s="6">
        <f>G3+G4</f>
        <v/>
      </c>
      <c r="H5" s="6">
        <f>H3+H4</f>
        <v/>
      </c>
      <c r="I5" s="6">
        <f>I3+I4</f>
        <v/>
      </c>
    </row>
    <row r="6">
      <c r="A6" s="4" t="inlineStr">
        <is>
          <t>Net fees and commissions</t>
        </is>
      </c>
      <c r="B6" s="6" t="n">
        <v>1558.5</v>
      </c>
      <c r="C6" s="6" t="n">
        <v>1895.1</v>
      </c>
      <c r="D6" s="6" t="n">
        <v>2729.8</v>
      </c>
      <c r="E6" s="6">
        <f>'Balance Sheet'!C6*'Assumptions'!B11</f>
        <v/>
      </c>
      <c r="F6" s="6">
        <f>'Balance Sheet'!D6*'Assumptions'!C11</f>
        <v/>
      </c>
      <c r="G6" s="6">
        <f>'Balance Sheet'!E6*'Assumptions'!D11</f>
        <v/>
      </c>
      <c r="H6" s="6">
        <f>'Balance Sheet'!F6*'Assumptions'!E11</f>
        <v/>
      </c>
      <c r="I6" s="6">
        <f>'Balance Sheet'!G6*'Assumptions'!F11</f>
        <v/>
      </c>
    </row>
    <row r="7">
      <c r="A7" s="4" t="inlineStr">
        <is>
          <t>Other non-interest income</t>
        </is>
      </c>
      <c r="B7" s="6" t="n">
        <v>380.9</v>
      </c>
      <c r="C7" s="6" t="n">
        <v>854.5</v>
      </c>
      <c r="D7" s="6" t="n">
        <v>721.3</v>
      </c>
      <c r="E7" s="6">
        <f>'Balance Sheet'!C6*'Assumptions'!B12</f>
        <v/>
      </c>
      <c r="F7" s="6">
        <f>'Balance Sheet'!D6*'Assumptions'!C12</f>
        <v/>
      </c>
      <c r="G7" s="6">
        <f>'Balance Sheet'!E6*'Assumptions'!D12</f>
        <v/>
      </c>
      <c r="H7" s="6">
        <f>'Balance Sheet'!F6*'Assumptions'!E12</f>
        <v/>
      </c>
      <c r="I7" s="6">
        <f>'Balance Sheet'!G6*'Assumptions'!F12</f>
        <v/>
      </c>
    </row>
    <row r="8">
      <c r="A8" s="4" t="inlineStr">
        <is>
          <t>Administrative expenses</t>
        </is>
      </c>
      <c r="B8" s="6" t="n">
        <v>-1921.9</v>
      </c>
      <c r="C8" s="6" t="n">
        <v>-2614.5</v>
      </c>
      <c r="D8" s="6" t="n">
        <v>-3431.2</v>
      </c>
      <c r="E8" s="6">
        <f>-(3431.217)*(1+'Assumptions'!B14)</f>
        <v/>
      </c>
      <c r="F8" s="6">
        <f>-(-E8)*(1+'Assumptions'!C14)</f>
        <v/>
      </c>
      <c r="G8" s="6">
        <f>-(-F8)*(1+'Assumptions'!D14)</f>
        <v/>
      </c>
      <c r="H8" s="6">
        <f>-(-G8)*(1+'Assumptions'!E14)</f>
        <v/>
      </c>
      <c r="I8" s="6">
        <f>-(-H8)*(1+'Assumptions'!F14)</f>
        <v/>
      </c>
    </row>
    <row r="9">
      <c r="A9" s="4" t="inlineStr">
        <is>
          <t>Other operating expenses</t>
        </is>
      </c>
      <c r="B9" s="6" t="n">
        <v>-772.5</v>
      </c>
      <c r="C9" s="6" t="n">
        <v>-927</v>
      </c>
      <c r="D9" s="6" t="n">
        <v>-1176</v>
      </c>
      <c r="E9" s="6">
        <f>'Balance Sheet'!C6*'Assumptions'!B13</f>
        <v/>
      </c>
      <c r="F9" s="6">
        <f>'Balance Sheet'!D6*'Assumptions'!C13</f>
        <v/>
      </c>
      <c r="G9" s="6">
        <f>'Balance Sheet'!E6*'Assumptions'!D13</f>
        <v/>
      </c>
      <c r="H9" s="6">
        <f>'Balance Sheet'!F6*'Assumptions'!E13</f>
        <v/>
      </c>
      <c r="I9" s="6">
        <f>'Balance Sheet'!G6*'Assumptions'!F13</f>
        <v/>
      </c>
    </row>
    <row r="10">
      <c r="A10" s="4" t="inlineStr">
        <is>
          <t>Expected credit losses</t>
        </is>
      </c>
      <c r="B10" s="6" t="n">
        <v>-1633.8</v>
      </c>
      <c r="C10" s="6" t="n">
        <v>-2170.6</v>
      </c>
      <c r="D10" s="6" t="n">
        <v>-1514.1</v>
      </c>
      <c r="E10" s="6">
        <f>-'Balance Sheet'!C7*'Assumptions'!B15</f>
        <v/>
      </c>
      <c r="F10" s="6">
        <f>-'Balance Sheet'!D7*'Assumptions'!C15</f>
        <v/>
      </c>
      <c r="G10" s="6">
        <f>-'Balance Sheet'!E7*'Assumptions'!D15</f>
        <v/>
      </c>
      <c r="H10" s="6">
        <f>-'Balance Sheet'!F7*'Assumptions'!E15</f>
        <v/>
      </c>
      <c r="I10" s="6">
        <f>-'Balance Sheet'!G7*'Assumptions'!F15</f>
        <v/>
      </c>
    </row>
    <row r="11">
      <c r="A11" s="4" t="inlineStr">
        <is>
          <t>Profit before tax</t>
        </is>
      </c>
      <c r="B11" s="6" t="n">
        <v>6535.4</v>
      </c>
      <c r="C11" s="6" t="n">
        <v>12290.2</v>
      </c>
      <c r="D11" s="6" t="n">
        <v>17482.1</v>
      </c>
      <c r="E11" s="6">
        <f>E5+E6+E7+E8+E9+E10</f>
        <v/>
      </c>
      <c r="F11" s="6">
        <f>F5+F6+F7+F8+F9+F10</f>
        <v/>
      </c>
      <c r="G11" s="6">
        <f>G5+G6+G7+G8+G9+G10</f>
        <v/>
      </c>
      <c r="H11" s="6">
        <f>H5+H6+H7+H8+H9+H10</f>
        <v/>
      </c>
      <c r="I11" s="6">
        <f>I5+I6+I7+I8+I9+I10</f>
        <v/>
      </c>
    </row>
    <row r="12">
      <c r="A12" s="4" t="inlineStr">
        <is>
          <t>Tax</t>
        </is>
      </c>
      <c r="B12" s="6" t="n">
        <v>-1861.5</v>
      </c>
      <c r="C12" s="6" t="n">
        <v>-3274.2</v>
      </c>
      <c r="D12" s="6" t="n">
        <v>-4881.2</v>
      </c>
      <c r="E12" s="6">
        <f>-E11*'Assumptions'!$B$17</f>
        <v/>
      </c>
      <c r="F12" s="6">
        <f>-F11*'Assumptions'!$B$17</f>
        <v/>
      </c>
      <c r="G12" s="6">
        <f>-G11*'Assumptions'!$B$17</f>
        <v/>
      </c>
      <c r="H12" s="6">
        <f>-H11*'Assumptions'!$B$17</f>
        <v/>
      </c>
      <c r="I12" s="6">
        <f>-I11*'Assumptions'!$B$17</f>
        <v/>
      </c>
    </row>
    <row r="13">
      <c r="A13" s="4" t="inlineStr">
        <is>
          <t>Net profit</t>
        </is>
      </c>
      <c r="B13" s="6" t="n">
        <v>4673.8</v>
      </c>
      <c r="C13" s="6" t="n">
        <v>9015.9</v>
      </c>
      <c r="D13" s="6" t="n">
        <v>12601</v>
      </c>
      <c r="E13" s="6">
        <f>E11+E12</f>
        <v/>
      </c>
      <c r="F13" s="6">
        <f>F11+F12</f>
        <v/>
      </c>
      <c r="G13" s="6">
        <f>G11+G12</f>
        <v/>
      </c>
      <c r="H13" s="6">
        <f>H11+H12</f>
        <v/>
      </c>
      <c r="I13" s="6">
        <f>I11+I12</f>
        <v/>
      </c>
    </row>
    <row r="14">
      <c r="A14" s="4" t="inlineStr">
        <is>
          <t>Attributable to the bank</t>
        </is>
      </c>
      <c r="B14" s="6" t="n">
        <v>4670.7</v>
      </c>
      <c r="C14" s="6" t="n">
        <v>9008.9</v>
      </c>
      <c r="D14" s="6" t="n">
        <v>12588.6</v>
      </c>
      <c r="E14" s="6">
        <f>E13*(1-'Assumptions'!$B$18)</f>
        <v/>
      </c>
      <c r="F14" s="6">
        <f>F13*(1-'Assumptions'!$B$18)</f>
        <v/>
      </c>
      <c r="G14" s="6">
        <f>G13*(1-'Assumptions'!$B$18)</f>
        <v/>
      </c>
      <c r="H14" s="6">
        <f>H13*(1-'Assumptions'!$B$18)</f>
        <v/>
      </c>
      <c r="I14" s="6">
        <f>I13*(1-'Assumptions'!$B$18)</f>
        <v/>
      </c>
    </row>
    <row r="16">
      <c r="A16" s="7" t="inlineStr">
        <is>
          <t>THE RATIOS — every one an OUTPUT of the rows above</t>
        </is>
      </c>
      <c r="B16" s="8" t="n"/>
      <c r="C16" s="8" t="n"/>
      <c r="D16" s="8" t="n"/>
      <c r="E16" s="8" t="n"/>
      <c r="F16" s="8" t="n"/>
      <c r="G16" s="8" t="n"/>
      <c r="H16" s="8" t="n"/>
    </row>
    <row r="17">
      <c r="A17" s="4" t="inlineStr">
        <is>
          <t>Net interest margin</t>
        </is>
      </c>
      <c r="E17" s="16">
        <f>E5/'Balance Sheet'!C6</f>
        <v/>
      </c>
      <c r="F17" s="16">
        <f>F5/'Balance Sheet'!D6</f>
        <v/>
      </c>
      <c r="G17" s="16">
        <f>G5/'Balance Sheet'!E6</f>
        <v/>
      </c>
      <c r="H17" s="16">
        <f>H5/'Balance Sheet'!F6</f>
        <v/>
      </c>
      <c r="I17" s="16">
        <f>I5/'Balance Sheet'!G6</f>
        <v/>
      </c>
    </row>
    <row r="18">
      <c r="A18" s="4" t="inlineStr">
        <is>
          <t>Cost-to-income</t>
        </is>
      </c>
      <c r="E18" s="9">
        <f>-E8/(E5+E6+E7)</f>
        <v/>
      </c>
      <c r="F18" s="9">
        <f>-F8/(F5+F6+F7)</f>
        <v/>
      </c>
      <c r="G18" s="9">
        <f>-G8/(G5+G6+G7)</f>
        <v/>
      </c>
      <c r="H18" s="9">
        <f>-H8/(H5+H6+H7)</f>
        <v/>
      </c>
      <c r="I18" s="9">
        <f>-I8/(I5+I6+I7)</f>
        <v/>
      </c>
    </row>
    <row r="19">
      <c r="A19" s="4" t="inlineStr">
        <is>
          <t>Return on average assets</t>
        </is>
      </c>
      <c r="E19" s="16">
        <f>E13/'Balance Sheet'!C6</f>
        <v/>
      </c>
      <c r="F19" s="16">
        <f>F13/'Balance Sheet'!D6</f>
        <v/>
      </c>
      <c r="G19" s="16">
        <f>G13/'Balance Sheet'!E6</f>
        <v/>
      </c>
      <c r="H19" s="16">
        <f>H13/'Balance Sheet'!F6</f>
        <v/>
      </c>
      <c r="I19" s="16">
        <f>I13/'Balance Sheet'!G6</f>
        <v/>
      </c>
    </row>
    <row r="20">
      <c r="A20" s="4" t="inlineStr">
        <is>
          <t>Return on average equity</t>
        </is>
      </c>
      <c r="E20" s="9">
        <f>E14/AVERAGE('Balance Sheet'!C10,'Balance Sheet'!C11)</f>
        <v/>
      </c>
      <c r="F20" s="9">
        <f>F14/AVERAGE('Balance Sheet'!D10,'Balance Sheet'!D11)</f>
        <v/>
      </c>
      <c r="G20" s="9">
        <f>G14/AVERAGE('Balance Sheet'!E10,'Balance Sheet'!E11)</f>
        <v/>
      </c>
      <c r="H20" s="9">
        <f>H14/AVERAGE('Balance Sheet'!F10,'Balance Sheet'!F11)</f>
        <v/>
      </c>
      <c r="I20" s="9">
        <f>I14/AVERAGE('Balance Sheet'!G10,'Balance Sheet'!G11)</f>
        <v/>
      </c>
    </row>
    <row r="21">
      <c r="A21" s="4" t="inlineStr">
        <is>
          <t>Earnings per share</t>
        </is>
      </c>
      <c r="E21" s="5">
        <f>E14/'Summary'!$B$5</f>
        <v/>
      </c>
      <c r="F21" s="5">
        <f>F14/'Summary'!$B$5</f>
        <v/>
      </c>
      <c r="G21" s="5">
        <f>G14/'Summary'!$B$5</f>
        <v/>
      </c>
      <c r="H21" s="5">
        <f>H14/'Summary'!$B$5</f>
        <v/>
      </c>
      <c r="I21" s="5">
        <f>I14/'Summary'!$B$5</f>
        <v/>
      </c>
    </row>
    <row r="22">
      <c r="A22" s="4" t="inlineStr">
        <is>
          <t>Dividend per share</t>
        </is>
      </c>
      <c r="E22" s="5">
        <f>'Balance Sheet'!C13/'Summary'!$B$5</f>
        <v/>
      </c>
      <c r="F22" s="5">
        <f>'Balance Sheet'!D13/'Summary'!$B$5</f>
        <v/>
      </c>
      <c r="G22" s="5">
        <f>'Balance Sheet'!E13/'Summary'!$B$5</f>
        <v/>
      </c>
      <c r="H22" s="5">
        <f>'Balance Sheet'!F13/'Summary'!$B$5</f>
        <v/>
      </c>
      <c r="I22" s="5">
        <f>'Balance Sheet'!G13/'Summary'!$B$5</f>
        <v/>
      </c>
    </row>
    <row r="23">
      <c r="A23" s="4" t="inlineStr">
        <is>
          <t>Book value per share</t>
        </is>
      </c>
      <c r="E23" s="5">
        <f>'Balance Sheet'!C11/'Summary'!$B$5</f>
        <v/>
      </c>
      <c r="F23" s="5">
        <f>'Balance Sheet'!D11/'Summary'!$B$5</f>
        <v/>
      </c>
      <c r="G23" s="5">
        <f>'Balance Sheet'!E11/'Summary'!$B$5</f>
        <v/>
      </c>
      <c r="H23" s="5">
        <f>'Balance Sheet'!F11/'Summary'!$B$5</f>
        <v/>
      </c>
      <c r="I23" s="5">
        <f>'Balance Sheet'!G11/'Summary'!$B$5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50" customWidth="1" min="8" max="8"/>
  </cols>
  <sheetData>
    <row r="1">
      <c r="A1" s="3" t="inlineStr">
        <is>
          <t>EGP million</t>
        </is>
      </c>
      <c r="B1" s="3" t="inlineStr">
        <is>
          <t>FY2025A</t>
        </is>
      </c>
      <c r="C1" s="3" t="inlineStr">
        <is>
          <t>2026E</t>
        </is>
      </c>
      <c r="D1" s="3" t="inlineStr">
        <is>
          <t>2027E</t>
        </is>
      </c>
      <c r="E1" s="3" t="inlineStr">
        <is>
          <t>2028E</t>
        </is>
      </c>
      <c r="F1" s="3" t="inlineStr">
        <is>
          <t>2029E</t>
        </is>
      </c>
      <c r="G1" s="3" t="inlineStr">
        <is>
          <t>2030E</t>
        </is>
      </c>
      <c r="H1" s="3" t="inlineStr">
        <is>
          <t>note</t>
        </is>
      </c>
    </row>
    <row r="2">
      <c r="A2" s="10" t="inlineStr">
        <is>
          <t>THE BALANCE SHEET DRIVES THE INCOME STATEMENT, NOT THE OTHER WAY ROUND.</t>
        </is>
      </c>
    </row>
    <row r="3">
      <c r="A3" s="4" t="inlineStr">
        <is>
          <t>Financing to customers, closing</t>
        </is>
      </c>
      <c r="B3" s="6" t="n">
        <v>147226.1</v>
      </c>
      <c r="C3" s="6">
        <f>B3*(1+'Assumptions'!B4)</f>
        <v/>
      </c>
      <c r="D3" s="6">
        <f>C3*(1+'Assumptions'!C4)</f>
        <v/>
      </c>
      <c r="E3" s="6">
        <f>D3*(1+'Assumptions'!D4)</f>
        <v/>
      </c>
      <c r="F3" s="6">
        <f>E3*(1+'Assumptions'!E4)</f>
        <v/>
      </c>
      <c r="G3" s="6">
        <f>F3*(1+'Assumptions'!F4)</f>
        <v/>
      </c>
      <c r="H3" s="10" t="inlineStr">
        <is>
          <t>grows at the input rate on Assumptions</t>
        </is>
      </c>
    </row>
    <row r="4">
      <c r="A4" s="4" t="inlineStr">
        <is>
          <t>Total assets, closing</t>
        </is>
      </c>
      <c r="B4" s="6" t="n">
        <v>346711.2</v>
      </c>
      <c r="C4" s="6">
        <f>C3/'Assumptions'!B5</f>
        <v/>
      </c>
      <c r="D4" s="6">
        <f>D3/'Assumptions'!C5</f>
        <v/>
      </c>
      <c r="E4" s="6">
        <f>E3/'Assumptions'!D5</f>
        <v/>
      </c>
      <c r="F4" s="6">
        <f>F3/'Assumptions'!E5</f>
        <v/>
      </c>
      <c r="G4" s="6">
        <f>G3/'Assumptions'!F5</f>
        <v/>
      </c>
    </row>
    <row r="5">
      <c r="A5" s="4" t="inlineStr">
        <is>
          <t>Customers' deposits, closing</t>
        </is>
      </c>
      <c r="B5" s="6" t="n">
        <v>277564.4</v>
      </c>
      <c r="C5" s="6">
        <f>C4/1.24912</f>
        <v/>
      </c>
      <c r="D5" s="6">
        <f>D4/1.24912</f>
        <v/>
      </c>
      <c r="E5" s="6">
        <f>E4/1.24912</f>
        <v/>
      </c>
      <c r="F5" s="6">
        <f>F4/1.24912</f>
        <v/>
      </c>
      <c r="G5" s="6">
        <f>G4/1.24912</f>
        <v/>
      </c>
    </row>
    <row r="6">
      <c r="A6" s="4" t="inlineStr">
        <is>
          <t>Average total assets</t>
        </is>
      </c>
      <c r="C6" s="6">
        <f>AVERAGE(B4,C4)</f>
        <v/>
      </c>
      <c r="D6" s="6">
        <f>AVERAGE(C4,D4)</f>
        <v/>
      </c>
      <c r="E6" s="6">
        <f>AVERAGE(D4,E4)</f>
        <v/>
      </c>
      <c r="F6" s="6">
        <f>AVERAGE(E4,F4)</f>
        <v/>
      </c>
      <c r="G6" s="6">
        <f>AVERAGE(F4,G4)</f>
        <v/>
      </c>
    </row>
    <row r="7">
      <c r="A7" s="4" t="inlineStr">
        <is>
          <t>Average financing</t>
        </is>
      </c>
      <c r="C7" s="6">
        <f>AVERAGE(B3,C3)</f>
        <v/>
      </c>
      <c r="D7" s="6">
        <f>AVERAGE(C3,D3)</f>
        <v/>
      </c>
      <c r="E7" s="6">
        <f>AVERAGE(D3,E3)</f>
        <v/>
      </c>
      <c r="F7" s="6">
        <f>AVERAGE(E3,F3)</f>
        <v/>
      </c>
      <c r="G7" s="6">
        <f>AVERAGE(F3,G3)</f>
        <v/>
      </c>
    </row>
    <row r="8">
      <c r="A8" s="4" t="inlineStr">
        <is>
          <t>Average interest-bearing liabilities</t>
        </is>
      </c>
      <c r="C8" s="6">
        <f>C6*'Assumptions'!$B$9</f>
        <v/>
      </c>
      <c r="D8" s="6">
        <f>D6*'Assumptions'!$B$9</f>
        <v/>
      </c>
      <c r="E8" s="6">
        <f>E6*'Assumptions'!$B$9</f>
        <v/>
      </c>
      <c r="F8" s="6">
        <f>F6*'Assumptions'!$B$9</f>
        <v/>
      </c>
      <c r="G8" s="6">
        <f>G6*'Assumptions'!$B$9</f>
        <v/>
      </c>
    </row>
    <row r="10">
      <c r="A10" s="4" t="inlineStr">
        <is>
          <t>Attributable equity, opening</t>
        </is>
      </c>
      <c r="C10" s="6">
        <f>B11</f>
        <v/>
      </c>
      <c r="D10" s="6">
        <f>C11</f>
        <v/>
      </c>
      <c r="E10" s="6">
        <f>D11</f>
        <v/>
      </c>
      <c r="F10" s="6">
        <f>E11</f>
        <v/>
      </c>
      <c r="G10" s="6">
        <f>F11</f>
        <v/>
      </c>
    </row>
    <row r="11">
      <c r="A11" s="4" t="inlineStr">
        <is>
          <t>Attributable equity, closing</t>
        </is>
      </c>
      <c r="B11" s="6" t="n">
        <v>34596.3</v>
      </c>
      <c r="C11" s="6">
        <f>C4*'Assumptions'!$B$19</f>
        <v/>
      </c>
      <c r="D11" s="6">
        <f>D4*'Assumptions'!$B$19</f>
        <v/>
      </c>
      <c r="E11" s="6">
        <f>E4*'Assumptions'!$B$19</f>
        <v/>
      </c>
      <c r="F11" s="6">
        <f>F4*'Assumptions'!$B$19</f>
        <v/>
      </c>
      <c r="G11" s="6">
        <f>G4*'Assumptions'!$B$19</f>
        <v/>
      </c>
      <c r="H11" s="10" t="inlineStr">
        <is>
          <t>PINNED at the target ratio — the capital a bank must hold</t>
        </is>
      </c>
    </row>
    <row r="12">
      <c r="A12" s="4" t="inlineStr">
        <is>
          <t>Equity build required</t>
        </is>
      </c>
      <c r="C12" s="6">
        <f>C11-C10</f>
        <v/>
      </c>
      <c r="D12" s="6">
        <f>D11-D10</f>
        <v/>
      </c>
      <c r="E12" s="6">
        <f>E11-E10</f>
        <v/>
      </c>
      <c r="F12" s="6">
        <f>F11-F10</f>
        <v/>
      </c>
      <c r="G12" s="6">
        <f>G11-G10</f>
        <v/>
      </c>
    </row>
    <row r="13">
      <c r="A13" s="4" t="inlineStr">
        <is>
          <t>Dividend</t>
        </is>
      </c>
      <c r="C13" s="6">
        <f>'Income Statement'!E14+C14-C12</f>
        <v/>
      </c>
      <c r="D13" s="6">
        <f>'Income Statement'!F14+D14-D12</f>
        <v/>
      </c>
      <c r="E13" s="6">
        <f>'Income Statement'!G14+E14-E12</f>
        <v/>
      </c>
      <c r="F13" s="6">
        <f>'Income Statement'!H14+F14-F12</f>
        <v/>
      </c>
      <c r="G13" s="6">
        <f>'Income Statement'!I14+G14-G12</f>
        <v/>
      </c>
      <c r="H13" s="10" t="inlineStr">
        <is>
          <t>DERIVED: profit plus new shares, less the equity build. Never typed.</t>
        </is>
      </c>
    </row>
    <row r="14">
      <c r="A14" s="4" t="inlineStr">
        <is>
          <t>Capital raised</t>
        </is>
      </c>
      <c r="C14" s="6">
        <f>'Assumptions'!$B$20</f>
        <v/>
      </c>
      <c r="D14" s="6" t="n">
        <v>0</v>
      </c>
      <c r="E14" s="6" t="n">
        <v>0</v>
      </c>
      <c r="F14" s="6" t="n">
        <v>0</v>
      </c>
      <c r="G14" s="6" t="n">
        <v>0</v>
      </c>
    </row>
    <row r="15">
      <c r="A15" s="4" t="inlineStr">
        <is>
          <t>Net flow to shareholders</t>
        </is>
      </c>
      <c r="C15" s="6">
        <f>C13-C14</f>
        <v/>
      </c>
      <c r="D15" s="6">
        <f>D13-D14</f>
        <v/>
      </c>
      <c r="E15" s="6">
        <f>E13-E14</f>
        <v/>
      </c>
      <c r="F15" s="6">
        <f>F13-F14</f>
        <v/>
      </c>
      <c r="G15" s="6">
        <f>G13-G14</f>
        <v/>
      </c>
      <c r="H15" s="10" t="inlineStr">
        <is>
          <t>negative in 2026 because that is the year shareholders paid in</t>
        </is>
      </c>
    </row>
    <row r="16">
      <c r="A16" s="4" t="inlineStr">
        <is>
          <t>Equity / total assets</t>
        </is>
      </c>
      <c r="B16" s="16">
        <f>B11/B4</f>
        <v/>
      </c>
      <c r="C16" s="16">
        <f>C11/C4</f>
        <v/>
      </c>
      <c r="D16" s="16">
        <f>D11/D4</f>
        <v/>
      </c>
      <c r="E16" s="16">
        <f>E11/E4</f>
        <v/>
      </c>
      <c r="F16" s="16">
        <f>F11/F4</f>
        <v/>
      </c>
      <c r="G16" s="16">
        <f>G11/G4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s>
  <sheetData>
    <row r="1">
      <c r="A1" s="3" t="inlineStr">
        <is>
          <t>EGP million</t>
        </is>
      </c>
      <c r="B1" s="3" t="inlineStr">
        <is>
          <t>FY2025A</t>
        </is>
      </c>
      <c r="C1" s="3" t="inlineStr">
        <is>
          <t>2026E</t>
        </is>
      </c>
      <c r="D1" s="3" t="inlineStr">
        <is>
          <t>2027E</t>
        </is>
      </c>
      <c r="E1" s="3" t="inlineStr">
        <is>
          <t>2028E</t>
        </is>
      </c>
      <c r="F1" s="3" t="inlineStr">
        <is>
          <t>2029E</t>
        </is>
      </c>
      <c r="G1" s="3" t="inlineStr">
        <is>
          <t>2030E</t>
        </is>
      </c>
    </row>
    <row r="3">
      <c r="A3" s="7" t="inlineStr">
        <is>
          <t>WHAT THE BANK EARNS AND WHERE IT GOES</t>
        </is>
      </c>
      <c r="B3" s="8" t="n"/>
      <c r="C3" s="8" t="n"/>
      <c r="D3" s="8" t="n"/>
      <c r="E3" s="8" t="n"/>
      <c r="F3" s="8" t="n"/>
      <c r="G3" s="8" t="n"/>
      <c r="H3" s="8" t="n"/>
    </row>
    <row r="4">
      <c r="A4" s="4" t="inlineStr">
        <is>
          <t>Attributable profit</t>
        </is>
      </c>
      <c r="B4" s="6" t="n">
        <v>12588.6</v>
      </c>
      <c r="C4" s="6">
        <f>'Income Statement'!E14</f>
        <v/>
      </c>
      <c r="D4" s="6">
        <f>'Income Statement'!F14</f>
        <v/>
      </c>
      <c r="E4" s="6">
        <f>'Income Statement'!G14</f>
        <v/>
      </c>
      <c r="F4" s="6">
        <f>'Income Statement'!H14</f>
        <v/>
      </c>
      <c r="G4" s="6">
        <f>'Income Statement'!I14</f>
        <v/>
      </c>
    </row>
    <row r="5">
      <c r="A5" s="4" t="inlineStr">
        <is>
          <t>less the equity the balance sheet consumes</t>
        </is>
      </c>
      <c r="C5" s="6">
        <f>-'Balance Sheet'!C12</f>
        <v/>
      </c>
      <c r="D5" s="6">
        <f>-'Balance Sheet'!D12</f>
        <v/>
      </c>
      <c r="E5" s="6">
        <f>-'Balance Sheet'!E12</f>
        <v/>
      </c>
      <c r="F5" s="6">
        <f>-'Balance Sheet'!F12</f>
        <v/>
      </c>
      <c r="G5" s="6">
        <f>-'Balance Sheet'!G12</f>
        <v/>
      </c>
    </row>
    <row r="6">
      <c r="A6" s="4" t="inlineStr">
        <is>
          <t>plus capital raised from shareholders</t>
        </is>
      </c>
      <c r="C6" s="6">
        <f>'Balance Sheet'!C14</f>
        <v/>
      </c>
      <c r="D6" s="6">
        <f>'Balance Sheet'!D14</f>
        <v/>
      </c>
      <c r="E6" s="6">
        <f>'Balance Sheet'!E14</f>
        <v/>
      </c>
      <c r="F6" s="6">
        <f>'Balance Sheet'!F14</f>
        <v/>
      </c>
      <c r="G6" s="6">
        <f>'Balance Sheet'!G14</f>
        <v/>
      </c>
    </row>
    <row r="7">
      <c r="A7" s="4" t="inlineStr">
        <is>
          <t>equals the Dividend</t>
        </is>
      </c>
      <c r="C7" s="6">
        <f>'Balance Sheet'!C13</f>
        <v/>
      </c>
      <c r="D7" s="6">
        <f>'Balance Sheet'!D13</f>
        <v/>
      </c>
      <c r="E7" s="6">
        <f>'Balance Sheet'!E13</f>
        <v/>
      </c>
      <c r="F7" s="6">
        <f>'Balance Sheet'!F13</f>
        <v/>
      </c>
      <c r="G7" s="6">
        <f>'Balance Sheet'!G13</f>
        <v/>
      </c>
    </row>
    <row r="8">
      <c r="A8" s="4" t="inlineStr">
        <is>
          <t>less what shareholders paid in</t>
        </is>
      </c>
      <c r="C8" s="6">
        <f>-'Balance Sheet'!C14</f>
        <v/>
      </c>
      <c r="D8" s="6">
        <f>-'Balance Sheet'!D14</f>
        <v/>
      </c>
      <c r="E8" s="6">
        <f>-'Balance Sheet'!E14</f>
        <v/>
      </c>
      <c r="F8" s="6">
        <f>-'Balance Sheet'!F14</f>
        <v/>
      </c>
      <c r="G8" s="6">
        <f>-'Balance Sheet'!G14</f>
        <v/>
      </c>
    </row>
    <row r="9">
      <c r="A9" s="4" t="inlineStr">
        <is>
          <t>equals the NET FLOW TO SHAREHOLDERS</t>
        </is>
      </c>
      <c r="C9" s="6">
        <f>'Balance Sheet'!C15</f>
        <v/>
      </c>
      <c r="D9" s="6">
        <f>'Balance Sheet'!D15</f>
        <v/>
      </c>
      <c r="E9" s="6">
        <f>'Balance Sheet'!E15</f>
        <v/>
      </c>
      <c r="F9" s="6">
        <f>'Balance Sheet'!F15</f>
        <v/>
      </c>
      <c r="G9" s="6">
        <f>'Balance Sheet'!G15</f>
        <v/>
      </c>
    </row>
    <row r="11">
      <c r="A11" s="4" t="inlineStr">
        <is>
          <t>FILED, FOR COMPARISON — dividends actually paid, FY2025 cash-flow statement</t>
        </is>
      </c>
      <c r="B11" s="6" t="n">
        <v>1055.866</v>
      </c>
    </row>
    <row r="12">
      <c r="A12" s="4" t="inlineStr">
        <is>
          <t>the same, as a share of FY2024 attributable profit</t>
        </is>
      </c>
      <c r="B12" s="9">
        <f>B11/9008.926</f>
        <v/>
      </c>
    </row>
    <row r="13">
      <c r="A13" s="10" t="inlineStr">
        <is>
          <t>This is the external check on the derived payout: the model gives 18.2% for FY2026 against the 11.7% the bank actually paid.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c r="A1" s="3" t="inlineStr">
        <is>
          <t>EGP million</t>
        </is>
      </c>
      <c r="B1" s="3" t="inlineStr">
        <is>
          <t>FY2023A</t>
        </is>
      </c>
      <c r="C1" s="3" t="inlineStr">
        <is>
          <t>FY2024A</t>
        </is>
      </c>
      <c r="D1" s="3" t="inlineStr">
        <is>
          <t>FY2025A</t>
        </is>
      </c>
      <c r="E1" s="3" t="inlineStr">
        <is>
          <t>H1-2026A</t>
        </is>
      </c>
      <c r="F1" s="3" t="inlineStr">
        <is>
          <t>2026E</t>
        </is>
      </c>
      <c r="G1" s="3" t="inlineStr">
        <is>
          <t>2027E</t>
        </is>
      </c>
      <c r="H1" s="3" t="inlineStr">
        <is>
          <t>2028E</t>
        </is>
      </c>
      <c r="I1" s="3" t="inlineStr">
        <is>
          <t>2029E</t>
        </is>
      </c>
      <c r="J1" s="3" t="inlineStr">
        <is>
          <t>2030E</t>
        </is>
      </c>
    </row>
    <row r="3">
      <c r="A3" s="4" t="inlineStr">
        <is>
          <t>Net income from funds</t>
        </is>
      </c>
      <c r="B3" s="6" t="n">
        <v>8924.200000000001</v>
      </c>
      <c r="C3" s="6" t="n">
        <v>15252.6</v>
      </c>
      <c r="D3" s="6" t="n">
        <v>20152.3</v>
      </c>
      <c r="E3" s="6" t="n">
        <v>12253.9</v>
      </c>
      <c r="F3" s="6">
        <f>'Income Statement'!E5</f>
        <v/>
      </c>
      <c r="G3" s="6">
        <f>'Income Statement'!F5</f>
        <v/>
      </c>
      <c r="H3" s="6">
        <f>'Income Statement'!G5</f>
        <v/>
      </c>
      <c r="I3" s="6">
        <f>'Income Statement'!H5</f>
        <v/>
      </c>
      <c r="J3" s="6">
        <f>'Income Statement'!I5</f>
        <v/>
      </c>
    </row>
    <row r="4">
      <c r="A4" s="4" t="inlineStr">
        <is>
          <t>Profit before tax</t>
        </is>
      </c>
      <c r="B4" s="6" t="n">
        <v>6535.4</v>
      </c>
      <c r="C4" s="6" t="n">
        <v>12290.2</v>
      </c>
      <c r="D4" s="6" t="n">
        <v>17482.1</v>
      </c>
      <c r="E4" s="6" t="n">
        <v>10721.8</v>
      </c>
      <c r="F4" s="6">
        <f>'Income Statement'!E11</f>
        <v/>
      </c>
      <c r="G4" s="6">
        <f>'Income Statement'!F11</f>
        <v/>
      </c>
      <c r="H4" s="6">
        <f>'Income Statement'!G11</f>
        <v/>
      </c>
      <c r="I4" s="6">
        <f>'Income Statement'!H11</f>
        <v/>
      </c>
      <c r="J4" s="6">
        <f>'Income Statement'!I11</f>
        <v/>
      </c>
    </row>
    <row r="5">
      <c r="A5" s="4" t="inlineStr">
        <is>
          <t>Attributable profit</t>
        </is>
      </c>
      <c r="B5" s="6" t="n">
        <v>4670.7</v>
      </c>
      <c r="C5" s="6" t="n">
        <v>9008.9</v>
      </c>
      <c r="D5" s="6" t="n">
        <v>12588.6</v>
      </c>
      <c r="E5" s="6" t="n">
        <v>7536.8</v>
      </c>
      <c r="F5" s="6">
        <f>'Income Statement'!E14</f>
        <v/>
      </c>
      <c r="G5" s="6">
        <f>'Income Statement'!F14</f>
        <v/>
      </c>
      <c r="H5" s="6">
        <f>'Income Statement'!G14</f>
        <v/>
      </c>
      <c r="I5" s="6">
        <f>'Income Statement'!H14</f>
        <v/>
      </c>
      <c r="J5" s="6">
        <f>'Income Statement'!I14</f>
        <v/>
      </c>
    </row>
    <row r="6">
      <c r="A6" s="4" t="inlineStr">
        <is>
          <t>Financing to customers</t>
        </is>
      </c>
      <c r="B6" s="6" t="n">
        <v>63099.8</v>
      </c>
      <c r="C6" s="6" t="n">
        <v>95691.10000000001</v>
      </c>
      <c r="D6" s="6" t="n">
        <v>147226.1</v>
      </c>
      <c r="E6" s="6" t="n">
        <v>190427.1</v>
      </c>
      <c r="F6" s="6">
        <f>'Balance Sheet'!C3</f>
        <v/>
      </c>
      <c r="G6" s="6">
        <f>'Balance Sheet'!D3</f>
        <v/>
      </c>
      <c r="H6" s="6">
        <f>'Balance Sheet'!E3</f>
        <v/>
      </c>
      <c r="I6" s="6">
        <f>'Balance Sheet'!F3</f>
        <v/>
      </c>
      <c r="J6" s="6">
        <f>'Balance Sheet'!G3</f>
        <v/>
      </c>
    </row>
    <row r="7">
      <c r="A7" s="4" t="inlineStr">
        <is>
          <t>Total assets</t>
        </is>
      </c>
      <c r="B7" s="6" t="n">
        <v>162254.7</v>
      </c>
      <c r="C7" s="6" t="n">
        <v>260467.1</v>
      </c>
      <c r="D7" s="6" t="n">
        <v>346711.2</v>
      </c>
      <c r="E7" s="6" t="n">
        <v>414302.1</v>
      </c>
      <c r="F7" s="6">
        <f>'Balance Sheet'!C4</f>
        <v/>
      </c>
      <c r="G7" s="6">
        <f>'Balance Sheet'!D4</f>
        <v/>
      </c>
      <c r="H7" s="6">
        <f>'Balance Sheet'!E4</f>
        <v/>
      </c>
      <c r="I7" s="6">
        <f>'Balance Sheet'!F4</f>
        <v/>
      </c>
      <c r="J7" s="6">
        <f>'Balance Sheet'!G4</f>
        <v/>
      </c>
    </row>
    <row r="8">
      <c r="A8" s="4" t="inlineStr">
        <is>
          <t>Attributable equity</t>
        </is>
      </c>
      <c r="B8" s="6" t="n">
        <v>14344.8</v>
      </c>
      <c r="C8" s="6" t="n">
        <v>22958.7</v>
      </c>
      <c r="D8" s="6" t="n">
        <v>34596.3</v>
      </c>
      <c r="E8" s="6" t="n">
        <v>43557.9</v>
      </c>
      <c r="F8" s="6">
        <f>'Balance Sheet'!C11</f>
        <v/>
      </c>
      <c r="G8" s="6">
        <f>'Balance Sheet'!D11</f>
        <v/>
      </c>
      <c r="H8" s="6">
        <f>'Balance Sheet'!E11</f>
        <v/>
      </c>
      <c r="I8" s="6">
        <f>'Balance Sheet'!F11</f>
        <v/>
      </c>
      <c r="J8" s="6">
        <f>'Balance Sheet'!G11</f>
        <v/>
      </c>
    </row>
    <row r="10">
      <c r="A10" s="7" t="inlineStr">
        <is>
          <t>THE RATIOS — outputs</t>
        </is>
      </c>
      <c r="B10" s="8" t="n"/>
      <c r="C10" s="8" t="n"/>
      <c r="D10" s="8" t="n"/>
      <c r="E10" s="8" t="n"/>
      <c r="F10" s="8" t="n"/>
      <c r="G10" s="8" t="n"/>
      <c r="H10" s="8" t="n"/>
    </row>
    <row r="11">
      <c r="A11" s="4" t="inlineStr">
        <is>
          <t>Net interest margin</t>
        </is>
      </c>
      <c r="D11" s="16" t="n">
        <v>0.06637999999999999</v>
      </c>
      <c r="F11" s="16">
        <f>'Income Statement'!E17</f>
        <v/>
      </c>
      <c r="G11" s="16">
        <f>'Income Statement'!F17</f>
        <v/>
      </c>
      <c r="H11" s="16">
        <f>'Income Statement'!G17</f>
        <v/>
      </c>
      <c r="I11" s="16">
        <f>'Income Statement'!H17</f>
        <v/>
      </c>
      <c r="J11" s="16">
        <f>'Income Statement'!I17</f>
        <v/>
      </c>
    </row>
    <row r="12">
      <c r="A12" s="4" t="inlineStr">
        <is>
          <t>Cost-to-income</t>
        </is>
      </c>
      <c r="D12" s="9" t="n">
        <v>0.14537</v>
      </c>
      <c r="F12" s="9">
        <f>'Income Statement'!E18</f>
        <v/>
      </c>
      <c r="G12" s="9">
        <f>'Income Statement'!F18</f>
        <v/>
      </c>
      <c r="H12" s="9">
        <f>'Income Statement'!G18</f>
        <v/>
      </c>
      <c r="I12" s="9">
        <f>'Income Statement'!H18</f>
        <v/>
      </c>
      <c r="J12" s="9">
        <f>'Income Statement'!I18</f>
        <v/>
      </c>
    </row>
    <row r="13">
      <c r="A13" s="4" t="inlineStr">
        <is>
          <t>Return on average equity</t>
        </is>
      </c>
      <c r="D13" s="9" t="n">
        <v>0.43745</v>
      </c>
      <c r="F13" s="9">
        <f>'Income Statement'!E20</f>
        <v/>
      </c>
      <c r="G13" s="9">
        <f>'Income Statement'!F20</f>
        <v/>
      </c>
      <c r="H13" s="9">
        <f>'Income Statement'!G20</f>
        <v/>
      </c>
      <c r="I13" s="9">
        <f>'Income Statement'!H20</f>
        <v/>
      </c>
      <c r="J13" s="9">
        <f>'Income Statement'!I20</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40" customWidth="1" min="1" max="1"/>
    <col width="14" customWidth="1" min="2" max="2"/>
    <col width="12" customWidth="1" min="3" max="3"/>
    <col width="12" customWidth="1" min="4" max="4"/>
    <col width="12" customWidth="1" min="5" max="5"/>
    <col width="12" customWidth="1" min="6" max="6"/>
    <col width="12" customWidth="1" min="7" max="7"/>
  </cols>
  <sheetData>
    <row r="1">
      <c r="A1" s="3" t="inlineStr">
        <is>
          <t>The probability map — the price engine, not the valuation</t>
        </is>
      </c>
      <c r="B1" s="3" t="inlineStr"/>
      <c r="C1" s="3" t="inlineStr"/>
      <c r="D1" s="3" t="inlineStr"/>
      <c r="E1" s="3" t="inlineStr"/>
      <c r="F1" s="3" t="inlineStr"/>
      <c r="G1" s="3" t="inlineStr"/>
    </row>
    <row r="3">
      <c r="A3" s="4" t="inlineStr">
        <is>
          <t>Anchor price</t>
        </is>
      </c>
      <c r="B3" s="5" t="n">
        <v>54.4</v>
      </c>
      <c r="C3" s="10" t="inlineStr">
        <is>
          <t>close of 2026-08-23</t>
        </is>
      </c>
    </row>
    <row r="4">
      <c r="A4" s="4" t="inlineStr">
        <is>
          <t>Clean sessions in the history</t>
        </is>
      </c>
      <c r="B4" s="6" t="n">
        <v>3762</v>
      </c>
    </row>
    <row r="5">
      <c r="A5" s="4" t="inlineStr">
        <is>
          <t>Shape parameter (degrees of freedom)</t>
        </is>
      </c>
      <c r="B5" s="5" t="n">
        <v>5</v>
      </c>
      <c r="C5" s="10" t="inlineStr">
        <is>
          <t>read live from the engine registry, fitted on the Egyptian panel — not chosen here</t>
        </is>
      </c>
    </row>
    <row r="6">
      <c r="A6" s="4" t="inlineStr">
        <is>
          <t>Width calibration</t>
        </is>
      </c>
      <c r="B6" s="19" t="n">
        <v>0.951</v>
      </c>
    </row>
    <row r="7">
      <c r="A7" s="4" t="inlineStr">
        <is>
          <t>Per-stock width overlay</t>
        </is>
      </c>
      <c r="B7" s="11" t="n">
        <v>0.9909035753351583</v>
      </c>
    </row>
    <row r="8">
      <c r="A8" s="4" t="inlineStr">
        <is>
          <t>Risk-free carry / dividend yield</t>
        </is>
      </c>
      <c r="B8" s="16" t="n">
        <v>0.195</v>
      </c>
      <c r="C8" s="16" t="n">
        <v>0.0135237399935959</v>
      </c>
    </row>
    <row r="10">
      <c r="A10" s="3" t="inlineStr">
        <is>
          <t>Horizon</t>
        </is>
      </c>
      <c r="B10" s="3" t="inlineStr">
        <is>
          <t>Resolves</t>
        </is>
      </c>
      <c r="C10" s="3" t="inlineStr">
        <is>
          <t>5th</t>
        </is>
      </c>
      <c r="D10" s="3" t="inlineStr">
        <is>
          <t>25th</t>
        </is>
      </c>
      <c r="E10" s="3" t="inlineStr">
        <is>
          <t>Median</t>
        </is>
      </c>
      <c r="F10" s="3" t="inlineStr">
        <is>
          <t>75th</t>
        </is>
      </c>
      <c r="G10" s="3" t="inlineStr">
        <is>
          <t>95th</t>
        </is>
      </c>
    </row>
    <row r="11">
      <c r="A11" s="4" t="inlineStr">
        <is>
          <t>1 month</t>
        </is>
      </c>
      <c r="B11" t="inlineStr">
        <is>
          <t>2026-09-23</t>
        </is>
      </c>
      <c r="C11" s="5" t="n">
        <v>46.98</v>
      </c>
      <c r="D11" s="5" t="n">
        <v>52.4</v>
      </c>
      <c r="E11" s="5" t="n">
        <v>55.69</v>
      </c>
      <c r="F11" s="5" t="n">
        <v>59.23</v>
      </c>
      <c r="G11" s="5" t="n">
        <v>66.06</v>
      </c>
    </row>
    <row r="12">
      <c r="A12" s="4" t="inlineStr">
        <is>
          <t>3 months</t>
        </is>
      </c>
      <c r="B12" t="inlineStr">
        <is>
          <t>2026-11-23</t>
        </is>
      </c>
      <c r="C12" s="5" t="n">
        <v>42.27</v>
      </c>
      <c r="D12" s="5" t="n">
        <v>51.66</v>
      </c>
      <c r="E12" s="5" t="n">
        <v>57.83</v>
      </c>
      <c r="F12" s="5" t="n">
        <v>64.72</v>
      </c>
      <c r="G12" s="5" t="n">
        <v>78.98</v>
      </c>
    </row>
    <row r="14">
      <c r="A14" s="10" t="inlineStr">
        <is>
          <t>THIS IS A DIFFERENT LENS FROM THE VALUATION AND IT IS NOT COMBINED WITH IT. It is a 50,000-path simulation of where the price goes, with a drift equal to the Egyptian carry and no view of direction beyond that. It is anchored on the 23 August close because that is the last session in the price history; the fair value is struck against the 3 September close. Two clocks.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46" customWidth="1" min="1" max="1"/>
    <col width="16" customWidth="1" min="2" max="2"/>
    <col width="16" customWidth="1" min="3" max="3"/>
  </cols>
  <sheetData>
    <row r="1">
      <c r="A1" s="3" t="inlineStr">
        <is>
          <t>What moves the answer</t>
        </is>
      </c>
      <c r="B1" s="3" t="inlineStr">
        <is>
          <t>Central</t>
        </is>
      </c>
      <c r="C1" s="3" t="inlineStr">
        <is>
          <t>Change</t>
        </is>
      </c>
    </row>
    <row r="3">
      <c r="A3" s="4" t="inlineStr">
        <is>
          <t>cost of risk +50bp</t>
        </is>
      </c>
      <c r="B3" s="5" t="n">
        <v>39.4647</v>
      </c>
      <c r="C3" s="9" t="n">
        <v>-0.112375</v>
      </c>
    </row>
    <row r="4">
      <c r="A4" s="4" t="inlineStr">
        <is>
          <t>cost of risk -50bp</t>
        </is>
      </c>
      <c r="B4" s="5" t="n">
        <v>49.4573</v>
      </c>
      <c r="C4" s="9" t="n">
        <v>0.112375</v>
      </c>
    </row>
    <row r="5">
      <c r="A5" s="4" t="inlineStr">
        <is>
          <t>asset yield -50bp</t>
        </is>
      </c>
      <c r="B5" s="5" t="n">
        <v>34.569</v>
      </c>
      <c r="C5" s="9" t="n">
        <v>-0.222486</v>
      </c>
    </row>
    <row r="6">
      <c r="A6" s="4" t="inlineStr">
        <is>
          <t>asset yield +50bp</t>
        </is>
      </c>
      <c r="B6" s="5" t="n">
        <v>54.3529</v>
      </c>
      <c r="C6" s="9" t="n">
        <v>0.222486</v>
      </c>
    </row>
    <row r="7">
      <c r="A7" s="4" t="inlineStr">
        <is>
          <t>cost of funds +50bp</t>
        </is>
      </c>
      <c r="B7" s="5" t="n">
        <v>36.0034</v>
      </c>
      <c r="C7" s="9" t="n">
        <v>-0.190225</v>
      </c>
    </row>
    <row r="8">
      <c r="A8" s="4" t="inlineStr">
        <is>
          <t>cost of funds -50bp</t>
        </is>
      </c>
      <c r="B8" s="5" t="n">
        <v>52.9186</v>
      </c>
      <c r="C8" s="9" t="n">
        <v>0.190225</v>
      </c>
    </row>
    <row r="9">
      <c r="A9" s="4" t="inlineStr">
        <is>
          <t>financing growth -5pp/yr</t>
        </is>
      </c>
      <c r="B9" s="5" t="n">
        <v>38.7004</v>
      </c>
      <c r="C9" s="9" t="n">
        <v>-0.129564</v>
      </c>
    </row>
    <row r="10">
      <c r="A10" s="4" t="inlineStr">
        <is>
          <t>financing growth +5pp/yr</t>
        </is>
      </c>
      <c r="B10" s="5" t="n">
        <v>50.9691</v>
      </c>
      <c r="C10" s="9" t="n">
        <v>0.146378</v>
      </c>
    </row>
    <row r="11">
      <c r="A11" s="4" t="inlineStr">
        <is>
          <t>risk-free +200bp</t>
        </is>
      </c>
      <c r="B11" s="5" t="n">
        <v>36.6044</v>
      </c>
      <c r="C11" s="9" t="n">
        <v>-0.176707</v>
      </c>
    </row>
    <row r="12">
      <c r="A12" s="4" t="inlineStr">
        <is>
          <t>risk-free -200bp</t>
        </is>
      </c>
      <c r="B12" s="5" t="n">
        <v>55.9735</v>
      </c>
      <c r="C12" s="9" t="n">
        <v>0.258936</v>
      </c>
    </row>
    <row r="13">
      <c r="A13" s="4" t="inlineStr">
        <is>
          <t>terminal growth +100bp</t>
        </is>
      </c>
      <c r="B13" s="5" t="n">
        <v>46.0776</v>
      </c>
      <c r="C13" s="9" t="n">
        <v>0.036361</v>
      </c>
    </row>
    <row r="14">
      <c r="A14" s="4" t="inlineStr">
        <is>
          <t>terminal growth -100bp</t>
        </is>
      </c>
      <c r="B14" s="5" t="n">
        <v>43.0861</v>
      </c>
      <c r="C14" s="9" t="n">
        <v>-0.030924</v>
      </c>
    </row>
    <row r="16">
      <c r="A16" s="10" t="inlineStr">
        <is>
          <t>THE SENSITIVITIES MOVE THE PRIMARY LENS, not a blend. Change any blue cell on Assumptions to reproduce one of these rows live.</t>
        </is>
      </c>
    </row>
    <row r="18">
      <c r="A18" s="7" t="inlineStr">
        <is>
          <t>TWO-WAY: value per share against the cost of risk and the asset yield</t>
        </is>
      </c>
      <c r="B18" s="8" t="n"/>
      <c r="C18" s="8" t="n"/>
      <c r="D18" s="8" t="n"/>
      <c r="E18" s="8" t="n"/>
      <c r="F18" s="8" t="n"/>
      <c r="G18" s="8" t="n"/>
      <c r="H18" s="8" t="n"/>
    </row>
    <row r="19">
      <c r="A19" s="4" t="inlineStr">
        <is>
          <t>cost of risk (2027-30) →</t>
        </is>
      </c>
      <c r="B19" s="16" t="n">
        <v>0.008</v>
      </c>
      <c r="C19" s="16" t="n">
        <v>0.011</v>
      </c>
      <c r="D19" s="16" t="n">
        <v>0.013</v>
      </c>
      <c r="E19" s="16" t="n">
        <v>0.015</v>
      </c>
      <c r="F19" s="16" t="n">
        <v>0.018</v>
      </c>
    </row>
    <row r="20">
      <c r="A20" s="4" t="inlineStr">
        <is>
          <t>asset yield -1.00%</t>
        </is>
      </c>
      <c r="B20" s="5" t="inlineStr"/>
      <c r="C20" s="5" t="inlineStr"/>
      <c r="D20" s="5" t="inlineStr"/>
      <c r="E20" s="5" t="inlineStr"/>
      <c r="F20" s="5" t="inlineStr"/>
    </row>
    <row r="21">
      <c r="A21" s="4" t="inlineStr">
        <is>
          <t>asset yield -0.50%</t>
        </is>
      </c>
      <c r="B21" s="5" t="inlineStr"/>
      <c r="C21" s="5" t="inlineStr"/>
      <c r="D21" s="5" t="inlineStr"/>
      <c r="E21" s="5" t="inlineStr"/>
      <c r="F21" s="5" t="inlineStr"/>
    </row>
    <row r="22">
      <c r="A22" s="4" t="inlineStr">
        <is>
          <t>asset yield +0.00%</t>
        </is>
      </c>
      <c r="B22" s="5" t="inlineStr"/>
      <c r="C22" s="5" t="inlineStr"/>
      <c r="D22" s="5" t="inlineStr"/>
      <c r="E22" s="5" t="inlineStr"/>
      <c r="F22" s="5" t="inlineStr"/>
    </row>
    <row r="23">
      <c r="A23" s="4" t="inlineStr">
        <is>
          <t>asset yield +0.50%</t>
        </is>
      </c>
      <c r="B23" s="5" t="inlineStr"/>
      <c r="C23" s="5" t="inlineStr"/>
      <c r="D23" s="5" t="inlineStr"/>
      <c r="E23" s="5" t="inlineStr"/>
      <c r="F23" s="5" t="inlineStr"/>
    </row>
    <row r="24">
      <c r="A24" s="4" t="inlineStr">
        <is>
          <t>asset yield +1.00%</t>
        </is>
      </c>
      <c r="B24" s="5" t="inlineStr"/>
      <c r="C24" s="5" t="inlineStr"/>
      <c r="D24" s="5" t="inlineStr"/>
      <c r="E24" s="5" t="inlineStr"/>
      <c r="F24" s="5" t="inlineStr"/>
    </row>
    <row r="25">
      <c r="A25" s="10" t="inlineStr">
        <is>
          <t>The grid is left for the reader to fill by changing the two blue rows on Assumptions: a pre-computed grid would be a picture of a model rather than the model.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s>
  <sheetData>
    <row r="1">
      <c r="A1" s="3" t="inlineStr">
        <is>
          <t>Per share, EGP</t>
        </is>
      </c>
      <c r="B1" s="3" t="inlineStr">
        <is>
          <t>FY2025A</t>
        </is>
      </c>
      <c r="C1" s="3" t="inlineStr">
        <is>
          <t>2026E</t>
        </is>
      </c>
      <c r="D1" s="3" t="inlineStr">
        <is>
          <t>2027E</t>
        </is>
      </c>
      <c r="E1" s="3" t="inlineStr">
        <is>
          <t>2028E</t>
        </is>
      </c>
      <c r="F1" s="3" t="inlineStr">
        <is>
          <t>2029E</t>
        </is>
      </c>
      <c r="G1" s="3" t="inlineStr">
        <is>
          <t>2030E</t>
        </is>
      </c>
    </row>
    <row r="3">
      <c r="A3" s="4" t="inlineStr">
        <is>
          <t>Earnings</t>
        </is>
      </c>
      <c r="B3" s="5" t="n">
        <v>8.391999999999999</v>
      </c>
      <c r="C3" s="5">
        <f>'Income Statement'!E21</f>
        <v/>
      </c>
      <c r="D3" s="5">
        <f>'Income Statement'!F21</f>
        <v/>
      </c>
      <c r="E3" s="5">
        <f>'Income Statement'!G21</f>
        <v/>
      </c>
      <c r="F3" s="5">
        <f>'Income Statement'!H21</f>
        <v/>
      </c>
      <c r="G3" s="5">
        <f>'Income Statement'!I21</f>
        <v/>
      </c>
    </row>
    <row r="4">
      <c r="A4" s="4" t="inlineStr">
        <is>
          <t>Dividend</t>
        </is>
      </c>
      <c r="B4" s="5" t="n">
        <v>0.704</v>
      </c>
      <c r="C4" s="5">
        <f>'Income Statement'!E22</f>
        <v/>
      </c>
      <c r="D4" s="5">
        <f>'Income Statement'!F22</f>
        <v/>
      </c>
      <c r="E4" s="5">
        <f>'Income Statement'!G22</f>
        <v/>
      </c>
      <c r="F4" s="5">
        <f>'Income Statement'!H22</f>
        <v/>
      </c>
      <c r="G4" s="5">
        <f>'Income Statement'!I22</f>
        <v/>
      </c>
    </row>
    <row r="5">
      <c r="A5" s="4" t="inlineStr">
        <is>
          <t>Book value</t>
        </is>
      </c>
      <c r="B5" s="5" t="n">
        <v>23.064</v>
      </c>
      <c r="C5" s="5">
        <f>'Income Statement'!E23</f>
        <v/>
      </c>
      <c r="D5" s="5">
        <f>'Income Statement'!F23</f>
        <v/>
      </c>
      <c r="E5" s="5">
        <f>'Income Statement'!G23</f>
        <v/>
      </c>
      <c r="F5" s="5">
        <f>'Income Statement'!H23</f>
        <v/>
      </c>
      <c r="G5" s="5">
        <f>'Income Statement'!I23</f>
        <v/>
      </c>
    </row>
    <row r="7">
      <c r="A7" s="7" t="inlineStr">
        <is>
          <t>AT THE CENTRAL, AND AT THE MARKET</t>
        </is>
      </c>
      <c r="B7" s="8" t="n"/>
      <c r="C7" s="8" t="n"/>
      <c r="D7" s="8" t="n"/>
      <c r="E7" s="8" t="n"/>
      <c r="F7" s="8" t="n"/>
      <c r="G7" s="8" t="n"/>
      <c r="H7" s="8" t="n"/>
    </row>
    <row r="8">
      <c r="A8" s="4" t="inlineStr">
        <is>
          <t>Price / forecast 2026 book</t>
        </is>
      </c>
      <c r="B8" s="5">
        <f>'Summary'!B18/'Income Statement'!E23</f>
        <v/>
      </c>
      <c r="C8" s="5">
        <f>'Summary'!B4/'Income Statement'!E23</f>
        <v/>
      </c>
      <c r="D8" s="10" t="inlineStr">
        <is>
          <t>at the central | at the market</t>
        </is>
      </c>
    </row>
    <row r="9">
      <c r="A9" s="4" t="inlineStr">
        <is>
          <t>Price / forecast 2026 earnings</t>
        </is>
      </c>
      <c r="B9" s="5">
        <f>'Summary'!B18/'Income Statement'!E21</f>
        <v/>
      </c>
      <c r="C9" s="5">
        <f>'Summary'!B4/'Income Statement'!E21</f>
        <v/>
      </c>
    </row>
    <row r="10">
      <c r="A10" s="4" t="inlineStr">
        <is>
          <t>Gordon price-to-book at the 2026 return and first-year cost of equity</t>
        </is>
      </c>
      <c r="B10" s="5">
        <f>('Income Statement'!E20-'Assumptions'!$B$31)/('Assumptions'!B35-'Assumptions'!$B$31)</f>
        <v/>
      </c>
      <c r="D10" s="10" t="inlineStr">
        <is>
          <t>the multiple the model's own arithmetic supports</t>
        </is>
      </c>
    </row>
    <row r="12">
      <c r="A12" s="7" t="inlineStr">
        <is>
          <t>YEARS THREE TO FIVE AS RANGES — from the walk-forward's own error spread</t>
        </is>
      </c>
      <c r="B12" s="8" t="n"/>
      <c r="C12" s="8" t="n"/>
      <c r="D12" s="8" t="n"/>
      <c r="E12" s="8" t="n"/>
      <c r="F12" s="8" t="n"/>
      <c r="G12" s="8" t="n"/>
      <c r="H12" s="8" t="n"/>
    </row>
    <row r="13">
      <c r="A13" s="3" t="inlineStr">
        <is>
          <t>Attributable profit, EGP million</t>
        </is>
      </c>
      <c r="B13" s="3" t="inlineStr">
        <is>
          <t>Low</t>
        </is>
      </c>
      <c r="C13" s="3" t="inlineStr">
        <is>
          <t>Point</t>
        </is>
      </c>
      <c r="D13" s="3" t="inlineStr">
        <is>
          <t>High</t>
        </is>
      </c>
      <c r="E13" s="3" t="inlineStr">
        <is>
          <t>Cells measured</t>
        </is>
      </c>
    </row>
    <row r="14">
      <c r="A14" s="4" t="inlineStr">
        <is>
          <t>2028</t>
        </is>
      </c>
      <c r="B14" s="6" t="n">
        <v>4986</v>
      </c>
      <c r="C14" s="6" t="n">
        <v>17161</v>
      </c>
      <c r="D14" s="6" t="n">
        <v>25394</v>
      </c>
      <c r="E14" s="6" t="n">
        <v>8</v>
      </c>
    </row>
    <row r="15">
      <c r="A15" s="4" t="inlineStr">
        <is>
          <t>2029</t>
        </is>
      </c>
      <c r="B15" s="6" t="n">
        <v>7747</v>
      </c>
      <c r="C15" s="6" t="n">
        <v>18753</v>
      </c>
      <c r="D15" s="6" t="n">
        <v>43995</v>
      </c>
      <c r="E15" s="6" t="n">
        <v>7</v>
      </c>
    </row>
    <row r="16">
      <c r="A16" s="4" t="inlineStr">
        <is>
          <t>2030</t>
        </is>
      </c>
      <c r="B16" s="6" t="n">
        <v>10762</v>
      </c>
      <c r="C16" s="6" t="n">
        <v>20042</v>
      </c>
      <c r="D16" s="6" t="n">
        <v>49448</v>
      </c>
      <c r="E16" s="6" t="n">
        <v>6</v>
      </c>
    </row>
    <row r="17">
      <c r="A17" s="10" t="inlineStr">
        <is>
          <t>engine/adib_walkforward/forward_ranges.json — the FUNDAMENTAL walk-forward's own attributable-profit error dispersion, centred on its own median. Not the price-engine walk-forward and not the technical one.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0" customWidth="1" min="1" max="1"/>
    <col width="12" customWidth="1" min="2" max="2"/>
    <col width="14" customWidth="1" min="3" max="3"/>
    <col width="36" customWidth="1" min="4" max="4"/>
    <col width="44" customWidth="1" min="5" max="5"/>
  </cols>
  <sheetData>
    <row r="1">
      <c r="A1" s="3" t="inlineStr">
        <is>
          <t>Peer</t>
        </is>
      </c>
      <c r="B1" s="3" t="inlineStr">
        <is>
          <t>Price</t>
        </is>
      </c>
      <c r="C1" s="3" t="inlineStr">
        <is>
          <t>Date</t>
        </is>
      </c>
      <c r="D1" s="3" t="inlineStr">
        <is>
          <t>What is held</t>
        </is>
      </c>
      <c r="E1" s="3" t="inlineStr">
        <is>
          <t>What is NOT</t>
        </is>
      </c>
    </row>
    <row r="3">
      <c r="A3" s="4" t="inlineStr">
        <is>
          <t>ADIB-Egypt (EGX: ADIB)</t>
        </is>
      </c>
      <c r="B3" s="5" t="n">
        <v>52.05</v>
      </c>
      <c r="C3" t="inlineStr">
        <is>
          <t>2026-09-03</t>
        </is>
      </c>
      <c r="D3" t="inlineStr">
        <is>
          <t>price, and sixteen years of audited statements</t>
        </is>
      </c>
      <c r="E3" t="inlineStr">
        <is>
          <t>—</t>
        </is>
      </c>
    </row>
    <row r="4">
      <c r="A4" s="4" t="inlineStr">
        <is>
          <t>Commercial International Bank (COMI)</t>
        </is>
      </c>
      <c r="B4" s="5" t="n">
        <v>138.98</v>
      </c>
      <c r="C4" t="inlineStr">
        <is>
          <t>2026-09-03</t>
        </is>
      </c>
      <c r="D4" t="inlineStr">
        <is>
          <t>price only, same file and same day</t>
        </is>
      </c>
      <c r="E4" t="inlineStr">
        <is>
          <t>book value, earnings, capital — none sourced on the study date</t>
        </is>
      </c>
    </row>
    <row r="5">
      <c r="A5" s="4" t="inlineStr">
        <is>
          <t>Every other listed Egyptian bank</t>
        </is>
      </c>
      <c r="B5" t="inlineStr">
        <is>
          <t>—</t>
        </is>
      </c>
      <c r="C5" t="inlineStr">
        <is>
          <t>—</t>
        </is>
      </c>
      <c r="D5" t="inlineStr">
        <is>
          <t>nothing on the study date</t>
        </is>
      </c>
      <c r="E5" t="inlineStr">
        <is>
          <t>not sourced, and not substituted from memory</t>
        </is>
      </c>
    </row>
    <row r="7">
      <c r="A7" s="4" t="inlineStr">
        <is>
          <t>THE BAND USED, AND WHY IT IS A BAND</t>
        </is>
      </c>
    </row>
    <row r="8" ht="60" customHeight="1">
      <c r="A8" s="20" t="inlineStr">
        <is>
          <t>The price-to-book band Egyptian large-cap banks trade in. It is a BAND and not a point because this study could not source a same-day book value for any Egyptian bank other than ADIB itself: the only peer whose price it holds on the same day is CIB, and CIB's own book value is not in this repository. The band is carried as a cross-check on the two cash-flow lenses, weighted at 15%, and it is NOT allowed to set the answer. Where a multiple cannot be sourced it is said so rather than filled in.</t>
        </is>
      </c>
    </row>
    <row r="10">
      <c r="A10" s="7" t="inlineStr">
        <is>
          <t>THE SECTOR FRAME</t>
        </is>
      </c>
      <c r="B10" s="8" t="n"/>
      <c r="C10" s="8" t="n"/>
      <c r="D10" s="8" t="n"/>
      <c r="E10" s="8" t="n"/>
      <c r="F10" s="8" t="n"/>
      <c r="G10" s="8" t="n"/>
      <c r="H10" s="8" t="n"/>
    </row>
    <row r="11" ht="30" customHeight="1">
      <c r="A11" s="20" t="inlineStr">
        <is>
          <t>Egyptian private-sector credit is about 26% of GDP, down from 36% in 2009: the banking system has shrunk relative to the economy for fifteen years while the government absorbed the savings.</t>
        </is>
      </c>
    </row>
    <row r="12" ht="30" customHeight="1">
      <c r="A12" s="20" t="inlineStr">
        <is>
          <t>ADIB-Egypt is about 3.14% of that system credit and rising. The forecast takes it to about 4.42% by 2030, at a rate that decays to zero.</t>
        </is>
      </c>
    </row>
    <row r="13" ht="30" customHeight="1">
      <c r="A13" s="20" t="inlineStr">
        <is>
          <t>A reader who believes credit deepening resumes should read the growth path as conservative; a reader who believes the crowding-out continues should read it the other 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2026-09-13T14:15:00Z</dcterms:created>
  <dcterms:modified xmlns:dcterms="http://purl.org/dc/terms/" xmlns:xsi="http://www.w3.org/2001/XMLSchema-instance" xsi:type="dcterms:W3CDTF">2026-09-13T14:15:00Z</dcterms:modified>
</cp:coreProperties>
</file>