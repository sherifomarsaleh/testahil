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'Assumptions'!B36</f>
        <v/>
      </c>
      <c r="E5" s="11">
        <f>'Assumptions'!C36</f>
        <v/>
      </c>
      <c r="F5" s="11">
        <f>'Assumptions'!D36</f>
        <v/>
      </c>
      <c r="G5" s="11">
        <f>'Assumptions'!E36</f>
        <v/>
      </c>
      <c r="H5" s="11">
        <f>'Assumptions'!F36</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1-'Assumptions'!$B$31/B8</f>
        <v/>
      </c>
    </row>
    <row r="10">
      <c r="A10" s="4" t="inlineStr">
        <is>
          <t>Terminal value</t>
        </is>
      </c>
      <c r="B10" s="6">
        <f>'Income Statement'!I14*(1+'Assumptions'!$B$31)*B9/('Assumptions'!$B$34-'Assumptions'!$B$31)</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Statement'!I14*(1+'Assumptions'!$B$31)-'Assumptions'!$B$19*'Balance Sheet'!G4*'Assumptions'!$B$31)/('Assumptions'!$B$34-'Assumptions'!$B$31)</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Statement'!E14-'Assumptions'!B35*'Balance Sheet'!C10</f>
        <v/>
      </c>
      <c r="E21" s="6">
        <f>'Income Statement'!F14-'Assumptions'!C35*'Balance Sheet'!D10</f>
        <v/>
      </c>
      <c r="F21" s="6">
        <f>'Income Statement'!G14-'Assumptions'!D35*'Balance Sheet'!E10</f>
        <v/>
      </c>
      <c r="G21" s="6">
        <f>'Income Statement'!H14-'Assumptions'!E35*'Balance Sheet'!F10</f>
        <v/>
      </c>
      <c r="H21" s="6">
        <f>'Income Statement'!I14-'Assumptions'!F35*'Balance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Statement'!I14-'Assumptions'!$B$34*'Balance Sheet'!G10)*(1+'Assumptions'!$B$31)/('Assumptions'!$B$34-'Assumptions'!$B$31))*H5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29.57%.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0.09000000000000001</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 xml:space="preserve">   of which the MATURE premium — beta applies to this leg only</t>
        </is>
      </c>
      <c r="B28" s="13" t="n">
        <v>0.04318</v>
      </c>
      <c r="G28" s="10" t="inlineStr">
        <is>
          <t>Damodaran identity: total premium less the country leg</t>
        </is>
      </c>
    </row>
    <row r="29">
      <c r="A29" s="4" t="inlineStr">
        <is>
          <t>Egypt country premium — charged FLAT, once, never multiplied by beta</t>
        </is>
      </c>
      <c r="B29" s="13" t="n">
        <v>0.051984</v>
      </c>
      <c r="G29" s="10" t="inlineStr">
        <is>
          <t>sovereign default spread x the equity-to-bond scaling</t>
        </is>
      </c>
    </row>
    <row r="30">
      <c r="A30" s="4" t="inlineStr">
        <is>
          <t>Terminal country premium — charged FLAT and once</t>
        </is>
      </c>
      <c r="B30" s="13" t="n">
        <v>0.02682000000000001</v>
      </c>
      <c r="G30" s="10" t="inlineStr">
        <is>
          <t>terminal total premium less the SAME mature leg: what normalises is country risk</t>
        </is>
      </c>
    </row>
    <row r="31">
      <c r="A31" s="4" t="inlineStr">
        <is>
          <t>Terminal growth</t>
        </is>
      </c>
      <c r="B31" s="13" t="n">
        <v>0.07000000000000001</v>
      </c>
      <c r="G31"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3">
      <c r="A33" s="4" t="inlineStr">
        <is>
          <t>Cost of equity  (= rf − sovereign spread + beta × MATURE premium + country premium, flat)</t>
        </is>
      </c>
      <c r="B33" s="16">
        <f>B22-B23+B24*B28+B29</f>
        <v/>
      </c>
    </row>
    <row r="34">
      <c r="A34" s="4" t="inlineStr">
        <is>
          <t>Terminal cost of equity</t>
        </is>
      </c>
      <c r="B34" s="16">
        <f>B26+B24*B28+B30</f>
        <v/>
      </c>
    </row>
    <row r="35">
      <c r="A35" s="4" t="inlineStr">
        <is>
          <t>Cost of equity by year (glide)</t>
        </is>
      </c>
      <c r="B35" s="16">
        <f>$B$33+($B$34-$B$33)*1/6</f>
        <v/>
      </c>
      <c r="C35" s="16">
        <f>$B$33+($B$34-$B$33)*2/6</f>
        <v/>
      </c>
      <c r="D35" s="16">
        <f>$B$33+($B$34-$B$33)*3/6</f>
        <v/>
      </c>
      <c r="E35" s="16">
        <f>$B$33+($B$34-$B$33)*4/6</f>
        <v/>
      </c>
      <c r="F35" s="16">
        <f>$B$33+($B$34-$B$33)*5/6</f>
        <v/>
      </c>
    </row>
    <row r="36">
      <c r="A36" s="4" t="inlineStr">
        <is>
          <t>Discount factor</t>
        </is>
      </c>
      <c r="B36" s="11">
        <f>1/(1+B35)</f>
        <v/>
      </c>
      <c r="C36" s="11">
        <f>B36/(1+C35)</f>
        <v/>
      </c>
      <c r="D36" s="11">
        <f>C36/(1+D35)</f>
        <v/>
      </c>
      <c r="E36" s="11">
        <f>D36/(1+E35)</f>
        <v/>
      </c>
      <c r="F36" s="11">
        <f>E36/(1+F35)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(B16-'Assumptions'!$B$31)/('Assumptions'!$B$34-'Assumptions'!$B$31)</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B25/('Assumptions'!$B$33-'Assumptions'!$B$31)/'Summary'!$B$5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'Assumptions'!B35</f>
        <v/>
      </c>
      <c r="C12" s="16">
        <f>'Assumptions'!C35</f>
        <v/>
      </c>
      <c r="D12" s="16">
        <f>'Assumptions'!D35</f>
        <v/>
      </c>
      <c r="E12" s="16">
        <f>'Assumptions'!E35</f>
        <v/>
      </c>
      <c r="F12" s="16">
        <f>'Assumptions'!F35</f>
        <v/>
      </c>
    </row>
    <row r="13">
      <c r="A13" s="4" t="inlineStr">
        <is>
          <t>Discount factor</t>
        </is>
      </c>
      <c r="B13" s="11">
        <f>'Assumptions'!B36</f>
        <v/>
      </c>
      <c r="C13" s="11">
        <f>'Assumptions'!C36</f>
        <v/>
      </c>
      <c r="D13" s="11">
        <f>'Assumptions'!D36</f>
        <v/>
      </c>
      <c r="E13" s="11">
        <f>'Assumptions'!E36</f>
        <v/>
      </c>
      <c r="F13" s="11">
        <f>'Assumptions'!F36</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45.4655</v>
      </c>
      <c r="C3" s="9" t="n">
        <v>-0.110744</v>
      </c>
    </row>
    <row r="4">
      <c r="A4" s="4" t="inlineStr">
        <is>
          <t>cost of risk -50bp</t>
        </is>
      </c>
      <c r="B4" s="5" t="n">
        <v>56.7896</v>
      </c>
      <c r="C4" s="9" t="n">
        <v>0.110744</v>
      </c>
    </row>
    <row r="5">
      <c r="A5" s="4" t="inlineStr">
        <is>
          <t>asset yield -50bp</t>
        </is>
      </c>
      <c r="B5" s="5" t="n">
        <v>39.9423</v>
      </c>
      <c r="C5" s="9" t="n">
        <v>-0.218771</v>
      </c>
    </row>
    <row r="6">
      <c r="A6" s="4" t="inlineStr">
        <is>
          <t>asset yield +50bp</t>
        </is>
      </c>
      <c r="B6" s="5" t="n">
        <v>62.3128</v>
      </c>
      <c r="C6" s="9" t="n">
        <v>0.218771</v>
      </c>
    </row>
    <row r="7">
      <c r="A7" s="4" t="inlineStr">
        <is>
          <t>cost of funds +50bp</t>
        </is>
      </c>
      <c r="B7" s="5" t="n">
        <v>41.5642</v>
      </c>
      <c r="C7" s="9" t="n">
        <v>-0.18705</v>
      </c>
    </row>
    <row r="8">
      <c r="A8" s="4" t="inlineStr">
        <is>
          <t>cost of funds -50bp</t>
        </is>
      </c>
      <c r="B8" s="5" t="n">
        <v>60.6909</v>
      </c>
      <c r="C8" s="9" t="n">
        <v>0.18705</v>
      </c>
    </row>
    <row r="9">
      <c r="A9" s="4" t="inlineStr">
        <is>
          <t>financing growth -5pp/yr</t>
        </is>
      </c>
      <c r="B9" s="5" t="n">
        <v>43.8477</v>
      </c>
      <c r="C9" s="9" t="n">
        <v>-0.142387</v>
      </c>
    </row>
    <row r="10">
      <c r="A10" s="4" t="inlineStr">
        <is>
          <t>financing growth +5pp/yr</t>
        </is>
      </c>
      <c r="B10" s="5" t="n">
        <v>59.3838</v>
      </c>
      <c r="C10" s="9" t="n">
        <v>0.161483</v>
      </c>
    </row>
    <row r="11">
      <c r="A11" s="4" t="inlineStr">
        <is>
          <t>risk-free +200bp</t>
        </is>
      </c>
      <c r="B11" s="5" t="n">
        <v>41.0604</v>
      </c>
      <c r="C11" s="9" t="n">
        <v>-0.196903</v>
      </c>
    </row>
    <row r="12">
      <c r="A12" s="4" t="inlineStr">
        <is>
          <t>risk-free -200bp</t>
        </is>
      </c>
      <c r="B12" s="5" t="n">
        <v>66.8074</v>
      </c>
      <c r="C12" s="9" t="n">
        <v>0.306681</v>
      </c>
    </row>
    <row r="13">
      <c r="A13" s="4" t="inlineStr">
        <is>
          <t>terminal growth +100bp</t>
        </is>
      </c>
      <c r="B13" s="5" t="n">
        <v>53.7497</v>
      </c>
      <c r="C13" s="9" t="n">
        <v>0.051286</v>
      </c>
    </row>
    <row r="14">
      <c r="A14" s="4" t="inlineStr">
        <is>
          <t>terminal growth -100bp</t>
        </is>
      </c>
      <c r="B14" s="5" t="n">
        <v>48.976</v>
      </c>
      <c r="C14" s="9" t="n">
        <v>-0.042082</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Statement'!E20-'Assumptions'!$B$31)/('Assumptions'!B35-'Assumptions'!$B$31)</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2026-09-19T10:34:09Z</dcterms:created>
  <dcterms:modified xmlns:dcterms="http://purl.org/dc/terms/" xmlns:xsi="http://www.w3.org/2001/XMLSchema-instance" xsi:type="dcterms:W3CDTF">2026-09-19T10:34:09Z</dcterms:modified>
</cp:coreProperties>
</file>