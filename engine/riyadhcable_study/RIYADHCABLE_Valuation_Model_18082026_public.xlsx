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;(0.00);&quot;-&quot;"/>
    <numFmt numFmtId="165" formatCode="#,##0.0;(#,##0.0);&quot;-&quot;"/>
    <numFmt numFmtId="166" formatCode="#,##0;(#,##0);&quot;-&quot;"/>
    <numFmt numFmtId="167" formatCode="0.000"/>
    <numFmt numFmtId="168" formatCode="0.00x"/>
    <numFmt numFmtId="169" formatCode="0.0%;(0.0%);&quot;-&quot;"/>
    <numFmt numFmtId="170" formatCode="0.0000"/>
  </numFmts>
  <fonts count="10">
    <font>
      <name val="Calibri"/>
      <family val="2"/>
      <color theme="1"/>
      <sz val="11"/>
      <scheme val="minor"/>
    </font>
    <font>
      <b val="1"/>
      <color rgb="00F6F1E6"/>
      <sz val="13"/>
    </font>
    <font>
      <color rgb="0055625E"/>
      <sz val="9"/>
    </font>
    <font>
      <b val="1"/>
    </font>
    <font>
      <b val="1"/>
      <color rgb="001A1A1A"/>
    </font>
    <font>
      <color rgb="001A1A1A"/>
    </font>
    <font>
      <color rgb="000000FF"/>
    </font>
    <font>
      <color rgb="001F6F3C"/>
    </font>
    <font>
      <b val="1"/>
      <color rgb="001F6F3C"/>
    </font>
    <font>
      <sz val="10"/>
    </font>
  </fonts>
  <fills count="5">
    <fill>
      <patternFill/>
    </fill>
    <fill>
      <patternFill patternType="gray125"/>
    </fill>
    <fill>
      <patternFill patternType="solid">
        <fgColor rgb="0014322E"/>
      </patternFill>
    </fill>
    <fill>
      <patternFill patternType="solid">
        <fgColor rgb="00F5F0E4"/>
      </patternFill>
    </fill>
    <fill>
      <patternFill patternType="solid">
        <fgColor rgb="00E8E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164" fontId="7" fillId="0" borderId="0" pivotButton="0" quotePrefix="0" xfId="0"/>
    <xf numFmtId="169" fontId="7" fillId="0" borderId="0" pivotButton="0" quotePrefix="0" xfId="0"/>
    <xf numFmtId="169" fontId="5" fillId="0" borderId="0" pivotButton="0" quotePrefix="0" xfId="0"/>
    <xf numFmtId="0" fontId="4" fillId="3" borderId="0" pivotButton="0" quotePrefix="0" xfId="0"/>
    <xf numFmtId="0" fontId="3" fillId="3" borderId="0" pivotButton="0" quotePrefix="0" xfId="0"/>
    <xf numFmtId="164" fontId="8" fillId="3" borderId="0" pivotButton="0" quotePrefix="0" xfId="0"/>
    <xf numFmtId="169" fontId="4" fillId="3" borderId="0" pivotButton="0" quotePrefix="0" xfId="0"/>
    <xf numFmtId="166" fontId="7" fillId="0" borderId="0" pivotButton="0" quotePrefix="0" xfId="0"/>
    <xf numFmtId="164" fontId="5" fillId="0" borderId="0" pivotButton="0" quotePrefix="0" xfId="0"/>
    <xf numFmtId="164" fontId="4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0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66" fontId="8" fillId="0" borderId="0" pivotButton="0" quotePrefix="0" xfId="0"/>
    <xf numFmtId="164" fontId="8" fillId="0" borderId="0" pivotButton="0" quotePrefix="0" xfId="0"/>
    <xf numFmtId="165" fontId="5" fillId="0" borderId="0" pivotButton="0" quotePrefix="0" xfId="0"/>
    <xf numFmtId="4" fontId="5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8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7" fillId="0" borderId="0" pivotButton="0" quotePrefix="0" xfId="0"/>
    <xf numFmtId="168" fontId="5" fillId="0" borderId="0" pivotButton="0" quotePrefix="0" xfId="0"/>
    <xf numFmtId="10" fontId="4" fillId="0" borderId="0" pivotButton="0" quotePrefix="0" xfId="0"/>
    <xf numFmtId="170" fontId="5" fillId="0" borderId="0" pivotButton="0" quotePrefix="0" xfId="0"/>
    <xf numFmtId="166" fontId="4" fillId="0" borderId="0" pivotButton="0" quotePrefix="0" xfId="0"/>
    <xf numFmtId="169" fontId="4" fillId="0" borderId="0" pivotButton="0" quotePrefix="0" xfId="0"/>
    <xf numFmtId="17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Riyadh Cables Group Company (Tadawul: 4142)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Riyadh Cables valuation study. Every blue cell is an</t>
        </is>
      </c>
    </row>
    <row r="6">
      <c r="A6" s="3" t="inlineStr">
        <is>
          <t>input; 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derivable from a driver is a live formula, so you can change a blue cell</t>
        </is>
      </c>
    </row>
    <row r="9">
      <c r="A9" s="3" t="inlineStr">
        <is>
          <t>on Assumptions and watch the model reprice: the cost of capital is built from the risk-free rate net of the</t>
        </is>
      </c>
    </row>
    <row r="10">
      <c r="A10" s="3" t="inlineStr">
        <is>
          <t>sovereign spread, beta and the premium; the discount factors compound from the cost-of-debt glide; the DCF</t>
        </is>
      </c>
    </row>
    <row r="11">
      <c r="A11" s="3" t="inlineStr">
        <is>
          <t>waterfall, the terminal block, the statement roll-forwards, all four lenses and every ratio chain off the</t>
        </is>
      </c>
    </row>
    <row r="12">
      <c r="A12" s="3" t="inlineStr">
        <is>
          <t>same cells.</t>
        </is>
      </c>
    </row>
    <row r="13">
      <c r="A13" s="3" t="inlineStr"/>
    </row>
    <row r="14">
      <c r="A14" s="3" t="inlineStr">
        <is>
          <t>THREE CLASSES OF CELL ARE PASTED VALUES, and it is worth knowing exactly which. First, audited and disclosed</t>
        </is>
      </c>
    </row>
    <row r="15">
      <c r="A15" s="3" t="inlineStr">
        <is>
          <t>history — the primary record (FY2023-25 income statement and balance sheet, the FY2025 cost-stack base the</t>
        </is>
      </c>
    </row>
    <row r="16">
      <c r="A16" s="3" t="inlineStr">
        <is>
          <t>ground-up build starts from), not a calculation. Second, there is NO flattened unit-build paste: the cable</t>
        </is>
      </c>
    </row>
    <row r="17">
      <c r="A17" s="3" t="inlineStr">
        <is>
          <t>cost stack is built live on the Segments sheet from the disclosed FY2025 materials and conversion figures and</t>
        </is>
      </c>
    </row>
    <row r="18">
      <c r="A18" s="3" t="inlineStr">
        <is>
          <t>the driver paths. Third, whole-model engine outputs, where each figure is a complete re-run of the valuation</t>
        </is>
      </c>
    </row>
    <row r="19">
      <c r="A19" s="3" t="inlineStr">
        <is>
          <t>and so cannot be one formula: the Monte Carlo price map, the sensitivity grids, the DCF scenario bear/bull</t>
        </is>
      </c>
    </row>
    <row r="20">
      <c r="A20" s="3" t="inlineStr">
        <is>
          <t>bounds, the two pasted framings of the contested gross-margin judgement, and the expert-panel median.</t>
        </is>
      </c>
    </row>
    <row r="21">
      <c r="A21" s="3" t="inlineStr">
        <is>
          <t>Everything else — every lens base value, the relative/normalised/book bear and bull bounds, and the anchor</t>
        </is>
      </c>
    </row>
    <row r="22">
      <c r="A22" s="3" t="inlineStr">
        <is>
          <t>roll — is a live formula. Changing a driver reprices the model but does NOT redraw the engine outputs.</t>
        </is>
      </c>
    </row>
    <row r="23">
      <c r="A23" s="3" t="inlineStr"/>
    </row>
    <row r="24">
      <c r="A24" s="3" t="inlineStr">
        <is>
          <t>How revenue is built. Not as one growth rate. A cable maker is a metal converter: materials (copper and</t>
        </is>
      </c>
    </row>
    <row r="25">
      <c r="A25" s="3" t="inlineStr">
        <is>
          <t>aluminium) are 94.9% of cost of revenue. The build prices a tonnage index as metal content — on its own</t>
        </is>
      </c>
    </row>
    <row r="26">
      <c r="A26" s="3" t="inlineStr">
        <is>
          <t>commodity path — plus a conversion spread whose cost escalates on domestic inflation; gross margin is the</t>
        </is>
      </c>
    </row>
    <row r="27">
      <c r="A27" s="3" t="inlineStr">
        <is>
          <t>OUTPUT of that stack, not an input. The central judgement is the margin the business sustains once the</t>
        </is>
      </c>
    </row>
    <row r="28">
      <c r="A28" s="3" t="inlineStr">
        <is>
          <t>FY2024-25 metal tailwind has passed, anchored on the most recent reviewed actual (H1-2026, 15.26%) rather</t>
        </is>
      </c>
    </row>
    <row r="29">
      <c r="A29" s="3" t="inlineStr">
        <is>
          <t>than the higher FY2025 full-year print (16.24%), and computed both ways.</t>
        </is>
      </c>
    </row>
    <row r="30">
      <c r="A30" s="3" t="inlineStr"/>
    </row>
    <row r="31">
      <c r="A31" s="3" t="inlineStr">
        <is>
          <t>What it is not. It is not investment advice, a recommendation, or a price target. Values are model outputs</t>
        </is>
      </c>
    </row>
    <row r="32">
      <c r="A32" s="3" t="inlineStr">
        <is>
          <t>shown as ranges.</t>
        </is>
      </c>
    </row>
    <row r="33">
      <c r="A33" s="3" t="inlineStr"/>
    </row>
    <row r="34">
      <c r="A34" s="3" t="inlineStr">
        <is>
          <t>Sourcing. FY2022-FY2025 come from the company's own audited consolidated financial statements (KPMG); the</t>
        </is>
      </c>
    </row>
    <row r="35">
      <c r="A35" s="3" t="inlineStr">
        <is>
          <t>FY2026 near-term anchor is the Tadawul-filed reviewed H1-2026 interim. Every input is listed with source and</t>
        </is>
      </c>
    </row>
    <row r="36">
      <c r="A36" s="3" t="inlineStr">
        <is>
          <t>date in the companion bibliography document. No aggregator or broker figure is a build source.</t>
        </is>
      </c>
    </row>
    <row r="37">
      <c r="A37" s="3" t="inlineStr"/>
    </row>
    <row r="38">
      <c r="A38" s="3" t="inlineStr">
        <is>
          <t>Currency. SAR million unless stated. Spot SAR 104.80 (2026-08-18 close). Sheets: READ FIRST · Summary ·</t>
        </is>
      </c>
    </row>
    <row r="39">
      <c r="A39" s="3" t="inlineStr">
        <is>
          <t>Fundamental Valuation · Assumptions · SOTP Bridge · Segments · Relative &amp; Normalized · DCF · Income</t>
        </is>
      </c>
    </row>
    <row r="40">
      <c r="A40" s="3" t="inlineStr">
        <is>
          <t>Statement · Balance Sheet · Cash Flow · Summary Financials · Monte Carlo · Sensitivity · Per-Share &amp;</t>
        </is>
      </c>
    </row>
    <row r="41">
      <c r="A41" s="3" t="inlineStr">
        <is>
          <t>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Testahil — Riyadh Cables Group Company (Tadawul: 4142)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Independent valuation study · educational · not investment advice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/>
      <c r="G4" s="5" t="inlineStr">
        <is>
          <t>vs spot</t>
        </is>
      </c>
    </row>
    <row r="5">
      <c r="A5" s="6" t="inlineStr">
        <is>
          <t>Discounted cash flow (primary)</t>
        </is>
      </c>
      <c r="B5" s="7">
        <f>'Fundamental Valuation'!B5</f>
        <v/>
      </c>
      <c r="C5" s="7">
        <f>'Fundamental Valuation'!C5</f>
        <v/>
      </c>
      <c r="D5" s="7">
        <f>'Fundamental Valuation'!D5</f>
        <v/>
      </c>
      <c r="E5" s="8">
        <f>'Fundamental Valuation'!E5</f>
        <v/>
      </c>
      <c r="G5" s="9">
        <f>C5/Assumptions!$C$5-1</f>
        <v/>
      </c>
    </row>
    <row r="6">
      <c r="A6" s="6" t="inlineStr">
        <is>
          <t>Relative multiples</t>
        </is>
      </c>
      <c r="B6" s="7">
        <f>'Fundamental Valuation'!B6</f>
        <v/>
      </c>
      <c r="C6" s="7">
        <f>'Fundamental Valuation'!C6</f>
        <v/>
      </c>
      <c r="D6" s="7">
        <f>'Fundamental Valuation'!D6</f>
        <v/>
      </c>
      <c r="E6" s="8">
        <f>'Fundamental Valuation'!E6</f>
        <v/>
      </c>
      <c r="G6" s="9">
        <f>C6/Assumptions!$C$5-1</f>
        <v/>
      </c>
    </row>
    <row r="7">
      <c r="A7" s="6" t="inlineStr">
        <is>
          <t>Normalised earnings power</t>
        </is>
      </c>
      <c r="B7" s="7">
        <f>'Fundamental Valuation'!B7</f>
        <v/>
      </c>
      <c r="C7" s="7">
        <f>'Fundamental Valuation'!C7</f>
        <v/>
      </c>
      <c r="D7" s="7">
        <f>'Fundamental Valuation'!D7</f>
        <v/>
      </c>
      <c r="E7" s="8">
        <f>'Fundamental Valuation'!E7</f>
        <v/>
      </c>
      <c r="G7" s="9">
        <f>C7/Assumptions!$C$5-1</f>
        <v/>
      </c>
    </row>
    <row r="8">
      <c r="A8" s="6" t="inlineStr">
        <is>
          <t>Book value and sustainable return</t>
        </is>
      </c>
      <c r="B8" s="7">
        <f>'Fundamental Valuation'!B8</f>
        <v/>
      </c>
      <c r="C8" s="7">
        <f>'Fundamental Valuation'!C8</f>
        <v/>
      </c>
      <c r="D8" s="7">
        <f>'Fundamental Valuation'!D8</f>
        <v/>
      </c>
      <c r="E8" s="8">
        <f>'Fundamental Valuation'!E8</f>
        <v/>
      </c>
      <c r="G8" s="9">
        <f>C8/Assumptions!$C$5-1</f>
        <v/>
      </c>
    </row>
    <row r="9">
      <c r="A9" s="10" t="inlineStr">
        <is>
          <t>Weighted central</t>
        </is>
      </c>
      <c r="B9" s="11" t="n"/>
      <c r="C9" s="12">
        <f>'Fundamental Valuation'!C9</f>
        <v/>
      </c>
      <c r="D9" s="11" t="n"/>
      <c r="E9" s="11" t="n"/>
      <c r="F9" s="11" t="n"/>
      <c r="G9" s="13">
        <f>C9/Assumptions!$C$5-1</f>
        <v/>
      </c>
    </row>
    <row r="10">
      <c r="A10" s="6" t="inlineStr">
        <is>
          <t>Terminal value as % of DCF EV</t>
        </is>
      </c>
      <c r="C10" s="8">
        <f>DCF!C42</f>
        <v/>
      </c>
    </row>
    <row r="11">
      <c r="A11" s="6" t="inlineStr">
        <is>
          <t>Expert panel median</t>
        </is>
      </c>
      <c r="C11" s="7">
        <f>'Fundamental Valuation'!C11</f>
        <v/>
      </c>
    </row>
    <row r="12">
      <c r="A12" s="10" t="inlineStr">
        <is>
          <t>Market price (anchor)</t>
        </is>
      </c>
      <c r="B12" s="11" t="n"/>
      <c r="C12" s="12">
        <f>Assumptions!$C$5</f>
        <v/>
      </c>
      <c r="D12" s="11" t="n"/>
      <c r="E12" s="11" t="n"/>
      <c r="F12" s="11" t="n"/>
      <c r="G12" s="11" t="n"/>
    </row>
    <row r="13">
      <c r="A13" s="6" t="inlineStr">
        <is>
          <t>Market capitalisation (SAR mn)</t>
        </is>
      </c>
      <c r="C13" s="14">
        <f>Assumptions!$C$5*Assumptions!$C$6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Fundamental valuation — four lenses, one field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Every base value links live to its source sheet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>
        <f>DCF!C55</f>
        <v/>
      </c>
      <c r="C5" s="7">
        <f>DCF!C51</f>
        <v/>
      </c>
      <c r="D5" s="7">
        <f>DCF!C57</f>
        <v/>
      </c>
      <c r="E5" s="8">
        <f>Assumptions!$C$39</f>
        <v/>
      </c>
      <c r="F5" s="15">
        <f>C5*E5</f>
        <v/>
      </c>
      <c r="G5" s="9">
        <f>C5/Assumptions!$C$5-1</f>
        <v/>
      </c>
    </row>
    <row r="6">
      <c r="A6" s="6" t="inlineStr">
        <is>
          <t>Relative multiples</t>
        </is>
      </c>
      <c r="B6" s="7">
        <f>'Relative &amp; Normalized'!C9</f>
        <v/>
      </c>
      <c r="C6" s="7">
        <f>'Relative &amp; Normalized'!C8</f>
        <v/>
      </c>
      <c r="D6" s="7">
        <f>'Relative &amp; Normalized'!D9</f>
        <v/>
      </c>
      <c r="E6" s="8">
        <f>Assumptions!$C$40</f>
        <v/>
      </c>
      <c r="F6" s="15">
        <f>C6*E6</f>
        <v/>
      </c>
      <c r="G6" s="9">
        <f>C6/Assumptions!$C$5-1</f>
        <v/>
      </c>
    </row>
    <row r="7">
      <c r="A7" s="6" t="inlineStr">
        <is>
          <t>Normalised earnings power</t>
        </is>
      </c>
      <c r="B7" s="7">
        <f>'Relative &amp; Normalized'!C17</f>
        <v/>
      </c>
      <c r="C7" s="7">
        <f>'Relative &amp; Normalized'!C16</f>
        <v/>
      </c>
      <c r="D7" s="7">
        <f>'Relative &amp; Normalized'!D17</f>
        <v/>
      </c>
      <c r="E7" s="8">
        <f>Assumptions!$C$41</f>
        <v/>
      </c>
      <c r="F7" s="15">
        <f>C7*E7</f>
        <v/>
      </c>
      <c r="G7" s="9">
        <f>C7/Assumptions!$C$5-1</f>
        <v/>
      </c>
    </row>
    <row r="8">
      <c r="A8" s="6" t="inlineStr">
        <is>
          <t>Book value and sustainable return</t>
        </is>
      </c>
      <c r="B8" s="7">
        <f>'Relative &amp; Normalized'!C23</f>
        <v/>
      </c>
      <c r="C8" s="7">
        <f>'Relative &amp; Normalized'!C22</f>
        <v/>
      </c>
      <c r="D8" s="7">
        <f>'Relative &amp; Normalized'!D23</f>
        <v/>
      </c>
      <c r="E8" s="8">
        <f>Assumptions!$C$42</f>
        <v/>
      </c>
      <c r="F8" s="15">
        <f>C8*E8</f>
        <v/>
      </c>
      <c r="G8" s="9">
        <f>C8/Assumptions!$C$5-1</f>
        <v/>
      </c>
    </row>
    <row r="9">
      <c r="A9" s="10" t="inlineStr">
        <is>
          <t>Weighted central</t>
        </is>
      </c>
      <c r="B9" s="16">
        <f>MIN(B5:B8)</f>
        <v/>
      </c>
      <c r="C9" s="16">
        <f>SUM(F5:F8)</f>
        <v/>
      </c>
      <c r="D9" s="16">
        <f>MAX(D5:D8)</f>
        <v/>
      </c>
      <c r="E9" s="13">
        <f>SUM(E5:E8)</f>
        <v/>
      </c>
      <c r="F9" s="11" t="n"/>
      <c r="G9" s="13">
        <f>C9/Assumptions!$C$5-1</f>
        <v/>
      </c>
    </row>
    <row r="11">
      <c r="A11" s="6" t="inlineStr">
        <is>
          <t>Expert panel median (whole-model — pasted)</t>
        </is>
      </c>
      <c r="C11" s="17" t="n">
        <v>143.7240895365966</v>
      </c>
    </row>
    <row r="12">
      <c r="A12" s="6" t="inlineStr">
        <is>
          <t>Market price (anchor)</t>
        </is>
      </c>
      <c r="C12" s="7">
        <f>Assumptions!$C$5</f>
        <v/>
      </c>
    </row>
    <row r="14">
      <c r="A14" s="10" t="inlineStr">
        <is>
          <t>Central contested judgement — sustained gross margin, both ways</t>
        </is>
      </c>
      <c r="B14" s="11" t="n"/>
      <c r="C14" s="11" t="n"/>
      <c r="D14" s="11" t="n"/>
      <c r="E14" s="11" t="n"/>
      <c r="F14" s="11" t="n"/>
      <c r="G14" s="11" t="n"/>
    </row>
    <row r="15">
      <c r="A15" s="6" t="inlineStr">
        <is>
          <t>H1-2026 anchor (15.26%) — DCF value</t>
        </is>
      </c>
      <c r="C15" s="7">
        <f>DCF!C51</f>
        <v/>
      </c>
    </row>
    <row r="16">
      <c r="A16" s="6" t="inlineStr">
        <is>
          <t>FY2025-peak framing (16.0%) — DCF value (pasted re-run)</t>
        </is>
      </c>
      <c r="C16" s="17" t="n">
        <v>159.2987061984988</v>
      </c>
    </row>
    <row r="17">
      <c r="A17" s="6" t="inlineStr">
        <is>
          <t>Further-compression framing (14.5%) — DCF value (pasted re-run)</t>
        </is>
      </c>
      <c r="C17" s="17" t="n">
        <v>132.1837426703699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Assumptions — every blue cell is a driver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Change one and the model reprices</t>
        </is>
      </c>
    </row>
    <row r="4">
      <c r="A4" s="10" t="inlineStr">
        <is>
          <t>Anchors &amp; market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6" t="inlineStr">
        <is>
          <t>Spot price (SAR)</t>
        </is>
      </c>
      <c r="C5" s="17" t="n">
        <v>104.8</v>
      </c>
    </row>
    <row r="6">
      <c r="A6" s="6" t="inlineStr">
        <is>
          <t>Shares outstanding (mn)</t>
        </is>
      </c>
      <c r="C6" s="18" t="n">
        <v>149.7175</v>
      </c>
    </row>
    <row r="7">
      <c r="A7" s="6" t="inlineStr">
        <is>
          <t>Net financial debt at FY2025 (SAR mn, disclosed)</t>
        </is>
      </c>
      <c r="C7" s="19" t="n">
        <v>385.173208</v>
      </c>
    </row>
    <row r="8">
      <c r="A8" s="10" t="inlineStr">
        <is>
          <t>Cost of capital — explicit window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6" t="inlineStr">
        <is>
          <t>Risk-free rate (10-year SAR sukuk)</t>
        </is>
      </c>
      <c r="C9" s="20" t="n">
        <v>0.0485</v>
      </c>
    </row>
    <row r="10">
      <c r="A10" s="6" t="inlineStr">
        <is>
          <t>Sovereign default spread (netted out)</t>
        </is>
      </c>
      <c r="C10" s="20" t="n">
        <v>0.0051</v>
      </c>
    </row>
    <row r="11">
      <c r="A11" s="6" t="inlineStr">
        <is>
          <t>Equity risk premium (rating basis)</t>
        </is>
      </c>
      <c r="C11" s="20" t="n">
        <v>0.0501</v>
      </c>
    </row>
    <row r="12">
      <c r="A12" s="6" t="inlineStr">
        <is>
          <t>Beta (own-stock vs TASI)</t>
        </is>
      </c>
      <c r="C12" s="21" t="n">
        <v>1.129</v>
      </c>
    </row>
    <row r="13">
      <c r="A13" s="6" t="inlineStr">
        <is>
          <t>Cost of debt, marginal pre-tax</t>
        </is>
      </c>
      <c r="C13" s="20" t="n">
        <v>0.059</v>
      </c>
    </row>
    <row r="14">
      <c r="A14" s="6" t="inlineStr">
        <is>
          <t>Effective zakat and income tax rate</t>
        </is>
      </c>
      <c r="C14" s="20" t="n">
        <v>0.095</v>
      </c>
    </row>
    <row r="15">
      <c r="A15" s="10" t="inlineStr">
        <is>
          <t>Cost of capital — terminal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6" t="inlineStr">
        <is>
          <t>Terminal risk-free rate</t>
        </is>
      </c>
      <c r="C16" s="20" t="n">
        <v>0.0434</v>
      </c>
    </row>
    <row r="17">
      <c r="A17" s="6" t="inlineStr">
        <is>
          <t>Terminal equity risk premium</t>
        </is>
      </c>
      <c r="C17" s="20" t="n">
        <v>0.0475</v>
      </c>
    </row>
    <row r="18">
      <c r="A18" s="6" t="inlineStr">
        <is>
          <t>Terminal beta</t>
        </is>
      </c>
      <c r="C18" s="21" t="n">
        <v>1</v>
      </c>
    </row>
    <row r="19">
      <c r="A19" s="6" t="inlineStr">
        <is>
          <t>Terminal cost of debt</t>
        </is>
      </c>
      <c r="C19" s="20" t="n">
        <v>0.055</v>
      </c>
    </row>
    <row r="20">
      <c r="A20" s="6" t="inlineStr">
        <is>
          <t>Terminal net-debt weight</t>
        </is>
      </c>
      <c r="C20" s="20" t="n">
        <v>0.05</v>
      </c>
    </row>
    <row r="21">
      <c r="A21" s="6" t="inlineStr">
        <is>
          <t>Terminal growth</t>
        </is>
      </c>
      <c r="C21" s="20" t="n">
        <v>0.04</v>
      </c>
    </row>
    <row r="22">
      <c r="A22" s="10" t="inlineStr">
        <is>
          <t>Forecast drivers — ground-up cost stack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6" t="inlineStr">
        <is>
          <t>Cable volume index growth</t>
        </is>
      </c>
      <c r="C23" s="20" t="n">
        <v>0.1</v>
      </c>
      <c r="D23" s="20" t="n">
        <v>0.075</v>
      </c>
      <c r="E23" s="20" t="n">
        <v>0.065</v>
      </c>
      <c r="F23" s="20" t="n">
        <v>0.055</v>
      </c>
      <c r="G23" s="20" t="n">
        <v>0.05</v>
      </c>
    </row>
    <row r="24">
      <c r="A24" s="6" t="inlineStr">
        <is>
          <t>Metal content price growth</t>
        </is>
      </c>
      <c r="C24" s="20" t="n">
        <v>-0.01</v>
      </c>
      <c r="D24" s="20" t="n">
        <v>0</v>
      </c>
      <c r="E24" s="20" t="n">
        <v>0.01</v>
      </c>
      <c r="F24" s="20" t="n">
        <v>0.01</v>
      </c>
      <c r="G24" s="20" t="n">
        <v>0.01</v>
      </c>
    </row>
    <row r="25">
      <c r="A25" s="6" t="inlineStr">
        <is>
          <t>Conversion cost inflation</t>
        </is>
      </c>
      <c r="C25" s="20" t="n">
        <v>0.03</v>
      </c>
      <c r="D25" s="20" t="n">
        <v>0.03</v>
      </c>
      <c r="E25" s="20" t="n">
        <v>0.03</v>
      </c>
      <c r="F25" s="20" t="n">
        <v>0.03</v>
      </c>
      <c r="G25" s="20" t="n">
        <v>0.03</v>
      </c>
    </row>
    <row r="26">
      <c r="A26" s="6" t="inlineStr">
        <is>
          <t>Sustained gross margin (H1-2026 anchor)</t>
        </is>
      </c>
      <c r="C26" s="20" t="n">
        <v>0.1526</v>
      </c>
    </row>
    <row r="27">
      <c r="A27" s="6" t="inlineStr">
        <is>
          <t>Gross-margin glide (added to anchor)</t>
        </is>
      </c>
      <c r="C27" s="21" t="n">
        <v>0</v>
      </c>
      <c r="D27" s="21" t="n">
        <v>0.001</v>
      </c>
      <c r="E27" s="21" t="n">
        <v>0.001</v>
      </c>
      <c r="F27" s="21" t="n">
        <v>0.0015</v>
      </c>
      <c r="G27" s="21" t="n">
        <v>0.0015</v>
      </c>
    </row>
    <row r="28">
      <c r="A28" s="6" t="inlineStr">
        <is>
          <t>Operating expenses / revenue</t>
        </is>
      </c>
      <c r="C28" s="20" t="n">
        <v>0.043</v>
      </c>
      <c r="D28" s="20" t="n">
        <v>0.043</v>
      </c>
      <c r="E28" s="20" t="n">
        <v>0.0425</v>
      </c>
      <c r="F28" s="20" t="n">
        <v>0.042</v>
      </c>
      <c r="G28" s="20" t="n">
        <v>0.042</v>
      </c>
    </row>
    <row r="29">
      <c r="A29" s="6" t="inlineStr">
        <is>
          <t>Depreciation and amortisation / revenue</t>
        </is>
      </c>
      <c r="C29" s="20" t="n">
        <v>0.008500000000000001</v>
      </c>
    </row>
    <row r="30">
      <c r="A30" s="6" t="inlineStr">
        <is>
          <t>Capital expenditure / revenue</t>
        </is>
      </c>
      <c r="C30" s="20" t="n">
        <v>0.019</v>
      </c>
      <c r="D30" s="20" t="n">
        <v>0.018</v>
      </c>
      <c r="E30" s="20" t="n">
        <v>0.017</v>
      </c>
      <c r="F30" s="20" t="n">
        <v>0.016</v>
      </c>
      <c r="G30" s="20" t="n">
        <v>0.016</v>
      </c>
    </row>
    <row r="31">
      <c r="A31" s="6" t="inlineStr">
        <is>
          <t>Net working capital / revenue</t>
        </is>
      </c>
      <c r="C31" s="20" t="n">
        <v>0.28</v>
      </c>
    </row>
    <row r="32">
      <c r="A32" s="6" t="inlineStr">
        <is>
          <t>Cost-of-debt path</t>
        </is>
      </c>
      <c r="C32" s="20" t="n">
        <v>0.059</v>
      </c>
      <c r="D32" s="20" t="n">
        <v>0.058</v>
      </c>
      <c r="E32" s="20" t="n">
        <v>0.057</v>
      </c>
      <c r="F32" s="20" t="n">
        <v>0.056</v>
      </c>
      <c r="G32" s="20" t="n">
        <v>0.055</v>
      </c>
    </row>
    <row r="33">
      <c r="A33" s="6" t="inlineStr">
        <is>
          <t>Forecast dividend payout ratio</t>
        </is>
      </c>
      <c r="C33" s="20" t="n">
        <v>0.55</v>
      </c>
    </row>
    <row r="34">
      <c r="A34" s="6" t="inlineStr">
        <is>
          <t>Yield on surplus cash</t>
        </is>
      </c>
      <c r="C34" s="20" t="n">
        <v>0.04</v>
      </c>
    </row>
    <row r="35">
      <c r="A35" s="10" t="inlineStr">
        <is>
          <t>Lens inputs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6" t="inlineStr">
        <is>
          <t>Justified EV/EBITDA</t>
        </is>
      </c>
      <c r="C36" s="22" t="n">
        <v>9</v>
      </c>
    </row>
    <row r="37">
      <c r="A37" s="6" t="inlineStr">
        <is>
          <t>Justified price/earnings</t>
        </is>
      </c>
      <c r="C37" s="22" t="n">
        <v>13</v>
      </c>
    </row>
    <row r="38">
      <c r="A38" s="6" t="inlineStr">
        <is>
          <t>Sustainable return on equity</t>
        </is>
      </c>
      <c r="C38" s="20" t="n">
        <v>0.28</v>
      </c>
    </row>
    <row r="39">
      <c r="A39" s="6" t="inlineStr">
        <is>
          <t>Weight — discounted cash flow</t>
        </is>
      </c>
      <c r="C39" s="23" t="n">
        <v>0.45</v>
      </c>
    </row>
    <row r="40">
      <c r="A40" s="6" t="inlineStr">
        <is>
          <t>Weight — relative</t>
        </is>
      </c>
      <c r="C40" s="23" t="n">
        <v>0.2</v>
      </c>
    </row>
    <row r="41">
      <c r="A41" s="6" t="inlineStr">
        <is>
          <t>Weight — normalised</t>
        </is>
      </c>
      <c r="C41" s="23" t="n">
        <v>0.2</v>
      </c>
    </row>
    <row r="42">
      <c r="A42" s="6" t="inlineStr">
        <is>
          <t>Weight — book</t>
        </is>
      </c>
      <c r="C42" s="23" t="n">
        <v>0.15</v>
      </c>
    </row>
    <row r="43">
      <c r="A43" s="10" t="inlineStr">
        <is>
          <t>Anchor roll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6" t="inlineStr">
        <is>
          <t>Days to the anchor</t>
        </is>
      </c>
      <c r="C44" s="19" t="n">
        <v>230</v>
      </c>
    </row>
    <row r="45">
      <c r="A45" s="6" t="inlineStr">
        <is>
          <t>FY2025 dividend per share paid in window</t>
        </is>
      </c>
      <c r="C45" s="17" t="n">
        <v>1.9</v>
      </c>
    </row>
    <row r="46">
      <c r="A46" s="10" t="inlineStr">
        <is>
          <t>FY2025 disclosed base (audited)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6" t="inlineStr">
        <is>
          <t>FY2025 metal content / materials (SAR mn)</t>
        </is>
      </c>
      <c r="C47" s="19" t="n">
        <v>8486.925676999999</v>
      </c>
    </row>
    <row r="48">
      <c r="A48" s="6" t="inlineStr">
        <is>
          <t>FY2025 conversion cost (SAR mn)</t>
        </is>
      </c>
      <c r="C48" s="19" t="n">
        <v>453.34873</v>
      </c>
    </row>
    <row r="49">
      <c r="A49" s="6" t="inlineStr">
        <is>
          <t>FY2025 net working capital (SAR mn)</t>
        </is>
      </c>
      <c r="C49" s="19" t="n">
        <v>2933.258925</v>
      </c>
    </row>
    <row r="50">
      <c r="A50" s="6" t="inlineStr">
        <is>
          <t>FY2025 PP&amp;E (SAR mn)</t>
        </is>
      </c>
      <c r="C50" s="19" t="n">
        <v>1491.86312</v>
      </c>
    </row>
    <row r="51">
      <c r="A51" s="6" t="inlineStr">
        <is>
          <t>FY2025 gross borrowings incl. leases (SAR mn)</t>
        </is>
      </c>
      <c r="C51" s="19" t="n">
        <v>621.216217</v>
      </c>
    </row>
    <row r="52">
      <c r="A52" s="6" t="inlineStr">
        <is>
          <t>FY2025 equity attributable (SAR mn)</t>
        </is>
      </c>
      <c r="C52" s="19" t="n">
        <v>3246.136935</v>
      </c>
    </row>
    <row r="53">
      <c r="A53" s="6" t="inlineStr">
        <is>
          <t>FY2025 associates carrying value (SAR mn)</t>
        </is>
      </c>
      <c r="C53" s="19" t="n">
        <v>31.851877</v>
      </c>
    </row>
    <row r="54">
      <c r="A54" s="6" t="inlineStr">
        <is>
          <t>FY2025 non-operating assets (SAR mn)</t>
        </is>
      </c>
      <c r="C54" s="19" t="n">
        <v>20.40064</v>
      </c>
    </row>
    <row r="55">
      <c r="A55" s="6" t="inlineStr">
        <is>
          <t>FY2025 NCI carrying value (SAR mn)</t>
        </is>
      </c>
      <c r="C55" s="19" t="n">
        <v>62.737156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</row>
    <row r="2">
      <c r="A2" s="4" t="inlineStr">
        <is>
          <t>All rows link to the DCF sheet; terminal-value share shown to the reader</t>
        </is>
      </c>
    </row>
    <row r="4">
      <c r="A4" s="6" t="inlineStr">
        <is>
          <t>Enterprise value</t>
        </is>
      </c>
      <c r="C4" s="14">
        <f>DCF!C41</f>
        <v/>
      </c>
    </row>
    <row r="5">
      <c r="A5" s="6" t="inlineStr">
        <is>
          <t xml:space="preserve">  of which terminal value</t>
        </is>
      </c>
      <c r="C5" s="14">
        <f>DCF!C40</f>
        <v/>
      </c>
    </row>
    <row r="6">
      <c r="A6" s="6" t="inlineStr">
        <is>
          <t xml:space="preserve">  terminal value as % of EV</t>
        </is>
      </c>
      <c r="C6" s="8">
        <f>DCF!C42</f>
        <v/>
      </c>
    </row>
    <row r="7">
      <c r="A7" s="6" t="inlineStr">
        <is>
          <t>Less: net financial debt</t>
        </is>
      </c>
      <c r="C7" s="14">
        <f>DCF!C45</f>
        <v/>
      </c>
    </row>
    <row r="8">
      <c r="A8" s="6" t="inlineStr">
        <is>
          <t>Add: associates + non-operating assets</t>
        </is>
      </c>
      <c r="C8" s="14">
        <f>DCF!C46</f>
        <v/>
      </c>
    </row>
    <row r="9">
      <c r="A9" s="6" t="inlineStr">
        <is>
          <t>Less: non-controlling interests</t>
        </is>
      </c>
      <c r="C9" s="14">
        <f>DCF!C47</f>
        <v/>
      </c>
    </row>
    <row r="10">
      <c r="A10" s="6" t="inlineStr">
        <is>
          <t>Equity attributable (31-Dec-2025)</t>
        </is>
      </c>
      <c r="C10" s="24">
        <f>DCF!C48</f>
        <v/>
      </c>
    </row>
    <row r="11">
      <c r="A11" s="6" t="inlineStr">
        <is>
          <t>Value per share at anchor (SAR)</t>
        </is>
      </c>
      <c r="C11" s="25">
        <f>DCF!C51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Segments — ground-up cost-stack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Materials on the metal path; conversion on domestic inflation; gross margin is the OUTPUT</t>
        </is>
      </c>
    </row>
    <row r="4">
      <c r="A4" s="5" t="inlineStr">
        <is>
          <t>SAR mn / index</t>
        </is>
      </c>
      <c r="B4" s="5" t="inlineStr">
        <is>
          <t>FY2025</t>
        </is>
      </c>
      <c r="C4" s="5" t="inlineStr">
        <is>
          <t>FY2026E</t>
        </is>
      </c>
      <c r="D4" s="5" t="inlineStr">
        <is>
          <t>FY2027E</t>
        </is>
      </c>
      <c r="E4" s="5" t="inlineStr">
        <is>
          <t>FY2028E</t>
        </is>
      </c>
      <c r="F4" s="5" t="inlineStr">
        <is>
          <t>FY2029E</t>
        </is>
      </c>
      <c r="G4" s="5" t="inlineStr">
        <is>
          <t>FY2030E</t>
        </is>
      </c>
    </row>
    <row r="5">
      <c r="A5" s="6" t="inlineStr">
        <is>
          <t>Cable volume index (FY2025=100)</t>
        </is>
      </c>
      <c r="B5" s="18" t="n">
        <v>100</v>
      </c>
      <c r="C5" s="26">
        <f>B5*(1+Assumptions!C$23)</f>
        <v/>
      </c>
      <c r="D5" s="26">
        <f>C5*(1+Assumptions!D$23)</f>
        <v/>
      </c>
      <c r="E5" s="26">
        <f>D5*(1+Assumptions!E$23)</f>
        <v/>
      </c>
      <c r="F5" s="26">
        <f>E5*(1+Assumptions!F$23)</f>
        <v/>
      </c>
      <c r="G5" s="26">
        <f>F5*(1+Assumptions!G$23)</f>
        <v/>
      </c>
    </row>
    <row r="6">
      <c r="A6" s="6" t="inlineStr">
        <is>
          <t>Metal content per unit</t>
        </is>
      </c>
      <c r="B6" s="27">
        <f>Assumptions!$C$47/100.0</f>
        <v/>
      </c>
      <c r="C6" s="27">
        <f>B6*(1+Assumptions!C$24)</f>
        <v/>
      </c>
      <c r="D6" s="27">
        <f>C6*(1+Assumptions!D$24)</f>
        <v/>
      </c>
      <c r="E6" s="27">
        <f>D6*(1+Assumptions!E$24)</f>
        <v/>
      </c>
      <c r="F6" s="27">
        <f>E6*(1+Assumptions!F$24)</f>
        <v/>
      </c>
      <c r="G6" s="27">
        <f>F6*(1+Assumptions!G$24)</f>
        <v/>
      </c>
    </row>
    <row r="7">
      <c r="A7" s="6" t="inlineStr">
        <is>
          <t>Conversion cost per unit</t>
        </is>
      </c>
      <c r="B7" s="27">
        <f>Assumptions!$C$48/100.0</f>
        <v/>
      </c>
      <c r="C7" s="27">
        <f>B7*(1+Assumptions!C$25)</f>
        <v/>
      </c>
      <c r="D7" s="27">
        <f>C7*(1+Assumptions!D$25)</f>
        <v/>
      </c>
      <c r="E7" s="27">
        <f>D7*(1+Assumptions!E$25)</f>
        <v/>
      </c>
      <c r="F7" s="27">
        <f>E7*(1+Assumptions!F$25)</f>
        <v/>
      </c>
      <c r="G7" s="27">
        <f>F7*(1+Assumptions!G$25)</f>
        <v/>
      </c>
    </row>
    <row r="8">
      <c r="A8" s="6" t="inlineStr">
        <is>
          <t>Materials (metal leg)</t>
        </is>
      </c>
      <c r="B8" s="28">
        <f>B5*B6</f>
        <v/>
      </c>
      <c r="C8" s="28">
        <f>C5*C6</f>
        <v/>
      </c>
      <c r="D8" s="28">
        <f>D5*D6</f>
        <v/>
      </c>
      <c r="E8" s="28">
        <f>E5*E6</f>
        <v/>
      </c>
      <c r="F8" s="28">
        <f>F5*F6</f>
        <v/>
      </c>
      <c r="G8" s="28">
        <f>G5*G6</f>
        <v/>
      </c>
    </row>
    <row r="9">
      <c r="A9" s="6" t="inlineStr">
        <is>
          <t>Conversion cost</t>
        </is>
      </c>
      <c r="B9" s="28">
        <f>B5*B7</f>
        <v/>
      </c>
      <c r="C9" s="28">
        <f>C5*C7</f>
        <v/>
      </c>
      <c r="D9" s="28">
        <f>D5*D7</f>
        <v/>
      </c>
      <c r="E9" s="28">
        <f>E5*E7</f>
        <v/>
      </c>
      <c r="F9" s="28">
        <f>F5*F7</f>
        <v/>
      </c>
      <c r="G9" s="28">
        <f>G5*G7</f>
        <v/>
      </c>
    </row>
    <row r="10">
      <c r="A10" s="6" t="inlineStr">
        <is>
          <t>Cost of revenue</t>
        </is>
      </c>
      <c r="B10" s="28">
        <f>B8+B9</f>
        <v/>
      </c>
      <c r="C10" s="28">
        <f>C8+C9</f>
        <v/>
      </c>
      <c r="D10" s="28">
        <f>D8+D9</f>
        <v/>
      </c>
      <c r="E10" s="28">
        <f>E8+E9</f>
        <v/>
      </c>
      <c r="F10" s="28">
        <f>F8+F9</f>
        <v/>
      </c>
      <c r="G10" s="28">
        <f>G8+G9</f>
        <v/>
      </c>
    </row>
    <row r="11">
      <c r="A11" s="6" t="inlineStr">
        <is>
          <t>Gross margin (target = anchor + glide)</t>
        </is>
      </c>
      <c r="B11" s="29" t="n">
        <v>0.1623940528853008</v>
      </c>
      <c r="C11" s="29">
        <f>Assumptions!$C$26+Assumptions!C$27</f>
        <v/>
      </c>
      <c r="D11" s="29">
        <f>Assumptions!$C$26+Assumptions!D$27</f>
        <v/>
      </c>
      <c r="E11" s="29">
        <f>Assumptions!$C$26+Assumptions!E$27</f>
        <v/>
      </c>
      <c r="F11" s="29">
        <f>Assumptions!$C$26+Assumptions!F$27</f>
        <v/>
      </c>
      <c r="G11" s="29">
        <f>Assumptions!$C$26+Assumptions!G$27</f>
        <v/>
      </c>
    </row>
    <row r="12">
      <c r="A12" s="6" t="inlineStr">
        <is>
          <t>Revenue</t>
        </is>
      </c>
      <c r="B12" s="19" t="n">
        <v>10673.604262</v>
      </c>
      <c r="C12" s="28">
        <f>C10/(1-C11)</f>
        <v/>
      </c>
      <c r="D12" s="28">
        <f>D10/(1-D11)</f>
        <v/>
      </c>
      <c r="E12" s="28">
        <f>E10/(1-E11)</f>
        <v/>
      </c>
      <c r="F12" s="28">
        <f>F10/(1-F11)</f>
        <v/>
      </c>
      <c r="G12" s="28">
        <f>G10/(1-G11)</f>
        <v/>
      </c>
    </row>
    <row r="13">
      <c r="A13" s="6" t="inlineStr">
        <is>
          <t>Gross profit</t>
        </is>
      </c>
      <c r="B13" s="19" t="n">
        <v>1733.329855</v>
      </c>
      <c r="C13" s="28">
        <f>C12-C10</f>
        <v/>
      </c>
      <c r="D13" s="28">
        <f>D12-D10</f>
        <v/>
      </c>
      <c r="E13" s="28">
        <f>E12-E10</f>
        <v/>
      </c>
      <c r="F13" s="28">
        <f>F12-F10</f>
        <v/>
      </c>
      <c r="G13" s="28">
        <f>G12-G10</f>
        <v/>
      </c>
    </row>
    <row r="14">
      <c r="A14" s="6" t="inlineStr">
        <is>
          <t>Operating expenses</t>
        </is>
      </c>
      <c r="C14" s="28">
        <f>Assumptions!C$28*C12</f>
        <v/>
      </c>
      <c r="D14" s="28">
        <f>Assumptions!D$28*D12</f>
        <v/>
      </c>
      <c r="E14" s="28">
        <f>Assumptions!E$28*E12</f>
        <v/>
      </c>
      <c r="F14" s="28">
        <f>Assumptions!F$28*F12</f>
        <v/>
      </c>
      <c r="G14" s="28">
        <f>Assumptions!G$28*G12</f>
        <v/>
      </c>
    </row>
    <row r="15">
      <c r="A15" s="6" t="inlineStr">
        <is>
          <t>Depreciation &amp; amortisation</t>
        </is>
      </c>
      <c r="C15" s="28">
        <f>Assumptions!$C$29*C12</f>
        <v/>
      </c>
      <c r="D15" s="28">
        <f>Assumptions!$C$29*D12</f>
        <v/>
      </c>
      <c r="E15" s="28">
        <f>Assumptions!$C$29*E12</f>
        <v/>
      </c>
      <c r="F15" s="28">
        <f>Assumptions!$C$29*F12</f>
        <v/>
      </c>
      <c r="G15" s="28">
        <f>Assumptions!$C$29*G12</f>
        <v/>
      </c>
    </row>
    <row r="16">
      <c r="A16" s="6" t="inlineStr">
        <is>
          <t>EBIT</t>
        </is>
      </c>
      <c r="C16" s="28">
        <f>C13-C14</f>
        <v/>
      </c>
      <c r="D16" s="28">
        <f>D13-D14</f>
        <v/>
      </c>
      <c r="E16" s="28">
        <f>E13-E14</f>
        <v/>
      </c>
      <c r="F16" s="28">
        <f>F13-F14</f>
        <v/>
      </c>
      <c r="G16" s="28">
        <f>G13-G14</f>
        <v/>
      </c>
    </row>
    <row r="17">
      <c r="A17" s="6" t="inlineStr">
        <is>
          <t>EBITDA</t>
        </is>
      </c>
      <c r="C17" s="28">
        <f>C16+C15</f>
        <v/>
      </c>
      <c r="D17" s="28">
        <f>D16+D15</f>
        <v/>
      </c>
      <c r="E17" s="28">
        <f>E16+E15</f>
        <v/>
      </c>
      <c r="F17" s="28">
        <f>F16+F15</f>
        <v/>
      </c>
      <c r="G17" s="28">
        <f>G16+G15</f>
        <v/>
      </c>
    </row>
    <row r="18">
      <c r="A18" s="6" t="inlineStr">
        <is>
          <t>EBITDA margin</t>
        </is>
      </c>
      <c r="C18" s="29">
        <f>C17/C12</f>
        <v/>
      </c>
      <c r="D18" s="29">
        <f>D17/D12</f>
        <v/>
      </c>
      <c r="E18" s="29">
        <f>E17/E12</f>
        <v/>
      </c>
      <c r="F18" s="29">
        <f>F17/F12</f>
        <v/>
      </c>
      <c r="G18" s="29">
        <f>G17/G12</f>
        <v/>
      </c>
    </row>
    <row r="20">
      <c r="A20" s="10" t="inlineStr">
        <is>
          <t>FY2025 disclosed segment revenue (Note 40)</t>
        </is>
      </c>
      <c r="B20" s="11" t="n"/>
      <c r="C20" s="11" t="n"/>
      <c r="D20" s="11" t="n"/>
      <c r="E20" s="11" t="n"/>
      <c r="F20" s="11" t="n"/>
      <c r="G20" s="11" t="n"/>
      <c r="H20" s="11" t="n"/>
    </row>
    <row r="21">
      <c r="A21" s="6" t="inlineStr">
        <is>
          <t>Cables and wires</t>
        </is>
      </c>
      <c r="B21" s="19" t="n">
        <v>10414.170668</v>
      </c>
      <c r="C21" s="9">
        <f>B21/B12</f>
        <v/>
      </c>
    </row>
    <row r="22">
      <c r="A22" s="6" t="inlineStr">
        <is>
          <t>High-voltage cables (turnkey projects)</t>
        </is>
      </c>
      <c r="B22" s="19" t="n">
        <v>230.839181</v>
      </c>
      <c r="C22" s="9">
        <f>B22/B12</f>
        <v/>
      </c>
    </row>
    <row r="23">
      <c r="A23" s="6" t="inlineStr">
        <is>
          <t>Other (telephone cables &amp; services)</t>
        </is>
      </c>
      <c r="B23" s="19" t="n">
        <v>28.594413</v>
      </c>
      <c r="C23" s="9">
        <f>B23/B12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Relative, normalised-earnings &amp; book lenses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Each base value is a live formula; bear/bull vary the multiple</t>
        </is>
      </c>
    </row>
    <row r="4">
      <c r="A4" s="11" t="inlineStr">
        <is>
          <t>Relative — EV/EBITDA on FY2027E</t>
        </is>
      </c>
      <c r="B4" s="11" t="n"/>
      <c r="C4" s="11" t="n"/>
      <c r="D4" s="11" t="n"/>
      <c r="E4" s="11" t="n"/>
      <c r="F4" s="11" t="n"/>
      <c r="G4" s="11" t="n"/>
    </row>
    <row r="5">
      <c r="A5" s="6" t="inlineStr">
        <is>
          <t>FY2027E EBITDA</t>
        </is>
      </c>
      <c r="C5" s="14">
        <f>Segments!D17</f>
        <v/>
      </c>
    </row>
    <row r="6">
      <c r="A6" s="6" t="inlineStr">
        <is>
          <t>Justified EV/EBITDA</t>
        </is>
      </c>
      <c r="C6" s="30">
        <f>Assumptions!$C$36</f>
        <v/>
      </c>
    </row>
    <row r="7">
      <c r="A7" s="6" t="inlineStr">
        <is>
          <t>PV of interim FY2026-27E FCFF</t>
        </is>
      </c>
      <c r="C7" s="14">
        <f>DCF!C28+DCF!D28</f>
        <v/>
      </c>
    </row>
    <row r="8">
      <c r="A8" s="31" t="inlineStr">
        <is>
          <t>Relative lens — implied value (base)</t>
        </is>
      </c>
      <c r="C8" s="32">
        <f>((C6*C5*DCF!D19+C7-Assumptions!$C$7+Assumptions!$C$53+Assumptions!$C$54-Assumptions!$C$55)/Assumptions!$C$6)*DCF!$C$50-Assumptions!$C$45</f>
        <v/>
      </c>
    </row>
    <row r="9">
      <c r="A9" s="6" t="inlineStr">
        <is>
          <t>Bear (7.5x) / Bull (11.0x)</t>
        </is>
      </c>
      <c r="C9" s="15">
        <f>((7.5*C5*DCF!D19+C7-Assumptions!$C$7+Assumptions!$C$53+Assumptions!$C$54-Assumptions!$C$55)/Assumptions!$C$6)*DCF!$C$50-Assumptions!$C$45</f>
        <v/>
      </c>
      <c r="D9" s="15">
        <f>((11*C5*DCF!D19+C7-Assumptions!$C$7+Assumptions!$C$53+Assumptions!$C$54-Assumptions!$C$55)/Assumptions!$C$6)*DCF!$C$50-Assumptions!$C$45</f>
        <v/>
      </c>
    </row>
    <row r="11">
      <c r="A11" s="11" t="inlineStr">
        <is>
          <t>Normalised earnings power</t>
        </is>
      </c>
      <c r="B11" s="11" t="n"/>
      <c r="C11" s="11" t="n"/>
      <c r="D11" s="11" t="n"/>
      <c r="E11" s="11" t="n"/>
      <c r="F11" s="11" t="n"/>
      <c r="G11" s="11" t="n"/>
    </row>
    <row r="12">
      <c r="A12" s="6" t="inlineStr">
        <is>
          <t>Mid-cycle EBITDA margin (FY2028E)</t>
        </is>
      </c>
      <c r="C12" s="33">
        <f>Segments!E18</f>
        <v/>
      </c>
    </row>
    <row r="13">
      <c r="A13" s="6" t="inlineStr">
        <is>
          <t>FY2026E revenue</t>
        </is>
      </c>
      <c r="C13" s="14">
        <f>Segments!C12</f>
        <v/>
      </c>
    </row>
    <row r="14">
      <c r="A14" s="6" t="inlineStr">
        <is>
          <t>FY2026E net interest</t>
        </is>
      </c>
      <c r="C14" s="14">
        <f>'Balance Sheet'!C19</f>
        <v/>
      </c>
    </row>
    <row r="15">
      <c r="A15" s="6" t="inlineStr">
        <is>
          <t>Normalised EPS</t>
        </is>
      </c>
      <c r="C15" s="15">
        <f>((C12*C13-Assumptions!$C$29*C13)-C14)*(1-Assumptions!$C$14)*(1-0.004060669885351275)/Assumptions!$C$6</f>
        <v/>
      </c>
    </row>
    <row r="16">
      <c r="A16" s="31" t="inlineStr">
        <is>
          <t>Normalised lens — implied value (base)</t>
        </is>
      </c>
      <c r="C16" s="32">
        <f>(Assumptions!$C$37*C15)*DCF!$C$50-Assumptions!$C$45</f>
        <v/>
      </c>
    </row>
    <row r="17">
      <c r="A17" s="6" t="inlineStr">
        <is>
          <t>Bear (10x) / Bull (16x)</t>
        </is>
      </c>
      <c r="C17" s="15">
        <f>(10*C15)*DCF!$C$50-Assumptions!$C$45</f>
        <v/>
      </c>
      <c r="D17" s="15">
        <f>(16*C15)*DCF!$C$50-Assumptions!$C$45</f>
        <v/>
      </c>
    </row>
    <row r="19">
      <c r="A19" s="11" t="inlineStr">
        <is>
          <t>Book value &amp; sustainable return</t>
        </is>
      </c>
      <c r="B19" s="11" t="n"/>
      <c r="C19" s="11" t="n"/>
      <c r="D19" s="11" t="n"/>
      <c r="E19" s="11" t="n"/>
      <c r="F19" s="11" t="n"/>
      <c r="G19" s="11" t="n"/>
    </row>
    <row r="20">
      <c r="A20" s="6" t="inlineStr">
        <is>
          <t>Book value per share</t>
        </is>
      </c>
      <c r="C20" s="15">
        <f>Assumptions!$C$52/Assumptions!$C$6</f>
        <v/>
      </c>
    </row>
    <row r="21">
      <c r="A21" s="6" t="inlineStr">
        <is>
          <t>Justified price / book</t>
        </is>
      </c>
      <c r="C21" s="34">
        <f>(Assumptions!$C$38-Assumptions!$C$21)/(DCF!C11-Assumptions!$C$21)</f>
        <v/>
      </c>
    </row>
    <row r="22">
      <c r="A22" s="31" t="inlineStr">
        <is>
          <t>Book lens — implied value (base)</t>
        </is>
      </c>
      <c r="C22" s="32">
        <f>(C21*C20)*DCF!$C$50-Assumptions!$C$45</f>
        <v/>
      </c>
    </row>
    <row r="23">
      <c r="A23" s="6" t="inlineStr">
        <is>
          <t>Bear / Bull</t>
        </is>
      </c>
      <c r="C23" s="15">
        <f>(((Assumptions!$C$38)-0.05-Assumptions!$C$21)/(DCF!C6-Assumptions!$C$21)*C20)*DCF!$C$50-Assumptions!$C$45</f>
        <v/>
      </c>
      <c r="D23" s="15">
        <f>(((Assumptions!$C$38)+0.03-Assumptions!$C$21)/(DCF!C11-Assumptions!$C$21)*C20)*DCF!$C$50-Assumptions!$C$45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Discounted cash flow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Cost of capital built from drivers; glide from the cost-of-debt path; terminal ROIC-consistent</t>
        </is>
      </c>
    </row>
    <row r="4">
      <c r="A4" s="11" t="inlineStr">
        <is>
          <t>Cost of capital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6" t="inlineStr">
        <is>
          <t>Normalised risk-free rate rf*</t>
        </is>
      </c>
      <c r="C5" s="29">
        <f>Assumptions!$C$9-Assumptions!$C$10</f>
        <v/>
      </c>
    </row>
    <row r="6">
      <c r="A6" s="6" t="inlineStr">
        <is>
          <t>Cost of equity Ke</t>
        </is>
      </c>
      <c r="C6" s="29">
        <f>C5+Assumptions!$C$12*Assumptions!$C$11</f>
        <v/>
      </c>
    </row>
    <row r="7">
      <c r="A7" s="6" t="inlineStr">
        <is>
          <t>Cost of debt after tax</t>
        </is>
      </c>
      <c r="C7" s="29">
        <f>Assumptions!$C$13*(1-Assumptions!$C$14)</f>
        <v/>
      </c>
    </row>
    <row r="8">
      <c r="A8" s="6" t="inlineStr">
        <is>
          <t>Market capitalisation</t>
        </is>
      </c>
      <c r="C8" s="28">
        <f>Assumptions!$C$5*Assumptions!$C$6</f>
        <v/>
      </c>
    </row>
    <row r="9">
      <c r="A9" s="6" t="inlineStr">
        <is>
          <t>Net-debt weight</t>
        </is>
      </c>
      <c r="C9" s="29">
        <f>Assumptions!$C$7/(Assumptions!$C$7+C8)</f>
        <v/>
      </c>
    </row>
    <row r="10">
      <c r="A10" s="31" t="inlineStr">
        <is>
          <t>WACC — explicit window</t>
        </is>
      </c>
      <c r="C10" s="35">
        <f>(1-C9)*C6+C9*C7</f>
        <v/>
      </c>
    </row>
    <row r="11">
      <c r="A11" s="6" t="inlineStr">
        <is>
          <t>Terminal cost of equity</t>
        </is>
      </c>
      <c r="C11" s="29">
        <f>Assumptions!$C$16+Assumptions!$C$18*Assumptions!$C$17</f>
        <v/>
      </c>
    </row>
    <row r="12">
      <c r="A12" s="6" t="inlineStr">
        <is>
          <t>Terminal cost of debt after tax</t>
        </is>
      </c>
      <c r="C12" s="29">
        <f>Assumptions!$C$19*(1-Assumptions!$C$14)</f>
        <v/>
      </c>
    </row>
    <row r="13">
      <c r="A13" s="31" t="inlineStr">
        <is>
          <t>WACC — terminal</t>
        </is>
      </c>
      <c r="C13" s="35">
        <f>(1-Assumptions!$C$20)*C11+Assumptions!$C$20*C12</f>
        <v/>
      </c>
    </row>
    <row r="15">
      <c r="A15" s="11" t="inlineStr">
        <is>
          <t>Discount-rate glide &amp; waterfall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5" t="inlineStr">
        <is>
          <t>SAR mn</t>
        </is>
      </c>
      <c r="B16" s="5" t="inlineStr">
        <is>
          <t>FY2026E</t>
        </is>
      </c>
      <c r="C16" s="5" t="inlineStr">
        <is>
          <t>FY2027E</t>
        </is>
      </c>
      <c r="D16" s="5" t="inlineStr">
        <is>
          <t>FY2028E</t>
        </is>
      </c>
      <c r="E16" s="5" t="inlineStr">
        <is>
          <t>FY2029E</t>
        </is>
      </c>
      <c r="F16" s="5" t="inlineStr">
        <is>
          <t>FY2030E</t>
        </is>
      </c>
    </row>
    <row r="17">
      <c r="A17" s="6" t="inlineStr">
        <is>
          <t>Glide fraction (from Kd path)</t>
        </is>
      </c>
      <c r="C17" s="36">
        <f>(Assumptions!C$32-Assumptions!C$32)/(Assumptions!C$32-Assumptions!G$32)</f>
        <v/>
      </c>
      <c r="D17" s="36">
        <f>(Assumptions!C$32-Assumptions!D$32)/(Assumptions!C$32-Assumptions!G$32)</f>
        <v/>
      </c>
      <c r="E17" s="36">
        <f>(Assumptions!C$32-Assumptions!E$32)/(Assumptions!C$32-Assumptions!G$32)</f>
        <v/>
      </c>
      <c r="F17" s="36">
        <f>(Assumptions!C$32-Assumptions!F$32)/(Assumptions!C$32-Assumptions!G$32)</f>
        <v/>
      </c>
      <c r="G17" s="36">
        <f>(Assumptions!C$32-Assumptions!G$32)/(Assumptions!C$32-Assumptions!G$32)</f>
        <v/>
      </c>
    </row>
    <row r="18">
      <c r="A18" s="6" t="inlineStr">
        <is>
          <t>Forward WACC</t>
        </is>
      </c>
      <c r="C18" s="29">
        <f>C10-(C10-C13)*C17</f>
        <v/>
      </c>
      <c r="D18" s="29">
        <f>C10-(C10-C13)*D17</f>
        <v/>
      </c>
      <c r="E18" s="29">
        <f>C10-(C10-C13)*E17</f>
        <v/>
      </c>
      <c r="F18" s="29">
        <f>C10-(C10-C13)*F17</f>
        <v/>
      </c>
      <c r="G18" s="29">
        <f>C10-(C10-C13)*G17</f>
        <v/>
      </c>
    </row>
    <row r="19">
      <c r="A19" s="6" t="inlineStr">
        <is>
          <t>Discount factor</t>
        </is>
      </c>
      <c r="C19" s="36">
        <f>1/(1+C18)</f>
        <v/>
      </c>
      <c r="D19" s="36">
        <f>C19/(1+D18)</f>
        <v/>
      </c>
      <c r="E19" s="36">
        <f>D19/(1+E18)</f>
        <v/>
      </c>
      <c r="F19" s="36">
        <f>E19/(1+F18)</f>
        <v/>
      </c>
      <c r="G19" s="36">
        <f>F19/(1+G18)</f>
        <v/>
      </c>
    </row>
    <row r="20">
      <c r="A20" s="6" t="inlineStr">
        <is>
          <t>EBIT</t>
        </is>
      </c>
      <c r="C20" s="14">
        <f>Segments!C16</f>
        <v/>
      </c>
      <c r="D20" s="14">
        <f>Segments!D16</f>
        <v/>
      </c>
      <c r="E20" s="14">
        <f>Segments!E16</f>
        <v/>
      </c>
      <c r="F20" s="14">
        <f>Segments!F16</f>
        <v/>
      </c>
      <c r="G20" s="14">
        <f>Segments!G16</f>
        <v/>
      </c>
    </row>
    <row r="21">
      <c r="A21" s="6" t="inlineStr">
        <is>
          <t>NOPAT = EBIT x (1 - tax)</t>
        </is>
      </c>
      <c r="C21" s="28">
        <f>C20*(1-Assumptions!$C$14)</f>
        <v/>
      </c>
      <c r="D21" s="28">
        <f>D20*(1-Assumptions!$C$14)</f>
        <v/>
      </c>
      <c r="E21" s="28">
        <f>E20*(1-Assumptions!$C$14)</f>
        <v/>
      </c>
      <c r="F21" s="28">
        <f>F20*(1-Assumptions!$C$14)</f>
        <v/>
      </c>
      <c r="G21" s="28">
        <f>G20*(1-Assumptions!$C$14)</f>
        <v/>
      </c>
    </row>
    <row r="22">
      <c r="A22" s="6" t="inlineStr">
        <is>
          <t>+ Depreciation &amp; amortisation</t>
        </is>
      </c>
      <c r="C22" s="14">
        <f>Segments!C15</f>
        <v/>
      </c>
      <c r="D22" s="14">
        <f>Segments!D15</f>
        <v/>
      </c>
      <c r="E22" s="14">
        <f>Segments!E15</f>
        <v/>
      </c>
      <c r="F22" s="14">
        <f>Segments!F15</f>
        <v/>
      </c>
      <c r="G22" s="14">
        <f>Segments!G15</f>
        <v/>
      </c>
    </row>
    <row r="23">
      <c r="A23" s="6" t="inlineStr">
        <is>
          <t>Revenue (memo)</t>
        </is>
      </c>
      <c r="C23" s="14">
        <f>Segments!C12</f>
        <v/>
      </c>
      <c r="D23" s="14">
        <f>Segments!D12</f>
        <v/>
      </c>
      <c r="E23" s="14">
        <f>Segments!E12</f>
        <v/>
      </c>
      <c r="F23" s="14">
        <f>Segments!F12</f>
        <v/>
      </c>
      <c r="G23" s="14">
        <f>Segments!G12</f>
        <v/>
      </c>
    </row>
    <row r="24">
      <c r="A24" s="6" t="inlineStr">
        <is>
          <t>- Capital expenditure</t>
        </is>
      </c>
      <c r="C24" s="28">
        <f>Assumptions!C$30*C23</f>
        <v/>
      </c>
      <c r="D24" s="28">
        <f>Assumptions!D$30*D23</f>
        <v/>
      </c>
      <c r="E24" s="28">
        <f>Assumptions!E$30*E23</f>
        <v/>
      </c>
      <c r="F24" s="28">
        <f>Assumptions!F$30*F23</f>
        <v/>
      </c>
      <c r="G24" s="28">
        <f>Assumptions!G$30*G23</f>
        <v/>
      </c>
    </row>
    <row r="25">
      <c r="A25" s="6" t="inlineStr">
        <is>
          <t>Net working capital</t>
        </is>
      </c>
      <c r="C25" s="28">
        <f>Assumptions!$C$31*C23</f>
        <v/>
      </c>
      <c r="D25" s="28">
        <f>Assumptions!$C$31*D23</f>
        <v/>
      </c>
      <c r="E25" s="28">
        <f>Assumptions!$C$31*E23</f>
        <v/>
      </c>
      <c r="F25" s="28">
        <f>Assumptions!$C$31*F23</f>
        <v/>
      </c>
      <c r="G25" s="28">
        <f>Assumptions!$C$31*G23</f>
        <v/>
      </c>
    </row>
    <row r="26">
      <c r="A26" s="6" t="inlineStr">
        <is>
          <t>- Change in working capital</t>
        </is>
      </c>
      <c r="C26" s="28">
        <f>C25-Assumptions!$C$49</f>
        <v/>
      </c>
      <c r="D26" s="28">
        <f>D25-C25</f>
        <v/>
      </c>
      <c r="E26" s="28">
        <f>E25-D25</f>
        <v/>
      </c>
      <c r="F26" s="28">
        <f>F25-E25</f>
        <v/>
      </c>
      <c r="G26" s="28">
        <f>G25-F25</f>
        <v/>
      </c>
    </row>
    <row r="27">
      <c r="A27" s="31" t="inlineStr">
        <is>
          <t>Free cash flow to firm</t>
        </is>
      </c>
      <c r="C27" s="37">
        <f>C21+C22-C24-C26</f>
        <v/>
      </c>
      <c r="D27" s="37">
        <f>D21+D22-D24-D26</f>
        <v/>
      </c>
      <c r="E27" s="37">
        <f>E21+E22-E24-E26</f>
        <v/>
      </c>
      <c r="F27" s="37">
        <f>F21+F22-F24-F26</f>
        <v/>
      </c>
      <c r="G27" s="37">
        <f>G21+G22-G24-G26</f>
        <v/>
      </c>
    </row>
    <row r="28">
      <c r="A28" s="6" t="inlineStr">
        <is>
          <t>PV of FCFF</t>
        </is>
      </c>
      <c r="C28" s="28">
        <f>C27*C19</f>
        <v/>
      </c>
      <c r="D28" s="28">
        <f>D27*D19</f>
        <v/>
      </c>
      <c r="E28" s="28">
        <f>E27*E19</f>
        <v/>
      </c>
      <c r="F28" s="28">
        <f>F27*F19</f>
        <v/>
      </c>
      <c r="G28" s="28">
        <f>G27*G19</f>
        <v/>
      </c>
    </row>
    <row r="30">
      <c r="A30" s="11" t="inlineStr">
        <is>
          <t>Invested capital &amp; terminal</t>
        </is>
      </c>
      <c r="B30" s="11" t="n"/>
      <c r="C30" s="11" t="n"/>
      <c r="D30" s="11" t="n"/>
      <c r="E30" s="11" t="n"/>
      <c r="F30" s="11" t="n"/>
      <c r="G30" s="11" t="n"/>
      <c r="H30" s="11" t="n"/>
    </row>
    <row r="31">
      <c r="A31" s="6" t="inlineStr">
        <is>
          <t>PP&amp;E roll-forward</t>
        </is>
      </c>
      <c r="C31" s="28">
        <f>Assumptions!$C$50+C24-C22</f>
        <v/>
      </c>
      <c r="D31" s="28">
        <f>C31+D24-D22</f>
        <v/>
      </c>
      <c r="E31" s="28">
        <f>D31+E24-E22</f>
        <v/>
      </c>
      <c r="F31" s="28">
        <f>E31+F24-F22</f>
        <v/>
      </c>
      <c r="G31" s="28">
        <f>F31+G24-G22</f>
        <v/>
      </c>
    </row>
    <row r="32">
      <c r="A32" s="6" t="inlineStr">
        <is>
          <t>Invested capital = NWC + PP&amp;E</t>
        </is>
      </c>
      <c r="C32" s="28">
        <f>C25+C31</f>
        <v/>
      </c>
      <c r="D32" s="28">
        <f>D25+D31</f>
        <v/>
      </c>
      <c r="E32" s="28">
        <f>E25+E31</f>
        <v/>
      </c>
      <c r="F32" s="28">
        <f>F25+F31</f>
        <v/>
      </c>
      <c r="G32" s="28">
        <f>G25+G31</f>
        <v/>
      </c>
    </row>
    <row r="33">
      <c r="A33" s="6" t="inlineStr">
        <is>
          <t>ROIC = NOPAT / invested capital</t>
        </is>
      </c>
      <c r="C33" s="29">
        <f>C21/C32</f>
        <v/>
      </c>
      <c r="D33" s="29">
        <f>D21/D32</f>
        <v/>
      </c>
      <c r="E33" s="29">
        <f>E21/E32</f>
        <v/>
      </c>
      <c r="F33" s="29">
        <f>F21/F32</f>
        <v/>
      </c>
      <c r="G33" s="29">
        <f>G21/G32</f>
        <v/>
      </c>
    </row>
    <row r="35">
      <c r="A35" s="6" t="inlineStr">
        <is>
          <t>PV of explicit FCFF (5 years)</t>
        </is>
      </c>
      <c r="C35" s="28">
        <f>SUM(C28:G28)</f>
        <v/>
      </c>
    </row>
    <row r="36">
      <c r="A36" s="6" t="inlineStr">
        <is>
          <t>Terminal ROIC</t>
        </is>
      </c>
      <c r="C36" s="29">
        <f>G21*(1+Assumptions!$C$21)/G32</f>
        <v/>
      </c>
    </row>
    <row r="37">
      <c r="A37" s="6" t="inlineStr">
        <is>
          <t>Terminal reinvestment rate = g / ROIC</t>
        </is>
      </c>
      <c r="C37" s="29">
        <f>Assumptions!$C$21/C36</f>
        <v/>
      </c>
    </row>
    <row r="38">
      <c r="A38" s="6" t="inlineStr">
        <is>
          <t>Terminal NOPAT (next year)</t>
        </is>
      </c>
      <c r="C38" s="28">
        <f>G21*(1+Assumptions!$C$21)</f>
        <v/>
      </c>
    </row>
    <row r="39">
      <c r="A39" s="6" t="inlineStr">
        <is>
          <t>Terminal value</t>
        </is>
      </c>
      <c r="C39" s="28">
        <f>C38*(1-C37)/(C13-Assumptions!$C$21)</f>
        <v/>
      </c>
    </row>
    <row r="40">
      <c r="A40" s="6" t="inlineStr">
        <is>
          <t>PV of terminal value</t>
        </is>
      </c>
      <c r="C40" s="28">
        <f>C39*G19</f>
        <v/>
      </c>
    </row>
    <row r="41">
      <c r="A41" s="31" t="inlineStr">
        <is>
          <t>Enterprise value</t>
        </is>
      </c>
      <c r="C41" s="37">
        <f>C35+C40</f>
        <v/>
      </c>
    </row>
    <row r="42">
      <c r="A42" s="31" t="inlineStr">
        <is>
          <t>Terminal value as % of EV</t>
        </is>
      </c>
      <c r="C42" s="38">
        <f>C40/C41</f>
        <v/>
      </c>
    </row>
    <row r="44">
      <c r="A44" s="11" t="inlineStr">
        <is>
          <t>Enterprise value to equity</t>
        </is>
      </c>
      <c r="B44" s="11" t="n"/>
      <c r="C44" s="11" t="n"/>
      <c r="D44" s="11" t="n"/>
      <c r="E44" s="11" t="n"/>
      <c r="F44" s="11" t="n"/>
      <c r="G44" s="11" t="n"/>
      <c r="H44" s="11" t="n"/>
    </row>
    <row r="45">
      <c r="A45" s="6" t="inlineStr">
        <is>
          <t>Less: net financial debt</t>
        </is>
      </c>
      <c r="C45" s="28">
        <f>-Assumptions!$C$7</f>
        <v/>
      </c>
    </row>
    <row r="46">
      <c r="A46" s="6" t="inlineStr">
        <is>
          <t>Add: associates + non-operating assets</t>
        </is>
      </c>
      <c r="C46" s="28">
        <f>Assumptions!$C$53+Assumptions!$C$54</f>
        <v/>
      </c>
    </row>
    <row r="47">
      <c r="A47" s="6" t="inlineStr">
        <is>
          <t>Less: non-controlling interests</t>
        </is>
      </c>
      <c r="C47" s="28">
        <f>-Assumptions!$C$55</f>
        <v/>
      </c>
    </row>
    <row r="48">
      <c r="A48" s="31" t="inlineStr">
        <is>
          <t>Equity attributable (31-Dec-2025)</t>
        </is>
      </c>
      <c r="C48" s="37">
        <f>C41+C45+C46+C47</f>
        <v/>
      </c>
    </row>
    <row r="49">
      <c r="A49" s="6" t="inlineStr">
        <is>
          <t>Value per share (31-Dec-2025)</t>
        </is>
      </c>
      <c r="C49" s="15">
        <f>C48/Assumptions!$C$6</f>
        <v/>
      </c>
    </row>
    <row r="50">
      <c r="A50" s="6" t="inlineStr">
        <is>
          <t>Anchor accretion factor</t>
        </is>
      </c>
      <c r="C50" s="36">
        <f>(1+C6)^(Assumptions!$C$44/365)</f>
        <v/>
      </c>
    </row>
    <row r="51">
      <c r="A51" s="31" t="inlineStr">
        <is>
          <t>Value per share at anchor (18-Aug-2026)</t>
        </is>
      </c>
      <c r="C51" s="32">
        <f>C49*C50-Assumptions!$C$45</f>
        <v/>
      </c>
    </row>
    <row r="52">
      <c r="A52" s="6" t="inlineStr">
        <is>
          <t>vs spot</t>
        </is>
      </c>
      <c r="C52" s="9">
        <f>C51/Assumptions!$C$5-1</f>
        <v/>
      </c>
    </row>
    <row r="54">
      <c r="A54" s="11" t="inlineStr">
        <is>
          <t>DCF scenarios (whole-model re-runs — pasted)</t>
        </is>
      </c>
      <c r="B54" s="11" t="n"/>
      <c r="C54" s="11" t="n"/>
      <c r="D54" s="11" t="n"/>
      <c r="E54" s="11" t="n"/>
      <c r="F54" s="11" t="n"/>
      <c r="G54" s="11" t="n"/>
      <c r="H54" s="11" t="n"/>
    </row>
    <row r="55">
      <c r="A55" s="6" t="inlineStr">
        <is>
          <t>Bear</t>
        </is>
      </c>
      <c r="C55" s="17" t="n">
        <v>88.81423921232683</v>
      </c>
    </row>
    <row r="56">
      <c r="A56" s="6" t="inlineStr">
        <is>
          <t>Base (= value per share at anchor)</t>
        </is>
      </c>
      <c r="C56" s="7">
        <f>C51</f>
        <v/>
      </c>
    </row>
    <row r="57">
      <c r="A57" s="6" t="inlineStr">
        <is>
          <t>Bull</t>
        </is>
      </c>
      <c r="C57" s="17" t="n">
        <v>236.7719302390979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— 3y audited + 5y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SAR mn</t>
        </is>
      </c>
    </row>
    <row r="4">
      <c r="A4" s="5" t="inlineStr">
        <is>
          <t>SAR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C5" s="19" t="n">
        <v>7825.378127</v>
      </c>
      <c r="D5" s="19" t="n">
        <v>9007.360866999999</v>
      </c>
      <c r="E5" s="19" t="n">
        <v>10673.604262</v>
      </c>
      <c r="F5" s="14">
        <f>Segments!C12</f>
        <v/>
      </c>
      <c r="G5" s="14">
        <f>Segments!D12</f>
        <v/>
      </c>
      <c r="H5" s="14">
        <f>Segments!E12</f>
        <v/>
      </c>
      <c r="I5" s="14">
        <f>Segments!F12</f>
        <v/>
      </c>
      <c r="J5" s="14">
        <f>Segments!G12</f>
        <v/>
      </c>
    </row>
    <row r="6">
      <c r="A6" s="6" t="inlineStr">
        <is>
          <t>Gross profit</t>
        </is>
      </c>
      <c r="C6" s="19" t="n">
        <v>972.763438</v>
      </c>
      <c r="D6" s="19" t="n">
        <v>1286.522351</v>
      </c>
      <c r="E6" s="19" t="n">
        <v>1733.329855</v>
      </c>
      <c r="F6" s="14">
        <f>Segments!C13</f>
        <v/>
      </c>
      <c r="G6" s="14">
        <f>Segments!D13</f>
        <v/>
      </c>
      <c r="H6" s="14">
        <f>Segments!E13</f>
        <v/>
      </c>
      <c r="I6" s="14">
        <f>Segments!F13</f>
        <v/>
      </c>
      <c r="J6" s="14">
        <f>Segments!G13</f>
        <v/>
      </c>
    </row>
    <row r="7">
      <c r="A7" s="6" t="inlineStr">
        <is>
          <t>Gross margin</t>
        </is>
      </c>
      <c r="C7" s="29">
        <f>C6/C5</f>
        <v/>
      </c>
      <c r="D7" s="29">
        <f>D6/D5</f>
        <v/>
      </c>
      <c r="E7" s="29">
        <f>E6/E5</f>
        <v/>
      </c>
      <c r="F7" s="29">
        <f>F6/F5</f>
        <v/>
      </c>
      <c r="G7" s="29">
        <f>G6/G5</f>
        <v/>
      </c>
      <c r="H7" s="29">
        <f>H6/H5</f>
        <v/>
      </c>
      <c r="I7" s="29">
        <f>I6/I5</f>
        <v/>
      </c>
      <c r="J7" s="29">
        <f>J6/J5</f>
        <v/>
      </c>
    </row>
    <row r="8">
      <c r="A8" s="6" t="inlineStr">
        <is>
          <t>Operating expenses</t>
        </is>
      </c>
      <c r="C8" s="28">
        <f>C6-C11</f>
        <v/>
      </c>
      <c r="D8" s="28">
        <f>D6-D11</f>
        <v/>
      </c>
      <c r="E8" s="28">
        <f>E6-E11</f>
        <v/>
      </c>
      <c r="F8" s="14">
        <f>Segments!C14</f>
        <v/>
      </c>
      <c r="G8" s="14">
        <f>Segments!D14</f>
        <v/>
      </c>
      <c r="H8" s="14">
        <f>Segments!E14</f>
        <v/>
      </c>
      <c r="I8" s="14">
        <f>Segments!F14</f>
        <v/>
      </c>
      <c r="J8" s="14">
        <f>Segments!G14</f>
        <v/>
      </c>
    </row>
    <row r="9">
      <c r="A9" s="6" t="inlineStr">
        <is>
          <t>EBITDA</t>
        </is>
      </c>
      <c r="C9" s="28">
        <f>C11+C10</f>
        <v/>
      </c>
      <c r="D9" s="28">
        <f>D11+D10</f>
        <v/>
      </c>
      <c r="E9" s="28">
        <f>E11+E10</f>
        <v/>
      </c>
      <c r="F9" s="14">
        <f>Segments!C17</f>
        <v/>
      </c>
      <c r="G9" s="14">
        <f>Segments!D17</f>
        <v/>
      </c>
      <c r="H9" s="14">
        <f>Segments!E17</f>
        <v/>
      </c>
      <c r="I9" s="14">
        <f>Segments!F17</f>
        <v/>
      </c>
      <c r="J9" s="14">
        <f>Segments!G17</f>
        <v/>
      </c>
    </row>
    <row r="10">
      <c r="A10" s="6" t="inlineStr">
        <is>
          <t>Depreciation &amp; amortisation</t>
        </is>
      </c>
      <c r="C10" s="19" t="n">
        <v>68.643861</v>
      </c>
      <c r="D10" s="19" t="n">
        <v>68.643861</v>
      </c>
      <c r="E10" s="19" t="n">
        <v>85.39563699999999</v>
      </c>
      <c r="F10" s="14">
        <f>Segments!C15</f>
        <v/>
      </c>
      <c r="G10" s="14">
        <f>Segments!D15</f>
        <v/>
      </c>
      <c r="H10" s="14">
        <f>Segments!E15</f>
        <v/>
      </c>
      <c r="I10" s="14">
        <f>Segments!F15</f>
        <v/>
      </c>
      <c r="J10" s="14">
        <f>Segments!G15</f>
        <v/>
      </c>
    </row>
    <row r="11">
      <c r="A11" s="6" t="inlineStr">
        <is>
          <t>Operating profit (EBIT)</t>
        </is>
      </c>
      <c r="C11" s="19" t="n">
        <v>647.606782</v>
      </c>
      <c r="D11" s="19" t="n">
        <v>968.439154</v>
      </c>
      <c r="E11" s="19" t="n">
        <v>1266.636844</v>
      </c>
      <c r="F11" s="14">
        <f>Segments!C16</f>
        <v/>
      </c>
      <c r="G11" s="14">
        <f>Segments!D16</f>
        <v/>
      </c>
      <c r="H11" s="14">
        <f>Segments!E16</f>
        <v/>
      </c>
      <c r="I11" s="14">
        <f>Segments!F16</f>
        <v/>
      </c>
      <c r="J11" s="14">
        <f>Segments!G16</f>
        <v/>
      </c>
    </row>
    <row r="12">
      <c r="A12" s="6" t="inlineStr">
        <is>
          <t>Net finance cost</t>
        </is>
      </c>
      <c r="C12" s="19" t="n">
        <v>-89.01433400000001</v>
      </c>
      <c r="D12" s="19" t="n">
        <v>-87.66669899999999</v>
      </c>
      <c r="E12" s="19" t="n">
        <v>-74.15399499999999</v>
      </c>
      <c r="F12" s="14">
        <f>-'Balance Sheet'!C19</f>
        <v/>
      </c>
      <c r="G12" s="14">
        <f>-'Balance Sheet'!D19</f>
        <v/>
      </c>
      <c r="H12" s="14">
        <f>-'Balance Sheet'!E19</f>
        <v/>
      </c>
      <c r="I12" s="14">
        <f>-'Balance Sheet'!F19</f>
        <v/>
      </c>
      <c r="J12" s="14">
        <f>-'Balance Sheet'!G19</f>
        <v/>
      </c>
    </row>
    <row r="13">
      <c r="A13" s="6" t="inlineStr">
        <is>
          <t>Profit before zakat</t>
        </is>
      </c>
      <c r="C13" s="28">
        <f>C11+C12</f>
        <v/>
      </c>
      <c r="D13" s="28">
        <f>D11+D12</f>
        <v/>
      </c>
      <c r="E13" s="28">
        <f>E11+E12</f>
        <v/>
      </c>
      <c r="F13" s="28">
        <f>F11+F12</f>
        <v/>
      </c>
      <c r="G13" s="28">
        <f>G11+G12</f>
        <v/>
      </c>
      <c r="H13" s="28">
        <f>H11+H12</f>
        <v/>
      </c>
      <c r="I13" s="28">
        <f>I11+I12</f>
        <v/>
      </c>
      <c r="J13" s="28">
        <f>J11+J12</f>
        <v/>
      </c>
    </row>
    <row r="14">
      <c r="A14" s="6" t="inlineStr">
        <is>
          <t>Zakat &amp; income tax</t>
        </is>
      </c>
      <c r="C14" s="19" t="n">
        <v>-39.126206</v>
      </c>
      <c r="D14" s="19" t="n">
        <v>-63.891298</v>
      </c>
      <c r="E14" s="19" t="n">
        <v>-107.681788</v>
      </c>
      <c r="F14" s="28">
        <f>-F13*Assumptions!$C$14</f>
        <v/>
      </c>
      <c r="G14" s="28">
        <f>-G13*Assumptions!$C$14</f>
        <v/>
      </c>
      <c r="H14" s="28">
        <f>-H13*Assumptions!$C$14</f>
        <v/>
      </c>
      <c r="I14" s="28">
        <f>-I13*Assumptions!$C$14</f>
        <v/>
      </c>
      <c r="J14" s="28">
        <f>-J13*Assumptions!$C$14</f>
        <v/>
      </c>
    </row>
    <row r="15">
      <c r="A15" s="6" t="inlineStr">
        <is>
          <t>Profit for the year</t>
        </is>
      </c>
      <c r="C15" s="19" t="n">
        <v>518.492623</v>
      </c>
      <c r="D15" s="19" t="n">
        <v>816.881157</v>
      </c>
      <c r="E15" s="19" t="n">
        <v>1084.801061</v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</row>
    <row r="16">
      <c r="A16" s="6" t="inlineStr">
        <is>
          <t>Attributable profit</t>
        </is>
      </c>
      <c r="E16" s="19" t="n">
        <v>1080.396042</v>
      </c>
      <c r="F16" s="14">
        <f>'Balance Sheet'!C22</f>
        <v/>
      </c>
      <c r="G16" s="14">
        <f>'Balance Sheet'!D22</f>
        <v/>
      </c>
      <c r="H16" s="14">
        <f>'Balance Sheet'!E22</f>
        <v/>
      </c>
      <c r="I16" s="14">
        <f>'Balance Sheet'!F22</f>
        <v/>
      </c>
      <c r="J16" s="14">
        <f>'Balance Sheet'!G22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— audited history + forecast roll-forward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SAR mn; FY2023-25 audited, FY2026E-30E rolled forward from the cash flow</t>
        </is>
      </c>
    </row>
    <row r="4">
      <c r="A4" s="5" t="inlineStr">
        <is>
          <t>SAR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Property, plant &amp; equipment</t>
        </is>
      </c>
      <c r="C5" s="19" t="n">
        <v>1206.659875</v>
      </c>
      <c r="D5" s="19" t="n">
        <v>1336.038944</v>
      </c>
      <c r="E5" s="19" t="n">
        <v>1491.86312</v>
      </c>
      <c r="F5" s="14">
        <f>DCF!C31</f>
        <v/>
      </c>
      <c r="G5" s="14">
        <f>DCF!D31</f>
        <v/>
      </c>
      <c r="H5" s="14">
        <f>DCF!E31</f>
        <v/>
      </c>
      <c r="I5" s="14">
        <f>DCF!F31</f>
        <v/>
      </c>
      <c r="J5" s="14">
        <f>DCF!G31</f>
        <v/>
      </c>
    </row>
    <row r="6">
      <c r="A6" s="6" t="inlineStr">
        <is>
          <t>Inventory</t>
        </is>
      </c>
      <c r="C6" s="19" t="n">
        <v>1909.11144</v>
      </c>
      <c r="D6" s="19" t="n">
        <v>2126.036688</v>
      </c>
      <c r="E6" s="19" t="n">
        <v>2411.049305</v>
      </c>
    </row>
    <row r="7">
      <c r="A7" s="6" t="inlineStr">
        <is>
          <t>Trade &amp; other receivables</t>
        </is>
      </c>
      <c r="C7" s="19" t="n">
        <v>1418.920843</v>
      </c>
      <c r="D7" s="19" t="n">
        <v>2112.098567</v>
      </c>
      <c r="E7" s="19" t="n">
        <v>2712.677113</v>
      </c>
    </row>
    <row r="8">
      <c r="A8" s="6" t="inlineStr">
        <is>
          <t>Cash &amp; equivalents</t>
        </is>
      </c>
      <c r="C8" s="19" t="n">
        <v>150.051628</v>
      </c>
      <c r="D8" s="19" t="n">
        <v>90.672725</v>
      </c>
      <c r="E8" s="19" t="n">
        <v>236.043009</v>
      </c>
    </row>
    <row r="9">
      <c r="A9" s="6" t="inlineStr">
        <is>
          <t>Total assets</t>
        </is>
      </c>
      <c r="C9" s="19" t="n">
        <v>4830.929068</v>
      </c>
      <c r="D9" s="19" t="n">
        <v>5811.584098</v>
      </c>
      <c r="E9" s="19" t="n">
        <v>7281.581695</v>
      </c>
    </row>
    <row r="10">
      <c r="A10" s="6" t="inlineStr">
        <is>
          <t>Gross borrowings incl. leases</t>
        </is>
      </c>
      <c r="C10" s="19" t="n">
        <v>730.611837</v>
      </c>
      <c r="D10" s="19" t="n">
        <v>440.445599</v>
      </c>
      <c r="E10" s="19" t="n">
        <v>621.216217</v>
      </c>
      <c r="F10" s="14">
        <f>Assumptions!$C$51</f>
        <v/>
      </c>
      <c r="G10" s="14">
        <f>Assumptions!$C$51</f>
        <v/>
      </c>
      <c r="H10" s="14">
        <f>Assumptions!$C$51</f>
        <v/>
      </c>
      <c r="I10" s="14">
        <f>Assumptions!$C$51</f>
        <v/>
      </c>
      <c r="J10" s="14">
        <f>Assumptions!$C$51</f>
        <v/>
      </c>
    </row>
    <row r="11">
      <c r="A11" s="6" t="inlineStr">
        <is>
          <t>Trade &amp; other payables</t>
        </is>
      </c>
      <c r="C11" s="19" t="n">
        <v>1220.387691</v>
      </c>
      <c r="D11" s="19" t="n">
        <v>2040.707151</v>
      </c>
      <c r="E11" s="19" t="n">
        <v>2190.467493</v>
      </c>
    </row>
    <row r="12">
      <c r="A12" s="6" t="inlineStr">
        <is>
          <t>Net working capital</t>
        </is>
      </c>
      <c r="C12" s="19" t="n">
        <v>2107.644592</v>
      </c>
      <c r="D12" s="19" t="n">
        <v>2197.428104</v>
      </c>
      <c r="E12" s="19" t="n">
        <v>2933.258925</v>
      </c>
      <c r="F12" s="14">
        <f>DCF!C25</f>
        <v/>
      </c>
      <c r="G12" s="14">
        <f>DCF!D25</f>
        <v/>
      </c>
      <c r="H12" s="14">
        <f>DCF!E25</f>
        <v/>
      </c>
      <c r="I12" s="14">
        <f>DCF!F25</f>
        <v/>
      </c>
      <c r="J12" s="14">
        <f>DCF!G25</f>
        <v/>
      </c>
    </row>
    <row r="13">
      <c r="A13" s="6" t="inlineStr">
        <is>
          <t>Net financial debt</t>
        </is>
      </c>
      <c r="C13" s="19" t="n">
        <v>580.560209</v>
      </c>
      <c r="D13" s="19" t="n">
        <v>349.772874</v>
      </c>
      <c r="E13" s="19" t="n">
        <v>385.173208</v>
      </c>
      <c r="F13" s="14">
        <f>C24</f>
        <v/>
      </c>
      <c r="G13" s="14">
        <f>D24</f>
        <v/>
      </c>
      <c r="H13" s="14">
        <f>E24</f>
        <v/>
      </c>
      <c r="I13" s="14">
        <f>F24</f>
        <v/>
      </c>
      <c r="J13" s="14">
        <f>G24</f>
        <v/>
      </c>
    </row>
    <row r="14">
      <c r="A14" s="6" t="inlineStr">
        <is>
          <t>Equity attributable</t>
        </is>
      </c>
      <c r="D14" s="19" t="n">
        <v>2624.35365</v>
      </c>
      <c r="E14" s="19" t="n">
        <v>3246.136935</v>
      </c>
      <c r="F14" s="14">
        <f>C25</f>
        <v/>
      </c>
      <c r="G14" s="14">
        <f>D25</f>
        <v/>
      </c>
      <c r="H14" s="14">
        <f>E25</f>
        <v/>
      </c>
      <c r="I14" s="14">
        <f>F25</f>
        <v/>
      </c>
      <c r="J14" s="14">
        <f>G25</f>
        <v/>
      </c>
    </row>
    <row r="16">
      <c r="A16" s="11" t="inlineStr">
        <is>
          <t>Forecast roll-forward (feeds the income statement &amp; lenses)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6" t="inlineStr">
        <is>
          <t>Net debt, start of year</t>
        </is>
      </c>
      <c r="C17" s="28">
        <f>Assumptions!$C$7</f>
        <v/>
      </c>
      <c r="D17" s="28">
        <f>C24</f>
        <v/>
      </c>
      <c r="E17" s="28">
        <f>D24</f>
        <v/>
      </c>
      <c r="F17" s="28">
        <f>E24</f>
        <v/>
      </c>
      <c r="G17" s="28">
        <f>F24</f>
        <v/>
      </c>
    </row>
    <row r="18">
      <c r="A18" s="6" t="inlineStr">
        <is>
          <t>Surplus cash</t>
        </is>
      </c>
      <c r="C18" s="28">
        <f>Assumptions!$C$51-C17</f>
        <v/>
      </c>
      <c r="D18" s="28">
        <f>Assumptions!$C$51-D17</f>
        <v/>
      </c>
      <c r="E18" s="28">
        <f>Assumptions!$C$51-E17</f>
        <v/>
      </c>
      <c r="F18" s="28">
        <f>Assumptions!$C$51-F17</f>
        <v/>
      </c>
      <c r="G18" s="28">
        <f>Assumptions!$C$51-G17</f>
        <v/>
      </c>
    </row>
    <row r="19">
      <c r="A19" s="6" t="inlineStr">
        <is>
          <t>Net interest</t>
        </is>
      </c>
      <c r="C19" s="28">
        <f>Assumptions!C$32*Assumptions!$C$51-Assumptions!$C$34*MAX(C18,0)</f>
        <v/>
      </c>
      <c r="D19" s="28">
        <f>Assumptions!D$32*Assumptions!$C$51-Assumptions!$C$34*MAX(D18,0)</f>
        <v/>
      </c>
      <c r="E19" s="28">
        <f>Assumptions!E$32*Assumptions!$C$51-Assumptions!$C$34*MAX(E18,0)</f>
        <v/>
      </c>
      <c r="F19" s="28">
        <f>Assumptions!F$32*Assumptions!$C$51-Assumptions!$C$34*MAX(F18,0)</f>
        <v/>
      </c>
      <c r="G19" s="28">
        <f>Assumptions!G$32*Assumptions!$C$51-Assumptions!$C$34*MAX(G18,0)</f>
        <v/>
      </c>
    </row>
    <row r="20">
      <c r="A20" s="6" t="inlineStr">
        <is>
          <t>EBIT (from DCF)</t>
        </is>
      </c>
      <c r="C20" s="14">
        <f>DCF!C20</f>
        <v/>
      </c>
      <c r="D20" s="14">
        <f>DCF!D20</f>
        <v/>
      </c>
      <c r="E20" s="14">
        <f>DCF!E20</f>
        <v/>
      </c>
      <c r="F20" s="14">
        <f>DCF!F20</f>
        <v/>
      </c>
      <c r="G20" s="14">
        <f>DCF!G20</f>
        <v/>
      </c>
    </row>
    <row r="21">
      <c r="A21" s="6" t="inlineStr">
        <is>
          <t>Profit before zakat</t>
        </is>
      </c>
      <c r="C21" s="28">
        <f>C20-C19</f>
        <v/>
      </c>
      <c r="D21" s="28">
        <f>D20-D19</f>
        <v/>
      </c>
      <c r="E21" s="28">
        <f>E20-E19</f>
        <v/>
      </c>
      <c r="F21" s="28">
        <f>F20-F19</f>
        <v/>
      </c>
      <c r="G21" s="28">
        <f>G20-G19</f>
        <v/>
      </c>
    </row>
    <row r="22">
      <c r="A22" s="6" t="inlineStr">
        <is>
          <t>Attributable profit</t>
        </is>
      </c>
      <c r="C22" s="28">
        <f>C21*(1-Assumptions!$C$14)*(1-0.004060669885351275)</f>
        <v/>
      </c>
      <c r="D22" s="28">
        <f>D21*(1-Assumptions!$C$14)*(1-0.004060669885351275)</f>
        <v/>
      </c>
      <c r="E22" s="28">
        <f>E21*(1-Assumptions!$C$14)*(1-0.004060669885351275)</f>
        <v/>
      </c>
      <c r="F22" s="28">
        <f>F21*(1-Assumptions!$C$14)*(1-0.004060669885351275)</f>
        <v/>
      </c>
      <c r="G22" s="28">
        <f>G21*(1-Assumptions!$C$14)*(1-0.004060669885351275)</f>
        <v/>
      </c>
    </row>
    <row r="23">
      <c r="A23" s="6" t="inlineStr">
        <is>
          <t>Dividend</t>
        </is>
      </c>
      <c r="C23" s="28">
        <f>Assumptions!$C$33*C22</f>
        <v/>
      </c>
      <c r="D23" s="28">
        <f>Assumptions!$C$33*D22</f>
        <v/>
      </c>
      <c r="E23" s="28">
        <f>Assumptions!$C$33*E22</f>
        <v/>
      </c>
      <c r="F23" s="28">
        <f>Assumptions!$C$33*F22</f>
        <v/>
      </c>
      <c r="G23" s="28">
        <f>Assumptions!$C$33*G22</f>
        <v/>
      </c>
    </row>
    <row r="24">
      <c r="A24" s="6" t="inlineStr">
        <is>
          <t>Net debt, end of year</t>
        </is>
      </c>
      <c r="C24" s="28">
        <f>C17-(DCF!C27-C19*(1-Assumptions!$C$14))+C23</f>
        <v/>
      </c>
      <c r="D24" s="28">
        <f>D17-(DCF!D27-D19*(1-Assumptions!$C$14))+D23</f>
        <v/>
      </c>
      <c r="E24" s="28">
        <f>E17-(DCF!E27-E19*(1-Assumptions!$C$14))+E23</f>
        <v/>
      </c>
      <c r="F24" s="28">
        <f>F17-(DCF!F27-F19*(1-Assumptions!$C$14))+F23</f>
        <v/>
      </c>
      <c r="G24" s="28">
        <f>G17-(DCF!G27-G19*(1-Assumptions!$C$14))+G23</f>
        <v/>
      </c>
    </row>
    <row r="25">
      <c r="A25" s="6" t="inlineStr">
        <is>
          <t>Equity attributable</t>
        </is>
      </c>
      <c r="C25" s="28">
        <f>Assumptions!$C$52+C22-C23</f>
        <v/>
      </c>
      <c r="D25" s="28">
        <f>C25+D22-D23</f>
        <v/>
      </c>
      <c r="E25" s="28">
        <f>D25+E22-E23</f>
        <v/>
      </c>
      <c r="F25" s="28">
        <f>E25+F22-F23</f>
        <v/>
      </c>
      <c r="G25" s="28">
        <f>F25+G22-G23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— free cash flow to the firm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SAR mn; the DCF waterfall as a statement</t>
        </is>
      </c>
    </row>
    <row r="4">
      <c r="A4" s="5" t="inlineStr">
        <is>
          <t>SAR mn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NOPAT</t>
        </is>
      </c>
      <c r="C5" s="14">
        <f>DCF!C21</f>
        <v/>
      </c>
      <c r="D5" s="14">
        <f>DCF!D21</f>
        <v/>
      </c>
      <c r="E5" s="14">
        <f>DCF!E21</f>
        <v/>
      </c>
      <c r="F5" s="14">
        <f>DCF!F21</f>
        <v/>
      </c>
      <c r="G5" s="14">
        <f>DCF!G21</f>
        <v/>
      </c>
    </row>
    <row r="6">
      <c r="A6" s="6" t="inlineStr">
        <is>
          <t>+ Depreciation &amp; amortisation</t>
        </is>
      </c>
      <c r="C6" s="14">
        <f>DCF!C22</f>
        <v/>
      </c>
      <c r="D6" s="14">
        <f>DCF!D22</f>
        <v/>
      </c>
      <c r="E6" s="14">
        <f>DCF!E22</f>
        <v/>
      </c>
      <c r="F6" s="14">
        <f>DCF!F22</f>
        <v/>
      </c>
      <c r="G6" s="14">
        <f>DCF!G22</f>
        <v/>
      </c>
    </row>
    <row r="7">
      <c r="A7" s="6" t="inlineStr">
        <is>
          <t>- Capital expenditure</t>
        </is>
      </c>
      <c r="C7" s="14">
        <f>-DCF!C24</f>
        <v/>
      </c>
      <c r="D7" s="14">
        <f>-DCF!D24</f>
        <v/>
      </c>
      <c r="E7" s="14">
        <f>-DCF!E24</f>
        <v/>
      </c>
      <c r="F7" s="14">
        <f>-DCF!F24</f>
        <v/>
      </c>
      <c r="G7" s="14">
        <f>-DCF!G24</f>
        <v/>
      </c>
    </row>
    <row r="8">
      <c r="A8" s="6" t="inlineStr">
        <is>
          <t>- Change in working capital</t>
        </is>
      </c>
      <c r="C8" s="14">
        <f>-DCF!C26</f>
        <v/>
      </c>
      <c r="D8" s="14">
        <f>-DCF!D26</f>
        <v/>
      </c>
      <c r="E8" s="14">
        <f>-DCF!E26</f>
        <v/>
      </c>
      <c r="F8" s="14">
        <f>-DCF!F26</f>
        <v/>
      </c>
      <c r="G8" s="14">
        <f>-DCF!G26</f>
        <v/>
      </c>
    </row>
    <row r="9">
      <c r="A9" s="6" t="inlineStr">
        <is>
          <t>Free cash flow to firm</t>
        </is>
      </c>
      <c r="C9" s="37">
        <f>C5+C6+C7+C8</f>
        <v/>
      </c>
      <c r="D9" s="37">
        <f>D5+D6+D7+D8</f>
        <v/>
      </c>
      <c r="E9" s="37">
        <f>E5+E6+E7+E8</f>
        <v/>
      </c>
      <c r="F9" s="37">
        <f>F5+F6+F7+F8</f>
        <v/>
      </c>
      <c r="G9" s="37">
        <f>G5+G6+G7+G8</f>
        <v/>
      </c>
    </row>
    <row r="10">
      <c r="A10" s="6" t="inlineStr">
        <is>
          <t>Discount factor</t>
        </is>
      </c>
      <c r="C10" s="39">
        <f>DCF!C19</f>
        <v/>
      </c>
      <c r="D10" s="39">
        <f>DCF!D19</f>
        <v/>
      </c>
      <c r="E10" s="39">
        <f>DCF!E19</f>
        <v/>
      </c>
      <c r="F10" s="39">
        <f>DCF!F19</f>
        <v/>
      </c>
      <c r="G10" s="39">
        <f>DCF!G19</f>
        <v/>
      </c>
    </row>
    <row r="11">
      <c r="A11" s="6" t="inlineStr">
        <is>
          <t>PV of FCFF</t>
        </is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SAR mn; forecast links to the model</t>
        </is>
      </c>
    </row>
    <row r="4">
      <c r="A4" s="5" t="inlineStr">
        <is>
          <t>SAR mn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C5" s="14">
        <f>DCF!C23</f>
        <v/>
      </c>
      <c r="D5" s="14">
        <f>DCF!D23</f>
        <v/>
      </c>
      <c r="E5" s="14">
        <f>DCF!E23</f>
        <v/>
      </c>
      <c r="F5" s="14">
        <f>DCF!F23</f>
        <v/>
      </c>
      <c r="G5" s="14">
        <f>DCF!G23</f>
        <v/>
      </c>
    </row>
    <row r="6">
      <c r="A6" s="6" t="inlineStr">
        <is>
          <t>EBITDA</t>
        </is>
      </c>
      <c r="C6" s="14">
        <f>Segments!C17</f>
        <v/>
      </c>
      <c r="D6" s="14">
        <f>Segments!D17</f>
        <v/>
      </c>
      <c r="E6" s="14">
        <f>Segments!E17</f>
        <v/>
      </c>
      <c r="F6" s="14">
        <f>Segments!F17</f>
        <v/>
      </c>
      <c r="G6" s="14">
        <f>Segments!G17</f>
        <v/>
      </c>
    </row>
    <row r="7">
      <c r="A7" s="6" t="inlineStr">
        <is>
          <t>NOPAT</t>
        </is>
      </c>
      <c r="C7" s="14">
        <f>DCF!C21</f>
        <v/>
      </c>
      <c r="D7" s="14">
        <f>DCF!D21</f>
        <v/>
      </c>
      <c r="E7" s="14">
        <f>DCF!E21</f>
        <v/>
      </c>
      <c r="F7" s="14">
        <f>DCF!F21</f>
        <v/>
      </c>
      <c r="G7" s="14">
        <f>DCF!G21</f>
        <v/>
      </c>
    </row>
    <row r="8">
      <c r="A8" s="6" t="inlineStr">
        <is>
          <t>FCFF</t>
        </is>
      </c>
      <c r="C8" s="14">
        <f>DCF!C27</f>
        <v/>
      </c>
      <c r="D8" s="14">
        <f>DCF!D27</f>
        <v/>
      </c>
      <c r="E8" s="14">
        <f>DCF!E27</f>
        <v/>
      </c>
      <c r="F8" s="14">
        <f>DCF!F27</f>
        <v/>
      </c>
      <c r="G8" s="14">
        <f>DCF!G27</f>
        <v/>
      </c>
    </row>
    <row r="9">
      <c r="A9" s="6" t="inlineStr">
        <is>
          <t>Invested capital</t>
        </is>
      </c>
      <c r="C9" s="14">
        <f>DCF!C32</f>
        <v/>
      </c>
      <c r="D9" s="14">
        <f>DCF!D32</f>
        <v/>
      </c>
      <c r="E9" s="14">
        <f>DCF!E32</f>
        <v/>
      </c>
      <c r="F9" s="14">
        <f>DCF!F32</f>
        <v/>
      </c>
      <c r="G9" s="14">
        <f>DCF!G32</f>
        <v/>
      </c>
    </row>
    <row r="10">
      <c r="A10" s="6" t="inlineStr">
        <is>
          <t>ROIC</t>
        </is>
      </c>
      <c r="C10" s="33">
        <f>DCF!C33</f>
        <v/>
      </c>
      <c r="D10" s="33">
        <f>DCF!D33</f>
        <v/>
      </c>
      <c r="E10" s="33">
        <f>DCF!E33</f>
        <v/>
      </c>
      <c r="F10" s="33">
        <f>DCF!F33</f>
        <v/>
      </c>
      <c r="G10" s="33">
        <f>DCF!G33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Monte Carlo — calibrated forward price cone</t>
        </is>
      </c>
      <c r="B1" s="2" t="n"/>
      <c r="C1" s="2" t="n"/>
      <c r="D1" s="2" t="n"/>
      <c r="E1" s="2" t="n"/>
      <c r="F1" s="2" t="n"/>
    </row>
    <row r="2">
      <c r="A2" s="4" t="inlineStr">
        <is>
          <t>Engine output (50,000 paths, seed 42); pasted whole-model re-runs, not driver formulas</t>
        </is>
      </c>
    </row>
    <row r="4">
      <c r="A4" s="5" t="inlineStr">
        <is>
          <t>Percentile</t>
        </is>
      </c>
      <c r="B4" s="5" t="inlineStr">
        <is>
          <t>1-month</t>
        </is>
      </c>
      <c r="C4" s="5" t="inlineStr">
        <is>
          <t>3-month</t>
        </is>
      </c>
    </row>
    <row r="5">
      <c r="A5" s="6" t="inlineStr">
        <is>
          <t>P5</t>
        </is>
      </c>
      <c r="B5" s="17" t="n">
        <v>87.21321014037129</v>
      </c>
      <c r="C5" s="17" t="n">
        <v>76.54888951524968</v>
      </c>
    </row>
    <row r="6">
      <c r="A6" s="6" t="inlineStr">
        <is>
          <t>P25</t>
        </is>
      </c>
      <c r="B6" s="17" t="n">
        <v>97.61126202615651</v>
      </c>
      <c r="C6" s="17" t="n">
        <v>92.86909864606133</v>
      </c>
    </row>
    <row r="7">
      <c r="A7" s="6" t="inlineStr">
        <is>
          <t>P50</t>
        </is>
      </c>
      <c r="B7" s="17" t="n">
        <v>104.7866044705799</v>
      </c>
      <c r="C7" s="17" t="n">
        <v>105.0593696127112</v>
      </c>
    </row>
    <row r="8">
      <c r="A8" s="6" t="inlineStr">
        <is>
          <t>P75</t>
        </is>
      </c>
      <c r="B8" s="17" t="n">
        <v>112.6160892961509</v>
      </c>
      <c r="C8" s="17" t="n">
        <v>118.7094846328782</v>
      </c>
    </row>
    <row r="9">
      <c r="A9" s="6" t="inlineStr">
        <is>
          <t>P95</t>
        </is>
      </c>
      <c r="B9" s="17" t="n">
        <v>126.1767140981632</v>
      </c>
      <c r="C9" s="17" t="n">
        <v>144.0563430692076</v>
      </c>
    </row>
    <row r="10">
      <c r="A10" s="6" t="inlineStr">
        <is>
          <t>Spot</t>
        </is>
      </c>
      <c r="B10" s="17" t="n">
        <v>104.8</v>
      </c>
      <c r="C10" s="17" t="n">
        <v>104.8</v>
      </c>
    </row>
    <row r="11">
      <c r="A11" s="6" t="inlineStr">
        <is>
          <t>P(above spot)</t>
        </is>
      </c>
      <c r="B11" s="23" t="n">
        <v>0.4997</v>
      </c>
      <c r="C11" s="23" t="n">
        <v>0.50542</v>
      </c>
    </row>
    <row r="12">
      <c r="A12" s="6" t="inlineStr">
        <is>
          <t>Annualised vol</t>
        </is>
      </c>
      <c r="B12" s="23" t="n">
        <v>0.3614703996629836</v>
      </c>
      <c r="C12" s="23" t="n">
        <v>0.3670575648854793</v>
      </c>
    </row>
    <row r="14">
      <c r="A14" s="6" t="inlineStr">
        <is>
          <t>3-month calibration: PARITY vs the random walk; coverage 0.70/0.80/0.90; PIT mean 0.49.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whole-model re-runs (pasted)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Each cell is a complete revaluation and does NOT redraw when a driver changes</t>
        </is>
      </c>
    </row>
    <row r="4">
      <c r="A4" s="31" t="inlineStr">
        <is>
          <t>DCF value per share: terminal WACC (rows) x terminal growth (cols)</t>
        </is>
      </c>
    </row>
    <row r="5">
      <c r="A5" s="5" t="inlineStr"/>
      <c r="B5" s="5" t="inlineStr">
        <is>
          <t>g=2%</t>
        </is>
      </c>
      <c r="C5" s="5" t="inlineStr">
        <is>
          <t>g=3%</t>
        </is>
      </c>
      <c r="D5" s="5" t="inlineStr">
        <is>
          <t>g=4%</t>
        </is>
      </c>
      <c r="E5" s="5" t="inlineStr">
        <is>
          <t>g=5%</t>
        </is>
      </c>
      <c r="F5" s="5" t="inlineStr">
        <is>
          <t>g=6%</t>
        </is>
      </c>
    </row>
    <row r="6">
      <c r="A6" s="6" t="inlineStr">
        <is>
          <t>WACC_t=6.88%</t>
        </is>
      </c>
      <c r="B6" s="17" t="n">
        <v>161.6870195722353</v>
      </c>
      <c r="C6" s="17" t="n">
        <v>191.8736371200676</v>
      </c>
      <c r="D6" s="17" t="n">
        <v>242.7920021776906</v>
      </c>
      <c r="E6" s="17" t="n">
        <v>328.6054644701809</v>
      </c>
      <c r="F6" s="17" t="n">
        <v>316.2898673502376</v>
      </c>
    </row>
    <row r="7">
      <c r="A7" s="6" t="inlineStr">
        <is>
          <t>WACC_t=7.88%</t>
        </is>
      </c>
      <c r="B7" s="17" t="n">
        <v>134.9542534346101</v>
      </c>
      <c r="C7" s="17" t="n">
        <v>153.6462749347582</v>
      </c>
      <c r="D7" s="17" t="n">
        <v>181.817839760119</v>
      </c>
      <c r="E7" s="17" t="n">
        <v>229.3284945978041</v>
      </c>
      <c r="F7" s="17" t="n">
        <v>309.2939518882336</v>
      </c>
    </row>
    <row r="8">
      <c r="A8" s="6" t="inlineStr">
        <is>
          <t>WACC_t=8.88%</t>
        </is>
      </c>
      <c r="B8" s="17" t="n">
        <v>115.9875989393748</v>
      </c>
      <c r="C8" s="17" t="n">
        <v>128.4080357765257</v>
      </c>
      <c r="D8" s="17" t="n">
        <v>145.8018216575757</v>
      </c>
      <c r="E8" s="17" t="n">
        <v>172.0099984828811</v>
      </c>
      <c r="F8" s="17" t="n">
        <v>216.2002968120145</v>
      </c>
    </row>
    <row r="9">
      <c r="A9" s="6" t="inlineStr">
        <is>
          <t>WACC_t=9.88%</t>
        </is>
      </c>
      <c r="B9" s="17" t="n">
        <v>101.8318835964901</v>
      </c>
      <c r="C9" s="17" t="n">
        <v>110.4985687882707</v>
      </c>
      <c r="D9" s="17" t="n">
        <v>122.0196936752806</v>
      </c>
      <c r="E9" s="17" t="n">
        <v>138.1484649801172</v>
      </c>
      <c r="F9" s="17" t="n">
        <v>162.4434833151007</v>
      </c>
    </row>
    <row r="10">
      <c r="A10" s="6" t="inlineStr">
        <is>
          <t>WACC_t=10.88%</t>
        </is>
      </c>
      <c r="B10" s="17" t="n">
        <v>90.86244771441412</v>
      </c>
      <c r="C10" s="17" t="n">
        <v>97.12920999823187</v>
      </c>
      <c r="D10" s="17" t="n">
        <v>105.1403254957291</v>
      </c>
      <c r="E10" s="17" t="n">
        <v>115.7851086440444</v>
      </c>
      <c r="F10" s="17" t="n">
        <v>130.6811672133541</v>
      </c>
    </row>
    <row r="12">
      <c r="A12" s="31" t="inlineStr">
        <is>
          <t>Beta sensitivity (DCF value/share)</t>
        </is>
      </c>
    </row>
    <row r="13">
      <c r="A13" s="6" t="inlineStr">
        <is>
          <t>0.7</t>
        </is>
      </c>
      <c r="B13" s="17" t="n">
        <v>209.3035784772404</v>
      </c>
    </row>
    <row r="14">
      <c r="A14" s="6" t="inlineStr">
        <is>
          <t>0.9</t>
        </is>
      </c>
      <c r="B14" s="17" t="n">
        <v>164.1972907373474</v>
      </c>
    </row>
    <row r="15">
      <c r="A15" s="6" t="inlineStr">
        <is>
          <t>1.129</t>
        </is>
      </c>
      <c r="B15" s="17" t="n">
        <v>130.9006081673441</v>
      </c>
    </row>
    <row r="16">
      <c r="A16" s="6" t="inlineStr">
        <is>
          <t>1.3</t>
        </is>
      </c>
      <c r="B16" s="17" t="n">
        <v>113.2662678099585</v>
      </c>
    </row>
    <row r="17">
      <c r="A17" s="6" t="inlineStr">
        <is>
          <t>1.5</t>
        </is>
      </c>
      <c r="B17" s="17" t="n">
        <v>97.50828418400954</v>
      </c>
    </row>
    <row r="19">
      <c r="A19" s="31" t="inlineStr">
        <is>
          <t>Metal price x sensitivity (DCF value/share)</t>
        </is>
      </c>
    </row>
    <row r="20">
      <c r="A20" s="6" t="inlineStr">
        <is>
          <t>0.85</t>
        </is>
      </c>
      <c r="B20" s="17" t="n">
        <v>158.4002563008479</v>
      </c>
    </row>
    <row r="21">
      <c r="A21" s="6" t="inlineStr">
        <is>
          <t>0.925</t>
        </is>
      </c>
      <c r="B21" s="17" t="n">
        <v>152.0896788918666</v>
      </c>
    </row>
    <row r="22">
      <c r="A22" s="6" t="inlineStr">
        <is>
          <t>1.0</t>
        </is>
      </c>
      <c r="B22" s="17" t="n">
        <v>145.8018216575757</v>
      </c>
    </row>
    <row r="23">
      <c r="A23" s="6" t="inlineStr">
        <is>
          <t>1.075</t>
        </is>
      </c>
      <c r="B23" s="17" t="n">
        <v>139.5341530596548</v>
      </c>
    </row>
    <row r="24">
      <c r="A24" s="6" t="inlineStr">
        <is>
          <t>1.15</t>
        </is>
      </c>
      <c r="B24" s="17" t="n">
        <v>133.2845824820281</v>
      </c>
    </row>
    <row r="26">
      <c r="A26" s="31" t="inlineStr">
        <is>
          <t>Sustained gross margin sensitivity (DCF value/share)</t>
        </is>
      </c>
    </row>
    <row r="27">
      <c r="A27" s="6" t="inlineStr">
        <is>
          <t>0.14</t>
        </is>
      </c>
      <c r="B27" s="17" t="n">
        <v>123.3559579612546</v>
      </c>
    </row>
    <row r="28">
      <c r="A28" s="6" t="inlineStr">
        <is>
          <t>0.145</t>
        </is>
      </c>
      <c r="B28" s="17" t="n">
        <v>132.1837426703699</v>
      </c>
    </row>
    <row r="29">
      <c r="A29" s="6" t="inlineStr">
        <is>
          <t>0.1526</t>
        </is>
      </c>
      <c r="B29" s="17" t="n">
        <v>145.8018216575757</v>
      </c>
    </row>
    <row r="30">
      <c r="A30" s="6" t="inlineStr">
        <is>
          <t>0.155</t>
        </is>
      </c>
      <c r="B30" s="17" t="n">
        <v>150.1532450187395</v>
      </c>
    </row>
    <row r="31">
      <c r="A31" s="6" t="inlineStr">
        <is>
          <t>0.16</t>
        </is>
      </c>
      <c r="B31" s="17" t="n">
        <v>159.2987061984988</v>
      </c>
    </row>
    <row r="33">
      <c r="A33" s="31" t="inlineStr">
        <is>
          <t>Volume x sensitivity (DCF value/share)</t>
        </is>
      </c>
    </row>
    <row r="34">
      <c r="A34" s="6" t="inlineStr">
        <is>
          <t>0.9</t>
        </is>
      </c>
      <c r="B34" s="17" t="n">
        <v>132.9554264400183</v>
      </c>
    </row>
    <row r="35">
      <c r="A35" s="6" t="inlineStr">
        <is>
          <t>0.95</t>
        </is>
      </c>
      <c r="B35" s="17" t="n">
        <v>139.3834502657949</v>
      </c>
    </row>
    <row r="36">
      <c r="A36" s="6" t="inlineStr">
        <is>
          <t>1.0</t>
        </is>
      </c>
      <c r="B36" s="17" t="n">
        <v>145.8018216575757</v>
      </c>
    </row>
    <row r="37">
      <c r="A37" s="6" t="inlineStr">
        <is>
          <t>1.05</t>
        </is>
      </c>
      <c r="B37" s="17" t="n">
        <v>152.2112546307662</v>
      </c>
    </row>
    <row r="38">
      <c r="A38" s="6" t="inlineStr">
        <is>
          <t>1.1</t>
        </is>
      </c>
      <c r="B38" s="17" t="n">
        <v>158.6123783645118</v>
      </c>
    </row>
    <row r="40">
      <c r="A40" s="31" t="inlineStr">
        <is>
          <t>Net working capital / revenue sensitivity (DCF value/share)</t>
        </is>
      </c>
    </row>
    <row r="41">
      <c r="A41" s="6" t="inlineStr">
        <is>
          <t>0.24</t>
        </is>
      </c>
      <c r="B41" s="17" t="n">
        <v>151.7745103839866</v>
      </c>
    </row>
    <row r="42">
      <c r="A42" s="6" t="inlineStr">
        <is>
          <t>0.26</t>
        </is>
      </c>
      <c r="B42" s="17" t="n">
        <v>148.7881660207811</v>
      </c>
    </row>
    <row r="43">
      <c r="A43" s="6" t="inlineStr">
        <is>
          <t>0.28</t>
        </is>
      </c>
      <c r="B43" s="17" t="n">
        <v>145.8018216575757</v>
      </c>
    </row>
    <row r="44">
      <c r="A44" s="6" t="inlineStr">
        <is>
          <t>0.3</t>
        </is>
      </c>
      <c r="B44" s="17" t="n">
        <v>142.8154772943702</v>
      </c>
    </row>
    <row r="45">
      <c r="A45" s="6" t="inlineStr">
        <is>
          <t>0.32</t>
        </is>
      </c>
      <c r="B45" s="17" t="n">
        <v>139.8291329311647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Per-share &amp; ratios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5" t="inlineStr"/>
      <c r="B4" s="5" t="inlineStr">
        <is>
          <t>FY2025</t>
        </is>
      </c>
      <c r="C4" s="5" t="inlineStr">
        <is>
          <t>FY26E</t>
        </is>
      </c>
      <c r="D4" s="5" t="inlineStr">
        <is>
          <t>FY27E</t>
        </is>
      </c>
      <c r="E4" s="5" t="inlineStr">
        <is>
          <t>FY28E</t>
        </is>
      </c>
      <c r="F4" s="5" t="inlineStr">
        <is>
          <t>FY29E</t>
        </is>
      </c>
      <c r="G4" s="5" t="inlineStr">
        <is>
          <t>FY30E</t>
        </is>
      </c>
    </row>
    <row r="5">
      <c r="A5" s="6" t="inlineStr">
        <is>
          <t>EPS (SAR)</t>
        </is>
      </c>
      <c r="B5" s="17" t="n">
        <v>7.216230848097251</v>
      </c>
      <c r="C5" s="15">
        <f>'Balance Sheet'!C22/Assumptions!$C$6</f>
        <v/>
      </c>
      <c r="D5" s="15">
        <f>'Balance Sheet'!D22/Assumptions!$C$6</f>
        <v/>
      </c>
      <c r="E5" s="15">
        <f>'Balance Sheet'!E22/Assumptions!$C$6</f>
        <v/>
      </c>
      <c r="F5" s="15">
        <f>'Balance Sheet'!F22/Assumptions!$C$6</f>
        <v/>
      </c>
      <c r="G5" s="15">
        <f>'Balance Sheet'!G22/Assumptions!$C$6</f>
        <v/>
      </c>
    </row>
    <row r="6">
      <c r="A6" s="6" t="inlineStr">
        <is>
          <t>Book value per share (SAR)</t>
        </is>
      </c>
      <c r="B6" s="15">
        <f>Assumptions!$C$52/Assumptions!$C$6</f>
        <v/>
      </c>
      <c r="C6" s="15">
        <f>'Balance Sheet'!F14/Assumptions!$C$6</f>
        <v/>
      </c>
      <c r="D6" s="15">
        <f>'Balance Sheet'!G14/Assumptions!$C$6</f>
        <v/>
      </c>
      <c r="E6" s="15">
        <f>'Balance Sheet'!H14/Assumptions!$C$6</f>
        <v/>
      </c>
      <c r="F6" s="15">
        <f>'Balance Sheet'!I14/Assumptions!$C$6</f>
        <v/>
      </c>
      <c r="G6" s="15">
        <f>'Balance Sheet'!J14/Assumptions!$C$6</f>
        <v/>
      </c>
    </row>
    <row r="7">
      <c r="A7" s="6" t="inlineStr">
        <is>
          <t>ROE (%)</t>
        </is>
      </c>
      <c r="B7" s="23" t="n">
        <v>0.3680769183960799</v>
      </c>
    </row>
    <row r="8">
      <c r="A8" s="6" t="inlineStr">
        <is>
          <t>Net debt / EBITDA (x)</t>
        </is>
      </c>
      <c r="B8" s="34">
        <f>Assumptions!$C$7/(Segments!B10*0+1352.0324810000002)</f>
        <v/>
      </c>
      <c r="C8" s="34">
        <f>'Balance Sheet'!F13/Segments!C17</f>
        <v/>
      </c>
      <c r="D8" s="34">
        <f>'Balance Sheet'!G13/Segments!D17</f>
        <v/>
      </c>
      <c r="E8" s="34">
        <f>'Balance Sheet'!H13/Segments!E17</f>
        <v/>
      </c>
      <c r="F8" s="34">
        <f>'Balance Sheet'!I13/Segments!F17</f>
        <v/>
      </c>
      <c r="G8" s="34">
        <f>'Balance Sheet'!J13/Segments!G17</f>
        <v/>
      </c>
    </row>
    <row r="9">
      <c r="A9" s="6" t="inlineStr">
        <is>
          <t>Trailing EV/EBITDA (x)</t>
        </is>
      </c>
      <c r="B9" s="22" t="n">
        <v>11.88992678349715</v>
      </c>
    </row>
    <row r="10">
      <c r="A10" s="6" t="inlineStr">
        <is>
          <t>Trailing P/E (x)</t>
        </is>
      </c>
      <c r="B10" s="22" t="n">
        <v>14.52281699491824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Peer &amp; sector context</t>
        </is>
      </c>
      <c r="B1" s="2" t="n"/>
      <c r="C1" s="2" t="n"/>
      <c r="D1" s="2" t="n"/>
      <c r="E1" s="2" t="n"/>
    </row>
    <row r="2">
      <c r="A2" s="4" t="inlineStr">
        <is>
          <t>Cross-check multiples only — never a source for the subject historicals</t>
        </is>
      </c>
    </row>
    <row r="4">
      <c r="A4" s="5" t="inlineStr">
        <is>
          <t>Peer</t>
        </is>
      </c>
      <c r="B4" s="5" t="inlineStr">
        <is>
          <t>Market</t>
        </is>
      </c>
      <c r="C4" s="5" t="inlineStr">
        <is>
          <t>Fwd EV/EBITDA</t>
        </is>
      </c>
      <c r="D4" s="5" t="inlineStr">
        <is>
          <t>Note</t>
        </is>
      </c>
    </row>
    <row r="5">
      <c r="A5" s="6" t="inlineStr">
        <is>
          <t>Riyadh Cables (subject)</t>
        </is>
      </c>
      <c r="B5" s="6" t="inlineStr">
        <is>
          <t>Tadawul</t>
        </is>
      </c>
      <c r="C5" s="22" t="n">
        <v>11.88992678349715</v>
      </c>
      <c r="D5" s="6" t="inlineStr">
        <is>
          <t>trailing; ~14.5x P/E</t>
        </is>
      </c>
    </row>
    <row r="6">
      <c r="A6" s="6" t="inlineStr">
        <is>
          <t>Prysmian</t>
        </is>
      </c>
      <c r="B6" s="6" t="inlineStr">
        <is>
          <t>Milan</t>
        </is>
      </c>
      <c r="C6" s="22" t="n">
        <v>8.5</v>
      </c>
      <c r="D6" s="6" t="inlineStr">
        <is>
          <t>global cable major</t>
        </is>
      </c>
    </row>
    <row r="7">
      <c r="A7" s="6" t="inlineStr">
        <is>
          <t>Nexans</t>
        </is>
      </c>
      <c r="B7" s="6" t="inlineStr">
        <is>
          <t>Paris</t>
        </is>
      </c>
      <c r="C7" s="22" t="n">
        <v>7.5</v>
      </c>
      <c r="D7" s="6" t="inlineStr">
        <is>
          <t>global cable major</t>
        </is>
      </c>
    </row>
    <row r="8">
      <c r="A8" s="6" t="inlineStr">
        <is>
          <t>Polycab India</t>
        </is>
      </c>
      <c r="B8" s="6" t="inlineStr">
        <is>
          <t>NSE</t>
        </is>
      </c>
      <c r="C8" s="22" t="n">
        <v>26</v>
      </c>
      <c r="D8" s="6" t="inlineStr">
        <is>
          <t>high-growth EM premium</t>
        </is>
      </c>
    </row>
    <row r="9">
      <c r="A9" s="6" t="inlineStr">
        <is>
          <t>KEI Industries</t>
        </is>
      </c>
      <c r="B9" s="6" t="inlineStr">
        <is>
          <t>NSE</t>
        </is>
      </c>
      <c r="C9" s="22" t="n">
        <v>24</v>
      </c>
      <c r="D9" s="6" t="inlineStr">
        <is>
          <t>high-growth EM premium</t>
        </is>
      </c>
    </row>
    <row r="10">
      <c r="A10" s="6" t="inlineStr">
        <is>
          <t>Ducab (private)</t>
        </is>
      </c>
      <c r="B10" s="6" t="inlineStr">
        <is>
          <t>UAE</t>
        </is>
      </c>
      <c r="D10" s="6" t="inlineStr">
        <is>
          <t>regional peer, not listed</t>
        </is>
      </c>
    </row>
    <row r="12">
      <c r="A12" s="6" t="inlineStr">
        <is>
          <t>Justified EV/EBITDA applied in the relative lens: 9.0x (mid-range, single-country discount).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2026-08-18T13:43:04Z</dcterms:created>
  <dcterms:modified xmlns:dcterms="http://purl.org/dc/terms/" xmlns:xsi="http://www.w3.org/2001/XMLSchema-instance" xsi:type="dcterms:W3CDTF">2026-08-18T13:43:04Z</dcterms:modified>
</cp:coreProperties>
</file>