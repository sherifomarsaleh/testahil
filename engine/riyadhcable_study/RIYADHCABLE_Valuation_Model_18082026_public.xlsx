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000"/>
    <numFmt numFmtId="170" formatCode="0.0%;(0.0%);&quot;-&quot;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70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70" fontId="4" fillId="3" borderId="0" pivotButton="0" quotePrefix="0" xfId="0"/>
    <xf numFmtId="170" fontId="7" fillId="0" borderId="0" pivotButton="0" quotePrefix="0" xfId="0"/>
    <xf numFmtId="166" fontId="7" fillId="0" borderId="0" pivotButton="0" quotePrefix="0" xfId="0"/>
    <xf numFmtId="164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0" fontId="5" fillId="0" borderId="0" pivotButton="0" quotePrefix="0" xfId="0"/>
    <xf numFmtId="168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69" fontId="5" fillId="0" borderId="0" pivotButton="0" quotePrefix="0" xfId="0"/>
    <xf numFmtId="166" fontId="4" fillId="0" borderId="0" pivotButton="0" quotePrefix="0" xfId="0"/>
    <xf numFmtId="170" fontId="4" fillId="0" borderId="0" pivotButton="0" quotePrefix="0" xfId="0"/>
    <xf numFmtId="169" fontId="7" fillId="0" borderId="0" pivotButton="0" quotePrefix="0" xfId="0"/>
    <xf numFmtId="170" fontId="6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0" t="n"/>
      <c r="C9" s="11">
        <f>'Fundamental Valuation'!C9</f>
        <v/>
      </c>
      <c r="D9" s="10" t="n"/>
      <c r="E9" s="10" t="n"/>
      <c r="F9" s="10" t="n"/>
      <c r="G9" s="12">
        <f>C9/Assumptions!$C$5-1</f>
        <v/>
      </c>
    </row>
    <row r="10">
      <c r="A10" s="6" t="inlineStr">
        <is>
          <t>Terminal value as % of DCF EV</t>
        </is>
      </c>
      <c r="C10" s="13">
        <f>DCF!C46</f>
        <v/>
      </c>
    </row>
    <row r="11">
      <c r="A11" s="6" t="inlineStr">
        <is>
          <t>Expert panel median</t>
        </is>
      </c>
      <c r="C11" s="7">
        <f>'Fundamental Valuation'!C13</f>
        <v/>
      </c>
    </row>
    <row r="12">
      <c r="A12" s="9" t="inlineStr">
        <is>
          <t>Market price (anchor)</t>
        </is>
      </c>
      <c r="B12" s="10" t="n"/>
      <c r="C12" s="11">
        <f>Assumptions!$C$5</f>
        <v/>
      </c>
      <c r="D12" s="10" t="n"/>
      <c r="E12" s="10" t="n"/>
      <c r="F12" s="10" t="n"/>
      <c r="G12" s="10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DCF!C59</f>
        <v/>
      </c>
      <c r="C5" s="7">
        <f>DCF!C55</f>
        <v/>
      </c>
      <c r="D5" s="7">
        <f>DCF!C61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5">
        <f>B5</f>
        <v/>
      </c>
      <c r="C9" s="15">
        <f>C5</f>
        <v/>
      </c>
      <c r="D9" s="15">
        <f>D5</f>
        <v/>
      </c>
      <c r="E9" s="16" t="inlineStr">
        <is>
          <t>the class primary</t>
        </is>
      </c>
      <c r="F9" s="10" t="n"/>
      <c r="G9" s="12">
        <f>C9/Assumptions!$C$5-1</f>
        <v/>
      </c>
    </row>
    <row r="10">
      <c r="A10" s="17" t="inlineStr">
        <is>
          <t>NOT AVERAGED — the retired 45/20/20/15 blend, published unused</t>
        </is>
      </c>
      <c r="C10" s="18">
        <f>C5*0.45+C6*0.2+C7*0.2+C8*0.15</f>
        <v/>
      </c>
      <c r="E10" s="6" t="inlineStr">
        <is>
          <t>retired 04-Sep-2026</t>
        </is>
      </c>
      <c r="G10" s="8">
        <f>C10/Assumptions!$C$5-1</f>
        <v/>
      </c>
    </row>
    <row r="11">
      <c r="A11" s="6" t="inlineStr">
        <is>
          <t>Span across the lenses (min/max) — a spread between METHODS, not a range around the answer</t>
        </is>
      </c>
      <c r="B11" s="18">
        <f>MIN(B5:B8)</f>
        <v/>
      </c>
      <c r="D11" s="18">
        <f>MAX(D5:D8)</f>
        <v/>
      </c>
    </row>
    <row r="13">
      <c r="A13" s="6" t="inlineStr">
        <is>
          <t>Expert panel median (whole-model — pasted)</t>
        </is>
      </c>
      <c r="C13" s="19" t="n">
        <v>125.9789008877625</v>
      </c>
    </row>
    <row r="14">
      <c r="A14" s="6" t="inlineStr">
        <is>
          <t>Market price (anchor)</t>
        </is>
      </c>
      <c r="C14" s="7">
        <f>Assumptions!$C$5</f>
        <v/>
      </c>
    </row>
    <row r="16">
      <c r="A16" s="9" t="inlineStr">
        <is>
          <t>Central contested judgement — sustained gross margin, both ways</t>
        </is>
      </c>
      <c r="B16" s="10" t="n"/>
      <c r="C16" s="10" t="n"/>
      <c r="D16" s="10" t="n"/>
      <c r="E16" s="10" t="n"/>
      <c r="F16" s="10" t="n"/>
      <c r="G16" s="10" t="n"/>
    </row>
    <row r="17">
      <c r="A17" s="6" t="inlineStr">
        <is>
          <t>H1-2026 anchor (15.26%) — DCF value</t>
        </is>
      </c>
      <c r="C17" s="7">
        <f>DCF!C55</f>
        <v/>
      </c>
    </row>
    <row r="18">
      <c r="A18" s="6" t="inlineStr">
        <is>
          <t>FY2025-peak framing (16.0%) — DCF value (pasted re-run)</t>
        </is>
      </c>
      <c r="C18" s="19" t="n">
        <v>142.457235668817</v>
      </c>
    </row>
    <row r="19">
      <c r="A19" s="6" t="inlineStr">
        <is>
          <t>Further-compression framing (14.5%) — DCF value (pasted re-run)</t>
        </is>
      </c>
      <c r="C19" s="19" t="n">
        <v>118.2844198497204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9" t="inlineStr">
        <is>
          <t>Anchors &amp; 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s="6" t="inlineStr">
        <is>
          <t>Spot price (SAR)</t>
        </is>
      </c>
      <c r="C5" s="19" t="n">
        <v>104.8</v>
      </c>
    </row>
    <row r="6">
      <c r="A6" s="6" t="inlineStr">
        <is>
          <t>Shares outstanding (mn)</t>
        </is>
      </c>
      <c r="C6" s="20" t="n">
        <v>149.7175</v>
      </c>
    </row>
    <row r="7">
      <c r="A7" s="6" t="inlineStr">
        <is>
          <t>Net financial debt at FY2025 (SAR mn, disclosed)</t>
        </is>
      </c>
      <c r="C7" s="21" t="n">
        <v>385.173208</v>
      </c>
    </row>
    <row r="8">
      <c r="A8" s="9" t="inlineStr">
        <is>
          <t>Cost of capital — explicit window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6" t="inlineStr">
        <is>
          <t>Risk-free rate (10-year SAR sukuk)</t>
        </is>
      </c>
      <c r="C9" s="22" t="n">
        <v>0.055</v>
      </c>
    </row>
    <row r="10">
      <c r="A10" s="6" t="inlineStr">
        <is>
          <t>Sovereign default spread (netted out)</t>
        </is>
      </c>
      <c r="C10" s="22" t="n">
        <v>0.0048</v>
      </c>
    </row>
    <row r="11">
      <c r="A11" s="6" t="inlineStr">
        <is>
          <t>Equity risk premium (rating basis)</t>
        </is>
      </c>
      <c r="C11" s="22" t="n">
        <v>0.0494</v>
      </c>
    </row>
    <row r="12">
      <c r="A12" s="6" t="inlineStr">
        <is>
          <t>Beta (own-stock vs TASI)</t>
        </is>
      </c>
      <c r="C12" s="23" t="n">
        <v>1.129</v>
      </c>
    </row>
    <row r="13">
      <c r="A13" s="6" t="inlineStr">
        <is>
          <t>Cost of debt, marginal pre-tax</t>
        </is>
      </c>
      <c r="C13" s="22" t="n">
        <v>0.059</v>
      </c>
    </row>
    <row r="14">
      <c r="A14" s="6" t="inlineStr">
        <is>
          <t>Effective zakat and income tax rate</t>
        </is>
      </c>
      <c r="C14" s="22" t="n">
        <v>0.095</v>
      </c>
    </row>
    <row r="15">
      <c r="A15" s="9" t="inlineStr">
        <is>
          <t>Cost of capital — terminal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6" t="inlineStr">
        <is>
          <t>Terminal risk-free rate</t>
        </is>
      </c>
      <c r="C16" s="22" t="n">
        <v>0.0502</v>
      </c>
    </row>
    <row r="17">
      <c r="A17" s="6" t="inlineStr">
        <is>
          <t>Terminal equity risk premium</t>
        </is>
      </c>
      <c r="C17" s="22" t="n">
        <v>0.047</v>
      </c>
    </row>
    <row r="18">
      <c r="A18" s="6" t="inlineStr">
        <is>
          <t>Terminal beta</t>
        </is>
      </c>
      <c r="C18" s="23" t="n">
        <v>1</v>
      </c>
    </row>
    <row r="19">
      <c r="A19" s="6" t="inlineStr">
        <is>
          <t>Terminal cost of debt</t>
        </is>
      </c>
      <c r="C19" s="22" t="n">
        <v>0.055</v>
      </c>
    </row>
    <row r="20">
      <c r="A20" s="6" t="inlineStr">
        <is>
          <t>Terminal net-debt weight</t>
        </is>
      </c>
      <c r="C20" s="22" t="n">
        <v>0.05</v>
      </c>
    </row>
    <row r="21">
      <c r="A21" s="6" t="inlineStr">
        <is>
          <t>Terminal inflation (house Saudi path)</t>
        </is>
      </c>
      <c r="C21" s="22" t="n">
        <v>0.02</v>
      </c>
    </row>
    <row r="22">
      <c r="A22" s="6" t="inlineStr">
        <is>
          <t>Terminal real growth</t>
        </is>
      </c>
      <c r="C22" s="22" t="n">
        <v>0.0196078431372549</v>
      </c>
    </row>
    <row r="23">
      <c r="A23" s="6" t="inlineStr">
        <is>
          <t>Terminal growth, nominal (derived)</t>
        </is>
      </c>
      <c r="C23" s="24">
        <f>(1+Assumptions!$C$21)*(1+Assumptions!$C$22)-1</f>
        <v/>
      </c>
    </row>
    <row r="24">
      <c r="A24" s="6" t="inlineStr">
        <is>
          <t>Weighted asset life, years (derived from the notes)</t>
        </is>
      </c>
      <c r="C24" s="20" t="n">
        <v>35.7565</v>
      </c>
    </row>
    <row r="25">
      <c r="A25" s="9" t="inlineStr">
        <is>
          <t>Forecast drivers — Cables &amp; wires leg (metal converter)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6" t="inlineStr">
        <is>
          <t>Cable volume index growth</t>
        </is>
      </c>
      <c r="C26" s="22" t="n">
        <v>0.1</v>
      </c>
      <c r="D26" s="22" t="n">
        <v>0.075</v>
      </c>
      <c r="E26" s="22" t="n">
        <v>0.065</v>
      </c>
      <c r="F26" s="22" t="n">
        <v>0.055</v>
      </c>
      <c r="G26" s="22" t="n">
        <v>0.05</v>
      </c>
    </row>
    <row r="27">
      <c r="A27" s="6" t="inlineStr">
        <is>
          <t>Metal content price growth</t>
        </is>
      </c>
      <c r="C27" s="22" t="n">
        <v>-0.01</v>
      </c>
      <c r="D27" s="22" t="n">
        <v>0</v>
      </c>
      <c r="E27" s="22" t="n">
        <v>0.01</v>
      </c>
      <c r="F27" s="22" t="n">
        <v>0.01</v>
      </c>
      <c r="G27" s="22" t="n">
        <v>0.01</v>
      </c>
    </row>
    <row r="28">
      <c r="A28" s="6" t="inlineStr">
        <is>
          <t>Conversion cost inflation</t>
        </is>
      </c>
      <c r="C28" s="22" t="n">
        <v>0.03</v>
      </c>
      <c r="D28" s="22" t="n">
        <v>0.03</v>
      </c>
      <c r="E28" s="22" t="n">
        <v>0.03</v>
      </c>
      <c r="F28" s="22" t="n">
        <v>0.03</v>
      </c>
      <c r="G28" s="22" t="n">
        <v>0.03</v>
      </c>
    </row>
    <row r="29">
      <c r="A29" s="6" t="inlineStr">
        <is>
          <t>Sustained gross margin (H1-2026 anchor)</t>
        </is>
      </c>
      <c r="C29" s="22" t="n">
        <v>0.1526</v>
      </c>
    </row>
    <row r="30">
      <c r="A30" s="6" t="inlineStr">
        <is>
          <t>Gross-margin glide (added to anchor)</t>
        </is>
      </c>
      <c r="C30" s="23" t="n">
        <v>0</v>
      </c>
      <c r="D30" s="23" t="n">
        <v>0.001</v>
      </c>
      <c r="E30" s="23" t="n">
        <v>0.001</v>
      </c>
      <c r="F30" s="23" t="n">
        <v>0.0015</v>
      </c>
      <c r="G30" s="23" t="n">
        <v>0.0015</v>
      </c>
    </row>
    <row r="31">
      <c r="A31" s="9" t="inlineStr">
        <is>
          <t>Forecast drivers — HV turnkey &amp; Other legs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>
      <c r="A32" s="6" t="inlineStr">
        <is>
          <t>HV turnkey revenue growth</t>
        </is>
      </c>
      <c r="C32" s="22" t="n">
        <v>0.1</v>
      </c>
      <c r="D32" s="22" t="n">
        <v>0.1</v>
      </c>
      <c r="E32" s="22" t="n">
        <v>0.09</v>
      </c>
      <c r="F32" s="22" t="n">
        <v>0.08</v>
      </c>
      <c r="G32" s="22" t="n">
        <v>0.08</v>
      </c>
    </row>
    <row r="33">
      <c r="A33" s="6" t="inlineStr">
        <is>
          <t>HV turnkey segment margin</t>
        </is>
      </c>
      <c r="C33" s="22" t="n">
        <v>0.08378233242821985</v>
      </c>
    </row>
    <row r="34">
      <c r="A34" s="6" t="inlineStr">
        <is>
          <t>Other segment revenue growth</t>
        </is>
      </c>
      <c r="C34" s="22" t="n">
        <v>0.08</v>
      </c>
      <c r="D34" s="22" t="n">
        <v>0.08</v>
      </c>
      <c r="E34" s="22" t="n">
        <v>0.07000000000000001</v>
      </c>
      <c r="F34" s="22" t="n">
        <v>0.06</v>
      </c>
      <c r="G34" s="22" t="n">
        <v>0.06</v>
      </c>
    </row>
    <row r="35">
      <c r="A35" s="6" t="inlineStr">
        <is>
          <t>Other segment margin</t>
        </is>
      </c>
      <c r="C35" s="22" t="n">
        <v>0.5786820313464731</v>
      </c>
    </row>
    <row r="36">
      <c r="A36" s="9" t="inlineStr">
        <is>
          <t>Forecast drivers — group</t>
        </is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>
      <c r="A37" s="6" t="inlineStr">
        <is>
          <t>Operating expenses / revenue</t>
        </is>
      </c>
      <c r="C37" s="22" t="n">
        <v>0.043</v>
      </c>
      <c r="D37" s="22" t="n">
        <v>0.043</v>
      </c>
      <c r="E37" s="22" t="n">
        <v>0.0425</v>
      </c>
      <c r="F37" s="22" t="n">
        <v>0.042</v>
      </c>
      <c r="G37" s="22" t="n">
        <v>0.042</v>
      </c>
    </row>
    <row r="38">
      <c r="A38" s="6" t="inlineStr">
        <is>
          <t>Depreciation and amortisation / revenue</t>
        </is>
      </c>
      <c r="C38" s="22" t="n">
        <v>0.008500000000000001</v>
      </c>
    </row>
    <row r="39">
      <c r="A39" s="6" t="inlineStr">
        <is>
          <t>Capital expenditure / revenue</t>
        </is>
      </c>
      <c r="C39" s="22" t="n">
        <v>0.019</v>
      </c>
      <c r="D39" s="22" t="n">
        <v>0.018</v>
      </c>
      <c r="E39" s="22" t="n">
        <v>0.017</v>
      </c>
      <c r="F39" s="22" t="n">
        <v>0.016</v>
      </c>
      <c r="G39" s="22" t="n">
        <v>0.016</v>
      </c>
    </row>
    <row r="40">
      <c r="A40" s="6" t="inlineStr">
        <is>
          <t>Net working capital / revenue</t>
        </is>
      </c>
      <c r="C40" s="22" t="n">
        <v>0.28</v>
      </c>
    </row>
    <row r="41">
      <c r="A41" s="6" t="inlineStr">
        <is>
          <t>Cost-of-debt path</t>
        </is>
      </c>
      <c r="C41" s="22" t="n">
        <v>0.059</v>
      </c>
      <c r="D41" s="22" t="n">
        <v>0.058</v>
      </c>
      <c r="E41" s="22" t="n">
        <v>0.057</v>
      </c>
      <c r="F41" s="22" t="n">
        <v>0.056</v>
      </c>
      <c r="G41" s="22" t="n">
        <v>0.055</v>
      </c>
    </row>
    <row r="42">
      <c r="A42" s="6" t="inlineStr">
        <is>
          <t>Forecast dividend payout ratio</t>
        </is>
      </c>
      <c r="C42" s="22" t="n">
        <v>0.55</v>
      </c>
    </row>
    <row r="43">
      <c r="A43" s="6" t="inlineStr">
        <is>
          <t>Yield on surplus cash</t>
        </is>
      </c>
      <c r="C43" s="22" t="n">
        <v>0.04</v>
      </c>
    </row>
    <row r="44">
      <c r="A44" s="6" t="inlineStr">
        <is>
          <t>NCI share of forecast profit</t>
        </is>
      </c>
      <c r="C44" s="22" t="n">
        <v>0.004060669885351275</v>
      </c>
    </row>
    <row r="45">
      <c r="A45" s="9" t="inlineStr">
        <is>
          <t>Lens inputs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</row>
    <row r="46">
      <c r="A46" s="6" t="inlineStr">
        <is>
          <t>Justified EV/EBITDA</t>
        </is>
      </c>
      <c r="C46" s="25" t="n">
        <v>9.5</v>
      </c>
    </row>
    <row r="47">
      <c r="A47" s="6" t="inlineStr">
        <is>
          <t>Justified price/earnings</t>
        </is>
      </c>
      <c r="C47" s="25" t="n">
        <v>13</v>
      </c>
    </row>
    <row r="48">
      <c r="A48" s="6" t="inlineStr">
        <is>
          <t>Sustainable return on equity</t>
        </is>
      </c>
      <c r="C48" s="22" t="n">
        <v>0.28</v>
      </c>
    </row>
    <row r="49">
      <c r="A49" s="9" t="inlineStr">
        <is>
          <t>Anchor roll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6" t="inlineStr">
        <is>
          <t>Days to the anchor</t>
        </is>
      </c>
      <c r="C50" s="21" t="n">
        <v>230</v>
      </c>
    </row>
    <row r="51">
      <c r="A51" s="6" t="inlineStr">
        <is>
          <t>FY2025 dividend per share paid in window</t>
        </is>
      </c>
      <c r="C51" s="19" t="n">
        <v>2.25</v>
      </c>
    </row>
    <row r="52">
      <c r="A52" s="9" t="inlineStr">
        <is>
          <t>FY2025 disclosed base (audited)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</row>
    <row r="53">
      <c r="A53" s="6" t="inlineStr">
        <is>
          <t>FY2025 cables metal content (SAR mn)</t>
        </is>
      </c>
      <c r="C53" s="21" t="n">
        <v>8486.925676999999</v>
      </c>
    </row>
    <row r="54">
      <c r="A54" s="6" t="inlineStr">
        <is>
          <t>FY2025 cables conversion cost (SAR mn)</t>
        </is>
      </c>
      <c r="C54" s="21" t="n">
        <v>229.8024540000006</v>
      </c>
    </row>
    <row r="55">
      <c r="A55" s="6" t="inlineStr">
        <is>
          <t>FY2025 HV turnkey revenue (SAR mn)</t>
        </is>
      </c>
      <c r="C55" s="21" t="n">
        <v>230.839181</v>
      </c>
    </row>
    <row r="56">
      <c r="A56" s="6" t="inlineStr">
        <is>
          <t>FY2025 Other segment revenue (SAR mn)</t>
        </is>
      </c>
      <c r="C56" s="21" t="n">
        <v>28.594413</v>
      </c>
    </row>
    <row r="57">
      <c r="A57" s="6" t="inlineStr">
        <is>
          <t>FY2025 net working capital (SAR mn)</t>
        </is>
      </c>
      <c r="C57" s="21" t="n">
        <v>2933.258925</v>
      </c>
    </row>
    <row r="58">
      <c r="A58" s="6" t="inlineStr">
        <is>
          <t>FY2025 PP&amp;E (SAR mn)</t>
        </is>
      </c>
      <c r="C58" s="21" t="n">
        <v>1491.86312</v>
      </c>
    </row>
    <row r="59">
      <c r="A59" s="6" t="inlineStr">
        <is>
          <t>FY2025 gross borrowings incl. leases (SAR mn)</t>
        </is>
      </c>
      <c r="C59" s="21" t="n">
        <v>621.216217</v>
      </c>
    </row>
    <row r="60">
      <c r="A60" s="6" t="inlineStr">
        <is>
          <t>FY2025 equity attributable (SAR mn)</t>
        </is>
      </c>
      <c r="C60" s="21" t="n">
        <v>3246.136935</v>
      </c>
    </row>
    <row r="61">
      <c r="A61" s="6" t="inlineStr">
        <is>
          <t>FY2025 associates carrying value (SAR mn)</t>
        </is>
      </c>
      <c r="C61" s="21" t="n">
        <v>31.851877</v>
      </c>
    </row>
    <row r="62">
      <c r="A62" s="6" t="inlineStr">
        <is>
          <t>FY2025 non-operating assets (SAR mn)</t>
        </is>
      </c>
      <c r="C62" s="21" t="n">
        <v>20.40064</v>
      </c>
    </row>
    <row r="63">
      <c r="A63" s="6" t="inlineStr">
        <is>
          <t>FY2025 NCI carrying value (SAR mn)</t>
        </is>
      </c>
      <c r="C63" s="21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DCF!C45</f>
        <v/>
      </c>
    </row>
    <row r="5">
      <c r="A5" s="6" t="inlineStr">
        <is>
          <t xml:space="preserve">  of which terminal value</t>
        </is>
      </c>
      <c r="C5" s="14">
        <f>DCF!C44</f>
        <v/>
      </c>
    </row>
    <row r="6">
      <c r="A6" s="6" t="inlineStr">
        <is>
          <t xml:space="preserve">  terminal value as % of EV</t>
        </is>
      </c>
      <c r="C6" s="13">
        <f>DCF!C46</f>
        <v/>
      </c>
    </row>
    <row r="7">
      <c r="A7" s="6" t="inlineStr">
        <is>
          <t>Less: net financial debt</t>
        </is>
      </c>
      <c r="C7" s="14">
        <f>DCF!C49</f>
        <v/>
      </c>
    </row>
    <row r="8">
      <c r="A8" s="6" t="inlineStr">
        <is>
          <t>Add: associates + non-operating assets</t>
        </is>
      </c>
      <c r="C8" s="14">
        <f>DCF!C50</f>
        <v/>
      </c>
    </row>
    <row r="9">
      <c r="A9" s="6" t="inlineStr">
        <is>
          <t>Less: non-controlling interests</t>
        </is>
      </c>
      <c r="C9" s="14">
        <f>DCF!C51</f>
        <v/>
      </c>
    </row>
    <row r="10">
      <c r="A10" s="6" t="inlineStr">
        <is>
          <t>Equity attributable (31-Dec-2025)</t>
        </is>
      </c>
      <c r="C10" s="26">
        <f>DCF!C52</f>
        <v/>
      </c>
    </row>
    <row r="11">
      <c r="A11" s="6" t="inlineStr">
        <is>
          <t>Value per share at anchor (SAR)</t>
        </is>
      </c>
      <c r="C11" s="27">
        <f>DCF!C55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three legs, built to the group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disclosed Note 40 segment on its own driver; the cable leg is the metal converter; group gross margin is the blended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9" t="inlineStr">
        <is>
          <t>Cables &amp; wires — the metal converter</t>
        </is>
      </c>
      <c r="B5" s="10" t="n"/>
      <c r="C5" s="10" t="n"/>
      <c r="D5" s="10" t="n"/>
      <c r="E5" s="10" t="n"/>
      <c r="F5" s="10" t="n"/>
      <c r="G5" s="10" t="n"/>
      <c r="H5" s="10" t="n"/>
    </row>
    <row r="6">
      <c r="A6" s="6" t="inlineStr">
        <is>
          <t>Cable volume index (FY2025=100)</t>
        </is>
      </c>
      <c r="B6" s="20" t="n">
        <v>100</v>
      </c>
      <c r="C6" s="28">
        <f>B6*(1+Assumptions!C$26)</f>
        <v/>
      </c>
      <c r="D6" s="28">
        <f>C6*(1+Assumptions!D$26)</f>
        <v/>
      </c>
      <c r="E6" s="28">
        <f>D6*(1+Assumptions!E$26)</f>
        <v/>
      </c>
      <c r="F6" s="28">
        <f>E6*(1+Assumptions!F$26)</f>
        <v/>
      </c>
      <c r="G6" s="28">
        <f>F6*(1+Assumptions!G$26)</f>
        <v/>
      </c>
    </row>
    <row r="7">
      <c r="A7" s="6" t="inlineStr">
        <is>
          <t>Metal content per unit</t>
        </is>
      </c>
      <c r="B7" s="29">
        <f>Assumptions!$C$53/100.0</f>
        <v/>
      </c>
      <c r="C7" s="29">
        <f>B7*(1+Assumptions!C$27)</f>
        <v/>
      </c>
      <c r="D7" s="29">
        <f>C7*(1+Assumptions!D$27)</f>
        <v/>
      </c>
      <c r="E7" s="29">
        <f>D7*(1+Assumptions!E$27)</f>
        <v/>
      </c>
      <c r="F7" s="29">
        <f>E7*(1+Assumptions!F$27)</f>
        <v/>
      </c>
      <c r="G7" s="29">
        <f>F7*(1+Assumptions!G$27)</f>
        <v/>
      </c>
    </row>
    <row r="8">
      <c r="A8" s="6" t="inlineStr">
        <is>
          <t>Conversion cost per unit</t>
        </is>
      </c>
      <c r="B8" s="29">
        <f>Assumptions!$C$54/100.0</f>
        <v/>
      </c>
      <c r="C8" s="29">
        <f>B8*(1+Assumptions!C$28)</f>
        <v/>
      </c>
      <c r="D8" s="29">
        <f>C8*(1+Assumptions!D$28)</f>
        <v/>
      </c>
      <c r="E8" s="29">
        <f>D8*(1+Assumptions!E$28)</f>
        <v/>
      </c>
      <c r="F8" s="29">
        <f>E8*(1+Assumptions!F$28)</f>
        <v/>
      </c>
      <c r="G8" s="29">
        <f>F8*(1+Assumptions!G$28)</f>
        <v/>
      </c>
    </row>
    <row r="9">
      <c r="A9" s="6" t="inlineStr">
        <is>
          <t>Target gross margin (anchor + glide)</t>
        </is>
      </c>
      <c r="C9" s="24">
        <f>Assumptions!$C$29+Assumptions!C$30</f>
        <v/>
      </c>
      <c r="D9" s="24">
        <f>Assumptions!$C$29+Assumptions!D$30</f>
        <v/>
      </c>
      <c r="E9" s="24">
        <f>Assumptions!$C$29+Assumptions!E$30</f>
        <v/>
      </c>
      <c r="F9" s="24">
        <f>Assumptions!$C$29+Assumptions!F$30</f>
        <v/>
      </c>
      <c r="G9" s="24">
        <f>Assumptions!$C$29+Assumptions!G$30</f>
        <v/>
      </c>
    </row>
    <row r="10">
      <c r="A10" s="6" t="inlineStr">
        <is>
          <t>Gross profit per unit (conversion spread)</t>
        </is>
      </c>
      <c r="B10" s="29">
        <f>B13/B6</f>
        <v/>
      </c>
      <c r="C10" s="29">
        <f>C9/(1-C9)*(C7+C8)</f>
        <v/>
      </c>
      <c r="D10" s="29">
        <f>D9/(1-D9)*(D7+D8)</f>
        <v/>
      </c>
      <c r="E10" s="29">
        <f>E9/(1-E9)*(E7+E8)</f>
        <v/>
      </c>
      <c r="F10" s="29">
        <f>F9/(1-F9)*(F7+F8)</f>
        <v/>
      </c>
      <c r="G10" s="29">
        <f>G9/(1-G9)*(G7+G8)</f>
        <v/>
      </c>
    </row>
    <row r="11">
      <c r="A11" s="6" t="inlineStr">
        <is>
          <t>Materials (metal leg)</t>
        </is>
      </c>
      <c r="B11" s="30">
        <f>B6*B7</f>
        <v/>
      </c>
      <c r="C11" s="30">
        <f>C6*C7</f>
        <v/>
      </c>
      <c r="D11" s="30">
        <f>D6*D7</f>
        <v/>
      </c>
      <c r="E11" s="30">
        <f>E6*E7</f>
        <v/>
      </c>
      <c r="F11" s="30">
        <f>F6*F7</f>
        <v/>
      </c>
      <c r="G11" s="30">
        <f>G6*G7</f>
        <v/>
      </c>
    </row>
    <row r="12">
      <c r="A12" s="6" t="inlineStr">
        <is>
          <t>Conversion cost</t>
        </is>
      </c>
      <c r="B12" s="30">
        <f>B6*B8</f>
        <v/>
      </c>
      <c r="C12" s="30">
        <f>C6*C8</f>
        <v/>
      </c>
      <c r="D12" s="30">
        <f>D6*D8</f>
        <v/>
      </c>
      <c r="E12" s="30">
        <f>E6*E8</f>
        <v/>
      </c>
      <c r="F12" s="30">
        <f>F6*F8</f>
        <v/>
      </c>
      <c r="G12" s="30">
        <f>G6*G8</f>
        <v/>
      </c>
    </row>
    <row r="13">
      <c r="A13" s="6" t="inlineStr">
        <is>
          <t>Gross profit = volume x spread</t>
        </is>
      </c>
      <c r="B13" s="21" t="n">
        <v>1697.442537000001</v>
      </c>
      <c r="C13" s="30">
        <f>C6*C10</f>
        <v/>
      </c>
      <c r="D13" s="30">
        <f>D6*D10</f>
        <v/>
      </c>
      <c r="E13" s="30">
        <f>E6*E10</f>
        <v/>
      </c>
      <c r="F13" s="30">
        <f>F6*F10</f>
        <v/>
      </c>
      <c r="G13" s="30">
        <f>G6*G10</f>
        <v/>
      </c>
    </row>
    <row r="14">
      <c r="A14" s="6" t="inlineStr">
        <is>
          <t>Cables revenue = materials + conversion + gross profit</t>
        </is>
      </c>
      <c r="B14" s="30">
        <f>B11+B12+B13</f>
        <v/>
      </c>
      <c r="C14" s="30">
        <f>C11+C12+C13</f>
        <v/>
      </c>
      <c r="D14" s="30">
        <f>D11+D12+D13</f>
        <v/>
      </c>
      <c r="E14" s="30">
        <f>E11+E12+E13</f>
        <v/>
      </c>
      <c r="F14" s="30">
        <f>F11+F12+F13</f>
        <v/>
      </c>
      <c r="G14" s="30">
        <f>G11+G12+G13</f>
        <v/>
      </c>
    </row>
    <row r="15">
      <c r="A15" s="6" t="inlineStr">
        <is>
          <t>Cables gross margin (OUTPUT)</t>
        </is>
      </c>
      <c r="B15" s="24">
        <f>B13/B14</f>
        <v/>
      </c>
      <c r="C15" s="24">
        <f>C13/C14</f>
        <v/>
      </c>
      <c r="D15" s="24">
        <f>D13/D14</f>
        <v/>
      </c>
      <c r="E15" s="24">
        <f>E13/E14</f>
        <v/>
      </c>
      <c r="F15" s="24">
        <f>F13/F14</f>
        <v/>
      </c>
      <c r="G15" s="24">
        <f>G13/G14</f>
        <v/>
      </c>
    </row>
    <row r="16">
      <c r="A16" s="9" t="inlineStr">
        <is>
          <t>HV turnkey projects — own growth, disclosed margin</t>
        </is>
      </c>
      <c r="B16" s="10" t="n"/>
      <c r="C16" s="10" t="n"/>
      <c r="D16" s="10" t="n"/>
      <c r="E16" s="10" t="n"/>
      <c r="F16" s="10" t="n"/>
      <c r="G16" s="10" t="n"/>
      <c r="H16" s="10" t="n"/>
    </row>
    <row r="17">
      <c r="A17" s="6" t="inlineStr">
        <is>
          <t>HV revenue (own growth path)</t>
        </is>
      </c>
      <c r="B17" s="30">
        <f>Assumptions!$C$55</f>
        <v/>
      </c>
      <c r="C17" s="30">
        <f>B17*(1+Assumptions!C$32)</f>
        <v/>
      </c>
      <c r="D17" s="30">
        <f>C17*(1+Assumptions!D$32)</f>
        <v/>
      </c>
      <c r="E17" s="30">
        <f>D17*(1+Assumptions!E$32)</f>
        <v/>
      </c>
      <c r="F17" s="30">
        <f>E17*(1+Assumptions!F$32)</f>
        <v/>
      </c>
      <c r="G17" s="30">
        <f>F17*(1+Assumptions!G$32)</f>
        <v/>
      </c>
    </row>
    <row r="18">
      <c r="A18" s="6" t="inlineStr">
        <is>
          <t>HV segment margin</t>
        </is>
      </c>
      <c r="B18" s="24">
        <f>Assumptions!$C$33</f>
        <v/>
      </c>
      <c r="C18" s="24">
        <f>Assumptions!$C$33</f>
        <v/>
      </c>
      <c r="D18" s="24">
        <f>Assumptions!$C$33</f>
        <v/>
      </c>
      <c r="E18" s="24">
        <f>Assumptions!$C$33</f>
        <v/>
      </c>
      <c r="F18" s="24">
        <f>Assumptions!$C$33</f>
        <v/>
      </c>
      <c r="G18" s="24">
        <f>Assumptions!$C$33</f>
        <v/>
      </c>
    </row>
    <row r="19">
      <c r="A19" s="6" t="inlineStr">
        <is>
          <t>HV gross profit = revenue x margin</t>
        </is>
      </c>
      <c r="B19" s="30">
        <f>B17*B18</f>
        <v/>
      </c>
      <c r="C19" s="30">
        <f>C17*C18</f>
        <v/>
      </c>
      <c r="D19" s="30">
        <f>D17*D18</f>
        <v/>
      </c>
      <c r="E19" s="30">
        <f>E17*E18</f>
        <v/>
      </c>
      <c r="F19" s="30">
        <f>F17*F18</f>
        <v/>
      </c>
      <c r="G19" s="30">
        <f>G17*G18</f>
        <v/>
      </c>
    </row>
    <row r="20">
      <c r="A20" s="9" t="inlineStr">
        <is>
          <t>Other (telephone cables &amp; services) — own growth, disclosed margin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s="6" t="inlineStr">
        <is>
          <t>Other revenue (own growth path)</t>
        </is>
      </c>
      <c r="B21" s="30">
        <f>Assumptions!$C$56</f>
        <v/>
      </c>
      <c r="C21" s="30">
        <f>B21*(1+Assumptions!C$34)</f>
        <v/>
      </c>
      <c r="D21" s="30">
        <f>C21*(1+Assumptions!D$34)</f>
        <v/>
      </c>
      <c r="E21" s="30">
        <f>D21*(1+Assumptions!E$34)</f>
        <v/>
      </c>
      <c r="F21" s="30">
        <f>E21*(1+Assumptions!F$34)</f>
        <v/>
      </c>
      <c r="G21" s="30">
        <f>F21*(1+Assumptions!G$34)</f>
        <v/>
      </c>
    </row>
    <row r="22">
      <c r="A22" s="6" t="inlineStr">
        <is>
          <t>Other segment margin</t>
        </is>
      </c>
      <c r="B22" s="24">
        <f>Assumptions!$C$35</f>
        <v/>
      </c>
      <c r="C22" s="24">
        <f>Assumptions!$C$35</f>
        <v/>
      </c>
      <c r="D22" s="24">
        <f>Assumptions!$C$35</f>
        <v/>
      </c>
      <c r="E22" s="24">
        <f>Assumptions!$C$35</f>
        <v/>
      </c>
      <c r="F22" s="24">
        <f>Assumptions!$C$35</f>
        <v/>
      </c>
      <c r="G22" s="24">
        <f>Assumptions!$C$35</f>
        <v/>
      </c>
    </row>
    <row r="23">
      <c r="A23" s="6" t="inlineStr">
        <is>
          <t>Other gross profit = revenue x margin</t>
        </is>
      </c>
      <c r="B23" s="30">
        <f>B21*B22</f>
        <v/>
      </c>
      <c r="C23" s="30">
        <f>C21*C22</f>
        <v/>
      </c>
      <c r="D23" s="30">
        <f>D21*D22</f>
        <v/>
      </c>
      <c r="E23" s="30">
        <f>E21*E22</f>
        <v/>
      </c>
      <c r="F23" s="30">
        <f>F21*F22</f>
        <v/>
      </c>
      <c r="G23" s="30">
        <f>G21*G22</f>
        <v/>
      </c>
    </row>
    <row r="24">
      <c r="A24" s="9" t="inlineStr">
        <is>
          <t>Group — the sum of the three legs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>
      <c r="A25" s="6" t="inlineStr">
        <is>
          <t>Revenue (group)</t>
        </is>
      </c>
      <c r="B25" s="30">
        <f>B14+B17+B21</f>
        <v/>
      </c>
      <c r="C25" s="30">
        <f>C14+C17+C21</f>
        <v/>
      </c>
      <c r="D25" s="30">
        <f>D14+D17+D21</f>
        <v/>
      </c>
      <c r="E25" s="30">
        <f>E14+E17+E21</f>
        <v/>
      </c>
      <c r="F25" s="30">
        <f>F14+F17+F21</f>
        <v/>
      </c>
      <c r="G25" s="30">
        <f>G14+G17+G21</f>
        <v/>
      </c>
    </row>
    <row r="26">
      <c r="A26" s="6" t="inlineStr">
        <is>
          <t>Gross profit (group)</t>
        </is>
      </c>
      <c r="B26" s="30">
        <f>B13+B19+B23</f>
        <v/>
      </c>
      <c r="C26" s="30">
        <f>C13+C19+C23</f>
        <v/>
      </c>
      <c r="D26" s="30">
        <f>D13+D19+D23</f>
        <v/>
      </c>
      <c r="E26" s="30">
        <f>E13+E19+E23</f>
        <v/>
      </c>
      <c r="F26" s="30">
        <f>F13+F19+F23</f>
        <v/>
      </c>
      <c r="G26" s="30">
        <f>G13+G19+G23</f>
        <v/>
      </c>
    </row>
    <row r="27">
      <c r="A27" s="6" t="inlineStr">
        <is>
          <t>Cost of revenue (group)</t>
        </is>
      </c>
      <c r="B27" s="30">
        <f>B25-B26</f>
        <v/>
      </c>
      <c r="C27" s="30">
        <f>C25-C26</f>
        <v/>
      </c>
      <c r="D27" s="30">
        <f>D25-D26</f>
        <v/>
      </c>
      <c r="E27" s="30">
        <f>E25-E26</f>
        <v/>
      </c>
      <c r="F27" s="30">
        <f>F25-F26</f>
        <v/>
      </c>
      <c r="G27" s="30">
        <f>G25-G26</f>
        <v/>
      </c>
    </row>
    <row r="28">
      <c r="A28" s="6" t="inlineStr">
        <is>
          <t>Gross margin (OUTPUT = group gross profit / group revenue)</t>
        </is>
      </c>
      <c r="B28" s="24">
        <f>B26/B25</f>
        <v/>
      </c>
      <c r="C28" s="24">
        <f>C26/C25</f>
        <v/>
      </c>
      <c r="D28" s="24">
        <f>D26/D25</f>
        <v/>
      </c>
      <c r="E28" s="24">
        <f>E26/E25</f>
        <v/>
      </c>
      <c r="F28" s="24">
        <f>F26/F25</f>
        <v/>
      </c>
      <c r="G28" s="24">
        <f>G26/G25</f>
        <v/>
      </c>
    </row>
    <row r="29">
      <c r="A29" s="6" t="inlineStr">
        <is>
          <t>Operating expenses</t>
        </is>
      </c>
      <c r="C29" s="30">
        <f>Assumptions!C$37*C25</f>
        <v/>
      </c>
      <c r="D29" s="30">
        <f>Assumptions!D$37*D25</f>
        <v/>
      </c>
      <c r="E29" s="30">
        <f>Assumptions!E$37*E25</f>
        <v/>
      </c>
      <c r="F29" s="30">
        <f>Assumptions!F$37*F25</f>
        <v/>
      </c>
      <c r="G29" s="30">
        <f>Assumptions!G$37*G25</f>
        <v/>
      </c>
    </row>
    <row r="30">
      <c r="A30" s="6" t="inlineStr">
        <is>
          <t>Depreciation &amp; amortisation</t>
        </is>
      </c>
      <c r="C30" s="30">
        <f>Assumptions!$C$38*C25</f>
        <v/>
      </c>
      <c r="D30" s="30">
        <f>Assumptions!$C$38*D25</f>
        <v/>
      </c>
      <c r="E30" s="30">
        <f>Assumptions!$C$38*E25</f>
        <v/>
      </c>
      <c r="F30" s="30">
        <f>Assumptions!$C$38*F25</f>
        <v/>
      </c>
      <c r="G30" s="30">
        <f>Assumptions!$C$38*G25</f>
        <v/>
      </c>
    </row>
    <row r="31">
      <c r="A31" s="6" t="inlineStr">
        <is>
          <t>EBIT</t>
        </is>
      </c>
      <c r="C31" s="30">
        <f>C26-C29</f>
        <v/>
      </c>
      <c r="D31" s="30">
        <f>D26-D29</f>
        <v/>
      </c>
      <c r="E31" s="30">
        <f>E26-E29</f>
        <v/>
      </c>
      <c r="F31" s="30">
        <f>F26-F29</f>
        <v/>
      </c>
      <c r="G31" s="30">
        <f>G26-G29</f>
        <v/>
      </c>
    </row>
    <row r="32">
      <c r="A32" s="6" t="inlineStr">
        <is>
          <t>EBITDA</t>
        </is>
      </c>
      <c r="C32" s="30">
        <f>C31+C30</f>
        <v/>
      </c>
      <c r="D32" s="30">
        <f>D31+D30</f>
        <v/>
      </c>
      <c r="E32" s="30">
        <f>E31+E30</f>
        <v/>
      </c>
      <c r="F32" s="30">
        <f>F31+F30</f>
        <v/>
      </c>
      <c r="G32" s="30">
        <f>G31+G30</f>
        <v/>
      </c>
    </row>
    <row r="33">
      <c r="A33" s="6" t="inlineStr">
        <is>
          <t>EBITDA margin</t>
        </is>
      </c>
      <c r="C33" s="24">
        <f>C32/C25</f>
        <v/>
      </c>
      <c r="D33" s="24">
        <f>D32/D25</f>
        <v/>
      </c>
      <c r="E33" s="24">
        <f>E32/E25</f>
        <v/>
      </c>
      <c r="F33" s="24">
        <f>F32/F25</f>
        <v/>
      </c>
      <c r="G33" s="24">
        <f>G32/G25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0" t="inlineStr">
        <is>
          <t>Relative — EV/EBITDA on FY2027E</t>
        </is>
      </c>
      <c r="B4" s="10" t="n"/>
      <c r="C4" s="10" t="n"/>
      <c r="D4" s="10" t="n"/>
      <c r="E4" s="10" t="n"/>
      <c r="F4" s="10" t="n"/>
      <c r="G4" s="10" t="n"/>
    </row>
    <row r="5">
      <c r="A5" s="6" t="inlineStr">
        <is>
          <t>FY2027E EBITDA</t>
        </is>
      </c>
      <c r="C5" s="14">
        <f>Segments!D32</f>
        <v/>
      </c>
    </row>
    <row r="6">
      <c r="A6" s="6" t="inlineStr">
        <is>
          <t>Justified EV/EBITDA</t>
        </is>
      </c>
      <c r="C6" s="31">
        <f>Assumptions!$C$46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17" t="inlineStr">
        <is>
          <t>Relative lens — implied value (base)</t>
        </is>
      </c>
      <c r="C8" s="32">
        <f>((C6*C5*DCF!D19+C7-Assumptions!$C$7+Assumptions!$C$61+Assumptions!$C$62-Assumptions!$C$63)/Assumptions!$C$6)*DCF!$C$54-Assumptions!$C$51</f>
        <v/>
      </c>
    </row>
    <row r="9">
      <c r="A9" s="6" t="inlineStr">
        <is>
          <t>Bear (7.5x) / Bull (11.0x)</t>
        </is>
      </c>
      <c r="C9" s="18">
        <f>((7.5*C5*DCF!D19+C7-Assumptions!$C$7+Assumptions!$C$61+Assumptions!$C$62-Assumptions!$C$63)/Assumptions!$C$6)*DCF!$C$54-Assumptions!$C$51</f>
        <v/>
      </c>
      <c r="D9" s="18">
        <f>((11*C5*DCF!D19+C7-Assumptions!$C$7+Assumptions!$C$61+Assumptions!$C$62-Assumptions!$C$63)/Assumptions!$C$6)*DCF!$C$54-Assumptions!$C$51</f>
        <v/>
      </c>
    </row>
    <row r="11">
      <c r="A11" s="10" t="inlineStr">
        <is>
          <t>Normalised earnings power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Mid-cycle EBITDA margin (FY2028E)</t>
        </is>
      </c>
      <c r="C12" s="33">
        <f>Segments!E33</f>
        <v/>
      </c>
    </row>
    <row r="13">
      <c r="A13" s="6" t="inlineStr">
        <is>
          <t>FY2026E revenue</t>
        </is>
      </c>
      <c r="C13" s="14">
        <f>Segments!C25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8">
        <f>((C12*C13-Assumptions!$C$38*C13)-C14)*(1-Assumptions!$C$14)*(1-Assumptions!$C$44)/Assumptions!$C$6</f>
        <v/>
      </c>
    </row>
    <row r="16">
      <c r="A16" s="17" t="inlineStr">
        <is>
          <t>Normalised lens — implied value (base)</t>
        </is>
      </c>
      <c r="C16" s="32">
        <f>(Assumptions!$C$47*C15)*DCF!$C$54-Assumptions!$C$51</f>
        <v/>
      </c>
    </row>
    <row r="17">
      <c r="A17" s="6" t="inlineStr">
        <is>
          <t>Bear (10x) / Bull (16x)</t>
        </is>
      </c>
      <c r="C17" s="18">
        <f>(10*C15)*DCF!$C$54-Assumptions!$C$51</f>
        <v/>
      </c>
      <c r="D17" s="18">
        <f>(16*C15)*DCF!$C$54-Assumptions!$C$51</f>
        <v/>
      </c>
    </row>
    <row r="19">
      <c r="A19" s="10" t="inlineStr">
        <is>
          <t>Book value &amp; sustainable return</t>
        </is>
      </c>
      <c r="B19" s="10" t="n"/>
      <c r="C19" s="10" t="n"/>
      <c r="D19" s="10" t="n"/>
      <c r="E19" s="10" t="n"/>
      <c r="F19" s="10" t="n"/>
      <c r="G19" s="10" t="n"/>
    </row>
    <row r="20">
      <c r="A20" s="6" t="inlineStr">
        <is>
          <t>Book value per share</t>
        </is>
      </c>
      <c r="C20" s="18">
        <f>Assumptions!$C$60/Assumptions!$C$6</f>
        <v/>
      </c>
    </row>
    <row r="21">
      <c r="A21" s="6" t="inlineStr">
        <is>
          <t>Justified price / book</t>
        </is>
      </c>
      <c r="C21" s="34">
        <f>(Assumptions!$C$48-Assumptions!$C$23)/(DCF!C11-Assumptions!$C$23)</f>
        <v/>
      </c>
    </row>
    <row r="22">
      <c r="A22" s="17" t="inlineStr">
        <is>
          <t>Book lens — implied value (base)</t>
        </is>
      </c>
      <c r="C22" s="32">
        <f>(C21*C20)*DCF!$C$54-Assumptions!$C$51</f>
        <v/>
      </c>
    </row>
    <row r="23">
      <c r="A23" s="6" t="inlineStr">
        <is>
          <t>Bear / Bull</t>
        </is>
      </c>
      <c r="C23" s="18">
        <f>(((Assumptions!$C$48)-0.05-Assumptions!$C$23)/(DCF!C6-Assumptions!$C$23)*C20)*DCF!$C$54-Assumptions!$C$51</f>
        <v/>
      </c>
      <c r="D23" s="18">
        <f>(((Assumptions!$C$48)+0.03-Assumptions!$C$23)/(DCF!C11-Assumptions!$C$23)*C20)*DCF!$C$54-Assumptions!$C$51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0" t="inlineStr">
        <is>
          <t>Cost of capital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6" t="inlineStr">
        <is>
          <t>Normalised risk-free rate rf*</t>
        </is>
      </c>
      <c r="C5" s="24">
        <f>Assumptions!$C$9-Assumptions!$C$10</f>
        <v/>
      </c>
    </row>
    <row r="6">
      <c r="A6" s="6" t="inlineStr">
        <is>
          <t>Cost of equity Ke</t>
        </is>
      </c>
      <c r="C6" s="24">
        <f>C5+Assumptions!$C$12*Assumptions!$C$11</f>
        <v/>
      </c>
    </row>
    <row r="7">
      <c r="A7" s="6" t="inlineStr">
        <is>
          <t>Cost of debt after tax</t>
        </is>
      </c>
      <c r="C7" s="24">
        <f>Assumptions!$C$13*(1-Assumptions!$C$14)</f>
        <v/>
      </c>
    </row>
    <row r="8">
      <c r="A8" s="6" t="inlineStr">
        <is>
          <t>Market capitalisation</t>
        </is>
      </c>
      <c r="C8" s="30">
        <f>Assumptions!$C$5*Assumptions!$C$6</f>
        <v/>
      </c>
    </row>
    <row r="9">
      <c r="A9" s="6" t="inlineStr">
        <is>
          <t>Net-debt weight</t>
        </is>
      </c>
      <c r="C9" s="24">
        <f>Assumptions!$C$7/(Assumptions!$C$7+C8)</f>
        <v/>
      </c>
    </row>
    <row r="10">
      <c r="A10" s="17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4">
        <f>Assumptions!$C$16+Assumptions!$C$18*Assumptions!$C$17</f>
        <v/>
      </c>
    </row>
    <row r="12">
      <c r="A12" s="6" t="inlineStr">
        <is>
          <t>Terminal cost of debt after tax</t>
        </is>
      </c>
      <c r="C12" s="24">
        <f>Assumptions!$C$19*(1-Assumptions!$C$14)</f>
        <v/>
      </c>
    </row>
    <row r="13">
      <c r="A13" s="17" t="inlineStr">
        <is>
          <t>WACC — terminal</t>
        </is>
      </c>
      <c r="C13" s="35">
        <f>(1-Assumptions!$C$20)*C11+Assumptions!$C$20*C12</f>
        <v/>
      </c>
    </row>
    <row r="15">
      <c r="A15" s="10" t="inlineStr">
        <is>
          <t>Discount-rate glide &amp; waterfall</t>
        </is>
      </c>
      <c r="B15" s="10" t="n"/>
      <c r="C15" s="10" t="n"/>
      <c r="D15" s="10" t="n"/>
      <c r="E15" s="10" t="n"/>
      <c r="F15" s="10" t="n"/>
      <c r="G15" s="10" t="n"/>
      <c r="H15" s="10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(Assumptions!C$41-Assumptions!C$41)/(Assumptions!C$41-Assumptions!G$41)</f>
        <v/>
      </c>
      <c r="D17" s="36">
        <f>(Assumptions!C$41-Assumptions!D$41)/(Assumptions!C$41-Assumptions!G$41)</f>
        <v/>
      </c>
      <c r="E17" s="36">
        <f>(Assumptions!C$41-Assumptions!E$41)/(Assumptions!C$41-Assumptions!G$41)</f>
        <v/>
      </c>
      <c r="F17" s="36">
        <f>(Assumptions!C$41-Assumptions!F$41)/(Assumptions!C$41-Assumptions!G$41)</f>
        <v/>
      </c>
      <c r="G17" s="36">
        <f>(Assumptions!C$41-Assumptions!G$41)/(Assumptions!C$41-Assumptions!G$41)</f>
        <v/>
      </c>
    </row>
    <row r="18">
      <c r="A18" s="6" t="inlineStr">
        <is>
          <t>Forward WACC</t>
        </is>
      </c>
      <c r="C18" s="24">
        <f>C10-(C10-C13)*C17</f>
        <v/>
      </c>
      <c r="D18" s="24">
        <f>C10-(C10-C13)*D17</f>
        <v/>
      </c>
      <c r="E18" s="24">
        <f>C10-(C10-C13)*E17</f>
        <v/>
      </c>
      <c r="F18" s="24">
        <f>C10-(C10-C13)*F17</f>
        <v/>
      </c>
      <c r="G18" s="24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Segments!C31</f>
        <v/>
      </c>
      <c r="D20" s="14">
        <f>Segments!D31</f>
        <v/>
      </c>
      <c r="E20" s="14">
        <f>Segments!E31</f>
        <v/>
      </c>
      <c r="F20" s="14">
        <f>Segments!F31</f>
        <v/>
      </c>
      <c r="G20" s="14">
        <f>Segments!G31</f>
        <v/>
      </c>
    </row>
    <row r="21">
      <c r="A21" s="6" t="inlineStr">
        <is>
          <t>NOPAT = EBIT x (1 - tax)</t>
        </is>
      </c>
      <c r="C21" s="30">
        <f>C20*(1-Assumptions!$C$14)</f>
        <v/>
      </c>
      <c r="D21" s="30">
        <f>D20*(1-Assumptions!$C$14)</f>
        <v/>
      </c>
      <c r="E21" s="30">
        <f>E20*(1-Assumptions!$C$14)</f>
        <v/>
      </c>
      <c r="F21" s="30">
        <f>F20*(1-Assumptions!$C$14)</f>
        <v/>
      </c>
      <c r="G21" s="30">
        <f>G20*(1-Assumptions!$C$14)</f>
        <v/>
      </c>
    </row>
    <row r="22">
      <c r="A22" s="6" t="inlineStr">
        <is>
          <t>+ Depreciation &amp; amortisation</t>
        </is>
      </c>
      <c r="C22" s="14">
        <f>Segments!C30</f>
        <v/>
      </c>
      <c r="D22" s="14">
        <f>Segments!D30</f>
        <v/>
      </c>
      <c r="E22" s="14">
        <f>Segments!E30</f>
        <v/>
      </c>
      <c r="F22" s="14">
        <f>Segments!F30</f>
        <v/>
      </c>
      <c r="G22" s="14">
        <f>Segments!G30</f>
        <v/>
      </c>
    </row>
    <row r="23">
      <c r="A23" s="6" t="inlineStr">
        <is>
          <t>Revenue (memo)</t>
        </is>
      </c>
      <c r="C23" s="14">
        <f>Segments!C25</f>
        <v/>
      </c>
      <c r="D23" s="14">
        <f>Segments!D25</f>
        <v/>
      </c>
      <c r="E23" s="14">
        <f>Segments!E25</f>
        <v/>
      </c>
      <c r="F23" s="14">
        <f>Segments!F25</f>
        <v/>
      </c>
      <c r="G23" s="14">
        <f>Segments!G25</f>
        <v/>
      </c>
    </row>
    <row r="24">
      <c r="A24" s="6" t="inlineStr">
        <is>
          <t>- Capital expenditure</t>
        </is>
      </c>
      <c r="C24" s="30">
        <f>Assumptions!C$39*C23</f>
        <v/>
      </c>
      <c r="D24" s="30">
        <f>Assumptions!D$39*D23</f>
        <v/>
      </c>
      <c r="E24" s="30">
        <f>Assumptions!E$39*E23</f>
        <v/>
      </c>
      <c r="F24" s="30">
        <f>Assumptions!F$39*F23</f>
        <v/>
      </c>
      <c r="G24" s="30">
        <f>Assumptions!G$39*G23</f>
        <v/>
      </c>
    </row>
    <row r="25">
      <c r="A25" s="6" t="inlineStr">
        <is>
          <t>Net working capital</t>
        </is>
      </c>
      <c r="C25" s="30">
        <f>Assumptions!$C$40*C23</f>
        <v/>
      </c>
      <c r="D25" s="30">
        <f>Assumptions!$C$40*D23</f>
        <v/>
      </c>
      <c r="E25" s="30">
        <f>Assumptions!$C$40*E23</f>
        <v/>
      </c>
      <c r="F25" s="30">
        <f>Assumptions!$C$40*F23</f>
        <v/>
      </c>
      <c r="G25" s="30">
        <f>Assumptions!$C$40*G23</f>
        <v/>
      </c>
    </row>
    <row r="26">
      <c r="A26" s="6" t="inlineStr">
        <is>
          <t>- Change in working capital</t>
        </is>
      </c>
      <c r="C26" s="30">
        <f>C25-Assumptions!$C$57</f>
        <v/>
      </c>
      <c r="D26" s="30">
        <f>D25-C25</f>
        <v/>
      </c>
      <c r="E26" s="30">
        <f>E25-D25</f>
        <v/>
      </c>
      <c r="F26" s="30">
        <f>F25-E25</f>
        <v/>
      </c>
      <c r="G26" s="30">
        <f>G25-F25</f>
        <v/>
      </c>
    </row>
    <row r="27">
      <c r="A27" s="17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30">
        <f>C27*C19</f>
        <v/>
      </c>
      <c r="D28" s="30">
        <f>D27*D19</f>
        <v/>
      </c>
      <c r="E28" s="30">
        <f>E27*E19</f>
        <v/>
      </c>
      <c r="F28" s="30">
        <f>F27*F19</f>
        <v/>
      </c>
      <c r="G28" s="30">
        <f>G27*G19</f>
        <v/>
      </c>
    </row>
    <row r="30">
      <c r="A30" s="10" t="inlineStr">
        <is>
          <t>Invested capital &amp; terminal</t>
        </is>
      </c>
      <c r="B30" s="10" t="n"/>
      <c r="C30" s="10" t="n"/>
      <c r="D30" s="10" t="n"/>
      <c r="E30" s="10" t="n"/>
      <c r="F30" s="10" t="n"/>
      <c r="G30" s="10" t="n"/>
      <c r="H30" s="10" t="n"/>
    </row>
    <row r="31">
      <c r="A31" s="6" t="inlineStr">
        <is>
          <t>PP&amp;E roll-forward</t>
        </is>
      </c>
      <c r="C31" s="30">
        <f>Assumptions!$C$58+C24-C22</f>
        <v/>
      </c>
      <c r="D31" s="30">
        <f>C31+D24-D22</f>
        <v/>
      </c>
      <c r="E31" s="30">
        <f>D31+E24-E22</f>
        <v/>
      </c>
      <c r="F31" s="30">
        <f>E31+F24-F22</f>
        <v/>
      </c>
      <c r="G31" s="30">
        <f>F31+G24-G22</f>
        <v/>
      </c>
    </row>
    <row r="32">
      <c r="A32" s="6" t="inlineStr">
        <is>
          <t>Invested capital = NWC + PP&amp;E</t>
        </is>
      </c>
      <c r="C32" s="30">
        <f>C25+C31</f>
        <v/>
      </c>
      <c r="D32" s="30">
        <f>D25+D31</f>
        <v/>
      </c>
      <c r="E32" s="30">
        <f>E25+E31</f>
        <v/>
      </c>
      <c r="F32" s="30">
        <f>F25+F31</f>
        <v/>
      </c>
      <c r="G32" s="30">
        <f>G25+G31</f>
        <v/>
      </c>
    </row>
    <row r="33">
      <c r="A33" s="6" t="inlineStr">
        <is>
          <t>ROIC = NOPAT / invested capital</t>
        </is>
      </c>
      <c r="C33" s="24">
        <f>C21/C32</f>
        <v/>
      </c>
      <c r="D33" s="24">
        <f>D21/D32</f>
        <v/>
      </c>
      <c r="E33" s="24">
        <f>E21/E32</f>
        <v/>
      </c>
      <c r="F33" s="24">
        <f>F21/F32</f>
        <v/>
      </c>
      <c r="G33" s="24">
        <f>G21/G32</f>
        <v/>
      </c>
    </row>
    <row r="35">
      <c r="A35" s="6" t="inlineStr">
        <is>
          <t>PV of explicit FCFF (5 years)</t>
        </is>
      </c>
      <c r="C35" s="30">
        <f>SUM(C28:G28)</f>
        <v/>
      </c>
    </row>
    <row r="36">
      <c r="A36" s="6" t="inlineStr">
        <is>
          <t>Terminal ROIC (reported, not used to build the terminal)</t>
        </is>
      </c>
      <c r="C36" s="24">
        <f>G21*(1+Assumptions!$C$23)/G32</f>
        <v/>
      </c>
    </row>
    <row r="37">
      <c r="A37" s="6" t="inlineStr">
        <is>
          <t>Terminal NOPAT (next year)</t>
        </is>
      </c>
      <c r="C37" s="30">
        <f>G21*(1+Assumptions!$C$23)</f>
        <v/>
      </c>
    </row>
    <row r="38">
      <c r="A38" s="6" t="inlineStr">
        <is>
          <t>Plus book depreciation and amortisation inside that profit</t>
        </is>
      </c>
      <c r="C38" s="30">
        <f>G22*(1+Assumptions!$C$23)</f>
        <v/>
      </c>
    </row>
    <row r="39">
      <c r="A39" s="6" t="inlineStr">
        <is>
          <t>Less capital maintenance at current cost</t>
        </is>
      </c>
      <c r="C39" s="30">
        <f>-C38*(1+Assumptions!$C$21)^(Assumptions!$C$24/2)</f>
        <v/>
      </c>
    </row>
    <row r="40">
      <c r="A40" s="6" t="inlineStr">
        <is>
          <t>Less growth capital, for REAL growth only</t>
        </is>
      </c>
      <c r="C40" s="30">
        <f>-Assumptions!$C$22*(G32)*(1+Assumptions!$C$23)</f>
        <v/>
      </c>
    </row>
    <row r="41">
      <c r="A41" s="6" t="inlineStr">
        <is>
          <t>Less inflation on working capital</t>
        </is>
      </c>
      <c r="C41" s="30">
        <f>-Assumptions!$C$21*G25*(1+Assumptions!$C$23)</f>
        <v/>
      </c>
    </row>
    <row r="42">
      <c r="A42" s="17" t="inlineStr">
        <is>
          <t>Terminal free cash flow</t>
        </is>
      </c>
      <c r="C42" s="37">
        <f>SUM(C37:C41)</f>
        <v/>
      </c>
    </row>
    <row r="43">
      <c r="A43" s="6" t="inlineStr">
        <is>
          <t>Terminal value</t>
        </is>
      </c>
      <c r="C43" s="30">
        <f>C42*(1+Assumptions!$C$23)/(C13-Assumptions!$C$23)</f>
        <v/>
      </c>
    </row>
    <row r="44">
      <c r="A44" s="6" t="inlineStr">
        <is>
          <t>PV of terminal value</t>
        </is>
      </c>
      <c r="C44" s="30">
        <f>C43*G19</f>
        <v/>
      </c>
    </row>
    <row r="45">
      <c r="A45" s="17" t="inlineStr">
        <is>
          <t>Enterprise value</t>
        </is>
      </c>
      <c r="C45" s="37">
        <f>C35+C44</f>
        <v/>
      </c>
    </row>
    <row r="46">
      <c r="A46" s="17" t="inlineStr">
        <is>
          <t>Terminal value as % of EV</t>
        </is>
      </c>
      <c r="C46" s="38">
        <f>C44/C45</f>
        <v/>
      </c>
    </row>
    <row r="48">
      <c r="A48" s="10" t="inlineStr">
        <is>
          <t>Enterprise value to equity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>
      <c r="A49" s="6" t="inlineStr">
        <is>
          <t>Less: net financial debt</t>
        </is>
      </c>
      <c r="C49" s="30">
        <f>-Assumptions!$C$7</f>
        <v/>
      </c>
    </row>
    <row r="50">
      <c r="A50" s="6" t="inlineStr">
        <is>
          <t>Add: associates + non-operating assets</t>
        </is>
      </c>
      <c r="C50" s="30">
        <f>Assumptions!$C$61+Assumptions!$C$62</f>
        <v/>
      </c>
    </row>
    <row r="51">
      <c r="A51" s="6" t="inlineStr">
        <is>
          <t>Less: non-controlling interests</t>
        </is>
      </c>
      <c r="C51" s="30">
        <f>-Assumptions!$C$63</f>
        <v/>
      </c>
    </row>
    <row r="52">
      <c r="A52" s="17" t="inlineStr">
        <is>
          <t>Equity attributable (31-Dec-2025)</t>
        </is>
      </c>
      <c r="C52" s="37">
        <f>C45+C49+C50+C51</f>
        <v/>
      </c>
    </row>
    <row r="53">
      <c r="A53" s="6" t="inlineStr">
        <is>
          <t>Value per share (31-Dec-2025)</t>
        </is>
      </c>
      <c r="C53" s="18">
        <f>C52/Assumptions!$C$6</f>
        <v/>
      </c>
    </row>
    <row r="54">
      <c r="A54" s="6" t="inlineStr">
        <is>
          <t>Anchor accretion factor</t>
        </is>
      </c>
      <c r="C54" s="36">
        <f>(1+C6)^(Assumptions!$C$50/365)</f>
        <v/>
      </c>
    </row>
    <row r="55">
      <c r="A55" s="17" t="inlineStr">
        <is>
          <t>Value per share at anchor (18-Aug-2026)</t>
        </is>
      </c>
      <c r="C55" s="32">
        <f>C53*C54-Assumptions!$C$51</f>
        <v/>
      </c>
    </row>
    <row r="56">
      <c r="A56" s="6" t="inlineStr">
        <is>
          <t>vs spot</t>
        </is>
      </c>
      <c r="C56" s="8">
        <f>C55/Assumptions!$C$5-1</f>
        <v/>
      </c>
    </row>
    <row r="58">
      <c r="A58" s="10" t="inlineStr">
        <is>
          <t>DCF scenarios (whole-model re-runs — pasted)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>
      <c r="A59" s="6" t="inlineStr">
        <is>
          <t>Bear</t>
        </is>
      </c>
      <c r="C59" s="19" t="n">
        <v>81.9880979359901</v>
      </c>
    </row>
    <row r="60">
      <c r="A60" s="6" t="inlineStr">
        <is>
          <t>Base (= value per share at anchor)</t>
        </is>
      </c>
      <c r="C60" s="7">
        <f>C55</f>
        <v/>
      </c>
    </row>
    <row r="61">
      <c r="A61" s="6" t="inlineStr">
        <is>
          <t>Bull</t>
        </is>
      </c>
      <c r="C61" s="19" t="n">
        <v>202.3740402967112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21" t="n">
        <v>7825.378127</v>
      </c>
      <c r="D5" s="21" t="n">
        <v>9007.360866999999</v>
      </c>
      <c r="E5" s="21" t="n">
        <v>10673.604262</v>
      </c>
      <c r="F5" s="14">
        <f>Segments!C25</f>
        <v/>
      </c>
      <c r="G5" s="14">
        <f>Segments!D25</f>
        <v/>
      </c>
      <c r="H5" s="14">
        <f>Segments!E25</f>
        <v/>
      </c>
      <c r="I5" s="14">
        <f>Segments!F25</f>
        <v/>
      </c>
      <c r="J5" s="14">
        <f>Segments!G25</f>
        <v/>
      </c>
    </row>
    <row r="6">
      <c r="A6" s="6" t="inlineStr">
        <is>
          <t>Gross profit</t>
        </is>
      </c>
      <c r="C6" s="21" t="n">
        <v>972.763438</v>
      </c>
      <c r="D6" s="21" t="n">
        <v>1286.522351</v>
      </c>
      <c r="E6" s="21" t="n">
        <v>1733.329855</v>
      </c>
      <c r="F6" s="14">
        <f>Segments!C26</f>
        <v/>
      </c>
      <c r="G6" s="14">
        <f>Segments!D26</f>
        <v/>
      </c>
      <c r="H6" s="14">
        <f>Segments!E26</f>
        <v/>
      </c>
      <c r="I6" s="14">
        <f>Segments!F26</f>
        <v/>
      </c>
      <c r="J6" s="14">
        <f>Segments!G26</f>
        <v/>
      </c>
    </row>
    <row r="7">
      <c r="A7" s="6" t="inlineStr">
        <is>
          <t>Gross margin</t>
        </is>
      </c>
      <c r="C7" s="24">
        <f>C6/C5</f>
        <v/>
      </c>
      <c r="D7" s="24">
        <f>D6/D5</f>
        <v/>
      </c>
      <c r="E7" s="24">
        <f>E6/E5</f>
        <v/>
      </c>
      <c r="F7" s="24">
        <f>F6/F5</f>
        <v/>
      </c>
      <c r="G7" s="24">
        <f>G6/G5</f>
        <v/>
      </c>
      <c r="H7" s="24">
        <f>H6/H5</f>
        <v/>
      </c>
      <c r="I7" s="24">
        <f>I6/I5</f>
        <v/>
      </c>
      <c r="J7" s="24">
        <f>J6/J5</f>
        <v/>
      </c>
    </row>
    <row r="8">
      <c r="A8" s="6" t="inlineStr">
        <is>
          <t>Operating expenses</t>
        </is>
      </c>
      <c r="C8" s="30">
        <f>C6-C11</f>
        <v/>
      </c>
      <c r="D8" s="30">
        <f>D6-D11</f>
        <v/>
      </c>
      <c r="E8" s="30">
        <f>E6-E11</f>
        <v/>
      </c>
      <c r="F8" s="14">
        <f>Segments!C29</f>
        <v/>
      </c>
      <c r="G8" s="14">
        <f>Segments!D29</f>
        <v/>
      </c>
      <c r="H8" s="14">
        <f>Segments!E29</f>
        <v/>
      </c>
      <c r="I8" s="14">
        <f>Segments!F29</f>
        <v/>
      </c>
      <c r="J8" s="14">
        <f>Segments!G29</f>
        <v/>
      </c>
    </row>
    <row r="9">
      <c r="A9" s="6" t="inlineStr">
        <is>
          <t>EBITDA</t>
        </is>
      </c>
      <c r="C9" s="30">
        <f>C11+C10</f>
        <v/>
      </c>
      <c r="D9" s="30">
        <f>D11+D10</f>
        <v/>
      </c>
      <c r="E9" s="30">
        <f>E11+E10</f>
        <v/>
      </c>
      <c r="F9" s="14">
        <f>Segments!C32</f>
        <v/>
      </c>
      <c r="G9" s="14">
        <f>Segments!D32</f>
        <v/>
      </c>
      <c r="H9" s="14">
        <f>Segments!E32</f>
        <v/>
      </c>
      <c r="I9" s="14">
        <f>Segments!F32</f>
        <v/>
      </c>
      <c r="J9" s="14">
        <f>Segments!G32</f>
        <v/>
      </c>
    </row>
    <row r="10">
      <c r="A10" s="6" t="inlineStr">
        <is>
          <t>Depreciation &amp; amortisation</t>
        </is>
      </c>
      <c r="C10" s="21" t="n">
        <v>66.428122</v>
      </c>
      <c r="D10" s="21" t="n">
        <v>68.643861</v>
      </c>
      <c r="E10" s="21" t="n">
        <v>85.39563699999999</v>
      </c>
      <c r="F10" s="14">
        <f>Segments!C30</f>
        <v/>
      </c>
      <c r="G10" s="14">
        <f>Segments!D30</f>
        <v/>
      </c>
      <c r="H10" s="14">
        <f>Segments!E30</f>
        <v/>
      </c>
      <c r="I10" s="14">
        <f>Segments!F30</f>
        <v/>
      </c>
      <c r="J10" s="14">
        <f>Segments!G30</f>
        <v/>
      </c>
    </row>
    <row r="11">
      <c r="A11" s="6" t="inlineStr">
        <is>
          <t>Operating profit (EBIT)</t>
        </is>
      </c>
      <c r="C11" s="21" t="n">
        <v>647.606782</v>
      </c>
      <c r="D11" s="21" t="n">
        <v>968.439154</v>
      </c>
      <c r="E11" s="21" t="n">
        <v>1266.636844</v>
      </c>
      <c r="F11" s="14">
        <f>Segments!C31</f>
        <v/>
      </c>
      <c r="G11" s="14">
        <f>Segments!D31</f>
        <v/>
      </c>
      <c r="H11" s="14">
        <f>Segments!E31</f>
        <v/>
      </c>
      <c r="I11" s="14">
        <f>Segments!F31</f>
        <v/>
      </c>
      <c r="J11" s="14">
        <f>Segments!G31</f>
        <v/>
      </c>
    </row>
    <row r="12">
      <c r="A12" s="6" t="inlineStr">
        <is>
          <t>Net finance cost</t>
        </is>
      </c>
      <c r="C12" s="21" t="n">
        <v>-89.01433400000001</v>
      </c>
      <c r="D12" s="21" t="n">
        <v>-87.66669899999999</v>
      </c>
      <c r="E12" s="21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30">
        <f>J11+J12</f>
        <v/>
      </c>
    </row>
    <row r="14">
      <c r="A14" s="6" t="inlineStr">
        <is>
          <t>Zakat &amp; income tax</t>
        </is>
      </c>
      <c r="C14" s="21" t="n">
        <v>-39.126206</v>
      </c>
      <c r="D14" s="21" t="n">
        <v>-63.891298</v>
      </c>
      <c r="E14" s="21" t="n">
        <v>-107.681788</v>
      </c>
      <c r="F14" s="30">
        <f>-F13*Assumptions!$C$14</f>
        <v/>
      </c>
      <c r="G14" s="30">
        <f>-G13*Assumptions!$C$14</f>
        <v/>
      </c>
      <c r="H14" s="30">
        <f>-H13*Assumptions!$C$14</f>
        <v/>
      </c>
      <c r="I14" s="30">
        <f>-I13*Assumptions!$C$14</f>
        <v/>
      </c>
      <c r="J14" s="30">
        <f>-J13*Assumptions!$C$14</f>
        <v/>
      </c>
    </row>
    <row r="15">
      <c r="A15" s="6" t="inlineStr">
        <is>
          <t>Profit for the year</t>
        </is>
      </c>
      <c r="C15" s="21" t="n">
        <v>518.492623</v>
      </c>
      <c r="D15" s="21" t="n">
        <v>816.881157</v>
      </c>
      <c r="E15" s="21" t="n">
        <v>1084.801061</v>
      </c>
      <c r="F15" s="30">
        <f>F13+F14</f>
        <v/>
      </c>
      <c r="G15" s="30">
        <f>G13+G14</f>
        <v/>
      </c>
      <c r="H15" s="30">
        <f>H13+H14</f>
        <v/>
      </c>
      <c r="I15" s="30">
        <f>I13+I14</f>
        <v/>
      </c>
      <c r="J15" s="30">
        <f>J13+J14</f>
        <v/>
      </c>
    </row>
    <row r="16">
      <c r="A16" s="6" t="inlineStr">
        <is>
          <t>Attributable profit</t>
        </is>
      </c>
      <c r="E16" s="21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21" t="n">
        <v>1206.659875</v>
      </c>
      <c r="D5" s="21" t="n">
        <v>1336.038944</v>
      </c>
      <c r="E5" s="21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21" t="n">
        <v>1909.11144</v>
      </c>
      <c r="D6" s="21" t="n">
        <v>2126.036688</v>
      </c>
      <c r="E6" s="21" t="n">
        <v>2411.049305</v>
      </c>
    </row>
    <row r="7">
      <c r="A7" s="6" t="inlineStr">
        <is>
          <t>Trade &amp; other receivables</t>
        </is>
      </c>
      <c r="C7" s="21" t="n">
        <v>1418.920843</v>
      </c>
      <c r="D7" s="21" t="n">
        <v>2112.098567</v>
      </c>
      <c r="E7" s="21" t="n">
        <v>2712.677113</v>
      </c>
    </row>
    <row r="8">
      <c r="A8" s="6" t="inlineStr">
        <is>
          <t>Cash &amp; equivalents</t>
        </is>
      </c>
      <c r="C8" s="21" t="n">
        <v>150.051628</v>
      </c>
      <c r="D8" s="21" t="n">
        <v>90.672725</v>
      </c>
      <c r="E8" s="21" t="n">
        <v>236.043009</v>
      </c>
    </row>
    <row r="9">
      <c r="A9" s="6" t="inlineStr">
        <is>
          <t>Total assets</t>
        </is>
      </c>
      <c r="C9" s="21" t="n">
        <v>4830.929068</v>
      </c>
      <c r="D9" s="21" t="n">
        <v>5811.584098</v>
      </c>
      <c r="E9" s="21" t="n">
        <v>7281.581695</v>
      </c>
    </row>
    <row r="10">
      <c r="A10" s="6" t="inlineStr">
        <is>
          <t>Gross borrowings incl. leases</t>
        </is>
      </c>
      <c r="C10" s="21" t="n">
        <v>730.611837</v>
      </c>
      <c r="D10" s="21" t="n">
        <v>440.445599</v>
      </c>
      <c r="E10" s="21" t="n">
        <v>621.216217</v>
      </c>
      <c r="F10" s="14">
        <f>Assumptions!$C$59</f>
        <v/>
      </c>
      <c r="G10" s="14">
        <f>Assumptions!$C$59</f>
        <v/>
      </c>
      <c r="H10" s="14">
        <f>Assumptions!$C$59</f>
        <v/>
      </c>
      <c r="I10" s="14">
        <f>Assumptions!$C$59</f>
        <v/>
      </c>
      <c r="J10" s="14">
        <f>Assumptions!$C$59</f>
        <v/>
      </c>
    </row>
    <row r="11">
      <c r="A11" s="6" t="inlineStr">
        <is>
          <t>Trade &amp; other payables</t>
        </is>
      </c>
      <c r="C11" s="21" t="n">
        <v>1486.905974</v>
      </c>
      <c r="D11" s="21" t="n">
        <v>2040.707151</v>
      </c>
      <c r="E11" s="21" t="n">
        <v>2190.467493</v>
      </c>
    </row>
    <row r="12">
      <c r="A12" s="6" t="inlineStr">
        <is>
          <t>Net working capital</t>
        </is>
      </c>
      <c r="C12" s="21" t="n">
        <v>1841.126309</v>
      </c>
      <c r="D12" s="21" t="n">
        <v>2197.428104</v>
      </c>
      <c r="E12" s="21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21" t="n">
        <v>580.560209</v>
      </c>
      <c r="D13" s="21" t="n">
        <v>349.772874</v>
      </c>
      <c r="E13" s="21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21" t="n">
        <v>2246.744341</v>
      </c>
      <c r="D14" s="21" t="n">
        <v>2624.35365</v>
      </c>
      <c r="E14" s="21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0" t="inlineStr">
        <is>
          <t>Forecast roll-forward (feeds the income statement &amp; lenses)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6" t="inlineStr">
        <is>
          <t>Net debt, start of year</t>
        </is>
      </c>
      <c r="C17" s="30">
        <f>Assumptions!$C$7</f>
        <v/>
      </c>
      <c r="D17" s="30">
        <f>C24</f>
        <v/>
      </c>
      <c r="E17" s="30">
        <f>D24</f>
        <v/>
      </c>
      <c r="F17" s="30">
        <f>E24</f>
        <v/>
      </c>
      <c r="G17" s="30">
        <f>F24</f>
        <v/>
      </c>
    </row>
    <row r="18">
      <c r="A18" s="6" t="inlineStr">
        <is>
          <t>Surplus cash</t>
        </is>
      </c>
      <c r="C18" s="30">
        <f>Assumptions!$C$59-C17</f>
        <v/>
      </c>
      <c r="D18" s="30">
        <f>Assumptions!$C$59-D17</f>
        <v/>
      </c>
      <c r="E18" s="30">
        <f>Assumptions!$C$59-E17</f>
        <v/>
      </c>
      <c r="F18" s="30">
        <f>Assumptions!$C$59-F17</f>
        <v/>
      </c>
      <c r="G18" s="30">
        <f>Assumptions!$C$59-G17</f>
        <v/>
      </c>
    </row>
    <row r="19">
      <c r="A19" s="6" t="inlineStr">
        <is>
          <t>Net interest</t>
        </is>
      </c>
      <c r="C19" s="30">
        <f>Assumptions!C$41*Assumptions!$C$59-Assumptions!$C$43*MAX(C18,0)</f>
        <v/>
      </c>
      <c r="D19" s="30">
        <f>Assumptions!D$41*Assumptions!$C$59-Assumptions!$C$43*MAX(D18,0)</f>
        <v/>
      </c>
      <c r="E19" s="30">
        <f>Assumptions!E$41*Assumptions!$C$59-Assumptions!$C$43*MAX(E18,0)</f>
        <v/>
      </c>
      <c r="F19" s="30">
        <f>Assumptions!F$41*Assumptions!$C$59-Assumptions!$C$43*MAX(F18,0)</f>
        <v/>
      </c>
      <c r="G19" s="30">
        <f>Assumptions!G$41*Assumptions!$C$59-Assumptions!$C$43*MAX(G18,0)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30">
        <f>C20-C19</f>
        <v/>
      </c>
      <c r="D21" s="30">
        <f>D20-D19</f>
        <v/>
      </c>
      <c r="E21" s="30">
        <f>E20-E19</f>
        <v/>
      </c>
      <c r="F21" s="30">
        <f>F20-F19</f>
        <v/>
      </c>
      <c r="G21" s="30">
        <f>G20-G19</f>
        <v/>
      </c>
    </row>
    <row r="22">
      <c r="A22" s="6" t="inlineStr">
        <is>
          <t>Attributable profit</t>
        </is>
      </c>
      <c r="C22" s="30">
        <f>C21*(1-Assumptions!$C$14)*(1-Assumptions!$C$44)</f>
        <v/>
      </c>
      <c r="D22" s="30">
        <f>D21*(1-Assumptions!$C$14)*(1-Assumptions!$C$44)</f>
        <v/>
      </c>
      <c r="E22" s="30">
        <f>E21*(1-Assumptions!$C$14)*(1-Assumptions!$C$44)</f>
        <v/>
      </c>
      <c r="F22" s="30">
        <f>F21*(1-Assumptions!$C$14)*(1-Assumptions!$C$44)</f>
        <v/>
      </c>
      <c r="G22" s="30">
        <f>G21*(1-Assumptions!$C$14)*(1-Assumptions!$C$44)</f>
        <v/>
      </c>
    </row>
    <row r="23">
      <c r="A23" s="6" t="inlineStr">
        <is>
          <t>Dividend</t>
        </is>
      </c>
      <c r="C23" s="30">
        <f>Assumptions!$C$42*C22</f>
        <v/>
      </c>
      <c r="D23" s="30">
        <f>Assumptions!$C$42*D22</f>
        <v/>
      </c>
      <c r="E23" s="30">
        <f>Assumptions!$C$42*E22</f>
        <v/>
      </c>
      <c r="F23" s="30">
        <f>Assumptions!$C$42*F22</f>
        <v/>
      </c>
      <c r="G23" s="30">
        <f>Assumptions!$C$42*G22</f>
        <v/>
      </c>
    </row>
    <row r="24">
      <c r="A24" s="6" t="inlineStr">
        <is>
          <t>Net debt, end of year</t>
        </is>
      </c>
      <c r="C24" s="30">
        <f>C17-(DCF!C27-C19*(1-Assumptions!$C$14))+C23</f>
        <v/>
      </c>
      <c r="D24" s="30">
        <f>D17-(DCF!D27-D19*(1-Assumptions!$C$14))+D23</f>
        <v/>
      </c>
      <c r="E24" s="30">
        <f>E17-(DCF!E27-E19*(1-Assumptions!$C$14))+E23</f>
        <v/>
      </c>
      <c r="F24" s="30">
        <f>F17-(DCF!F27-F19*(1-Assumptions!$C$14))+F23</f>
        <v/>
      </c>
      <c r="G24" s="30">
        <f>G17-(DCF!G27-G19*(1-Assumptions!$C$14))+G23</f>
        <v/>
      </c>
    </row>
    <row r="25">
      <c r="A25" s="6" t="inlineStr">
        <is>
          <t>Equity attributable</t>
        </is>
      </c>
      <c r="C25" s="30">
        <f>Assumptions!$C$60+C22-C23</f>
        <v/>
      </c>
      <c r="D25" s="30">
        <f>C25+D22-D23</f>
        <v/>
      </c>
      <c r="E25" s="30">
        <f>D25+E22-E23</f>
        <v/>
      </c>
      <c r="F25" s="30">
        <f>E25+F22-F23</f>
        <v/>
      </c>
      <c r="G25" s="30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30">
        <f>C9*C10</f>
        <v/>
      </c>
      <c r="D11" s="30">
        <f>D9*D10</f>
        <v/>
      </c>
      <c r="E11" s="30">
        <f>E9*E10</f>
        <v/>
      </c>
      <c r="F11" s="30">
        <f>F9*F10</f>
        <v/>
      </c>
      <c r="G11" s="30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Segments!C32</f>
        <v/>
      </c>
      <c r="D6" s="14">
        <f>Segments!D32</f>
        <v/>
      </c>
      <c r="E6" s="14">
        <f>Segments!E32</f>
        <v/>
      </c>
      <c r="F6" s="14">
        <f>Segments!F32</f>
        <v/>
      </c>
      <c r="G6" s="14">
        <f>Segments!G32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9" t="n">
        <v>87.21321014037129</v>
      </c>
      <c r="C5" s="19" t="n">
        <v>76.54888951524968</v>
      </c>
    </row>
    <row r="6">
      <c r="A6" s="6" t="inlineStr">
        <is>
          <t>P25</t>
        </is>
      </c>
      <c r="B6" s="19" t="n">
        <v>97.61126202615651</v>
      </c>
      <c r="C6" s="19" t="n">
        <v>92.86909864606133</v>
      </c>
    </row>
    <row r="7">
      <c r="A7" s="6" t="inlineStr">
        <is>
          <t>P50</t>
        </is>
      </c>
      <c r="B7" s="19" t="n">
        <v>104.7866044705799</v>
      </c>
      <c r="C7" s="19" t="n">
        <v>105.0593696127112</v>
      </c>
    </row>
    <row r="8">
      <c r="A8" s="6" t="inlineStr">
        <is>
          <t>P75</t>
        </is>
      </c>
      <c r="B8" s="19" t="n">
        <v>112.6160892961509</v>
      </c>
      <c r="C8" s="19" t="n">
        <v>118.7094846328782</v>
      </c>
    </row>
    <row r="9">
      <c r="A9" s="6" t="inlineStr">
        <is>
          <t>P95</t>
        </is>
      </c>
      <c r="B9" s="19" t="n">
        <v>126.1767140981632</v>
      </c>
      <c r="C9" s="19" t="n">
        <v>144.0563430692076</v>
      </c>
    </row>
    <row r="10">
      <c r="A10" s="6" t="inlineStr">
        <is>
          <t>Spot</t>
        </is>
      </c>
      <c r="B10" s="19" t="n">
        <v>104.8</v>
      </c>
      <c r="C10" s="19" t="n">
        <v>104.8</v>
      </c>
    </row>
    <row r="11">
      <c r="A11" s="6" t="inlineStr">
        <is>
          <t>P(above spot)</t>
        </is>
      </c>
      <c r="B11" s="40" t="n">
        <v>0.4997</v>
      </c>
      <c r="C11" s="40" t="n">
        <v>0.50542</v>
      </c>
    </row>
    <row r="12">
      <c r="A12" s="6" t="inlineStr">
        <is>
          <t>Annualised vol</t>
        </is>
      </c>
      <c r="B12" s="40" t="n">
        <v>0.3614703996629836</v>
      </c>
      <c r="C12" s="40" t="n">
        <v>0.3670575648854793</v>
      </c>
    </row>
    <row r="14">
      <c r="A14" s="6" t="inlineStr">
        <is>
          <t>3-month calibration: PARITY vs the random walk; coverage 0.70/0.80/0.90; PIT mean 0.49.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17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9" t="n">
        <v>142.5329983174736</v>
      </c>
      <c r="C6" s="19" t="n">
        <v>165.8900261351979</v>
      </c>
      <c r="D6" s="19" t="n">
        <v>202.3566722281835</v>
      </c>
      <c r="E6" s="19" t="n">
        <v>267.7660755948026</v>
      </c>
      <c r="F6" s="41" t="inlineStr">
        <is>
          <t>n.m.</t>
        </is>
      </c>
    </row>
    <row r="7">
      <c r="A7" s="6" t="inlineStr">
        <is>
          <t>WACC_t=8.48%</t>
        </is>
      </c>
      <c r="B7" s="19" t="n">
        <v>121.1462246885317</v>
      </c>
      <c r="C7" s="19" t="n">
        <v>136.4581994122694</v>
      </c>
      <c r="D7" s="19" t="n">
        <v>158.3715319493057</v>
      </c>
      <c r="E7" s="19" t="n">
        <v>192.5675384208111</v>
      </c>
      <c r="F7" s="19" t="n">
        <v>253.8803374388925</v>
      </c>
    </row>
    <row r="8">
      <c r="A8" s="6" t="inlineStr">
        <is>
          <t>WACC_t=9.48%</t>
        </is>
      </c>
      <c r="B8" s="19" t="n">
        <v>105.4757919254231</v>
      </c>
      <c r="C8" s="19" t="n">
        <v>116.1038048717173</v>
      </c>
      <c r="D8" s="19" t="n">
        <v>130.4248509123573</v>
      </c>
      <c r="E8" s="19" t="n">
        <v>150.9067031915588</v>
      </c>
      <c r="F8" s="19" t="n">
        <v>182.8513142532758</v>
      </c>
    </row>
    <row r="9">
      <c r="A9" s="6" t="inlineStr">
        <is>
          <t>WACC_t=10.48%</t>
        </is>
      </c>
      <c r="B9" s="19" t="n">
        <v>93.49993194791615</v>
      </c>
      <c r="C9" s="19" t="n">
        <v>101.1874536036779</v>
      </c>
      <c r="D9" s="19" t="n">
        <v>111.0946812493539</v>
      </c>
      <c r="E9" s="19" t="n">
        <v>124.4332246638776</v>
      </c>
      <c r="F9" s="19" t="n">
        <v>143.4957942849643</v>
      </c>
    </row>
    <row r="10">
      <c r="A10" s="6" t="inlineStr">
        <is>
          <t>WACC_t=11.48%</t>
        </is>
      </c>
      <c r="B10" s="19" t="n">
        <v>84.04969368984855</v>
      </c>
      <c r="C10" s="19" t="n">
        <v>89.78587482784923</v>
      </c>
      <c r="D10" s="19" t="n">
        <v>96.92651079279665</v>
      </c>
      <c r="E10" s="19" t="n">
        <v>106.1191088346631</v>
      </c>
      <c r="F10" s="19" t="n">
        <v>118.483561402772</v>
      </c>
    </row>
    <row r="12">
      <c r="A12" s="17" t="inlineStr">
        <is>
          <t>Beta sensitivity (DCF value/share)</t>
        </is>
      </c>
    </row>
    <row r="13">
      <c r="A13" s="6" t="inlineStr">
        <is>
          <t>0.7</t>
        </is>
      </c>
      <c r="B13" s="19" t="n">
        <v>136.7426042395026</v>
      </c>
    </row>
    <row r="14">
      <c r="A14" s="6" t="inlineStr">
        <is>
          <t>0.9</t>
        </is>
      </c>
      <c r="B14" s="19" t="n">
        <v>133.7495488251624</v>
      </c>
    </row>
    <row r="15">
      <c r="A15" s="6" t="inlineStr">
        <is>
          <t>1.129</t>
        </is>
      </c>
      <c r="B15" s="19" t="n">
        <v>130.4248509123573</v>
      </c>
    </row>
    <row r="16">
      <c r="A16" s="6" t="inlineStr">
        <is>
          <t>1.3</t>
        </is>
      </c>
      <c r="B16" s="19" t="n">
        <v>128.0110086639152</v>
      </c>
    </row>
    <row r="17">
      <c r="A17" s="6" t="inlineStr">
        <is>
          <t>1.5</t>
        </is>
      </c>
      <c r="B17" s="19" t="n">
        <v>125.259860044495</v>
      </c>
    </row>
    <row r="19">
      <c r="A19" s="17" t="inlineStr">
        <is>
          <t>Metal price x sensitivity (DCF value/share)</t>
        </is>
      </c>
    </row>
    <row r="20">
      <c r="A20" s="6" t="inlineStr">
        <is>
          <t>0.85</t>
        </is>
      </c>
      <c r="B20" s="19" t="n">
        <v>142.6983003741912</v>
      </c>
    </row>
    <row r="21">
      <c r="A21" s="6" t="inlineStr">
        <is>
          <t>0.925</t>
        </is>
      </c>
      <c r="B21" s="19" t="n">
        <v>136.5505807795981</v>
      </c>
    </row>
    <row r="22">
      <c r="A22" s="6" t="inlineStr">
        <is>
          <t>1.0</t>
        </is>
      </c>
      <c r="B22" s="19" t="n">
        <v>130.4248509123573</v>
      </c>
    </row>
    <row r="23">
      <c r="A23" s="6" t="inlineStr">
        <is>
          <t>1.075</t>
        </is>
      </c>
      <c r="B23" s="19" t="n">
        <v>124.3186591109369</v>
      </c>
    </row>
    <row r="24">
      <c r="A24" s="6" t="inlineStr">
        <is>
          <t>1.15</t>
        </is>
      </c>
      <c r="B24" s="19" t="n">
        <v>118.2299808722273</v>
      </c>
    </row>
    <row r="26">
      <c r="A26" s="17" t="inlineStr">
        <is>
          <t>Sustained gross margin sensitivity (DCF value/share)</t>
        </is>
      </c>
    </row>
    <row r="27">
      <c r="A27" s="6" t="inlineStr">
        <is>
          <t>0.14</t>
        </is>
      </c>
      <c r="B27" s="19" t="n">
        <v>110.4145045547937</v>
      </c>
    </row>
    <row r="28">
      <c r="A28" s="6" t="inlineStr">
        <is>
          <t>0.145</t>
        </is>
      </c>
      <c r="B28" s="19" t="n">
        <v>118.2844198497204</v>
      </c>
    </row>
    <row r="29">
      <c r="A29" s="6" t="inlineStr">
        <is>
          <t>0.1526</t>
        </is>
      </c>
      <c r="B29" s="19" t="n">
        <v>130.4248509123573</v>
      </c>
    </row>
    <row r="30">
      <c r="A30" s="6" t="inlineStr">
        <is>
          <t>0.155</t>
        </is>
      </c>
      <c r="B30" s="19" t="n">
        <v>134.3041167701747</v>
      </c>
    </row>
    <row r="31">
      <c r="A31" s="6" t="inlineStr">
        <is>
          <t>0.16</t>
        </is>
      </c>
      <c r="B31" s="19" t="n">
        <v>142.457235668817</v>
      </c>
    </row>
    <row r="33">
      <c r="A33" s="17" t="inlineStr">
        <is>
          <t>Volume x sensitivity (DCF value/share)</t>
        </is>
      </c>
    </row>
    <row r="34">
      <c r="A34" s="6" t="inlineStr">
        <is>
          <t>0.9</t>
        </is>
      </c>
      <c r="B34" s="19" t="n">
        <v>119.6053719904985</v>
      </c>
    </row>
    <row r="35">
      <c r="A35" s="6" t="inlineStr">
        <is>
          <t>0.95</t>
        </is>
      </c>
      <c r="B35" s="19" t="n">
        <v>125.0198940084373</v>
      </c>
    </row>
    <row r="36">
      <c r="A36" s="6" t="inlineStr">
        <is>
          <t>1.0</t>
        </is>
      </c>
      <c r="B36" s="19" t="n">
        <v>130.4248509123573</v>
      </c>
    </row>
    <row r="37">
      <c r="A37" s="6" t="inlineStr">
        <is>
          <t>1.05</t>
        </is>
      </c>
      <c r="B37" s="19" t="n">
        <v>135.8209510803724</v>
      </c>
    </row>
    <row r="38">
      <c r="A38" s="6" t="inlineStr">
        <is>
          <t>1.1</t>
        </is>
      </c>
      <c r="B38" s="19" t="n">
        <v>141.2088186686372</v>
      </c>
    </row>
    <row r="40">
      <c r="A40" s="17" t="inlineStr">
        <is>
          <t>Net working capital / revenue sensitivity (DCF value/share)</t>
        </is>
      </c>
    </row>
    <row r="41">
      <c r="A41" s="6" t="inlineStr">
        <is>
          <t>0.24</t>
        </is>
      </c>
      <c r="B41" s="19" t="n">
        <v>136.2160155850796</v>
      </c>
    </row>
    <row r="42">
      <c r="A42" s="6" t="inlineStr">
        <is>
          <t>0.26</t>
        </is>
      </c>
      <c r="B42" s="19" t="n">
        <v>133.3204332487185</v>
      </c>
    </row>
    <row r="43">
      <c r="A43" s="6" t="inlineStr">
        <is>
          <t>0.28</t>
        </is>
      </c>
      <c r="B43" s="19" t="n">
        <v>130.4248509123573</v>
      </c>
    </row>
    <row r="44">
      <c r="A44" s="6" t="inlineStr">
        <is>
          <t>0.3</t>
        </is>
      </c>
      <c r="B44" s="19" t="n">
        <v>127.5292685759961</v>
      </c>
    </row>
    <row r="45">
      <c r="A45" s="6" t="inlineStr">
        <is>
          <t>0.32</t>
        </is>
      </c>
      <c r="B45" s="19" t="n">
        <v>124.633686239635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8">
        <f>'Balance Sheet'!C22/Assumptions!$C$6</f>
        <v/>
      </c>
      <c r="D5" s="18">
        <f>'Balance Sheet'!D22/Assumptions!$C$6</f>
        <v/>
      </c>
      <c r="E5" s="18">
        <f>'Balance Sheet'!E22/Assumptions!$C$6</f>
        <v/>
      </c>
      <c r="F5" s="18">
        <f>'Balance Sheet'!F22/Assumptions!$C$6</f>
        <v/>
      </c>
      <c r="G5" s="18">
        <f>'Balance Sheet'!G22/Assumptions!$C$6</f>
        <v/>
      </c>
    </row>
    <row r="6">
      <c r="A6" s="6" t="inlineStr">
        <is>
          <t>Book value per share (SAR)</t>
        </is>
      </c>
      <c r="B6" s="18">
        <f>Assumptions!$C$60/Assumptions!$C$6</f>
        <v/>
      </c>
      <c r="C6" s="18">
        <f>'Balance Sheet'!F14/Assumptions!$C$6</f>
        <v/>
      </c>
      <c r="D6" s="18">
        <f>'Balance Sheet'!G14/Assumptions!$C$6</f>
        <v/>
      </c>
      <c r="E6" s="18">
        <f>'Balance Sheet'!H14/Assumptions!$C$6</f>
        <v/>
      </c>
      <c r="F6" s="18">
        <f>'Balance Sheet'!I14/Assumptions!$C$6</f>
        <v/>
      </c>
      <c r="G6" s="18">
        <f>'Balance Sheet'!J14/Assumptions!$C$6</f>
        <v/>
      </c>
    </row>
    <row r="7">
      <c r="A7" s="6" t="inlineStr">
        <is>
          <t>ROE (%) — attributable profit / average equity</t>
        </is>
      </c>
      <c r="B7" s="13">
        <f>'Income Statement'!E16/AVERAGE('Balance Sheet'!D14,'Balance Sheet'!E14)</f>
        <v/>
      </c>
    </row>
    <row r="8">
      <c r="A8" s="6" t="inlineStr">
        <is>
          <t>Net debt / EBITDA (x)</t>
        </is>
      </c>
      <c r="B8" s="31">
        <f>Assumptions!$C$7/'Income Statement'!E9</f>
        <v/>
      </c>
      <c r="C8" s="34">
        <f>'Balance Sheet'!F13/Segments!C32</f>
        <v/>
      </c>
      <c r="D8" s="34">
        <f>'Balance Sheet'!G13/Segments!D32</f>
        <v/>
      </c>
      <c r="E8" s="34">
        <f>'Balance Sheet'!H13/Segments!E32</f>
        <v/>
      </c>
      <c r="F8" s="34">
        <f>'Balance Sheet'!I13/Segments!F32</f>
        <v/>
      </c>
      <c r="G8" s="34">
        <f>'Balance Sheet'!J13/Segments!G32</f>
        <v/>
      </c>
    </row>
    <row r="9">
      <c r="A9" s="6" t="inlineStr">
        <is>
          <t>Trailing EV/EBITDA (x)</t>
        </is>
      </c>
      <c r="B9" s="31">
        <f>(Assumptions!$C$5*Assumptions!$C$6+Assumptions!$C$7)/'Income Statement'!E9</f>
        <v/>
      </c>
    </row>
    <row r="10">
      <c r="A10" s="6" t="inlineStr">
        <is>
          <t>Trailing P/E (x)</t>
        </is>
      </c>
      <c r="B10" s="31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1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5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5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5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5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2026-09-04T22:17:19Z</dcterms:created>
  <dcterms:modified xmlns:dcterms="http://purl.org/dc/terms/" xmlns:xsi="http://www.w3.org/2001/XMLSchema-instance" xsi:type="dcterms:W3CDTF">2026-09-04T22:17:19Z</dcterms:modified>
</cp:coreProperties>
</file>