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165" fontId="6" fillId="0" borderId="0" pivotButton="0" quotePrefix="0" xfId="0"/>
    <xf numFmtId="3" fontId="5" fillId="0" borderId="0" pivotButton="0" quotePrefix="0" xfId="0"/>
    <xf numFmtId="3" fontId="3"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67" fontId="3" fillId="0" borderId="0" pivotButton="0" quotePrefix="0" xfId="0"/>
    <xf numFmtId="10" fontId="0" fillId="0" borderId="0" pivotButton="0" quotePrefix="0" xfId="0"/>
    <xf numFmtId="10" fontId="4" fillId="2" borderId="0" pivotButton="0" quotePrefix="0" xfId="0"/>
    <xf numFmtId="0" fontId="3" fillId="2" borderId="0" pivotButton="0" quotePrefix="0" xfId="0"/>
    <xf numFmtId="168"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10 September 2026. Supersedes 3 September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4.98</v>
      </c>
      <c r="C5" s="7" t="n">
        <v>21.09</v>
      </c>
      <c r="D5" s="7" t="n">
        <v>55.07</v>
      </c>
      <c r="E5" s="7" t="n"/>
    </row>
    <row r="6">
      <c r="A6" s="6" t="inlineStr">
        <is>
          <t>Earnings multiple on own history</t>
        </is>
      </c>
      <c r="B6" s="7" t="n">
        <v>5.59</v>
      </c>
      <c r="C6" s="7" t="n">
        <v>8.390000000000001</v>
      </c>
      <c r="D6" s="7" t="n">
        <v>13.05</v>
      </c>
      <c r="E6" s="7" t="n"/>
    </row>
    <row r="7">
      <c r="A7" s="6" t="inlineStr">
        <is>
          <t>Book value of equity — a disclosed floor</t>
        </is>
      </c>
      <c r="B7" s="7" t="n">
        <v>5.97</v>
      </c>
      <c r="C7" s="7" t="n">
        <v>6.63</v>
      </c>
      <c r="D7" s="7" t="n">
        <v>8.619999999999999</v>
      </c>
      <c r="E7" s="7" t="n"/>
    </row>
    <row r="8">
      <c r="A8" s="4" t="inlineStr">
        <is>
          <t>Weighted central</t>
        </is>
      </c>
      <c r="B8" s="7" t="n">
        <v>4.98</v>
      </c>
      <c r="C8" s="7" t="n">
        <v>21.09</v>
      </c>
      <c r="D8" s="7" t="n">
        <v>55.07</v>
      </c>
      <c r="E8" s="7" t="n">
        <v>1</v>
      </c>
    </row>
    <row r="10">
      <c r="A10" s="4" t="inlineStr">
        <is>
          <t>Valuation</t>
        </is>
      </c>
      <c r="B10" s="5" t="inlineStr">
        <is>
          <t>Per share (EGP)</t>
        </is>
      </c>
      <c r="C10" s="5" t="inlineStr">
        <is>
          <t>Equity (EGP mn)</t>
        </is>
      </c>
      <c r="D10" s="5" t="inlineStr">
        <is>
          <t>Enterprise value</t>
        </is>
      </c>
    </row>
    <row r="11">
      <c r="A11" s="6" t="inlineStr">
        <is>
          <t>Weak cash conversion (3.9%)</t>
        </is>
      </c>
      <c r="B11" s="7" t="n">
        <v>7.65</v>
      </c>
      <c r="C11" s="7" t="n">
        <v>21883</v>
      </c>
      <c r="D11" s="7" t="n">
        <v>41344</v>
      </c>
    </row>
    <row r="12">
      <c r="A12" s="6" t="inlineStr">
        <is>
          <t>Average cash conversion (8.7%)</t>
        </is>
      </c>
      <c r="B12" s="7" t="n">
        <v>21.09</v>
      </c>
      <c r="C12" s="7" t="n">
        <v>60315</v>
      </c>
      <c r="D12" s="7" t="n">
        <v>81664</v>
      </c>
    </row>
    <row r="13">
      <c r="A13" s="6" t="inlineStr">
        <is>
          <t>Strong cash conversion (17.9%)</t>
        </is>
      </c>
      <c r="B13" s="7" t="n">
        <v>46.85</v>
      </c>
      <c r="C13" s="7" t="n">
        <v>133993</v>
      </c>
      <c r="D13" s="7" t="n">
        <v>158963</v>
      </c>
    </row>
    <row r="14">
      <c r="A14" s="6" t="inlineStr">
        <is>
          <t>Average, alternative country-risk basis</t>
        </is>
      </c>
      <c r="B14" s="7" t="n">
        <v>20.7</v>
      </c>
      <c r="C14" s="7" t="n">
        <v>59192</v>
      </c>
      <c r="D14" s="7" t="n">
        <v>80486</v>
      </c>
    </row>
    <row r="16">
      <c r="A16" s="6" t="inlineStr">
        <is>
          <t>Market price, 23 Aug 2026</t>
        </is>
      </c>
      <c r="B16" s="8" t="n">
        <v>14.4</v>
      </c>
    </row>
    <row r="17">
      <c r="A17" s="6" t="inlineStr">
        <is>
          <t>Book value of equity per share</t>
        </is>
      </c>
      <c r="B17" s="7" t="n">
        <v>6.63</v>
      </c>
    </row>
    <row r="18">
      <c r="A18" s="6" t="inlineStr">
        <is>
          <t>Cash conversion implied by the market price</t>
        </is>
      </c>
      <c r="B18" s="9" t="n">
        <v>0.0634</v>
      </c>
    </row>
    <row r="20">
      <c r="A20" s="4" t="inlineStr">
        <is>
          <t>Cost of capital</t>
        </is>
      </c>
    </row>
    <row r="21">
      <c r="A21" s="6" t="inlineStr">
        <is>
          <t>Weighted average, rating basis</t>
        </is>
      </c>
      <c r="B21" s="9" t="n">
        <v>0.2583068424344719</v>
      </c>
    </row>
    <row r="22">
      <c r="A22" s="6" t="inlineStr">
        <is>
          <t>Weighted average, swap basis</t>
        </is>
      </c>
      <c r="B22" s="9" t="n">
        <v>0.249647238833035</v>
      </c>
    </row>
    <row r="23">
      <c r="A23" s="6" t="inlineStr">
        <is>
          <t>11 June 2026 edition used</t>
        </is>
      </c>
      <c r="B23"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five years</t>
        </is>
      </c>
      <c r="B4" s="10" t="n">
        <v>52181.7</v>
      </c>
    </row>
    <row r="5">
      <c r="A5" s="6" t="inlineStr">
        <is>
          <t>Present value of the terminal value</t>
        </is>
      </c>
      <c r="B5" s="10" t="n">
        <v>29482.4</v>
      </c>
    </row>
    <row r="6">
      <c r="A6" s="4" t="inlineStr">
        <is>
          <t>Enterprise value</t>
        </is>
      </c>
      <c r="B6" s="10">
        <f>B4+B5</f>
        <v/>
      </c>
    </row>
    <row r="7">
      <c r="A7" s="6" t="inlineStr">
        <is>
          <t>less net debt, 31 March 2026</t>
        </is>
      </c>
      <c r="B7" s="10">
        <f>-Assumptions!B14</f>
        <v/>
      </c>
    </row>
    <row r="8">
      <c r="A8" s="6" t="inlineStr">
        <is>
          <t>plus investments in associates</t>
        </is>
      </c>
      <c r="B8" s="10">
        <f>Assumptions!B15</f>
        <v/>
      </c>
    </row>
    <row r="9">
      <c r="A9" s="6" t="inlineStr">
        <is>
          <t>plus investment property</t>
        </is>
      </c>
      <c r="B9" s="10">
        <f>Assumptions!B16</f>
        <v/>
      </c>
    </row>
    <row r="10">
      <c r="A10" s="4" t="inlineStr">
        <is>
          <t>Equity value before minority interests</t>
        </is>
      </c>
      <c r="B10" s="10">
        <f>B6+B7+B8+B9</f>
        <v/>
      </c>
    </row>
    <row r="11">
      <c r="A11" s="6" t="inlineStr">
        <is>
          <t>less minority interests at their share of value</t>
        </is>
      </c>
      <c r="B11" s="10">
        <f>-B10*Assumptions!B17</f>
        <v/>
      </c>
    </row>
    <row r="12">
      <c r="A12" s="4" t="inlineStr">
        <is>
          <t>Equity value attributable to shareholders</t>
        </is>
      </c>
      <c r="B12" s="10">
        <f>B10+B11</f>
        <v/>
      </c>
    </row>
    <row r="13">
      <c r="A13" s="6" t="inlineStr">
        <is>
          <t>Shares outstanding (mn)</t>
        </is>
      </c>
      <c r="B13" s="10">
        <f>Assumptions!B18</f>
        <v/>
      </c>
    </row>
    <row r="14">
      <c r="A14" s="4" t="inlineStr">
        <is>
          <t>Value per share (EGP)</t>
        </is>
      </c>
      <c r="B14" s="7">
        <f>B12/B13</f>
        <v/>
      </c>
    </row>
    <row r="16">
      <c r="A16" s="6" t="inlineStr">
        <is>
          <t>Terminal value as a share of enterprise value</t>
        </is>
      </c>
      <c r="B16"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0.08713663734609707</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0.3548387096774194</v>
      </c>
      <c r="C8" s="2" t="inlineStr">
        <is>
          <t>the first quarter of 2026 on its own, the latest disclosure; NOT an average (FY2025 was 41.16%, 1Q2026 35.48%)</t>
        </is>
      </c>
    </row>
    <row r="9">
      <c r="A9" s="6" t="inlineStr">
        <is>
          <t>Overheads as a share of revenue</t>
        </is>
      </c>
      <c r="B9" s="12" t="n">
        <v>0.1759945589215163</v>
      </c>
      <c r="C9" s="2" t="inlineStr">
        <is>
          <t>FY2025 as reported</t>
        </is>
      </c>
    </row>
    <row r="10">
      <c r="A10" s="6" t="inlineStr">
        <is>
          <t>Price escalation</t>
        </is>
      </c>
      <c r="B10" s="12" t="n">
        <v>0.252</v>
      </c>
      <c r="C10" s="2" t="inlineStr">
        <is>
          <t>Egyptian consumer price inflation, three-year mean</t>
        </is>
      </c>
    </row>
    <row r="11">
      <c r="A11" s="6" t="inlineStr">
        <is>
          <t>Terminal growth</t>
        </is>
      </c>
      <c r="B11" s="12" t="n">
        <v>0.07000000000000006</v>
      </c>
      <c r="C11" s="2" t="inlineStr">
        <is>
          <t>the terminal growth this model runs, read from the valuation module</t>
        </is>
      </c>
    </row>
    <row r="12">
      <c r="A12" s="6" t="inlineStr">
        <is>
          <t>Cost of capital — ADOPTED (traded default-swap basis)</t>
        </is>
      </c>
      <c r="B12" s="12" t="n">
        <v>0.249647238833035</v>
      </c>
      <c r="C12" s="2" t="inlineStr">
        <is>
          <t>the rate this model discounts at; section 1.8 marks it adopted</t>
        </is>
      </c>
    </row>
    <row r="13">
      <c r="A13" s="6" t="inlineStr">
        <is>
          <t>Cost of capital — alternative (credit-rating basis), not used</t>
        </is>
      </c>
      <c r="B13" s="12" t="n">
        <v>0.2583068424344719</v>
      </c>
      <c r="C13" s="2" t="inlineStr">
        <is>
          <t>published for comparison only; no cell on this sheet reads it</t>
        </is>
      </c>
    </row>
    <row r="14">
      <c r="A14" s="6" t="inlineStr">
        <is>
          <t>Net debt (EGP mn)</t>
        </is>
      </c>
      <c r="B14" s="13" t="n">
        <v>23244.718678</v>
      </c>
      <c r="C14" s="2" t="inlineStr">
        <is>
          <t>gross borrowings less cash, 31 March 2026 reviewed balance sheet</t>
        </is>
      </c>
    </row>
    <row r="15">
      <c r="A15" s="6" t="inlineStr">
        <is>
          <t>Investments in associates (EGP mn)</t>
        </is>
      </c>
      <c r="B15" s="13" t="n">
        <v>3838.697211</v>
      </c>
      <c r="C15" s="2" t="inlineStr">
        <is>
          <t>31 March 2026 reviewed balance sheet</t>
        </is>
      </c>
    </row>
    <row r="16">
      <c r="A16" s="6" t="inlineStr">
        <is>
          <t>Investment property (EGP mn)</t>
        </is>
      </c>
      <c r="B16" s="13" t="n">
        <v>1020.474869</v>
      </c>
      <c r="C16" s="2" t="inlineStr">
        <is>
          <t>31 March 2026 reviewed balance sheet</t>
        </is>
      </c>
    </row>
    <row r="17">
      <c r="A17" s="6" t="inlineStr">
        <is>
          <t>Minority interests, share of equity value</t>
        </is>
      </c>
      <c r="B17" s="12" t="n">
        <v>0.0468375604683756</v>
      </c>
      <c r="C17" s="2" t="inlineStr">
        <is>
          <t>the minority's filed share of FY2025 profit after tax, as its share of value</t>
        </is>
      </c>
    </row>
    <row r="18">
      <c r="A18" s="6" t="inlineStr">
        <is>
          <t>Shares outstanding (mn)</t>
        </is>
      </c>
      <c r="B18" s="13" t="n">
        <v>2859.92</v>
      </c>
      <c r="C18" s="2" t="inlineStr">
        <is>
          <t>FY2025</t>
        </is>
      </c>
    </row>
    <row r="19">
      <c r="A19" s="6" t="inlineStr">
        <is>
          <t>Opening revenue (EGP mn)</t>
        </is>
      </c>
      <c r="B19" s="13" t="n">
        <v>36169.3</v>
      </c>
      <c r="C19" s="2" t="inlineStr">
        <is>
          <t>FY2025 audited</t>
        </is>
      </c>
    </row>
    <row r="20">
      <c r="A20" s="6" t="inlineStr">
        <is>
          <t>Opening order book (EGP mn)</t>
        </is>
      </c>
      <c r="B20" s="13" t="n">
        <v>263000</v>
      </c>
      <c r="C20" s="2" t="inlineStr">
        <is>
          <t>as at 31 March 2026</t>
        </is>
      </c>
    </row>
    <row r="21">
      <c r="A21" s="6" t="inlineStr">
        <is>
          <t>Units delivered, 2026</t>
        </is>
      </c>
      <c r="B21" s="14" t="n">
        <v>2035.093098749406</v>
      </c>
      <c r="C21" s="2" t="inlineStr">
        <is>
          <t>implied by the reported first quarter of 2026</t>
        </is>
      </c>
    </row>
    <row r="22">
      <c r="A22" s="6" t="inlineStr">
        <is>
          <t>Units delivered, annual growth</t>
        </is>
      </c>
      <c r="B22" s="12" t="n">
        <v>0.15</v>
      </c>
      <c r="C22" s="2" t="inlineStr">
        <is>
          <t>the disclosed run of handovers, 1,308 / 1,281 / 1,500 / 2,000</t>
        </is>
      </c>
    </row>
    <row r="23">
      <c r="A23" s="6" t="inlineStr">
        <is>
          <t>Revenue per delivered unit, 2026 (EGP mn)</t>
        </is>
      </c>
      <c r="B23" s="8" t="n">
        <v>19.727806568</v>
      </c>
      <c r="C23" s="2" t="inlineStr">
        <is>
          <t>FY2024 revenue over c. 2,000 units delivered, escalated</t>
        </is>
      </c>
    </row>
    <row r="24">
      <c r="A24" s="6" t="inlineStr">
        <is>
          <t>Maintenance capital expenditure, share of revenue</t>
        </is>
      </c>
      <c r="B24" s="12" t="n">
        <v>0.01</v>
      </c>
      <c r="C24" s="2" t="inlineStr">
        <is>
          <t>the building itself is inventory and sits in operating cash</t>
        </is>
      </c>
    </row>
    <row r="26">
      <c r="A26" s="4" t="inlineStr">
        <is>
          <t>NOT DISCLOSED — absent by design, never estimated</t>
        </is>
      </c>
    </row>
    <row r="27">
      <c r="A27" s="6" t="inlineStr">
        <is>
          <t>cash flow statement detail</t>
        </is>
      </c>
      <c r="C27" s="2" t="inlineStr">
        <is>
          <t>The FY2025 cash-flow statement is published in its three totals only (operating EGP 1,424.2mn, investing EGP -4,031.7mn, financing EGP 5,628.8mn); no line-by-line statement is post</t>
        </is>
      </c>
    </row>
    <row r="28">
      <c r="A28" s="6" t="inlineStr">
        <is>
          <t>fy2025 results release</t>
        </is>
      </c>
      <c r="C28" s="2" t="inlineStr">
        <is>
          <t>PHD has published FY2025 consolidated statements but NO FY2025 full-year results release. The release is where units sold, new sales, deliveries and construction spend are disclose</t>
        </is>
      </c>
    </row>
    <row r="29">
      <c r="A29" s="6" t="inlineStr">
        <is>
          <t>h1 2026 results</t>
        </is>
      </c>
      <c r="C29" s="2" t="inlineStr">
        <is>
          <t>A half-year 2026 release of 18-Aug-2026 is REPORTED in the trade press — an order book of EGP 284bn at 30 June, 40% up on the year, and a further EGP 75bn sold at Hacienda Ras El H</t>
        </is>
      </c>
    </row>
    <row r="30">
      <c r="A30" s="6" t="inlineStr">
        <is>
          <t>securitisation pricing</t>
        </is>
      </c>
      <c r="C30" s="2" t="inlineStr">
        <is>
          <t>The EGP 2.015bn securitisation of 4-Feb-2026 discloses tranche sizes, tenors and national-scale ratings but NO coupon on any tranche, so the company's own marginal cost of debt can</t>
        </is>
      </c>
    </row>
    <row r="31">
      <c r="A31" s="6" t="inlineStr">
        <is>
          <t>per project pricing</t>
        </is>
      </c>
      <c r="C31" s="2" t="inlineStr">
        <is>
          <t>The company does not disclose per-project unit mix, average unit area, price per square metre or construction cost per square metre. The 11-Jun-2026 edition carried a full per-proj</t>
        </is>
      </c>
    </row>
    <row r="32">
      <c r="A32" s="6" t="inlineStr">
        <is>
          <t>backlog cost to complete</t>
        </is>
      </c>
      <c r="C32"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81664.10000000001</v>
      </c>
    </row>
    <row r="5">
      <c r="A5" s="6" t="inlineStr">
        <is>
          <t>Investments in associates, 31 March 2026</t>
        </is>
      </c>
      <c r="B5" s="10" t="n">
        <v>3838.7</v>
      </c>
    </row>
    <row r="6">
      <c r="A6" s="6" t="inlineStr">
        <is>
          <t>Investment property, 31 March 2026</t>
        </is>
      </c>
      <c r="B6" s="10" t="n">
        <v>1020.5</v>
      </c>
    </row>
    <row r="7">
      <c r="A7" s="6" t="inlineStr">
        <is>
          <t>Cash, 31 March 2026</t>
        </is>
      </c>
      <c r="B7" s="10" t="n">
        <v>9125.1</v>
      </c>
    </row>
    <row r="8">
      <c r="A8" s="6" t="inlineStr">
        <is>
          <t>Gross borrowings, 31 March 2026</t>
        </is>
      </c>
      <c r="B8" s="10" t="n">
        <v>-32369.8</v>
      </c>
    </row>
    <row r="9">
      <c r="A9" s="6" t="inlineStr">
        <is>
          <t>Minority interests at their share of value</t>
        </is>
      </c>
      <c r="B9" s="10">
        <f>-(B4+B5+B6+B7+B8)*Assumptions!B17</f>
        <v/>
      </c>
    </row>
    <row r="10">
      <c r="A10" s="4" t="inlineStr">
        <is>
          <t>Equity value attributable to shareholders</t>
        </is>
      </c>
      <c r="B10" s="10">
        <f>B4+B5+B6+B7+B8+B9</f>
        <v/>
      </c>
    </row>
    <row r="11">
      <c r="A11" s="4" t="inlineStr">
        <is>
          <t>Per share (EGP)</t>
        </is>
      </c>
      <c r="B11" s="7">
        <f>B10/Assumptions!B18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4" t="n">
        <v>4205</v>
      </c>
      <c r="C6" s="14" t="n">
        <v>7139</v>
      </c>
      <c r="D6" s="14" t="n">
        <v>5627</v>
      </c>
      <c r="E6" s="14" t="n">
        <v>13900</v>
      </c>
      <c r="F6" s="14" t="n">
        <v>95082</v>
      </c>
    </row>
    <row r="7">
      <c r="A7" s="6" t="inlineStr">
        <is>
          <t>Units sold</t>
        </is>
      </c>
      <c r="B7" s="14" t="n">
        <v>726</v>
      </c>
      <c r="C7" s="14" t="n">
        <v>1552</v>
      </c>
      <c r="D7" s="14" t="n">
        <v>800</v>
      </c>
      <c r="E7" s="14" t="n">
        <v>1231</v>
      </c>
      <c r="F7" s="14"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4" t="n">
        <v>6627</v>
      </c>
      <c r="C13" s="14" t="n">
        <v>7258</v>
      </c>
      <c r="D13" s="14" t="n">
        <v>13118</v>
      </c>
      <c r="E13" s="14" t="n">
        <v>32332</v>
      </c>
      <c r="F13" s="14" t="n">
        <v>44570</v>
      </c>
    </row>
    <row r="14">
      <c r="A14" s="6" t="inlineStr">
        <is>
          <t>Units sold</t>
        </is>
      </c>
      <c r="B14" s="14" t="n">
        <v>858</v>
      </c>
      <c r="C14" s="14" t="n">
        <v>1416</v>
      </c>
      <c r="D14" s="14" t="n">
        <v>2039</v>
      </c>
      <c r="E14" s="14" t="n">
        <v>2950</v>
      </c>
      <c r="F14" s="14"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4" t="n">
        <v>1947</v>
      </c>
      <c r="C20" s="14" t="n">
        <v>2892</v>
      </c>
      <c r="D20" s="14" t="n">
        <v>7265</v>
      </c>
      <c r="E20" s="14" t="n">
        <v>13270</v>
      </c>
      <c r="F20" s="14" t="n">
        <v>11364</v>
      </c>
    </row>
    <row r="21">
      <c r="A21" s="6" t="inlineStr">
        <is>
          <t>Units sold</t>
        </is>
      </c>
      <c r="B21" s="14" t="n">
        <v>256</v>
      </c>
      <c r="C21" s="14" t="n">
        <v>382</v>
      </c>
      <c r="D21" s="14" t="n">
        <v>1194</v>
      </c>
      <c r="E21" s="14" t="n">
        <v>1200</v>
      </c>
      <c r="F21" s="14"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4" t="n">
        <v>52000</v>
      </c>
      <c r="C27" s="2" t="inlineStr">
        <is>
          <t>includes EGP 24,000mn from one land-plot launch</t>
        </is>
      </c>
    </row>
    <row r="28">
      <c r="A28" s="6" t="inlineStr">
        <is>
          <t>New sales, FY2024 (EGP mn)</t>
        </is>
      </c>
      <c r="B28" s="14" t="n">
        <v>151016</v>
      </c>
      <c r="C28" s="2" t="inlineStr">
        <is>
          <t>chart series</t>
        </is>
      </c>
    </row>
    <row r="29">
      <c r="A29" s="6" t="inlineStr">
        <is>
          <t>Order book, 31 Mar 2026 (EGP mn)</t>
        </is>
      </c>
      <c r="B29" s="14" t="n">
        <v>263000</v>
      </c>
      <c r="C29" s="2" t="inlineStr">
        <is>
          <t>units sold and not yet delivered</t>
        </is>
      </c>
    </row>
    <row r="30">
      <c r="A30" s="6" t="inlineStr">
        <is>
          <t>Order book, FY2024 (EGP mn)</t>
        </is>
      </c>
      <c r="B30" s="14" t="n">
        <v>147000</v>
      </c>
      <c r="C30" s="2" t="inlineStr"/>
    </row>
    <row r="31">
      <c r="A31" s="6" t="inlineStr">
        <is>
          <t>Units sold, FY2023</t>
        </is>
      </c>
      <c r="B31" s="14" t="n">
        <v>5300</v>
      </c>
      <c r="C31" s="2" t="inlineStr">
        <is>
          <t>the last year the company disclosed a unit count</t>
        </is>
      </c>
    </row>
    <row r="32">
      <c r="A32" s="6" t="inlineStr">
        <is>
          <t>Units delivered, FY2023</t>
        </is>
      </c>
      <c r="B32" s="14" t="n">
        <v>1500</v>
      </c>
      <c r="C32" s="2" t="inlineStr"/>
    </row>
    <row r="33">
      <c r="A33" s="6" t="inlineStr">
        <is>
          <t>Construction spend, FY2024 (EGP mn)</t>
        </is>
      </c>
      <c r="B33" s="14" t="n">
        <v>8500</v>
      </c>
      <c r="C33" s="2" t="inlineStr"/>
    </row>
    <row r="34">
      <c r="A34" s="6" t="inlineStr">
        <is>
          <t>Cash collections, FY2024 (EGP mn)</t>
        </is>
      </c>
      <c r="B34" s="14" t="n">
        <v>25400</v>
      </c>
      <c r="C34" s="2" t="inlineStr"/>
    </row>
    <row r="35">
      <c r="A35" s="6" t="inlineStr">
        <is>
          <t>Land bank (mn sqm)</t>
        </is>
      </c>
      <c r="B35" s="13" t="n">
        <v>33</v>
      </c>
      <c r="C35" s="2" t="inlineStr"/>
    </row>
    <row r="37">
      <c r="A37" s="4" t="inlineStr">
        <is>
          <t>Build level: SEGMENT, not unit.</t>
        </is>
      </c>
    </row>
    <row r="38" ht="44" customHeight="1">
      <c r="A38" s="15"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6" t="inlineStr">
        <is>
          <t>2023</t>
        </is>
      </c>
      <c r="C4" s="16" t="inlineStr">
        <is>
          <t>2024</t>
        </is>
      </c>
      <c r="D4" s="16"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7">
        <f>B6/B5</f>
        <v/>
      </c>
      <c r="C7" s="17">
        <f>C6/C5</f>
        <v/>
      </c>
      <c r="D7" s="17">
        <f>D6/D5</f>
        <v/>
      </c>
    </row>
    <row r="9">
      <c r="A9" s="6" t="inlineStr">
        <is>
          <t>Price to book (market)</t>
        </is>
      </c>
      <c r="B9" s="18">
        <f>14.4000/6.6281</f>
        <v/>
      </c>
    </row>
    <row r="10">
      <c r="A10" s="6" t="inlineStr">
        <is>
          <t>Book value per share (EGP)</t>
        </is>
      </c>
      <c r="B10" s="7" t="n">
        <v>6.63</v>
      </c>
    </row>
    <row r="11">
      <c r="A11" s="6" t="inlineStr">
        <is>
          <t>Return on equity, 2025</t>
        </is>
      </c>
      <c r="B11" s="17">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Discounted cash flow — central case</t>
        </is>
      </c>
    </row>
    <row r="2">
      <c r="A2" s="2" t="inlineStr">
        <is>
          <t>Units delivered times revenue per delivered unit, then every row a formula. Change a blue cell on Assumptions and this recomputes.</t>
        </is>
      </c>
    </row>
    <row r="4">
      <c r="A4" s="5" t="inlineStr">
        <is>
          <t>EGP million</t>
        </is>
      </c>
      <c r="B4" s="19" t="n">
        <v>2026</v>
      </c>
      <c r="C4" s="19" t="n">
        <v>2027</v>
      </c>
      <c r="D4" s="19" t="n">
        <v>2028</v>
      </c>
      <c r="E4" s="19" t="n">
        <v>2029</v>
      </c>
      <c r="F4" s="19" t="n">
        <v>2030</v>
      </c>
      <c r="G4" s="19" t="n">
        <v>2031</v>
      </c>
      <c r="H4" s="19" t="n">
        <v>2032</v>
      </c>
      <c r="I4" s="19" t="n">
        <v>2033</v>
      </c>
      <c r="J4" s="19" t="n">
        <v>2034</v>
      </c>
      <c r="K4" s="19" t="n">
        <v>2035</v>
      </c>
      <c r="L4" s="19" t="n">
        <v>2036</v>
      </c>
      <c r="M4" s="19" t="n">
        <v>2037</v>
      </c>
      <c r="N4" s="19" t="n">
        <v>2038</v>
      </c>
      <c r="O4" s="19" t="n">
        <v>2039</v>
      </c>
      <c r="P4" s="19" t="n">
        <v>2040</v>
      </c>
    </row>
    <row r="5">
      <c r="A5" s="6" t="inlineStr">
        <is>
          <t>Price and cost escalation</t>
        </is>
      </c>
      <c r="B5" s="20" t="n">
        <v>0.16</v>
      </c>
      <c r="C5" s="20" t="n">
        <v>0.12</v>
      </c>
      <c r="D5" s="20" t="n">
        <v>0.09</v>
      </c>
      <c r="E5" s="20" t="n">
        <v>0.075</v>
      </c>
      <c r="F5" s="20" t="n">
        <v>0.07000000000000001</v>
      </c>
      <c r="G5" s="20" t="n">
        <v>0.07000000000000001</v>
      </c>
      <c r="H5" s="20" t="n">
        <v>0.07000000000000001</v>
      </c>
      <c r="I5" s="20" t="n">
        <v>0.07000000000000001</v>
      </c>
      <c r="J5" s="20" t="n">
        <v>0.07000000000000001</v>
      </c>
      <c r="K5" s="20" t="n">
        <v>0.07000000000000001</v>
      </c>
      <c r="L5" s="20" t="n">
        <v>0.07000000000000001</v>
      </c>
      <c r="M5" s="20" t="n">
        <v>0.07000000000000001</v>
      </c>
      <c r="N5" s="20" t="n">
        <v>0.07000000000000001</v>
      </c>
      <c r="O5" s="20" t="n">
        <v>0.07000000000000001</v>
      </c>
      <c r="P5" s="20" t="n">
        <v>0.07000000000000001</v>
      </c>
      <c r="Q5" s="2" t="inlineStr">
        <is>
          <t>the house inflation path</t>
        </is>
      </c>
    </row>
    <row r="6">
      <c r="A6" s="6" t="inlineStr">
        <is>
          <t>Growth in units delivered</t>
        </is>
      </c>
      <c r="B6" s="20" t="n">
        <v>0</v>
      </c>
      <c r="C6" s="20" t="n">
        <v>0.15</v>
      </c>
      <c r="D6" s="20" t="n">
        <v>0.135</v>
      </c>
      <c r="E6" s="20" t="n">
        <v>0.12</v>
      </c>
      <c r="F6" s="20" t="n">
        <v>0.105</v>
      </c>
      <c r="G6" s="20" t="n">
        <v>0.09</v>
      </c>
      <c r="H6" s="20" t="n">
        <v>0.075</v>
      </c>
      <c r="I6" s="20" t="n">
        <v>0.06</v>
      </c>
      <c r="J6" s="20" t="n">
        <v>0.045</v>
      </c>
      <c r="K6" s="20" t="n">
        <v>0.03</v>
      </c>
      <c r="L6" s="20" t="n">
        <v>0.015</v>
      </c>
      <c r="M6" s="20" t="n">
        <v>0</v>
      </c>
      <c r="N6" s="20" t="n">
        <v>0</v>
      </c>
      <c r="O6" s="20" t="n">
        <v>0</v>
      </c>
      <c r="P6" s="20" t="n">
        <v>0</v>
      </c>
      <c r="Q6" s="2" t="inlineStr">
        <is>
          <t>the disclosed run, fading to nothing</t>
        </is>
      </c>
    </row>
    <row r="7">
      <c r="A7" s="6" t="inlineStr">
        <is>
          <t>Units delivered</t>
        </is>
      </c>
      <c r="B7" s="21">
        <f>Assumptions!$B$21</f>
        <v/>
      </c>
      <c r="C7" s="21">
        <f>B7*(1+C6)</f>
        <v/>
      </c>
      <c r="D7" s="21">
        <f>C7*(1+D6)</f>
        <v/>
      </c>
      <c r="E7" s="21">
        <f>D7*(1+E6)</f>
        <v/>
      </c>
      <c r="F7" s="21">
        <f>E7*(1+F6)</f>
        <v/>
      </c>
      <c r="G7" s="21">
        <f>F7*(1+G6)</f>
        <v/>
      </c>
      <c r="H7" s="21">
        <f>G7*(1+H6)</f>
        <v/>
      </c>
      <c r="I7" s="21">
        <f>H7*(1+I6)</f>
        <v/>
      </c>
      <c r="J7" s="21">
        <f>I7*(1+J6)</f>
        <v/>
      </c>
      <c r="K7" s="21">
        <f>J7*(1+K6)</f>
        <v/>
      </c>
      <c r="L7" s="21">
        <f>K7*(1+L6)</f>
        <v/>
      </c>
      <c r="M7" s="21">
        <f>L7*(1+M6)</f>
        <v/>
      </c>
      <c r="N7" s="21">
        <f>M7*(1+N6)</f>
        <v/>
      </c>
      <c r="O7" s="21">
        <f>N7*(1+O6)</f>
        <v/>
      </c>
      <c r="P7" s="21">
        <f>O7*(1+P6)</f>
        <v/>
      </c>
    </row>
    <row r="8">
      <c r="A8" s="6" t="inlineStr">
        <is>
          <t>Revenue per delivered unit</t>
        </is>
      </c>
      <c r="B8" s="7">
        <f>Assumptions!$B$23</f>
        <v/>
      </c>
      <c r="C8" s="7">
        <f>B8*(1+C5)</f>
        <v/>
      </c>
      <c r="D8" s="7">
        <f>C8*(1+D5)</f>
        <v/>
      </c>
      <c r="E8" s="7">
        <f>D8*(1+E5)</f>
        <v/>
      </c>
      <c r="F8" s="7">
        <f>E8*(1+F5)</f>
        <v/>
      </c>
      <c r="G8" s="7">
        <f>F8*(1+G5)</f>
        <v/>
      </c>
      <c r="H8" s="7">
        <f>G8*(1+H5)</f>
        <v/>
      </c>
      <c r="I8" s="7">
        <f>H8*(1+I5)</f>
        <v/>
      </c>
      <c r="J8" s="7">
        <f>I8*(1+J5)</f>
        <v/>
      </c>
      <c r="K8" s="7">
        <f>J8*(1+K5)</f>
        <v/>
      </c>
      <c r="L8" s="7">
        <f>K8*(1+L5)</f>
        <v/>
      </c>
      <c r="M8" s="7">
        <f>L8*(1+M5)</f>
        <v/>
      </c>
      <c r="N8" s="7">
        <f>M8*(1+N5)</f>
        <v/>
      </c>
      <c r="O8" s="7">
        <f>N8*(1+O5)</f>
        <v/>
      </c>
      <c r="P8" s="7">
        <f>O8*(1+P5)</f>
        <v/>
      </c>
    </row>
    <row r="9">
      <c r="A9" s="4" t="inlineStr">
        <is>
          <t>Revenue</t>
        </is>
      </c>
      <c r="B9" s="22">
        <f>B7*B8</f>
        <v/>
      </c>
      <c r="C9" s="22">
        <f>C7*C8</f>
        <v/>
      </c>
      <c r="D9" s="22">
        <f>D7*D8</f>
        <v/>
      </c>
      <c r="E9" s="22">
        <f>E7*E8</f>
        <v/>
      </c>
      <c r="F9" s="22">
        <f>F7*F8</f>
        <v/>
      </c>
      <c r="G9" s="22">
        <f>G7*G8</f>
        <v/>
      </c>
      <c r="H9" s="22">
        <f>H7*H8</f>
        <v/>
      </c>
      <c r="I9" s="22">
        <f>I7*I8</f>
        <v/>
      </c>
      <c r="J9" s="22">
        <f>J7*J8</f>
        <v/>
      </c>
      <c r="K9" s="22">
        <f>K7*K8</f>
        <v/>
      </c>
      <c r="L9" s="22">
        <f>L7*L8</f>
        <v/>
      </c>
      <c r="M9" s="22">
        <f>M7*M8</f>
        <v/>
      </c>
      <c r="N9" s="22">
        <f>N7*N8</f>
        <v/>
      </c>
      <c r="O9" s="22">
        <f>O7*O8</f>
        <v/>
      </c>
      <c r="P9" s="22">
        <f>P7*P8</f>
        <v/>
      </c>
    </row>
    <row r="10">
      <c r="A10" s="6" t="inlineStr">
        <is>
          <t>Gross profit</t>
        </is>
      </c>
      <c r="B10" s="21">
        <f>B9*Assumptions!$B$8</f>
        <v/>
      </c>
      <c r="C10" s="21">
        <f>C9*Assumptions!$B$8</f>
        <v/>
      </c>
      <c r="D10" s="21">
        <f>D9*Assumptions!$B$8</f>
        <v/>
      </c>
      <c r="E10" s="21">
        <f>E9*Assumptions!$B$8</f>
        <v/>
      </c>
      <c r="F10" s="21">
        <f>F9*Assumptions!$B$8</f>
        <v/>
      </c>
      <c r="G10" s="21">
        <f>G9*Assumptions!$B$8</f>
        <v/>
      </c>
      <c r="H10" s="21">
        <f>H9*Assumptions!$B$8</f>
        <v/>
      </c>
      <c r="I10" s="21">
        <f>I9*Assumptions!$B$8</f>
        <v/>
      </c>
      <c r="J10" s="21">
        <f>J9*Assumptions!$B$8</f>
        <v/>
      </c>
      <c r="K10" s="21">
        <f>K9*Assumptions!$B$8</f>
        <v/>
      </c>
      <c r="L10" s="21">
        <f>L9*Assumptions!$B$8</f>
        <v/>
      </c>
      <c r="M10" s="21">
        <f>M9*Assumptions!$B$8</f>
        <v/>
      </c>
      <c r="N10" s="21">
        <f>N9*Assumptions!$B$8</f>
        <v/>
      </c>
      <c r="O10" s="21">
        <f>O9*Assumptions!$B$8</f>
        <v/>
      </c>
      <c r="P10" s="21">
        <f>P9*Assumptions!$B$8</f>
        <v/>
      </c>
    </row>
    <row r="11">
      <c r="A11" s="6" t="inlineStr">
        <is>
          <t>Overheads</t>
        </is>
      </c>
      <c r="B11" s="21">
        <f>-B9*Assumptions!$B$9</f>
        <v/>
      </c>
      <c r="C11" s="21">
        <f>-C9*Assumptions!$B$9</f>
        <v/>
      </c>
      <c r="D11" s="21">
        <f>-D9*Assumptions!$B$9</f>
        <v/>
      </c>
      <c r="E11" s="21">
        <f>-E9*Assumptions!$B$9</f>
        <v/>
      </c>
      <c r="F11" s="21">
        <f>-F9*Assumptions!$B$9</f>
        <v/>
      </c>
      <c r="G11" s="21">
        <f>-G9*Assumptions!$B$9</f>
        <v/>
      </c>
      <c r="H11" s="21">
        <f>-H9*Assumptions!$B$9</f>
        <v/>
      </c>
      <c r="I11" s="21">
        <f>-I9*Assumptions!$B$9</f>
        <v/>
      </c>
      <c r="J11" s="21">
        <f>-J9*Assumptions!$B$9</f>
        <v/>
      </c>
      <c r="K11" s="21">
        <f>-K9*Assumptions!$B$9</f>
        <v/>
      </c>
      <c r="L11" s="21">
        <f>-L9*Assumptions!$B$9</f>
        <v/>
      </c>
      <c r="M11" s="21">
        <f>-M9*Assumptions!$B$9</f>
        <v/>
      </c>
      <c r="N11" s="21">
        <f>-N9*Assumptions!$B$9</f>
        <v/>
      </c>
      <c r="O11" s="21">
        <f>-O9*Assumptions!$B$9</f>
        <v/>
      </c>
      <c r="P11" s="21">
        <f>-P9*Assumptions!$B$9</f>
        <v/>
      </c>
    </row>
    <row r="12">
      <c r="A12" s="6" t="inlineStr">
        <is>
          <t>Operating cash flow</t>
        </is>
      </c>
      <c r="B12" s="21">
        <f>B9*Assumptions!$B$5</f>
        <v/>
      </c>
      <c r="C12" s="21">
        <f>C9*Assumptions!$B$5</f>
        <v/>
      </c>
      <c r="D12" s="21">
        <f>D9*Assumptions!$B$5</f>
        <v/>
      </c>
      <c r="E12" s="21">
        <f>E9*Assumptions!$B$5</f>
        <v/>
      </c>
      <c r="F12" s="21">
        <f>F9*Assumptions!$B$5</f>
        <v/>
      </c>
      <c r="G12" s="21">
        <f>G9*Assumptions!$B$5</f>
        <v/>
      </c>
      <c r="H12" s="21">
        <f>H9*Assumptions!$B$5</f>
        <v/>
      </c>
      <c r="I12" s="21">
        <f>I9*Assumptions!$B$5</f>
        <v/>
      </c>
      <c r="J12" s="21">
        <f>J9*Assumptions!$B$5</f>
        <v/>
      </c>
      <c r="K12" s="21">
        <f>K9*Assumptions!$B$5</f>
        <v/>
      </c>
      <c r="L12" s="21">
        <f>L9*Assumptions!$B$5</f>
        <v/>
      </c>
      <c r="M12" s="21">
        <f>M9*Assumptions!$B$5</f>
        <v/>
      </c>
      <c r="N12" s="21">
        <f>N9*Assumptions!$B$5</f>
        <v/>
      </c>
      <c r="O12" s="21">
        <f>O9*Assumptions!$B$5</f>
        <v/>
      </c>
      <c r="P12" s="21">
        <f>P9*Assumptions!$B$5</f>
        <v/>
      </c>
    </row>
    <row r="13">
      <c r="A13" s="6" t="inlineStr">
        <is>
          <t>Maintenance capital expenditure</t>
        </is>
      </c>
      <c r="B13" s="21">
        <f>-B9*Assumptions!$B$24</f>
        <v/>
      </c>
      <c r="C13" s="21">
        <f>-C9*Assumptions!$B$24</f>
        <v/>
      </c>
      <c r="D13" s="21">
        <f>-D9*Assumptions!$B$24</f>
        <v/>
      </c>
      <c r="E13" s="21">
        <f>-E9*Assumptions!$B$24</f>
        <v/>
      </c>
      <c r="F13" s="21">
        <f>-F9*Assumptions!$B$24</f>
        <v/>
      </c>
      <c r="G13" s="21">
        <f>-G9*Assumptions!$B$24</f>
        <v/>
      </c>
      <c r="H13" s="21">
        <f>-H9*Assumptions!$B$24</f>
        <v/>
      </c>
      <c r="I13" s="21">
        <f>-I9*Assumptions!$B$24</f>
        <v/>
      </c>
      <c r="J13" s="21">
        <f>-J9*Assumptions!$B$24</f>
        <v/>
      </c>
      <c r="K13" s="21">
        <f>-K9*Assumptions!$B$24</f>
        <v/>
      </c>
      <c r="L13" s="21">
        <f>-L9*Assumptions!$B$24</f>
        <v/>
      </c>
      <c r="M13" s="21">
        <f>-M9*Assumptions!$B$24</f>
        <v/>
      </c>
      <c r="N13" s="21">
        <f>-N9*Assumptions!$B$24</f>
        <v/>
      </c>
      <c r="O13" s="21">
        <f>-O9*Assumptions!$B$24</f>
        <v/>
      </c>
      <c r="P13" s="21">
        <f>-P9*Assumptions!$B$24</f>
        <v/>
      </c>
    </row>
    <row r="14">
      <c r="A14" s="6" t="inlineStr">
        <is>
          <t>plus finance cost, after tax</t>
        </is>
      </c>
      <c r="B14" s="21" t="n">
        <v>2594.3</v>
      </c>
      <c r="C14" s="21" t="n">
        <v>2594.3</v>
      </c>
      <c r="D14" s="21" t="n">
        <v>2594.3</v>
      </c>
      <c r="E14" s="21" t="n">
        <v>2594.3</v>
      </c>
      <c r="F14" s="21" t="n">
        <v>2594.3</v>
      </c>
      <c r="G14" s="21" t="n">
        <v>2594.3</v>
      </c>
      <c r="H14" s="21" t="n">
        <v>2594.3</v>
      </c>
      <c r="I14" s="21" t="n">
        <v>2594.3</v>
      </c>
      <c r="J14" s="21" t="n">
        <v>2594.3</v>
      </c>
      <c r="K14" s="21" t="n">
        <v>2594.3</v>
      </c>
      <c r="L14" s="21" t="n">
        <v>2594.3</v>
      </c>
      <c r="M14" s="21" t="n">
        <v>2594.3</v>
      </c>
      <c r="N14" s="21" t="n">
        <v>2594.3</v>
      </c>
      <c r="O14" s="21" t="n">
        <v>2594.3</v>
      </c>
      <c r="P14" s="21" t="n">
        <v>2594.3</v>
      </c>
    </row>
    <row r="15">
      <c r="A15" s="4" t="inlineStr">
        <is>
          <t>Free cash flow to the firm</t>
        </is>
      </c>
      <c r="B15" s="22">
        <f>B12+B14+B13</f>
        <v/>
      </c>
      <c r="C15" s="22">
        <f>C12+C14+C13</f>
        <v/>
      </c>
      <c r="D15" s="22">
        <f>D12+D14+D13</f>
        <v/>
      </c>
      <c r="E15" s="22">
        <f>E12+E14+E13</f>
        <v/>
      </c>
      <c r="F15" s="22">
        <f>F12+F14+F13</f>
        <v/>
      </c>
      <c r="G15" s="22">
        <f>G12+G14+G13</f>
        <v/>
      </c>
      <c r="H15" s="22">
        <f>H12+H14+H13</f>
        <v/>
      </c>
      <c r="I15" s="22">
        <f>I12+I14+I13</f>
        <v/>
      </c>
      <c r="J15" s="22">
        <f>J12+J14+J13</f>
        <v/>
      </c>
      <c r="K15" s="22">
        <f>K12+K14+K13</f>
        <v/>
      </c>
      <c r="L15" s="22">
        <f>L12+L14+L13</f>
        <v/>
      </c>
      <c r="M15" s="22">
        <f>M12+M14+M13</f>
        <v/>
      </c>
      <c r="N15" s="22">
        <f>N12+N14+N13</f>
        <v/>
      </c>
      <c r="O15" s="22">
        <f>O12+O14+O13</f>
        <v/>
      </c>
      <c r="P15" s="22">
        <f>P12+P14+P13</f>
        <v/>
      </c>
    </row>
    <row r="16">
      <c r="A16" s="6" t="inlineStr">
        <is>
          <t>Cost of capital, that year</t>
        </is>
      </c>
      <c r="B16" s="12" t="n">
        <v>0.249647</v>
      </c>
      <c r="C16" s="12" t="n">
        <v>0.213967</v>
      </c>
      <c r="D16" s="12" t="n">
        <v>0.185423</v>
      </c>
      <c r="E16" s="12" t="n">
        <v>0.164015</v>
      </c>
      <c r="F16" s="12" t="n">
        <v>0.149743</v>
      </c>
      <c r="G16" s="12" t="n">
        <v>0.149743</v>
      </c>
      <c r="H16" s="12" t="n">
        <v>0.149743</v>
      </c>
      <c r="I16" s="12" t="n">
        <v>0.149743</v>
      </c>
      <c r="J16" s="12" t="n">
        <v>0.149743</v>
      </c>
      <c r="K16" s="12" t="n">
        <v>0.149743</v>
      </c>
      <c r="L16" s="12" t="n">
        <v>0.149743</v>
      </c>
      <c r="M16" s="12" t="n">
        <v>0.149743</v>
      </c>
      <c r="N16" s="12" t="n">
        <v>0.149743</v>
      </c>
      <c r="O16" s="12" t="n">
        <v>0.149743</v>
      </c>
      <c r="P16" s="12" t="n">
        <v>0.149743</v>
      </c>
    </row>
    <row r="17">
      <c r="A17" s="6" t="inlineStr">
        <is>
          <t>Discount factor</t>
        </is>
      </c>
      <c r="B17" s="23">
        <f>1/(1+B16)</f>
        <v/>
      </c>
      <c r="C17" s="23">
        <f>B17/(1+C16)</f>
        <v/>
      </c>
      <c r="D17" s="23">
        <f>C17/(1+D16)</f>
        <v/>
      </c>
      <c r="E17" s="23">
        <f>D17/(1+E16)</f>
        <v/>
      </c>
      <c r="F17" s="23">
        <f>E17/(1+F16)</f>
        <v/>
      </c>
      <c r="G17" s="23">
        <f>F17/(1+G16)</f>
        <v/>
      </c>
      <c r="H17" s="23">
        <f>G17/(1+H16)</f>
        <v/>
      </c>
      <c r="I17" s="23">
        <f>H17/(1+I16)</f>
        <v/>
      </c>
      <c r="J17" s="23">
        <f>I17/(1+J16)</f>
        <v/>
      </c>
      <c r="K17" s="23">
        <f>J17/(1+K16)</f>
        <v/>
      </c>
      <c r="L17" s="23">
        <f>K17/(1+L16)</f>
        <v/>
      </c>
      <c r="M17" s="23">
        <f>L17/(1+M16)</f>
        <v/>
      </c>
      <c r="N17" s="23">
        <f>M17/(1+N16)</f>
        <v/>
      </c>
      <c r="O17" s="23">
        <f>N17/(1+O16)</f>
        <v/>
      </c>
      <c r="P17" s="23">
        <f>O17/(1+P16)</f>
        <v/>
      </c>
    </row>
    <row r="18">
      <c r="A18" s="4" t="inlineStr">
        <is>
          <t>Present value</t>
        </is>
      </c>
      <c r="B18" s="21">
        <f>B15*B17</f>
        <v/>
      </c>
      <c r="C18" s="21">
        <f>C15*C17</f>
        <v/>
      </c>
      <c r="D18" s="21">
        <f>D15*D17</f>
        <v/>
      </c>
      <c r="E18" s="21">
        <f>E15*E17</f>
        <v/>
      </c>
      <c r="F18" s="21">
        <f>F15*F17</f>
        <v/>
      </c>
      <c r="G18" s="21">
        <f>G15*G17</f>
        <v/>
      </c>
      <c r="H18" s="21">
        <f>H15*H17</f>
        <v/>
      </c>
      <c r="I18" s="21">
        <f>I15*I17</f>
        <v/>
      </c>
      <c r="J18" s="21">
        <f>J15*J17</f>
        <v/>
      </c>
      <c r="K18" s="21">
        <f>K15*K17</f>
        <v/>
      </c>
      <c r="L18" s="21">
        <f>L15*L17</f>
        <v/>
      </c>
      <c r="M18" s="21">
        <f>M15*M17</f>
        <v/>
      </c>
      <c r="N18" s="21">
        <f>N15*N17</f>
        <v/>
      </c>
      <c r="O18" s="21">
        <f>O15*O17</f>
        <v/>
      </c>
      <c r="P18" s="21">
        <f>P15*P17</f>
        <v/>
      </c>
    </row>
    <row r="20">
      <c r="A20" s="4" t="inlineStr">
        <is>
          <t>Sum of the explicit years</t>
        </is>
      </c>
      <c r="B20" s="24">
        <f>SUM(B18:P18)</f>
        <v/>
      </c>
    </row>
    <row r="21">
      <c r="A21" s="4" t="inlineStr">
        <is>
          <t>Terminal value, discounted</t>
        </is>
      </c>
      <c r="B21" s="24" t="n">
        <v>29482.4</v>
      </c>
    </row>
    <row r="22">
      <c r="A22" s="4" t="inlineStr">
        <is>
          <t>Enterprise value</t>
        </is>
      </c>
      <c r="B22" s="24">
        <f>B20+B21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 OUTPUT of price per unit against cost per unit.</t>
        </is>
      </c>
    </row>
    <row r="4">
      <c r="A4" s="5" t="inlineStr">
        <is>
          <t>EGP mn unless stated</t>
        </is>
      </c>
      <c r="B4" s="5" t="n">
        <v>2026</v>
      </c>
      <c r="C4" s="5" t="n">
        <v>2027</v>
      </c>
      <c r="D4" s="5" t="n">
        <v>2028</v>
      </c>
      <c r="E4" s="5" t="n">
        <v>2029</v>
      </c>
      <c r="F4" s="5" t="n">
        <v>2030</v>
      </c>
      <c r="G4" s="5" t="n">
        <v>2031</v>
      </c>
      <c r="H4" s="5" t="n">
        <v>2032</v>
      </c>
      <c r="I4" s="5" t="n">
        <v>2033</v>
      </c>
      <c r="J4" s="5" t="n">
        <v>2034</v>
      </c>
      <c r="K4" s="5" t="n">
        <v>2035</v>
      </c>
      <c r="L4" s="5" t="n">
        <v>2036</v>
      </c>
      <c r="M4" s="5" t="n">
        <v>2037</v>
      </c>
      <c r="N4" s="5" t="n">
        <v>2038</v>
      </c>
      <c r="O4" s="5" t="n">
        <v>2039</v>
      </c>
      <c r="P4" s="5" t="n">
        <v>2040</v>
      </c>
    </row>
    <row r="5">
      <c r="A5" s="6" t="inlineStr">
        <is>
          <t>Units sold</t>
        </is>
      </c>
      <c r="B5" s="24" t="n">
        <v>5632.6667</v>
      </c>
      <c r="C5" s="24" t="n">
        <v>5632.6667</v>
      </c>
      <c r="D5" s="24" t="n">
        <v>5632.6667</v>
      </c>
      <c r="E5" s="24" t="n">
        <v>5632.6667</v>
      </c>
      <c r="F5" s="24" t="n">
        <v>5632.6667</v>
      </c>
      <c r="G5" s="24" t="n">
        <v>5632.6667</v>
      </c>
      <c r="H5" s="24" t="n">
        <v>5632.6667</v>
      </c>
      <c r="I5" s="24" t="n">
        <v>5632.6667</v>
      </c>
      <c r="J5" s="24" t="n">
        <v>5632.6667</v>
      </c>
      <c r="K5" s="24" t="n">
        <v>5632.6667</v>
      </c>
      <c r="L5" s="24" t="n">
        <v>5632.6667</v>
      </c>
      <c r="M5" s="24" t="n">
        <v>5632.6667</v>
      </c>
      <c r="N5" s="24" t="n">
        <v>5632.6667</v>
      </c>
      <c r="O5" s="24" t="n">
        <v>5632.6667</v>
      </c>
      <c r="P5" s="24" t="n">
        <v>5632.6667</v>
      </c>
    </row>
    <row r="6">
      <c r="A6" s="6" t="inlineStr">
        <is>
          <t>New sales</t>
        </is>
      </c>
      <c r="B6" s="24" t="n">
        <v>129711.9922</v>
      </c>
      <c r="C6" s="24" t="n">
        <v>145277.4313</v>
      </c>
      <c r="D6" s="24" t="n">
        <v>158352.4001</v>
      </c>
      <c r="E6" s="24" t="n">
        <v>170228.8301</v>
      </c>
      <c r="F6" s="24" t="n">
        <v>182144.8482</v>
      </c>
      <c r="G6" s="24" t="n">
        <v>194894.9876</v>
      </c>
      <c r="H6" s="24" t="n">
        <v>208537.6367</v>
      </c>
      <c r="I6" s="24" t="n">
        <v>223135.2713</v>
      </c>
      <c r="J6" s="24" t="n">
        <v>238754.7402</v>
      </c>
      <c r="K6" s="24" t="n">
        <v>255467.5721</v>
      </c>
      <c r="L6" s="24" t="n">
        <v>273350.3021</v>
      </c>
      <c r="M6" s="24" t="n">
        <v>292484.8233</v>
      </c>
      <c r="N6" s="24" t="n">
        <v>312958.7609</v>
      </c>
      <c r="O6" s="24" t="n">
        <v>334865.8741</v>
      </c>
      <c r="P6" s="24" t="n">
        <v>358306.4853</v>
      </c>
    </row>
    <row r="7">
      <c r="A7" s="6" t="inlineStr">
        <is>
          <t>Units delivered</t>
        </is>
      </c>
      <c r="B7" s="24" t="n">
        <v>2035.0931</v>
      </c>
      <c r="C7" s="24" t="n">
        <v>2340.3571</v>
      </c>
      <c r="D7" s="24" t="n">
        <v>2656.3053</v>
      </c>
      <c r="E7" s="24" t="n">
        <v>2975.0619</v>
      </c>
      <c r="F7" s="24" t="n">
        <v>3287.4434</v>
      </c>
      <c r="G7" s="24" t="n">
        <v>3583.3133</v>
      </c>
      <c r="H7" s="24" t="n">
        <v>3852.0618</v>
      </c>
      <c r="I7" s="24" t="n">
        <v>4083.1855</v>
      </c>
      <c r="J7" s="24" t="n">
        <v>4266.9289</v>
      </c>
      <c r="K7" s="24" t="n">
        <v>4394.9367</v>
      </c>
      <c r="L7" s="24" t="n">
        <v>4460.8608</v>
      </c>
      <c r="M7" s="24" t="n">
        <v>4460.8608</v>
      </c>
      <c r="N7" s="24" t="n">
        <v>4460.8608</v>
      </c>
      <c r="O7" s="24" t="n">
        <v>4460.8608</v>
      </c>
      <c r="P7" s="24" t="n">
        <v>4460.8608</v>
      </c>
    </row>
    <row r="8">
      <c r="A8" s="6" t="inlineStr">
        <is>
          <t>Revenue per delivered unit</t>
        </is>
      </c>
      <c r="B8" s="25" t="n">
        <v>19.7278</v>
      </c>
      <c r="C8" s="25" t="n">
        <v>22.0951</v>
      </c>
      <c r="D8" s="25" t="n">
        <v>24.0837</v>
      </c>
      <c r="E8" s="25" t="n">
        <v>25.89</v>
      </c>
      <c r="F8" s="25" t="n">
        <v>27.7023</v>
      </c>
      <c r="G8" s="25" t="n">
        <v>29.6414</v>
      </c>
      <c r="H8" s="25" t="n">
        <v>31.7163</v>
      </c>
      <c r="I8" s="25" t="n">
        <v>33.9365</v>
      </c>
      <c r="J8" s="25" t="n">
        <v>36.312</v>
      </c>
      <c r="K8" s="25" t="n">
        <v>38.8539</v>
      </c>
      <c r="L8" s="25" t="n">
        <v>41.5737</v>
      </c>
      <c r="M8" s="25" t="n">
        <v>44.4838</v>
      </c>
      <c r="N8" s="25" t="n">
        <v>47.5977</v>
      </c>
      <c r="O8" s="25" t="n">
        <v>50.9295</v>
      </c>
      <c r="P8" s="25" t="n">
        <v>54.4946</v>
      </c>
    </row>
    <row r="9">
      <c r="A9" s="4" t="inlineStr">
        <is>
          <t>Revenue</t>
        </is>
      </c>
      <c r="B9" s="24" t="n">
        <v>40147.923</v>
      </c>
      <c r="C9" s="24" t="n">
        <v>51710.5248</v>
      </c>
      <c r="D9" s="24" t="n">
        <v>63973.6758</v>
      </c>
      <c r="E9" s="24" t="n">
        <v>77024.30560000001</v>
      </c>
      <c r="F9" s="24" t="n">
        <v>91069.6878</v>
      </c>
      <c r="G9" s="24" t="n">
        <v>106214.5769</v>
      </c>
      <c r="H9" s="24" t="n">
        <v>122173.317</v>
      </c>
      <c r="I9" s="24" t="n">
        <v>138568.9762</v>
      </c>
      <c r="J9" s="24" t="n">
        <v>154940.9007</v>
      </c>
      <c r="K9" s="24" t="n">
        <v>170760.3667</v>
      </c>
      <c r="L9" s="24" t="n">
        <v>185454.2962</v>
      </c>
      <c r="M9" s="24" t="n">
        <v>198436.097</v>
      </c>
      <c r="N9" s="24" t="n">
        <v>212326.6238</v>
      </c>
      <c r="O9" s="24" t="n">
        <v>227189.4874</v>
      </c>
      <c r="P9" s="24" t="n">
        <v>243092.7515</v>
      </c>
    </row>
    <row r="10">
      <c r="A10" s="6" t="inlineStr">
        <is>
          <t>Cost per delivered unit</t>
        </is>
      </c>
      <c r="B10" s="25" t="n">
        <v>12.7276</v>
      </c>
      <c r="C10" s="25" t="n">
        <v>14.2549</v>
      </c>
      <c r="D10" s="25" t="n">
        <v>15.5379</v>
      </c>
      <c r="E10" s="25" t="n">
        <v>16.7032</v>
      </c>
      <c r="F10" s="25" t="n">
        <v>17.8724</v>
      </c>
      <c r="G10" s="25" t="n">
        <v>19.1235</v>
      </c>
      <c r="H10" s="25" t="n">
        <v>20.4622</v>
      </c>
      <c r="I10" s="25" t="n">
        <v>21.8945</v>
      </c>
      <c r="J10" s="25" t="n">
        <v>23.4271</v>
      </c>
      <c r="K10" s="25" t="n">
        <v>25.067</v>
      </c>
      <c r="L10" s="25" t="n">
        <v>26.8217</v>
      </c>
      <c r="M10" s="25" t="n">
        <v>28.6992</v>
      </c>
      <c r="N10" s="25" t="n">
        <v>30.7082</v>
      </c>
      <c r="O10" s="25" t="n">
        <v>32.8578</v>
      </c>
      <c r="P10" s="25" t="n">
        <v>35.1578</v>
      </c>
    </row>
    <row r="11">
      <c r="A11" s="6" t="inlineStr">
        <is>
          <t>Cost of revenue</t>
        </is>
      </c>
      <c r="B11" s="24" t="n">
        <v>25901.8858</v>
      </c>
      <c r="C11" s="24" t="n">
        <v>33361.6289</v>
      </c>
      <c r="D11" s="24" t="n">
        <v>41273.3392</v>
      </c>
      <c r="E11" s="24" t="n">
        <v>49693.1004</v>
      </c>
      <c r="F11" s="24" t="n">
        <v>58754.6373</v>
      </c>
      <c r="G11" s="24" t="n">
        <v>68525.53350000001</v>
      </c>
      <c r="H11" s="24" t="n">
        <v>78821.49490000001</v>
      </c>
      <c r="I11" s="24" t="n">
        <v>89399.3395</v>
      </c>
      <c r="J11" s="24" t="n">
        <v>99961.8714</v>
      </c>
      <c r="K11" s="24" t="n">
        <v>110167.9785</v>
      </c>
      <c r="L11" s="24" t="n">
        <v>119647.9331</v>
      </c>
      <c r="M11" s="24" t="n">
        <v>128023.2884</v>
      </c>
      <c r="N11" s="24" t="n">
        <v>136984.9185</v>
      </c>
      <c r="O11" s="24" t="n">
        <v>146573.8628</v>
      </c>
      <c r="P11" s="24" t="n">
        <v>156834.0332</v>
      </c>
    </row>
    <row r="12">
      <c r="A12" s="4" t="inlineStr">
        <is>
          <t>Gross profit</t>
        </is>
      </c>
      <c r="B12" s="24" t="n">
        <v>14246.0372</v>
      </c>
      <c r="C12" s="24" t="n">
        <v>18348.8959</v>
      </c>
      <c r="D12" s="24" t="n">
        <v>22700.3366</v>
      </c>
      <c r="E12" s="24" t="n">
        <v>27331.2052</v>
      </c>
      <c r="F12" s="24" t="n">
        <v>32315.0505</v>
      </c>
      <c r="G12" s="24" t="n">
        <v>37689.0434</v>
      </c>
      <c r="H12" s="24" t="n">
        <v>43351.8222</v>
      </c>
      <c r="I12" s="24" t="n">
        <v>49169.6367</v>
      </c>
      <c r="J12" s="24" t="n">
        <v>54979.0293</v>
      </c>
      <c r="K12" s="24" t="n">
        <v>60592.3882</v>
      </c>
      <c r="L12" s="24" t="n">
        <v>65806.36320000001</v>
      </c>
      <c r="M12" s="24" t="n">
        <v>70412.8086</v>
      </c>
      <c r="N12" s="24" t="n">
        <v>75341.7052</v>
      </c>
      <c r="O12" s="24" t="n">
        <v>80615.6246</v>
      </c>
      <c r="P12" s="24" t="n">
        <v>86258.71829999999</v>
      </c>
    </row>
    <row r="13">
      <c r="A13" s="6" t="inlineStr">
        <is>
          <t>Gross margin</t>
        </is>
      </c>
      <c r="B13" s="26" t="n">
        <v>0.3548</v>
      </c>
      <c r="C13" s="26" t="n">
        <v>0.3548</v>
      </c>
      <c r="D13" s="26" t="n">
        <v>0.3548</v>
      </c>
      <c r="E13" s="26" t="n">
        <v>0.3548</v>
      </c>
      <c r="F13" s="26" t="n">
        <v>0.3548</v>
      </c>
      <c r="G13" s="26" t="n">
        <v>0.3548</v>
      </c>
      <c r="H13" s="26" t="n">
        <v>0.3548</v>
      </c>
      <c r="I13" s="26" t="n">
        <v>0.3548</v>
      </c>
      <c r="J13" s="26" t="n">
        <v>0.3548</v>
      </c>
      <c r="K13" s="26" t="n">
        <v>0.3548</v>
      </c>
      <c r="L13" s="26" t="n">
        <v>0.3548</v>
      </c>
      <c r="M13" s="26" t="n">
        <v>0.3548</v>
      </c>
      <c r="N13" s="26" t="n">
        <v>0.3548</v>
      </c>
      <c r="O13" s="26" t="n">
        <v>0.3548</v>
      </c>
      <c r="P13" s="26" t="n">
        <v>0.3548</v>
      </c>
    </row>
    <row r="14">
      <c r="A14" s="6" t="inlineStr">
        <is>
          <t>Overheads</t>
        </is>
      </c>
      <c r="B14" s="24" t="n">
        <v>7065.816</v>
      </c>
      <c r="C14" s="24" t="n">
        <v>9100.771000000001</v>
      </c>
      <c r="D14" s="24" t="n">
        <v>11259.0189</v>
      </c>
      <c r="E14" s="24" t="n">
        <v>13555.8587</v>
      </c>
      <c r="F14" s="24" t="n">
        <v>16027.7695</v>
      </c>
      <c r="G14" s="24" t="n">
        <v>18693.1876</v>
      </c>
      <c r="H14" s="24" t="n">
        <v>21501.839</v>
      </c>
      <c r="I14" s="24" t="n">
        <v>24387.3858</v>
      </c>
      <c r="J14" s="24" t="n">
        <v>27268.7555</v>
      </c>
      <c r="K14" s="24" t="n">
        <v>30052.8954</v>
      </c>
      <c r="L14" s="24" t="n">
        <v>32638.9471</v>
      </c>
      <c r="M14" s="24" t="n">
        <v>34923.6734</v>
      </c>
      <c r="N14" s="24" t="n">
        <v>37368.3305</v>
      </c>
      <c r="O14" s="24" t="n">
        <v>39984.1136</v>
      </c>
      <c r="P14" s="24" t="n">
        <v>42783.0016</v>
      </c>
    </row>
    <row r="15">
      <c r="A15" s="6" t="inlineStr">
        <is>
          <t>Operating profit</t>
        </is>
      </c>
      <c r="B15" s="24" t="n">
        <v>6787.6142</v>
      </c>
      <c r="C15" s="24" t="n">
        <v>8742.447099999999</v>
      </c>
      <c r="D15" s="24" t="n">
        <v>10815.7184</v>
      </c>
      <c r="E15" s="24" t="n">
        <v>13022.125</v>
      </c>
      <c r="F15" s="24" t="n">
        <v>15396.7094</v>
      </c>
      <c r="G15" s="24" t="n">
        <v>17957.1822</v>
      </c>
      <c r="H15" s="24" t="n">
        <v>20655.2489</v>
      </c>
      <c r="I15" s="24" t="n">
        <v>23427.1833</v>
      </c>
      <c r="J15" s="24" t="n">
        <v>26195.105</v>
      </c>
      <c r="K15" s="24" t="n">
        <v>28869.6252</v>
      </c>
      <c r="L15" s="24" t="n">
        <v>31353.8564</v>
      </c>
      <c r="M15" s="24" t="n">
        <v>33548.6264</v>
      </c>
      <c r="N15" s="24" t="n">
        <v>35897.0302</v>
      </c>
      <c r="O15" s="24" t="n">
        <v>38409.8223</v>
      </c>
      <c r="P15" s="24" t="n">
        <v>41098.5099</v>
      </c>
    </row>
    <row r="16">
      <c r="A16" s="6" t="inlineStr">
        <is>
          <t>Finance cost</t>
        </is>
      </c>
      <c r="B16" s="24" t="n">
        <v>3347.5</v>
      </c>
      <c r="C16" s="24" t="n">
        <v>3347.5</v>
      </c>
      <c r="D16" s="24" t="n">
        <v>3347.5</v>
      </c>
      <c r="E16" s="24" t="n">
        <v>3347.5</v>
      </c>
      <c r="F16" s="24" t="n">
        <v>3347.5</v>
      </c>
      <c r="G16" s="24" t="n">
        <v>3347.5</v>
      </c>
      <c r="H16" s="24" t="n">
        <v>3347.5</v>
      </c>
      <c r="I16" s="24" t="n">
        <v>3347.5</v>
      </c>
      <c r="J16" s="24" t="n">
        <v>3347.5</v>
      </c>
      <c r="K16" s="24" t="n">
        <v>3347.5</v>
      </c>
      <c r="L16" s="24" t="n">
        <v>3347.5</v>
      </c>
      <c r="M16" s="24" t="n">
        <v>3347.5</v>
      </c>
      <c r="N16" s="24" t="n">
        <v>3347.5</v>
      </c>
      <c r="O16" s="24" t="n">
        <v>3347.5</v>
      </c>
      <c r="P16" s="24" t="n">
        <v>3347.5</v>
      </c>
    </row>
    <row r="17">
      <c r="A17" s="6" t="inlineStr">
        <is>
          <t>Profit before tax</t>
        </is>
      </c>
      <c r="B17" s="24" t="n">
        <v>3440.1142</v>
      </c>
      <c r="C17" s="24" t="n">
        <v>5394.9471</v>
      </c>
      <c r="D17" s="24" t="n">
        <v>7468.2184</v>
      </c>
      <c r="E17" s="24" t="n">
        <v>9674.625</v>
      </c>
      <c r="F17" s="24" t="n">
        <v>12049.2094</v>
      </c>
      <c r="G17" s="24" t="n">
        <v>14609.6822</v>
      </c>
      <c r="H17" s="24" t="n">
        <v>17307.7489</v>
      </c>
      <c r="I17" s="24" t="n">
        <v>20079.6833</v>
      </c>
      <c r="J17" s="24" t="n">
        <v>22847.605</v>
      </c>
      <c r="K17" s="24" t="n">
        <v>25522.1252</v>
      </c>
      <c r="L17" s="24" t="n">
        <v>28006.3564</v>
      </c>
      <c r="M17" s="24" t="n">
        <v>30201.1264</v>
      </c>
      <c r="N17" s="24" t="n">
        <v>32549.5302</v>
      </c>
      <c r="O17" s="24" t="n">
        <v>35062.3223</v>
      </c>
      <c r="P17" s="24" t="n">
        <v>37751.0099</v>
      </c>
    </row>
    <row r="18">
      <c r="A18" s="4" t="inlineStr">
        <is>
          <t>Net profit</t>
        </is>
      </c>
      <c r="B18" s="24" t="n">
        <v>2666.0885</v>
      </c>
      <c r="C18" s="24" t="n">
        <v>4181.084</v>
      </c>
      <c r="D18" s="24" t="n">
        <v>5787.8693</v>
      </c>
      <c r="E18" s="24" t="n">
        <v>7497.8343</v>
      </c>
      <c r="F18" s="24" t="n">
        <v>9338.1373</v>
      </c>
      <c r="G18" s="24" t="n">
        <v>11322.5037</v>
      </c>
      <c r="H18" s="24" t="n">
        <v>13413.5054</v>
      </c>
      <c r="I18" s="24" t="n">
        <v>15561.7545</v>
      </c>
      <c r="J18" s="24" t="n">
        <v>17706.8938</v>
      </c>
      <c r="K18" s="24" t="n">
        <v>19779.647</v>
      </c>
      <c r="L18" s="24" t="n">
        <v>21704.9262</v>
      </c>
      <c r="M18" s="24" t="n">
        <v>23405.8729</v>
      </c>
      <c r="N18" s="24" t="n">
        <v>25225.8859</v>
      </c>
      <c r="O18" s="24" t="n">
        <v>27173.2998</v>
      </c>
      <c r="P18" s="24" t="n">
        <v>29257.0327</v>
      </c>
    </row>
    <row r="19">
      <c r="A19" s="6" t="inlineStr">
        <is>
          <t>Earnings per share (EGP)</t>
        </is>
      </c>
      <c r="B19" s="25" t="n">
        <v>0.9322</v>
      </c>
      <c r="C19" s="25" t="n">
        <v>1.462</v>
      </c>
      <c r="D19" s="25" t="n">
        <v>2.0238</v>
      </c>
      <c r="E19" s="25" t="n">
        <v>2.6217</v>
      </c>
      <c r="F19" s="25" t="n">
        <v>3.2652</v>
      </c>
      <c r="G19" s="25" t="n">
        <v>3.959</v>
      </c>
      <c r="H19" s="25" t="n">
        <v>4.6902</v>
      </c>
      <c r="I19" s="25" t="n">
        <v>5.4413</v>
      </c>
      <c r="J19" s="25" t="n">
        <v>6.1914</v>
      </c>
      <c r="K19" s="25" t="n">
        <v>6.9162</v>
      </c>
      <c r="L19" s="25" t="n">
        <v>7.5893</v>
      </c>
      <c r="M19" s="25" t="n">
        <v>8.184100000000001</v>
      </c>
      <c r="N19" s="25" t="n">
        <v>8.820499999999999</v>
      </c>
      <c r="O19" s="25" t="n">
        <v>9.5014</v>
      </c>
      <c r="P19" s="25" t="n">
        <v>10.23</v>
      </c>
    </row>
    <row r="20">
      <c r="A20" s="6" t="inlineStr">
        <is>
          <t>Order book, closing</t>
        </is>
      </c>
      <c r="B20" s="24" t="n">
        <v>352564.0692</v>
      </c>
      <c r="C20" s="24" t="n">
        <v>446130.9756</v>
      </c>
      <c r="D20" s="24" t="n">
        <v>540509.6999</v>
      </c>
      <c r="E20" s="24" t="n">
        <v>633714.2243999999</v>
      </c>
      <c r="F20" s="24" t="n">
        <v>724789.3848</v>
      </c>
      <c r="G20" s="24" t="n">
        <v>813469.7955</v>
      </c>
      <c r="H20" s="24" t="n">
        <v>899834.1151000001</v>
      </c>
      <c r="I20" s="24" t="n">
        <v>984400.4102</v>
      </c>
      <c r="J20" s="24" t="n">
        <v>1068214.2497</v>
      </c>
      <c r="K20" s="24" t="n">
        <v>1152921.4551</v>
      </c>
      <c r="L20" s="24" t="n">
        <v>1240817.461</v>
      </c>
      <c r="M20" s="24" t="n">
        <v>1334866.1873</v>
      </c>
      <c r="N20" s="24" t="n">
        <v>1435498.3244</v>
      </c>
      <c r="O20" s="24" t="n">
        <v>1543174.7111</v>
      </c>
      <c r="P20" s="24" t="n">
        <v>1658388.4449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Balance sheet — as reported, then forecast both ways</t>
        </is>
      </c>
    </row>
    <row r="2">
      <c r="A2" s="2" t="inlineStr">
        <is>
          <t>EGP million. Assets equal liabilities plus shareholders' funds in every reported and every forecast year.</t>
        </is>
      </c>
    </row>
    <row r="4">
      <c r="A4" s="4" t="inlineStr">
        <is>
          <t>AS REPORTED</t>
        </is>
      </c>
      <c r="B4" s="16" t="inlineStr">
        <is>
          <t>2025</t>
        </is>
      </c>
      <c r="C4" s="16"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row r="14">
      <c r="A14" s="4" t="inlineStr">
        <is>
          <t>FORECAST — IF CASH CONVERSION HOLDS</t>
        </is>
      </c>
    </row>
    <row r="15">
      <c r="A15" s="5" t="inlineStr">
        <is>
          <t>EGP mn unless stated</t>
        </is>
      </c>
      <c r="B15" s="19" t="n">
        <v>2026</v>
      </c>
      <c r="C15" s="19" t="n">
        <v>2027</v>
      </c>
      <c r="D15" s="19" t="n">
        <v>2028</v>
      </c>
      <c r="E15" s="19" t="n">
        <v>2029</v>
      </c>
      <c r="F15" s="19" t="n">
        <v>2030</v>
      </c>
      <c r="G15" s="19" t="n">
        <v>2031</v>
      </c>
      <c r="H15" s="19" t="n">
        <v>2032</v>
      </c>
      <c r="I15" s="19" t="n">
        <v>2033</v>
      </c>
      <c r="J15" s="19" t="n">
        <v>2034</v>
      </c>
      <c r="K15" s="19" t="n">
        <v>2035</v>
      </c>
      <c r="L15" s="19" t="n">
        <v>2036</v>
      </c>
      <c r="M15" s="19" t="n">
        <v>2037</v>
      </c>
      <c r="N15" s="19" t="n">
        <v>2038</v>
      </c>
      <c r="O15" s="19" t="n">
        <v>2039</v>
      </c>
      <c r="P15" s="19" t="n">
        <v>2040</v>
      </c>
    </row>
    <row r="16">
      <c r="A16" s="6" t="inlineStr">
        <is>
          <t>Trade and notes receivable</t>
        </is>
      </c>
      <c r="B16" s="21" t="n">
        <v>102780.6851</v>
      </c>
      <c r="C16" s="21" t="n">
        <v>103081.1032</v>
      </c>
      <c r="D16" s="21" t="n">
        <v>104474.5979</v>
      </c>
      <c r="E16" s="21" t="n">
        <v>107031.3611</v>
      </c>
      <c r="F16" s="21" t="n">
        <v>110840.0601</v>
      </c>
      <c r="G16" s="21" t="n">
        <v>115998.6995</v>
      </c>
      <c r="H16" s="21" t="n">
        <v>122579.822</v>
      </c>
      <c r="I16" s="21" t="n">
        <v>130622.3724</v>
      </c>
      <c r="J16" s="21" t="n">
        <v>140124.2351</v>
      </c>
      <c r="K16" s="21" t="n">
        <v>151036.1666</v>
      </c>
      <c r="L16" s="21" t="n">
        <v>163257.8423</v>
      </c>
      <c r="M16" s="21" t="n">
        <v>176636.6514</v>
      </c>
      <c r="N16" s="21" t="n">
        <v>191253.5933</v>
      </c>
      <c r="O16" s="21" t="n">
        <v>207195.3372</v>
      </c>
      <c r="P16" s="21" t="n">
        <v>224554.6194</v>
      </c>
    </row>
    <row r="17">
      <c r="A17" s="6" t="inlineStr">
        <is>
          <t>Work in progress</t>
        </is>
      </c>
      <c r="B17" s="21" t="n">
        <v>17446.9465</v>
      </c>
      <c r="C17" s="21" t="n">
        <v>17497.9423</v>
      </c>
      <c r="D17" s="21" t="n">
        <v>17734.487</v>
      </c>
      <c r="E17" s="21" t="n">
        <v>18168.4957</v>
      </c>
      <c r="F17" s="21" t="n">
        <v>18815.0196</v>
      </c>
      <c r="G17" s="21" t="n">
        <v>19690.6949</v>
      </c>
      <c r="H17" s="21" t="n">
        <v>20807.8356</v>
      </c>
      <c r="I17" s="21" t="n">
        <v>22173.0527</v>
      </c>
      <c r="J17" s="21" t="n">
        <v>23785.987</v>
      </c>
      <c r="K17" s="21" t="n">
        <v>25638.2795</v>
      </c>
      <c r="L17" s="21" t="n">
        <v>27712.9</v>
      </c>
      <c r="M17" s="21" t="n">
        <v>29983.9431</v>
      </c>
      <c r="N17" s="21" t="n">
        <v>32465.1584</v>
      </c>
      <c r="O17" s="21" t="n">
        <v>35171.2578</v>
      </c>
      <c r="P17" s="21" t="n">
        <v>38117.9833</v>
      </c>
    </row>
    <row r="18">
      <c r="A18" s="6" t="inlineStr">
        <is>
          <t>Other receivables and prepayments</t>
        </is>
      </c>
      <c r="B18" s="21" t="n">
        <v>12830.8421</v>
      </c>
      <c r="C18" s="21" t="n">
        <v>12868.3454</v>
      </c>
      <c r="D18" s="21" t="n">
        <v>13042.3052</v>
      </c>
      <c r="E18" s="21" t="n">
        <v>13361.4841</v>
      </c>
      <c r="F18" s="21" t="n">
        <v>13836.951</v>
      </c>
      <c r="G18" s="21" t="n">
        <v>14480.9406</v>
      </c>
      <c r="H18" s="21" t="n">
        <v>15302.5088</v>
      </c>
      <c r="I18" s="21" t="n">
        <v>16306.5174</v>
      </c>
      <c r="J18" s="21" t="n">
        <v>17492.7024</v>
      </c>
      <c r="K18" s="21" t="n">
        <v>18854.9162</v>
      </c>
      <c r="L18" s="21" t="n">
        <v>20380.6347</v>
      </c>
      <c r="M18" s="21" t="n">
        <v>22050.8063</v>
      </c>
      <c r="N18" s="21" t="n">
        <v>23875.5429</v>
      </c>
      <c r="O18" s="21" t="n">
        <v>25865.6639</v>
      </c>
      <c r="P18" s="21" t="n">
        <v>28032.7462</v>
      </c>
    </row>
    <row r="19">
      <c r="A19" s="6" t="inlineStr">
        <is>
          <t>Advances to suppliers</t>
        </is>
      </c>
      <c r="B19" s="21" t="n">
        <v>8992.3133</v>
      </c>
      <c r="C19" s="21" t="n">
        <v>9018.5969</v>
      </c>
      <c r="D19" s="21" t="n">
        <v>9140.5142</v>
      </c>
      <c r="E19" s="21" t="n">
        <v>9364.206200000001</v>
      </c>
      <c r="F19" s="21" t="n">
        <v>9697.430399999999</v>
      </c>
      <c r="G19" s="21" t="n">
        <v>10148.7614</v>
      </c>
      <c r="H19" s="21" t="n">
        <v>10724.5458</v>
      </c>
      <c r="I19" s="21" t="n">
        <v>11428.1909</v>
      </c>
      <c r="J19" s="21" t="n">
        <v>12259.5118</v>
      </c>
      <c r="K19" s="21" t="n">
        <v>13214.2</v>
      </c>
      <c r="L19" s="21" t="n">
        <v>14283.4781</v>
      </c>
      <c r="M19" s="21" t="n">
        <v>15453.9941</v>
      </c>
      <c r="N19" s="21" t="n">
        <v>16732.8348</v>
      </c>
      <c r="O19" s="21" t="n">
        <v>18127.5828</v>
      </c>
      <c r="P19" s="21" t="n">
        <v>19646.3517</v>
      </c>
    </row>
    <row r="20">
      <c r="A20" s="6" t="inlineStr">
        <is>
          <t>Cash and equivalents</t>
        </is>
      </c>
      <c r="B20" s="21" t="n">
        <v>12516.3758</v>
      </c>
      <c r="C20" s="21" t="n">
        <v>16505.1518</v>
      </c>
      <c r="D20" s="21" t="n">
        <v>21439.866</v>
      </c>
      <c r="E20" s="21" t="n">
        <v>27381.2619</v>
      </c>
      <c r="F20" s="21" t="n">
        <v>34406.0714</v>
      </c>
      <c r="G20" s="21" t="n">
        <v>42599.1067</v>
      </c>
      <c r="H20" s="21" t="n">
        <v>52023.1456</v>
      </c>
      <c r="I20" s="21" t="n">
        <v>62711.8904</v>
      </c>
      <c r="J20" s="21" t="n">
        <v>74663.5105</v>
      </c>
      <c r="K20" s="21" t="n">
        <v>87835.391</v>
      </c>
      <c r="L20" s="21" t="n">
        <v>102140.7118</v>
      </c>
      <c r="M20" s="21" t="n">
        <v>117447.405</v>
      </c>
      <c r="N20" s="21" t="n">
        <v>133825.5668</v>
      </c>
      <c r="O20" s="21" t="n">
        <v>151350.1999</v>
      </c>
      <c r="P20" s="21" t="n">
        <v>170101.5573</v>
      </c>
    </row>
    <row r="21">
      <c r="A21" s="6" t="inlineStr">
        <is>
          <t>Property and equipment</t>
        </is>
      </c>
      <c r="B21" s="21" t="n">
        <v>4530.8722</v>
      </c>
      <c r="C21" s="21" t="n">
        <v>4542.2997</v>
      </c>
      <c r="D21" s="21" t="n">
        <v>4556.4371</v>
      </c>
      <c r="E21" s="21" t="n">
        <v>4573.4586</v>
      </c>
      <c r="F21" s="21" t="n">
        <v>4593.584</v>
      </c>
      <c r="G21" s="21" t="n">
        <v>4617.0562</v>
      </c>
      <c r="H21" s="21" t="n">
        <v>4644.0551</v>
      </c>
      <c r="I21" s="21" t="n">
        <v>4674.6772</v>
      </c>
      <c r="J21" s="21" t="n">
        <v>4708.9174</v>
      </c>
      <c r="K21" s="21" t="n">
        <v>4746.6534</v>
      </c>
      <c r="L21" s="21" t="n">
        <v>4787.6367</v>
      </c>
      <c r="M21" s="21" t="n">
        <v>4831.4888</v>
      </c>
      <c r="N21" s="21" t="n">
        <v>4878.4106</v>
      </c>
      <c r="O21" s="21" t="n">
        <v>4928.6168</v>
      </c>
      <c r="P21" s="21" t="n">
        <v>4982.3375</v>
      </c>
    </row>
    <row r="22">
      <c r="A22" s="6" t="inlineStr">
        <is>
          <t>Other assets, held at the 2025 level</t>
        </is>
      </c>
      <c r="B22" s="21" t="n">
        <v>15128.3</v>
      </c>
      <c r="C22" s="21" t="n">
        <v>15128.3</v>
      </c>
      <c r="D22" s="21" t="n">
        <v>15128.3</v>
      </c>
      <c r="E22" s="21" t="n">
        <v>15128.3</v>
      </c>
      <c r="F22" s="21" t="n">
        <v>15128.3</v>
      </c>
      <c r="G22" s="21" t="n">
        <v>15128.3</v>
      </c>
      <c r="H22" s="21" t="n">
        <v>15128.3</v>
      </c>
      <c r="I22" s="21" t="n">
        <v>15128.3</v>
      </c>
      <c r="J22" s="21" t="n">
        <v>15128.3</v>
      </c>
      <c r="K22" s="21" t="n">
        <v>15128.3</v>
      </c>
      <c r="L22" s="21" t="n">
        <v>15128.3</v>
      </c>
      <c r="M22" s="21" t="n">
        <v>15128.3</v>
      </c>
      <c r="N22" s="21" t="n">
        <v>15128.3</v>
      </c>
      <c r="O22" s="21" t="n">
        <v>15128.3</v>
      </c>
      <c r="P22" s="21" t="n">
        <v>15128.3</v>
      </c>
    </row>
    <row r="23">
      <c r="A23" s="4" t="inlineStr">
        <is>
          <t>TOTAL ASSETS</t>
        </is>
      </c>
      <c r="B23" s="22" t="n">
        <v>174226.335</v>
      </c>
      <c r="C23" s="22" t="n">
        <v>178641.7393</v>
      </c>
      <c r="D23" s="22" t="n">
        <v>185516.5074</v>
      </c>
      <c r="E23" s="22" t="n">
        <v>195008.5676</v>
      </c>
      <c r="F23" s="22" t="n">
        <v>207317.4165</v>
      </c>
      <c r="G23" s="22" t="n">
        <v>222663.5593</v>
      </c>
      <c r="H23" s="22" t="n">
        <v>241210.2129</v>
      </c>
      <c r="I23" s="22" t="n">
        <v>263045.0012</v>
      </c>
      <c r="J23" s="22" t="n">
        <v>288163.1641</v>
      </c>
      <c r="K23" s="22" t="n">
        <v>316453.9067</v>
      </c>
      <c r="L23" s="22" t="n">
        <v>347691.5035</v>
      </c>
      <c r="M23" s="22" t="n">
        <v>381532.5888</v>
      </c>
      <c r="N23" s="22" t="n">
        <v>418159.4067</v>
      </c>
      <c r="O23" s="22" t="n">
        <v>457766.9584</v>
      </c>
      <c r="P23" s="22" t="n">
        <v>500563.8955</v>
      </c>
    </row>
    <row r="24">
      <c r="A24" s="6" t="inlineStr">
        <is>
          <t>Customer advances</t>
        </is>
      </c>
      <c r="B24" s="21" t="n">
        <v>68864.84329999999</v>
      </c>
      <c r="C24" s="21" t="n">
        <v>69066.1287</v>
      </c>
      <c r="D24" s="21" t="n">
        <v>69999.79429999999</v>
      </c>
      <c r="E24" s="21" t="n">
        <v>71712.87</v>
      </c>
      <c r="F24" s="21" t="n">
        <v>74264.7645</v>
      </c>
      <c r="G24" s="21" t="n">
        <v>77721.1425</v>
      </c>
      <c r="H24" s="21" t="n">
        <v>82130.6088</v>
      </c>
      <c r="I24" s="21" t="n">
        <v>87519.25719999999</v>
      </c>
      <c r="J24" s="21" t="n">
        <v>93885.6701</v>
      </c>
      <c r="K24" s="21" t="n">
        <v>101196.8537</v>
      </c>
      <c r="L24" s="21" t="n">
        <v>109385.5886</v>
      </c>
      <c r="M24" s="21" t="n">
        <v>118349.6229</v>
      </c>
      <c r="N24" s="21" t="n">
        <v>128143.2277</v>
      </c>
      <c r="O24" s="21" t="n">
        <v>138824.4729</v>
      </c>
      <c r="P24" s="21" t="n">
        <v>150455.4934</v>
      </c>
    </row>
    <row r="25">
      <c r="A25" s="6" t="inlineStr">
        <is>
          <t>Suppliers</t>
        </is>
      </c>
      <c r="B25" s="21" t="n">
        <v>3780.1436</v>
      </c>
      <c r="C25" s="21" t="n">
        <v>3791.1926</v>
      </c>
      <c r="D25" s="21" t="n">
        <v>3842.4436</v>
      </c>
      <c r="E25" s="21" t="n">
        <v>3936.4781</v>
      </c>
      <c r="F25" s="21" t="n">
        <v>4076.5572</v>
      </c>
      <c r="G25" s="21" t="n">
        <v>4266.2855</v>
      </c>
      <c r="H25" s="21" t="n">
        <v>4508.3308</v>
      </c>
      <c r="I25" s="21" t="n">
        <v>4804.1257</v>
      </c>
      <c r="J25" s="21" t="n">
        <v>5153.5922</v>
      </c>
      <c r="K25" s="21" t="n">
        <v>5554.9192</v>
      </c>
      <c r="L25" s="21" t="n">
        <v>6004.417</v>
      </c>
      <c r="M25" s="21" t="n">
        <v>6496.4727</v>
      </c>
      <c r="N25" s="21" t="n">
        <v>7034.0653</v>
      </c>
      <c r="O25" s="21" t="n">
        <v>7620.3825</v>
      </c>
      <c r="P25" s="21" t="n">
        <v>8258.8349</v>
      </c>
    </row>
    <row r="26">
      <c r="A26" s="6" t="inlineStr">
        <is>
          <t>Other creditors</t>
        </is>
      </c>
      <c r="B26" s="21" t="n">
        <v>5085.5691</v>
      </c>
      <c r="C26" s="21" t="n">
        <v>5100.4337</v>
      </c>
      <c r="D26" s="21" t="n">
        <v>5169.3836</v>
      </c>
      <c r="E26" s="21" t="n">
        <v>5295.8918</v>
      </c>
      <c r="F26" s="21" t="n">
        <v>5484.3455</v>
      </c>
      <c r="G26" s="21" t="n">
        <v>5739.594</v>
      </c>
      <c r="H26" s="21" t="n">
        <v>6065.2267</v>
      </c>
      <c r="I26" s="21" t="n">
        <v>6463.1706</v>
      </c>
      <c r="J26" s="21" t="n">
        <v>6933.321</v>
      </c>
      <c r="K26" s="21" t="n">
        <v>7473.2413</v>
      </c>
      <c r="L26" s="21" t="n">
        <v>8077.9675</v>
      </c>
      <c r="M26" s="21" t="n">
        <v>8739.9485</v>
      </c>
      <c r="N26" s="21" t="n">
        <v>9463.1921</v>
      </c>
      <c r="O26" s="21" t="n">
        <v>10251.9866</v>
      </c>
      <c r="P26" s="21" t="n">
        <v>11110.9206</v>
      </c>
    </row>
    <row r="27">
      <c r="A27" s="6" t="inlineStr">
        <is>
          <t>Cheques under collection</t>
        </is>
      </c>
      <c r="B27" s="21" t="n">
        <v>2436.3904</v>
      </c>
      <c r="C27" s="21" t="n">
        <v>2443.5118</v>
      </c>
      <c r="D27" s="21" t="n">
        <v>2476.5442</v>
      </c>
      <c r="E27" s="21" t="n">
        <v>2537.1516</v>
      </c>
      <c r="F27" s="21" t="n">
        <v>2627.4359</v>
      </c>
      <c r="G27" s="21" t="n">
        <v>2749.7202</v>
      </c>
      <c r="H27" s="21" t="n">
        <v>2905.724</v>
      </c>
      <c r="I27" s="21" t="n">
        <v>3096.3707</v>
      </c>
      <c r="J27" s="21" t="n">
        <v>3321.61</v>
      </c>
      <c r="K27" s="21" t="n">
        <v>3580.2746</v>
      </c>
      <c r="L27" s="21" t="n">
        <v>3869.9863</v>
      </c>
      <c r="M27" s="21" t="n">
        <v>4187.1277</v>
      </c>
      <c r="N27" s="21" t="n">
        <v>4533.6186</v>
      </c>
      <c r="O27" s="21" t="n">
        <v>4911.5137</v>
      </c>
      <c r="P27" s="21" t="n">
        <v>5323.0111</v>
      </c>
    </row>
    <row r="28">
      <c r="A28" s="6" t="inlineStr">
        <is>
          <t>Borrowings</t>
        </is>
      </c>
      <c r="B28" s="21" t="n">
        <v>33552.7</v>
      </c>
      <c r="C28" s="21" t="n">
        <v>33552.7</v>
      </c>
      <c r="D28" s="21" t="n">
        <v>33552.7</v>
      </c>
      <c r="E28" s="21" t="n">
        <v>33552.7</v>
      </c>
      <c r="F28" s="21" t="n">
        <v>33552.7</v>
      </c>
      <c r="G28" s="21" t="n">
        <v>33552.7</v>
      </c>
      <c r="H28" s="21" t="n">
        <v>33552.7</v>
      </c>
      <c r="I28" s="21" t="n">
        <v>33552.7</v>
      </c>
      <c r="J28" s="21" t="n">
        <v>33552.7</v>
      </c>
      <c r="K28" s="21" t="n">
        <v>33552.7</v>
      </c>
      <c r="L28" s="21" t="n">
        <v>33552.7</v>
      </c>
      <c r="M28" s="21" t="n">
        <v>33552.7</v>
      </c>
      <c r="N28" s="21" t="n">
        <v>33552.7</v>
      </c>
      <c r="O28" s="21" t="n">
        <v>33552.7</v>
      </c>
      <c r="P28" s="21" t="n">
        <v>33552.7</v>
      </c>
    </row>
    <row r="29">
      <c r="A29" s="6" t="inlineStr">
        <is>
          <t>Other liabilities, held at the 2025 level</t>
        </is>
      </c>
      <c r="B29" s="21" t="n">
        <v>39074.8</v>
      </c>
      <c r="C29" s="21" t="n">
        <v>39074.8</v>
      </c>
      <c r="D29" s="21" t="n">
        <v>39074.8</v>
      </c>
      <c r="E29" s="21" t="n">
        <v>39074.8</v>
      </c>
      <c r="F29" s="21" t="n">
        <v>39074.8</v>
      </c>
      <c r="G29" s="21" t="n">
        <v>39074.8</v>
      </c>
      <c r="H29" s="21" t="n">
        <v>39074.8</v>
      </c>
      <c r="I29" s="21" t="n">
        <v>39074.8</v>
      </c>
      <c r="J29" s="21" t="n">
        <v>39074.8</v>
      </c>
      <c r="K29" s="21" t="n">
        <v>39074.8</v>
      </c>
      <c r="L29" s="21" t="n">
        <v>39074.8</v>
      </c>
      <c r="M29" s="21" t="n">
        <v>39074.8</v>
      </c>
      <c r="N29" s="21" t="n">
        <v>39074.8</v>
      </c>
      <c r="O29" s="21" t="n">
        <v>39074.8</v>
      </c>
      <c r="P29" s="21" t="n">
        <v>39074.8</v>
      </c>
    </row>
    <row r="30">
      <c r="A30" s="4" t="inlineStr">
        <is>
          <t>TOTAL LIABILITIES</t>
        </is>
      </c>
      <c r="B30" s="22" t="n">
        <v>152794.4465</v>
      </c>
      <c r="C30" s="22" t="n">
        <v>153028.7668</v>
      </c>
      <c r="D30" s="22" t="n">
        <v>154115.6657</v>
      </c>
      <c r="E30" s="22" t="n">
        <v>156109.8915</v>
      </c>
      <c r="F30" s="22" t="n">
        <v>159080.6031</v>
      </c>
      <c r="G30" s="22" t="n">
        <v>163104.2421</v>
      </c>
      <c r="H30" s="22" t="n">
        <v>168237.3904</v>
      </c>
      <c r="I30" s="22" t="n">
        <v>174510.4241</v>
      </c>
      <c r="J30" s="22" t="n">
        <v>181921.6932</v>
      </c>
      <c r="K30" s="22" t="n">
        <v>190432.7888</v>
      </c>
      <c r="L30" s="22" t="n">
        <v>199965.4594</v>
      </c>
      <c r="M30" s="22" t="n">
        <v>210400.6718</v>
      </c>
      <c r="N30" s="22" t="n">
        <v>221801.6037</v>
      </c>
      <c r="O30" s="22" t="n">
        <v>234235.8557</v>
      </c>
      <c r="P30" s="22" t="n">
        <v>247775.76</v>
      </c>
    </row>
    <row r="31">
      <c r="A31" s="6" t="inlineStr">
        <is>
          <t>Shareholders' funds</t>
        </is>
      </c>
      <c r="B31" s="21" t="n">
        <v>21431.8885</v>
      </c>
      <c r="C31" s="21" t="n">
        <v>25612.9725</v>
      </c>
      <c r="D31" s="21" t="n">
        <v>31400.8418</v>
      </c>
      <c r="E31" s="21" t="n">
        <v>38898.6761</v>
      </c>
      <c r="F31" s="21" t="n">
        <v>48236.8134</v>
      </c>
      <c r="G31" s="21" t="n">
        <v>59559.3171</v>
      </c>
      <c r="H31" s="21" t="n">
        <v>72972.82249999999</v>
      </c>
      <c r="I31" s="21" t="n">
        <v>88534.577</v>
      </c>
      <c r="J31" s="21" t="n">
        <v>106241.4709</v>
      </c>
      <c r="K31" s="21" t="n">
        <v>126021.1179</v>
      </c>
      <c r="L31" s="21" t="n">
        <v>147726.0441</v>
      </c>
      <c r="M31" s="21" t="n">
        <v>171131.9171</v>
      </c>
      <c r="N31" s="21" t="n">
        <v>196357.803</v>
      </c>
      <c r="O31" s="21" t="n">
        <v>223531.1028</v>
      </c>
      <c r="P31" s="21" t="n">
        <v>252788.1354</v>
      </c>
    </row>
    <row r="32">
      <c r="A32" s="4" t="inlineStr">
        <is>
          <t>TOTAL LIABILITIES AND EQUITY</t>
        </is>
      </c>
      <c r="B32" s="22" t="n">
        <v>174226.335</v>
      </c>
      <c r="C32" s="22" t="n">
        <v>178641.7393</v>
      </c>
      <c r="D32" s="22" t="n">
        <v>185516.5074</v>
      </c>
      <c r="E32" s="22" t="n">
        <v>195008.5676</v>
      </c>
      <c r="F32" s="22" t="n">
        <v>207317.4165</v>
      </c>
      <c r="G32" s="22" t="n">
        <v>222663.5593</v>
      </c>
      <c r="H32" s="22" t="n">
        <v>241210.2129</v>
      </c>
      <c r="I32" s="22" t="n">
        <v>263045.0012</v>
      </c>
      <c r="J32" s="22" t="n">
        <v>288163.1641</v>
      </c>
      <c r="K32" s="22" t="n">
        <v>316453.9067</v>
      </c>
      <c r="L32" s="22" t="n">
        <v>347691.5035</v>
      </c>
      <c r="M32" s="22" t="n">
        <v>381532.5888</v>
      </c>
      <c r="N32" s="22" t="n">
        <v>418159.4067</v>
      </c>
      <c r="O32" s="22" t="n">
        <v>457766.9584</v>
      </c>
      <c r="P32" s="22" t="n">
        <v>500563.8955</v>
      </c>
    </row>
    <row r="33">
      <c r="A33" s="4" t="inlineStr">
        <is>
          <t>Check: assets less liabilities and equity</t>
        </is>
      </c>
      <c r="B33" s="27" t="n">
        <v>-0</v>
      </c>
      <c r="C33" s="27" t="n">
        <v>-0</v>
      </c>
      <c r="D33" s="27" t="n">
        <v>-0</v>
      </c>
      <c r="E33" s="27" t="n">
        <v>0</v>
      </c>
      <c r="F33" s="27" t="n">
        <v>-0</v>
      </c>
      <c r="G33" s="27" t="n">
        <v>-0</v>
      </c>
      <c r="H33" s="27" t="n">
        <v>0</v>
      </c>
      <c r="I33" s="27" t="n">
        <v>0</v>
      </c>
      <c r="J33" s="27" t="n">
        <v>-0</v>
      </c>
      <c r="K33" s="27" t="n">
        <v>0</v>
      </c>
      <c r="L33" s="27" t="n">
        <v>0</v>
      </c>
      <c r="M33" s="27" t="n">
        <v>0</v>
      </c>
      <c r="N33" s="27" t="n">
        <v>-0</v>
      </c>
      <c r="O33" s="27" t="n">
        <v>-0</v>
      </c>
      <c r="P33" s="27" t="n">
        <v>-0</v>
      </c>
    </row>
    <row r="34">
      <c r="A34" s="6" t="inlineStr">
        <is>
          <t>Collection period, days</t>
        </is>
      </c>
      <c r="B34" s="21" t="n">
        <v>934.4182</v>
      </c>
      <c r="C34" s="21" t="n">
        <v>727.6005</v>
      </c>
      <c r="D34" s="21" t="n">
        <v>596.0769</v>
      </c>
      <c r="E34" s="21" t="n">
        <v>507.1964</v>
      </c>
      <c r="F34" s="21" t="n">
        <v>444.2381</v>
      </c>
      <c r="G34" s="21" t="n">
        <v>398.6225</v>
      </c>
      <c r="H34" s="21" t="n">
        <v>366.2145</v>
      </c>
      <c r="I34" s="21" t="n">
        <v>344.0681</v>
      </c>
      <c r="J34" s="21" t="n">
        <v>330.0958</v>
      </c>
      <c r="K34" s="21" t="n">
        <v>322.8396</v>
      </c>
      <c r="L34" s="21" t="n">
        <v>321.3143</v>
      </c>
      <c r="M34" s="21" t="n">
        <v>324.9025</v>
      </c>
      <c r="N34" s="21" t="n">
        <v>328.7744</v>
      </c>
      <c r="O34" s="21" t="n">
        <v>332.8776</v>
      </c>
      <c r="P34" s="21" t="n">
        <v>337.1653</v>
      </c>
    </row>
    <row r="35">
      <c r="A35" s="6" t="inlineStr">
        <is>
          <t>Work in progress, days of cost</t>
        </is>
      </c>
      <c r="B35" s="21" t="n">
        <v>245.8561</v>
      </c>
      <c r="C35" s="21" t="n">
        <v>191.44</v>
      </c>
      <c r="D35" s="21" t="n">
        <v>156.8346</v>
      </c>
      <c r="E35" s="21" t="n">
        <v>133.4491</v>
      </c>
      <c r="F35" s="21" t="n">
        <v>116.8841</v>
      </c>
      <c r="G35" s="21" t="n">
        <v>104.8821</v>
      </c>
      <c r="H35" s="21" t="n">
        <v>96.3552</v>
      </c>
      <c r="I35" s="21" t="n">
        <v>90.5282</v>
      </c>
      <c r="J35" s="21" t="n">
        <v>86.852</v>
      </c>
      <c r="K35" s="21" t="n">
        <v>84.94280000000001</v>
      </c>
      <c r="L35" s="21" t="n">
        <v>84.5414</v>
      </c>
      <c r="M35" s="21" t="n">
        <v>85.4855</v>
      </c>
      <c r="N35" s="21" t="n">
        <v>86.5043</v>
      </c>
      <c r="O35" s="21" t="n">
        <v>87.5839</v>
      </c>
      <c r="P35" s="21" t="n">
        <v>88.712</v>
      </c>
    </row>
    <row r="36">
      <c r="A36" s="6" t="inlineStr">
        <is>
          <t>Suppliers, days of cost</t>
        </is>
      </c>
      <c r="B36" s="21" t="n">
        <v>53.2684</v>
      </c>
      <c r="C36" s="21" t="n">
        <v>41.4783</v>
      </c>
      <c r="D36" s="21" t="n">
        <v>33.9806</v>
      </c>
      <c r="E36" s="21" t="n">
        <v>28.9138</v>
      </c>
      <c r="F36" s="21" t="n">
        <v>25.3247</v>
      </c>
      <c r="G36" s="21" t="n">
        <v>22.7243</v>
      </c>
      <c r="H36" s="21" t="n">
        <v>20.8768</v>
      </c>
      <c r="I36" s="21" t="n">
        <v>19.6143</v>
      </c>
      <c r="J36" s="21" t="n">
        <v>18.8178</v>
      </c>
      <c r="K36" s="21" t="n">
        <v>18.4041</v>
      </c>
      <c r="L36" s="21" t="n">
        <v>18.3172</v>
      </c>
      <c r="M36" s="21" t="n">
        <v>18.5217</v>
      </c>
      <c r="N36" s="21" t="n">
        <v>18.7425</v>
      </c>
      <c r="O36" s="21" t="n">
        <v>18.9764</v>
      </c>
      <c r="P36" s="21" t="n">
        <v>19.2208</v>
      </c>
    </row>
    <row r="37">
      <c r="A37" s="6" t="inlineStr">
        <is>
          <t>Customer advances, share of the order book</t>
        </is>
      </c>
      <c r="B37" s="17" t="n">
        <v>0.1953</v>
      </c>
      <c r="C37" s="17" t="n">
        <v>0.1548</v>
      </c>
      <c r="D37" s="17" t="n">
        <v>0.1295</v>
      </c>
      <c r="E37" s="17" t="n">
        <v>0.1132</v>
      </c>
      <c r="F37" s="17" t="n">
        <v>0.1025</v>
      </c>
      <c r="G37" s="17" t="n">
        <v>0.0955</v>
      </c>
      <c r="H37" s="17" t="n">
        <v>0.09130000000000001</v>
      </c>
      <c r="I37" s="17" t="n">
        <v>0.08890000000000001</v>
      </c>
      <c r="J37" s="17" t="n">
        <v>0.08790000000000001</v>
      </c>
      <c r="K37" s="17" t="n">
        <v>0.0878</v>
      </c>
      <c r="L37" s="17" t="n">
        <v>0.0882</v>
      </c>
      <c r="M37" s="17" t="n">
        <v>0.0887</v>
      </c>
      <c r="N37" s="17" t="n">
        <v>0.0893</v>
      </c>
      <c r="O37" s="17" t="n">
        <v>0.09</v>
      </c>
      <c r="P37" s="17" t="n">
        <v>0.0907</v>
      </c>
    </row>
    <row r="38">
      <c r="A38" s="6" t="inlineStr">
        <is>
          <t>Net working capital</t>
        </is>
      </c>
      <c r="B38" s="21" t="n">
        <v>61883.8405</v>
      </c>
      <c r="C38" s="21" t="n">
        <v>62064.721</v>
      </c>
      <c r="D38" s="21" t="n">
        <v>62903.7386</v>
      </c>
      <c r="E38" s="21" t="n">
        <v>64443.1556</v>
      </c>
      <c r="F38" s="21" t="n">
        <v>66736.3581</v>
      </c>
      <c r="G38" s="21" t="n">
        <v>69842.35430000001</v>
      </c>
      <c r="H38" s="21" t="n">
        <v>73804.8219</v>
      </c>
      <c r="I38" s="21" t="n">
        <v>78647.20940000001</v>
      </c>
      <c r="J38" s="21" t="n">
        <v>84368.243</v>
      </c>
      <c r="K38" s="21" t="n">
        <v>90938.2735</v>
      </c>
      <c r="L38" s="21" t="n">
        <v>98296.8956</v>
      </c>
      <c r="M38" s="21" t="n">
        <v>106352.2232</v>
      </c>
      <c r="N38" s="21" t="n">
        <v>115153.0256</v>
      </c>
      <c r="O38" s="21" t="n">
        <v>124751.4861</v>
      </c>
      <c r="P38" s="21" t="n">
        <v>135203.4406</v>
      </c>
    </row>
    <row r="39">
      <c r="A39" s="6" t="inlineStr">
        <is>
          <t xml:space="preserve">  as a multiple of revenue</t>
        </is>
      </c>
      <c r="B39" s="7" t="n">
        <v>1.5414</v>
      </c>
      <c r="C39" s="7" t="n">
        <v>1.2002</v>
      </c>
      <c r="D39" s="7" t="n">
        <v>0.9833</v>
      </c>
      <c r="E39" s="7" t="n">
        <v>0.8367</v>
      </c>
      <c r="F39" s="7" t="n">
        <v>0.7328</v>
      </c>
      <c r="G39" s="7" t="n">
        <v>0.6576</v>
      </c>
      <c r="H39" s="7" t="n">
        <v>0.6041</v>
      </c>
      <c r="I39" s="7" t="n">
        <v>0.5676</v>
      </c>
      <c r="J39" s="7" t="n">
        <v>0.5445</v>
      </c>
      <c r="K39" s="7" t="n">
        <v>0.5325</v>
      </c>
      <c r="L39" s="7" t="n">
        <v>0.53</v>
      </c>
      <c r="M39" s="7" t="n">
        <v>0.536</v>
      </c>
      <c r="N39" s="7" t="n">
        <v>0.5423</v>
      </c>
      <c r="O39" s="7" t="n">
        <v>0.5491</v>
      </c>
      <c r="P39" s="7" t="n">
        <v>0.5562</v>
      </c>
    </row>
    <row r="41">
      <c r="A41" s="4" t="inlineStr">
        <is>
          <t>FORECAST — IF THE COLLECTION CYCLE HOLDS</t>
        </is>
      </c>
    </row>
    <row r="42">
      <c r="A42" s="5" t="inlineStr">
        <is>
          <t>EGP mn unless stated</t>
        </is>
      </c>
      <c r="B42" s="19" t="n">
        <v>2026</v>
      </c>
      <c r="C42" s="19" t="n">
        <v>2027</v>
      </c>
      <c r="D42" s="19" t="n">
        <v>2028</v>
      </c>
      <c r="E42" s="19" t="n">
        <v>2029</v>
      </c>
      <c r="F42" s="19" t="n">
        <v>2030</v>
      </c>
      <c r="G42" s="19" t="n">
        <v>2031</v>
      </c>
      <c r="H42" s="19" t="n">
        <v>2032</v>
      </c>
      <c r="I42" s="19" t="n">
        <v>2033</v>
      </c>
      <c r="J42" s="19" t="n">
        <v>2034</v>
      </c>
      <c r="K42" s="19" t="n">
        <v>2035</v>
      </c>
      <c r="L42" s="19" t="n">
        <v>2036</v>
      </c>
      <c r="M42" s="19" t="n">
        <v>2037</v>
      </c>
      <c r="N42" s="19" t="n">
        <v>2038</v>
      </c>
      <c r="O42" s="19" t="n">
        <v>2039</v>
      </c>
      <c r="P42" s="19" t="n">
        <v>2040</v>
      </c>
    </row>
    <row r="43">
      <c r="A43" s="6" t="inlineStr">
        <is>
          <t>Trade and notes receivable</t>
        </is>
      </c>
      <c r="B43" s="21" t="n">
        <v>114897.099</v>
      </c>
      <c r="C43" s="21" t="n">
        <v>147987.4635</v>
      </c>
      <c r="D43" s="21" t="n">
        <v>183082.6905</v>
      </c>
      <c r="E43" s="21" t="n">
        <v>220431.5593</v>
      </c>
      <c r="F43" s="21" t="n">
        <v>260627.2542</v>
      </c>
      <c r="G43" s="21" t="n">
        <v>303969.5666</v>
      </c>
      <c r="H43" s="21" t="n">
        <v>349640.9939</v>
      </c>
      <c r="I43" s="21" t="n">
        <v>396562.8153</v>
      </c>
      <c r="J43" s="21" t="n">
        <v>443416.712</v>
      </c>
      <c r="K43" s="21" t="n">
        <v>488689.5582</v>
      </c>
      <c r="L43" s="21" t="n">
        <v>530741.2947</v>
      </c>
      <c r="M43" s="21" t="n">
        <v>567893.1854</v>
      </c>
      <c r="N43" s="21" t="n">
        <v>607645.7083000001</v>
      </c>
      <c r="O43" s="21" t="n">
        <v>650180.9079</v>
      </c>
      <c r="P43" s="21" t="n">
        <v>695693.5715</v>
      </c>
    </row>
    <row r="44">
      <c r="A44" s="6" t="inlineStr">
        <is>
          <t>Work in progress</t>
        </is>
      </c>
      <c r="B44" s="21" t="n">
        <v>19503.699</v>
      </c>
      <c r="C44" s="21" t="n">
        <v>25120.7643</v>
      </c>
      <c r="D44" s="21" t="n">
        <v>31078.1536</v>
      </c>
      <c r="E44" s="21" t="n">
        <v>37418.0969</v>
      </c>
      <c r="F44" s="21" t="n">
        <v>44241.2869</v>
      </c>
      <c r="G44" s="21" t="n">
        <v>51598.6129</v>
      </c>
      <c r="H44" s="21" t="n">
        <v>59351.3045</v>
      </c>
      <c r="I44" s="21" t="n">
        <v>67316.24950000001</v>
      </c>
      <c r="J44" s="21" t="n">
        <v>75269.66439999999</v>
      </c>
      <c r="K44" s="21" t="n">
        <v>82954.6971</v>
      </c>
      <c r="L44" s="21" t="n">
        <v>90092.9488</v>
      </c>
      <c r="M44" s="21" t="n">
        <v>96399.4552</v>
      </c>
      <c r="N44" s="21" t="n">
        <v>103147.4171</v>
      </c>
      <c r="O44" s="21" t="n">
        <v>110367.7363</v>
      </c>
      <c r="P44" s="21" t="n">
        <v>118093.4778</v>
      </c>
    </row>
    <row r="45">
      <c r="A45" s="6" t="inlineStr">
        <is>
          <t>Other receivables and prepayments</t>
        </is>
      </c>
      <c r="B45" s="21" t="n">
        <v>14343.42</v>
      </c>
      <c r="C45" s="21" t="n">
        <v>18474.325</v>
      </c>
      <c r="D45" s="21" t="n">
        <v>22855.5111</v>
      </c>
      <c r="E45" s="21" t="n">
        <v>27518.0354</v>
      </c>
      <c r="F45" s="21" t="n">
        <v>32535.9491</v>
      </c>
      <c r="G45" s="21" t="n">
        <v>37946.6775</v>
      </c>
      <c r="H45" s="21" t="n">
        <v>43648.1658</v>
      </c>
      <c r="I45" s="21" t="n">
        <v>49505.7496</v>
      </c>
      <c r="J45" s="21" t="n">
        <v>55354.854</v>
      </c>
      <c r="K45" s="21" t="n">
        <v>61006.5845</v>
      </c>
      <c r="L45" s="21" t="n">
        <v>66256.20110000001</v>
      </c>
      <c r="M45" s="21" t="n">
        <v>70894.1352</v>
      </c>
      <c r="N45" s="21" t="n">
        <v>75856.72470000001</v>
      </c>
      <c r="O45" s="21" t="n">
        <v>81166.6954</v>
      </c>
      <c r="P45" s="21" t="n">
        <v>86848.36410000001</v>
      </c>
    </row>
    <row r="46">
      <c r="A46" s="6" t="inlineStr">
        <is>
          <t>Advances to suppliers</t>
        </is>
      </c>
      <c r="B46" s="21" t="n">
        <v>10052.382</v>
      </c>
      <c r="C46" s="21" t="n">
        <v>12947.468</v>
      </c>
      <c r="D46" s="21" t="n">
        <v>16017.9601</v>
      </c>
      <c r="E46" s="21" t="n">
        <v>19285.6239</v>
      </c>
      <c r="F46" s="21" t="n">
        <v>22802.3574</v>
      </c>
      <c r="G46" s="21" t="n">
        <v>26594.3895</v>
      </c>
      <c r="H46" s="21" t="n">
        <v>30590.1965</v>
      </c>
      <c r="I46" s="21" t="n">
        <v>34695.4009</v>
      </c>
      <c r="J46" s="21" t="n">
        <v>38794.6625</v>
      </c>
      <c r="K46" s="21" t="n">
        <v>42755.5975</v>
      </c>
      <c r="L46" s="21" t="n">
        <v>46434.7167</v>
      </c>
      <c r="M46" s="21" t="n">
        <v>49685.1468</v>
      </c>
      <c r="N46" s="21" t="n">
        <v>53163.1071</v>
      </c>
      <c r="O46" s="21" t="n">
        <v>56884.5246</v>
      </c>
      <c r="P46" s="21" t="n">
        <v>60866.4413</v>
      </c>
    </row>
    <row r="47">
      <c r="A47" s="6" t="inlineStr">
        <is>
          <t>Cash and equivalents</t>
        </is>
      </c>
      <c r="B47" s="21" t="n">
        <v>5221.1313</v>
      </c>
      <c r="C47" s="21" t="n">
        <v>2354.875</v>
      </c>
      <c r="D47" s="21" t="n">
        <v>2354.875</v>
      </c>
      <c r="E47" s="21" t="n">
        <v>2354.875</v>
      </c>
      <c r="F47" s="21" t="n">
        <v>2354.875</v>
      </c>
      <c r="G47" s="21" t="n">
        <v>2354.875</v>
      </c>
      <c r="H47" s="21" t="n">
        <v>2354.875</v>
      </c>
      <c r="I47" s="21" t="n">
        <v>2354.875</v>
      </c>
      <c r="J47" s="21" t="n">
        <v>2354.875</v>
      </c>
      <c r="K47" s="21" t="n">
        <v>2354.875</v>
      </c>
      <c r="L47" s="21" t="n">
        <v>2354.875</v>
      </c>
      <c r="M47" s="21" t="n">
        <v>3347.8907</v>
      </c>
      <c r="N47" s="21" t="n">
        <v>4592.0193</v>
      </c>
      <c r="O47" s="21" t="n">
        <v>6104.8389</v>
      </c>
      <c r="P47" s="21" t="n">
        <v>7905.1577</v>
      </c>
    </row>
    <row r="48">
      <c r="A48" s="6" t="inlineStr">
        <is>
          <t>Property and equipment</t>
        </is>
      </c>
      <c r="B48" s="21" t="n">
        <v>4530.8722</v>
      </c>
      <c r="C48" s="21" t="n">
        <v>4542.2997</v>
      </c>
      <c r="D48" s="21" t="n">
        <v>4556.4371</v>
      </c>
      <c r="E48" s="21" t="n">
        <v>4573.4586</v>
      </c>
      <c r="F48" s="21" t="n">
        <v>4593.584</v>
      </c>
      <c r="G48" s="21" t="n">
        <v>4617.0562</v>
      </c>
      <c r="H48" s="21" t="n">
        <v>4644.0551</v>
      </c>
      <c r="I48" s="21" t="n">
        <v>4674.6772</v>
      </c>
      <c r="J48" s="21" t="n">
        <v>4708.9174</v>
      </c>
      <c r="K48" s="21" t="n">
        <v>4746.6534</v>
      </c>
      <c r="L48" s="21" t="n">
        <v>4787.6367</v>
      </c>
      <c r="M48" s="21" t="n">
        <v>4831.4888</v>
      </c>
      <c r="N48" s="21" t="n">
        <v>4878.4106</v>
      </c>
      <c r="O48" s="21" t="n">
        <v>4928.6168</v>
      </c>
      <c r="P48" s="21" t="n">
        <v>4982.3375</v>
      </c>
    </row>
    <row r="49">
      <c r="A49" s="6" t="inlineStr">
        <is>
          <t>Other assets, held at the 2025 level</t>
        </is>
      </c>
      <c r="B49" s="21" t="n">
        <v>15128.3</v>
      </c>
      <c r="C49" s="21" t="n">
        <v>15128.3</v>
      </c>
      <c r="D49" s="21" t="n">
        <v>15128.3</v>
      </c>
      <c r="E49" s="21" t="n">
        <v>15128.3</v>
      </c>
      <c r="F49" s="21" t="n">
        <v>15128.3</v>
      </c>
      <c r="G49" s="21" t="n">
        <v>15128.3</v>
      </c>
      <c r="H49" s="21" t="n">
        <v>15128.3</v>
      </c>
      <c r="I49" s="21" t="n">
        <v>15128.3</v>
      </c>
      <c r="J49" s="21" t="n">
        <v>15128.3</v>
      </c>
      <c r="K49" s="21" t="n">
        <v>15128.3</v>
      </c>
      <c r="L49" s="21" t="n">
        <v>15128.3</v>
      </c>
      <c r="M49" s="21" t="n">
        <v>15128.3</v>
      </c>
      <c r="N49" s="21" t="n">
        <v>15128.3</v>
      </c>
      <c r="O49" s="21" t="n">
        <v>15128.3</v>
      </c>
      <c r="P49" s="21" t="n">
        <v>15128.3</v>
      </c>
    </row>
    <row r="50">
      <c r="A50" s="4" t="inlineStr">
        <is>
          <t>TOTAL ASSETS</t>
        </is>
      </c>
      <c r="B50" s="22" t="n">
        <v>183676.9035</v>
      </c>
      <c r="C50" s="22" t="n">
        <v>226555.4955</v>
      </c>
      <c r="D50" s="22" t="n">
        <v>275073.9273</v>
      </c>
      <c r="E50" s="22" t="n">
        <v>326709.9491</v>
      </c>
      <c r="F50" s="22" t="n">
        <v>382283.6066</v>
      </c>
      <c r="G50" s="22" t="n">
        <v>442209.4775</v>
      </c>
      <c r="H50" s="22" t="n">
        <v>505357.8907</v>
      </c>
      <c r="I50" s="22" t="n">
        <v>570238.0675</v>
      </c>
      <c r="J50" s="22" t="n">
        <v>635027.9851</v>
      </c>
      <c r="K50" s="22" t="n">
        <v>697636.2659</v>
      </c>
      <c r="L50" s="22" t="n">
        <v>755795.9730999999</v>
      </c>
      <c r="M50" s="22" t="n">
        <v>808179.6021</v>
      </c>
      <c r="N50" s="22" t="n">
        <v>864411.6871</v>
      </c>
      <c r="O50" s="22" t="n">
        <v>924761.6199</v>
      </c>
      <c r="P50" s="22" t="n">
        <v>989517.6499</v>
      </c>
    </row>
    <row r="51">
      <c r="A51" s="6" t="inlineStr">
        <is>
          <t>Customer advances</t>
        </is>
      </c>
      <c r="B51" s="21" t="n">
        <v>76983.05100000001</v>
      </c>
      <c r="C51" s="21" t="n">
        <v>99154.1697</v>
      </c>
      <c r="D51" s="21" t="n">
        <v>122668.581</v>
      </c>
      <c r="E51" s="21" t="n">
        <v>147692.9716</v>
      </c>
      <c r="F51" s="21" t="n">
        <v>174624.7849</v>
      </c>
      <c r="G51" s="21" t="n">
        <v>203664.8867</v>
      </c>
      <c r="H51" s="21" t="n">
        <v>234265.5359</v>
      </c>
      <c r="I51" s="21" t="n">
        <v>265703.9708</v>
      </c>
      <c r="J51" s="21" t="n">
        <v>297096.8949</v>
      </c>
      <c r="K51" s="21" t="n">
        <v>327430.4879</v>
      </c>
      <c r="L51" s="21" t="n">
        <v>355605.8814</v>
      </c>
      <c r="M51" s="21" t="n">
        <v>380498.2931</v>
      </c>
      <c r="N51" s="21" t="n">
        <v>407133.1736</v>
      </c>
      <c r="O51" s="21" t="n">
        <v>435632.4958</v>
      </c>
      <c r="P51" s="21" t="n">
        <v>466126.7705</v>
      </c>
    </row>
    <row r="52">
      <c r="A52" s="6" t="inlineStr">
        <is>
          <t>Suppliers</t>
        </is>
      </c>
      <c r="B52" s="21" t="n">
        <v>4225.77</v>
      </c>
      <c r="C52" s="21" t="n">
        <v>5442.7918</v>
      </c>
      <c r="D52" s="21" t="n">
        <v>6733.5498</v>
      </c>
      <c r="E52" s="21" t="n">
        <v>8107.194</v>
      </c>
      <c r="F52" s="21" t="n">
        <v>9585.540800000001</v>
      </c>
      <c r="G52" s="21" t="n">
        <v>11179.6163</v>
      </c>
      <c r="H52" s="21" t="n">
        <v>12859.3536</v>
      </c>
      <c r="I52" s="21" t="n">
        <v>14585.0788</v>
      </c>
      <c r="J52" s="21" t="n">
        <v>16308.3059</v>
      </c>
      <c r="K52" s="21" t="n">
        <v>17973.3839</v>
      </c>
      <c r="L52" s="21" t="n">
        <v>19519.9936</v>
      </c>
      <c r="M52" s="21" t="n">
        <v>20886.3932</v>
      </c>
      <c r="N52" s="21" t="n">
        <v>22348.4407</v>
      </c>
      <c r="O52" s="21" t="n">
        <v>23912.8316</v>
      </c>
      <c r="P52" s="21" t="n">
        <v>25586.7298</v>
      </c>
    </row>
    <row r="53">
      <c r="A53" s="6" t="inlineStr">
        <is>
          <t>Other creditors</t>
        </is>
      </c>
      <c r="B53" s="21" t="n">
        <v>5685.087</v>
      </c>
      <c r="C53" s="21" t="n">
        <v>7322.3921</v>
      </c>
      <c r="D53" s="21" t="n">
        <v>9058.897300000001</v>
      </c>
      <c r="E53" s="21" t="n">
        <v>10906.9124</v>
      </c>
      <c r="F53" s="21" t="n">
        <v>12895.7879</v>
      </c>
      <c r="G53" s="21" t="n">
        <v>15040.3574</v>
      </c>
      <c r="H53" s="21" t="n">
        <v>17300.1711</v>
      </c>
      <c r="I53" s="21" t="n">
        <v>19621.854</v>
      </c>
      <c r="J53" s="21" t="n">
        <v>21940.1761</v>
      </c>
      <c r="K53" s="21" t="n">
        <v>24180.2681</v>
      </c>
      <c r="L53" s="21" t="n">
        <v>26260.9801</v>
      </c>
      <c r="M53" s="21" t="n">
        <v>28099.2488</v>
      </c>
      <c r="N53" s="21" t="n">
        <v>30066.1962</v>
      </c>
      <c r="O53" s="21" t="n">
        <v>32170.8299</v>
      </c>
      <c r="P53" s="21" t="n">
        <v>34422.788</v>
      </c>
    </row>
    <row r="54">
      <c r="A54" s="6" t="inlineStr">
        <is>
          <t>Cheques under collection</t>
        </is>
      </c>
      <c r="B54" s="21" t="n">
        <v>2723.607</v>
      </c>
      <c r="C54" s="21" t="n">
        <v>3508.0058</v>
      </c>
      <c r="D54" s="21" t="n">
        <v>4339.9294</v>
      </c>
      <c r="E54" s="21" t="n">
        <v>5225.275</v>
      </c>
      <c r="F54" s="21" t="n">
        <v>6178.1039</v>
      </c>
      <c r="G54" s="21" t="n">
        <v>7205.5226</v>
      </c>
      <c r="H54" s="21" t="n">
        <v>8288.1523</v>
      </c>
      <c r="I54" s="21" t="n">
        <v>9400.422399999999</v>
      </c>
      <c r="J54" s="21" t="n">
        <v>10511.0823</v>
      </c>
      <c r="K54" s="21" t="n">
        <v>11584.2638</v>
      </c>
      <c r="L54" s="21" t="n">
        <v>12581.0897</v>
      </c>
      <c r="M54" s="21" t="n">
        <v>13461.7659</v>
      </c>
      <c r="N54" s="21" t="n">
        <v>14404.0896</v>
      </c>
      <c r="O54" s="21" t="n">
        <v>15412.3758</v>
      </c>
      <c r="P54" s="21" t="n">
        <v>16491.2421</v>
      </c>
    </row>
    <row r="55">
      <c r="A55" s="6" t="inlineStr">
        <is>
          <t>Borrowings</t>
        </is>
      </c>
      <c r="B55" s="21" t="n">
        <v>33552.7</v>
      </c>
      <c r="C55" s="21" t="n">
        <v>46440.3637</v>
      </c>
      <c r="D55" s="21" t="n">
        <v>61797.328</v>
      </c>
      <c r="E55" s="21" t="n">
        <v>76804.1201</v>
      </c>
      <c r="F55" s="21" t="n">
        <v>91687.7757</v>
      </c>
      <c r="G55" s="21" t="n">
        <v>106484.9775</v>
      </c>
      <c r="H55" s="21" t="n">
        <v>120597.0553</v>
      </c>
      <c r="I55" s="21" t="n">
        <v>133317.3644</v>
      </c>
      <c r="J55" s="21" t="n">
        <v>143855.255</v>
      </c>
      <c r="K55" s="21" t="n">
        <v>151371.9443</v>
      </c>
      <c r="L55" s="21" t="n">
        <v>155027.1841</v>
      </c>
      <c r="M55" s="21" t="n">
        <v>155027.1841</v>
      </c>
      <c r="N55" s="21" t="n">
        <v>155027.1841</v>
      </c>
      <c r="O55" s="21" t="n">
        <v>155027.1841</v>
      </c>
      <c r="P55" s="21" t="n">
        <v>155027.1841</v>
      </c>
    </row>
    <row r="56">
      <c r="A56" s="6" t="inlineStr">
        <is>
          <t>Other liabilities, held at the 2025 level</t>
        </is>
      </c>
      <c r="B56" s="21" t="n">
        <v>39074.8</v>
      </c>
      <c r="C56" s="21" t="n">
        <v>39074.8</v>
      </c>
      <c r="D56" s="21" t="n">
        <v>39074.8</v>
      </c>
      <c r="E56" s="21" t="n">
        <v>39074.8</v>
      </c>
      <c r="F56" s="21" t="n">
        <v>39074.8</v>
      </c>
      <c r="G56" s="21" t="n">
        <v>39074.8</v>
      </c>
      <c r="H56" s="21" t="n">
        <v>39074.8</v>
      </c>
      <c r="I56" s="21" t="n">
        <v>39074.8</v>
      </c>
      <c r="J56" s="21" t="n">
        <v>39074.8</v>
      </c>
      <c r="K56" s="21" t="n">
        <v>39074.8</v>
      </c>
      <c r="L56" s="21" t="n">
        <v>39074.8</v>
      </c>
      <c r="M56" s="21" t="n">
        <v>39074.8</v>
      </c>
      <c r="N56" s="21" t="n">
        <v>39074.8</v>
      </c>
      <c r="O56" s="21" t="n">
        <v>39074.8</v>
      </c>
      <c r="P56" s="21" t="n">
        <v>39074.8</v>
      </c>
    </row>
    <row r="57">
      <c r="A57" s="4" t="inlineStr">
        <is>
          <t>TOTAL LIABILITIES</t>
        </is>
      </c>
      <c r="B57" s="22" t="n">
        <v>162245.015</v>
      </c>
      <c r="C57" s="22" t="n">
        <v>200942.523</v>
      </c>
      <c r="D57" s="22" t="n">
        <v>243673.0856</v>
      </c>
      <c r="E57" s="22" t="n">
        <v>287811.273</v>
      </c>
      <c r="F57" s="22" t="n">
        <v>334046.7932</v>
      </c>
      <c r="G57" s="22" t="n">
        <v>382650.1604</v>
      </c>
      <c r="H57" s="22" t="n">
        <v>432385.0682</v>
      </c>
      <c r="I57" s="22" t="n">
        <v>481703.4905</v>
      </c>
      <c r="J57" s="22" t="n">
        <v>528786.5142</v>
      </c>
      <c r="K57" s="22" t="n">
        <v>571615.148</v>
      </c>
      <c r="L57" s="22" t="n">
        <v>608069.929</v>
      </c>
      <c r="M57" s="22" t="n">
        <v>637047.6851</v>
      </c>
      <c r="N57" s="22" t="n">
        <v>668053.8842</v>
      </c>
      <c r="O57" s="22" t="n">
        <v>701230.5172</v>
      </c>
      <c r="P57" s="22" t="n">
        <v>736729.5145</v>
      </c>
    </row>
    <row r="58">
      <c r="A58" s="6" t="inlineStr">
        <is>
          <t>Shareholders' funds</t>
        </is>
      </c>
      <c r="B58" s="21" t="n">
        <v>21431.8885</v>
      </c>
      <c r="C58" s="21" t="n">
        <v>25612.9725</v>
      </c>
      <c r="D58" s="21" t="n">
        <v>31400.8418</v>
      </c>
      <c r="E58" s="21" t="n">
        <v>38898.6761</v>
      </c>
      <c r="F58" s="21" t="n">
        <v>48236.8134</v>
      </c>
      <c r="G58" s="21" t="n">
        <v>59559.3171</v>
      </c>
      <c r="H58" s="21" t="n">
        <v>72972.82249999999</v>
      </c>
      <c r="I58" s="21" t="n">
        <v>88534.577</v>
      </c>
      <c r="J58" s="21" t="n">
        <v>106241.4709</v>
      </c>
      <c r="K58" s="21" t="n">
        <v>126021.1179</v>
      </c>
      <c r="L58" s="21" t="n">
        <v>147726.0441</v>
      </c>
      <c r="M58" s="21" t="n">
        <v>171131.9171</v>
      </c>
      <c r="N58" s="21" t="n">
        <v>196357.803</v>
      </c>
      <c r="O58" s="21" t="n">
        <v>223531.1028</v>
      </c>
      <c r="P58" s="21" t="n">
        <v>252788.1354</v>
      </c>
    </row>
    <row r="59">
      <c r="A59" s="4" t="inlineStr">
        <is>
          <t>TOTAL LIABILITIES AND EQUITY</t>
        </is>
      </c>
      <c r="B59" s="22" t="n">
        <v>183676.9035</v>
      </c>
      <c r="C59" s="22" t="n">
        <v>226555.4955</v>
      </c>
      <c r="D59" s="22" t="n">
        <v>275073.9273</v>
      </c>
      <c r="E59" s="22" t="n">
        <v>326709.9491</v>
      </c>
      <c r="F59" s="22" t="n">
        <v>382283.6066</v>
      </c>
      <c r="G59" s="22" t="n">
        <v>442209.4775</v>
      </c>
      <c r="H59" s="22" t="n">
        <v>505357.8907</v>
      </c>
      <c r="I59" s="22" t="n">
        <v>570238.0675</v>
      </c>
      <c r="J59" s="22" t="n">
        <v>635027.9851</v>
      </c>
      <c r="K59" s="22" t="n">
        <v>697636.2659</v>
      </c>
      <c r="L59" s="22" t="n">
        <v>755795.9730999999</v>
      </c>
      <c r="M59" s="22" t="n">
        <v>808179.6021</v>
      </c>
      <c r="N59" s="22" t="n">
        <v>864411.6871</v>
      </c>
      <c r="O59" s="22" t="n">
        <v>924761.6199</v>
      </c>
      <c r="P59" s="22" t="n">
        <v>989517.6499</v>
      </c>
    </row>
    <row r="60">
      <c r="A60" s="4" t="inlineStr">
        <is>
          <t>Check: assets less liabilities and equity</t>
        </is>
      </c>
      <c r="B60" s="27" t="n">
        <v>0</v>
      </c>
      <c r="C60" s="27" t="n">
        <v>0</v>
      </c>
      <c r="D60" s="27" t="n">
        <v>-0</v>
      </c>
      <c r="E60" s="27" t="n">
        <v>0</v>
      </c>
      <c r="F60" s="27" t="n">
        <v>-0</v>
      </c>
      <c r="G60" s="27" t="n">
        <v>-0</v>
      </c>
      <c r="H60" s="27" t="n">
        <v>0</v>
      </c>
      <c r="I60" s="27" t="n">
        <v>-0</v>
      </c>
      <c r="J60" s="27" t="n">
        <v>-0</v>
      </c>
      <c r="K60" s="27" t="n">
        <v>0</v>
      </c>
      <c r="L60" s="27" t="n">
        <v>-0</v>
      </c>
      <c r="M60" s="27" t="n">
        <v>-0</v>
      </c>
      <c r="N60" s="27" t="n">
        <v>-0</v>
      </c>
      <c r="O60" s="27" t="n">
        <v>-0</v>
      </c>
      <c r="P60" s="27" t="n">
        <v>-0</v>
      </c>
    </row>
    <row r="61">
      <c r="A61" s="6" t="inlineStr">
        <is>
          <t>Collection period, days</t>
        </is>
      </c>
      <c r="B61" s="21" t="n">
        <v>1044.5731</v>
      </c>
      <c r="C61" s="21" t="n">
        <v>1044.5731</v>
      </c>
      <c r="D61" s="21" t="n">
        <v>1044.5731</v>
      </c>
      <c r="E61" s="21" t="n">
        <v>1044.5731</v>
      </c>
      <c r="F61" s="21" t="n">
        <v>1044.5731</v>
      </c>
      <c r="G61" s="21" t="n">
        <v>1044.5731</v>
      </c>
      <c r="H61" s="21" t="n">
        <v>1044.5731</v>
      </c>
      <c r="I61" s="21" t="n">
        <v>1044.5731</v>
      </c>
      <c r="J61" s="21" t="n">
        <v>1044.5731</v>
      </c>
      <c r="K61" s="21" t="n">
        <v>1044.5731</v>
      </c>
      <c r="L61" s="21" t="n">
        <v>1044.5731</v>
      </c>
      <c r="M61" s="21" t="n">
        <v>1044.5731</v>
      </c>
      <c r="N61" s="21" t="n">
        <v>1044.5731</v>
      </c>
      <c r="O61" s="21" t="n">
        <v>1044.5731</v>
      </c>
      <c r="P61" s="21" t="n">
        <v>1044.5731</v>
      </c>
    </row>
    <row r="62">
      <c r="A62" s="6" t="inlineStr">
        <is>
          <t>Work in progress, days of cost</t>
        </is>
      </c>
      <c r="B62" s="21" t="n">
        <v>274.8391</v>
      </c>
      <c r="C62" s="21" t="n">
        <v>274.8391</v>
      </c>
      <c r="D62" s="21" t="n">
        <v>274.8391</v>
      </c>
      <c r="E62" s="21" t="n">
        <v>274.8391</v>
      </c>
      <c r="F62" s="21" t="n">
        <v>274.8391</v>
      </c>
      <c r="G62" s="21" t="n">
        <v>274.8391</v>
      </c>
      <c r="H62" s="21" t="n">
        <v>274.8391</v>
      </c>
      <c r="I62" s="21" t="n">
        <v>274.8391</v>
      </c>
      <c r="J62" s="21" t="n">
        <v>274.8391</v>
      </c>
      <c r="K62" s="21" t="n">
        <v>274.8391</v>
      </c>
      <c r="L62" s="21" t="n">
        <v>274.8391</v>
      </c>
      <c r="M62" s="21" t="n">
        <v>274.8391</v>
      </c>
      <c r="N62" s="21" t="n">
        <v>274.8391</v>
      </c>
      <c r="O62" s="21" t="n">
        <v>274.8391</v>
      </c>
      <c r="P62" s="21" t="n">
        <v>274.8391</v>
      </c>
    </row>
    <row r="63">
      <c r="A63" s="6" t="inlineStr">
        <is>
          <t>Suppliers, days of cost</t>
        </is>
      </c>
      <c r="B63" s="21" t="n">
        <v>59.548</v>
      </c>
      <c r="C63" s="21" t="n">
        <v>59.548</v>
      </c>
      <c r="D63" s="21" t="n">
        <v>59.548</v>
      </c>
      <c r="E63" s="21" t="n">
        <v>59.548</v>
      </c>
      <c r="F63" s="21" t="n">
        <v>59.548</v>
      </c>
      <c r="G63" s="21" t="n">
        <v>59.548</v>
      </c>
      <c r="H63" s="21" t="n">
        <v>59.548</v>
      </c>
      <c r="I63" s="21" t="n">
        <v>59.548</v>
      </c>
      <c r="J63" s="21" t="n">
        <v>59.548</v>
      </c>
      <c r="K63" s="21" t="n">
        <v>59.548</v>
      </c>
      <c r="L63" s="21" t="n">
        <v>59.548</v>
      </c>
      <c r="M63" s="21" t="n">
        <v>59.548</v>
      </c>
      <c r="N63" s="21" t="n">
        <v>59.548</v>
      </c>
      <c r="O63" s="21" t="n">
        <v>59.548</v>
      </c>
      <c r="P63" s="21" t="n">
        <v>59.548</v>
      </c>
    </row>
    <row r="64">
      <c r="A64" s="6" t="inlineStr">
        <is>
          <t>Customer advances, share of the order book</t>
        </is>
      </c>
      <c r="B64" s="17" t="n">
        <v>0.2184</v>
      </c>
      <c r="C64" s="17" t="n">
        <v>0.2223</v>
      </c>
      <c r="D64" s="17" t="n">
        <v>0.2269</v>
      </c>
      <c r="E64" s="17" t="n">
        <v>0.2331</v>
      </c>
      <c r="F64" s="17" t="n">
        <v>0.2409</v>
      </c>
      <c r="G64" s="17" t="n">
        <v>0.2504</v>
      </c>
      <c r="H64" s="17" t="n">
        <v>0.2603</v>
      </c>
      <c r="I64" s="17" t="n">
        <v>0.2699</v>
      </c>
      <c r="J64" s="17" t="n">
        <v>0.2781</v>
      </c>
      <c r="K64" s="17" t="n">
        <v>0.284</v>
      </c>
      <c r="L64" s="17" t="n">
        <v>0.2866</v>
      </c>
      <c r="M64" s="17" t="n">
        <v>0.285</v>
      </c>
      <c r="N64" s="17" t="n">
        <v>0.2836</v>
      </c>
      <c r="O64" s="17" t="n">
        <v>0.2823</v>
      </c>
      <c r="P64" s="17" t="n">
        <v>0.2811</v>
      </c>
    </row>
    <row r="65">
      <c r="A65" s="6" t="inlineStr">
        <is>
          <t>Net working capital</t>
        </is>
      </c>
      <c r="B65" s="21" t="n">
        <v>69179.08500000001</v>
      </c>
      <c r="C65" s="21" t="n">
        <v>89102.6615</v>
      </c>
      <c r="D65" s="21" t="n">
        <v>110233.3576</v>
      </c>
      <c r="E65" s="21" t="n">
        <v>132720.9626</v>
      </c>
      <c r="F65" s="21" t="n">
        <v>156922.6301</v>
      </c>
      <c r="G65" s="21" t="n">
        <v>183018.8635</v>
      </c>
      <c r="H65" s="21" t="n">
        <v>210517.4478</v>
      </c>
      <c r="I65" s="21" t="n">
        <v>238768.8893</v>
      </c>
      <c r="J65" s="21" t="n">
        <v>266979.4335</v>
      </c>
      <c r="K65" s="21" t="n">
        <v>294238.0337</v>
      </c>
      <c r="L65" s="21" t="n">
        <v>319557.2165</v>
      </c>
      <c r="M65" s="21" t="n">
        <v>341926.2217</v>
      </c>
      <c r="N65" s="21" t="n">
        <v>365861.0572</v>
      </c>
      <c r="O65" s="21" t="n">
        <v>391471.3312</v>
      </c>
      <c r="P65" s="21" t="n">
        <v>418874.3244</v>
      </c>
    </row>
    <row r="66">
      <c r="A66" s="6" t="inlineStr">
        <is>
          <t xml:space="preserve">  as a multiple of revenue</t>
        </is>
      </c>
      <c r="B66" s="7" t="n">
        <v>1.7231</v>
      </c>
      <c r="C66" s="7" t="n">
        <v>1.7231</v>
      </c>
      <c r="D66" s="7" t="n">
        <v>1.7231</v>
      </c>
      <c r="E66" s="7" t="n">
        <v>1.7231</v>
      </c>
      <c r="F66" s="7" t="n">
        <v>1.7231</v>
      </c>
      <c r="G66" s="7" t="n">
        <v>1.7231</v>
      </c>
      <c r="H66" s="7" t="n">
        <v>1.7231</v>
      </c>
      <c r="I66" s="7" t="n">
        <v>1.7231</v>
      </c>
      <c r="J66" s="7" t="n">
        <v>1.7231</v>
      </c>
      <c r="K66" s="7" t="n">
        <v>1.7231</v>
      </c>
      <c r="L66" s="7" t="n">
        <v>1.7231</v>
      </c>
      <c r="M66" s="7" t="n">
        <v>1.7231</v>
      </c>
      <c r="N66" s="7" t="n">
        <v>1.7231</v>
      </c>
      <c r="O66" s="7" t="n">
        <v>1.7231</v>
      </c>
      <c r="P66" s="7" t="n">
        <v>1.7231</v>
      </c>
    </row>
    <row r="68">
      <c r="A68" s="4" t="inlineStr">
        <is>
          <t>The cycle as reported, both audited years</t>
        </is>
      </c>
    </row>
    <row r="69">
      <c r="A69" s="4" t="inlineStr"/>
      <c r="B69" s="16" t="inlineStr">
        <is>
          <t>2025</t>
        </is>
      </c>
      <c r="C69" s="16" t="inlineStr">
        <is>
          <t>2024</t>
        </is>
      </c>
    </row>
    <row r="70">
      <c r="A70" s="6" t="inlineStr">
        <is>
          <t>Collection period, days</t>
        </is>
      </c>
      <c r="B70" s="21" t="n">
        <v>1044.5731</v>
      </c>
      <c r="C70" s="21" t="n">
        <v>1034.7657</v>
      </c>
    </row>
    <row r="71">
      <c r="A71" s="6" t="inlineStr">
        <is>
          <t>Work in progress, days of cost</t>
        </is>
      </c>
      <c r="B71" s="21" t="n">
        <v>303.6796</v>
      </c>
      <c r="C71" s="21" t="n">
        <v>270.3102</v>
      </c>
    </row>
    <row r="72">
      <c r="A72" s="6" t="inlineStr">
        <is>
          <t>Suppliers, days of cost</t>
        </is>
      </c>
      <c r="B72" s="21" t="n">
        <v>65.7968</v>
      </c>
      <c r="C72" s="21" t="n">
        <v>70.12009999999999</v>
      </c>
    </row>
    <row r="73">
      <c r="A73" s="6" t="inlineStr">
        <is>
          <t>Customer advances, share of the order book</t>
        </is>
      </c>
      <c r="B73" s="17" t="n">
        <v>0.2637</v>
      </c>
      <c r="C73" s="17" t="n">
        <v>0.3225</v>
      </c>
    </row>
    <row r="74">
      <c r="A74" s="6" t="inlineStr">
        <is>
          <t>Net working capital</t>
        </is>
      </c>
      <c r="B74" s="21" t="n">
        <v>62323.5</v>
      </c>
      <c r="C74" s="21" t="n">
        <v>42238.8</v>
      </c>
    </row>
    <row r="75">
      <c r="A75" s="6" t="inlineStr">
        <is>
          <t xml:space="preserve">  as a multiple of revenue</t>
        </is>
      </c>
      <c r="B75" s="7" t="n">
        <v>1.7231</v>
      </c>
      <c r="C75" s="7" t="n">
        <v>1.5548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Cash flow — forecast, both readings</t>
        </is>
      </c>
    </row>
    <row r="2">
      <c r="A2" s="2" t="inlineStr">
        <is>
          <t>The audited balance sheet and the audited cash-flow statement disagree about 2025 by EGP 16,938 million, and that difference cannot be split from what is disclosed. So the forecast is published two ways and neither is averaged into the other.</t>
        </is>
      </c>
    </row>
    <row r="4">
      <c r="A4" s="4" t="inlineStr">
        <is>
          <t>IF CASH CONVERSION HOLDS — the basis of the valuation</t>
        </is>
      </c>
    </row>
    <row r="5">
      <c r="A5" s="5" t="inlineStr">
        <is>
          <t>EGP mn unless stated</t>
        </is>
      </c>
      <c r="B5" s="19" t="n">
        <v>2026</v>
      </c>
      <c r="C5" s="19" t="n">
        <v>2027</v>
      </c>
      <c r="D5" s="19" t="n">
        <v>2028</v>
      </c>
      <c r="E5" s="19" t="n">
        <v>2029</v>
      </c>
      <c r="F5" s="19" t="n">
        <v>2030</v>
      </c>
      <c r="G5" s="19" t="n">
        <v>2031</v>
      </c>
      <c r="H5" s="19" t="n">
        <v>2032</v>
      </c>
      <c r="I5" s="19" t="n">
        <v>2033</v>
      </c>
      <c r="J5" s="19" t="n">
        <v>2034</v>
      </c>
      <c r="K5" s="19" t="n">
        <v>2035</v>
      </c>
      <c r="L5" s="19" t="n">
        <v>2036</v>
      </c>
      <c r="M5" s="19" t="n">
        <v>2037</v>
      </c>
      <c r="N5" s="19" t="n">
        <v>2038</v>
      </c>
      <c r="O5" s="19" t="n">
        <v>2039</v>
      </c>
      <c r="P5" s="19" t="n">
        <v>2040</v>
      </c>
    </row>
    <row r="6">
      <c r="A6" s="6" t="inlineStr">
        <is>
          <t>Net profit</t>
        </is>
      </c>
      <c r="B6" s="21" t="n">
        <v>2666.0885</v>
      </c>
      <c r="C6" s="21" t="n">
        <v>4181.084</v>
      </c>
      <c r="D6" s="21" t="n">
        <v>5787.8693</v>
      </c>
      <c r="E6" s="21" t="n">
        <v>7497.8343</v>
      </c>
      <c r="F6" s="21" t="n">
        <v>9338.1373</v>
      </c>
      <c r="G6" s="21" t="n">
        <v>11322.5037</v>
      </c>
      <c r="H6" s="21" t="n">
        <v>13413.5054</v>
      </c>
      <c r="I6" s="21" t="n">
        <v>15561.7545</v>
      </c>
      <c r="J6" s="21" t="n">
        <v>17706.8938</v>
      </c>
      <c r="K6" s="21" t="n">
        <v>19779.647</v>
      </c>
      <c r="L6" s="21" t="n">
        <v>21704.9262</v>
      </c>
      <c r="M6" s="21" t="n">
        <v>23405.8729</v>
      </c>
      <c r="N6" s="21" t="n">
        <v>25225.8859</v>
      </c>
      <c r="O6" s="21" t="n">
        <v>27173.2998</v>
      </c>
      <c r="P6" s="21" t="n">
        <v>29257.0327</v>
      </c>
    </row>
    <row r="7">
      <c r="A7" s="6" t="inlineStr">
        <is>
          <t>Depreciation and amortisation</t>
        </is>
      </c>
      <c r="B7" s="21" t="n">
        <v>392.607</v>
      </c>
      <c r="C7" s="21" t="n">
        <v>505.6778</v>
      </c>
      <c r="D7" s="21" t="n">
        <v>625.5993</v>
      </c>
      <c r="E7" s="21" t="n">
        <v>753.2216</v>
      </c>
      <c r="F7" s="21" t="n">
        <v>890.5715</v>
      </c>
      <c r="G7" s="21" t="n">
        <v>1038.6736</v>
      </c>
      <c r="H7" s="21" t="n">
        <v>1194.7343</v>
      </c>
      <c r="I7" s="21" t="n">
        <v>1355.0676</v>
      </c>
      <c r="J7" s="21" t="n">
        <v>1515.1688</v>
      </c>
      <c r="K7" s="21" t="n">
        <v>1669.8676</v>
      </c>
      <c r="L7" s="21" t="n">
        <v>1813.5597</v>
      </c>
      <c r="M7" s="21" t="n">
        <v>1940.5089</v>
      </c>
      <c r="N7" s="21" t="n">
        <v>2076.3445</v>
      </c>
      <c r="O7" s="21" t="n">
        <v>2221.6886</v>
      </c>
      <c r="P7" s="21" t="n">
        <v>2377.2068</v>
      </c>
    </row>
    <row r="8">
      <c r="A8" s="6" t="inlineStr">
        <is>
          <t>Change in working capital, cash effect</t>
        </is>
      </c>
      <c r="B8" s="21" t="n">
        <v>439.6595</v>
      </c>
      <c r="C8" s="21" t="n">
        <v>-180.8806</v>
      </c>
      <c r="D8" s="21" t="n">
        <v>-839.0176</v>
      </c>
      <c r="E8" s="21" t="n">
        <v>-1539.4169</v>
      </c>
      <c r="F8" s="21" t="n">
        <v>-2293.2025</v>
      </c>
      <c r="G8" s="21" t="n">
        <v>-3105.9962</v>
      </c>
      <c r="H8" s="21" t="n">
        <v>-3962.4676</v>
      </c>
      <c r="I8" s="21" t="n">
        <v>-4842.3875</v>
      </c>
      <c r="J8" s="21" t="n">
        <v>-5721.0336</v>
      </c>
      <c r="K8" s="21" t="n">
        <v>-6570.0305</v>
      </c>
      <c r="L8" s="21" t="n">
        <v>-7358.6222</v>
      </c>
      <c r="M8" s="21" t="n">
        <v>-8055.3276</v>
      </c>
      <c r="N8" s="21" t="n">
        <v>-8800.8024</v>
      </c>
      <c r="O8" s="21" t="n">
        <v>-9598.4604</v>
      </c>
      <c r="P8" s="21" t="n">
        <v>-10451.9545</v>
      </c>
    </row>
    <row r="9">
      <c r="A9" s="4" t="inlineStr">
        <is>
          <t>Cash from operations</t>
        </is>
      </c>
      <c r="B9" s="22" t="n">
        <v>3498.355</v>
      </c>
      <c r="C9" s="22" t="n">
        <v>4505.8812</v>
      </c>
      <c r="D9" s="22" t="n">
        <v>5574.451</v>
      </c>
      <c r="E9" s="22" t="n">
        <v>6711.639</v>
      </c>
      <c r="F9" s="22" t="n">
        <v>7935.5064</v>
      </c>
      <c r="G9" s="22" t="n">
        <v>9255.1811</v>
      </c>
      <c r="H9" s="22" t="n">
        <v>10645.772</v>
      </c>
      <c r="I9" s="22" t="n">
        <v>12074.4346</v>
      </c>
      <c r="J9" s="22" t="n">
        <v>13501.0291</v>
      </c>
      <c r="K9" s="22" t="n">
        <v>14879.4841</v>
      </c>
      <c r="L9" s="22" t="n">
        <v>16159.8638</v>
      </c>
      <c r="M9" s="22" t="n">
        <v>17291.0542</v>
      </c>
      <c r="N9" s="22" t="n">
        <v>18501.428</v>
      </c>
      <c r="O9" s="22" t="n">
        <v>19796.528</v>
      </c>
      <c r="P9" s="22" t="n">
        <v>21182.2849</v>
      </c>
    </row>
    <row r="10">
      <c r="A10" s="6" t="inlineStr">
        <is>
          <t xml:space="preserve">  as a share of revenue</t>
        </is>
      </c>
      <c r="B10" s="17" t="n">
        <v>0.0871</v>
      </c>
      <c r="C10" s="17" t="n">
        <v>0.0871</v>
      </c>
      <c r="D10" s="17" t="n">
        <v>0.0871</v>
      </c>
      <c r="E10" s="17" t="n">
        <v>0.0871</v>
      </c>
      <c r="F10" s="17" t="n">
        <v>0.0871</v>
      </c>
      <c r="G10" s="17" t="n">
        <v>0.0871</v>
      </c>
      <c r="H10" s="17" t="n">
        <v>0.0871</v>
      </c>
      <c r="I10" s="17" t="n">
        <v>0.0871</v>
      </c>
      <c r="J10" s="17" t="n">
        <v>0.0871</v>
      </c>
      <c r="K10" s="17" t="n">
        <v>0.0871</v>
      </c>
      <c r="L10" s="17" t="n">
        <v>0.0871</v>
      </c>
      <c r="M10" s="17" t="n">
        <v>0.0871</v>
      </c>
      <c r="N10" s="17" t="n">
        <v>0.0871</v>
      </c>
      <c r="O10" s="17" t="n">
        <v>0.0871</v>
      </c>
      <c r="P10" s="17" t="n">
        <v>0.0871</v>
      </c>
    </row>
    <row r="11">
      <c r="A11" s="6" t="inlineStr">
        <is>
          <t>Capital expenditure</t>
        </is>
      </c>
      <c r="B11" s="21" t="n">
        <v>-401.4792</v>
      </c>
      <c r="C11" s="21" t="n">
        <v>-517.1052</v>
      </c>
      <c r="D11" s="21" t="n">
        <v>-639.7368</v>
      </c>
      <c r="E11" s="21" t="n">
        <v>-770.2431</v>
      </c>
      <c r="F11" s="21" t="n">
        <v>-910.6969</v>
      </c>
      <c r="G11" s="21" t="n">
        <v>-1062.1458</v>
      </c>
      <c r="H11" s="21" t="n">
        <v>-1221.7332</v>
      </c>
      <c r="I11" s="21" t="n">
        <v>-1385.6898</v>
      </c>
      <c r="J11" s="21" t="n">
        <v>-1549.409</v>
      </c>
      <c r="K11" s="21" t="n">
        <v>-1707.6037</v>
      </c>
      <c r="L11" s="21" t="n">
        <v>-1854.543</v>
      </c>
      <c r="M11" s="21" t="n">
        <v>-1984.361</v>
      </c>
      <c r="N11" s="21" t="n">
        <v>-2123.2662</v>
      </c>
      <c r="O11" s="21" t="n">
        <v>-2271.8949</v>
      </c>
      <c r="P11" s="21" t="n">
        <v>-2430.9275</v>
      </c>
    </row>
    <row r="12">
      <c r="A12" s="6" t="inlineStr">
        <is>
          <t>New borrowing drawn</t>
        </is>
      </c>
      <c r="B12" s="21" t="n">
        <v>0</v>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row>
    <row r="13">
      <c r="A13" s="6" t="inlineStr">
        <is>
          <t>Cash from financing</t>
        </is>
      </c>
      <c r="B13" s="21" t="n">
        <v>0</v>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row>
    <row r="14">
      <c r="A14" s="4" t="inlineStr">
        <is>
          <t>Closing cash</t>
        </is>
      </c>
      <c r="B14" s="22" t="n">
        <v>12516.3758</v>
      </c>
      <c r="C14" s="22" t="n">
        <v>16505.1518</v>
      </c>
      <c r="D14" s="22" t="n">
        <v>21439.866</v>
      </c>
      <c r="E14" s="22" t="n">
        <v>27381.2619</v>
      </c>
      <c r="F14" s="22" t="n">
        <v>34406.0714</v>
      </c>
      <c r="G14" s="22" t="n">
        <v>42599.1067</v>
      </c>
      <c r="H14" s="22" t="n">
        <v>52023.1456</v>
      </c>
      <c r="I14" s="22" t="n">
        <v>62711.8904</v>
      </c>
      <c r="J14" s="22" t="n">
        <v>74663.5105</v>
      </c>
      <c r="K14" s="22" t="n">
        <v>87835.391</v>
      </c>
      <c r="L14" s="22" t="n">
        <v>102140.7118</v>
      </c>
      <c r="M14" s="22" t="n">
        <v>117447.405</v>
      </c>
      <c r="N14" s="22" t="n">
        <v>133825.5668</v>
      </c>
      <c r="O14" s="22" t="n">
        <v>151350.1999</v>
      </c>
      <c r="P14" s="22" t="n">
        <v>170101.5573</v>
      </c>
    </row>
    <row r="15">
      <c r="A15" s="6" t="inlineStr">
        <is>
          <t>Cumulative new borrowing</t>
        </is>
      </c>
      <c r="B15" s="21" t="n">
        <v>0</v>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row>
    <row r="17">
      <c r="A17" s="4" t="inlineStr">
        <is>
          <t>IF THE COLLECTION CYCLE HOLDS</t>
        </is>
      </c>
    </row>
    <row r="18">
      <c r="A18" s="5" t="inlineStr">
        <is>
          <t>EGP mn unless stated</t>
        </is>
      </c>
      <c r="B18" s="19" t="n">
        <v>2026</v>
      </c>
      <c r="C18" s="19" t="n">
        <v>2027</v>
      </c>
      <c r="D18" s="19" t="n">
        <v>2028</v>
      </c>
      <c r="E18" s="19" t="n">
        <v>2029</v>
      </c>
      <c r="F18" s="19" t="n">
        <v>2030</v>
      </c>
      <c r="G18" s="19" t="n">
        <v>2031</v>
      </c>
      <c r="H18" s="19" t="n">
        <v>2032</v>
      </c>
      <c r="I18" s="19" t="n">
        <v>2033</v>
      </c>
      <c r="J18" s="19" t="n">
        <v>2034</v>
      </c>
      <c r="K18" s="19" t="n">
        <v>2035</v>
      </c>
      <c r="L18" s="19" t="n">
        <v>2036</v>
      </c>
      <c r="M18" s="19" t="n">
        <v>2037</v>
      </c>
      <c r="N18" s="19" t="n">
        <v>2038</v>
      </c>
      <c r="O18" s="19" t="n">
        <v>2039</v>
      </c>
      <c r="P18" s="19" t="n">
        <v>2040</v>
      </c>
    </row>
    <row r="19">
      <c r="A19" s="6" t="inlineStr">
        <is>
          <t>Net profit</t>
        </is>
      </c>
      <c r="B19" s="21" t="n">
        <v>2666.0885</v>
      </c>
      <c r="C19" s="21" t="n">
        <v>4181.084</v>
      </c>
      <c r="D19" s="21" t="n">
        <v>5787.8693</v>
      </c>
      <c r="E19" s="21" t="n">
        <v>7497.8343</v>
      </c>
      <c r="F19" s="21" t="n">
        <v>9338.1373</v>
      </c>
      <c r="G19" s="21" t="n">
        <v>11322.5037</v>
      </c>
      <c r="H19" s="21" t="n">
        <v>13413.5054</v>
      </c>
      <c r="I19" s="21" t="n">
        <v>15561.7545</v>
      </c>
      <c r="J19" s="21" t="n">
        <v>17706.8938</v>
      </c>
      <c r="K19" s="21" t="n">
        <v>19779.647</v>
      </c>
      <c r="L19" s="21" t="n">
        <v>21704.9262</v>
      </c>
      <c r="M19" s="21" t="n">
        <v>23405.8729</v>
      </c>
      <c r="N19" s="21" t="n">
        <v>25225.8859</v>
      </c>
      <c r="O19" s="21" t="n">
        <v>27173.2998</v>
      </c>
      <c r="P19" s="21" t="n">
        <v>29257.0327</v>
      </c>
    </row>
    <row r="20">
      <c r="A20" s="6" t="inlineStr">
        <is>
          <t>Depreciation and amortisation</t>
        </is>
      </c>
      <c r="B20" s="21" t="n">
        <v>392.607</v>
      </c>
      <c r="C20" s="21" t="n">
        <v>505.6778</v>
      </c>
      <c r="D20" s="21" t="n">
        <v>625.5993</v>
      </c>
      <c r="E20" s="21" t="n">
        <v>753.2216</v>
      </c>
      <c r="F20" s="21" t="n">
        <v>890.5715</v>
      </c>
      <c r="G20" s="21" t="n">
        <v>1038.6736</v>
      </c>
      <c r="H20" s="21" t="n">
        <v>1194.7343</v>
      </c>
      <c r="I20" s="21" t="n">
        <v>1355.0676</v>
      </c>
      <c r="J20" s="21" t="n">
        <v>1515.1688</v>
      </c>
      <c r="K20" s="21" t="n">
        <v>1669.8676</v>
      </c>
      <c r="L20" s="21" t="n">
        <v>1813.5597</v>
      </c>
      <c r="M20" s="21" t="n">
        <v>1940.5089</v>
      </c>
      <c r="N20" s="21" t="n">
        <v>2076.3445</v>
      </c>
      <c r="O20" s="21" t="n">
        <v>2221.6886</v>
      </c>
      <c r="P20" s="21" t="n">
        <v>2377.2068</v>
      </c>
    </row>
    <row r="21">
      <c r="A21" s="6" t="inlineStr">
        <is>
          <t>Change in working capital, cash effect</t>
        </is>
      </c>
      <c r="B21" s="21" t="n">
        <v>-6855.585</v>
      </c>
      <c r="C21" s="21" t="n">
        <v>-19923.5765</v>
      </c>
      <c r="D21" s="21" t="n">
        <v>-21130.6962</v>
      </c>
      <c r="E21" s="21" t="n">
        <v>-22487.605</v>
      </c>
      <c r="F21" s="21" t="n">
        <v>-24201.6675</v>
      </c>
      <c r="G21" s="21" t="n">
        <v>-26096.2334</v>
      </c>
      <c r="H21" s="21" t="n">
        <v>-27498.5842</v>
      </c>
      <c r="I21" s="21" t="n">
        <v>-28251.4415</v>
      </c>
      <c r="J21" s="21" t="n">
        <v>-28210.5443</v>
      </c>
      <c r="K21" s="21" t="n">
        <v>-27258.6002</v>
      </c>
      <c r="L21" s="21" t="n">
        <v>-25319.1828</v>
      </c>
      <c r="M21" s="21" t="n">
        <v>-22369.0052</v>
      </c>
      <c r="N21" s="21" t="n">
        <v>-23934.8355</v>
      </c>
      <c r="O21" s="21" t="n">
        <v>-25610.274</v>
      </c>
      <c r="P21" s="21" t="n">
        <v>-27402.9932</v>
      </c>
    </row>
    <row r="22">
      <c r="A22" s="4" t="inlineStr">
        <is>
          <t>Cash from operations</t>
        </is>
      </c>
      <c r="B22" s="22" t="n">
        <v>-3796.8895</v>
      </c>
      <c r="C22" s="22" t="n">
        <v>-15236.8147</v>
      </c>
      <c r="D22" s="22" t="n">
        <v>-14717.2276</v>
      </c>
      <c r="E22" s="22" t="n">
        <v>-14236.549</v>
      </c>
      <c r="F22" s="22" t="n">
        <v>-13972.9587</v>
      </c>
      <c r="G22" s="22" t="n">
        <v>-13735.0561</v>
      </c>
      <c r="H22" s="22" t="n">
        <v>-12890.3446</v>
      </c>
      <c r="I22" s="22" t="n">
        <v>-11334.6194</v>
      </c>
      <c r="J22" s="22" t="n">
        <v>-8988.481599999999</v>
      </c>
      <c r="K22" s="22" t="n">
        <v>-5809.0856</v>
      </c>
      <c r="L22" s="22" t="n">
        <v>-1800.6969</v>
      </c>
      <c r="M22" s="22" t="n">
        <v>2977.3767</v>
      </c>
      <c r="N22" s="22" t="n">
        <v>3367.3949</v>
      </c>
      <c r="O22" s="22" t="n">
        <v>3784.7144</v>
      </c>
      <c r="P22" s="22" t="n">
        <v>4231.2463</v>
      </c>
    </row>
    <row r="23">
      <c r="A23" s="6" t="inlineStr">
        <is>
          <t xml:space="preserve">  as a share of revenue</t>
        </is>
      </c>
      <c r="B23" s="17" t="n">
        <v>-0.0946</v>
      </c>
      <c r="C23" s="17" t="n">
        <v>-0.2947</v>
      </c>
      <c r="D23" s="17" t="n">
        <v>-0.2301</v>
      </c>
      <c r="E23" s="17" t="n">
        <v>-0.1848</v>
      </c>
      <c r="F23" s="17" t="n">
        <v>-0.1534</v>
      </c>
      <c r="G23" s="17" t="n">
        <v>-0.1293</v>
      </c>
      <c r="H23" s="17" t="n">
        <v>-0.1055</v>
      </c>
      <c r="I23" s="17" t="n">
        <v>-0.0818</v>
      </c>
      <c r="J23" s="17" t="n">
        <v>-0.058</v>
      </c>
      <c r="K23" s="17" t="n">
        <v>-0.034</v>
      </c>
      <c r="L23" s="17" t="n">
        <v>-0.0097</v>
      </c>
      <c r="M23" s="17" t="n">
        <v>0.015</v>
      </c>
      <c r="N23" s="17" t="n">
        <v>0.0159</v>
      </c>
      <c r="O23" s="17" t="n">
        <v>0.0167</v>
      </c>
      <c r="P23" s="17" t="n">
        <v>0.0174</v>
      </c>
    </row>
    <row r="24">
      <c r="A24" s="6" t="inlineStr">
        <is>
          <t>Capital expenditure</t>
        </is>
      </c>
      <c r="B24" s="21" t="n">
        <v>-401.4792</v>
      </c>
      <c r="C24" s="21" t="n">
        <v>-517.1052</v>
      </c>
      <c r="D24" s="21" t="n">
        <v>-639.7368</v>
      </c>
      <c r="E24" s="21" t="n">
        <v>-770.2431</v>
      </c>
      <c r="F24" s="21" t="n">
        <v>-910.6969</v>
      </c>
      <c r="G24" s="21" t="n">
        <v>-1062.1458</v>
      </c>
      <c r="H24" s="21" t="n">
        <v>-1221.7332</v>
      </c>
      <c r="I24" s="21" t="n">
        <v>-1385.6898</v>
      </c>
      <c r="J24" s="21" t="n">
        <v>-1549.409</v>
      </c>
      <c r="K24" s="21" t="n">
        <v>-1707.6037</v>
      </c>
      <c r="L24" s="21" t="n">
        <v>-1854.543</v>
      </c>
      <c r="M24" s="21" t="n">
        <v>-1984.361</v>
      </c>
      <c r="N24" s="21" t="n">
        <v>-2123.2662</v>
      </c>
      <c r="O24" s="21" t="n">
        <v>-2271.8949</v>
      </c>
      <c r="P24" s="21" t="n">
        <v>-2430.9275</v>
      </c>
    </row>
    <row r="25">
      <c r="A25" s="6" t="inlineStr">
        <is>
          <t>New borrowing drawn</t>
        </is>
      </c>
      <c r="B25" s="21" t="n">
        <v>0</v>
      </c>
      <c r="C25" s="21" t="n">
        <v>12887.6637</v>
      </c>
      <c r="D25" s="21" t="n">
        <v>15356.9644</v>
      </c>
      <c r="E25" s="21" t="n">
        <v>15006.7921</v>
      </c>
      <c r="F25" s="21" t="n">
        <v>14883.6556</v>
      </c>
      <c r="G25" s="21" t="n">
        <v>14797.2019</v>
      </c>
      <c r="H25" s="21" t="n">
        <v>14112.0778</v>
      </c>
      <c r="I25" s="21" t="n">
        <v>12720.3091</v>
      </c>
      <c r="J25" s="21" t="n">
        <v>10537.8906</v>
      </c>
      <c r="K25" s="21" t="n">
        <v>7516.6892</v>
      </c>
      <c r="L25" s="21" t="n">
        <v>3655.2398</v>
      </c>
      <c r="M25" s="21" t="n">
        <v>0</v>
      </c>
      <c r="N25" s="21" t="n">
        <v>0</v>
      </c>
      <c r="O25" s="21" t="n">
        <v>0</v>
      </c>
      <c r="P25" s="21" t="n">
        <v>0</v>
      </c>
    </row>
    <row r="26">
      <c r="A26" s="6" t="inlineStr">
        <is>
          <t>Cash from financing</t>
        </is>
      </c>
      <c r="B26" s="21" t="n">
        <v>0</v>
      </c>
      <c r="C26" s="21" t="n">
        <v>12887.6637</v>
      </c>
      <c r="D26" s="21" t="n">
        <v>15356.9644</v>
      </c>
      <c r="E26" s="21" t="n">
        <v>15006.7921</v>
      </c>
      <c r="F26" s="21" t="n">
        <v>14883.6556</v>
      </c>
      <c r="G26" s="21" t="n">
        <v>14797.2019</v>
      </c>
      <c r="H26" s="21" t="n">
        <v>14112.0778</v>
      </c>
      <c r="I26" s="21" t="n">
        <v>12720.3091</v>
      </c>
      <c r="J26" s="21" t="n">
        <v>10537.8906</v>
      </c>
      <c r="K26" s="21" t="n">
        <v>7516.6892</v>
      </c>
      <c r="L26" s="21" t="n">
        <v>3655.2398</v>
      </c>
      <c r="M26" s="21" t="n">
        <v>0</v>
      </c>
      <c r="N26" s="21" t="n">
        <v>0</v>
      </c>
      <c r="O26" s="21" t="n">
        <v>0</v>
      </c>
      <c r="P26" s="21" t="n">
        <v>0</v>
      </c>
    </row>
    <row r="27">
      <c r="A27" s="4" t="inlineStr">
        <is>
          <t>Closing cash</t>
        </is>
      </c>
      <c r="B27" s="22" t="n">
        <v>5221.1313</v>
      </c>
      <c r="C27" s="22" t="n">
        <v>2354.875</v>
      </c>
      <c r="D27" s="22" t="n">
        <v>2354.875</v>
      </c>
      <c r="E27" s="22" t="n">
        <v>2354.875</v>
      </c>
      <c r="F27" s="22" t="n">
        <v>2354.875</v>
      </c>
      <c r="G27" s="22" t="n">
        <v>2354.875</v>
      </c>
      <c r="H27" s="22" t="n">
        <v>2354.875</v>
      </c>
      <c r="I27" s="22" t="n">
        <v>2354.875</v>
      </c>
      <c r="J27" s="22" t="n">
        <v>2354.875</v>
      </c>
      <c r="K27" s="22" t="n">
        <v>2354.875</v>
      </c>
      <c r="L27" s="22" t="n">
        <v>2354.875</v>
      </c>
      <c r="M27" s="22" t="n">
        <v>3347.8907</v>
      </c>
      <c r="N27" s="22" t="n">
        <v>4592.0193</v>
      </c>
      <c r="O27" s="22" t="n">
        <v>6104.8389</v>
      </c>
      <c r="P27" s="22" t="n">
        <v>7905.1577</v>
      </c>
    </row>
    <row r="28">
      <c r="A28" s="6" t="inlineStr">
        <is>
          <t>Cumulative new borrowing</t>
        </is>
      </c>
      <c r="B28" s="21" t="n">
        <v>0</v>
      </c>
      <c r="C28" s="21" t="n">
        <v>12887.6637</v>
      </c>
      <c r="D28" s="21" t="n">
        <v>28244.628</v>
      </c>
      <c r="E28" s="21" t="n">
        <v>43251.4201</v>
      </c>
      <c r="F28" s="21" t="n">
        <v>58135.0757</v>
      </c>
      <c r="G28" s="21" t="n">
        <v>72932.2775</v>
      </c>
      <c r="H28" s="21" t="n">
        <v>87044.3553</v>
      </c>
      <c r="I28" s="21" t="n">
        <v>99764.66439999999</v>
      </c>
      <c r="J28" s="21" t="n">
        <v>110302.555</v>
      </c>
      <c r="K28" s="21" t="n">
        <v>117819.2443</v>
      </c>
      <c r="L28" s="21" t="n">
        <v>121474.4841</v>
      </c>
      <c r="M28" s="21" t="n">
        <v>121474.4841</v>
      </c>
      <c r="N28" s="21" t="n">
        <v>121474.4841</v>
      </c>
      <c r="O28" s="21" t="n">
        <v>121474.4841</v>
      </c>
      <c r="P28" s="21" t="n">
        <v>121474.4841</v>
      </c>
    </row>
    <row r="30">
      <c r="A30" s="4" t="inlineStr">
        <is>
          <t>Cash conversion, the three published years</t>
        </is>
      </c>
    </row>
    <row r="31">
      <c r="A31" s="6" t="inlineStr">
        <is>
          <t>FY2023</t>
        </is>
      </c>
      <c r="B31" s="28" t="n">
        <v>0.043334</v>
      </c>
    </row>
    <row r="32">
      <c r="A32" s="6" t="inlineStr">
        <is>
          <t>FY2024</t>
        </is>
      </c>
      <c r="B32" s="28" t="n">
        <v>0.1787</v>
      </c>
    </row>
    <row r="33">
      <c r="A33" s="6" t="inlineStr">
        <is>
          <t>FY2025</t>
        </is>
      </c>
      <c r="B33" s="28" t="n">
        <v>0.039376</v>
      </c>
    </row>
    <row r="34">
      <c r="A34" s="6" t="inlineStr">
        <is>
          <t xml:space="preserve">  mean, carried above</t>
        </is>
      </c>
      <c r="B34" s="28" t="n">
        <v>0.08713700000000001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6" t="inlineStr">
        <is>
          <t>2023</t>
        </is>
      </c>
      <c r="C4" s="16" t="inlineStr">
        <is>
          <t>2024</t>
        </is>
      </c>
      <c r="D4" s="16" t="inlineStr">
        <is>
          <t>2025</t>
        </is>
      </c>
    </row>
    <row r="5">
      <c r="A5" s="6" t="inlineStr">
        <is>
          <t>Revenue</t>
        </is>
      </c>
      <c r="B5" s="10" t="n">
        <v>17462.1</v>
      </c>
      <c r="C5" s="10" t="n">
        <v>27167.3</v>
      </c>
      <c r="D5" s="10" t="n">
        <v>36169.3</v>
      </c>
    </row>
    <row r="6">
      <c r="A6" s="6" t="inlineStr">
        <is>
          <t>Cost of revenue</t>
        </is>
      </c>
      <c r="B6" s="10" t="n">
        <v>-11907.2</v>
      </c>
      <c r="C6" s="10" t="n">
        <v>-17739.9</v>
      </c>
      <c r="D6" s="10" t="n">
        <v>-21118.9</v>
      </c>
    </row>
    <row r="7">
      <c r="A7" s="6" t="inlineStr">
        <is>
          <t>Gross profit</t>
        </is>
      </c>
      <c r="B7" s="10" t="n">
        <v>5507.6</v>
      </c>
      <c r="C7" s="10" t="n">
        <v>9330.1</v>
      </c>
      <c r="D7" s="10" t="n">
        <v>14887.6</v>
      </c>
    </row>
    <row r="8">
      <c r="A8" s="6" t="inlineStr">
        <is>
          <t>Overheads</t>
        </is>
      </c>
      <c r="B8" s="10" t="n">
        <v>-2060.5</v>
      </c>
      <c r="C8" s="10" t="n">
        <v>-3435.8</v>
      </c>
      <c r="D8" s="10" t="n">
        <v>-6365.6</v>
      </c>
    </row>
    <row r="9">
      <c r="A9" s="6" t="inlineStr">
        <is>
          <t>Finance cost</t>
        </is>
      </c>
      <c r="B9" s="10" t="inlineStr"/>
      <c r="C9" s="10" t="n">
        <v>-2311.4</v>
      </c>
      <c r="D9" s="10" t="n">
        <v>-3347.5</v>
      </c>
    </row>
    <row r="10">
      <c r="A10" s="6" t="inlineStr">
        <is>
          <t>Pre-tax profit</t>
        </is>
      </c>
      <c r="B10" s="10" t="n">
        <v>2300.7</v>
      </c>
      <c r="C10" s="10" t="n">
        <v>4320.6</v>
      </c>
      <c r="D10" s="10" t="n">
        <v>6251.1</v>
      </c>
    </row>
    <row r="11">
      <c r="A11" s="6" t="inlineStr">
        <is>
          <t>Tax</t>
        </is>
      </c>
      <c r="B11" s="10" t="n">
        <v>-567.3</v>
      </c>
      <c r="C11" s="10" t="n">
        <v>-917.1</v>
      </c>
      <c r="D11" s="10" t="n">
        <v>-1827.2</v>
      </c>
    </row>
    <row r="12">
      <c r="A12" s="6" t="inlineStr">
        <is>
          <t>Profit after tax and minority</t>
        </is>
      </c>
      <c r="B12" s="10" t="n">
        <v>1581.5</v>
      </c>
      <c r="C12" s="10" t="n">
        <v>3254.9</v>
      </c>
      <c r="D12" s="10" t="n">
        <v>4216.7</v>
      </c>
    </row>
    <row r="13">
      <c r="A13" s="6" t="inlineStr">
        <is>
          <t>Cash from operations</t>
        </is>
      </c>
      <c r="B13" s="10" t="n">
        <v>756.7</v>
      </c>
      <c r="C13" s="10" t="n">
        <v>4854.8</v>
      </c>
      <c r="D13" s="10" t="n">
        <v>1424.2</v>
      </c>
    </row>
    <row r="14">
      <c r="A14" s="4" t="inlineStr">
        <is>
          <t>Cash from operations, share of revenue</t>
        </is>
      </c>
      <c r="B14" s="17">
        <f>B14/B5</f>
        <v/>
      </c>
      <c r="C14" s="17">
        <f>C14/C5</f>
        <v/>
      </c>
      <c r="D14" s="17">
        <f>D14/D5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6" t="inlineStr">
        <is>
          <t>One month</t>
        </is>
      </c>
      <c r="C4" s="16"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7" t="n">
        <v>0.9123</v>
      </c>
    </row>
    <row r="13">
      <c r="A13" s="6" t="inlineStr">
        <is>
          <t>Inside the middle band</t>
        </is>
      </c>
      <c r="B13" s="17" t="n">
        <v>0.5088</v>
      </c>
    </row>
    <row r="14">
      <c r="A14" s="6" t="inlineStr">
        <is>
          <t>Band width vs a random walk</t>
        </is>
      </c>
      <c r="B14" s="18"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9" t="n">
        <v>0.209647238833035</v>
      </c>
      <c r="C4" s="29" t="n">
        <v>0.229647238833035</v>
      </c>
      <c r="D4" s="29" t="n">
        <v>0.249647238833035</v>
      </c>
      <c r="E4" s="29" t="n">
        <v>0.269647238833035</v>
      </c>
      <c r="F4" s="29" t="n">
        <v>0.2896472388330349</v>
      </c>
    </row>
    <row r="5">
      <c r="A5" s="20" t="n">
        <v>0.03937593483976742</v>
      </c>
      <c r="B5" s="7" t="n">
        <v>20.9</v>
      </c>
      <c r="C5" s="7" t="n">
        <v>12.08</v>
      </c>
      <c r="D5" s="7" t="n">
        <v>7.65</v>
      </c>
      <c r="E5" s="7" t="n">
        <v>4.98</v>
      </c>
      <c r="F5" s="7" t="n">
        <v>3.19</v>
      </c>
    </row>
    <row r="6">
      <c r="A6" s="20" t="n">
        <v>0.06</v>
      </c>
      <c r="B6" s="7" t="n">
        <v>33.33</v>
      </c>
      <c r="C6" s="7" t="n">
        <v>20.07</v>
      </c>
      <c r="D6" s="7" t="n">
        <v>13.45</v>
      </c>
      <c r="E6" s="7" t="n">
        <v>9.49</v>
      </c>
      <c r="F6" s="7" t="n">
        <v>6.85</v>
      </c>
    </row>
    <row r="7">
      <c r="A7" s="20" t="n">
        <v>0.08713663734609707</v>
      </c>
      <c r="B7" s="7" t="n">
        <v>49.69</v>
      </c>
      <c r="C7" s="7" t="n">
        <v>30.59</v>
      </c>
      <c r="D7" s="7" t="n">
        <v>21.09</v>
      </c>
      <c r="E7" s="7" t="n">
        <v>15.42</v>
      </c>
      <c r="F7" s="7" t="n">
        <v>11.66</v>
      </c>
    </row>
    <row r="8">
      <c r="A8" s="20" t="n">
        <v>0.12</v>
      </c>
      <c r="B8" s="7" t="n">
        <v>69.5</v>
      </c>
      <c r="C8" s="7" t="n">
        <v>43.32</v>
      </c>
      <c r="D8" s="7" t="n">
        <v>30.34</v>
      </c>
      <c r="E8" s="7" t="n">
        <v>22.6</v>
      </c>
      <c r="F8" s="7" t="n">
        <v>17.48</v>
      </c>
    </row>
    <row r="9">
      <c r="A9" s="20" t="n">
        <v>0.1787001284632628</v>
      </c>
      <c r="B9" s="7" t="n">
        <v>104.89</v>
      </c>
      <c r="C9" s="7" t="n">
        <v>66.06999999999999</v>
      </c>
      <c r="D9" s="7" t="n">
        <v>46.85</v>
      </c>
      <c r="E9" s="7" t="n">
        <v>35.43</v>
      </c>
      <c r="F9" s="7" t="n">
        <v>27.89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14.4</v>
      </c>
    </row>
    <row r="6">
      <c r="A6" s="6" t="inlineStr">
        <is>
          <t>Book value per share (EGP)</t>
        </is>
      </c>
      <c r="B6" s="7" t="n">
        <v>6.6281</v>
      </c>
    </row>
    <row r="7">
      <c r="A7" s="6" t="inlineStr">
        <is>
          <t>Price to book</t>
        </is>
      </c>
      <c r="B7" s="18" t="n">
        <v>2.1726</v>
      </c>
    </row>
    <row r="8">
      <c r="A8" s="6" t="inlineStr">
        <is>
          <t>Earnings per share, 2025 (EGP)</t>
        </is>
      </c>
      <c r="B8" s="7" t="n">
        <v>1.4744</v>
      </c>
    </row>
    <row r="9">
      <c r="A9" s="6" t="inlineStr">
        <is>
          <t>Net debt per share, 31 March 2026 (EGP)</t>
        </is>
      </c>
      <c r="B9" s="7" t="n">
        <v>8.127800000000001</v>
      </c>
    </row>
    <row r="10">
      <c r="A10" s="6" t="inlineStr">
        <is>
          <t>Order book per share (EGP)</t>
        </is>
      </c>
      <c r="B10" s="7" t="n">
        <v>91.9606</v>
      </c>
    </row>
    <row r="11">
      <c r="A11" s="6" t="inlineStr">
        <is>
          <t>Gross margin, 2025</t>
        </is>
      </c>
      <c r="B11" s="17" t="n">
        <v>0.4116</v>
      </c>
    </row>
    <row r="12">
      <c r="A12" s="6" t="inlineStr">
        <is>
          <t>Cash conversion, 2025</t>
        </is>
      </c>
      <c r="B12" s="17"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30"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31" t="n">
        <v>1.4687</v>
      </c>
      <c r="D5" s="26" t="n">
        <v>0.3252</v>
      </c>
      <c r="E5" s="32" t="n">
        <v>0.1833</v>
      </c>
      <c r="F5" s="26" t="n">
        <v>0.4394</v>
      </c>
      <c r="G5" s="26" t="n">
        <v>-0.4419</v>
      </c>
    </row>
    <row r="6">
      <c r="A6" s="4" t="inlineStr">
        <is>
          <t>PHDC</t>
        </is>
      </c>
      <c r="B6" s="6" t="inlineStr">
        <is>
          <t>Palm Hills Developments</t>
        </is>
      </c>
      <c r="C6" s="31" t="n">
        <v>1.0481</v>
      </c>
      <c r="D6" s="26" t="n">
        <v>0.2997</v>
      </c>
      <c r="E6" s="32" t="n">
        <v>0.1808</v>
      </c>
      <c r="F6" s="26" t="n">
        <v>0.4391</v>
      </c>
      <c r="G6" s="26" t="n">
        <v>-0.4866</v>
      </c>
    </row>
    <row r="7">
      <c r="A7" s="6" t="inlineStr">
        <is>
          <t>ORHD</t>
        </is>
      </c>
      <c r="B7" s="6" t="inlineStr">
        <is>
          <t>Orascom Development Egypt</t>
        </is>
      </c>
      <c r="C7" s="31" t="n">
        <v>0.8817</v>
      </c>
      <c r="D7" s="26" t="n">
        <v>0.3251</v>
      </c>
      <c r="E7" s="32" t="n">
        <v>0.1727</v>
      </c>
      <c r="F7" s="26" t="n">
        <v>0.4619</v>
      </c>
      <c r="G7" s="26" t="n">
        <v>-0.4293</v>
      </c>
    </row>
    <row r="8">
      <c r="A8" s="6" t="inlineStr">
        <is>
          <t>HELI</t>
        </is>
      </c>
      <c r="B8" s="6" t="inlineStr">
        <is>
          <t>Heliopolis Housing and Development</t>
        </is>
      </c>
      <c r="C8" s="31" t="n">
        <v>0.7648</v>
      </c>
      <c r="D8" s="26" t="n">
        <v>0.2874</v>
      </c>
      <c r="E8" s="32" t="n">
        <v>0.1803</v>
      </c>
      <c r="F8" s="26" t="n">
        <v>0.444</v>
      </c>
      <c r="G8" s="26" t="n">
        <v>-0.3958</v>
      </c>
    </row>
    <row r="9">
      <c r="A9" s="6" t="inlineStr">
        <is>
          <t>EMFD</t>
        </is>
      </c>
      <c r="B9" s="6" t="inlineStr">
        <is>
          <t>Emaar Misr for Development</t>
        </is>
      </c>
      <c r="C9" s="31" t="n">
        <v>0.7349</v>
      </c>
      <c r="D9" s="26" t="n">
        <v>0.2423</v>
      </c>
      <c r="E9" s="32" t="n">
        <v>0.1693</v>
      </c>
      <c r="F9" s="26" t="n">
        <v>0.412</v>
      </c>
      <c r="G9" s="26" t="n">
        <v>-0.4712</v>
      </c>
    </row>
    <row r="10">
      <c r="A10" s="6" t="inlineStr">
        <is>
          <t>PRDC</t>
        </is>
      </c>
      <c r="B10" s="6" t="inlineStr">
        <is>
          <t>Pioneers Properties for Urban Development</t>
        </is>
      </c>
      <c r="C10" s="31" t="n">
        <v>0.7006</v>
      </c>
      <c r="D10" s="26" t="n">
        <v>0.2565</v>
      </c>
      <c r="E10" s="32" t="n">
        <v>0.1854</v>
      </c>
      <c r="F10" s="26" t="n">
        <v>0.4217</v>
      </c>
      <c r="G10" s="26" t="n">
        <v>-0.5199</v>
      </c>
    </row>
    <row r="11">
      <c r="A11" s="6" t="inlineStr">
        <is>
          <t>OCDI</t>
        </is>
      </c>
      <c r="B11" s="6" t="inlineStr">
        <is>
          <t>Sixth of October Development &amp; Investment (SODIC)</t>
        </is>
      </c>
      <c r="C11" s="31" t="n">
        <v>0.4949</v>
      </c>
      <c r="D11" s="26" t="n">
        <v>0.1018</v>
      </c>
      <c r="E11" s="32" t="n">
        <v>0.2275</v>
      </c>
      <c r="F11" s="26" t="n">
        <v>0.4755</v>
      </c>
      <c r="G11" s="26" t="n">
        <v>-0.4658</v>
      </c>
    </row>
    <row r="13" ht="30" customHeight="1">
      <c r="A13" s="33"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2026-09-13T14:07:10Z</dcterms:created>
  <dcterms:modified xmlns:dcterms="http://purl.org/dc/terms/" xmlns:xsi="http://www.w3.org/2001/XMLSchema-instance" xsi:type="dcterms:W3CDTF">2026-09-13T14:07:10Z</dcterms:modified>
</cp:coreProperties>
</file>