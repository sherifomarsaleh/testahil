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
    <numFmt numFmtId="167" formatCode="#,##0.000"/>
    <numFmt numFmtId="168" formatCode="0.0000"/>
  </numFmts>
  <fonts count="7">
    <font>
      <name val="Calibri"/>
      <family val="2"/>
      <color theme="1"/>
      <sz val="11"/>
      <scheme val="minor"/>
    </font>
    <font>
      <b val="1"/>
      <color rgb="001D6FA3"/>
      <sz val="13"/>
    </font>
    <font>
      <i val="1"/>
      <color rgb="005B6570"/>
      <sz val="9"/>
    </font>
    <font>
      <b val="1"/>
      <color rgb="001A1D21"/>
    </font>
    <font>
      <b val="1"/>
      <color rgb="00FFFFFF"/>
      <sz val="10"/>
    </font>
    <font>
      <color rgb="001A1D21"/>
    </font>
    <font>
      <b val="1"/>
      <color rgb="001D6FA3"/>
    </font>
  </fonts>
  <fills count="3">
    <fill>
      <patternFill/>
    </fill>
    <fill>
      <patternFill patternType="gray125"/>
    </fill>
    <fill>
      <patternFill patternType="solid">
        <fgColor rgb="001D6FA3"/>
      </patternFill>
    </fill>
  </fills>
  <borders count="1">
    <border>
      <left/>
      <right/>
      <top/>
      <bottom/>
      <diagonal/>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2" borderId="0" pivotButton="0" quotePrefix="0" xfId="0"/>
    <xf numFmtId="0" fontId="5" fillId="0" borderId="0" pivotButton="0" quotePrefix="0" xfId="0"/>
    <xf numFmtId="4" fontId="5" fillId="0" borderId="0" pivotButton="0" quotePrefix="0" xfId="0"/>
    <xf numFmtId="4" fontId="6" fillId="0" borderId="0" pivotButton="0" quotePrefix="0" xfId="0"/>
    <xf numFmtId="10" fontId="5" fillId="0" borderId="0" pivotButton="0" quotePrefix="0" xfId="0"/>
    <xf numFmtId="164" fontId="5" fillId="0" borderId="0" pivotButton="0" quotePrefix="0" xfId="0"/>
    <xf numFmtId="9" fontId="5" fillId="0" borderId="0" pivotButton="0" quotePrefix="0" xfId="0"/>
    <xf numFmtId="10" fontId="6" fillId="0" borderId="0" pivotButton="0" quotePrefix="0" xfId="0"/>
    <xf numFmtId="164" fontId="6" fillId="0" borderId="0" pivotButton="0" quotePrefix="0" xfId="0"/>
    <xf numFmtId="3" fontId="6" fillId="0" borderId="0" pivotButton="0" quotePrefix="0" xfId="0"/>
    <xf numFmtId="0" fontId="2" fillId="0" borderId="0" applyAlignment="1" pivotButton="0" quotePrefix="0" xfId="0">
      <alignment vertical="top" wrapText="1"/>
    </xf>
    <xf numFmtId="0" fontId="4" fillId="0" borderId="0" pivotButton="0" quotePrefix="0" xfId="0"/>
    <xf numFmtId="165" fontId="5" fillId="0" borderId="0" pivotButton="0" quotePrefix="0" xfId="0"/>
    <xf numFmtId="2" fontId="5" fillId="0" borderId="0" pivotButton="0" quotePrefix="0" xfId="0"/>
    <xf numFmtId="0" fontId="4" fillId="2" borderId="0" applyAlignment="1" pivotButton="0" quotePrefix="0" xfId="0">
      <alignment horizontal="center"/>
    </xf>
    <xf numFmtId="165" fontId="6" fillId="0" borderId="0" pivotButton="0" quotePrefix="0" xfId="0"/>
    <xf numFmtId="3" fontId="5" fillId="0" borderId="0" pivotButton="0" quotePrefix="0" xfId="0"/>
    <xf numFmtId="3" fontId="3" fillId="0" borderId="0" pivotButton="0" quotePrefix="0" xfId="0"/>
    <xf numFmtId="166" fontId="5" fillId="0" borderId="0" pivotButton="0" quotePrefix="0" xfId="0"/>
    <xf numFmtId="3" fontId="0" fillId="0" borderId="0" pivotButton="0" quotePrefix="0" xfId="0"/>
    <xf numFmtId="167" fontId="3" fillId="0" borderId="0" pivotButton="0" quotePrefix="0" xfId="0"/>
    <xf numFmtId="10" fontId="0" fillId="0" borderId="0" pivotButton="0" quotePrefix="0" xfId="0"/>
    <xf numFmtId="10" fontId="4" fillId="2" borderId="0" pivotButton="0" quotePrefix="0" xfId="0"/>
    <xf numFmtId="0" fontId="3" fillId="2" borderId="0" pivotButton="0" quotePrefix="0" xfId="0"/>
    <xf numFmtId="168" fontId="0" fillId="0" borderId="0" pivotButton="0" quotePrefix="0" xfId="0"/>
    <xf numFmtId="165" fontId="0" fillId="0" borderId="0" pivotButton="0" quotePrefix="0" xfId="0"/>
    <xf numFmtId="166" fontId="0" fillId="0" borderId="0" pivotButton="0" quotePrefix="0" xfId="0"/>
    <xf numFmtId="0" fontId="2"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s>
  <sheetData>
    <row r="1">
      <c r="A1" s="1" t="inlineStr">
        <is>
          <t>Palm Hills Developments — valuation workbook</t>
        </is>
      </c>
    </row>
    <row r="2">
      <c r="A2" s="2" t="inlineStr">
        <is>
          <t>Edition of 17 September 2026. Supersedes 10 September 2026.</t>
        </is>
      </c>
    </row>
    <row r="4" ht="30" customHeight="1">
      <c r="A4" s="3" t="inlineStr">
        <is>
          <t>This workbook is for information and education. It is not investment advice and carries no rating and no price target.</t>
        </is>
      </c>
    </row>
    <row r="5" ht="8" customHeight="1">
      <c r="A5" s="3" t="inlineStr"/>
    </row>
    <row r="6" ht="30" customHeight="1">
      <c r="A6" s="3" t="inlineStr">
        <is>
          <t>BLUE cells are inputs and live on the Assumptions sheet. BLACK cells are formulas. Change a blue cell and the statements, the discounted cash flow and the value per share all recompute.</t>
        </is>
      </c>
    </row>
    <row r="7" ht="8" customHeight="1">
      <c r="A7" s="3" t="inlineStr"/>
    </row>
    <row r="8" ht="30" customHeight="1">
      <c r="A8" s="3" t="inlineStr">
        <is>
          <t>Reported history comes only from the company's own audited statements and its own results releases. Where a figure the valuation needs is not disclosed, it is absent and named on the Assumptions sheet rather than estimated.</t>
        </is>
      </c>
    </row>
    <row r="9" ht="8" customHeight="1">
      <c r="A9" s="3" t="inlineStr"/>
    </row>
    <row r="10" ht="30" customHeight="1">
      <c r="A10" s="3" t="inlineStr">
        <is>
          <t>The single most important number in this workbook is cash conversion — the share of revenue that reaches operating cash flow. The company does not disclose its collection terms, so it is measured from the three published cash-flow statements and it spans 3.9% to 17.9%. The Sensitivity sheet shows what that does to the answer.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6" customWidth="1" min="3" max="3"/>
    <col width="16" customWidth="1" min="4" max="4"/>
    <col width="16" customWidth="1" min="5" max="5"/>
  </cols>
  <sheetData>
    <row r="1">
      <c r="A1" s="1" t="inlineStr">
        <is>
          <t>Summary</t>
        </is>
      </c>
    </row>
    <row r="2">
      <c r="A2" s="2" t="inlineStr">
        <is>
          <t>Every figure recomputes from Assumptions.</t>
        </is>
      </c>
    </row>
    <row r="4">
      <c r="A4" s="4" t="inlineStr">
        <is>
          <t>Lens</t>
        </is>
      </c>
      <c r="B4" s="5" t="inlineStr">
        <is>
          <t>Bear</t>
        </is>
      </c>
      <c r="C4" s="5" t="inlineStr">
        <is>
          <t>Base</t>
        </is>
      </c>
      <c r="D4" s="5" t="inlineStr">
        <is>
          <t>Full value</t>
        </is>
      </c>
      <c r="E4" s="5" t="inlineStr">
        <is>
          <t>Weight</t>
        </is>
      </c>
    </row>
    <row r="5">
      <c r="A5" s="6" t="inlineStr">
        <is>
          <t>Discounted cash flow</t>
        </is>
      </c>
      <c r="B5" s="7" t="n">
        <v>4.94</v>
      </c>
      <c r="C5" s="7" t="n">
        <v>20.88</v>
      </c>
      <c r="D5" s="7" t="n">
        <v>54.52</v>
      </c>
      <c r="E5" s="7" t="n"/>
    </row>
    <row r="6">
      <c r="A6" s="6" t="inlineStr">
        <is>
          <t>Earnings multiple on own history</t>
        </is>
      </c>
      <c r="B6" s="7" t="n">
        <v>5.58</v>
      </c>
      <c r="C6" s="7" t="n">
        <v>8.380000000000001</v>
      </c>
      <c r="D6" s="7" t="n">
        <v>13.03</v>
      </c>
      <c r="E6" s="7" t="n"/>
    </row>
    <row r="7">
      <c r="A7" s="6" t="inlineStr">
        <is>
          <t>Book value of equity — a disclosed floor</t>
        </is>
      </c>
      <c r="B7" s="7" t="n">
        <v>5.97</v>
      </c>
      <c r="C7" s="7" t="n">
        <v>6.63</v>
      </c>
      <c r="D7" s="7" t="n">
        <v>8.619999999999999</v>
      </c>
      <c r="E7" s="7" t="n"/>
    </row>
    <row r="8">
      <c r="A8" s="4" t="inlineStr">
        <is>
          <t>Weighted central</t>
        </is>
      </c>
      <c r="B8" s="7" t="n">
        <v>4.94</v>
      </c>
      <c r="C8" s="7" t="n">
        <v>20.88</v>
      </c>
      <c r="D8" s="7" t="n">
        <v>54.52</v>
      </c>
      <c r="E8" s="7" t="n">
        <v>1</v>
      </c>
    </row>
    <row r="10">
      <c r="A10" s="4" t="inlineStr">
        <is>
          <t>Valuation</t>
        </is>
      </c>
      <c r="B10" s="5" t="inlineStr">
        <is>
          <t>Per share (EGP)</t>
        </is>
      </c>
      <c r="C10" s="5" t="inlineStr">
        <is>
          <t>Equity (EGP mn)</t>
        </is>
      </c>
      <c r="D10" s="5" t="inlineStr">
        <is>
          <t>Enterprise value</t>
        </is>
      </c>
    </row>
    <row r="11">
      <c r="A11" s="6" t="inlineStr">
        <is>
          <t>Weak cash conversion (3.9%)</t>
        </is>
      </c>
      <c r="B11" s="7" t="n">
        <v>7.58</v>
      </c>
      <c r="C11" s="7" t="n">
        <v>21672</v>
      </c>
      <c r="D11" s="7" t="n">
        <v>41425</v>
      </c>
    </row>
    <row r="12">
      <c r="A12" s="6" t="inlineStr">
        <is>
          <t>Average cash conversion (8.7%)</t>
        </is>
      </c>
      <c r="B12" s="7" t="n">
        <v>20.88</v>
      </c>
      <c r="C12" s="7" t="n">
        <v>59722</v>
      </c>
      <c r="D12" s="7" t="n">
        <v>81877</v>
      </c>
    </row>
    <row r="13">
      <c r="A13" s="6" t="inlineStr">
        <is>
          <t>Strong cash conversion (17.9%)</t>
        </is>
      </c>
      <c r="B13" s="7" t="n">
        <v>46.39</v>
      </c>
      <c r="C13" s="7" t="n">
        <v>132669</v>
      </c>
      <c r="D13" s="7" t="n">
        <v>159428</v>
      </c>
    </row>
    <row r="14">
      <c r="A14" s="6" t="inlineStr">
        <is>
          <t>Average, alternative country-risk basis</t>
        </is>
      </c>
      <c r="B14" s="7" t="n">
        <v>20.49</v>
      </c>
      <c r="C14" s="7" t="n">
        <v>58611</v>
      </c>
      <c r="D14" s="7" t="n">
        <v>80695</v>
      </c>
    </row>
    <row r="16">
      <c r="A16" s="6" t="inlineStr">
        <is>
          <t>Market price, 23 Aug 2026</t>
        </is>
      </c>
      <c r="B16" s="8" t="n">
        <v>14.4</v>
      </c>
    </row>
    <row r="17">
      <c r="A17" s="6" t="inlineStr">
        <is>
          <t>Book value of equity per share</t>
        </is>
      </c>
      <c r="B17" s="7" t="n">
        <v>6.63</v>
      </c>
    </row>
    <row r="18">
      <c r="A18" s="6" t="inlineStr">
        <is>
          <t>Cash conversion implied by the market price</t>
        </is>
      </c>
      <c r="B18" s="9" t="n">
        <v>0.0639</v>
      </c>
    </row>
    <row r="20">
      <c r="A20" s="4" t="inlineStr">
        <is>
          <t>Cost of capital</t>
        </is>
      </c>
    </row>
    <row r="21">
      <c r="A21" s="6" t="inlineStr">
        <is>
          <t>Weighted average, rating basis</t>
        </is>
      </c>
      <c r="B21" s="9" t="n">
        <v>0.2583068424344719</v>
      </c>
    </row>
    <row r="22">
      <c r="A22" s="6" t="inlineStr">
        <is>
          <t>Weighted average, swap basis</t>
        </is>
      </c>
      <c r="B22" s="9" t="n">
        <v>0.249647238833035</v>
      </c>
    </row>
    <row r="23">
      <c r="A23" s="6" t="inlineStr">
        <is>
          <t>11 June 2026 edition used</t>
        </is>
      </c>
      <c r="B23" s="9" t="n">
        <v>0.18</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8" customWidth="1" min="2" max="2"/>
  </cols>
  <sheetData>
    <row r="1">
      <c r="A1" s="1" t="inlineStr">
        <is>
          <t>Fundamental valuation — bridge to equity</t>
        </is>
      </c>
    </row>
    <row r="2">
      <c r="A2" s="2" t="inlineStr">
        <is>
          <t>All formulas; drivers live on Assumptions.</t>
        </is>
      </c>
    </row>
    <row r="4">
      <c r="A4" s="6" t="inlineStr">
        <is>
          <t>Present value of the explicit 15 years (2026-2040)</t>
        </is>
      </c>
      <c r="B4" s="10">
        <f>DCF!B20</f>
        <v/>
      </c>
    </row>
    <row r="5">
      <c r="A5" s="6" t="inlineStr">
        <is>
          <t>Present value of the terminal value</t>
        </is>
      </c>
      <c r="B5" s="10">
        <f>DCF!B25</f>
        <v/>
      </c>
    </row>
    <row r="6">
      <c r="A6" s="4" t="inlineStr">
        <is>
          <t>Enterprise value</t>
        </is>
      </c>
      <c r="B6" s="10">
        <f>B4+B5</f>
        <v/>
      </c>
    </row>
    <row r="7">
      <c r="A7" s="6" t="inlineStr">
        <is>
          <t>less net debt, 31 March 2026</t>
        </is>
      </c>
      <c r="B7" s="10">
        <f>-Assumptions!B14</f>
        <v/>
      </c>
    </row>
    <row r="8">
      <c r="A8" s="6" t="inlineStr">
        <is>
          <t>plus investments in associates</t>
        </is>
      </c>
      <c r="B8" s="10">
        <f>Assumptions!B15</f>
        <v/>
      </c>
    </row>
    <row r="9">
      <c r="A9" s="6" t="inlineStr">
        <is>
          <t>plus investment property</t>
        </is>
      </c>
      <c r="B9" s="10">
        <f>Assumptions!B16</f>
        <v/>
      </c>
    </row>
    <row r="10">
      <c r="A10" s="4" t="inlineStr">
        <is>
          <t>Equity value before minority interests</t>
        </is>
      </c>
      <c r="B10" s="10">
        <f>B6+B7+B8+B9</f>
        <v/>
      </c>
    </row>
    <row r="11">
      <c r="A11" s="6" t="inlineStr">
        <is>
          <t>less minority interests at their share of value</t>
        </is>
      </c>
      <c r="B11" s="10">
        <f>-B10*Assumptions!B17</f>
        <v/>
      </c>
    </row>
    <row r="12">
      <c r="A12" s="4" t="inlineStr">
        <is>
          <t>Equity value attributable to shareholders</t>
        </is>
      </c>
      <c r="B12" s="10">
        <f>B10+B11</f>
        <v/>
      </c>
    </row>
    <row r="13">
      <c r="A13" s="6" t="inlineStr">
        <is>
          <t>Shares outstanding (mn)</t>
        </is>
      </c>
      <c r="B13" s="10">
        <f>Assumptions!B18</f>
        <v/>
      </c>
    </row>
    <row r="14">
      <c r="A14" s="4" t="inlineStr">
        <is>
          <t>Value per share (EGP)</t>
        </is>
      </c>
      <c r="B14" s="7">
        <f>B12/B13</f>
        <v/>
      </c>
    </row>
    <row r="16">
      <c r="A16" s="6" t="inlineStr">
        <is>
          <t>Terminal value as a share of enterprise value</t>
        </is>
      </c>
      <c r="B16" s="11">
        <f>B5/B6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62" customWidth="1" min="3" max="3"/>
  </cols>
  <sheetData>
    <row r="1">
      <c r="A1" s="1" t="inlineStr">
        <is>
          <t>Assumptions — every blue cell is an input</t>
        </is>
      </c>
    </row>
    <row r="2">
      <c r="A2" s="2" t="inlineStr">
        <is>
          <t>Change one and the whole workbook recomputes.</t>
        </is>
      </c>
    </row>
    <row r="4">
      <c r="A4" s="5" t="inlineStr">
        <is>
          <t>Driver</t>
        </is>
      </c>
      <c r="B4" s="5" t="inlineStr">
        <is>
          <t>Value</t>
        </is>
      </c>
      <c r="C4" s="5" t="inlineStr">
        <is>
          <t>Source</t>
        </is>
      </c>
    </row>
    <row r="5">
      <c r="A5" s="6" t="inlineStr">
        <is>
          <t>Cash conversion — central</t>
        </is>
      </c>
      <c r="B5" s="12" t="n">
        <v>0.08713663734609707</v>
      </c>
      <c r="C5" s="2" t="inlineStr">
        <is>
          <t>mean of the three published cash-flow statements</t>
        </is>
      </c>
    </row>
    <row r="6">
      <c r="A6" s="6" t="inlineStr">
        <is>
          <t>Cash conversion — weak</t>
        </is>
      </c>
      <c r="B6" s="12" t="n">
        <v>0.03937593483976742</v>
      </c>
      <c r="C6" s="2" t="inlineStr">
        <is>
          <t>2023 and 2025 outcome</t>
        </is>
      </c>
    </row>
    <row r="7">
      <c r="A7" s="6" t="inlineStr">
        <is>
          <t>Cash conversion — strong</t>
        </is>
      </c>
      <c r="B7" s="12" t="n">
        <v>0.1787001284632628</v>
      </c>
      <c r="C7" s="2" t="inlineStr">
        <is>
          <t>2024 outcome</t>
        </is>
      </c>
    </row>
    <row r="8">
      <c r="A8" s="6" t="inlineStr">
        <is>
          <t>Gross margin</t>
        </is>
      </c>
      <c r="B8" s="12" t="n">
        <v>0.3541542796362945</v>
      </c>
      <c r="C8" s="2" t="inlineStr">
        <is>
          <t>the first quarter of 2026 on its own, the latest disclosure; NOT an average (FY2025 was 41.16%, 1Q2026 35.42%)</t>
        </is>
      </c>
    </row>
    <row r="9">
      <c r="A9" s="6" t="inlineStr">
        <is>
          <t>Overheads as a share of revenue</t>
        </is>
      </c>
      <c r="B9" s="12" t="n">
        <v>0.1759945589215163</v>
      </c>
      <c r="C9" s="2" t="inlineStr">
        <is>
          <t>FY2025 as reported</t>
        </is>
      </c>
    </row>
    <row r="10">
      <c r="A10" s="6" t="inlineStr">
        <is>
          <t>Price and cost escalation, 2026 — the house path</t>
        </is>
      </c>
      <c r="B10" s="12" t="n">
        <v>0.16</v>
      </c>
      <c r="C10" s="2" t="inlineStr">
        <is>
          <t>the house Egyptian inflation path [R-MACRO-01], read by the model: 16 per cent in 2026 falling to 12 / 9 / 7.5 / 7 and holding 7 to the terminal, published year by year on the DCF sheet row 5. ONE escalator drives price and cost alike, which is why gross margin is flat by construction and is sensitised in the study rather than extrapolated. The Egyptian CPI three-year trailing mean of 25.2 per cent (World Bank WDI, 2023-25) is NOT used and is named here so the reader knows it was considered and rejected: a trailing mean of the worst inflation in Egypt's recent record is not a forecast, and the central bank's own published target contradicts it</t>
        </is>
      </c>
    </row>
    <row r="11">
      <c r="A11" s="6" t="inlineStr">
        <is>
          <t>Terminal growth</t>
        </is>
      </c>
      <c r="B11" s="12" t="n">
        <v>0.07000000000000006</v>
      </c>
      <c r="C11" s="2" t="inlineStr">
        <is>
          <t>the terminal growth this model runs, read from the valuation module</t>
        </is>
      </c>
    </row>
    <row r="12">
      <c r="A12" s="6" t="inlineStr">
        <is>
          <t>Cost of capital — ADOPTED (traded default-swap basis)</t>
        </is>
      </c>
      <c r="B12" s="12" t="n">
        <v>0.249647238833035</v>
      </c>
      <c r="C12" s="2" t="inlineStr">
        <is>
          <t>the rate this model discounts at; section 1.8 marks it adopted</t>
        </is>
      </c>
    </row>
    <row r="13">
      <c r="A13" s="6" t="inlineStr">
        <is>
          <t>Cost of capital — alternative (credit-rating basis), not used</t>
        </is>
      </c>
      <c r="B13" s="12" t="n">
        <v>0.2583068424344719</v>
      </c>
      <c r="C13" s="2" t="inlineStr">
        <is>
          <t>published for comparison only; no cell on this sheet reads it</t>
        </is>
      </c>
    </row>
    <row r="14">
      <c r="A14" s="6" t="inlineStr">
        <is>
          <t>Net debt (EGP mn)</t>
        </is>
      </c>
      <c r="B14" s="13" t="n">
        <v>23244.718678</v>
      </c>
      <c r="C14" s="2" t="inlineStr">
        <is>
          <t>gross borrowings less cash, 31 March 2026 reviewed balance sheet</t>
        </is>
      </c>
    </row>
    <row r="15">
      <c r="A15" s="6" t="inlineStr">
        <is>
          <t>Investments in associates (EGP mn)</t>
        </is>
      </c>
      <c r="B15" s="13" t="n">
        <v>3838.697211</v>
      </c>
      <c r="C15" s="2" t="inlineStr">
        <is>
          <t>31 March 2026 reviewed balance sheet</t>
        </is>
      </c>
    </row>
    <row r="16">
      <c r="A16" s="6" t="inlineStr">
        <is>
          <t>Investment property (EGP mn)</t>
        </is>
      </c>
      <c r="B16" s="13" t="n">
        <v>1020.474869</v>
      </c>
      <c r="C16" s="2" t="inlineStr">
        <is>
          <t>31 March 2026 reviewed balance sheet</t>
        </is>
      </c>
    </row>
    <row r="17">
      <c r="A17" s="6" t="inlineStr">
        <is>
          <t>Minority interests, share of equity value</t>
        </is>
      </c>
      <c r="B17" s="12" t="n">
        <v>0.05936678705730839</v>
      </c>
      <c r="C17" s="2" t="inlineStr">
        <is>
          <t>the MEAN of the minority's filed share of profit after tax over FY2023-FY2025, as its share of value [adopted 17-09-2026]. The FY2025 share alone and the book share of equity are published in the study beside it; the single year is not adopted because a one-observation anchor is what this study refuses elsewhere</t>
        </is>
      </c>
    </row>
    <row r="18">
      <c r="A18" s="6" t="inlineStr">
        <is>
          <t>Shares outstanding (mn)</t>
        </is>
      </c>
      <c r="B18" s="13" t="n">
        <v>2859.92</v>
      </c>
      <c r="C18" s="2" t="inlineStr">
        <is>
          <t>FY2025</t>
        </is>
      </c>
    </row>
    <row r="19">
      <c r="A19" s="6" t="inlineStr">
        <is>
          <t>Opening revenue (EGP mn)</t>
        </is>
      </c>
      <c r="B19" s="13" t="n">
        <v>36169.3</v>
      </c>
      <c r="C19" s="2" t="inlineStr">
        <is>
          <t>FY2025 audited</t>
        </is>
      </c>
    </row>
    <row r="20">
      <c r="A20" s="6" t="inlineStr">
        <is>
          <t>Opening order book (EGP mn)</t>
        </is>
      </c>
      <c r="B20" s="13" t="n">
        <v>263000</v>
      </c>
      <c r="C20" s="2" t="inlineStr">
        <is>
          <t>as at 31 March 2026</t>
        </is>
      </c>
    </row>
    <row r="21">
      <c r="A21" s="6" t="inlineStr">
        <is>
          <t>Units delivered, 2026</t>
        </is>
      </c>
      <c r="B21" s="14" t="n">
        <v>2041.734029265849</v>
      </c>
      <c r="C21" s="2" t="inlineStr">
        <is>
          <t>implied by the reported first quarter of 2026</t>
        </is>
      </c>
    </row>
    <row r="22">
      <c r="A22" s="6" t="inlineStr">
        <is>
          <t>Units delivered, annual growth</t>
        </is>
      </c>
      <c r="B22" s="12" t="n">
        <v>0.15</v>
      </c>
      <c r="C22" s="2" t="inlineStr">
        <is>
          <t>the disclosed run of handovers, 1,308 / 1,281 / 1,500 / 2,000</t>
        </is>
      </c>
    </row>
    <row r="23">
      <c r="A23" s="6" t="inlineStr">
        <is>
          <t>Revenue per delivered unit, 2026 (EGP mn)</t>
        </is>
      </c>
      <c r="B23" s="8" t="n">
        <v>19.727806568</v>
      </c>
      <c r="C23" s="2" t="inlineStr">
        <is>
          <t>FY2024 revenue over c. 2,000 units delivered, escalated</t>
        </is>
      </c>
    </row>
    <row r="24">
      <c r="A24" s="6" t="inlineStr">
        <is>
          <t>Maintenance capital expenditure, share of revenue</t>
        </is>
      </c>
      <c r="B24" s="12" t="n">
        <v>0.01</v>
      </c>
      <c r="C24" s="2" t="inlineStr">
        <is>
          <t>the building itself is inventory and sits in operating cash</t>
        </is>
      </c>
    </row>
    <row r="25">
      <c r="A25" s="6" t="inlineStr">
        <is>
          <t>Depreciation and amortisation, share of revenue</t>
        </is>
      </c>
      <c r="B25" s="12" t="n">
        <v>0.009779011482113282</v>
      </c>
      <c r="C25" s="2" t="inlineStr">
        <is>
          <t>FY2025 as reported: depreciation and amortisation over revenue</t>
        </is>
      </c>
    </row>
    <row r="26">
      <c r="A26" s="6" t="inlineStr">
        <is>
          <t>Interest-bearing borrowings (EGP mn)</t>
        </is>
      </c>
      <c r="B26" s="13" t="n">
        <v>24069.4</v>
      </c>
      <c r="C26" s="2" t="inlineStr">
        <is>
          <t>the bank and loan lines only, FY2025: a large part of the balance sheet (notes payable to land sellers, customer balances) does not bear interest</t>
        </is>
      </c>
    </row>
    <row r="27">
      <c r="A27" s="6" t="inlineStr">
        <is>
          <t>Effective P&amp;L rate on those borrowings</t>
        </is>
      </c>
      <c r="B27" s="12" t="n">
        <v>0.1390770023349149</v>
      </c>
      <c r="C27" s="2" t="inlineStr">
        <is>
          <t>FY2025 finance cost over the interest-bearing subset above. NOT the marginal rate: part of the interest incurred is capitalised into work in progress. The charge is held at this level, flat and nominal, for all fifteen years while revenue grows sixfold — the alternative footing is priced in the study's contested-judgement record</t>
        </is>
      </c>
    </row>
    <row r="28">
      <c r="A28" s="6" t="inlineStr">
        <is>
          <t>Tax rate</t>
        </is>
      </c>
      <c r="B28" s="12" t="n">
        <v>0.225</v>
      </c>
      <c r="C28" s="2" t="inlineStr">
        <is>
          <t>PHD's own tax note computes FY2025 and FY2024 current tax at this rate on net taxable profit</t>
        </is>
      </c>
    </row>
    <row r="30">
      <c r="A30" s="4" t="inlineStr">
        <is>
          <t>NOT DISCLOSED — absent by design, never estimated</t>
        </is>
      </c>
    </row>
    <row r="31">
      <c r="A31" s="6" t="inlineStr">
        <is>
          <t>cash flow statement detail</t>
        </is>
      </c>
      <c r="C31" s="2" t="inlineStr">
        <is>
          <t>PHD's earnings releases publish the cash-flow statement in three totals only — re-verified 17-09-2026 on the 1Q2026 and 4Q2024 releases — and FY2025 has no release at all, so the t</t>
        </is>
      </c>
    </row>
    <row r="32">
      <c r="A32" s="6" t="inlineStr">
        <is>
          <t>fy2025 results release</t>
        </is>
      </c>
      <c r="C32" s="2" t="inlineStr">
        <is>
          <t>PHD has published FY2025 consolidated statements but NO FY2025 full-year results release. The release is where units sold, new sales, deliveries and construction spend are disclose</t>
        </is>
      </c>
    </row>
    <row r="33">
      <c r="A33" s="6" t="inlineStr">
        <is>
          <t>h1 2026 results</t>
        </is>
      </c>
      <c r="C33" s="2" t="inlineStr">
        <is>
          <t>PHD's reviewed consolidated statements to 30 June 2026 are REPORTED to have been filed with the Egyptian Exchange on 18 August 2026, and an external audit of this study quotes figu</t>
        </is>
      </c>
    </row>
    <row r="34">
      <c r="A34" s="6" t="inlineStr">
        <is>
          <t>securitisation pricing</t>
        </is>
      </c>
      <c r="C34" s="2" t="inlineStr">
        <is>
          <t>The EGP 2.015bn securitisation of 4-Feb-2026 discloses tranche sizes, tenors and national-scale ratings but NO coupon on any tranche, so the company's own marginal cost of debt can</t>
        </is>
      </c>
    </row>
    <row r="35">
      <c r="A35" s="6" t="inlineStr">
        <is>
          <t>per project pricing</t>
        </is>
      </c>
      <c r="C35" s="2" t="inlineStr">
        <is>
          <t>The company does not disclose per-project unit mix, average unit area, price per square metre or construction cost per square metre. The 11-Jun-2026 edition carried a full per-proj</t>
        </is>
      </c>
    </row>
    <row r="36">
      <c r="A36" s="6" t="inlineStr">
        <is>
          <t>backlog cost to complete</t>
        </is>
      </c>
      <c r="C36" s="2" t="inlineStr">
        <is>
          <t>Remaining construction cost against the EGP 263bn backlog is not disclosed as a single figure. It is inferred in the model from the realised gross margin and flagged where used.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8" customWidth="1" min="2" max="2"/>
  </cols>
  <sheetData>
    <row r="1">
      <c r="A1" s="1" t="inlineStr">
        <is>
          <t>Bridge from enterprise value to equity</t>
        </is>
      </c>
    </row>
    <row r="2">
      <c r="A2" s="2" t="inlineStr">
        <is>
          <t>A developer is one business; the bridge is the parts that sit outside the operating cash flows.</t>
        </is>
      </c>
    </row>
    <row r="4">
      <c r="A4" s="6" t="inlineStr">
        <is>
          <t>Operating business, discounted cash flow</t>
        </is>
      </c>
      <c r="B4" s="10" t="n">
        <v>81876.60000000001</v>
      </c>
    </row>
    <row r="5">
      <c r="A5" s="6" t="inlineStr">
        <is>
          <t>Investments in associates, 31 March 2026</t>
        </is>
      </c>
      <c r="B5" s="10" t="n">
        <v>3838.7</v>
      </c>
    </row>
    <row r="6">
      <c r="A6" s="6" t="inlineStr">
        <is>
          <t>Investment property, 31 March 2026</t>
        </is>
      </c>
      <c r="B6" s="10" t="n">
        <v>1020.5</v>
      </c>
    </row>
    <row r="7">
      <c r="A7" s="6" t="inlineStr">
        <is>
          <t>Cash, 31 March 2026</t>
        </is>
      </c>
      <c r="B7" s="10" t="n">
        <v>9125.1</v>
      </c>
    </row>
    <row r="8">
      <c r="A8" s="6" t="inlineStr">
        <is>
          <t>Gross borrowings, 31 March 2026</t>
        </is>
      </c>
      <c r="B8" s="10" t="n">
        <v>-32369.8</v>
      </c>
    </row>
    <row r="9">
      <c r="A9" s="6" t="inlineStr">
        <is>
          <t>Minority interests at their share of value</t>
        </is>
      </c>
      <c r="B9" s="10">
        <f>-(B4+B5+B6+B7+B8)*Assumptions!B17</f>
        <v/>
      </c>
    </row>
    <row r="10">
      <c r="A10" s="4" t="inlineStr">
        <is>
          <t>Equity value attributable to shareholders</t>
        </is>
      </c>
      <c r="B10" s="10">
        <f>B4+B5+B6+B7+B8+B9</f>
        <v/>
      </c>
    </row>
    <row r="11">
      <c r="A11" s="4" t="inlineStr">
        <is>
          <t>Per share (EGP)</t>
        </is>
      </c>
      <c r="B11" s="7">
        <f>B10/Assumptions!B18</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Units and prices by region — the forecast's drivers</t>
        </is>
      </c>
    </row>
    <row r="2">
      <c r="A2" s="2" t="inlineStr">
        <is>
          <t>New sales value and unit counts are both disclosed per region; the price per unit is one divided by the other.</t>
        </is>
      </c>
    </row>
    <row r="4">
      <c r="A4" s="4" t="inlineStr">
        <is>
          <t>North Coast &amp; Alexandria</t>
        </is>
      </c>
    </row>
    <row r="5">
      <c r="A5" s="5" t="inlineStr">
        <is>
          <t>Year</t>
        </is>
      </c>
      <c r="B5" s="5" t="n">
        <v>2020</v>
      </c>
      <c r="C5" s="5" t="n">
        <v>2021</v>
      </c>
      <c r="D5" s="5" t="n">
        <v>2022</v>
      </c>
      <c r="E5" s="5" t="n">
        <v>2023</v>
      </c>
      <c r="F5" s="5" t="n">
        <v>2024</v>
      </c>
    </row>
    <row r="6">
      <c r="A6" s="6" t="inlineStr">
        <is>
          <t>New sales (EGP mn)</t>
        </is>
      </c>
      <c r="B6" s="14" t="n">
        <v>4205</v>
      </c>
      <c r="C6" s="14" t="n">
        <v>7139</v>
      </c>
      <c r="D6" s="14" t="n">
        <v>5627</v>
      </c>
      <c r="E6" s="14" t="n">
        <v>13900</v>
      </c>
      <c r="F6" s="14" t="n">
        <v>95082</v>
      </c>
    </row>
    <row r="7">
      <c r="A7" s="6" t="inlineStr">
        <is>
          <t>Units sold</t>
        </is>
      </c>
      <c r="B7" s="14" t="n">
        <v>726</v>
      </c>
      <c r="C7" s="14" t="n">
        <v>1552</v>
      </c>
      <c r="D7" s="14" t="n">
        <v>800</v>
      </c>
      <c r="E7" s="14" t="n">
        <v>1231</v>
      </c>
      <c r="F7" s="14" t="n">
        <v>4192</v>
      </c>
    </row>
    <row r="8">
      <c r="A8" s="6" t="inlineStr">
        <is>
          <t>Price per unit (EGP mn)</t>
        </is>
      </c>
      <c r="B8" s="8" t="n">
        <v>5.792011019283747</v>
      </c>
      <c r="C8" s="8" t="n">
        <v>4.599871134020619</v>
      </c>
      <c r="D8" s="8" t="n">
        <v>7.03375</v>
      </c>
      <c r="E8" s="8" t="n">
        <v>11.29163281884647</v>
      </c>
      <c r="F8" s="8" t="n">
        <v>22.68177480916031</v>
      </c>
    </row>
    <row r="9">
      <c r="A9" s="2" t="inlineStr">
        <is>
          <t>carried forward at 2074 units, price 22.68, escalated</t>
        </is>
      </c>
    </row>
    <row r="11">
      <c r="A11" s="4" t="inlineStr">
        <is>
          <t>West Cairo &amp; Badya</t>
        </is>
      </c>
    </row>
    <row r="12">
      <c r="A12" s="5" t="inlineStr">
        <is>
          <t>Year</t>
        </is>
      </c>
      <c r="B12" s="5" t="n">
        <v>2020</v>
      </c>
      <c r="C12" s="5" t="n">
        <v>2021</v>
      </c>
      <c r="D12" s="5" t="n">
        <v>2022</v>
      </c>
      <c r="E12" s="5" t="n">
        <v>2023</v>
      </c>
      <c r="F12" s="5" t="n">
        <v>2024</v>
      </c>
    </row>
    <row r="13">
      <c r="A13" s="6" t="inlineStr">
        <is>
          <t>New sales (EGP mn)</t>
        </is>
      </c>
      <c r="B13" s="14" t="n">
        <v>6627</v>
      </c>
      <c r="C13" s="14" t="n">
        <v>7258</v>
      </c>
      <c r="D13" s="14" t="n">
        <v>13118</v>
      </c>
      <c r="E13" s="14" t="n">
        <v>32332</v>
      </c>
      <c r="F13" s="14" t="n">
        <v>44570</v>
      </c>
    </row>
    <row r="14">
      <c r="A14" s="6" t="inlineStr">
        <is>
          <t>Units sold</t>
        </is>
      </c>
      <c r="B14" s="14" t="n">
        <v>858</v>
      </c>
      <c r="C14" s="14" t="n">
        <v>1416</v>
      </c>
      <c r="D14" s="14" t="n">
        <v>2039</v>
      </c>
      <c r="E14" s="14" t="n">
        <v>2950</v>
      </c>
      <c r="F14" s="14" t="n">
        <v>2839</v>
      </c>
    </row>
    <row r="15">
      <c r="A15" s="6" t="inlineStr">
        <is>
          <t>Price per unit (EGP mn)</t>
        </is>
      </c>
      <c r="B15" s="8" t="n">
        <v>7.723776223776224</v>
      </c>
      <c r="C15" s="8" t="n">
        <v>5.125706214689266</v>
      </c>
      <c r="D15" s="8" t="n">
        <v>6.433545855811673</v>
      </c>
      <c r="E15" s="8" t="n">
        <v>10.96</v>
      </c>
      <c r="F15" s="8" t="n">
        <v>15.69918985558295</v>
      </c>
    </row>
    <row r="16">
      <c r="A16" s="2" t="inlineStr">
        <is>
          <t>carried forward at 2609 units, price 15.70, escalated</t>
        </is>
      </c>
    </row>
    <row r="18">
      <c r="A18" s="4" t="inlineStr">
        <is>
          <t>East Cairo</t>
        </is>
      </c>
    </row>
    <row r="19">
      <c r="A19" s="5" t="inlineStr">
        <is>
          <t>Year</t>
        </is>
      </c>
      <c r="B19" s="5" t="n">
        <v>2020</v>
      </c>
      <c r="C19" s="5" t="n">
        <v>2021</v>
      </c>
      <c r="D19" s="5" t="n">
        <v>2022</v>
      </c>
      <c r="E19" s="5" t="n">
        <v>2023</v>
      </c>
      <c r="F19" s="5" t="n">
        <v>2024</v>
      </c>
    </row>
    <row r="20">
      <c r="A20" s="6" t="inlineStr">
        <is>
          <t>New sales (EGP mn)</t>
        </is>
      </c>
      <c r="B20" s="14" t="n">
        <v>1947</v>
      </c>
      <c r="C20" s="14" t="n">
        <v>2892</v>
      </c>
      <c r="D20" s="14" t="n">
        <v>7265</v>
      </c>
      <c r="E20" s="14" t="n">
        <v>13270</v>
      </c>
      <c r="F20" s="14" t="n">
        <v>11364</v>
      </c>
    </row>
    <row r="21">
      <c r="A21" s="6" t="inlineStr">
        <is>
          <t>Units sold</t>
        </is>
      </c>
      <c r="B21" s="14" t="n">
        <v>256</v>
      </c>
      <c r="C21" s="14" t="n">
        <v>382</v>
      </c>
      <c r="D21" s="14" t="n">
        <v>1194</v>
      </c>
      <c r="E21" s="14" t="n">
        <v>1200</v>
      </c>
      <c r="F21" s="14" t="n">
        <v>453</v>
      </c>
    </row>
    <row r="22">
      <c r="A22" s="6" t="inlineStr">
        <is>
          <t>Price per unit (EGP mn)</t>
        </is>
      </c>
      <c r="B22" s="8" t="n">
        <v>7.60546875</v>
      </c>
      <c r="C22" s="8" t="n">
        <v>7.570680628272251</v>
      </c>
      <c r="D22" s="8" t="n">
        <v>6.084589614740368</v>
      </c>
      <c r="E22" s="8" t="n">
        <v>11.05833333333333</v>
      </c>
      <c r="F22" s="8" t="n">
        <v>25.08609271523179</v>
      </c>
    </row>
    <row r="23">
      <c r="A23" s="2" t="inlineStr">
        <is>
          <t>carried forward at 949 units, price 25.09, escalated</t>
        </is>
      </c>
    </row>
    <row r="25">
      <c r="A25" s="4" t="inlineStr">
        <is>
          <t>Disclosed group drivers</t>
        </is>
      </c>
    </row>
    <row r="26">
      <c r="A26" s="5" t="inlineStr">
        <is>
          <t>Disclosed driver</t>
        </is>
      </c>
      <c r="B26" s="5" t="inlineStr">
        <is>
          <t>Value</t>
        </is>
      </c>
      <c r="C26" s="5" t="inlineStr">
        <is>
          <t>Note</t>
        </is>
      </c>
    </row>
    <row r="27">
      <c r="A27" s="6" t="inlineStr">
        <is>
          <t>New sales, 1Q2026 (EGP mn)</t>
        </is>
      </c>
      <c r="B27" s="14" t="n">
        <v>52000</v>
      </c>
      <c r="C27" s="2" t="inlineStr">
        <is>
          <t>includes EGP 24,000mn from one land-plot launch</t>
        </is>
      </c>
    </row>
    <row r="28">
      <c r="A28" s="6" t="inlineStr">
        <is>
          <t>New sales, FY2024 (EGP mn)</t>
        </is>
      </c>
      <c r="B28" s="14" t="n">
        <v>151016</v>
      </c>
      <c r="C28" s="2" t="inlineStr">
        <is>
          <t>chart series</t>
        </is>
      </c>
    </row>
    <row r="29">
      <c r="A29" s="6" t="inlineStr">
        <is>
          <t>Order book, 31 Mar 2026 (EGP mn)</t>
        </is>
      </c>
      <c r="B29" s="14" t="n">
        <v>263000</v>
      </c>
      <c r="C29" s="2" t="inlineStr">
        <is>
          <t>units sold and not yet delivered</t>
        </is>
      </c>
    </row>
    <row r="30">
      <c r="A30" s="6" t="inlineStr">
        <is>
          <t>Order book, FY2024 (EGP mn)</t>
        </is>
      </c>
      <c r="B30" s="14" t="n">
        <v>147000</v>
      </c>
      <c r="C30" s="2" t="inlineStr"/>
    </row>
    <row r="31">
      <c r="A31" s="6" t="inlineStr">
        <is>
          <t>Units sold, FY2023</t>
        </is>
      </c>
      <c r="B31" s="14" t="n">
        <v>5300</v>
      </c>
      <c r="C31" s="2" t="inlineStr">
        <is>
          <t>the last year the company disclosed a unit count</t>
        </is>
      </c>
    </row>
    <row r="32">
      <c r="A32" s="6" t="inlineStr">
        <is>
          <t>Units delivered, FY2023</t>
        </is>
      </c>
      <c r="B32" s="14" t="n">
        <v>1500</v>
      </c>
      <c r="C32" s="2" t="inlineStr"/>
    </row>
    <row r="33">
      <c r="A33" s="6" t="inlineStr">
        <is>
          <t>Construction spend, FY2024 (EGP mn)</t>
        </is>
      </c>
      <c r="B33" s="14" t="n">
        <v>8500</v>
      </c>
      <c r="C33" s="2" t="inlineStr"/>
    </row>
    <row r="34">
      <c r="A34" s="6" t="inlineStr">
        <is>
          <t>Cash collections, FY2024 (EGP mn)</t>
        </is>
      </c>
      <c r="B34" s="14" t="n">
        <v>25400</v>
      </c>
      <c r="C34" s="2" t="inlineStr"/>
    </row>
    <row r="35">
      <c r="A35" s="6" t="inlineStr">
        <is>
          <t>Land bank (mn sqm)</t>
        </is>
      </c>
      <c r="B35" s="13" t="n">
        <v>33</v>
      </c>
      <c r="C35" s="2" t="inlineStr"/>
    </row>
    <row r="37">
      <c r="A37" s="4" t="inlineStr">
        <is>
          <t>Build level: SEGMENT, not unit.</t>
        </is>
      </c>
    </row>
    <row r="38" ht="44" customHeight="1">
      <c r="A38" s="15" t="inlineStr">
        <is>
          <t>The company discloses no per-project unit mix, unit area, price per square metre or construction cost per square metre. The forecast is built at the finest level the disclosure supports and the limit is stated rather than filled.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 width="16" customWidth="1" min="3" max="3"/>
    <col width="16" customWidth="1" min="4" max="4"/>
  </cols>
  <sheetData>
    <row r="1">
      <c r="A1" s="1" t="inlineStr">
        <is>
          <t>Relative and normalised measures</t>
        </is>
      </c>
    </row>
    <row r="4">
      <c r="A4" s="4" t="inlineStr"/>
      <c r="B4" s="16" t="inlineStr">
        <is>
          <t>2023</t>
        </is>
      </c>
      <c r="C4" s="16" t="inlineStr">
        <is>
          <t>2024</t>
        </is>
      </c>
      <c r="D4" s="16" t="inlineStr">
        <is>
          <t>2025</t>
        </is>
      </c>
    </row>
    <row r="5">
      <c r="A5" s="6" t="inlineStr">
        <is>
          <t>Revenue</t>
        </is>
      </c>
      <c r="B5" s="10" t="n">
        <v>17462.1</v>
      </c>
      <c r="C5" s="10" t="n">
        <v>27167.3</v>
      </c>
      <c r="D5" s="10" t="n">
        <v>36169.3</v>
      </c>
    </row>
    <row r="6">
      <c r="A6" s="6" t="inlineStr">
        <is>
          <t>Cash from operations</t>
        </is>
      </c>
      <c r="B6" s="10" t="n">
        <v>756.7</v>
      </c>
      <c r="C6" s="10" t="n">
        <v>4854.8</v>
      </c>
      <c r="D6" s="10" t="n">
        <v>1424.2</v>
      </c>
    </row>
    <row r="7">
      <c r="A7" s="6" t="inlineStr">
        <is>
          <t>Cash conversion</t>
        </is>
      </c>
      <c r="B7" s="17">
        <f>B6/B5</f>
        <v/>
      </c>
      <c r="C7" s="17">
        <f>C6/C5</f>
        <v/>
      </c>
      <c r="D7" s="17">
        <f>D6/D5</f>
        <v/>
      </c>
    </row>
    <row r="9">
      <c r="A9" s="6" t="inlineStr">
        <is>
          <t>Price to book (market)</t>
        </is>
      </c>
      <c r="B9" s="18">
        <f>14.4000/6.6281</f>
        <v/>
      </c>
    </row>
    <row r="10">
      <c r="A10" s="6" t="inlineStr">
        <is>
          <t>Book value per share (EGP)</t>
        </is>
      </c>
      <c r="B10" s="7" t="n">
        <v>6.63</v>
      </c>
    </row>
    <row r="11">
      <c r="A11" s="6" t="inlineStr">
        <is>
          <t>Return on equity, 2025</t>
        </is>
      </c>
      <c r="B11" s="17">
        <f>4216.7/((18765.8+14624.7)/2)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s>
  <sheetData>
    <row r="1">
      <c r="A1" s="1" t="inlineStr">
        <is>
          <t>Discounted cash flow — central case</t>
        </is>
      </c>
    </row>
    <row r="2">
      <c r="A2" s="2" t="inlineStr">
        <is>
          <t>Units delivered times revenue per delivered unit, then every row a formula. Change a blue cell on Assumptions and this recomputes.</t>
        </is>
      </c>
    </row>
    <row r="4">
      <c r="A4" s="5" t="inlineStr">
        <is>
          <t>EGP million</t>
        </is>
      </c>
      <c r="B4" s="19" t="n">
        <v>2026</v>
      </c>
      <c r="C4" s="19" t="n">
        <v>2027</v>
      </c>
      <c r="D4" s="19" t="n">
        <v>2028</v>
      </c>
      <c r="E4" s="19" t="n">
        <v>2029</v>
      </c>
      <c r="F4" s="19" t="n">
        <v>2030</v>
      </c>
      <c r="G4" s="19" t="n">
        <v>2031</v>
      </c>
      <c r="H4" s="19" t="n">
        <v>2032</v>
      </c>
      <c r="I4" s="19" t="n">
        <v>2033</v>
      </c>
      <c r="J4" s="19" t="n">
        <v>2034</v>
      </c>
      <c r="K4" s="19" t="n">
        <v>2035</v>
      </c>
      <c r="L4" s="19" t="n">
        <v>2036</v>
      </c>
      <c r="M4" s="19" t="n">
        <v>2037</v>
      </c>
      <c r="N4" s="19" t="n">
        <v>2038</v>
      </c>
      <c r="O4" s="19" t="n">
        <v>2039</v>
      </c>
      <c r="P4" s="19" t="n">
        <v>2040</v>
      </c>
    </row>
    <row r="5">
      <c r="A5" s="6" t="inlineStr">
        <is>
          <t>Price and cost escalation</t>
        </is>
      </c>
      <c r="B5" s="17">
        <f>Assumptions!B10</f>
        <v/>
      </c>
      <c r="C5" s="20" t="n">
        <v>0.12</v>
      </c>
      <c r="D5" s="20" t="n">
        <v>0.09</v>
      </c>
      <c r="E5" s="20" t="n">
        <v>0.075</v>
      </c>
      <c r="F5" s="20" t="n">
        <v>0.07000000000000001</v>
      </c>
      <c r="G5" s="20" t="n">
        <v>0.07000000000000001</v>
      </c>
      <c r="H5" s="20" t="n">
        <v>0.07000000000000001</v>
      </c>
      <c r="I5" s="20" t="n">
        <v>0.07000000000000001</v>
      </c>
      <c r="J5" s="20" t="n">
        <v>0.07000000000000001</v>
      </c>
      <c r="K5" s="20" t="n">
        <v>0.07000000000000001</v>
      </c>
      <c r="L5" s="20" t="n">
        <v>0.07000000000000001</v>
      </c>
      <c r="M5" s="20" t="n">
        <v>0.07000000000000001</v>
      </c>
      <c r="N5" s="20" t="n">
        <v>0.07000000000000001</v>
      </c>
      <c r="O5" s="20" t="n">
        <v>0.07000000000000001</v>
      </c>
      <c r="P5" s="20" t="n">
        <v>0.07000000000000001</v>
      </c>
      <c r="Q5" s="2" t="inlineStr">
        <is>
          <t>the house inflation path; year one reads Assumptions!B10</t>
        </is>
      </c>
    </row>
    <row r="6">
      <c r="A6" s="6" t="inlineStr">
        <is>
          <t>Growth in units delivered</t>
        </is>
      </c>
      <c r="B6" s="20" t="n">
        <v>0</v>
      </c>
      <c r="C6" s="20" t="n">
        <v>0.15</v>
      </c>
      <c r="D6" s="20" t="n">
        <v>0.135</v>
      </c>
      <c r="E6" s="20" t="n">
        <v>0.12</v>
      </c>
      <c r="F6" s="20" t="n">
        <v>0.105</v>
      </c>
      <c r="G6" s="20" t="n">
        <v>0.09</v>
      </c>
      <c r="H6" s="20" t="n">
        <v>0.075</v>
      </c>
      <c r="I6" s="20" t="n">
        <v>0.06</v>
      </c>
      <c r="J6" s="20" t="n">
        <v>0.045</v>
      </c>
      <c r="K6" s="20" t="n">
        <v>0.03</v>
      </c>
      <c r="L6" s="20" t="n">
        <v>0.015</v>
      </c>
      <c r="M6" s="20" t="n">
        <v>0</v>
      </c>
      <c r="N6" s="20" t="n">
        <v>0</v>
      </c>
      <c r="O6" s="20" t="n">
        <v>0</v>
      </c>
      <c r="P6" s="20" t="n">
        <v>0</v>
      </c>
      <c r="Q6" s="2" t="inlineStr">
        <is>
          <t>the disclosed run, fading to nothing</t>
        </is>
      </c>
    </row>
    <row r="7">
      <c r="A7" s="6" t="inlineStr">
        <is>
          <t>Units delivered</t>
        </is>
      </c>
      <c r="B7" s="21">
        <f>Assumptions!$B$21</f>
        <v/>
      </c>
      <c r="C7" s="21">
        <f>B7*(1+C6)</f>
        <v/>
      </c>
      <c r="D7" s="21">
        <f>C7*(1+D6)</f>
        <v/>
      </c>
      <c r="E7" s="21">
        <f>D7*(1+E6)</f>
        <v/>
      </c>
      <c r="F7" s="21">
        <f>E7*(1+F6)</f>
        <v/>
      </c>
      <c r="G7" s="21">
        <f>F7*(1+G6)</f>
        <v/>
      </c>
      <c r="H7" s="21">
        <f>G7*(1+H6)</f>
        <v/>
      </c>
      <c r="I7" s="21">
        <f>H7*(1+I6)</f>
        <v/>
      </c>
      <c r="J7" s="21">
        <f>I7*(1+J6)</f>
        <v/>
      </c>
      <c r="K7" s="21">
        <f>J7*(1+K6)</f>
        <v/>
      </c>
      <c r="L7" s="21">
        <f>K7*(1+L6)</f>
        <v/>
      </c>
      <c r="M7" s="21">
        <f>L7*(1+M6)</f>
        <v/>
      </c>
      <c r="N7" s="21">
        <f>M7*(1+N6)</f>
        <v/>
      </c>
      <c r="O7" s="21">
        <f>N7*(1+O6)</f>
        <v/>
      </c>
      <c r="P7" s="21">
        <f>O7*(1+P6)</f>
        <v/>
      </c>
    </row>
    <row r="8">
      <c r="A8" s="6" t="inlineStr">
        <is>
          <t>Revenue per delivered unit</t>
        </is>
      </c>
      <c r="B8" s="7">
        <f>Assumptions!$B$23</f>
        <v/>
      </c>
      <c r="C8" s="7">
        <f>B8*(1+C5)</f>
        <v/>
      </c>
      <c r="D8" s="7">
        <f>C8*(1+D5)</f>
        <v/>
      </c>
      <c r="E8" s="7">
        <f>D8*(1+E5)</f>
        <v/>
      </c>
      <c r="F8" s="7">
        <f>E8*(1+F5)</f>
        <v/>
      </c>
      <c r="G8" s="7">
        <f>F8*(1+G5)</f>
        <v/>
      </c>
      <c r="H8" s="7">
        <f>G8*(1+H5)</f>
        <v/>
      </c>
      <c r="I8" s="7">
        <f>H8*(1+I5)</f>
        <v/>
      </c>
      <c r="J8" s="7">
        <f>I8*(1+J5)</f>
        <v/>
      </c>
      <c r="K8" s="7">
        <f>J8*(1+K5)</f>
        <v/>
      </c>
      <c r="L8" s="7">
        <f>K8*(1+L5)</f>
        <v/>
      </c>
      <c r="M8" s="7">
        <f>L8*(1+M5)</f>
        <v/>
      </c>
      <c r="N8" s="7">
        <f>M8*(1+N5)</f>
        <v/>
      </c>
      <c r="O8" s="7">
        <f>N8*(1+O5)</f>
        <v/>
      </c>
      <c r="P8" s="7">
        <f>O8*(1+P5)</f>
        <v/>
      </c>
    </row>
    <row r="9">
      <c r="A9" s="4" t="inlineStr">
        <is>
          <t>Revenue</t>
        </is>
      </c>
      <c r="B9" s="22">
        <f>B7*B8</f>
        <v/>
      </c>
      <c r="C9" s="22">
        <f>C7*C8</f>
        <v/>
      </c>
      <c r="D9" s="22">
        <f>D7*D8</f>
        <v/>
      </c>
      <c r="E9" s="22">
        <f>E7*E8</f>
        <v/>
      </c>
      <c r="F9" s="22">
        <f>F7*F8</f>
        <v/>
      </c>
      <c r="G9" s="22">
        <f>G7*G8</f>
        <v/>
      </c>
      <c r="H9" s="22">
        <f>H7*H8</f>
        <v/>
      </c>
      <c r="I9" s="22">
        <f>I7*I8</f>
        <v/>
      </c>
      <c r="J9" s="22">
        <f>J7*J8</f>
        <v/>
      </c>
      <c r="K9" s="22">
        <f>K7*K8</f>
        <v/>
      </c>
      <c r="L9" s="22">
        <f>L7*L8</f>
        <v/>
      </c>
      <c r="M9" s="22">
        <f>M7*M8</f>
        <v/>
      </c>
      <c r="N9" s="22">
        <f>N7*N8</f>
        <v/>
      </c>
      <c r="O9" s="22">
        <f>O7*O8</f>
        <v/>
      </c>
      <c r="P9" s="22">
        <f>P7*P8</f>
        <v/>
      </c>
    </row>
    <row r="10">
      <c r="A10" s="6" t="inlineStr">
        <is>
          <t>Gross profit</t>
        </is>
      </c>
      <c r="B10" s="21">
        <f>B9*Assumptions!$B$8</f>
        <v/>
      </c>
      <c r="C10" s="21">
        <f>C9*Assumptions!$B$8</f>
        <v/>
      </c>
      <c r="D10" s="21">
        <f>D9*Assumptions!$B$8</f>
        <v/>
      </c>
      <c r="E10" s="21">
        <f>E9*Assumptions!$B$8</f>
        <v/>
      </c>
      <c r="F10" s="21">
        <f>F9*Assumptions!$B$8</f>
        <v/>
      </c>
      <c r="G10" s="21">
        <f>G9*Assumptions!$B$8</f>
        <v/>
      </c>
      <c r="H10" s="21">
        <f>H9*Assumptions!$B$8</f>
        <v/>
      </c>
      <c r="I10" s="21">
        <f>I9*Assumptions!$B$8</f>
        <v/>
      </c>
      <c r="J10" s="21">
        <f>J9*Assumptions!$B$8</f>
        <v/>
      </c>
      <c r="K10" s="21">
        <f>K9*Assumptions!$B$8</f>
        <v/>
      </c>
      <c r="L10" s="21">
        <f>L9*Assumptions!$B$8</f>
        <v/>
      </c>
      <c r="M10" s="21">
        <f>M9*Assumptions!$B$8</f>
        <v/>
      </c>
      <c r="N10" s="21">
        <f>N9*Assumptions!$B$8</f>
        <v/>
      </c>
      <c r="O10" s="21">
        <f>O9*Assumptions!$B$8</f>
        <v/>
      </c>
      <c r="P10" s="21">
        <f>P9*Assumptions!$B$8</f>
        <v/>
      </c>
    </row>
    <row r="11">
      <c r="A11" s="6" t="inlineStr">
        <is>
          <t>Overheads</t>
        </is>
      </c>
      <c r="B11" s="21">
        <f>-B9*Assumptions!$B$9</f>
        <v/>
      </c>
      <c r="C11" s="21">
        <f>-C9*Assumptions!$B$9</f>
        <v/>
      </c>
      <c r="D11" s="21">
        <f>-D9*Assumptions!$B$9</f>
        <v/>
      </c>
      <c r="E11" s="21">
        <f>-E9*Assumptions!$B$9</f>
        <v/>
      </c>
      <c r="F11" s="21">
        <f>-F9*Assumptions!$B$9</f>
        <v/>
      </c>
      <c r="G11" s="21">
        <f>-G9*Assumptions!$B$9</f>
        <v/>
      </c>
      <c r="H11" s="21">
        <f>-H9*Assumptions!$B$9</f>
        <v/>
      </c>
      <c r="I11" s="21">
        <f>-I9*Assumptions!$B$9</f>
        <v/>
      </c>
      <c r="J11" s="21">
        <f>-J9*Assumptions!$B$9</f>
        <v/>
      </c>
      <c r="K11" s="21">
        <f>-K9*Assumptions!$B$9</f>
        <v/>
      </c>
      <c r="L11" s="21">
        <f>-L9*Assumptions!$B$9</f>
        <v/>
      </c>
      <c r="M11" s="21">
        <f>-M9*Assumptions!$B$9</f>
        <v/>
      </c>
      <c r="N11" s="21">
        <f>-N9*Assumptions!$B$9</f>
        <v/>
      </c>
      <c r="O11" s="21">
        <f>-O9*Assumptions!$B$9</f>
        <v/>
      </c>
      <c r="P11" s="21">
        <f>-P9*Assumptions!$B$9</f>
        <v/>
      </c>
    </row>
    <row r="12">
      <c r="A12" s="6" t="inlineStr">
        <is>
          <t>Operating cash flow</t>
        </is>
      </c>
      <c r="B12" s="21">
        <f>B9*Assumptions!$B$5</f>
        <v/>
      </c>
      <c r="C12" s="21">
        <f>C9*Assumptions!$B$5</f>
        <v/>
      </c>
      <c r="D12" s="21">
        <f>D9*Assumptions!$B$5</f>
        <v/>
      </c>
      <c r="E12" s="21">
        <f>E9*Assumptions!$B$5</f>
        <v/>
      </c>
      <c r="F12" s="21">
        <f>F9*Assumptions!$B$5</f>
        <v/>
      </c>
      <c r="G12" s="21">
        <f>G9*Assumptions!$B$5</f>
        <v/>
      </c>
      <c r="H12" s="21">
        <f>H9*Assumptions!$B$5</f>
        <v/>
      </c>
      <c r="I12" s="21">
        <f>I9*Assumptions!$B$5</f>
        <v/>
      </c>
      <c r="J12" s="21">
        <f>J9*Assumptions!$B$5</f>
        <v/>
      </c>
      <c r="K12" s="21">
        <f>K9*Assumptions!$B$5</f>
        <v/>
      </c>
      <c r="L12" s="21">
        <f>L9*Assumptions!$B$5</f>
        <v/>
      </c>
      <c r="M12" s="21">
        <f>M9*Assumptions!$B$5</f>
        <v/>
      </c>
      <c r="N12" s="21">
        <f>N9*Assumptions!$B$5</f>
        <v/>
      </c>
      <c r="O12" s="21">
        <f>O9*Assumptions!$B$5</f>
        <v/>
      </c>
      <c r="P12" s="21">
        <f>P9*Assumptions!$B$5</f>
        <v/>
      </c>
    </row>
    <row r="13">
      <c r="A13" s="6" t="inlineStr">
        <is>
          <t>Maintenance capital expenditure</t>
        </is>
      </c>
      <c r="B13" s="21">
        <f>-B9*Assumptions!$B$24</f>
        <v/>
      </c>
      <c r="C13" s="21">
        <f>-C9*Assumptions!$B$24</f>
        <v/>
      </c>
      <c r="D13" s="21">
        <f>-D9*Assumptions!$B$24</f>
        <v/>
      </c>
      <c r="E13" s="21">
        <f>-E9*Assumptions!$B$24</f>
        <v/>
      </c>
      <c r="F13" s="21">
        <f>-F9*Assumptions!$B$24</f>
        <v/>
      </c>
      <c r="G13" s="21">
        <f>-G9*Assumptions!$B$24</f>
        <v/>
      </c>
      <c r="H13" s="21">
        <f>-H9*Assumptions!$B$24</f>
        <v/>
      </c>
      <c r="I13" s="21">
        <f>-I9*Assumptions!$B$24</f>
        <v/>
      </c>
      <c r="J13" s="21">
        <f>-J9*Assumptions!$B$24</f>
        <v/>
      </c>
      <c r="K13" s="21">
        <f>-K9*Assumptions!$B$24</f>
        <v/>
      </c>
      <c r="L13" s="21">
        <f>-L9*Assumptions!$B$24</f>
        <v/>
      </c>
      <c r="M13" s="21">
        <f>-M9*Assumptions!$B$24</f>
        <v/>
      </c>
      <c r="N13" s="21">
        <f>-N9*Assumptions!$B$24</f>
        <v/>
      </c>
      <c r="O13" s="21">
        <f>-O9*Assumptions!$B$24</f>
        <v/>
      </c>
      <c r="P13" s="21">
        <f>-P9*Assumptions!$B$24</f>
        <v/>
      </c>
    </row>
    <row r="14">
      <c r="A14" s="6" t="inlineStr">
        <is>
          <t>plus finance cost, after tax</t>
        </is>
      </c>
      <c r="B14" s="21" t="n">
        <v>2594.3</v>
      </c>
      <c r="C14" s="21" t="n">
        <v>2594.3</v>
      </c>
      <c r="D14" s="21" t="n">
        <v>2594.3</v>
      </c>
      <c r="E14" s="21" t="n">
        <v>2594.3</v>
      </c>
      <c r="F14" s="21" t="n">
        <v>2594.3</v>
      </c>
      <c r="G14" s="21" t="n">
        <v>2594.3</v>
      </c>
      <c r="H14" s="21" t="n">
        <v>2594.3</v>
      </c>
      <c r="I14" s="21" t="n">
        <v>2594.3</v>
      </c>
      <c r="J14" s="21" t="n">
        <v>2594.3</v>
      </c>
      <c r="K14" s="21" t="n">
        <v>2594.3</v>
      </c>
      <c r="L14" s="21" t="n">
        <v>2594.3</v>
      </c>
      <c r="M14" s="21" t="n">
        <v>2594.3</v>
      </c>
      <c r="N14" s="21" t="n">
        <v>2594.3</v>
      </c>
      <c r="O14" s="21" t="n">
        <v>2594.3</v>
      </c>
      <c r="P14" s="21" t="n">
        <v>2594.3</v>
      </c>
    </row>
    <row r="15">
      <c r="A15" s="4" t="inlineStr">
        <is>
          <t>Free cash flow to the firm</t>
        </is>
      </c>
      <c r="B15" s="22">
        <f>B12+B14+B13</f>
        <v/>
      </c>
      <c r="C15" s="22">
        <f>C12+C14+C13</f>
        <v/>
      </c>
      <c r="D15" s="22">
        <f>D12+D14+D13</f>
        <v/>
      </c>
      <c r="E15" s="22">
        <f>E12+E14+E13</f>
        <v/>
      </c>
      <c r="F15" s="22">
        <f>F12+F14+F13</f>
        <v/>
      </c>
      <c r="G15" s="22">
        <f>G12+G14+G13</f>
        <v/>
      </c>
      <c r="H15" s="22">
        <f>H12+H14+H13</f>
        <v/>
      </c>
      <c r="I15" s="22">
        <f>I12+I14+I13</f>
        <v/>
      </c>
      <c r="J15" s="22">
        <f>J12+J14+J13</f>
        <v/>
      </c>
      <c r="K15" s="22">
        <f>K12+K14+K13</f>
        <v/>
      </c>
      <c r="L15" s="22">
        <f>L12+L14+L13</f>
        <v/>
      </c>
      <c r="M15" s="22">
        <f>M12+M14+M13</f>
        <v/>
      </c>
      <c r="N15" s="22">
        <f>N12+N14+N13</f>
        <v/>
      </c>
      <c r="O15" s="22">
        <f>O12+O14+O13</f>
        <v/>
      </c>
      <c r="P15" s="22">
        <f>P12+P14+P13</f>
        <v/>
      </c>
    </row>
    <row r="16">
      <c r="A16" s="6" t="inlineStr">
        <is>
          <t>Cost of capital, that year</t>
        </is>
      </c>
      <c r="B16" s="12" t="n">
        <v>0.249647</v>
      </c>
      <c r="C16" s="12" t="n">
        <v>0.213967</v>
      </c>
      <c r="D16" s="12" t="n">
        <v>0.185423</v>
      </c>
      <c r="E16" s="12" t="n">
        <v>0.164015</v>
      </c>
      <c r="F16" s="12" t="n">
        <v>0.149743</v>
      </c>
      <c r="G16" s="12" t="n">
        <v>0.149743</v>
      </c>
      <c r="H16" s="12" t="n">
        <v>0.149743</v>
      </c>
      <c r="I16" s="12" t="n">
        <v>0.149743</v>
      </c>
      <c r="J16" s="12" t="n">
        <v>0.149743</v>
      </c>
      <c r="K16" s="12" t="n">
        <v>0.149743</v>
      </c>
      <c r="L16" s="12" t="n">
        <v>0.149743</v>
      </c>
      <c r="M16" s="12" t="n">
        <v>0.149743</v>
      </c>
      <c r="N16" s="12" t="n">
        <v>0.149743</v>
      </c>
      <c r="O16" s="12" t="n">
        <v>0.149743</v>
      </c>
      <c r="P16" s="12" t="n">
        <v>0.149743</v>
      </c>
    </row>
    <row r="17">
      <c r="A17" s="6" t="inlineStr">
        <is>
          <t>Discount factor</t>
        </is>
      </c>
      <c r="B17" s="23">
        <f>1/(1+B16)</f>
        <v/>
      </c>
      <c r="C17" s="23">
        <f>B17/(1+C16)</f>
        <v/>
      </c>
      <c r="D17" s="23">
        <f>C17/(1+D16)</f>
        <v/>
      </c>
      <c r="E17" s="23">
        <f>D17/(1+E16)</f>
        <v/>
      </c>
      <c r="F17" s="23">
        <f>E17/(1+F16)</f>
        <v/>
      </c>
      <c r="G17" s="23">
        <f>F17/(1+G16)</f>
        <v/>
      </c>
      <c r="H17" s="23">
        <f>G17/(1+H16)</f>
        <v/>
      </c>
      <c r="I17" s="23">
        <f>H17/(1+I16)</f>
        <v/>
      </c>
      <c r="J17" s="23">
        <f>I17/(1+J16)</f>
        <v/>
      </c>
      <c r="K17" s="23">
        <f>J17/(1+K16)</f>
        <v/>
      </c>
      <c r="L17" s="23">
        <f>K17/(1+L16)</f>
        <v/>
      </c>
      <c r="M17" s="23">
        <f>L17/(1+M16)</f>
        <v/>
      </c>
      <c r="N17" s="23">
        <f>M17/(1+N16)</f>
        <v/>
      </c>
      <c r="O17" s="23">
        <f>N17/(1+O16)</f>
        <v/>
      </c>
      <c r="P17" s="23">
        <f>O17/(1+P16)</f>
        <v/>
      </c>
    </row>
    <row r="18">
      <c r="A18" s="4" t="inlineStr">
        <is>
          <t>Present value</t>
        </is>
      </c>
      <c r="B18" s="21">
        <f>B15*B17</f>
        <v/>
      </c>
      <c r="C18" s="21">
        <f>C15*C17</f>
        <v/>
      </c>
      <c r="D18" s="21">
        <f>D15*D17</f>
        <v/>
      </c>
      <c r="E18" s="21">
        <f>E15*E17</f>
        <v/>
      </c>
      <c r="F18" s="21">
        <f>F15*F17</f>
        <v/>
      </c>
      <c r="G18" s="21">
        <f>G15*G17</f>
        <v/>
      </c>
      <c r="H18" s="21">
        <f>H15*H17</f>
        <v/>
      </c>
      <c r="I18" s="21">
        <f>I15*I17</f>
        <v/>
      </c>
      <c r="J18" s="21">
        <f>J15*J17</f>
        <v/>
      </c>
      <c r="K18" s="21">
        <f>K15*K17</f>
        <v/>
      </c>
      <c r="L18" s="21">
        <f>L15*L17</f>
        <v/>
      </c>
      <c r="M18" s="21">
        <f>M15*M17</f>
        <v/>
      </c>
      <c r="N18" s="21">
        <f>N15*N17</f>
        <v/>
      </c>
      <c r="O18" s="21">
        <f>O15*O17</f>
        <v/>
      </c>
      <c r="P18" s="21">
        <f>P15*P17</f>
        <v/>
      </c>
    </row>
    <row r="20">
      <c r="A20" s="4" t="inlineStr">
        <is>
          <t>Sum of the explicit years</t>
        </is>
      </c>
      <c r="B20" s="24">
        <f>SUM(B18:P18)</f>
        <v/>
      </c>
    </row>
    <row r="21">
      <c r="A21" s="6" t="inlineStr">
        <is>
          <t>Terminal growth</t>
        </is>
      </c>
      <c r="B21" s="9">
        <f>Assumptions!$B$11</f>
        <v/>
      </c>
    </row>
    <row r="22">
      <c r="A22" s="6" t="inlineStr">
        <is>
          <t>Terminal cost of capital</t>
        </is>
      </c>
      <c r="B22" s="9">
        <f>P16</f>
        <v/>
      </c>
      <c r="C22" s="2" t="inlineStr">
        <is>
          <t>the last year of the path above, held in perpetuity</t>
        </is>
      </c>
    </row>
    <row r="23">
      <c r="A23" s="6" t="inlineStr">
        <is>
          <t>Terminal-year free cash flow, grown one year</t>
        </is>
      </c>
      <c r="B23" s="21">
        <f>P15*(1+B21)</f>
        <v/>
      </c>
    </row>
    <row r="24">
      <c r="A24" s="6" t="inlineStr">
        <is>
          <t>Terminal value at the horizon</t>
        </is>
      </c>
      <c r="B24" s="21">
        <f>B23/(B22-B21)</f>
        <v/>
      </c>
    </row>
    <row r="25">
      <c r="A25" s="4" t="inlineStr">
        <is>
          <t>Terminal value, discounted</t>
        </is>
      </c>
      <c r="B25" s="22">
        <f>B24*P17</f>
        <v/>
      </c>
    </row>
    <row r="26">
      <c r="A26" s="4" t="inlineStr">
        <is>
          <t>Enterprise value</t>
        </is>
      </c>
      <c r="B26" s="24">
        <f>B20+B25</f>
        <v/>
      </c>
    </row>
    <row r="27">
      <c r="A27" s="6" t="inlineStr">
        <is>
          <t>Terminal share of enterprise value</t>
        </is>
      </c>
      <c r="B27" s="17">
        <f>B25/B26</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Income statement — built from units and prices</t>
        </is>
      </c>
    </row>
    <row r="2">
      <c r="A2" s="2" t="inlineStr">
        <is>
          <t>Gross margin is a HELD INPUT at the latest disclosed level and cost per unit is SOLVED from it; no delivered-unit count is published after FY2024, so there is no independent cost per unit to build. The gap is named, not hidden.</t>
        </is>
      </c>
    </row>
    <row r="4">
      <c r="A4" s="5" t="inlineStr">
        <is>
          <t>EGP mn unless stated</t>
        </is>
      </c>
      <c r="B4" s="5" t="n">
        <v>2026</v>
      </c>
      <c r="C4" s="5" t="n">
        <v>2027</v>
      </c>
      <c r="D4" s="5" t="n">
        <v>2028</v>
      </c>
      <c r="E4" s="5" t="n">
        <v>2029</v>
      </c>
      <c r="F4" s="5" t="n">
        <v>2030</v>
      </c>
      <c r="G4" s="5" t="n">
        <v>2031</v>
      </c>
      <c r="H4" s="5" t="n">
        <v>2032</v>
      </c>
      <c r="I4" s="5" t="n">
        <v>2033</v>
      </c>
      <c r="J4" s="5" t="n">
        <v>2034</v>
      </c>
      <c r="K4" s="5" t="n">
        <v>2035</v>
      </c>
      <c r="L4" s="5" t="n">
        <v>2036</v>
      </c>
      <c r="M4" s="5" t="n">
        <v>2037</v>
      </c>
      <c r="N4" s="5" t="n">
        <v>2038</v>
      </c>
      <c r="O4" s="5" t="n">
        <v>2039</v>
      </c>
      <c r="P4" s="5" t="n">
        <v>2040</v>
      </c>
    </row>
    <row r="5">
      <c r="A5" s="6" t="inlineStr">
        <is>
          <t>Units sold</t>
        </is>
      </c>
      <c r="B5" s="24" t="n">
        <v>5632.6667</v>
      </c>
      <c r="C5" s="24" t="n">
        <v>5632.6667</v>
      </c>
      <c r="D5" s="24" t="n">
        <v>5632.6667</v>
      </c>
      <c r="E5" s="24" t="n">
        <v>5632.6667</v>
      </c>
      <c r="F5" s="24" t="n">
        <v>5632.6667</v>
      </c>
      <c r="G5" s="24" t="n">
        <v>5632.6667</v>
      </c>
      <c r="H5" s="24" t="n">
        <v>5632.6667</v>
      </c>
      <c r="I5" s="24" t="n">
        <v>5632.6667</v>
      </c>
      <c r="J5" s="24" t="n">
        <v>5632.6667</v>
      </c>
      <c r="K5" s="24" t="n">
        <v>5632.6667</v>
      </c>
      <c r="L5" s="24" t="n">
        <v>5632.6667</v>
      </c>
      <c r="M5" s="24" t="n">
        <v>5632.6667</v>
      </c>
      <c r="N5" s="24" t="n">
        <v>5632.6667</v>
      </c>
      <c r="O5" s="24" t="n">
        <v>5632.6667</v>
      </c>
      <c r="P5" s="24" t="n">
        <v>5632.6667</v>
      </c>
      <c r="Q5" s="2" t="inlineStr">
        <is>
          <t>the segment engine; read by nothing that reaches the value</t>
        </is>
      </c>
    </row>
    <row r="6">
      <c r="A6" s="6" t="inlineStr">
        <is>
          <t>New sales</t>
        </is>
      </c>
      <c r="B6" s="24" t="n">
        <v>129711.9922</v>
      </c>
      <c r="C6" s="24" t="n">
        <v>145277.4313</v>
      </c>
      <c r="D6" s="24" t="n">
        <v>158352.4001</v>
      </c>
      <c r="E6" s="24" t="n">
        <v>170228.8301</v>
      </c>
      <c r="F6" s="24" t="n">
        <v>182144.8482</v>
      </c>
      <c r="G6" s="24" t="n">
        <v>194894.9876</v>
      </c>
      <c r="H6" s="24" t="n">
        <v>208537.6367</v>
      </c>
      <c r="I6" s="24" t="n">
        <v>223135.2713</v>
      </c>
      <c r="J6" s="24" t="n">
        <v>238754.7402</v>
      </c>
      <c r="K6" s="24" t="n">
        <v>255467.5721</v>
      </c>
      <c r="L6" s="24" t="n">
        <v>273350.3021</v>
      </c>
      <c r="M6" s="24" t="n">
        <v>292484.8233</v>
      </c>
      <c r="N6" s="24" t="n">
        <v>312958.7609</v>
      </c>
      <c r="O6" s="24" t="n">
        <v>334865.8741</v>
      </c>
      <c r="P6" s="24" t="n">
        <v>358306.4853</v>
      </c>
      <c r="Q6" s="2" t="inlineStr">
        <is>
          <t>the segment engine; read by nothing that reaches the value</t>
        </is>
      </c>
    </row>
    <row r="7">
      <c r="A7" s="6" t="inlineStr">
        <is>
          <t>Units delivered</t>
        </is>
      </c>
      <c r="B7" s="21">
        <f>DCF!B7</f>
        <v/>
      </c>
      <c r="C7" s="21">
        <f>DCF!C7</f>
        <v/>
      </c>
      <c r="D7" s="21">
        <f>DCF!D7</f>
        <v/>
      </c>
      <c r="E7" s="21">
        <f>DCF!E7</f>
        <v/>
      </c>
      <c r="F7" s="21">
        <f>DCF!F7</f>
        <v/>
      </c>
      <c r="G7" s="21">
        <f>DCF!G7</f>
        <v/>
      </c>
      <c r="H7" s="21">
        <f>DCF!H7</f>
        <v/>
      </c>
      <c r="I7" s="21">
        <f>DCF!I7</f>
        <v/>
      </c>
      <c r="J7" s="21">
        <f>DCF!J7</f>
        <v/>
      </c>
      <c r="K7" s="21">
        <f>DCF!K7</f>
        <v/>
      </c>
      <c r="L7" s="21">
        <f>DCF!L7</f>
        <v/>
      </c>
      <c r="M7" s="21">
        <f>DCF!M7</f>
        <v/>
      </c>
      <c r="N7" s="21">
        <f>DCF!N7</f>
        <v/>
      </c>
      <c r="O7" s="21">
        <f>DCF!O7</f>
        <v/>
      </c>
      <c r="P7" s="21">
        <f>DCF!P7</f>
        <v/>
      </c>
    </row>
    <row r="8">
      <c r="A8" s="6" t="inlineStr">
        <is>
          <t>Revenue per delivered unit</t>
        </is>
      </c>
      <c r="B8" s="7">
        <f>DCF!B8</f>
        <v/>
      </c>
      <c r="C8" s="7">
        <f>DCF!C8</f>
        <v/>
      </c>
      <c r="D8" s="7">
        <f>DCF!D8</f>
        <v/>
      </c>
      <c r="E8" s="7">
        <f>DCF!E8</f>
        <v/>
      </c>
      <c r="F8" s="7">
        <f>DCF!F8</f>
        <v/>
      </c>
      <c r="G8" s="7">
        <f>DCF!G8</f>
        <v/>
      </c>
      <c r="H8" s="7">
        <f>DCF!H8</f>
        <v/>
      </c>
      <c r="I8" s="7">
        <f>DCF!I8</f>
        <v/>
      </c>
      <c r="J8" s="7">
        <f>DCF!J8</f>
        <v/>
      </c>
      <c r="K8" s="7">
        <f>DCF!K8</f>
        <v/>
      </c>
      <c r="L8" s="7">
        <f>DCF!L8</f>
        <v/>
      </c>
      <c r="M8" s="7">
        <f>DCF!M8</f>
        <v/>
      </c>
      <c r="N8" s="7">
        <f>DCF!N8</f>
        <v/>
      </c>
      <c r="O8" s="7">
        <f>DCF!O8</f>
        <v/>
      </c>
      <c r="P8" s="7">
        <f>DCF!P8</f>
        <v/>
      </c>
    </row>
    <row r="9">
      <c r="A9" s="4" t="inlineStr">
        <is>
          <t>Revenue</t>
        </is>
      </c>
      <c r="B9" s="21">
        <f>DCF!B9</f>
        <v/>
      </c>
      <c r="C9" s="21">
        <f>DCF!C9</f>
        <v/>
      </c>
      <c r="D9" s="21">
        <f>DCF!D9</f>
        <v/>
      </c>
      <c r="E9" s="21">
        <f>DCF!E9</f>
        <v/>
      </c>
      <c r="F9" s="21">
        <f>DCF!F9</f>
        <v/>
      </c>
      <c r="G9" s="21">
        <f>DCF!G9</f>
        <v/>
      </c>
      <c r="H9" s="21">
        <f>DCF!H9</f>
        <v/>
      </c>
      <c r="I9" s="21">
        <f>DCF!I9</f>
        <v/>
      </c>
      <c r="J9" s="21">
        <f>DCF!J9</f>
        <v/>
      </c>
      <c r="K9" s="21">
        <f>DCF!K9</f>
        <v/>
      </c>
      <c r="L9" s="21">
        <f>DCF!L9</f>
        <v/>
      </c>
      <c r="M9" s="21">
        <f>DCF!M9</f>
        <v/>
      </c>
      <c r="N9" s="21">
        <f>DCF!N9</f>
        <v/>
      </c>
      <c r="O9" s="21">
        <f>DCF!O9</f>
        <v/>
      </c>
      <c r="P9" s="21">
        <f>DCF!P9</f>
        <v/>
      </c>
    </row>
    <row r="10">
      <c r="A10" s="6" t="inlineStr">
        <is>
          <t>Cost per delivered unit</t>
        </is>
      </c>
      <c r="B10" s="7">
        <f>B8*(1-Assumptions!$B$8)</f>
        <v/>
      </c>
      <c r="C10" s="7">
        <f>C8*(1-Assumptions!$B$8)</f>
        <v/>
      </c>
      <c r="D10" s="7">
        <f>D8*(1-Assumptions!$B$8)</f>
        <v/>
      </c>
      <c r="E10" s="7">
        <f>E8*(1-Assumptions!$B$8)</f>
        <v/>
      </c>
      <c r="F10" s="7">
        <f>F8*(1-Assumptions!$B$8)</f>
        <v/>
      </c>
      <c r="G10" s="7">
        <f>G8*(1-Assumptions!$B$8)</f>
        <v/>
      </c>
      <c r="H10" s="7">
        <f>H8*(1-Assumptions!$B$8)</f>
        <v/>
      </c>
      <c r="I10" s="7">
        <f>I8*(1-Assumptions!$B$8)</f>
        <v/>
      </c>
      <c r="J10" s="7">
        <f>J8*(1-Assumptions!$B$8)</f>
        <v/>
      </c>
      <c r="K10" s="7">
        <f>K8*(1-Assumptions!$B$8)</f>
        <v/>
      </c>
      <c r="L10" s="7">
        <f>L8*(1-Assumptions!$B$8)</f>
        <v/>
      </c>
      <c r="M10" s="7">
        <f>M8*(1-Assumptions!$B$8)</f>
        <v/>
      </c>
      <c r="N10" s="7">
        <f>N8*(1-Assumptions!$B$8)</f>
        <v/>
      </c>
      <c r="O10" s="7">
        <f>O8*(1-Assumptions!$B$8)</f>
        <v/>
      </c>
      <c r="P10" s="7">
        <f>P8*(1-Assumptions!$B$8)</f>
        <v/>
      </c>
      <c r="Q10" s="2" t="inlineStr">
        <is>
          <t>price per unit times one minus the held margin: no delivered-unit count is published after FY2024, so there is no independent cost per unit to build</t>
        </is>
      </c>
    </row>
    <row r="11">
      <c r="A11" s="6" t="inlineStr">
        <is>
          <t>Cost of revenue</t>
        </is>
      </c>
      <c r="B11" s="21">
        <f>B7*B10</f>
        <v/>
      </c>
      <c r="C11" s="21">
        <f>C7*C10</f>
        <v/>
      </c>
      <c r="D11" s="21">
        <f>D7*D10</f>
        <v/>
      </c>
      <c r="E11" s="21">
        <f>E7*E10</f>
        <v/>
      </c>
      <c r="F11" s="21">
        <f>F7*F10</f>
        <v/>
      </c>
      <c r="G11" s="21">
        <f>G7*G10</f>
        <v/>
      </c>
      <c r="H11" s="21">
        <f>H7*H10</f>
        <v/>
      </c>
      <c r="I11" s="21">
        <f>I7*I10</f>
        <v/>
      </c>
      <c r="J11" s="21">
        <f>J7*J10</f>
        <v/>
      </c>
      <c r="K11" s="21">
        <f>K7*K10</f>
        <v/>
      </c>
      <c r="L11" s="21">
        <f>L7*L10</f>
        <v/>
      </c>
      <c r="M11" s="21">
        <f>M7*M10</f>
        <v/>
      </c>
      <c r="N11" s="21">
        <f>N7*N10</f>
        <v/>
      </c>
      <c r="O11" s="21">
        <f>O7*O10</f>
        <v/>
      </c>
      <c r="P11" s="21">
        <f>P7*P10</f>
        <v/>
      </c>
    </row>
    <row r="12">
      <c r="A12" s="4" t="inlineStr">
        <is>
          <t>Gross profit</t>
        </is>
      </c>
      <c r="B12" s="21">
        <f>B9-B11</f>
        <v/>
      </c>
      <c r="C12" s="21">
        <f>C9-C11</f>
        <v/>
      </c>
      <c r="D12" s="21">
        <f>D9-D11</f>
        <v/>
      </c>
      <c r="E12" s="21">
        <f>E9-E11</f>
        <v/>
      </c>
      <c r="F12" s="21">
        <f>F9-F11</f>
        <v/>
      </c>
      <c r="G12" s="21">
        <f>G9-G11</f>
        <v/>
      </c>
      <c r="H12" s="21">
        <f>H9-H11</f>
        <v/>
      </c>
      <c r="I12" s="21">
        <f>I9-I11</f>
        <v/>
      </c>
      <c r="J12" s="21">
        <f>J9-J11</f>
        <v/>
      </c>
      <c r="K12" s="21">
        <f>K9-K11</f>
        <v/>
      </c>
      <c r="L12" s="21">
        <f>L9-L11</f>
        <v/>
      </c>
      <c r="M12" s="21">
        <f>M9-M11</f>
        <v/>
      </c>
      <c r="N12" s="21">
        <f>N9-N11</f>
        <v/>
      </c>
      <c r="O12" s="21">
        <f>O9-O11</f>
        <v/>
      </c>
      <c r="P12" s="21">
        <f>P9-P11</f>
        <v/>
      </c>
    </row>
    <row r="13">
      <c r="A13" s="6" t="inlineStr">
        <is>
          <t>Gross margin</t>
        </is>
      </c>
      <c r="B13" s="17">
        <f>B12/B9</f>
        <v/>
      </c>
      <c r="C13" s="17">
        <f>C12/C9</f>
        <v/>
      </c>
      <c r="D13" s="17">
        <f>D12/D9</f>
        <v/>
      </c>
      <c r="E13" s="17">
        <f>E12/E9</f>
        <v/>
      </c>
      <c r="F13" s="17">
        <f>F12/F9</f>
        <v/>
      </c>
      <c r="G13" s="17">
        <f>G12/G9</f>
        <v/>
      </c>
      <c r="H13" s="17">
        <f>H12/H9</f>
        <v/>
      </c>
      <c r="I13" s="17">
        <f>I12/I9</f>
        <v/>
      </c>
      <c r="J13" s="17">
        <f>J12/J9</f>
        <v/>
      </c>
      <c r="K13" s="17">
        <f>K12/K9</f>
        <v/>
      </c>
      <c r="L13" s="17">
        <f>L12/L9</f>
        <v/>
      </c>
      <c r="M13" s="17">
        <f>M12/M9</f>
        <v/>
      </c>
      <c r="N13" s="17">
        <f>N12/N9</f>
        <v/>
      </c>
      <c r="O13" s="17">
        <f>O12/O9</f>
        <v/>
      </c>
      <c r="P13" s="17">
        <f>P12/P9</f>
        <v/>
      </c>
      <c r="Q13" s="2" t="inlineStr">
        <is>
          <t>an output of the two rows above, which is what makes it flat: one escalator drives price and cost alike</t>
        </is>
      </c>
    </row>
    <row r="14">
      <c r="A14" s="6" t="inlineStr">
        <is>
          <t>Overheads</t>
        </is>
      </c>
      <c r="B14" s="21">
        <f>B9*Assumptions!$B$9</f>
        <v/>
      </c>
      <c r="C14" s="21">
        <f>C9*Assumptions!$B$9</f>
        <v/>
      </c>
      <c r="D14" s="21">
        <f>D9*Assumptions!$B$9</f>
        <v/>
      </c>
      <c r="E14" s="21">
        <f>E9*Assumptions!$B$9</f>
        <v/>
      </c>
      <c r="F14" s="21">
        <f>F9*Assumptions!$B$9</f>
        <v/>
      </c>
      <c r="G14" s="21">
        <f>G9*Assumptions!$B$9</f>
        <v/>
      </c>
      <c r="H14" s="21">
        <f>H9*Assumptions!$B$9</f>
        <v/>
      </c>
      <c r="I14" s="21">
        <f>I9*Assumptions!$B$9</f>
        <v/>
      </c>
      <c r="J14" s="21">
        <f>J9*Assumptions!$B$9</f>
        <v/>
      </c>
      <c r="K14" s="21">
        <f>K9*Assumptions!$B$9</f>
        <v/>
      </c>
      <c r="L14" s="21">
        <f>L9*Assumptions!$B$9</f>
        <v/>
      </c>
      <c r="M14" s="21">
        <f>M9*Assumptions!$B$9</f>
        <v/>
      </c>
      <c r="N14" s="21">
        <f>N9*Assumptions!$B$9</f>
        <v/>
      </c>
      <c r="O14" s="21">
        <f>O9*Assumptions!$B$9</f>
        <v/>
      </c>
      <c r="P14" s="21">
        <f>P9*Assumptions!$B$9</f>
        <v/>
      </c>
    </row>
    <row r="15">
      <c r="A15" s="6" t="inlineStr">
        <is>
          <t>Depreciation and amortisation</t>
        </is>
      </c>
      <c r="B15" s="21">
        <f>B9*Assumptions!$B$25</f>
        <v/>
      </c>
      <c r="C15" s="21">
        <f>C9*Assumptions!$B$25</f>
        <v/>
      </c>
      <c r="D15" s="21">
        <f>D9*Assumptions!$B$25</f>
        <v/>
      </c>
      <c r="E15" s="21">
        <f>E9*Assumptions!$B$25</f>
        <v/>
      </c>
      <c r="F15" s="21">
        <f>F9*Assumptions!$B$25</f>
        <v/>
      </c>
      <c r="G15" s="21">
        <f>G9*Assumptions!$B$25</f>
        <v/>
      </c>
      <c r="H15" s="21">
        <f>H9*Assumptions!$B$25</f>
        <v/>
      </c>
      <c r="I15" s="21">
        <f>I9*Assumptions!$B$25</f>
        <v/>
      </c>
      <c r="J15" s="21">
        <f>J9*Assumptions!$B$25</f>
        <v/>
      </c>
      <c r="K15" s="21">
        <f>K9*Assumptions!$B$25</f>
        <v/>
      </c>
      <c r="L15" s="21">
        <f>L9*Assumptions!$B$25</f>
        <v/>
      </c>
      <c r="M15" s="21">
        <f>M9*Assumptions!$B$25</f>
        <v/>
      </c>
      <c r="N15" s="21">
        <f>N9*Assumptions!$B$25</f>
        <v/>
      </c>
      <c r="O15" s="21">
        <f>O9*Assumptions!$B$25</f>
        <v/>
      </c>
      <c r="P15" s="21">
        <f>P9*Assumptions!$B$25</f>
        <v/>
      </c>
    </row>
    <row r="16">
      <c r="A16" s="6" t="inlineStr">
        <is>
          <t>Operating profit</t>
        </is>
      </c>
      <c r="B16" s="21">
        <f>B12-B14-B15</f>
        <v/>
      </c>
      <c r="C16" s="21">
        <f>C12-C14-C15</f>
        <v/>
      </c>
      <c r="D16" s="21">
        <f>D12-D14-D15</f>
        <v/>
      </c>
      <c r="E16" s="21">
        <f>E12-E14-E15</f>
        <v/>
      </c>
      <c r="F16" s="21">
        <f>F12-F14-F15</f>
        <v/>
      </c>
      <c r="G16" s="21">
        <f>G12-G14-G15</f>
        <v/>
      </c>
      <c r="H16" s="21">
        <f>H12-H14-H15</f>
        <v/>
      </c>
      <c r="I16" s="21">
        <f>I12-I14-I15</f>
        <v/>
      </c>
      <c r="J16" s="21">
        <f>J12-J14-J15</f>
        <v/>
      </c>
      <c r="K16" s="21">
        <f>K12-K14-K15</f>
        <v/>
      </c>
      <c r="L16" s="21">
        <f>L12-L14-L15</f>
        <v/>
      </c>
      <c r="M16" s="21">
        <f>M12-M14-M15</f>
        <v/>
      </c>
      <c r="N16" s="21">
        <f>N12-N14-N15</f>
        <v/>
      </c>
      <c r="O16" s="21">
        <f>O12-O14-O15</f>
        <v/>
      </c>
      <c r="P16" s="21">
        <f>P12-P14-P15</f>
        <v/>
      </c>
    </row>
    <row r="17">
      <c r="A17" s="6" t="inlineStr">
        <is>
          <t>Finance cost</t>
        </is>
      </c>
      <c r="B17" s="21">
        <f>Assumptions!$B$26*Assumptions!$B$27</f>
        <v/>
      </c>
      <c r="C17" s="21">
        <f>Assumptions!$B$26*Assumptions!$B$27</f>
        <v/>
      </c>
      <c r="D17" s="21">
        <f>Assumptions!$B$26*Assumptions!$B$27</f>
        <v/>
      </c>
      <c r="E17" s="21">
        <f>Assumptions!$B$26*Assumptions!$B$27</f>
        <v/>
      </c>
      <c r="F17" s="21">
        <f>Assumptions!$B$26*Assumptions!$B$27</f>
        <v/>
      </c>
      <c r="G17" s="21">
        <f>Assumptions!$B$26*Assumptions!$B$27</f>
        <v/>
      </c>
      <c r="H17" s="21">
        <f>Assumptions!$B$26*Assumptions!$B$27</f>
        <v/>
      </c>
      <c r="I17" s="21">
        <f>Assumptions!$B$26*Assumptions!$B$27</f>
        <v/>
      </c>
      <c r="J17" s="21">
        <f>Assumptions!$B$26*Assumptions!$B$27</f>
        <v/>
      </c>
      <c r="K17" s="21">
        <f>Assumptions!$B$26*Assumptions!$B$27</f>
        <v/>
      </c>
      <c r="L17" s="21">
        <f>Assumptions!$B$26*Assumptions!$B$27</f>
        <v/>
      </c>
      <c r="M17" s="21">
        <f>Assumptions!$B$26*Assumptions!$B$27</f>
        <v/>
      </c>
      <c r="N17" s="21">
        <f>Assumptions!$B$26*Assumptions!$B$27</f>
        <v/>
      </c>
      <c r="O17" s="21">
        <f>Assumptions!$B$26*Assumptions!$B$27</f>
        <v/>
      </c>
      <c r="P17" s="21">
        <f>Assumptions!$B$26*Assumptions!$B$27</f>
        <v/>
      </c>
      <c r="Q17" s="2" t="inlineStr">
        <is>
          <t>the interest-bearing subset times its effective rate, HELD FLAT AND NOMINAL for all fifteen years while revenue grows sixfold; the alternative footing is priced in the study's contested-judgement record</t>
        </is>
      </c>
    </row>
    <row r="18">
      <c r="A18" s="6" t="inlineStr">
        <is>
          <t>Profit before tax</t>
        </is>
      </c>
      <c r="B18" s="21">
        <f>B16-B17</f>
        <v/>
      </c>
      <c r="C18" s="21">
        <f>C16-C17</f>
        <v/>
      </c>
      <c r="D18" s="21">
        <f>D16-D17</f>
        <v/>
      </c>
      <c r="E18" s="21">
        <f>E16-E17</f>
        <v/>
      </c>
      <c r="F18" s="21">
        <f>F16-F17</f>
        <v/>
      </c>
      <c r="G18" s="21">
        <f>G16-G17</f>
        <v/>
      </c>
      <c r="H18" s="21">
        <f>H16-H17</f>
        <v/>
      </c>
      <c r="I18" s="21">
        <f>I16-I17</f>
        <v/>
      </c>
      <c r="J18" s="21">
        <f>J16-J17</f>
        <v/>
      </c>
      <c r="K18" s="21">
        <f>K16-K17</f>
        <v/>
      </c>
      <c r="L18" s="21">
        <f>L16-L17</f>
        <v/>
      </c>
      <c r="M18" s="21">
        <f>M16-M17</f>
        <v/>
      </c>
      <c r="N18" s="21">
        <f>N16-N17</f>
        <v/>
      </c>
      <c r="O18" s="21">
        <f>O16-O17</f>
        <v/>
      </c>
      <c r="P18" s="21">
        <f>P16-P17</f>
        <v/>
      </c>
    </row>
    <row r="19">
      <c r="A19" s="4" t="inlineStr">
        <is>
          <t>Net profit</t>
        </is>
      </c>
      <c r="B19" s="21">
        <f>B18*(1-Assumptions!$B$28)</f>
        <v/>
      </c>
      <c r="C19" s="21">
        <f>C18*(1-Assumptions!$B$28)</f>
        <v/>
      </c>
      <c r="D19" s="21">
        <f>D18*(1-Assumptions!$B$28)</f>
        <v/>
      </c>
      <c r="E19" s="21">
        <f>E18*(1-Assumptions!$B$28)</f>
        <v/>
      </c>
      <c r="F19" s="21">
        <f>F18*(1-Assumptions!$B$28)</f>
        <v/>
      </c>
      <c r="G19" s="21">
        <f>G18*(1-Assumptions!$B$28)</f>
        <v/>
      </c>
      <c r="H19" s="21">
        <f>H18*(1-Assumptions!$B$28)</f>
        <v/>
      </c>
      <c r="I19" s="21">
        <f>I18*(1-Assumptions!$B$28)</f>
        <v/>
      </c>
      <c r="J19" s="21">
        <f>J18*(1-Assumptions!$B$28)</f>
        <v/>
      </c>
      <c r="K19" s="21">
        <f>K18*(1-Assumptions!$B$28)</f>
        <v/>
      </c>
      <c r="L19" s="21">
        <f>L18*(1-Assumptions!$B$28)</f>
        <v/>
      </c>
      <c r="M19" s="21">
        <f>M18*(1-Assumptions!$B$28)</f>
        <v/>
      </c>
      <c r="N19" s="21">
        <f>N18*(1-Assumptions!$B$28)</f>
        <v/>
      </c>
      <c r="O19" s="21">
        <f>O18*(1-Assumptions!$B$28)</f>
        <v/>
      </c>
      <c r="P19" s="21">
        <f>P18*(1-Assumptions!$B$28)</f>
        <v/>
      </c>
      <c r="Q19" s="2" t="inlineStr">
        <is>
          <t>pre-tax profit is positive in every forecast year, so this is the tax charge the model applies</t>
        </is>
      </c>
    </row>
    <row r="20">
      <c r="A20" s="6" t="inlineStr">
        <is>
          <t>Earnings per share (EGP)</t>
        </is>
      </c>
      <c r="B20" s="7">
        <f>B19/Assumptions!$B$18</f>
        <v/>
      </c>
      <c r="C20" s="7">
        <f>C19/Assumptions!$B$18</f>
        <v/>
      </c>
      <c r="D20" s="7">
        <f>D19/Assumptions!$B$18</f>
        <v/>
      </c>
      <c r="E20" s="7">
        <f>E19/Assumptions!$B$18</f>
        <v/>
      </c>
      <c r="F20" s="7">
        <f>F19/Assumptions!$B$18</f>
        <v/>
      </c>
      <c r="G20" s="7">
        <f>G19/Assumptions!$B$18</f>
        <v/>
      </c>
      <c r="H20" s="7">
        <f>H19/Assumptions!$B$18</f>
        <v/>
      </c>
      <c r="I20" s="7">
        <f>I19/Assumptions!$B$18</f>
        <v/>
      </c>
      <c r="J20" s="7">
        <f>J19/Assumptions!$B$18</f>
        <v/>
      </c>
      <c r="K20" s="7">
        <f>K19/Assumptions!$B$18</f>
        <v/>
      </c>
      <c r="L20" s="7">
        <f>L19/Assumptions!$B$18</f>
        <v/>
      </c>
      <c r="M20" s="7">
        <f>M19/Assumptions!$B$18</f>
        <v/>
      </c>
      <c r="N20" s="7">
        <f>N19/Assumptions!$B$18</f>
        <v/>
      </c>
      <c r="O20" s="7">
        <f>O19/Assumptions!$B$18</f>
        <v/>
      </c>
      <c r="P20" s="7">
        <f>P19/Assumptions!$B$18</f>
        <v/>
      </c>
    </row>
    <row r="21">
      <c r="A21" s="6" t="inlineStr">
        <is>
          <t>Order book, closing</t>
        </is>
      </c>
      <c r="B21" s="24" t="n">
        <v>352433.0582</v>
      </c>
      <c r="C21" s="24" t="n">
        <v>445831.2225</v>
      </c>
      <c r="D21" s="24" t="n">
        <v>540001.1874000001</v>
      </c>
      <c r="E21" s="24" t="n">
        <v>632954.3656</v>
      </c>
      <c r="F21" s="24" t="n">
        <v>723732.3467</v>
      </c>
      <c r="G21" s="24" t="n">
        <v>812066.1572</v>
      </c>
      <c r="H21" s="24" t="n">
        <v>898031.8</v>
      </c>
      <c r="I21" s="24" t="n">
        <v>982145.9158</v>
      </c>
      <c r="J21" s="24" t="n">
        <v>1065454.1511</v>
      </c>
      <c r="K21" s="24" t="n">
        <v>1149604.13</v>
      </c>
      <c r="L21" s="24" t="n">
        <v>1236894.9601</v>
      </c>
      <c r="M21" s="24" t="n">
        <v>1330296.1483</v>
      </c>
      <c r="N21" s="24" t="n">
        <v>1430235.4196</v>
      </c>
      <c r="O21" s="24" t="n">
        <v>1537170.44</v>
      </c>
      <c r="P21" s="24" t="n">
        <v>1651590.9118</v>
      </c>
      <c r="Q21" s="2" t="inlineStr">
        <is>
          <t>rolls the segment engine's new sales behind revenue; read by nothing that reaches the value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Balance sheet — as reported, then forecast both ways</t>
        </is>
      </c>
    </row>
    <row r="2">
      <c r="A2" s="2" t="inlineStr">
        <is>
          <t>EGP million. Assets equal liabilities plus shareholders' funds in every reported and every forecast year.</t>
        </is>
      </c>
    </row>
    <row r="4">
      <c r="A4" s="4" t="inlineStr">
        <is>
          <t>AS REPORTED</t>
        </is>
      </c>
      <c r="B4" s="16" t="inlineStr">
        <is>
          <t>2025</t>
        </is>
      </c>
      <c r="C4" s="16" t="inlineStr">
        <is>
          <t>2024</t>
        </is>
      </c>
    </row>
    <row r="5">
      <c r="A5" s="6" t="inlineStr">
        <is>
          <t>Non-current assets</t>
        </is>
      </c>
      <c r="B5" s="10" t="n">
        <v>65900.163</v>
      </c>
      <c r="C5" s="10" t="n">
        <v>54166.4</v>
      </c>
    </row>
    <row r="6">
      <c r="A6" s="6" t="inlineStr">
        <is>
          <t>Current assets</t>
        </is>
      </c>
      <c r="B6" s="10" t="n">
        <v>106229.649</v>
      </c>
      <c r="C6" s="10" t="n">
        <v>69270.89999999999</v>
      </c>
    </row>
    <row r="7">
      <c r="A7" s="6" t="inlineStr">
        <is>
          <t>Total assets</t>
        </is>
      </c>
      <c r="B7" s="10" t="n">
        <v>172129.829</v>
      </c>
      <c r="C7" s="10" t="n">
        <v>123437.3</v>
      </c>
    </row>
    <row r="8">
      <c r="A8" s="6" t="inlineStr">
        <is>
          <t>Current liabilities</t>
        </is>
      </c>
      <c r="B8" s="10" t="n">
        <v>105098.969</v>
      </c>
      <c r="C8" s="10" t="n">
        <v>74496.89999999999</v>
      </c>
    </row>
    <row r="9">
      <c r="A9" s="6" t="inlineStr">
        <is>
          <t>Non-current liabilities</t>
        </is>
      </c>
      <c r="B9" s="10" t="n">
        <v>48265.091</v>
      </c>
      <c r="C9" s="10" t="n">
        <v>34315.7</v>
      </c>
    </row>
    <row r="10">
      <c r="A10" s="6" t="inlineStr">
        <is>
          <t>Total liabilities</t>
        </is>
      </c>
      <c r="B10" s="10" t="n">
        <v>153364.06</v>
      </c>
      <c r="C10" s="10" t="n">
        <v>108812.6</v>
      </c>
    </row>
    <row r="11">
      <c r="A11" s="6" t="inlineStr">
        <is>
          <t>Shareholders' funds</t>
        </is>
      </c>
      <c r="B11" s="10" t="n">
        <v>18765.751</v>
      </c>
      <c r="C11" s="10" t="n">
        <v>14624.7</v>
      </c>
    </row>
    <row r="12">
      <c r="A12" s="4" t="inlineStr">
        <is>
          <t>Check: assets less liabilities and equity</t>
        </is>
      </c>
      <c r="B12" s="7">
        <f>B7-B10-B11</f>
        <v/>
      </c>
      <c r="C12" s="7">
        <f>C7-C10-C11</f>
        <v/>
      </c>
    </row>
    <row r="14">
      <c r="A14" s="4" t="inlineStr">
        <is>
          <t>FORECAST — IF CASH CONVERSION HOLDS</t>
        </is>
      </c>
    </row>
    <row r="15">
      <c r="A15" s="5" t="inlineStr">
        <is>
          <t>EGP mn unless stated</t>
        </is>
      </c>
      <c r="B15" s="19" t="n">
        <v>2026</v>
      </c>
      <c r="C15" s="19" t="n">
        <v>2027</v>
      </c>
      <c r="D15" s="19" t="n">
        <v>2028</v>
      </c>
      <c r="E15" s="19" t="n">
        <v>2029</v>
      </c>
      <c r="F15" s="19" t="n">
        <v>2030</v>
      </c>
      <c r="G15" s="19" t="n">
        <v>2031</v>
      </c>
      <c r="H15" s="19" t="n">
        <v>2032</v>
      </c>
      <c r="I15" s="19" t="n">
        <v>2033</v>
      </c>
      <c r="J15" s="19" t="n">
        <v>2034</v>
      </c>
      <c r="K15" s="19" t="n">
        <v>2035</v>
      </c>
      <c r="L15" s="19" t="n">
        <v>2036</v>
      </c>
      <c r="M15" s="19" t="n">
        <v>2037</v>
      </c>
      <c r="N15" s="19" t="n">
        <v>2038</v>
      </c>
      <c r="O15" s="19" t="n">
        <v>2039</v>
      </c>
      <c r="P15" s="19" t="n">
        <v>2040</v>
      </c>
    </row>
    <row r="16">
      <c r="A16" s="6" t="inlineStr">
        <is>
          <t>Trade and notes receivable</t>
        </is>
      </c>
      <c r="B16" s="21" t="n">
        <v>102756.8779</v>
      </c>
      <c r="C16" s="21" t="n">
        <v>103026.6324</v>
      </c>
      <c r="D16" s="21" t="n">
        <v>104382.1915</v>
      </c>
      <c r="E16" s="21" t="n">
        <v>106893.2803</v>
      </c>
      <c r="F16" s="21" t="n">
        <v>110647.9762</v>
      </c>
      <c r="G16" s="21" t="n">
        <v>115743.6319</v>
      </c>
      <c r="H16" s="21" t="n">
        <v>122252.3072</v>
      </c>
      <c r="I16" s="21" t="n">
        <v>130212.6881</v>
      </c>
      <c r="J16" s="21" t="n">
        <v>139622.6729</v>
      </c>
      <c r="K16" s="21" t="n">
        <v>150433.3458</v>
      </c>
      <c r="L16" s="21" t="n">
        <v>162545.0496</v>
      </c>
      <c r="M16" s="21" t="n">
        <v>175806.1887</v>
      </c>
      <c r="N16" s="21" t="n">
        <v>190297.2238</v>
      </c>
      <c r="O16" s="21" t="n">
        <v>206104.2474</v>
      </c>
      <c r="P16" s="21" t="n">
        <v>223319.3788</v>
      </c>
    </row>
    <row r="17">
      <c r="A17" s="6" t="inlineStr">
        <is>
          <t>Work in progress</t>
        </is>
      </c>
      <c r="B17" s="21" t="n">
        <v>17442.9053</v>
      </c>
      <c r="C17" s="21" t="n">
        <v>17488.6959</v>
      </c>
      <c r="D17" s="21" t="n">
        <v>17718.8011</v>
      </c>
      <c r="E17" s="21" t="n">
        <v>18145.0566</v>
      </c>
      <c r="F17" s="21" t="n">
        <v>18782.4135</v>
      </c>
      <c r="G17" s="21" t="n">
        <v>19647.3973</v>
      </c>
      <c r="H17" s="21" t="n">
        <v>20752.2403</v>
      </c>
      <c r="I17" s="21" t="n">
        <v>22103.5091</v>
      </c>
      <c r="J17" s="21" t="n">
        <v>23700.8472</v>
      </c>
      <c r="K17" s="21" t="n">
        <v>25535.9511</v>
      </c>
      <c r="L17" s="21" t="n">
        <v>27591.904</v>
      </c>
      <c r="M17" s="21" t="n">
        <v>29842.9727</v>
      </c>
      <c r="N17" s="21" t="n">
        <v>32302.8153</v>
      </c>
      <c r="O17" s="21" t="n">
        <v>34986.0461</v>
      </c>
      <c r="P17" s="21" t="n">
        <v>37908.3021</v>
      </c>
    </row>
    <row r="18">
      <c r="A18" s="6" t="inlineStr">
        <is>
          <t>Other receivables and prepayments</t>
        </is>
      </c>
      <c r="B18" s="21" t="n">
        <v>12827.8701</v>
      </c>
      <c r="C18" s="21" t="n">
        <v>12861.5454</v>
      </c>
      <c r="D18" s="21" t="n">
        <v>13030.7695</v>
      </c>
      <c r="E18" s="21" t="n">
        <v>13344.2465</v>
      </c>
      <c r="F18" s="21" t="n">
        <v>13812.9719</v>
      </c>
      <c r="G18" s="21" t="n">
        <v>14449.0987</v>
      </c>
      <c r="H18" s="21" t="n">
        <v>15261.6228</v>
      </c>
      <c r="I18" s="21" t="n">
        <v>16255.3736</v>
      </c>
      <c r="J18" s="21" t="n">
        <v>17430.0888</v>
      </c>
      <c r="K18" s="21" t="n">
        <v>18779.6618</v>
      </c>
      <c r="L18" s="21" t="n">
        <v>20291.6517</v>
      </c>
      <c r="M18" s="21" t="n">
        <v>21947.1338</v>
      </c>
      <c r="N18" s="21" t="n">
        <v>23756.1525</v>
      </c>
      <c r="O18" s="21" t="n">
        <v>25729.4554</v>
      </c>
      <c r="P18" s="21" t="n">
        <v>27878.5424</v>
      </c>
    </row>
    <row r="19">
      <c r="A19" s="6" t="inlineStr">
        <is>
          <t>Advances to suppliers</t>
        </is>
      </c>
      <c r="B19" s="21" t="n">
        <v>8990.2304</v>
      </c>
      <c r="C19" s="21" t="n">
        <v>9013.8313</v>
      </c>
      <c r="D19" s="21" t="n">
        <v>9132.429599999999</v>
      </c>
      <c r="E19" s="21" t="n">
        <v>9352.1255</v>
      </c>
      <c r="F19" s="21" t="n">
        <v>9680.625</v>
      </c>
      <c r="G19" s="21" t="n">
        <v>10126.4454</v>
      </c>
      <c r="H19" s="21" t="n">
        <v>10695.8914</v>
      </c>
      <c r="I19" s="21" t="n">
        <v>11392.3475</v>
      </c>
      <c r="J19" s="21" t="n">
        <v>12215.63</v>
      </c>
      <c r="K19" s="21" t="n">
        <v>13161.459</v>
      </c>
      <c r="L19" s="21" t="n">
        <v>14221.1156</v>
      </c>
      <c r="M19" s="21" t="n">
        <v>15381.3367</v>
      </c>
      <c r="N19" s="21" t="n">
        <v>16649.1618</v>
      </c>
      <c r="O19" s="21" t="n">
        <v>18032.123</v>
      </c>
      <c r="P19" s="21" t="n">
        <v>19538.2801</v>
      </c>
    </row>
    <row r="20">
      <c r="A20" s="6" t="inlineStr">
        <is>
          <t>Cash and equivalents</t>
        </is>
      </c>
      <c r="B20" s="21" t="n">
        <v>12526.4815</v>
      </c>
      <c r="C20" s="21" t="n">
        <v>16528.2737</v>
      </c>
      <c r="D20" s="21" t="n">
        <v>21479.091</v>
      </c>
      <c r="E20" s="21" t="n">
        <v>27439.8749</v>
      </c>
      <c r="F20" s="21" t="n">
        <v>34487.6078</v>
      </c>
      <c r="G20" s="21" t="n">
        <v>42707.3786</v>
      </c>
      <c r="H20" s="21" t="n">
        <v>52162.1701</v>
      </c>
      <c r="I20" s="21" t="n">
        <v>62885.7945</v>
      </c>
      <c r="J20" s="21" t="n">
        <v>74876.4152</v>
      </c>
      <c r="K20" s="21" t="n">
        <v>88091.27830000001</v>
      </c>
      <c r="L20" s="21" t="n">
        <v>102443.2803</v>
      </c>
      <c r="M20" s="21" t="n">
        <v>117799.9225</v>
      </c>
      <c r="N20" s="21" t="n">
        <v>134231.5296</v>
      </c>
      <c r="O20" s="21" t="n">
        <v>151813.3492</v>
      </c>
      <c r="P20" s="21" t="n">
        <v>170625.8962</v>
      </c>
    </row>
    <row r="21">
      <c r="A21" s="6" t="inlineStr">
        <is>
          <t>Property and equipment</t>
        </is>
      </c>
      <c r="B21" s="21" t="n">
        <v>4530.9012</v>
      </c>
      <c r="C21" s="21" t="n">
        <v>4542.3659</v>
      </c>
      <c r="D21" s="21" t="n">
        <v>4556.5495</v>
      </c>
      <c r="E21" s="21" t="n">
        <v>4573.6265</v>
      </c>
      <c r="F21" s="21" t="n">
        <v>4593.8175</v>
      </c>
      <c r="G21" s="21" t="n">
        <v>4617.3663</v>
      </c>
      <c r="H21" s="21" t="n">
        <v>4644.4533</v>
      </c>
      <c r="I21" s="21" t="n">
        <v>4675.1754</v>
      </c>
      <c r="J21" s="21" t="n">
        <v>4709.5273</v>
      </c>
      <c r="K21" s="21" t="n">
        <v>4747.3865</v>
      </c>
      <c r="L21" s="21" t="n">
        <v>4788.5035</v>
      </c>
      <c r="M21" s="21" t="n">
        <v>4832.4987</v>
      </c>
      <c r="N21" s="21" t="n">
        <v>4879.5736</v>
      </c>
      <c r="O21" s="21" t="n">
        <v>4929.9437</v>
      </c>
      <c r="P21" s="21" t="n">
        <v>4983.8397</v>
      </c>
    </row>
    <row r="22">
      <c r="A22" s="6" t="inlineStr">
        <is>
          <t>Other assets, held at the 2025 level</t>
        </is>
      </c>
      <c r="B22" s="21" t="n">
        <v>15128.329</v>
      </c>
      <c r="C22" s="21" t="n">
        <v>15128.329</v>
      </c>
      <c r="D22" s="21" t="n">
        <v>15128.329</v>
      </c>
      <c r="E22" s="21" t="n">
        <v>15128.329</v>
      </c>
      <c r="F22" s="21" t="n">
        <v>15128.329</v>
      </c>
      <c r="G22" s="21" t="n">
        <v>15128.329</v>
      </c>
      <c r="H22" s="21" t="n">
        <v>15128.329</v>
      </c>
      <c r="I22" s="21" t="n">
        <v>15128.329</v>
      </c>
      <c r="J22" s="21" t="n">
        <v>15128.329</v>
      </c>
      <c r="K22" s="21" t="n">
        <v>15128.329</v>
      </c>
      <c r="L22" s="21" t="n">
        <v>15128.329</v>
      </c>
      <c r="M22" s="21" t="n">
        <v>15128.329</v>
      </c>
      <c r="N22" s="21" t="n">
        <v>15128.329</v>
      </c>
      <c r="O22" s="21" t="n">
        <v>15128.329</v>
      </c>
      <c r="P22" s="21" t="n">
        <v>15128.329</v>
      </c>
    </row>
    <row r="23">
      <c r="A23" s="4" t="inlineStr">
        <is>
          <t>TOTAL ASSETS</t>
        </is>
      </c>
      <c r="B23" s="22">
        <f>B16+B17+B18+B19+B20+B21+B22</f>
        <v/>
      </c>
      <c r="C23" s="22">
        <f>C16+C17+C18+C19+C20+C21+C22</f>
        <v/>
      </c>
      <c r="D23" s="22">
        <f>D16+D17+D18+D19+D20+D21+D22</f>
        <v/>
      </c>
      <c r="E23" s="22">
        <f>E16+E17+E18+E19+E20+E21+E22</f>
        <v/>
      </c>
      <c r="F23" s="22">
        <f>F16+F17+F18+F19+F20+F21+F22</f>
        <v/>
      </c>
      <c r="G23" s="22">
        <f>G16+G17+G18+G19+G20+G21+G22</f>
        <v/>
      </c>
      <c r="H23" s="22">
        <f>H16+H17+H18+H19+H20+H21+H22</f>
        <v/>
      </c>
      <c r="I23" s="22">
        <f>I16+I17+I18+I19+I20+I21+I22</f>
        <v/>
      </c>
      <c r="J23" s="22">
        <f>J16+J17+J18+J19+J20+J21+J22</f>
        <v/>
      </c>
      <c r="K23" s="22">
        <f>K16+K17+K18+K19+K20+K21+K22</f>
        <v/>
      </c>
      <c r="L23" s="22">
        <f>L16+L17+L18+L19+L20+L21+L22</f>
        <v/>
      </c>
      <c r="M23" s="22">
        <f>M16+M17+M18+M19+M20+M21+M22</f>
        <v/>
      </c>
      <c r="N23" s="22">
        <f>N16+N17+N18+N19+N20+N21+N22</f>
        <v/>
      </c>
      <c r="O23" s="22">
        <f>O16+O17+O18+O19+O20+O21+O22</f>
        <v/>
      </c>
      <c r="P23" s="22">
        <f>P16+P17+P18+P19+P20+P21+P22</f>
        <v/>
      </c>
      <c r="Q23" s="2" t="inlineStr">
        <is>
          <t>the seven asset rows above, summed in the cell</t>
        </is>
      </c>
    </row>
    <row r="24">
      <c r="A24" s="6" t="inlineStr">
        <is>
          <t>Customer advances</t>
        </is>
      </c>
      <c r="B24" s="21" t="n">
        <v>68848.8921</v>
      </c>
      <c r="C24" s="21" t="n">
        <v>69029.6323</v>
      </c>
      <c r="D24" s="21" t="n">
        <v>69937.88039999999</v>
      </c>
      <c r="E24" s="21" t="n">
        <v>71620.3535</v>
      </c>
      <c r="F24" s="21" t="n">
        <v>74136.065</v>
      </c>
      <c r="G24" s="21" t="n">
        <v>77550.2427</v>
      </c>
      <c r="H24" s="21" t="n">
        <v>81911.1682</v>
      </c>
      <c r="I24" s="21" t="n">
        <v>87244.7616</v>
      </c>
      <c r="J24" s="21" t="n">
        <v>93549.6148</v>
      </c>
      <c r="K24" s="21" t="n">
        <v>100792.9533</v>
      </c>
      <c r="L24" s="21" t="n">
        <v>108908.0051</v>
      </c>
      <c r="M24" s="21" t="n">
        <v>117793.1985</v>
      </c>
      <c r="N24" s="21" t="n">
        <v>127502.4436</v>
      </c>
      <c r="O24" s="21" t="n">
        <v>138093.4238</v>
      </c>
      <c r="P24" s="21" t="n">
        <v>149627.8607</v>
      </c>
    </row>
    <row r="25">
      <c r="A25" s="6" t="inlineStr">
        <is>
          <t>Suppliers</t>
        </is>
      </c>
      <c r="B25" s="21" t="n">
        <v>3779.268</v>
      </c>
      <c r="C25" s="21" t="n">
        <v>3789.1892</v>
      </c>
      <c r="D25" s="21" t="n">
        <v>3839.045</v>
      </c>
      <c r="E25" s="21" t="n">
        <v>3931.3997</v>
      </c>
      <c r="F25" s="21" t="n">
        <v>4069.4926</v>
      </c>
      <c r="G25" s="21" t="n">
        <v>4256.9044</v>
      </c>
      <c r="H25" s="21" t="n">
        <v>4496.2853</v>
      </c>
      <c r="I25" s="21" t="n">
        <v>4789.058</v>
      </c>
      <c r="J25" s="21" t="n">
        <v>5135.1453</v>
      </c>
      <c r="K25" s="21" t="n">
        <v>5532.7482</v>
      </c>
      <c r="L25" s="21" t="n">
        <v>5978.2014</v>
      </c>
      <c r="M25" s="21" t="n">
        <v>6465.9293</v>
      </c>
      <c r="N25" s="21" t="n">
        <v>6998.8912</v>
      </c>
      <c r="O25" s="21" t="n">
        <v>7580.2536</v>
      </c>
      <c r="P25" s="21" t="n">
        <v>8213.4043</v>
      </c>
    </row>
    <row r="26">
      <c r="A26" s="6" t="inlineStr">
        <is>
          <t>Other creditors</t>
        </is>
      </c>
      <c r="B26" s="21" t="n">
        <v>5084.3911</v>
      </c>
      <c r="C26" s="21" t="n">
        <v>5097.7385</v>
      </c>
      <c r="D26" s="21" t="n">
        <v>5164.8113</v>
      </c>
      <c r="E26" s="21" t="n">
        <v>5289.0595</v>
      </c>
      <c r="F26" s="21" t="n">
        <v>5474.8412</v>
      </c>
      <c r="G26" s="21" t="n">
        <v>5726.9733</v>
      </c>
      <c r="H26" s="21" t="n">
        <v>6049.0213</v>
      </c>
      <c r="I26" s="21" t="n">
        <v>6442.8995</v>
      </c>
      <c r="J26" s="21" t="n">
        <v>6908.5038</v>
      </c>
      <c r="K26" s="21" t="n">
        <v>7443.4139</v>
      </c>
      <c r="L26" s="21" t="n">
        <v>8042.6987</v>
      </c>
      <c r="M26" s="21" t="n">
        <v>8698.857400000001</v>
      </c>
      <c r="N26" s="21" t="n">
        <v>9415.8711</v>
      </c>
      <c r="O26" s="21" t="n">
        <v>10197.9997</v>
      </c>
      <c r="P26" s="21" t="n">
        <v>11049.8012</v>
      </c>
    </row>
    <row r="27">
      <c r="A27" s="6" t="inlineStr">
        <is>
          <t>Cheques under collection</t>
        </is>
      </c>
      <c r="B27" s="21" t="n">
        <v>2435.8261</v>
      </c>
      <c r="C27" s="21" t="n">
        <v>2442.2206</v>
      </c>
      <c r="D27" s="21" t="n">
        <v>2474.3537</v>
      </c>
      <c r="E27" s="21" t="n">
        <v>2533.8785</v>
      </c>
      <c r="F27" s="21" t="n">
        <v>2622.8826</v>
      </c>
      <c r="G27" s="21" t="n">
        <v>2743.6738</v>
      </c>
      <c r="H27" s="21" t="n">
        <v>2897.9604</v>
      </c>
      <c r="I27" s="21" t="n">
        <v>3086.6592</v>
      </c>
      <c r="J27" s="21" t="n">
        <v>3309.7205</v>
      </c>
      <c r="K27" s="21" t="n">
        <v>3565.9848</v>
      </c>
      <c r="L27" s="21" t="n">
        <v>3853.0898</v>
      </c>
      <c r="M27" s="21" t="n">
        <v>4167.4417</v>
      </c>
      <c r="N27" s="21" t="n">
        <v>4510.9481</v>
      </c>
      <c r="O27" s="21" t="n">
        <v>4885.6496</v>
      </c>
      <c r="P27" s="21" t="n">
        <v>5293.73</v>
      </c>
    </row>
    <row r="28">
      <c r="A28" s="6" t="inlineStr">
        <is>
          <t>Borrowings</t>
        </is>
      </c>
      <c r="B28" s="21" t="n">
        <v>33552.7</v>
      </c>
      <c r="C28" s="21" t="n">
        <v>33552.7</v>
      </c>
      <c r="D28" s="21" t="n">
        <v>33552.7</v>
      </c>
      <c r="E28" s="21" t="n">
        <v>33552.7</v>
      </c>
      <c r="F28" s="21" t="n">
        <v>33552.7</v>
      </c>
      <c r="G28" s="21" t="n">
        <v>33552.7</v>
      </c>
      <c r="H28" s="21" t="n">
        <v>33552.7</v>
      </c>
      <c r="I28" s="21" t="n">
        <v>33552.7</v>
      </c>
      <c r="J28" s="21" t="n">
        <v>33552.7</v>
      </c>
      <c r="K28" s="21" t="n">
        <v>33552.7</v>
      </c>
      <c r="L28" s="21" t="n">
        <v>33552.7</v>
      </c>
      <c r="M28" s="21" t="n">
        <v>33552.7</v>
      </c>
      <c r="N28" s="21" t="n">
        <v>33552.7</v>
      </c>
      <c r="O28" s="21" t="n">
        <v>33552.7</v>
      </c>
      <c r="P28" s="21" t="n">
        <v>33552.7</v>
      </c>
    </row>
    <row r="29">
      <c r="A29" s="6" t="inlineStr">
        <is>
          <t>Other liabilities, held at the 2025 level</t>
        </is>
      </c>
      <c r="B29" s="21" t="n">
        <v>39074.878</v>
      </c>
      <c r="C29" s="21" t="n">
        <v>39074.878</v>
      </c>
      <c r="D29" s="21" t="n">
        <v>39074.878</v>
      </c>
      <c r="E29" s="21" t="n">
        <v>39074.878</v>
      </c>
      <c r="F29" s="21" t="n">
        <v>39074.878</v>
      </c>
      <c r="G29" s="21" t="n">
        <v>39074.878</v>
      </c>
      <c r="H29" s="21" t="n">
        <v>39074.878</v>
      </c>
      <c r="I29" s="21" t="n">
        <v>39074.878</v>
      </c>
      <c r="J29" s="21" t="n">
        <v>39074.878</v>
      </c>
      <c r="K29" s="21" t="n">
        <v>39074.878</v>
      </c>
      <c r="L29" s="21" t="n">
        <v>39074.878</v>
      </c>
      <c r="M29" s="21" t="n">
        <v>39074.878</v>
      </c>
      <c r="N29" s="21" t="n">
        <v>39074.878</v>
      </c>
      <c r="O29" s="21" t="n">
        <v>39074.878</v>
      </c>
      <c r="P29" s="21" t="n">
        <v>39074.878</v>
      </c>
    </row>
    <row r="30">
      <c r="A30" s="4" t="inlineStr">
        <is>
          <t>TOTAL LIABILITIES</t>
        </is>
      </c>
      <c r="B30" s="22">
        <f>B24+B25+B26+B27+B28+B29</f>
        <v/>
      </c>
      <c r="C30" s="22">
        <f>C24+C25+C26+C27+C28+C29</f>
        <v/>
      </c>
      <c r="D30" s="22">
        <f>D24+D25+D26+D27+D28+D29</f>
        <v/>
      </c>
      <c r="E30" s="22">
        <f>E24+E25+E26+E27+E28+E29</f>
        <v/>
      </c>
      <c r="F30" s="22">
        <f>F24+F25+F26+F27+F28+F29</f>
        <v/>
      </c>
      <c r="G30" s="22">
        <f>G24+G25+G26+G27+G28+G29</f>
        <v/>
      </c>
      <c r="H30" s="22">
        <f>H24+H25+H26+H27+H28+H29</f>
        <v/>
      </c>
      <c r="I30" s="22">
        <f>I24+I25+I26+I27+I28+I29</f>
        <v/>
      </c>
      <c r="J30" s="22">
        <f>J24+J25+J26+J27+J28+J29</f>
        <v/>
      </c>
      <c r="K30" s="22">
        <f>K24+K25+K26+K27+K28+K29</f>
        <v/>
      </c>
      <c r="L30" s="22">
        <f>L24+L25+L26+L27+L28+L29</f>
        <v/>
      </c>
      <c r="M30" s="22">
        <f>M24+M25+M26+M27+M28+M29</f>
        <v/>
      </c>
      <c r="N30" s="22">
        <f>N24+N25+N26+N27+N28+N29</f>
        <v/>
      </c>
      <c r="O30" s="22">
        <f>O24+O25+O26+O27+O28+O29</f>
        <v/>
      </c>
      <c r="P30" s="22">
        <f>P24+P25+P26+P27+P28+P29</f>
        <v/>
      </c>
      <c r="Q30" s="2" t="inlineStr">
        <is>
          <t>the six liability rows above, summed in the cell</t>
        </is>
      </c>
    </row>
    <row r="31">
      <c r="A31" s="6" t="inlineStr">
        <is>
          <t>Shareholders' funds</t>
        </is>
      </c>
      <c r="B31" s="21" t="n">
        <v>21427.64</v>
      </c>
      <c r="C31" s="21" t="n">
        <v>25603.315</v>
      </c>
      <c r="D31" s="21" t="n">
        <v>31384.4926</v>
      </c>
      <c r="E31" s="21" t="n">
        <v>38874.2701</v>
      </c>
      <c r="F31" s="21" t="n">
        <v>48202.8815</v>
      </c>
      <c r="G31" s="21" t="n">
        <v>59514.275</v>
      </c>
      <c r="H31" s="21" t="n">
        <v>72915.001</v>
      </c>
      <c r="I31" s="21" t="n">
        <v>88462.2611</v>
      </c>
      <c r="J31" s="21" t="n">
        <v>106152.9479</v>
      </c>
      <c r="K31" s="21" t="n">
        <v>125914.7333</v>
      </c>
      <c r="L31" s="21" t="n">
        <v>147600.2608</v>
      </c>
      <c r="M31" s="21" t="n">
        <v>170985.3772</v>
      </c>
      <c r="N31" s="21" t="n">
        <v>196189.0535</v>
      </c>
      <c r="O31" s="21" t="n">
        <v>223338.5891</v>
      </c>
      <c r="P31" s="21" t="n">
        <v>252570.1941</v>
      </c>
    </row>
    <row r="32">
      <c r="A32" s="4" t="inlineStr">
        <is>
          <t>TOTAL LIABILITIES AND EQUITY</t>
        </is>
      </c>
      <c r="B32" s="22">
        <f>B30+B31</f>
        <v/>
      </c>
      <c r="C32" s="22">
        <f>C30+C31</f>
        <v/>
      </c>
      <c r="D32" s="22">
        <f>D30+D31</f>
        <v/>
      </c>
      <c r="E32" s="22">
        <f>E30+E31</f>
        <v/>
      </c>
      <c r="F32" s="22">
        <f>F30+F31</f>
        <v/>
      </c>
      <c r="G32" s="22">
        <f>G30+G31</f>
        <v/>
      </c>
      <c r="H32" s="22">
        <f>H30+H31</f>
        <v/>
      </c>
      <c r="I32" s="22">
        <f>I30+I31</f>
        <v/>
      </c>
      <c r="J32" s="22">
        <f>J30+J31</f>
        <v/>
      </c>
      <c r="K32" s="22">
        <f>K30+K31</f>
        <v/>
      </c>
      <c r="L32" s="22">
        <f>L30+L31</f>
        <v/>
      </c>
      <c r="M32" s="22">
        <f>M30+M31</f>
        <v/>
      </c>
      <c r="N32" s="22">
        <f>N30+N31</f>
        <v/>
      </c>
      <c r="O32" s="22">
        <f>O30+O31</f>
        <v/>
      </c>
      <c r="P32" s="22">
        <f>P30+P31</f>
        <v/>
      </c>
    </row>
    <row r="33">
      <c r="A33" s="4" t="inlineStr">
        <is>
          <t>Check: assets less liabilities and equity</t>
        </is>
      </c>
      <c r="B33" s="25">
        <f>B23-B32</f>
        <v/>
      </c>
      <c r="C33" s="25">
        <f>C23-C32</f>
        <v/>
      </c>
      <c r="D33" s="25">
        <f>D23-D32</f>
        <v/>
      </c>
      <c r="E33" s="25">
        <f>E23-E32</f>
        <v/>
      </c>
      <c r="F33" s="25">
        <f>F23-F32</f>
        <v/>
      </c>
      <c r="G33" s="25">
        <f>G23-G32</f>
        <v/>
      </c>
      <c r="H33" s="25">
        <f>H23-H32</f>
        <v/>
      </c>
      <c r="I33" s="25">
        <f>I23-I32</f>
        <v/>
      </c>
      <c r="J33" s="25">
        <f>J23-J32</f>
        <v/>
      </c>
      <c r="K33" s="25">
        <f>K23-K32</f>
        <v/>
      </c>
      <c r="L33" s="25">
        <f>L23-L32</f>
        <v/>
      </c>
      <c r="M33" s="25">
        <f>M23-M32</f>
        <v/>
      </c>
      <c r="N33" s="25">
        <f>N23-N32</f>
        <v/>
      </c>
      <c r="O33" s="25">
        <f>O23-O32</f>
        <v/>
      </c>
      <c r="P33" s="25">
        <f>P23-P32</f>
        <v/>
      </c>
      <c r="Q33" s="2" t="inlineStr">
        <is>
          <t>A LIVE CHECK: two sums subtracted. It used to be the model's own computed difference, which is a check that cannot fail</t>
        </is>
      </c>
    </row>
    <row r="34">
      <c r="A34" s="6" t="inlineStr">
        <is>
          <t>Collection period, days</t>
        </is>
      </c>
      <c r="B34" s="21" t="n">
        <v>931.1632</v>
      </c>
      <c r="C34" s="21" t="n">
        <v>724.8507</v>
      </c>
      <c r="D34" s="21" t="n">
        <v>593.6126</v>
      </c>
      <c r="E34" s="21" t="n">
        <v>504.8944</v>
      </c>
      <c r="F34" s="21" t="n">
        <v>442.0258</v>
      </c>
      <c r="G34" s="21" t="n">
        <v>396.4523</v>
      </c>
      <c r="H34" s="21" t="n">
        <v>364.048</v>
      </c>
      <c r="I34" s="21" t="n">
        <v>341.8734</v>
      </c>
      <c r="J34" s="21" t="n">
        <v>327.8445</v>
      </c>
      <c r="K34" s="21" t="n">
        <v>320.5052</v>
      </c>
      <c r="L34" s="21" t="n">
        <v>318.8709</v>
      </c>
      <c r="M34" s="21" t="n">
        <v>322.3231</v>
      </c>
      <c r="N34" s="21" t="n">
        <v>326.0663</v>
      </c>
      <c r="O34" s="21" t="n">
        <v>330.0477</v>
      </c>
      <c r="P34" s="21" t="n">
        <v>334.22</v>
      </c>
    </row>
    <row r="35">
      <c r="A35" s="6" t="inlineStr">
        <is>
          <t>Work in progress, days of cost</t>
        </is>
      </c>
      <c r="B35" s="21" t="n">
        <v>244.74</v>
      </c>
      <c r="C35" s="21" t="n">
        <v>190.5143</v>
      </c>
      <c r="D35" s="21" t="n">
        <v>156.0207</v>
      </c>
      <c r="E35" s="21" t="n">
        <v>132.7027</v>
      </c>
      <c r="F35" s="21" t="n">
        <v>116.1788</v>
      </c>
      <c r="G35" s="21" t="n">
        <v>104.2006</v>
      </c>
      <c r="H35" s="21" t="n">
        <v>95.6837</v>
      </c>
      <c r="I35" s="21" t="n">
        <v>89.8554</v>
      </c>
      <c r="J35" s="21" t="n">
        <v>86.1682</v>
      </c>
      <c r="K35" s="21" t="n">
        <v>84.2392</v>
      </c>
      <c r="L35" s="21" t="n">
        <v>83.8096</v>
      </c>
      <c r="M35" s="21" t="n">
        <v>84.717</v>
      </c>
      <c r="N35" s="21" t="n">
        <v>85.7008</v>
      </c>
      <c r="O35" s="21" t="n">
        <v>86.7473</v>
      </c>
      <c r="P35" s="21" t="n">
        <v>87.8439</v>
      </c>
    </row>
    <row r="36">
      <c r="A36" s="6" t="inlineStr">
        <is>
          <t>Suppliers, days of cost</t>
        </is>
      </c>
      <c r="B36" s="21" t="n">
        <v>53.0266</v>
      </c>
      <c r="C36" s="21" t="n">
        <v>41.2778</v>
      </c>
      <c r="D36" s="21" t="n">
        <v>33.8042</v>
      </c>
      <c r="E36" s="21" t="n">
        <v>28.752</v>
      </c>
      <c r="F36" s="21" t="n">
        <v>25.1719</v>
      </c>
      <c r="G36" s="21" t="n">
        <v>22.5766</v>
      </c>
      <c r="H36" s="21" t="n">
        <v>20.7313</v>
      </c>
      <c r="I36" s="21" t="n">
        <v>19.4685</v>
      </c>
      <c r="J36" s="21" t="n">
        <v>18.6696</v>
      </c>
      <c r="K36" s="21" t="n">
        <v>18.2517</v>
      </c>
      <c r="L36" s="21" t="n">
        <v>18.1586</v>
      </c>
      <c r="M36" s="21" t="n">
        <v>18.3552</v>
      </c>
      <c r="N36" s="21" t="n">
        <v>18.5684</v>
      </c>
      <c r="O36" s="21" t="n">
        <v>18.7951</v>
      </c>
      <c r="P36" s="21" t="n">
        <v>19.0327</v>
      </c>
    </row>
    <row r="37">
      <c r="A37" s="6" t="inlineStr">
        <is>
          <t>Customer advances, share of the order book</t>
        </is>
      </c>
      <c r="B37" s="17" t="n">
        <v>0.1954</v>
      </c>
      <c r="C37" s="17" t="n">
        <v>0.1548</v>
      </c>
      <c r="D37" s="17" t="n">
        <v>0.1295</v>
      </c>
      <c r="E37" s="17" t="n">
        <v>0.1132</v>
      </c>
      <c r="F37" s="17" t="n">
        <v>0.1024</v>
      </c>
      <c r="G37" s="17" t="n">
        <v>0.0955</v>
      </c>
      <c r="H37" s="17" t="n">
        <v>0.0912</v>
      </c>
      <c r="I37" s="17" t="n">
        <v>0.0888</v>
      </c>
      <c r="J37" s="17" t="n">
        <v>0.0878</v>
      </c>
      <c r="K37" s="17" t="n">
        <v>0.0877</v>
      </c>
      <c r="L37" s="17" t="n">
        <v>0.08799999999999999</v>
      </c>
      <c r="M37" s="17" t="n">
        <v>0.0885</v>
      </c>
      <c r="N37" s="17" t="n">
        <v>0.0891</v>
      </c>
      <c r="O37" s="17" t="n">
        <v>0.0898</v>
      </c>
      <c r="P37" s="17" t="n">
        <v>0.0906</v>
      </c>
    </row>
    <row r="38">
      <c r="A38" s="6" t="inlineStr">
        <is>
          <t>Net working capital</t>
        </is>
      </c>
      <c r="B38" s="21" t="n">
        <v>61869.5063</v>
      </c>
      <c r="C38" s="21" t="n">
        <v>62031.9244</v>
      </c>
      <c r="D38" s="21" t="n">
        <v>62848.1011</v>
      </c>
      <c r="E38" s="21" t="n">
        <v>64360.0177</v>
      </c>
      <c r="F38" s="21" t="n">
        <v>66620.70510000001</v>
      </c>
      <c r="G38" s="21" t="n">
        <v>69688.7791</v>
      </c>
      <c r="H38" s="21" t="n">
        <v>73607.6265</v>
      </c>
      <c r="I38" s="21" t="n">
        <v>78400.5401</v>
      </c>
      <c r="J38" s="21" t="n">
        <v>84066.25440000001</v>
      </c>
      <c r="K38" s="21" t="n">
        <v>90575.3175</v>
      </c>
      <c r="L38" s="21" t="n">
        <v>97867.726</v>
      </c>
      <c r="M38" s="21" t="n">
        <v>105852.205</v>
      </c>
      <c r="N38" s="21" t="n">
        <v>114577.1994</v>
      </c>
      <c r="O38" s="21" t="n">
        <v>124094.5452</v>
      </c>
      <c r="P38" s="21" t="n">
        <v>134459.7072</v>
      </c>
    </row>
    <row r="39">
      <c r="A39" s="6" t="inlineStr">
        <is>
          <t xml:space="preserve">  as a multiple of revenue</t>
        </is>
      </c>
      <c r="B39" s="7" t="n">
        <v>1.536</v>
      </c>
      <c r="C39" s="7" t="n">
        <v>1.1957</v>
      </c>
      <c r="D39" s="7" t="n">
        <v>0.9792</v>
      </c>
      <c r="E39" s="7" t="n">
        <v>0.8329</v>
      </c>
      <c r="F39" s="7" t="n">
        <v>0.7292</v>
      </c>
      <c r="G39" s="7" t="n">
        <v>0.654</v>
      </c>
      <c r="H39" s="7" t="n">
        <v>0.6005</v>
      </c>
      <c r="I39" s="7" t="n">
        <v>0.5639</v>
      </c>
      <c r="J39" s="7" t="n">
        <v>0.5407999999999999</v>
      </c>
      <c r="K39" s="7" t="n">
        <v>0.5286999999999999</v>
      </c>
      <c r="L39" s="7" t="n">
        <v>0.526</v>
      </c>
      <c r="M39" s="7" t="n">
        <v>0.5317</v>
      </c>
      <c r="N39" s="7" t="n">
        <v>0.5379</v>
      </c>
      <c r="O39" s="7" t="n">
        <v>0.5444</v>
      </c>
      <c r="P39" s="7" t="n">
        <v>0.5513</v>
      </c>
    </row>
    <row r="41">
      <c r="A41" s="4" t="inlineStr">
        <is>
          <t>FORECAST — IF THE COLLECTION CYCLE HOLDS</t>
        </is>
      </c>
    </row>
    <row r="42">
      <c r="A42" s="5" t="inlineStr">
        <is>
          <t>EGP mn unless stated</t>
        </is>
      </c>
      <c r="B42" s="19" t="n">
        <v>2026</v>
      </c>
      <c r="C42" s="19" t="n">
        <v>2027</v>
      </c>
      <c r="D42" s="19" t="n">
        <v>2028</v>
      </c>
      <c r="E42" s="19" t="n">
        <v>2029</v>
      </c>
      <c r="F42" s="19" t="n">
        <v>2030</v>
      </c>
      <c r="G42" s="19" t="n">
        <v>2031</v>
      </c>
      <c r="H42" s="19" t="n">
        <v>2032</v>
      </c>
      <c r="I42" s="19" t="n">
        <v>2033</v>
      </c>
      <c r="J42" s="19" t="n">
        <v>2034</v>
      </c>
      <c r="K42" s="19" t="n">
        <v>2035</v>
      </c>
      <c r="L42" s="19" t="n">
        <v>2036</v>
      </c>
      <c r="M42" s="19" t="n">
        <v>2037</v>
      </c>
      <c r="N42" s="19" t="n">
        <v>2038</v>
      </c>
      <c r="O42" s="19" t="n">
        <v>2039</v>
      </c>
      <c r="P42" s="19" t="n">
        <v>2040</v>
      </c>
    </row>
    <row r="43">
      <c r="A43" s="6" t="inlineStr">
        <is>
          <t>Trade and notes receivable</t>
        </is>
      </c>
      <c r="B43" s="21" t="n">
        <v>115272.032</v>
      </c>
      <c r="C43" s="21" t="n">
        <v>148470.3773</v>
      </c>
      <c r="D43" s="21" t="n">
        <v>183680.1272</v>
      </c>
      <c r="E43" s="21" t="n">
        <v>221150.8732</v>
      </c>
      <c r="F43" s="21" t="n">
        <v>261477.7349</v>
      </c>
      <c r="G43" s="21" t="n">
        <v>304961.4822</v>
      </c>
      <c r="H43" s="21" t="n">
        <v>350781.945</v>
      </c>
      <c r="I43" s="21" t="n">
        <v>397856.882</v>
      </c>
      <c r="J43" s="21" t="n">
        <v>444863.6726</v>
      </c>
      <c r="K43" s="21" t="n">
        <v>490284.2535</v>
      </c>
      <c r="L43" s="21" t="n">
        <v>532473.2136</v>
      </c>
      <c r="M43" s="21" t="n">
        <v>569746.3385</v>
      </c>
      <c r="N43" s="21" t="n">
        <v>609628.5821999999</v>
      </c>
      <c r="O43" s="21" t="n">
        <v>652302.583</v>
      </c>
      <c r="P43" s="21" t="n">
        <v>697963.7638</v>
      </c>
    </row>
    <row r="44">
      <c r="A44" s="6" t="inlineStr">
        <is>
          <t>Work in progress</t>
        </is>
      </c>
      <c r="B44" s="21" t="n">
        <v>19567.3436</v>
      </c>
      <c r="C44" s="21" t="n">
        <v>25202.7386</v>
      </c>
      <c r="D44" s="21" t="n">
        <v>31179.568</v>
      </c>
      <c r="E44" s="21" t="n">
        <v>37540.1999</v>
      </c>
      <c r="F44" s="21" t="n">
        <v>44385.6554</v>
      </c>
      <c r="G44" s="21" t="n">
        <v>51766.9898</v>
      </c>
      <c r="H44" s="21" t="n">
        <v>59544.9801</v>
      </c>
      <c r="I44" s="21" t="n">
        <v>67535.9164</v>
      </c>
      <c r="J44" s="21" t="n">
        <v>75515.2849</v>
      </c>
      <c r="K44" s="21" t="n">
        <v>83225.3955</v>
      </c>
      <c r="L44" s="21" t="n">
        <v>90386.9408</v>
      </c>
      <c r="M44" s="21" t="n">
        <v>96714.0266</v>
      </c>
      <c r="N44" s="21" t="n">
        <v>103484.0085</v>
      </c>
      <c r="O44" s="21" t="n">
        <v>110727.8891</v>
      </c>
      <c r="P44" s="21" t="n">
        <v>118478.8413</v>
      </c>
    </row>
    <row r="45">
      <c r="A45" s="6" t="inlineStr">
        <is>
          <t>Other receivables and prepayments</t>
        </is>
      </c>
      <c r="B45" s="21" t="n">
        <v>14390.2256</v>
      </c>
      <c r="C45" s="21" t="n">
        <v>18534.6105</v>
      </c>
      <c r="D45" s="21" t="n">
        <v>22930.0934</v>
      </c>
      <c r="E45" s="21" t="n">
        <v>27607.8324</v>
      </c>
      <c r="F45" s="21" t="n">
        <v>32642.1207</v>
      </c>
      <c r="G45" s="21" t="n">
        <v>38070.5054</v>
      </c>
      <c r="H45" s="21" t="n">
        <v>43790.5988</v>
      </c>
      <c r="I45" s="21" t="n">
        <v>49667.2972</v>
      </c>
      <c r="J45" s="21" t="n">
        <v>55535.4883</v>
      </c>
      <c r="K45" s="21" t="n">
        <v>61205.6617</v>
      </c>
      <c r="L45" s="21" t="n">
        <v>66472.40889999999</v>
      </c>
      <c r="M45" s="21" t="n">
        <v>71125.47749999999</v>
      </c>
      <c r="N45" s="21" t="n">
        <v>76104.26089999999</v>
      </c>
      <c r="O45" s="21" t="n">
        <v>81431.5592</v>
      </c>
      <c r="P45" s="21" t="n">
        <v>87131.7683</v>
      </c>
    </row>
    <row r="46">
      <c r="A46" s="6" t="inlineStr">
        <is>
          <t>Advances to suppliers</t>
        </is>
      </c>
      <c r="B46" s="21" t="n">
        <v>10085.185</v>
      </c>
      <c r="C46" s="21" t="n">
        <v>12989.7183</v>
      </c>
      <c r="D46" s="21" t="n">
        <v>16070.23</v>
      </c>
      <c r="E46" s="21" t="n">
        <v>19348.5569</v>
      </c>
      <c r="F46" s="21" t="n">
        <v>22876.7662</v>
      </c>
      <c r="G46" s="21" t="n">
        <v>26681.1725</v>
      </c>
      <c r="H46" s="21" t="n">
        <v>30690.0186</v>
      </c>
      <c r="I46" s="21" t="n">
        <v>34808.6191</v>
      </c>
      <c r="J46" s="21" t="n">
        <v>38921.2575</v>
      </c>
      <c r="K46" s="21" t="n">
        <v>42895.1179</v>
      </c>
      <c r="L46" s="21" t="n">
        <v>46586.2428</v>
      </c>
      <c r="M46" s="21" t="n">
        <v>49847.2798</v>
      </c>
      <c r="N46" s="21" t="n">
        <v>53336.5893</v>
      </c>
      <c r="O46" s="21" t="n">
        <v>57070.1506</v>
      </c>
      <c r="P46" s="21" t="n">
        <v>61065.0611</v>
      </c>
    </row>
    <row r="47">
      <c r="A47" s="6" t="inlineStr">
        <is>
          <t>Cash and equivalents</t>
        </is>
      </c>
      <c r="B47" s="21" t="n">
        <v>4991.1571</v>
      </c>
      <c r="C47" s="21" t="n">
        <v>2354.875</v>
      </c>
      <c r="D47" s="21" t="n">
        <v>2354.875</v>
      </c>
      <c r="E47" s="21" t="n">
        <v>2354.875</v>
      </c>
      <c r="F47" s="21" t="n">
        <v>2354.875</v>
      </c>
      <c r="G47" s="21" t="n">
        <v>2354.875</v>
      </c>
      <c r="H47" s="21" t="n">
        <v>2354.875</v>
      </c>
      <c r="I47" s="21" t="n">
        <v>2354.875</v>
      </c>
      <c r="J47" s="21" t="n">
        <v>2354.875</v>
      </c>
      <c r="K47" s="21" t="n">
        <v>2354.875</v>
      </c>
      <c r="L47" s="21" t="n">
        <v>2354.875</v>
      </c>
      <c r="M47" s="21" t="n">
        <v>3253.9963</v>
      </c>
      <c r="N47" s="21" t="n">
        <v>4397.6579</v>
      </c>
      <c r="O47" s="21" t="n">
        <v>5802.9778</v>
      </c>
      <c r="P47" s="21" t="n">
        <v>7488.2719</v>
      </c>
    </row>
    <row r="48">
      <c r="A48" s="6" t="inlineStr">
        <is>
          <t>Property and equipment</t>
        </is>
      </c>
      <c r="B48" s="21" t="n">
        <v>4530.9012</v>
      </c>
      <c r="C48" s="21" t="n">
        <v>4542.3659</v>
      </c>
      <c r="D48" s="21" t="n">
        <v>4556.5495</v>
      </c>
      <c r="E48" s="21" t="n">
        <v>4573.6265</v>
      </c>
      <c r="F48" s="21" t="n">
        <v>4593.8175</v>
      </c>
      <c r="G48" s="21" t="n">
        <v>4617.3663</v>
      </c>
      <c r="H48" s="21" t="n">
        <v>4644.4533</v>
      </c>
      <c r="I48" s="21" t="n">
        <v>4675.1754</v>
      </c>
      <c r="J48" s="21" t="n">
        <v>4709.5273</v>
      </c>
      <c r="K48" s="21" t="n">
        <v>4747.3865</v>
      </c>
      <c r="L48" s="21" t="n">
        <v>4788.5035</v>
      </c>
      <c r="M48" s="21" t="n">
        <v>4832.4987</v>
      </c>
      <c r="N48" s="21" t="n">
        <v>4879.5736</v>
      </c>
      <c r="O48" s="21" t="n">
        <v>4929.9437</v>
      </c>
      <c r="P48" s="21" t="n">
        <v>4983.8397</v>
      </c>
    </row>
    <row r="49">
      <c r="A49" s="6" t="inlineStr">
        <is>
          <t>Other assets, held at the 2025 level</t>
        </is>
      </c>
      <c r="B49" s="21" t="n">
        <v>15128.329</v>
      </c>
      <c r="C49" s="21" t="n">
        <v>15128.329</v>
      </c>
      <c r="D49" s="21" t="n">
        <v>15128.329</v>
      </c>
      <c r="E49" s="21" t="n">
        <v>15128.329</v>
      </c>
      <c r="F49" s="21" t="n">
        <v>15128.329</v>
      </c>
      <c r="G49" s="21" t="n">
        <v>15128.329</v>
      </c>
      <c r="H49" s="21" t="n">
        <v>15128.329</v>
      </c>
      <c r="I49" s="21" t="n">
        <v>15128.329</v>
      </c>
      <c r="J49" s="21" t="n">
        <v>15128.329</v>
      </c>
      <c r="K49" s="21" t="n">
        <v>15128.329</v>
      </c>
      <c r="L49" s="21" t="n">
        <v>15128.329</v>
      </c>
      <c r="M49" s="21" t="n">
        <v>15128.329</v>
      </c>
      <c r="N49" s="21" t="n">
        <v>15128.329</v>
      </c>
      <c r="O49" s="21" t="n">
        <v>15128.329</v>
      </c>
      <c r="P49" s="21" t="n">
        <v>15128.329</v>
      </c>
    </row>
    <row r="50">
      <c r="A50" s="4" t="inlineStr">
        <is>
          <t>TOTAL ASSETS</t>
        </is>
      </c>
      <c r="B50" s="22">
        <f>B43+B44+B45+B46+B47+B48+B49</f>
        <v/>
      </c>
      <c r="C50" s="22">
        <f>C43+C44+C45+C46+C47+C48+C49</f>
        <v/>
      </c>
      <c r="D50" s="22">
        <f>D43+D44+D45+D46+D47+D48+D49</f>
        <v/>
      </c>
      <c r="E50" s="22">
        <f>E43+E44+E45+E46+E47+E48+E49</f>
        <v/>
      </c>
      <c r="F50" s="22">
        <f>F43+F44+F45+F46+F47+F48+F49</f>
        <v/>
      </c>
      <c r="G50" s="22">
        <f>G43+G44+G45+G46+G47+G48+G49</f>
        <v/>
      </c>
      <c r="H50" s="22">
        <f>H43+H44+H45+H46+H47+H48+H49</f>
        <v/>
      </c>
      <c r="I50" s="22">
        <f>I43+I44+I45+I46+I47+I48+I49</f>
        <v/>
      </c>
      <c r="J50" s="22">
        <f>J43+J44+J45+J46+J47+J48+J49</f>
        <v/>
      </c>
      <c r="K50" s="22">
        <f>K43+K44+K45+K46+K47+K48+K49</f>
        <v/>
      </c>
      <c r="L50" s="22">
        <f>L43+L44+L45+L46+L47+L48+L49</f>
        <v/>
      </c>
      <c r="M50" s="22">
        <f>M43+M44+M45+M46+M47+M48+M49</f>
        <v/>
      </c>
      <c r="N50" s="22">
        <f>N43+N44+N45+N46+N47+N48+N49</f>
        <v/>
      </c>
      <c r="O50" s="22">
        <f>O43+O44+O45+O46+O47+O48+O49</f>
        <v/>
      </c>
      <c r="P50" s="22">
        <f>P43+P44+P45+P46+P47+P48+P49</f>
        <v/>
      </c>
      <c r="Q50" s="2" t="inlineStr">
        <is>
          <t>the seven asset rows above, summed in the cell</t>
        </is>
      </c>
    </row>
    <row r="51">
      <c r="A51" s="6" t="inlineStr">
        <is>
          <t>Customer advances</t>
        </is>
      </c>
      <c r="B51" s="21" t="n">
        <v>77234.2626</v>
      </c>
      <c r="C51" s="21" t="n">
        <v>99477.7303</v>
      </c>
      <c r="D51" s="21" t="n">
        <v>123068.874</v>
      </c>
      <c r="E51" s="21" t="n">
        <v>148174.9243</v>
      </c>
      <c r="F51" s="21" t="n">
        <v>175194.6218</v>
      </c>
      <c r="G51" s="21" t="n">
        <v>204329.4874</v>
      </c>
      <c r="H51" s="21" t="n">
        <v>235029.9929</v>
      </c>
      <c r="I51" s="21" t="n">
        <v>266571.0179</v>
      </c>
      <c r="J51" s="21" t="n">
        <v>298066.3837</v>
      </c>
      <c r="K51" s="21" t="n">
        <v>328498.9614</v>
      </c>
      <c r="L51" s="21" t="n">
        <v>356766.2971</v>
      </c>
      <c r="M51" s="21" t="n">
        <v>381739.9379</v>
      </c>
      <c r="N51" s="21" t="n">
        <v>408461.7335</v>
      </c>
      <c r="O51" s="21" t="n">
        <v>437054.0549</v>
      </c>
      <c r="P51" s="21" t="n">
        <v>467647.8387</v>
      </c>
    </row>
    <row r="52">
      <c r="A52" s="6" t="inlineStr">
        <is>
          <t>Suppliers</t>
        </is>
      </c>
      <c r="B52" s="21" t="n">
        <v>4239.5596</v>
      </c>
      <c r="C52" s="21" t="n">
        <v>5460.5527</v>
      </c>
      <c r="D52" s="21" t="n">
        <v>6755.5228</v>
      </c>
      <c r="E52" s="21" t="n">
        <v>8133.6494</v>
      </c>
      <c r="F52" s="21" t="n">
        <v>9616.820400000001</v>
      </c>
      <c r="G52" s="21" t="n">
        <v>11216.0977</v>
      </c>
      <c r="H52" s="21" t="n">
        <v>12901.3163</v>
      </c>
      <c r="I52" s="21" t="n">
        <v>14632.673</v>
      </c>
      <c r="J52" s="21" t="n">
        <v>16361.5233</v>
      </c>
      <c r="K52" s="21" t="n">
        <v>18032.0348</v>
      </c>
      <c r="L52" s="21" t="n">
        <v>19583.6914</v>
      </c>
      <c r="M52" s="21" t="n">
        <v>20954.5498</v>
      </c>
      <c r="N52" s="21" t="n">
        <v>22421.3683</v>
      </c>
      <c r="O52" s="21" t="n">
        <v>23990.8641</v>
      </c>
      <c r="P52" s="21" t="n">
        <v>25670.2246</v>
      </c>
    </row>
    <row r="53">
      <c r="A53" s="6" t="inlineStr">
        <is>
          <t>Other creditors</t>
        </is>
      </c>
      <c r="B53" s="21" t="n">
        <v>5703.6386</v>
      </c>
      <c r="C53" s="21" t="n">
        <v>7346.2865</v>
      </c>
      <c r="D53" s="21" t="n">
        <v>9088.4584</v>
      </c>
      <c r="E53" s="21" t="n">
        <v>10942.5039</v>
      </c>
      <c r="F53" s="21" t="n">
        <v>12937.8695</v>
      </c>
      <c r="G53" s="21" t="n">
        <v>15089.4372</v>
      </c>
      <c r="H53" s="21" t="n">
        <v>17356.6251</v>
      </c>
      <c r="I53" s="21" t="n">
        <v>19685.8842</v>
      </c>
      <c r="J53" s="21" t="n">
        <v>22011.7714</v>
      </c>
      <c r="K53" s="21" t="n">
        <v>24259.1733</v>
      </c>
      <c r="L53" s="21" t="n">
        <v>26346.6752</v>
      </c>
      <c r="M53" s="21" t="n">
        <v>28190.9424</v>
      </c>
      <c r="N53" s="21" t="n">
        <v>30164.3084</v>
      </c>
      <c r="O53" s="21" t="n">
        <v>32275.81</v>
      </c>
      <c r="P53" s="21" t="n">
        <v>34535.1167</v>
      </c>
    </row>
    <row r="54">
      <c r="A54" s="6" t="inlineStr">
        <is>
          <t>Cheques under collection</t>
        </is>
      </c>
      <c r="B54" s="21" t="n">
        <v>2732.4947</v>
      </c>
      <c r="C54" s="21" t="n">
        <v>3519.4532</v>
      </c>
      <c r="D54" s="21" t="n">
        <v>4354.0915</v>
      </c>
      <c r="E54" s="21" t="n">
        <v>5242.3261</v>
      </c>
      <c r="F54" s="21" t="n">
        <v>6198.2643</v>
      </c>
      <c r="G54" s="21" t="n">
        <v>7229.0357</v>
      </c>
      <c r="H54" s="21" t="n">
        <v>8315.1983</v>
      </c>
      <c r="I54" s="21" t="n">
        <v>9431.097900000001</v>
      </c>
      <c r="J54" s="21" t="n">
        <v>10545.3821</v>
      </c>
      <c r="K54" s="21" t="n">
        <v>11622.0656</v>
      </c>
      <c r="L54" s="21" t="n">
        <v>12622.1444</v>
      </c>
      <c r="M54" s="21" t="n">
        <v>13505.6945</v>
      </c>
      <c r="N54" s="21" t="n">
        <v>14451.0931</v>
      </c>
      <c r="O54" s="21" t="n">
        <v>15462.6696</v>
      </c>
      <c r="P54" s="21" t="n">
        <v>16545.0565</v>
      </c>
    </row>
    <row r="55">
      <c r="A55" s="6" t="inlineStr">
        <is>
          <t>Borrowings</t>
        </is>
      </c>
      <c r="B55" s="21" t="n">
        <v>33552.7</v>
      </c>
      <c r="C55" s="21" t="n">
        <v>46740.7988</v>
      </c>
      <c r="D55" s="21" t="n">
        <v>62173.4549</v>
      </c>
      <c r="E55" s="21" t="n">
        <v>77261.74099999999</v>
      </c>
      <c r="F55" s="21" t="n">
        <v>92233.9633</v>
      </c>
      <c r="G55" s="21" t="n">
        <v>107127.5093</v>
      </c>
      <c r="H55" s="21" t="n">
        <v>121342.1882</v>
      </c>
      <c r="I55" s="21" t="n">
        <v>134169.282</v>
      </c>
      <c r="J55" s="21" t="n">
        <v>144815.5481</v>
      </c>
      <c r="K55" s="21" t="n">
        <v>152439.1727</v>
      </c>
      <c r="L55" s="21" t="n">
        <v>156196.5667</v>
      </c>
      <c r="M55" s="21" t="n">
        <v>156196.5667</v>
      </c>
      <c r="N55" s="21" t="n">
        <v>156196.5667</v>
      </c>
      <c r="O55" s="21" t="n">
        <v>156196.5667</v>
      </c>
      <c r="P55" s="21" t="n">
        <v>156196.5667</v>
      </c>
    </row>
    <row r="56">
      <c r="A56" s="6" t="inlineStr">
        <is>
          <t>Other liabilities, held at the 2025 level</t>
        </is>
      </c>
      <c r="B56" s="21" t="n">
        <v>39074.878</v>
      </c>
      <c r="C56" s="21" t="n">
        <v>39074.878</v>
      </c>
      <c r="D56" s="21" t="n">
        <v>39074.878</v>
      </c>
      <c r="E56" s="21" t="n">
        <v>39074.878</v>
      </c>
      <c r="F56" s="21" t="n">
        <v>39074.878</v>
      </c>
      <c r="G56" s="21" t="n">
        <v>39074.878</v>
      </c>
      <c r="H56" s="21" t="n">
        <v>39074.878</v>
      </c>
      <c r="I56" s="21" t="n">
        <v>39074.878</v>
      </c>
      <c r="J56" s="21" t="n">
        <v>39074.878</v>
      </c>
      <c r="K56" s="21" t="n">
        <v>39074.878</v>
      </c>
      <c r="L56" s="21" t="n">
        <v>39074.878</v>
      </c>
      <c r="M56" s="21" t="n">
        <v>39074.878</v>
      </c>
      <c r="N56" s="21" t="n">
        <v>39074.878</v>
      </c>
      <c r="O56" s="21" t="n">
        <v>39074.878</v>
      </c>
      <c r="P56" s="21" t="n">
        <v>39074.878</v>
      </c>
    </row>
    <row r="57">
      <c r="A57" s="4" t="inlineStr">
        <is>
          <t>TOTAL LIABILITIES</t>
        </is>
      </c>
      <c r="B57" s="22">
        <f>B51+B52+B53+B54+B55+B56</f>
        <v/>
      </c>
      <c r="C57" s="22">
        <f>C51+C52+C53+C54+C55+C56</f>
        <v/>
      </c>
      <c r="D57" s="22">
        <f>D51+D52+D53+D54+D55+D56</f>
        <v/>
      </c>
      <c r="E57" s="22">
        <f>E51+E52+E53+E54+E55+E56</f>
        <v/>
      </c>
      <c r="F57" s="22">
        <f>F51+F52+F53+F54+F55+F56</f>
        <v/>
      </c>
      <c r="G57" s="22">
        <f>G51+G52+G53+G54+G55+G56</f>
        <v/>
      </c>
      <c r="H57" s="22">
        <f>H51+H52+H53+H54+H55+H56</f>
        <v/>
      </c>
      <c r="I57" s="22">
        <f>I51+I52+I53+I54+I55+I56</f>
        <v/>
      </c>
      <c r="J57" s="22">
        <f>J51+J52+J53+J54+J55+J56</f>
        <v/>
      </c>
      <c r="K57" s="22">
        <f>K51+K52+K53+K54+K55+K56</f>
        <v/>
      </c>
      <c r="L57" s="22">
        <f>L51+L52+L53+L54+L55+L56</f>
        <v/>
      </c>
      <c r="M57" s="22">
        <f>M51+M52+M53+M54+M55+M56</f>
        <v/>
      </c>
      <c r="N57" s="22">
        <f>N51+N52+N53+N54+N55+N56</f>
        <v/>
      </c>
      <c r="O57" s="22">
        <f>O51+O52+O53+O54+O55+O56</f>
        <v/>
      </c>
      <c r="P57" s="22">
        <f>P51+P52+P53+P54+P55+P56</f>
        <v/>
      </c>
      <c r="Q57" s="2" t="inlineStr">
        <is>
          <t>the six liability rows above, summed in the cell</t>
        </is>
      </c>
    </row>
    <row r="58">
      <c r="A58" s="6" t="inlineStr">
        <is>
          <t>Shareholders' funds</t>
        </is>
      </c>
      <c r="B58" s="21" t="n">
        <v>21427.64</v>
      </c>
      <c r="C58" s="21" t="n">
        <v>25603.315</v>
      </c>
      <c r="D58" s="21" t="n">
        <v>31384.4926</v>
      </c>
      <c r="E58" s="21" t="n">
        <v>38874.2701</v>
      </c>
      <c r="F58" s="21" t="n">
        <v>48202.8815</v>
      </c>
      <c r="G58" s="21" t="n">
        <v>59514.275</v>
      </c>
      <c r="H58" s="21" t="n">
        <v>72915.001</v>
      </c>
      <c r="I58" s="21" t="n">
        <v>88462.2611</v>
      </c>
      <c r="J58" s="21" t="n">
        <v>106152.9479</v>
      </c>
      <c r="K58" s="21" t="n">
        <v>125914.7333</v>
      </c>
      <c r="L58" s="21" t="n">
        <v>147600.2608</v>
      </c>
      <c r="M58" s="21" t="n">
        <v>170985.3772</v>
      </c>
      <c r="N58" s="21" t="n">
        <v>196189.0535</v>
      </c>
      <c r="O58" s="21" t="n">
        <v>223338.5891</v>
      </c>
      <c r="P58" s="21" t="n">
        <v>252570.1941</v>
      </c>
    </row>
    <row r="59">
      <c r="A59" s="4" t="inlineStr">
        <is>
          <t>TOTAL LIABILITIES AND EQUITY</t>
        </is>
      </c>
      <c r="B59" s="22">
        <f>B57+B58</f>
        <v/>
      </c>
      <c r="C59" s="22">
        <f>C57+C58</f>
        <v/>
      </c>
      <c r="D59" s="22">
        <f>D57+D58</f>
        <v/>
      </c>
      <c r="E59" s="22">
        <f>E57+E58</f>
        <v/>
      </c>
      <c r="F59" s="22">
        <f>F57+F58</f>
        <v/>
      </c>
      <c r="G59" s="22">
        <f>G57+G58</f>
        <v/>
      </c>
      <c r="H59" s="22">
        <f>H57+H58</f>
        <v/>
      </c>
      <c r="I59" s="22">
        <f>I57+I58</f>
        <v/>
      </c>
      <c r="J59" s="22">
        <f>J57+J58</f>
        <v/>
      </c>
      <c r="K59" s="22">
        <f>K57+K58</f>
        <v/>
      </c>
      <c r="L59" s="22">
        <f>L57+L58</f>
        <v/>
      </c>
      <c r="M59" s="22">
        <f>M57+M58</f>
        <v/>
      </c>
      <c r="N59" s="22">
        <f>N57+N58</f>
        <v/>
      </c>
      <c r="O59" s="22">
        <f>O57+O58</f>
        <v/>
      </c>
      <c r="P59" s="22">
        <f>P57+P58</f>
        <v/>
      </c>
    </row>
    <row r="60">
      <c r="A60" s="4" t="inlineStr">
        <is>
          <t>Check: assets less liabilities and equity</t>
        </is>
      </c>
      <c r="B60" s="25">
        <f>B50-B59</f>
        <v/>
      </c>
      <c r="C60" s="25">
        <f>C50-C59</f>
        <v/>
      </c>
      <c r="D60" s="25">
        <f>D50-D59</f>
        <v/>
      </c>
      <c r="E60" s="25">
        <f>E50-E59</f>
        <v/>
      </c>
      <c r="F60" s="25">
        <f>F50-F59</f>
        <v/>
      </c>
      <c r="G60" s="25">
        <f>G50-G59</f>
        <v/>
      </c>
      <c r="H60" s="25">
        <f>H50-H59</f>
        <v/>
      </c>
      <c r="I60" s="25">
        <f>I50-I59</f>
        <v/>
      </c>
      <c r="J60" s="25">
        <f>J50-J59</f>
        <v/>
      </c>
      <c r="K60" s="25">
        <f>K50-K59</f>
        <v/>
      </c>
      <c r="L60" s="25">
        <f>L50-L59</f>
        <v/>
      </c>
      <c r="M60" s="25">
        <f>M50-M59</f>
        <v/>
      </c>
      <c r="N60" s="25">
        <f>N50-N59</f>
        <v/>
      </c>
      <c r="O60" s="25">
        <f>O50-O59</f>
        <v/>
      </c>
      <c r="P60" s="25">
        <f>P50-P59</f>
        <v/>
      </c>
      <c r="Q60" s="2" t="inlineStr">
        <is>
          <t>A LIVE CHECK: two sums subtracted. It used to be the model's own computed difference, which is a check that cannot fail</t>
        </is>
      </c>
    </row>
    <row r="61">
      <c r="A61" s="6" t="inlineStr">
        <is>
          <t>Collection period, days</t>
        </is>
      </c>
      <c r="B61" s="21" t="n">
        <v>1044.5731</v>
      </c>
      <c r="C61" s="21" t="n">
        <v>1044.5731</v>
      </c>
      <c r="D61" s="21" t="n">
        <v>1044.5731</v>
      </c>
      <c r="E61" s="21" t="n">
        <v>1044.5731</v>
      </c>
      <c r="F61" s="21" t="n">
        <v>1044.5731</v>
      </c>
      <c r="G61" s="21" t="n">
        <v>1044.5731</v>
      </c>
      <c r="H61" s="21" t="n">
        <v>1044.5731</v>
      </c>
      <c r="I61" s="21" t="n">
        <v>1044.5731</v>
      </c>
      <c r="J61" s="21" t="n">
        <v>1044.5731</v>
      </c>
      <c r="K61" s="21" t="n">
        <v>1044.5731</v>
      </c>
      <c r="L61" s="21" t="n">
        <v>1044.5731</v>
      </c>
      <c r="M61" s="21" t="n">
        <v>1044.5731</v>
      </c>
      <c r="N61" s="21" t="n">
        <v>1044.5731</v>
      </c>
      <c r="O61" s="21" t="n">
        <v>1044.5731</v>
      </c>
      <c r="P61" s="21" t="n">
        <v>1044.5731</v>
      </c>
    </row>
    <row r="62">
      <c r="A62" s="6" t="inlineStr">
        <is>
          <t>Work in progress, days of cost</t>
        </is>
      </c>
      <c r="B62" s="21" t="n">
        <v>274.5478</v>
      </c>
      <c r="C62" s="21" t="n">
        <v>274.5478</v>
      </c>
      <c r="D62" s="21" t="n">
        <v>274.5478</v>
      </c>
      <c r="E62" s="21" t="n">
        <v>274.5478</v>
      </c>
      <c r="F62" s="21" t="n">
        <v>274.5478</v>
      </c>
      <c r="G62" s="21" t="n">
        <v>274.5478</v>
      </c>
      <c r="H62" s="21" t="n">
        <v>274.5478</v>
      </c>
      <c r="I62" s="21" t="n">
        <v>274.5478</v>
      </c>
      <c r="J62" s="21" t="n">
        <v>274.5478</v>
      </c>
      <c r="K62" s="21" t="n">
        <v>274.5478</v>
      </c>
      <c r="L62" s="21" t="n">
        <v>274.5478</v>
      </c>
      <c r="M62" s="21" t="n">
        <v>274.5478</v>
      </c>
      <c r="N62" s="21" t="n">
        <v>274.5478</v>
      </c>
      <c r="O62" s="21" t="n">
        <v>274.5478</v>
      </c>
      <c r="P62" s="21" t="n">
        <v>274.5478</v>
      </c>
    </row>
    <row r="63">
      <c r="A63" s="6" t="inlineStr">
        <is>
          <t>Suppliers, days of cost</t>
        </is>
      </c>
      <c r="B63" s="21" t="n">
        <v>59.4849</v>
      </c>
      <c r="C63" s="21" t="n">
        <v>59.4849</v>
      </c>
      <c r="D63" s="21" t="n">
        <v>59.4849</v>
      </c>
      <c r="E63" s="21" t="n">
        <v>59.4849</v>
      </c>
      <c r="F63" s="21" t="n">
        <v>59.4849</v>
      </c>
      <c r="G63" s="21" t="n">
        <v>59.4849</v>
      </c>
      <c r="H63" s="21" t="n">
        <v>59.4849</v>
      </c>
      <c r="I63" s="21" t="n">
        <v>59.4849</v>
      </c>
      <c r="J63" s="21" t="n">
        <v>59.4849</v>
      </c>
      <c r="K63" s="21" t="n">
        <v>59.4849</v>
      </c>
      <c r="L63" s="21" t="n">
        <v>59.4849</v>
      </c>
      <c r="M63" s="21" t="n">
        <v>59.4849</v>
      </c>
      <c r="N63" s="21" t="n">
        <v>59.4849</v>
      </c>
      <c r="O63" s="21" t="n">
        <v>59.4849</v>
      </c>
      <c r="P63" s="21" t="n">
        <v>59.4849</v>
      </c>
    </row>
    <row r="64">
      <c r="A64" s="6" t="inlineStr">
        <is>
          <t>Customer advances, share of the order book</t>
        </is>
      </c>
      <c r="B64" s="17" t="n">
        <v>0.2191</v>
      </c>
      <c r="C64" s="17" t="n">
        <v>0.2231</v>
      </c>
      <c r="D64" s="17" t="n">
        <v>0.2279</v>
      </c>
      <c r="E64" s="17" t="n">
        <v>0.2341</v>
      </c>
      <c r="F64" s="17" t="n">
        <v>0.2421</v>
      </c>
      <c r="G64" s="17" t="n">
        <v>0.2516</v>
      </c>
      <c r="H64" s="17" t="n">
        <v>0.2617</v>
      </c>
      <c r="I64" s="17" t="n">
        <v>0.2714</v>
      </c>
      <c r="J64" s="17" t="n">
        <v>0.2798</v>
      </c>
      <c r="K64" s="17" t="n">
        <v>0.2857</v>
      </c>
      <c r="L64" s="17" t="n">
        <v>0.2884</v>
      </c>
      <c r="M64" s="17" t="n">
        <v>0.287</v>
      </c>
      <c r="N64" s="17" t="n">
        <v>0.2856</v>
      </c>
      <c r="O64" s="17" t="n">
        <v>0.2843</v>
      </c>
      <c r="P64" s="17" t="n">
        <v>0.2831</v>
      </c>
    </row>
    <row r="65">
      <c r="A65" s="6" t="inlineStr">
        <is>
          <t>Net working capital</t>
        </is>
      </c>
      <c r="B65" s="21" t="n">
        <v>69404.83070000001</v>
      </c>
      <c r="C65" s="21" t="n">
        <v>89393.4219</v>
      </c>
      <c r="D65" s="21" t="n">
        <v>110593.0719</v>
      </c>
      <c r="E65" s="21" t="n">
        <v>133154.0586</v>
      </c>
      <c r="F65" s="21" t="n">
        <v>157434.7012</v>
      </c>
      <c r="G65" s="21" t="n">
        <v>183616.092</v>
      </c>
      <c r="H65" s="21" t="n">
        <v>211204.4098</v>
      </c>
      <c r="I65" s="21" t="n">
        <v>239548.0416</v>
      </c>
      <c r="J65" s="21" t="n">
        <v>267850.6428</v>
      </c>
      <c r="K65" s="21" t="n">
        <v>295198.1934</v>
      </c>
      <c r="L65" s="21" t="n">
        <v>320599.9979</v>
      </c>
      <c r="M65" s="21" t="n">
        <v>343041.9978</v>
      </c>
      <c r="N65" s="21" t="n">
        <v>367054.9376</v>
      </c>
      <c r="O65" s="21" t="n">
        <v>392748.7833</v>
      </c>
      <c r="P65" s="21" t="n">
        <v>420241.1981</v>
      </c>
    </row>
    <row r="66">
      <c r="A66" s="6" t="inlineStr">
        <is>
          <t xml:space="preserve">  as a multiple of revenue</t>
        </is>
      </c>
      <c r="B66" s="7" t="n">
        <v>1.7231</v>
      </c>
      <c r="C66" s="7" t="n">
        <v>1.7231</v>
      </c>
      <c r="D66" s="7" t="n">
        <v>1.7231</v>
      </c>
      <c r="E66" s="7" t="n">
        <v>1.7231</v>
      </c>
      <c r="F66" s="7" t="n">
        <v>1.7231</v>
      </c>
      <c r="G66" s="7" t="n">
        <v>1.7231</v>
      </c>
      <c r="H66" s="7" t="n">
        <v>1.7231</v>
      </c>
      <c r="I66" s="7" t="n">
        <v>1.7231</v>
      </c>
      <c r="J66" s="7" t="n">
        <v>1.7231</v>
      </c>
      <c r="K66" s="7" t="n">
        <v>1.7231</v>
      </c>
      <c r="L66" s="7" t="n">
        <v>1.7231</v>
      </c>
      <c r="M66" s="7" t="n">
        <v>1.7231</v>
      </c>
      <c r="N66" s="7" t="n">
        <v>1.7231</v>
      </c>
      <c r="O66" s="7" t="n">
        <v>1.7231</v>
      </c>
      <c r="P66" s="7" t="n">
        <v>1.7231</v>
      </c>
    </row>
    <row r="68">
      <c r="A68" s="4" t="inlineStr">
        <is>
          <t>The cycle as reported, both audited years</t>
        </is>
      </c>
    </row>
    <row r="69">
      <c r="A69" s="4" t="inlineStr"/>
      <c r="B69" s="16" t="inlineStr">
        <is>
          <t>2025</t>
        </is>
      </c>
      <c r="C69" s="16" t="inlineStr">
        <is>
          <t>2024</t>
        </is>
      </c>
    </row>
    <row r="70">
      <c r="A70" s="6" t="inlineStr">
        <is>
          <t>Collection period, days</t>
        </is>
      </c>
      <c r="B70" s="21" t="n">
        <v>1044.5731</v>
      </c>
      <c r="C70" s="21" t="n">
        <v>1034.7657</v>
      </c>
    </row>
    <row r="71">
      <c r="A71" s="6" t="inlineStr">
        <is>
          <t>Work in progress, days of cost</t>
        </is>
      </c>
      <c r="B71" s="21" t="n">
        <v>303.6796</v>
      </c>
      <c r="C71" s="21" t="n">
        <v>270.3102</v>
      </c>
    </row>
    <row r="72">
      <c r="A72" s="6" t="inlineStr">
        <is>
          <t>Suppliers, days of cost</t>
        </is>
      </c>
      <c r="B72" s="21" t="n">
        <v>65.7968</v>
      </c>
      <c r="C72" s="21" t="n">
        <v>70.12009999999999</v>
      </c>
    </row>
    <row r="73">
      <c r="A73" s="6" t="inlineStr">
        <is>
          <t>Customer advances, share of the order book</t>
        </is>
      </c>
      <c r="B73" s="17" t="n">
        <v>0.2637</v>
      </c>
      <c r="C73" s="17" t="n">
        <v>0.3225</v>
      </c>
    </row>
    <row r="74">
      <c r="A74" s="6" t="inlineStr">
        <is>
          <t>Net working capital</t>
        </is>
      </c>
      <c r="B74" s="21" t="n">
        <v>62323.5</v>
      </c>
      <c r="C74" s="21" t="n">
        <v>42238.8</v>
      </c>
    </row>
    <row r="75">
      <c r="A75" s="6" t="inlineStr">
        <is>
          <t xml:space="preserve">  as a multiple of revenue</t>
        </is>
      </c>
      <c r="B75" s="7" t="n">
        <v>1.7231</v>
      </c>
      <c r="C75" s="7" t="n">
        <v>1.5548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Cash flow — forecast, both readings</t>
        </is>
      </c>
    </row>
    <row r="2">
      <c r="A2" s="2" t="inlineStr">
        <is>
          <t>The audited balance sheet and the audited cash-flow statement disagree about 2025 by EGP 16,938 million, and that difference cannot be split from what is disclosed. So the forecast is published two ways and neither is averaged into the other.</t>
        </is>
      </c>
    </row>
    <row r="4">
      <c r="A4" s="4" t="inlineStr">
        <is>
          <t>IF CASH CONVERSION HOLDS — the basis of the valuation</t>
        </is>
      </c>
    </row>
    <row r="5">
      <c r="A5" s="5" t="inlineStr">
        <is>
          <t>EGP mn unless stated</t>
        </is>
      </c>
      <c r="B5" s="19" t="n">
        <v>2026</v>
      </c>
      <c r="C5" s="19" t="n">
        <v>2027</v>
      </c>
      <c r="D5" s="19" t="n">
        <v>2028</v>
      </c>
      <c r="E5" s="19" t="n">
        <v>2029</v>
      </c>
      <c r="F5" s="19" t="n">
        <v>2030</v>
      </c>
      <c r="G5" s="19" t="n">
        <v>2031</v>
      </c>
      <c r="H5" s="19" t="n">
        <v>2032</v>
      </c>
      <c r="I5" s="19" t="n">
        <v>2033</v>
      </c>
      <c r="J5" s="19" t="n">
        <v>2034</v>
      </c>
      <c r="K5" s="19" t="n">
        <v>2035</v>
      </c>
      <c r="L5" s="19" t="n">
        <v>2036</v>
      </c>
      <c r="M5" s="19" t="n">
        <v>2037</v>
      </c>
      <c r="N5" s="19" t="n">
        <v>2038</v>
      </c>
      <c r="O5" s="19" t="n">
        <v>2039</v>
      </c>
      <c r="P5" s="19" t="n">
        <v>2040</v>
      </c>
    </row>
    <row r="6">
      <c r="A6" s="6" t="inlineStr">
        <is>
          <t>Net profit</t>
        </is>
      </c>
      <c r="B6" s="21" t="n">
        <v>2661.889</v>
      </c>
      <c r="C6" s="21" t="n">
        <v>4175.675</v>
      </c>
      <c r="D6" s="21" t="n">
        <v>5781.1776</v>
      </c>
      <c r="E6" s="21" t="n">
        <v>7489.7775</v>
      </c>
      <c r="F6" s="21" t="n">
        <v>9328.6114</v>
      </c>
      <c r="G6" s="21" t="n">
        <v>11311.3936</v>
      </c>
      <c r="H6" s="21" t="n">
        <v>13400.7259</v>
      </c>
      <c r="I6" s="21" t="n">
        <v>15547.2601</v>
      </c>
      <c r="J6" s="21" t="n">
        <v>17690.6869</v>
      </c>
      <c r="K6" s="21" t="n">
        <v>19761.7853</v>
      </c>
      <c r="L6" s="21" t="n">
        <v>21685.5275</v>
      </c>
      <c r="M6" s="21" t="n">
        <v>23385.1163</v>
      </c>
      <c r="N6" s="21" t="n">
        <v>25203.6764</v>
      </c>
      <c r="O6" s="21" t="n">
        <v>27149.5356</v>
      </c>
      <c r="P6" s="21" t="n">
        <v>29231.6049</v>
      </c>
    </row>
    <row r="7">
      <c r="A7" s="6" t="inlineStr">
        <is>
          <t>Depreciation and amortisation</t>
        </is>
      </c>
      <c r="B7" s="21" t="n">
        <v>393.8882</v>
      </c>
      <c r="C7" s="21" t="n">
        <v>507.3279</v>
      </c>
      <c r="D7" s="21" t="n">
        <v>627.6408</v>
      </c>
      <c r="E7" s="21" t="n">
        <v>755.6795</v>
      </c>
      <c r="F7" s="21" t="n">
        <v>893.4776000000001</v>
      </c>
      <c r="G7" s="21" t="n">
        <v>1042.063</v>
      </c>
      <c r="H7" s="21" t="n">
        <v>1198.6329</v>
      </c>
      <c r="I7" s="21" t="n">
        <v>1359.4895</v>
      </c>
      <c r="J7" s="21" t="n">
        <v>1520.1132</v>
      </c>
      <c r="K7" s="21" t="n">
        <v>1675.3167</v>
      </c>
      <c r="L7" s="21" t="n">
        <v>1819.4777</v>
      </c>
      <c r="M7" s="21" t="n">
        <v>1946.8412</v>
      </c>
      <c r="N7" s="21" t="n">
        <v>2083.12</v>
      </c>
      <c r="O7" s="21" t="n">
        <v>2228.9384</v>
      </c>
      <c r="P7" s="21" t="n">
        <v>2384.9641</v>
      </c>
    </row>
    <row r="8">
      <c r="A8" s="6" t="inlineStr">
        <is>
          <t>Change in working capital, cash effect</t>
        </is>
      </c>
      <c r="B8" s="21">
        <f>B9-'Income Statement'!B19-'Income Statement'!B15</f>
        <v/>
      </c>
      <c r="C8" s="21">
        <f>C9-'Income Statement'!C19-'Income Statement'!C15</f>
        <v/>
      </c>
      <c r="D8" s="21">
        <f>D9-'Income Statement'!D19-'Income Statement'!D15</f>
        <v/>
      </c>
      <c r="E8" s="21">
        <f>E9-'Income Statement'!E19-'Income Statement'!E15</f>
        <v/>
      </c>
      <c r="F8" s="21">
        <f>F9-'Income Statement'!F19-'Income Statement'!F15</f>
        <v/>
      </c>
      <c r="G8" s="21">
        <f>G9-'Income Statement'!G19-'Income Statement'!G15</f>
        <v/>
      </c>
      <c r="H8" s="21">
        <f>H9-'Income Statement'!H19-'Income Statement'!H15</f>
        <v/>
      </c>
      <c r="I8" s="21">
        <f>I9-'Income Statement'!I19-'Income Statement'!I15</f>
        <v/>
      </c>
      <c r="J8" s="21">
        <f>J9-'Income Statement'!J19-'Income Statement'!J15</f>
        <v/>
      </c>
      <c r="K8" s="21">
        <f>K9-'Income Statement'!K19-'Income Statement'!K15</f>
        <v/>
      </c>
      <c r="L8" s="21">
        <f>L9-'Income Statement'!L19-'Income Statement'!L15</f>
        <v/>
      </c>
      <c r="M8" s="21">
        <f>M9-'Income Statement'!M19-'Income Statement'!M15</f>
        <v/>
      </c>
      <c r="N8" s="21">
        <f>N9-'Income Statement'!N19-'Income Statement'!N15</f>
        <v/>
      </c>
      <c r="O8" s="21">
        <f>O9-'Income Statement'!O19-'Income Statement'!O15</f>
        <v/>
      </c>
      <c r="P8" s="21">
        <f>P9-'Income Statement'!P19-'Income Statement'!P15</f>
        <v/>
      </c>
      <c r="Q8" s="2" t="inlineStr">
        <is>
          <t>THE PLUG. Operating cash is set and working capital is what is left, which is the whole difference between this framing and the one below</t>
        </is>
      </c>
    </row>
    <row r="9">
      <c r="A9" s="4" t="inlineStr">
        <is>
          <t>Cash from operations</t>
        </is>
      </c>
      <c r="B9" s="22">
        <f>DCF!B9*Assumptions!$B$5</f>
        <v/>
      </c>
      <c r="C9" s="22">
        <f>DCF!C9*Assumptions!$B$5</f>
        <v/>
      </c>
      <c r="D9" s="22">
        <f>DCF!D9*Assumptions!$B$5</f>
        <v/>
      </c>
      <c r="E9" s="22">
        <f>DCF!E9*Assumptions!$B$5</f>
        <v/>
      </c>
      <c r="F9" s="22">
        <f>DCF!F9*Assumptions!$B$5</f>
        <v/>
      </c>
      <c r="G9" s="22">
        <f>DCF!G9*Assumptions!$B$5</f>
        <v/>
      </c>
      <c r="H9" s="22">
        <f>DCF!H9*Assumptions!$B$5</f>
        <v/>
      </c>
      <c r="I9" s="22">
        <f>DCF!I9*Assumptions!$B$5</f>
        <v/>
      </c>
      <c r="J9" s="22">
        <f>DCF!J9*Assumptions!$B$5</f>
        <v/>
      </c>
      <c r="K9" s="22">
        <f>DCF!K9*Assumptions!$B$5</f>
        <v/>
      </c>
      <c r="L9" s="22">
        <f>DCF!L9*Assumptions!$B$5</f>
        <v/>
      </c>
      <c r="M9" s="22">
        <f>DCF!M9*Assumptions!$B$5</f>
        <v/>
      </c>
      <c r="N9" s="22">
        <f>DCF!N9*Assumptions!$B$5</f>
        <v/>
      </c>
      <c r="O9" s="22">
        <f>DCF!O9*Assumptions!$B$5</f>
        <v/>
      </c>
      <c r="P9" s="22">
        <f>DCF!P9*Assumptions!$B$5</f>
        <v/>
      </c>
      <c r="Q9" s="2" t="inlineStr">
        <is>
          <t>SET at the conversion rate times revenue — this is the crux input, and the row below proves the division</t>
        </is>
      </c>
    </row>
    <row r="10">
      <c r="A10" s="6" t="inlineStr">
        <is>
          <t xml:space="preserve">  as a share of revenue</t>
        </is>
      </c>
      <c r="B10" s="17">
        <f>B9/DCF!B9</f>
        <v/>
      </c>
      <c r="C10" s="17">
        <f>C9/DCF!C9</f>
        <v/>
      </c>
      <c r="D10" s="17">
        <f>D9/DCF!D9</f>
        <v/>
      </c>
      <c r="E10" s="17">
        <f>E9/DCF!E9</f>
        <v/>
      </c>
      <c r="F10" s="17">
        <f>F9/DCF!F9</f>
        <v/>
      </c>
      <c r="G10" s="17">
        <f>G9/DCF!G9</f>
        <v/>
      </c>
      <c r="H10" s="17">
        <f>H9/DCF!H9</f>
        <v/>
      </c>
      <c r="I10" s="17">
        <f>I9/DCF!I9</f>
        <v/>
      </c>
      <c r="J10" s="17">
        <f>J9/DCF!J9</f>
        <v/>
      </c>
      <c r="K10" s="17">
        <f>K9/DCF!K9</f>
        <v/>
      </c>
      <c r="L10" s="17">
        <f>L9/DCF!L9</f>
        <v/>
      </c>
      <c r="M10" s="17">
        <f>M9/DCF!M9</f>
        <v/>
      </c>
      <c r="N10" s="17">
        <f>N9/DCF!N9</f>
        <v/>
      </c>
      <c r="O10" s="17">
        <f>O9/DCF!O9</f>
        <v/>
      </c>
      <c r="P10" s="17">
        <f>P9/DCF!P9</f>
        <v/>
      </c>
      <c r="Q10" s="2" t="inlineStr">
        <is>
          <t>the conversion rate, recovered from the row above: flat by construction because operating cash is set as a share of revenue</t>
        </is>
      </c>
    </row>
    <row r="11">
      <c r="A11" s="6" t="inlineStr">
        <is>
          <t>Capital expenditure</t>
        </is>
      </c>
      <c r="B11" s="21">
        <f>-DCF!B9*Assumptions!$B$24</f>
        <v/>
      </c>
      <c r="C11" s="21">
        <f>-DCF!C9*Assumptions!$B$24</f>
        <v/>
      </c>
      <c r="D11" s="21">
        <f>-DCF!D9*Assumptions!$B$24</f>
        <v/>
      </c>
      <c r="E11" s="21">
        <f>-DCF!E9*Assumptions!$B$24</f>
        <v/>
      </c>
      <c r="F11" s="21">
        <f>-DCF!F9*Assumptions!$B$24</f>
        <v/>
      </c>
      <c r="G11" s="21">
        <f>-DCF!G9*Assumptions!$B$24</f>
        <v/>
      </c>
      <c r="H11" s="21">
        <f>-DCF!H9*Assumptions!$B$24</f>
        <v/>
      </c>
      <c r="I11" s="21">
        <f>-DCF!I9*Assumptions!$B$24</f>
        <v/>
      </c>
      <c r="J11" s="21">
        <f>-DCF!J9*Assumptions!$B$24</f>
        <v/>
      </c>
      <c r="K11" s="21">
        <f>-DCF!K9*Assumptions!$B$24</f>
        <v/>
      </c>
      <c r="L11" s="21">
        <f>-DCF!L9*Assumptions!$B$24</f>
        <v/>
      </c>
      <c r="M11" s="21">
        <f>-DCF!M9*Assumptions!$B$24</f>
        <v/>
      </c>
      <c r="N11" s="21">
        <f>-DCF!N9*Assumptions!$B$24</f>
        <v/>
      </c>
      <c r="O11" s="21">
        <f>-DCF!O9*Assumptions!$B$24</f>
        <v/>
      </c>
      <c r="P11" s="21">
        <f>-DCF!P9*Assumptions!$B$24</f>
        <v/>
      </c>
      <c r="Q11" s="2" t="inlineStr">
        <is>
          <t>maintenance only, at the share of revenue on the Assumptions sheet</t>
        </is>
      </c>
    </row>
    <row r="12">
      <c r="A12" s="6" t="inlineStr">
        <is>
          <t>New borrowing drawn</t>
        </is>
      </c>
      <c r="B12" s="21" t="n">
        <v>0</v>
      </c>
      <c r="C12" s="21" t="n">
        <v>0</v>
      </c>
      <c r="D12" s="21" t="n">
        <v>0</v>
      </c>
      <c r="E12" s="21" t="n">
        <v>0</v>
      </c>
      <c r="F12" s="21" t="n">
        <v>0</v>
      </c>
      <c r="G12" s="21" t="n">
        <v>0</v>
      </c>
      <c r="H12" s="21" t="n">
        <v>0</v>
      </c>
      <c r="I12" s="21" t="n">
        <v>0</v>
      </c>
      <c r="J12" s="21" t="n">
        <v>0</v>
      </c>
      <c r="K12" s="21" t="n">
        <v>0</v>
      </c>
      <c r="L12" s="21" t="n">
        <v>0</v>
      </c>
      <c r="M12" s="21" t="n">
        <v>0</v>
      </c>
      <c r="N12" s="21" t="n">
        <v>0</v>
      </c>
      <c r="O12" s="21" t="n">
        <v>0</v>
      </c>
      <c r="P12" s="21" t="n">
        <v>0</v>
      </c>
    </row>
    <row r="13">
      <c r="A13" s="6" t="inlineStr">
        <is>
          <t>Cash from financing</t>
        </is>
      </c>
      <c r="B13" s="21" t="n">
        <v>0</v>
      </c>
      <c r="C13" s="21" t="n">
        <v>0</v>
      </c>
      <c r="D13" s="21" t="n">
        <v>0</v>
      </c>
      <c r="E13" s="21" t="n">
        <v>0</v>
      </c>
      <c r="F13" s="21" t="n">
        <v>0</v>
      </c>
      <c r="G13" s="21" t="n">
        <v>0</v>
      </c>
      <c r="H13" s="21" t="n">
        <v>0</v>
      </c>
      <c r="I13" s="21" t="n">
        <v>0</v>
      </c>
      <c r="J13" s="21" t="n">
        <v>0</v>
      </c>
      <c r="K13" s="21" t="n">
        <v>0</v>
      </c>
      <c r="L13" s="21" t="n">
        <v>0</v>
      </c>
      <c r="M13" s="21" t="n">
        <v>0</v>
      </c>
      <c r="N13" s="21" t="n">
        <v>0</v>
      </c>
      <c r="O13" s="21" t="n">
        <v>0</v>
      </c>
      <c r="P13" s="21" t="n">
        <v>0</v>
      </c>
    </row>
    <row r="14">
      <c r="A14" s="4" t="inlineStr">
        <is>
          <t>Closing cash</t>
        </is>
      </c>
      <c r="B14" s="22" t="n">
        <v>12526.4815</v>
      </c>
      <c r="C14" s="22" t="n">
        <v>16528.2737</v>
      </c>
      <c r="D14" s="22" t="n">
        <v>21479.091</v>
      </c>
      <c r="E14" s="22" t="n">
        <v>27439.8749</v>
      </c>
      <c r="F14" s="22" t="n">
        <v>34487.6078</v>
      </c>
      <c r="G14" s="22" t="n">
        <v>42707.3786</v>
      </c>
      <c r="H14" s="22" t="n">
        <v>52162.1701</v>
      </c>
      <c r="I14" s="22" t="n">
        <v>62885.7945</v>
      </c>
      <c r="J14" s="22" t="n">
        <v>74876.4152</v>
      </c>
      <c r="K14" s="22" t="n">
        <v>88091.27830000001</v>
      </c>
      <c r="L14" s="22" t="n">
        <v>102443.2803</v>
      </c>
      <c r="M14" s="22" t="n">
        <v>117799.9225</v>
      </c>
      <c r="N14" s="22" t="n">
        <v>134231.5296</v>
      </c>
      <c r="O14" s="22" t="n">
        <v>151813.3492</v>
      </c>
      <c r="P14" s="22" t="n">
        <v>170625.8962</v>
      </c>
    </row>
    <row r="15">
      <c r="A15" s="6" t="inlineStr">
        <is>
          <t>Cumulative new borrowing</t>
        </is>
      </c>
      <c r="B15" s="21" t="n">
        <v>0</v>
      </c>
      <c r="C15" s="21" t="n">
        <v>0</v>
      </c>
      <c r="D15" s="21" t="n">
        <v>0</v>
      </c>
      <c r="E15" s="21" t="n">
        <v>0</v>
      </c>
      <c r="F15" s="21" t="n">
        <v>0</v>
      </c>
      <c r="G15" s="21" t="n">
        <v>0</v>
      </c>
      <c r="H15" s="21" t="n">
        <v>0</v>
      </c>
      <c r="I15" s="21" t="n">
        <v>0</v>
      </c>
      <c r="J15" s="21" t="n">
        <v>0</v>
      </c>
      <c r="K15" s="21" t="n">
        <v>0</v>
      </c>
      <c r="L15" s="21" t="n">
        <v>0</v>
      </c>
      <c r="M15" s="21" t="n">
        <v>0</v>
      </c>
      <c r="N15" s="21" t="n">
        <v>0</v>
      </c>
      <c r="O15" s="21" t="n">
        <v>0</v>
      </c>
      <c r="P15" s="21" t="n">
        <v>0</v>
      </c>
    </row>
    <row r="17">
      <c r="A17" s="4" t="inlineStr">
        <is>
          <t>IF THE COLLECTION CYCLE HOLDS</t>
        </is>
      </c>
    </row>
    <row r="18">
      <c r="A18" s="5" t="inlineStr">
        <is>
          <t>EGP mn unless stated</t>
        </is>
      </c>
      <c r="B18" s="19" t="n">
        <v>2026</v>
      </c>
      <c r="C18" s="19" t="n">
        <v>2027</v>
      </c>
      <c r="D18" s="19" t="n">
        <v>2028</v>
      </c>
      <c r="E18" s="19" t="n">
        <v>2029</v>
      </c>
      <c r="F18" s="19" t="n">
        <v>2030</v>
      </c>
      <c r="G18" s="19" t="n">
        <v>2031</v>
      </c>
      <c r="H18" s="19" t="n">
        <v>2032</v>
      </c>
      <c r="I18" s="19" t="n">
        <v>2033</v>
      </c>
      <c r="J18" s="19" t="n">
        <v>2034</v>
      </c>
      <c r="K18" s="19" t="n">
        <v>2035</v>
      </c>
      <c r="L18" s="19" t="n">
        <v>2036</v>
      </c>
      <c r="M18" s="19" t="n">
        <v>2037</v>
      </c>
      <c r="N18" s="19" t="n">
        <v>2038</v>
      </c>
      <c r="O18" s="19" t="n">
        <v>2039</v>
      </c>
      <c r="P18" s="19" t="n">
        <v>2040</v>
      </c>
    </row>
    <row r="19">
      <c r="A19" s="6" t="inlineStr">
        <is>
          <t>Net profit</t>
        </is>
      </c>
      <c r="B19" s="21" t="n">
        <v>2661.889</v>
      </c>
      <c r="C19" s="21" t="n">
        <v>4175.675</v>
      </c>
      <c r="D19" s="21" t="n">
        <v>5781.1776</v>
      </c>
      <c r="E19" s="21" t="n">
        <v>7489.7775</v>
      </c>
      <c r="F19" s="21" t="n">
        <v>9328.6114</v>
      </c>
      <c r="G19" s="21" t="n">
        <v>11311.3936</v>
      </c>
      <c r="H19" s="21" t="n">
        <v>13400.7259</v>
      </c>
      <c r="I19" s="21" t="n">
        <v>15547.2601</v>
      </c>
      <c r="J19" s="21" t="n">
        <v>17690.6869</v>
      </c>
      <c r="K19" s="21" t="n">
        <v>19761.7853</v>
      </c>
      <c r="L19" s="21" t="n">
        <v>21685.5275</v>
      </c>
      <c r="M19" s="21" t="n">
        <v>23385.1163</v>
      </c>
      <c r="N19" s="21" t="n">
        <v>25203.6764</v>
      </c>
      <c r="O19" s="21" t="n">
        <v>27149.5356</v>
      </c>
      <c r="P19" s="21" t="n">
        <v>29231.6049</v>
      </c>
    </row>
    <row r="20">
      <c r="A20" s="6" t="inlineStr">
        <is>
          <t>Depreciation and amortisation</t>
        </is>
      </c>
      <c r="B20" s="21" t="n">
        <v>393.8882</v>
      </c>
      <c r="C20" s="21" t="n">
        <v>507.3279</v>
      </c>
      <c r="D20" s="21" t="n">
        <v>627.6408</v>
      </c>
      <c r="E20" s="21" t="n">
        <v>755.6795</v>
      </c>
      <c r="F20" s="21" t="n">
        <v>893.4776000000001</v>
      </c>
      <c r="G20" s="21" t="n">
        <v>1042.063</v>
      </c>
      <c r="H20" s="21" t="n">
        <v>1198.6329</v>
      </c>
      <c r="I20" s="21" t="n">
        <v>1359.4895</v>
      </c>
      <c r="J20" s="21" t="n">
        <v>1520.1132</v>
      </c>
      <c r="K20" s="21" t="n">
        <v>1675.3167</v>
      </c>
      <c r="L20" s="21" t="n">
        <v>1819.4777</v>
      </c>
      <c r="M20" s="21" t="n">
        <v>1946.8412</v>
      </c>
      <c r="N20" s="21" t="n">
        <v>2083.12</v>
      </c>
      <c r="O20" s="21" t="n">
        <v>2228.9384</v>
      </c>
      <c r="P20" s="21" t="n">
        <v>2384.9641</v>
      </c>
    </row>
    <row r="21">
      <c r="A21" s="6" t="inlineStr">
        <is>
          <t>Change in working capital, cash effect</t>
        </is>
      </c>
      <c r="B21" s="21" t="n">
        <v>-7081.3307</v>
      </c>
      <c r="C21" s="21" t="n">
        <v>-19988.5912</v>
      </c>
      <c r="D21" s="21" t="n">
        <v>-21199.65</v>
      </c>
      <c r="E21" s="21" t="n">
        <v>-22560.9867</v>
      </c>
      <c r="F21" s="21" t="n">
        <v>-24280.6426</v>
      </c>
      <c r="G21" s="21" t="n">
        <v>-26181.3908</v>
      </c>
      <c r="H21" s="21" t="n">
        <v>-27588.3178</v>
      </c>
      <c r="I21" s="21" t="n">
        <v>-28343.6318</v>
      </c>
      <c r="J21" s="21" t="n">
        <v>-28302.6011</v>
      </c>
      <c r="K21" s="21" t="n">
        <v>-27347.5506</v>
      </c>
      <c r="L21" s="21" t="n">
        <v>-25401.8045</v>
      </c>
      <c r="M21" s="21" t="n">
        <v>-22441.9999</v>
      </c>
      <c r="N21" s="21" t="n">
        <v>-24012.9398</v>
      </c>
      <c r="O21" s="21" t="n">
        <v>-25693.8456</v>
      </c>
      <c r="P21" s="21" t="n">
        <v>-27492.4148</v>
      </c>
    </row>
    <row r="22">
      <c r="A22" s="4" t="inlineStr">
        <is>
          <t>Cash from operations</t>
        </is>
      </c>
      <c r="B22" s="22" t="n">
        <v>-4025.5535</v>
      </c>
      <c r="C22" s="22" t="n">
        <v>-15305.5883</v>
      </c>
      <c r="D22" s="22" t="n">
        <v>-14790.8317</v>
      </c>
      <c r="E22" s="22" t="n">
        <v>-14315.5297</v>
      </c>
      <c r="F22" s="22" t="n">
        <v>-14058.5536</v>
      </c>
      <c r="G22" s="22" t="n">
        <v>-13827.9342</v>
      </c>
      <c r="H22" s="22" t="n">
        <v>-12988.959</v>
      </c>
      <c r="I22" s="22" t="n">
        <v>-11436.8822</v>
      </c>
      <c r="J22" s="22" t="n">
        <v>-9091.801100000001</v>
      </c>
      <c r="K22" s="22" t="n">
        <v>-5910.4486</v>
      </c>
      <c r="L22" s="22" t="n">
        <v>-1896.7993</v>
      </c>
      <c r="M22" s="22" t="n">
        <v>2889.9576</v>
      </c>
      <c r="N22" s="22" t="n">
        <v>3273.8566</v>
      </c>
      <c r="O22" s="22" t="n">
        <v>3684.6284</v>
      </c>
      <c r="P22" s="22" t="n">
        <v>4124.1542</v>
      </c>
    </row>
    <row r="23">
      <c r="A23" s="6" t="inlineStr">
        <is>
          <t xml:space="preserve">  as a share of revenue</t>
        </is>
      </c>
      <c r="B23" s="17" t="n">
        <v>-0.0999</v>
      </c>
      <c r="C23" s="17" t="n">
        <v>-0.295</v>
      </c>
      <c r="D23" s="17" t="n">
        <v>-0.2304</v>
      </c>
      <c r="E23" s="17" t="n">
        <v>-0.1853</v>
      </c>
      <c r="F23" s="17" t="n">
        <v>-0.1539</v>
      </c>
      <c r="G23" s="17" t="n">
        <v>-0.1298</v>
      </c>
      <c r="H23" s="17" t="n">
        <v>-0.106</v>
      </c>
      <c r="I23" s="17" t="n">
        <v>-0.0823</v>
      </c>
      <c r="J23" s="17" t="n">
        <v>-0.0585</v>
      </c>
      <c r="K23" s="17" t="n">
        <v>-0.0345</v>
      </c>
      <c r="L23" s="17" t="n">
        <v>-0.0102</v>
      </c>
      <c r="M23" s="17" t="n">
        <v>0.0145</v>
      </c>
      <c r="N23" s="17" t="n">
        <v>0.0154</v>
      </c>
      <c r="O23" s="17" t="n">
        <v>0.0162</v>
      </c>
      <c r="P23" s="17" t="n">
        <v>0.0169</v>
      </c>
    </row>
    <row r="24">
      <c r="A24" s="6" t="inlineStr">
        <is>
          <t>Capital expenditure</t>
        </is>
      </c>
      <c r="B24" s="21" t="n">
        <v>-402.7893</v>
      </c>
      <c r="C24" s="21" t="n">
        <v>-518.7927</v>
      </c>
      <c r="D24" s="21" t="n">
        <v>-641.8244</v>
      </c>
      <c r="E24" s="21" t="n">
        <v>-772.7565</v>
      </c>
      <c r="F24" s="21" t="n">
        <v>-913.6686999999999</v>
      </c>
      <c r="G24" s="21" t="n">
        <v>-1065.6118</v>
      </c>
      <c r="H24" s="21" t="n">
        <v>-1225.7199</v>
      </c>
      <c r="I24" s="21" t="n">
        <v>-1390.2116</v>
      </c>
      <c r="J24" s="21" t="n">
        <v>-1554.465</v>
      </c>
      <c r="K24" s="21" t="n">
        <v>-1713.1759</v>
      </c>
      <c r="L24" s="21" t="n">
        <v>-1860.5947</v>
      </c>
      <c r="M24" s="21" t="n">
        <v>-1990.8364</v>
      </c>
      <c r="N24" s="21" t="n">
        <v>-2130.1949</v>
      </c>
      <c r="O24" s="21" t="n">
        <v>-2279.3085</v>
      </c>
      <c r="P24" s="21" t="n">
        <v>-2438.8601</v>
      </c>
    </row>
    <row r="25">
      <c r="A25" s="6" t="inlineStr">
        <is>
          <t>New borrowing drawn</t>
        </is>
      </c>
      <c r="B25" s="21" t="n">
        <v>0</v>
      </c>
      <c r="C25" s="21" t="n">
        <v>13188.0988</v>
      </c>
      <c r="D25" s="21" t="n">
        <v>15432.656</v>
      </c>
      <c r="E25" s="21" t="n">
        <v>15088.2862</v>
      </c>
      <c r="F25" s="21" t="n">
        <v>14972.2223</v>
      </c>
      <c r="G25" s="21" t="n">
        <v>14893.546</v>
      </c>
      <c r="H25" s="21" t="n">
        <v>14214.6789</v>
      </c>
      <c r="I25" s="21" t="n">
        <v>12827.0938</v>
      </c>
      <c r="J25" s="21" t="n">
        <v>10646.2661</v>
      </c>
      <c r="K25" s="21" t="n">
        <v>7623.6245</v>
      </c>
      <c r="L25" s="21" t="n">
        <v>3757.394</v>
      </c>
      <c r="M25" s="21" t="n">
        <v>0</v>
      </c>
      <c r="N25" s="21" t="n">
        <v>0</v>
      </c>
      <c r="O25" s="21" t="n">
        <v>0</v>
      </c>
      <c r="P25" s="21" t="n">
        <v>0</v>
      </c>
    </row>
    <row r="26">
      <c r="A26" s="6" t="inlineStr">
        <is>
          <t>Cash from financing</t>
        </is>
      </c>
      <c r="B26" s="21" t="n">
        <v>0</v>
      </c>
      <c r="C26" s="21" t="n">
        <v>13188.0988</v>
      </c>
      <c r="D26" s="21" t="n">
        <v>15432.656</v>
      </c>
      <c r="E26" s="21" t="n">
        <v>15088.2862</v>
      </c>
      <c r="F26" s="21" t="n">
        <v>14972.2223</v>
      </c>
      <c r="G26" s="21" t="n">
        <v>14893.546</v>
      </c>
      <c r="H26" s="21" t="n">
        <v>14214.6789</v>
      </c>
      <c r="I26" s="21" t="n">
        <v>12827.0938</v>
      </c>
      <c r="J26" s="21" t="n">
        <v>10646.2661</v>
      </c>
      <c r="K26" s="21" t="n">
        <v>7623.6245</v>
      </c>
      <c r="L26" s="21" t="n">
        <v>3757.394</v>
      </c>
      <c r="M26" s="21" t="n">
        <v>0</v>
      </c>
      <c r="N26" s="21" t="n">
        <v>0</v>
      </c>
      <c r="O26" s="21" t="n">
        <v>0</v>
      </c>
      <c r="P26" s="21" t="n">
        <v>0</v>
      </c>
    </row>
    <row r="27">
      <c r="A27" s="4" t="inlineStr">
        <is>
          <t>Closing cash</t>
        </is>
      </c>
      <c r="B27" s="22" t="n">
        <v>4991.1571</v>
      </c>
      <c r="C27" s="22" t="n">
        <v>2354.875</v>
      </c>
      <c r="D27" s="22" t="n">
        <v>2354.875</v>
      </c>
      <c r="E27" s="22" t="n">
        <v>2354.875</v>
      </c>
      <c r="F27" s="22" t="n">
        <v>2354.875</v>
      </c>
      <c r="G27" s="22" t="n">
        <v>2354.875</v>
      </c>
      <c r="H27" s="22" t="n">
        <v>2354.875</v>
      </c>
      <c r="I27" s="22" t="n">
        <v>2354.875</v>
      </c>
      <c r="J27" s="22" t="n">
        <v>2354.875</v>
      </c>
      <c r="K27" s="22" t="n">
        <v>2354.875</v>
      </c>
      <c r="L27" s="22" t="n">
        <v>2354.875</v>
      </c>
      <c r="M27" s="22" t="n">
        <v>3253.9963</v>
      </c>
      <c r="N27" s="22" t="n">
        <v>4397.6579</v>
      </c>
      <c r="O27" s="22" t="n">
        <v>5802.9778</v>
      </c>
      <c r="P27" s="22" t="n">
        <v>7488.2719</v>
      </c>
    </row>
    <row r="28">
      <c r="A28" s="6" t="inlineStr">
        <is>
          <t>Cumulative new borrowing</t>
        </is>
      </c>
      <c r="B28" s="21" t="n">
        <v>0</v>
      </c>
      <c r="C28" s="21" t="n">
        <v>13188.0988</v>
      </c>
      <c r="D28" s="21" t="n">
        <v>28620.7549</v>
      </c>
      <c r="E28" s="21" t="n">
        <v>43709.041</v>
      </c>
      <c r="F28" s="21" t="n">
        <v>58681.2633</v>
      </c>
      <c r="G28" s="21" t="n">
        <v>73574.80929999999</v>
      </c>
      <c r="H28" s="21" t="n">
        <v>87789.48820000001</v>
      </c>
      <c r="I28" s="21" t="n">
        <v>100616.582</v>
      </c>
      <c r="J28" s="21" t="n">
        <v>111262.8481</v>
      </c>
      <c r="K28" s="21" t="n">
        <v>118886.4727</v>
      </c>
      <c r="L28" s="21" t="n">
        <v>122643.8667</v>
      </c>
      <c r="M28" s="21" t="n">
        <v>122643.8667</v>
      </c>
      <c r="N28" s="21" t="n">
        <v>122643.8667</v>
      </c>
      <c r="O28" s="21" t="n">
        <v>122643.8667</v>
      </c>
      <c r="P28" s="21" t="n">
        <v>122643.8667</v>
      </c>
    </row>
    <row r="30">
      <c r="A30" s="4" t="inlineStr">
        <is>
          <t>Cash conversion, the three published years</t>
        </is>
      </c>
    </row>
    <row r="31">
      <c r="A31" s="6" t="inlineStr">
        <is>
          <t>FY2023</t>
        </is>
      </c>
      <c r="B31" s="26" t="n">
        <v>0.043334</v>
      </c>
    </row>
    <row r="32">
      <c r="A32" s="6" t="inlineStr">
        <is>
          <t>FY2024</t>
        </is>
      </c>
      <c r="B32" s="26" t="n">
        <v>0.1787</v>
      </c>
    </row>
    <row r="33">
      <c r="A33" s="6" t="inlineStr">
        <is>
          <t>FY2025</t>
        </is>
      </c>
      <c r="B33" s="26" t="n">
        <v>0.039376</v>
      </c>
    </row>
    <row r="34">
      <c r="A34" s="6" t="inlineStr">
        <is>
          <t xml:space="preserve">  mean, carried above</t>
        </is>
      </c>
      <c r="B34" s="26" t="n">
        <v>0.08713700000000001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s>
  <sheetData>
    <row r="1">
      <c r="A1" s="1" t="inlineStr">
        <is>
          <t>Summary financials, as reported</t>
        </is>
      </c>
    </row>
    <row r="4">
      <c r="A4" s="4" t="inlineStr">
        <is>
          <t>EGP million</t>
        </is>
      </c>
      <c r="B4" s="16" t="inlineStr">
        <is>
          <t>2023</t>
        </is>
      </c>
      <c r="C4" s="16" t="inlineStr">
        <is>
          <t>2024</t>
        </is>
      </c>
      <c r="D4" s="16" t="inlineStr">
        <is>
          <t>2025</t>
        </is>
      </c>
    </row>
    <row r="5">
      <c r="A5" s="6" t="inlineStr">
        <is>
          <t>Revenue</t>
        </is>
      </c>
      <c r="B5" s="10" t="n">
        <v>17462.1</v>
      </c>
      <c r="C5" s="10" t="n">
        <v>27167.3</v>
      </c>
      <c r="D5" s="10" t="n">
        <v>36169.3</v>
      </c>
    </row>
    <row r="6">
      <c r="A6" s="6" t="inlineStr">
        <is>
          <t>Cost of revenue</t>
        </is>
      </c>
      <c r="B6" s="10" t="n">
        <v>-11907.2</v>
      </c>
      <c r="C6" s="10" t="n">
        <v>-17739.9</v>
      </c>
      <c r="D6" s="10" t="n">
        <v>-21118.9</v>
      </c>
    </row>
    <row r="7">
      <c r="A7" s="6" t="inlineStr">
        <is>
          <t>Gross profit</t>
        </is>
      </c>
      <c r="B7" s="10" t="n">
        <v>5507.6</v>
      </c>
      <c r="C7" s="10" t="n">
        <v>9330.1</v>
      </c>
      <c r="D7" s="10" t="n">
        <v>14887.6</v>
      </c>
    </row>
    <row r="8">
      <c r="A8" s="6" t="inlineStr">
        <is>
          <t>Overheads</t>
        </is>
      </c>
      <c r="B8" s="10" t="n">
        <v>-2060.5</v>
      </c>
      <c r="C8" s="10" t="n">
        <v>-3435.8</v>
      </c>
      <c r="D8" s="10" t="n">
        <v>-6365.6</v>
      </c>
    </row>
    <row r="9">
      <c r="A9" s="6" t="inlineStr">
        <is>
          <t>Finance cost</t>
        </is>
      </c>
      <c r="B9" s="10" t="inlineStr"/>
      <c r="C9" s="10" t="n">
        <v>-2311.4</v>
      </c>
      <c r="D9" s="10" t="n">
        <v>-3347.5</v>
      </c>
    </row>
    <row r="10">
      <c r="A10" s="6" t="inlineStr">
        <is>
          <t>Pre-tax profit</t>
        </is>
      </c>
      <c r="B10" s="10" t="n">
        <v>2300.7</v>
      </c>
      <c r="C10" s="10" t="n">
        <v>4320.6</v>
      </c>
      <c r="D10" s="10" t="n">
        <v>6251.1</v>
      </c>
    </row>
    <row r="11">
      <c r="A11" s="6" t="inlineStr">
        <is>
          <t>Tax</t>
        </is>
      </c>
      <c r="B11" s="10" t="n">
        <v>-567.3</v>
      </c>
      <c r="C11" s="10" t="n">
        <v>-917.1</v>
      </c>
      <c r="D11" s="10" t="n">
        <v>-1827.2</v>
      </c>
    </row>
    <row r="12">
      <c r="A12" s="6" t="inlineStr">
        <is>
          <t>Profit after tax and minority</t>
        </is>
      </c>
      <c r="B12" s="10" t="n">
        <v>1581.5</v>
      </c>
      <c r="C12" s="10" t="n">
        <v>3254.9</v>
      </c>
      <c r="D12" s="10" t="n">
        <v>4216.7</v>
      </c>
    </row>
    <row r="13">
      <c r="A13" s="6" t="inlineStr">
        <is>
          <t>Cash from operations</t>
        </is>
      </c>
      <c r="B13" s="10" t="n">
        <v>756.7</v>
      </c>
      <c r="C13" s="10" t="n">
        <v>4854.8</v>
      </c>
      <c r="D13" s="10" t="n">
        <v>1424.2</v>
      </c>
    </row>
    <row r="14">
      <c r="A14" s="4" t="inlineStr">
        <is>
          <t>Cash from operations, share of revenue</t>
        </is>
      </c>
      <c r="B14" s="17">
        <f>B13/B5</f>
        <v/>
      </c>
      <c r="C14" s="17">
        <f>C13/C5</f>
        <v/>
      </c>
      <c r="D14" s="17">
        <f>D13/D5</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s>
  <sheetData>
    <row r="1">
      <c r="A1" s="1" t="inlineStr">
        <is>
          <t>Price distribution — published output, reproduced not re-derived</t>
        </is>
      </c>
    </row>
    <row r="2">
      <c r="A2" s="2" t="inlineStr">
        <is>
          <t>This is the price engine's distribution, independent of the valuation.</t>
        </is>
      </c>
    </row>
    <row r="4">
      <c r="A4" s="4" t="inlineStr">
        <is>
          <t>Percentile</t>
        </is>
      </c>
      <c r="B4" s="16" t="inlineStr">
        <is>
          <t>One month</t>
        </is>
      </c>
      <c r="C4" s="16" t="inlineStr">
        <is>
          <t>Three months</t>
        </is>
      </c>
    </row>
    <row r="5">
      <c r="A5" s="6" t="inlineStr">
        <is>
          <t>5th</t>
        </is>
      </c>
      <c r="B5" s="7" t="n">
        <v>13.08</v>
      </c>
      <c r="C5" s="7" t="n">
        <v>11.98</v>
      </c>
    </row>
    <row r="6">
      <c r="A6" s="6" t="inlineStr">
        <is>
          <t>25th</t>
        </is>
      </c>
      <c r="B6" s="7" t="n">
        <v>14.67</v>
      </c>
      <c r="C6" s="7" t="n">
        <v>14.61</v>
      </c>
    </row>
    <row r="7">
      <c r="A7" s="6" t="inlineStr">
        <is>
          <t>50th</t>
        </is>
      </c>
      <c r="B7" s="7" t="n">
        <v>15.64</v>
      </c>
      <c r="C7" s="7" t="n">
        <v>16.34</v>
      </c>
    </row>
    <row r="8">
      <c r="A8" s="6" t="inlineStr">
        <is>
          <t>75th</t>
        </is>
      </c>
      <c r="B8" s="7" t="n">
        <v>16.68</v>
      </c>
      <c r="C8" s="7" t="n">
        <v>18.27</v>
      </c>
    </row>
    <row r="9">
      <c r="A9" s="6" t="inlineStr">
        <is>
          <t>95th</t>
        </is>
      </c>
      <c r="B9" s="7" t="n">
        <v>18.71</v>
      </c>
      <c r="C9" s="7" t="n">
        <v>22.26</v>
      </c>
    </row>
    <row r="11">
      <c r="A11" s="6" t="inlineStr">
        <is>
          <t>Resolved three-month tests</t>
        </is>
      </c>
      <c r="B11" s="6" t="n">
        <v>57</v>
      </c>
    </row>
    <row r="12">
      <c r="A12" s="6" t="inlineStr">
        <is>
          <t>Inside the 90% band</t>
        </is>
      </c>
      <c r="B12" s="17" t="n">
        <v>0.9123</v>
      </c>
    </row>
    <row r="13">
      <c r="A13" s="6" t="inlineStr">
        <is>
          <t>Inside the middle band</t>
        </is>
      </c>
      <c r="B13" s="17" t="n">
        <v>0.5088</v>
      </c>
    </row>
    <row r="14">
      <c r="A14" s="6" t="inlineStr">
        <is>
          <t>Band width vs a random walk</t>
        </is>
      </c>
      <c r="B14" s="18" t="n">
        <v>1.469</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3" customWidth="1" min="2" max="2"/>
    <col width="13" customWidth="1" min="3" max="3"/>
    <col width="13" customWidth="1" min="4" max="4"/>
    <col width="13" customWidth="1" min="5" max="5"/>
    <col width="13" customWidth="1" min="6" max="6"/>
  </cols>
  <sheetData>
    <row r="1">
      <c r="A1" s="1" t="inlineStr">
        <is>
          <t>Value per share against the two things that move it</t>
        </is>
      </c>
    </row>
    <row r="2">
      <c r="A2" s="2" t="inlineStr">
        <is>
          <t>Read down a column: cash conversion moves value more than the discount rate does.</t>
        </is>
      </c>
    </row>
    <row r="4">
      <c r="A4" s="5" t="inlineStr">
        <is>
          <t>Cash conversion</t>
        </is>
      </c>
      <c r="B4" s="27" t="n">
        <v>0.209647238833035</v>
      </c>
      <c r="C4" s="27" t="n">
        <v>0.229647238833035</v>
      </c>
      <c r="D4" s="27" t="n">
        <v>0.249647238833035</v>
      </c>
      <c r="E4" s="27" t="n">
        <v>0.269647238833035</v>
      </c>
      <c r="F4" s="27" t="n">
        <v>0.2896472388330349</v>
      </c>
    </row>
    <row r="5">
      <c r="A5" s="20" t="n">
        <v>0.03937593483976742</v>
      </c>
      <c r="B5" s="7" t="n">
        <v>20.68</v>
      </c>
      <c r="C5" s="7" t="n">
        <v>11.96</v>
      </c>
      <c r="D5" s="7" t="n">
        <v>7.58</v>
      </c>
      <c r="E5" s="7" t="n">
        <v>4.94</v>
      </c>
      <c r="F5" s="7" t="n">
        <v>3.17</v>
      </c>
    </row>
    <row r="6">
      <c r="A6" s="20" t="n">
        <v>0.06</v>
      </c>
      <c r="B6" s="7" t="n">
        <v>32.99</v>
      </c>
      <c r="C6" s="7" t="n">
        <v>19.87</v>
      </c>
      <c r="D6" s="7" t="n">
        <v>13.32</v>
      </c>
      <c r="E6" s="7" t="n">
        <v>9.4</v>
      </c>
      <c r="F6" s="7" t="n">
        <v>6.79</v>
      </c>
    </row>
    <row r="7">
      <c r="A7" s="20" t="n">
        <v>0.08713663734609707</v>
      </c>
      <c r="B7" s="7" t="n">
        <v>49.19</v>
      </c>
      <c r="C7" s="7" t="n">
        <v>30.28</v>
      </c>
      <c r="D7" s="7" t="n">
        <v>20.88</v>
      </c>
      <c r="E7" s="7" t="n">
        <v>15.27</v>
      </c>
      <c r="F7" s="7" t="n">
        <v>11.55</v>
      </c>
    </row>
    <row r="8">
      <c r="A8" s="20" t="n">
        <v>0.12</v>
      </c>
      <c r="B8" s="7" t="n">
        <v>68.8</v>
      </c>
      <c r="C8" s="7" t="n">
        <v>42.89</v>
      </c>
      <c r="D8" s="7" t="n">
        <v>30.04</v>
      </c>
      <c r="E8" s="7" t="n">
        <v>22.38</v>
      </c>
      <c r="F8" s="7" t="n">
        <v>17.32</v>
      </c>
    </row>
    <row r="9">
      <c r="A9" s="20" t="n">
        <v>0.1787001284632628</v>
      </c>
      <c r="B9" s="7" t="n">
        <v>103.84</v>
      </c>
      <c r="C9" s="7" t="n">
        <v>65.41</v>
      </c>
      <c r="D9" s="7" t="n">
        <v>46.39</v>
      </c>
      <c r="E9" s="7" t="n">
        <v>35.08</v>
      </c>
      <c r="F9" s="7" t="n">
        <v>27.62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s>
  <sheetData>
    <row r="1">
      <c r="A1" s="1" t="inlineStr">
        <is>
          <t>Per share and ratios</t>
        </is>
      </c>
    </row>
    <row r="4">
      <c r="A4" s="6" t="inlineStr">
        <is>
          <t>Shares outstanding (mn)</t>
        </is>
      </c>
      <c r="B4" s="10" t="n">
        <v>2859.92</v>
      </c>
    </row>
    <row r="5">
      <c r="A5" s="6" t="inlineStr">
        <is>
          <t>Market price (EGP)</t>
        </is>
      </c>
      <c r="B5" s="7" t="n">
        <v>14.4</v>
      </c>
    </row>
    <row r="6">
      <c r="A6" s="6" t="inlineStr">
        <is>
          <t>Book value per share (EGP)</t>
        </is>
      </c>
      <c r="B6" s="7" t="n">
        <v>6.6281</v>
      </c>
    </row>
    <row r="7">
      <c r="A7" s="6" t="inlineStr">
        <is>
          <t>Price to book</t>
        </is>
      </c>
      <c r="B7" s="18" t="n">
        <v>2.1726</v>
      </c>
    </row>
    <row r="8">
      <c r="A8" s="6" t="inlineStr">
        <is>
          <t>Earnings per share, 2025 (EGP)</t>
        </is>
      </c>
      <c r="B8" s="7" t="n">
        <v>1.4744</v>
      </c>
    </row>
    <row r="9">
      <c r="A9" s="6" t="inlineStr">
        <is>
          <t>Net debt per share, 31 March 2026 (EGP)</t>
        </is>
      </c>
      <c r="B9" s="7" t="n">
        <v>8.127800000000001</v>
      </c>
    </row>
    <row r="10">
      <c r="A10" s="6" t="inlineStr">
        <is>
          <t>Order book per share (EGP)</t>
        </is>
      </c>
      <c r="B10" s="7" t="n">
        <v>91.9606</v>
      </c>
    </row>
    <row r="11">
      <c r="A11" s="6" t="inlineStr">
        <is>
          <t>Gross margin, 2025</t>
        </is>
      </c>
      <c r="B11" s="17" t="n">
        <v>0.4116</v>
      </c>
    </row>
    <row r="12">
      <c r="A12" s="6" t="inlineStr">
        <is>
          <t>Cash conversion, 2025</t>
        </is>
      </c>
      <c r="B12" s="17" t="n">
        <v>0.0394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2" customWidth="1" min="3" max="3"/>
    <col width="12" customWidth="1" min="4" max="4"/>
    <col width="12" customWidth="1" min="5" max="5"/>
    <col width="14" customWidth="1" min="6" max="6"/>
    <col width="14" customWidth="1" min="7" max="7"/>
  </cols>
  <sheetData>
    <row r="1">
      <c r="A1" s="1" t="inlineStr">
        <is>
          <t>Egyptian listed developers</t>
        </is>
      </c>
    </row>
    <row r="2">
      <c r="A2" s="2" t="inlineStr">
        <is>
          <t>Every measure on the same window, the same cleaning and the same index.</t>
        </is>
      </c>
    </row>
    <row r="4">
      <c r="A4" s="28" t="inlineStr">
        <is>
          <t>Code</t>
        </is>
      </c>
      <c r="B4" s="5" t="inlineStr">
        <is>
          <t>Company</t>
        </is>
      </c>
      <c r="C4" s="5" t="inlineStr">
        <is>
          <t>Beta</t>
        </is>
      </c>
      <c r="D4" s="5" t="inlineStr">
        <is>
          <t>R-squared</t>
        </is>
      </c>
      <c r="E4" s="5" t="inlineStr">
        <is>
          <t>Std error</t>
        </is>
      </c>
      <c r="F4" s="5" t="inlineStr">
        <is>
          <t>Volatility</t>
        </is>
      </c>
      <c r="G4" s="5" t="inlineStr">
        <is>
          <t>Worst fall</t>
        </is>
      </c>
    </row>
    <row r="5">
      <c r="A5" s="6" t="inlineStr">
        <is>
          <t>TMGH</t>
        </is>
      </c>
      <c r="B5" s="6" t="inlineStr">
        <is>
          <t>Talaat Moustafa Group Holding</t>
        </is>
      </c>
      <c r="C5" s="29" t="n">
        <v>1.4687</v>
      </c>
      <c r="D5" s="30" t="n">
        <v>0.3252</v>
      </c>
      <c r="E5" s="31" t="n">
        <v>0.1833</v>
      </c>
      <c r="F5" s="30" t="n">
        <v>0.4394</v>
      </c>
      <c r="G5" s="30" t="n">
        <v>-0.4419</v>
      </c>
    </row>
    <row r="6">
      <c r="A6" s="4" t="inlineStr">
        <is>
          <t>PHDC</t>
        </is>
      </c>
      <c r="B6" s="6" t="inlineStr">
        <is>
          <t>Palm Hills Developments</t>
        </is>
      </c>
      <c r="C6" s="29" t="n">
        <v>1.0481</v>
      </c>
      <c r="D6" s="30" t="n">
        <v>0.2997</v>
      </c>
      <c r="E6" s="31" t="n">
        <v>0.1808</v>
      </c>
      <c r="F6" s="30" t="n">
        <v>0.4391</v>
      </c>
      <c r="G6" s="30" t="n">
        <v>-0.4866</v>
      </c>
    </row>
    <row r="7">
      <c r="A7" s="6" t="inlineStr">
        <is>
          <t>ORHD</t>
        </is>
      </c>
      <c r="B7" s="6" t="inlineStr">
        <is>
          <t>Orascom Development Egypt</t>
        </is>
      </c>
      <c r="C7" s="29" t="n">
        <v>0.8817</v>
      </c>
      <c r="D7" s="30" t="n">
        <v>0.3251</v>
      </c>
      <c r="E7" s="31" t="n">
        <v>0.1727</v>
      </c>
      <c r="F7" s="30" t="n">
        <v>0.4619</v>
      </c>
      <c r="G7" s="30" t="n">
        <v>-0.4293</v>
      </c>
    </row>
    <row r="8">
      <c r="A8" s="6" t="inlineStr">
        <is>
          <t>HELI</t>
        </is>
      </c>
      <c r="B8" s="6" t="inlineStr">
        <is>
          <t>Heliopolis Housing and Development</t>
        </is>
      </c>
      <c r="C8" s="29" t="n">
        <v>0.7648</v>
      </c>
      <c r="D8" s="30" t="n">
        <v>0.2874</v>
      </c>
      <c r="E8" s="31" t="n">
        <v>0.1803</v>
      </c>
      <c r="F8" s="30" t="n">
        <v>0.444</v>
      </c>
      <c r="G8" s="30" t="n">
        <v>-0.3958</v>
      </c>
    </row>
    <row r="9">
      <c r="A9" s="6" t="inlineStr">
        <is>
          <t>EMFD</t>
        </is>
      </c>
      <c r="B9" s="6" t="inlineStr">
        <is>
          <t>Emaar Misr for Development</t>
        </is>
      </c>
      <c r="C9" s="29" t="n">
        <v>0.7349</v>
      </c>
      <c r="D9" s="30" t="n">
        <v>0.2423</v>
      </c>
      <c r="E9" s="31" t="n">
        <v>0.1693</v>
      </c>
      <c r="F9" s="30" t="n">
        <v>0.412</v>
      </c>
      <c r="G9" s="30" t="n">
        <v>-0.4712</v>
      </c>
    </row>
    <row r="10">
      <c r="A10" s="6" t="inlineStr">
        <is>
          <t>PRDC</t>
        </is>
      </c>
      <c r="B10" s="6" t="inlineStr">
        <is>
          <t>Pioneers Properties for Urban Development</t>
        </is>
      </c>
      <c r="C10" s="29" t="n">
        <v>0.7006</v>
      </c>
      <c r="D10" s="30" t="n">
        <v>0.2565</v>
      </c>
      <c r="E10" s="31" t="n">
        <v>0.1854</v>
      </c>
      <c r="F10" s="30" t="n">
        <v>0.4217</v>
      </c>
      <c r="G10" s="30" t="n">
        <v>-0.5199</v>
      </c>
    </row>
    <row r="11">
      <c r="A11" s="6" t="inlineStr">
        <is>
          <t>OCDI</t>
        </is>
      </c>
      <c r="B11" s="6" t="inlineStr">
        <is>
          <t>Sixth of October Development &amp; Investment (SODIC)</t>
        </is>
      </c>
      <c r="C11" s="29" t="n">
        <v>0.4949</v>
      </c>
      <c r="D11" s="30" t="n">
        <v>0.1018</v>
      </c>
      <c r="E11" s="31" t="n">
        <v>0.2275</v>
      </c>
      <c r="F11" s="30" t="n">
        <v>0.4755</v>
      </c>
      <c r="G11" s="30" t="n">
        <v>-0.4658</v>
      </c>
    </row>
    <row r="13" ht="30" customHeight="1">
      <c r="A13" s="32" t="inlineStr">
        <is>
          <t>Earnings and book multiples are not published for the peer group: no peer discloses statements this study can obtain on a consistent basis, and an inconsistent multiple would mislead.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2026-09-17T20:39:15Z</dcterms:created>
  <dcterms:modified xmlns:dcterms="http://purl.org/dc/terms/" xmlns:xsi="http://www.w3.org/2001/XMLSchema-instance" xsi:type="dcterms:W3CDTF">2026-09-17T20:39:15Z</dcterms:modified>
</cp:coreProperties>
</file>