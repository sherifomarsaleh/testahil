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17 September 2026. Supersedes 10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4.94</v>
      </c>
      <c r="C5" s="7" t="n">
        <v>20.88</v>
      </c>
      <c r="D5" s="7" t="n">
        <v>54.52</v>
      </c>
      <c r="E5" s="7" t="n"/>
    </row>
    <row r="6">
      <c r="A6" s="6" t="inlineStr">
        <is>
          <t>Earnings multiple on own history</t>
        </is>
      </c>
      <c r="B6" s="7" t="n">
        <v>5.58</v>
      </c>
      <c r="C6" s="7" t="n">
        <v>8.380000000000001</v>
      </c>
      <c r="D6" s="7" t="n">
        <v>13.03</v>
      </c>
      <c r="E6" s="7" t="n"/>
    </row>
    <row r="7">
      <c r="A7" s="6" t="inlineStr">
        <is>
          <t>Book value of equity — a disclosed floor</t>
        </is>
      </c>
      <c r="B7" s="7" t="n">
        <v>5.97</v>
      </c>
      <c r="C7" s="7" t="n">
        <v>6.63</v>
      </c>
      <c r="D7" s="7" t="n">
        <v>8.619999999999999</v>
      </c>
      <c r="E7" s="7" t="n"/>
    </row>
    <row r="8">
      <c r="A8" s="4" t="inlineStr">
        <is>
          <t>Weighted central</t>
        </is>
      </c>
      <c r="B8" s="7" t="n">
        <v>4.94</v>
      </c>
      <c r="C8" s="7" t="n">
        <v>20.88</v>
      </c>
      <c r="D8" s="7" t="n">
        <v>54.52</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7.58</v>
      </c>
      <c r="C11" s="7" t="n">
        <v>21672</v>
      </c>
      <c r="D11" s="7" t="n">
        <v>41425</v>
      </c>
    </row>
    <row r="12">
      <c r="A12" s="6" t="inlineStr">
        <is>
          <t>Average cash conversion (8.7%)</t>
        </is>
      </c>
      <c r="B12" s="7" t="n">
        <v>20.88</v>
      </c>
      <c r="C12" s="7" t="n">
        <v>59722</v>
      </c>
      <c r="D12" s="7" t="n">
        <v>81877</v>
      </c>
    </row>
    <row r="13">
      <c r="A13" s="6" t="inlineStr">
        <is>
          <t>Strong cash conversion (17.9%)</t>
        </is>
      </c>
      <c r="B13" s="7" t="n">
        <v>46.39</v>
      </c>
      <c r="C13" s="7" t="n">
        <v>132669</v>
      </c>
      <c r="D13" s="7" t="n">
        <v>159428</v>
      </c>
    </row>
    <row r="14">
      <c r="A14" s="6" t="inlineStr">
        <is>
          <t>Average, alternative country-risk basis</t>
        </is>
      </c>
      <c r="B14" s="7" t="n">
        <v>20.49</v>
      </c>
      <c r="C14" s="7" t="n">
        <v>58611</v>
      </c>
      <c r="D14" s="7" t="n">
        <v>80695</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0.0639</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15 years (2026-2040)</t>
        </is>
      </c>
      <c r="B4" s="10">
        <f>DCF!B20</f>
        <v/>
      </c>
    </row>
    <row r="5">
      <c r="A5" s="6" t="inlineStr">
        <is>
          <t>Present value of the terminal value</t>
        </is>
      </c>
      <c r="B5" s="10">
        <f>DCF!B25</f>
        <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0.3541542796362945</v>
      </c>
      <c r="C8" s="2" t="inlineStr">
        <is>
          <t>the first quarter of 2026 on its own, the latest disclosure; NOT an average (FY2025 was 41.16%, 1Q2026 35.42%)</t>
        </is>
      </c>
    </row>
    <row r="9">
      <c r="A9" s="6" t="inlineStr">
        <is>
          <t>Overheads as a share of revenue</t>
        </is>
      </c>
      <c r="B9" s="12" t="n">
        <v>0.1759945589215163</v>
      </c>
      <c r="C9" s="2" t="inlineStr">
        <is>
          <t>FY2025 as reported</t>
        </is>
      </c>
    </row>
    <row r="10">
      <c r="A10" s="6" t="inlineStr">
        <is>
          <t>Price and cost escalation, 2026 — the house path</t>
        </is>
      </c>
      <c r="B10" s="12" t="n">
        <v>0.16</v>
      </c>
      <c r="C10" s="2" t="inlineStr">
        <is>
          <t>the house Egyptian inflation path [R-MACRO-01], read by the model: 16 per cent in 2026 falling to 12 / 9 / 7.5 / 7 and holding 7 to the terminal, published year by year on the DCF sheet row 5. ONE escalator drives price and cost alike, which is why gross margin is flat by construction and is sensitised in the study rather than extrapolated. The Egyptian CPI three-year trailing mean of 25.2 per cent (World Bank WDI, 2023-25) is NOT used and is named here so the reader knows it was considered and rejected: a trailing mean of the worst inflation in Egypt's recent record is not a forecast, and the central bank's own published target contradicts it</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0.05936678705730839</v>
      </c>
      <c r="C17" s="2" t="inlineStr">
        <is>
          <t>the MEAN of the minority's filed share of profit after tax over FY2023-FY2025, as its share of value [adopted 17-09-2026]. The FY2025 share alone and the book share of equity are published in the study beside it; the single year is not adopted because a one-observation anchor is what this study refuses elsewhere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2041.734029265849</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6">
      <c r="A26" s="4" t="inlineStr">
        <is>
          <t>NOT DISCLOSED — absent by design, never estimated</t>
        </is>
      </c>
    </row>
    <row r="27">
      <c r="A27" s="6" t="inlineStr">
        <is>
          <t>cash flow statement detail</t>
        </is>
      </c>
      <c r="C27" s="2" t="inlineStr">
        <is>
          <t>PHD's earnings releases publish the cash-flow statement in three totals only — re-verified 17-09-2026 on the 1Q2026 and 4Q2024 releases — and FY2025 has no release at all, so the t</t>
        </is>
      </c>
    </row>
    <row r="28">
      <c r="A28" s="6" t="inlineStr">
        <is>
          <t>fy2025 results release</t>
        </is>
      </c>
      <c r="C28" s="2" t="inlineStr">
        <is>
          <t>PHD has published FY2025 consolidated statements but NO FY2025 full-year results release. The release is where units sold, new sales, deliveries and construction spend are disclose</t>
        </is>
      </c>
    </row>
    <row r="29">
      <c r="A29" s="6" t="inlineStr">
        <is>
          <t>h1 2026 results</t>
        </is>
      </c>
      <c r="C29" s="2" t="inlineStr">
        <is>
          <t>PHD's reviewed consolidated statements to 30 June 2026 are REPORTED to have been filed with the Egyptian Exchange on 18 August 2026, and an external audit of this study quotes figu</t>
        </is>
      </c>
    </row>
    <row r="30">
      <c r="A30" s="6" t="inlineStr">
        <is>
          <t>securitisation pricing</t>
        </is>
      </c>
      <c r="C30" s="2" t="inlineStr">
        <is>
          <t>The EGP 2.015bn securitisation of 4-Feb-2026 discloses tranche sizes, tenors and national-scale ratings but NO coupon on any tranche, so the company's own marginal cost of debt can</t>
        </is>
      </c>
    </row>
    <row r="31">
      <c r="A31" s="6" t="inlineStr">
        <is>
          <t>per project pricing</t>
        </is>
      </c>
      <c r="C31" s="2" t="inlineStr">
        <is>
          <t>The company does not disclose per-project unit mix, average unit area, price per square metre or construction cost per square metre. The 11-Jun-2026 edition carried a full per-proj</t>
        </is>
      </c>
    </row>
    <row r="32">
      <c r="A32" s="6" t="inlineStr">
        <is>
          <t>backlog cost to complete</t>
        </is>
      </c>
      <c r="C32"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81876.60000000001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17">
        <f>Assumptions!B10</f>
        <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 year one reads Assumptions!B10</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6" t="inlineStr">
        <is>
          <t>Terminal growth</t>
        </is>
      </c>
      <c r="B21" s="9">
        <f>Assumptions!$B$11</f>
        <v/>
      </c>
    </row>
    <row r="22">
      <c r="A22" s="6" t="inlineStr">
        <is>
          <t>Terminal cost of capital</t>
        </is>
      </c>
      <c r="B22" s="9">
        <f>P16</f>
        <v/>
      </c>
      <c r="C22" s="2" t="inlineStr">
        <is>
          <t>the last year of the path above, held in perpetuity</t>
        </is>
      </c>
    </row>
    <row r="23">
      <c r="A23" s="6" t="inlineStr">
        <is>
          <t>Terminal-year free cash flow, grown one year</t>
        </is>
      </c>
      <c r="B23" s="21">
        <f>P15*(1+B21)</f>
        <v/>
      </c>
    </row>
    <row r="24">
      <c r="A24" s="6" t="inlineStr">
        <is>
          <t>Terminal value at the horizon</t>
        </is>
      </c>
      <c r="B24" s="21">
        <f>B23/(B22-B21)</f>
        <v/>
      </c>
    </row>
    <row r="25">
      <c r="A25" s="4" t="inlineStr">
        <is>
          <t>Terminal value, discounted</t>
        </is>
      </c>
      <c r="B25" s="22">
        <f>B24*P17</f>
        <v/>
      </c>
    </row>
    <row r="26">
      <c r="A26" s="4" t="inlineStr">
        <is>
          <t>Enterprise value</t>
        </is>
      </c>
      <c r="B26" s="24">
        <f>B20+B25</f>
        <v/>
      </c>
    </row>
    <row r="27">
      <c r="A27" s="6" t="inlineStr">
        <is>
          <t>Terminal share of enterprise value</t>
        </is>
      </c>
      <c r="B27" s="17">
        <f>B25/B26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 HELD INPUT at the latest disclosed level and cost per unit is SOLVED from it; no delivered-unit count is published after FY2024, so there is no independent cost per unit to build. The gap is named, not hidden.</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2041.734</v>
      </c>
      <c r="C7" s="24" t="n">
        <v>2347.9941</v>
      </c>
      <c r="D7" s="24" t="n">
        <v>2664.9733</v>
      </c>
      <c r="E7" s="24" t="n">
        <v>2984.7701</v>
      </c>
      <c r="F7" s="24" t="n">
        <v>3298.171</v>
      </c>
      <c r="G7" s="24" t="n">
        <v>3595.0064</v>
      </c>
      <c r="H7" s="24" t="n">
        <v>3864.6319</v>
      </c>
      <c r="I7" s="24" t="n">
        <v>4096.5098</v>
      </c>
      <c r="J7" s="24" t="n">
        <v>4280.8527</v>
      </c>
      <c r="K7" s="24" t="n">
        <v>4409.2783</v>
      </c>
      <c r="L7" s="24" t="n">
        <v>4475.4175</v>
      </c>
      <c r="M7" s="24" t="n">
        <v>4475.4175</v>
      </c>
      <c r="N7" s="24" t="n">
        <v>4475.4175</v>
      </c>
      <c r="O7" s="24" t="n">
        <v>4475.4175</v>
      </c>
      <c r="P7" s="24" t="n">
        <v>4475.4175</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40278.934</v>
      </c>
      <c r="C9" s="24" t="n">
        <v>51879.267</v>
      </c>
      <c r="D9" s="24" t="n">
        <v>64182.4351</v>
      </c>
      <c r="E9" s="24" t="n">
        <v>77275.6519</v>
      </c>
      <c r="F9" s="24" t="n">
        <v>91366.867</v>
      </c>
      <c r="G9" s="24" t="n">
        <v>106561.177</v>
      </c>
      <c r="H9" s="24" t="n">
        <v>122571.9939</v>
      </c>
      <c r="I9" s="24" t="n">
        <v>139021.1555</v>
      </c>
      <c r="J9" s="24" t="n">
        <v>155446.505</v>
      </c>
      <c r="K9" s="24" t="n">
        <v>171317.5931</v>
      </c>
      <c r="L9" s="24" t="n">
        <v>186059.472</v>
      </c>
      <c r="M9" s="24" t="n">
        <v>199083.6351</v>
      </c>
      <c r="N9" s="24" t="n">
        <v>213019.4895</v>
      </c>
      <c r="O9" s="24" t="n">
        <v>227930.8538</v>
      </c>
      <c r="P9" s="24" t="n">
        <v>243886.0136</v>
      </c>
    </row>
    <row r="10">
      <c r="A10" s="6" t="inlineStr">
        <is>
          <t>Cost per delivered unit</t>
        </is>
      </c>
      <c r="B10" s="25" t="n">
        <v>12.7411</v>
      </c>
      <c r="C10" s="25" t="n">
        <v>14.2701</v>
      </c>
      <c r="D10" s="25" t="n">
        <v>15.5544</v>
      </c>
      <c r="E10" s="25" t="n">
        <v>16.7209</v>
      </c>
      <c r="F10" s="25" t="n">
        <v>17.8914</v>
      </c>
      <c r="G10" s="25" t="n">
        <v>19.1438</v>
      </c>
      <c r="H10" s="25" t="n">
        <v>20.4839</v>
      </c>
      <c r="I10" s="25" t="n">
        <v>21.9177</v>
      </c>
      <c r="J10" s="25" t="n">
        <v>23.452</v>
      </c>
      <c r="K10" s="25" t="n">
        <v>25.0936</v>
      </c>
      <c r="L10" s="25" t="n">
        <v>26.8502</v>
      </c>
      <c r="M10" s="25" t="n">
        <v>28.7297</v>
      </c>
      <c r="N10" s="25" t="n">
        <v>30.7408</v>
      </c>
      <c r="O10" s="25" t="n">
        <v>32.8926</v>
      </c>
      <c r="P10" s="25" t="n">
        <v>35.1951</v>
      </c>
    </row>
    <row r="11">
      <c r="A11" s="6" t="inlineStr">
        <is>
          <t>Cost of revenue</t>
        </is>
      </c>
      <c r="B11" s="24" t="n">
        <v>26013.9771</v>
      </c>
      <c r="C11" s="24" t="n">
        <v>33506.0026</v>
      </c>
      <c r="D11" s="24" t="n">
        <v>41451.9511</v>
      </c>
      <c r="E11" s="24" t="n">
        <v>49908.1491</v>
      </c>
      <c r="F11" s="24" t="n">
        <v>59008.9001</v>
      </c>
      <c r="G11" s="24" t="n">
        <v>68822.08010000001</v>
      </c>
      <c r="H11" s="24" t="n">
        <v>79162.5977</v>
      </c>
      <c r="I11" s="24" t="n">
        <v>89786.21829999999</v>
      </c>
      <c r="J11" s="24" t="n">
        <v>100394.46</v>
      </c>
      <c r="K11" s="24" t="n">
        <v>110644.7344</v>
      </c>
      <c r="L11" s="24" t="n">
        <v>120165.7137</v>
      </c>
      <c r="M11" s="24" t="n">
        <v>128577.3137</v>
      </c>
      <c r="N11" s="24" t="n">
        <v>137577.7257</v>
      </c>
      <c r="O11" s="24" t="n">
        <v>147208.1665</v>
      </c>
      <c r="P11" s="24" t="n">
        <v>157512.7381</v>
      </c>
    </row>
    <row r="12">
      <c r="A12" s="4" t="inlineStr">
        <is>
          <t>Gross profit</t>
        </is>
      </c>
      <c r="B12" s="24" t="n">
        <v>14264.9569</v>
      </c>
      <c r="C12" s="24" t="n">
        <v>18373.2644</v>
      </c>
      <c r="D12" s="24" t="n">
        <v>22730.4841</v>
      </c>
      <c r="E12" s="24" t="n">
        <v>27367.5028</v>
      </c>
      <c r="F12" s="24" t="n">
        <v>32357.967</v>
      </c>
      <c r="G12" s="24" t="n">
        <v>37739.0969</v>
      </c>
      <c r="H12" s="24" t="n">
        <v>43409.3962</v>
      </c>
      <c r="I12" s="24" t="n">
        <v>49234.9372</v>
      </c>
      <c r="J12" s="24" t="n">
        <v>55052.045</v>
      </c>
      <c r="K12" s="24" t="n">
        <v>60672.8588</v>
      </c>
      <c r="L12" s="24" t="n">
        <v>65893.7583</v>
      </c>
      <c r="M12" s="24" t="n">
        <v>70506.3214</v>
      </c>
      <c r="N12" s="24" t="n">
        <v>75441.76390000001</v>
      </c>
      <c r="O12" s="24" t="n">
        <v>80722.68730000001</v>
      </c>
      <c r="P12" s="24" t="n">
        <v>86373.2754</v>
      </c>
    </row>
    <row r="13">
      <c r="A13" s="6" t="inlineStr">
        <is>
          <t>Gross margin</t>
        </is>
      </c>
      <c r="B13" s="26" t="n">
        <v>0.3542</v>
      </c>
      <c r="C13" s="26" t="n">
        <v>0.3542</v>
      </c>
      <c r="D13" s="26" t="n">
        <v>0.3542</v>
      </c>
      <c r="E13" s="26" t="n">
        <v>0.3542</v>
      </c>
      <c r="F13" s="26" t="n">
        <v>0.3542</v>
      </c>
      <c r="G13" s="26" t="n">
        <v>0.3542</v>
      </c>
      <c r="H13" s="26" t="n">
        <v>0.3542</v>
      </c>
      <c r="I13" s="26" t="n">
        <v>0.3542</v>
      </c>
      <c r="J13" s="26" t="n">
        <v>0.3542</v>
      </c>
      <c r="K13" s="26" t="n">
        <v>0.3542</v>
      </c>
      <c r="L13" s="26" t="n">
        <v>0.3542</v>
      </c>
      <c r="M13" s="26" t="n">
        <v>0.3542</v>
      </c>
      <c r="N13" s="26" t="n">
        <v>0.3542</v>
      </c>
      <c r="O13" s="26" t="n">
        <v>0.3542</v>
      </c>
      <c r="P13" s="26" t="n">
        <v>0.3542</v>
      </c>
    </row>
    <row r="14">
      <c r="A14" s="6" t="inlineStr">
        <is>
          <t>Overheads</t>
        </is>
      </c>
      <c r="B14" s="24" t="n">
        <v>7088.8732</v>
      </c>
      <c r="C14" s="24" t="n">
        <v>9130.468699999999</v>
      </c>
      <c r="D14" s="24" t="n">
        <v>11295.7594</v>
      </c>
      <c r="E14" s="24" t="n">
        <v>13600.0943</v>
      </c>
      <c r="F14" s="24" t="n">
        <v>16080.0715</v>
      </c>
      <c r="G14" s="24" t="n">
        <v>18754.1874</v>
      </c>
      <c r="H14" s="24" t="n">
        <v>21572.004</v>
      </c>
      <c r="I14" s="24" t="n">
        <v>24466.9669</v>
      </c>
      <c r="J14" s="24" t="n">
        <v>27357.7391</v>
      </c>
      <c r="K14" s="24" t="n">
        <v>30150.9642</v>
      </c>
      <c r="L14" s="24" t="n">
        <v>32745.4547</v>
      </c>
      <c r="M14" s="24" t="n">
        <v>35037.6365</v>
      </c>
      <c r="N14" s="24" t="n">
        <v>37490.2711</v>
      </c>
      <c r="O14" s="24" t="n">
        <v>40114.5901</v>
      </c>
      <c r="P14" s="24" t="n">
        <v>42922.6114</v>
      </c>
    </row>
    <row r="15">
      <c r="A15" s="6" t="inlineStr">
        <is>
          <t>Operating profit</t>
        </is>
      </c>
      <c r="B15" s="24" t="n">
        <v>6782.1955</v>
      </c>
      <c r="C15" s="24" t="n">
        <v>8735.4678</v>
      </c>
      <c r="D15" s="24" t="n">
        <v>10807.084</v>
      </c>
      <c r="E15" s="24" t="n">
        <v>13011.7291</v>
      </c>
      <c r="F15" s="24" t="n">
        <v>15384.4179</v>
      </c>
      <c r="G15" s="24" t="n">
        <v>17942.8466</v>
      </c>
      <c r="H15" s="24" t="n">
        <v>20638.7593</v>
      </c>
      <c r="I15" s="24" t="n">
        <v>23408.4808</v>
      </c>
      <c r="J15" s="24" t="n">
        <v>26174.1928</v>
      </c>
      <c r="K15" s="24" t="n">
        <v>28846.5778</v>
      </c>
      <c r="L15" s="24" t="n">
        <v>31328.8259</v>
      </c>
      <c r="M15" s="24" t="n">
        <v>33521.8437</v>
      </c>
      <c r="N15" s="24" t="n">
        <v>35868.3727</v>
      </c>
      <c r="O15" s="24" t="n">
        <v>38379.1588</v>
      </c>
      <c r="P15" s="24" t="n">
        <v>41065.6999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3434.6955</v>
      </c>
      <c r="C17" s="24" t="n">
        <v>5387.9678</v>
      </c>
      <c r="D17" s="24" t="n">
        <v>7459.584</v>
      </c>
      <c r="E17" s="24" t="n">
        <v>9664.2291</v>
      </c>
      <c r="F17" s="24" t="n">
        <v>12036.9179</v>
      </c>
      <c r="G17" s="24" t="n">
        <v>14595.3466</v>
      </c>
      <c r="H17" s="24" t="n">
        <v>17291.2593</v>
      </c>
      <c r="I17" s="24" t="n">
        <v>20060.9808</v>
      </c>
      <c r="J17" s="24" t="n">
        <v>22826.6928</v>
      </c>
      <c r="K17" s="24" t="n">
        <v>25499.0778</v>
      </c>
      <c r="L17" s="24" t="n">
        <v>27981.3259</v>
      </c>
      <c r="M17" s="24" t="n">
        <v>30174.3437</v>
      </c>
      <c r="N17" s="24" t="n">
        <v>32520.8727</v>
      </c>
      <c r="O17" s="24" t="n">
        <v>35031.6588</v>
      </c>
      <c r="P17" s="24" t="n">
        <v>37718.1999</v>
      </c>
    </row>
    <row r="18">
      <c r="A18" s="4" t="inlineStr">
        <is>
          <t>Net profit</t>
        </is>
      </c>
      <c r="B18" s="24" t="n">
        <v>2661.889</v>
      </c>
      <c r="C18" s="24" t="n">
        <v>4175.675</v>
      </c>
      <c r="D18" s="24" t="n">
        <v>5781.1776</v>
      </c>
      <c r="E18" s="24" t="n">
        <v>7489.7775</v>
      </c>
      <c r="F18" s="24" t="n">
        <v>9328.6114</v>
      </c>
      <c r="G18" s="24" t="n">
        <v>11311.3936</v>
      </c>
      <c r="H18" s="24" t="n">
        <v>13400.7259</v>
      </c>
      <c r="I18" s="24" t="n">
        <v>15547.2601</v>
      </c>
      <c r="J18" s="24" t="n">
        <v>17690.6869</v>
      </c>
      <c r="K18" s="24" t="n">
        <v>19761.7853</v>
      </c>
      <c r="L18" s="24" t="n">
        <v>21685.5275</v>
      </c>
      <c r="M18" s="24" t="n">
        <v>23385.1163</v>
      </c>
      <c r="N18" s="24" t="n">
        <v>25203.6764</v>
      </c>
      <c r="O18" s="24" t="n">
        <v>27149.5356</v>
      </c>
      <c r="P18" s="24" t="n">
        <v>29231.6049</v>
      </c>
    </row>
    <row r="19">
      <c r="A19" s="6" t="inlineStr">
        <is>
          <t>Earnings per share (EGP)</t>
        </is>
      </c>
      <c r="B19" s="25" t="n">
        <v>0.9308</v>
      </c>
      <c r="C19" s="25" t="n">
        <v>1.4601</v>
      </c>
      <c r="D19" s="25" t="n">
        <v>2.0214</v>
      </c>
      <c r="E19" s="25" t="n">
        <v>2.6189</v>
      </c>
      <c r="F19" s="25" t="n">
        <v>3.2618</v>
      </c>
      <c r="G19" s="25" t="n">
        <v>3.9551</v>
      </c>
      <c r="H19" s="25" t="n">
        <v>4.6857</v>
      </c>
      <c r="I19" s="25" t="n">
        <v>5.4363</v>
      </c>
      <c r="J19" s="25" t="n">
        <v>6.1857</v>
      </c>
      <c r="K19" s="25" t="n">
        <v>6.9099</v>
      </c>
      <c r="L19" s="25" t="n">
        <v>7.5826</v>
      </c>
      <c r="M19" s="25" t="n">
        <v>8.1768</v>
      </c>
      <c r="N19" s="25" t="n">
        <v>8.8127</v>
      </c>
      <c r="O19" s="25" t="n">
        <v>9.4931</v>
      </c>
      <c r="P19" s="25" t="n">
        <v>10.2211</v>
      </c>
    </row>
    <row r="20">
      <c r="A20" s="6" t="inlineStr">
        <is>
          <t>Order book, closing</t>
        </is>
      </c>
      <c r="B20" s="24" t="n">
        <v>352433.0582</v>
      </c>
      <c r="C20" s="24" t="n">
        <v>445831.2225</v>
      </c>
      <c r="D20" s="24" t="n">
        <v>540001.1874000001</v>
      </c>
      <c r="E20" s="24" t="n">
        <v>632954.3656</v>
      </c>
      <c r="F20" s="24" t="n">
        <v>723732.3467</v>
      </c>
      <c r="G20" s="24" t="n">
        <v>812066.1572</v>
      </c>
      <c r="H20" s="24" t="n">
        <v>898031.8</v>
      </c>
      <c r="I20" s="24" t="n">
        <v>982145.9158</v>
      </c>
      <c r="J20" s="24" t="n">
        <v>1065454.1511</v>
      </c>
      <c r="K20" s="24" t="n">
        <v>1149604.13</v>
      </c>
      <c r="L20" s="24" t="n">
        <v>1236894.9601</v>
      </c>
      <c r="M20" s="24" t="n">
        <v>1330296.1483</v>
      </c>
      <c r="N20" s="24" t="n">
        <v>1430235.4196</v>
      </c>
      <c r="O20" s="24" t="n">
        <v>1537170.44</v>
      </c>
      <c r="P20" s="24" t="n">
        <v>1651590.9118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102756.8779</v>
      </c>
      <c r="C16" s="21" t="n">
        <v>103026.6324</v>
      </c>
      <c r="D16" s="21" t="n">
        <v>104382.1915</v>
      </c>
      <c r="E16" s="21" t="n">
        <v>106893.2803</v>
      </c>
      <c r="F16" s="21" t="n">
        <v>110647.9762</v>
      </c>
      <c r="G16" s="21" t="n">
        <v>115743.6319</v>
      </c>
      <c r="H16" s="21" t="n">
        <v>122252.3072</v>
      </c>
      <c r="I16" s="21" t="n">
        <v>130212.6881</v>
      </c>
      <c r="J16" s="21" t="n">
        <v>139622.6729</v>
      </c>
      <c r="K16" s="21" t="n">
        <v>150433.3458</v>
      </c>
      <c r="L16" s="21" t="n">
        <v>162545.0496</v>
      </c>
      <c r="M16" s="21" t="n">
        <v>175806.1887</v>
      </c>
      <c r="N16" s="21" t="n">
        <v>190297.2238</v>
      </c>
      <c r="O16" s="21" t="n">
        <v>206104.2474</v>
      </c>
      <c r="P16" s="21" t="n">
        <v>223319.3788</v>
      </c>
    </row>
    <row r="17">
      <c r="A17" s="6" t="inlineStr">
        <is>
          <t>Work in progress</t>
        </is>
      </c>
      <c r="B17" s="21" t="n">
        <v>17442.9053</v>
      </c>
      <c r="C17" s="21" t="n">
        <v>17488.6959</v>
      </c>
      <c r="D17" s="21" t="n">
        <v>17718.8011</v>
      </c>
      <c r="E17" s="21" t="n">
        <v>18145.0566</v>
      </c>
      <c r="F17" s="21" t="n">
        <v>18782.4135</v>
      </c>
      <c r="G17" s="21" t="n">
        <v>19647.3973</v>
      </c>
      <c r="H17" s="21" t="n">
        <v>20752.2403</v>
      </c>
      <c r="I17" s="21" t="n">
        <v>22103.5091</v>
      </c>
      <c r="J17" s="21" t="n">
        <v>23700.8472</v>
      </c>
      <c r="K17" s="21" t="n">
        <v>25535.9511</v>
      </c>
      <c r="L17" s="21" t="n">
        <v>27591.904</v>
      </c>
      <c r="M17" s="21" t="n">
        <v>29842.9727</v>
      </c>
      <c r="N17" s="21" t="n">
        <v>32302.8153</v>
      </c>
      <c r="O17" s="21" t="n">
        <v>34986.0461</v>
      </c>
      <c r="P17" s="21" t="n">
        <v>37908.3021</v>
      </c>
    </row>
    <row r="18">
      <c r="A18" s="6" t="inlineStr">
        <is>
          <t>Other receivables and prepayments</t>
        </is>
      </c>
      <c r="B18" s="21" t="n">
        <v>12827.8701</v>
      </c>
      <c r="C18" s="21" t="n">
        <v>12861.5454</v>
      </c>
      <c r="D18" s="21" t="n">
        <v>13030.7695</v>
      </c>
      <c r="E18" s="21" t="n">
        <v>13344.2465</v>
      </c>
      <c r="F18" s="21" t="n">
        <v>13812.9719</v>
      </c>
      <c r="G18" s="21" t="n">
        <v>14449.0987</v>
      </c>
      <c r="H18" s="21" t="n">
        <v>15261.6228</v>
      </c>
      <c r="I18" s="21" t="n">
        <v>16255.3736</v>
      </c>
      <c r="J18" s="21" t="n">
        <v>17430.0888</v>
      </c>
      <c r="K18" s="21" t="n">
        <v>18779.6618</v>
      </c>
      <c r="L18" s="21" t="n">
        <v>20291.6517</v>
      </c>
      <c r="M18" s="21" t="n">
        <v>21947.1338</v>
      </c>
      <c r="N18" s="21" t="n">
        <v>23756.1525</v>
      </c>
      <c r="O18" s="21" t="n">
        <v>25729.4554</v>
      </c>
      <c r="P18" s="21" t="n">
        <v>27878.5424</v>
      </c>
    </row>
    <row r="19">
      <c r="A19" s="6" t="inlineStr">
        <is>
          <t>Advances to suppliers</t>
        </is>
      </c>
      <c r="B19" s="21" t="n">
        <v>8990.2304</v>
      </c>
      <c r="C19" s="21" t="n">
        <v>9013.8313</v>
      </c>
      <c r="D19" s="21" t="n">
        <v>9132.429599999999</v>
      </c>
      <c r="E19" s="21" t="n">
        <v>9352.1255</v>
      </c>
      <c r="F19" s="21" t="n">
        <v>9680.625</v>
      </c>
      <c r="G19" s="21" t="n">
        <v>10126.4454</v>
      </c>
      <c r="H19" s="21" t="n">
        <v>10695.8914</v>
      </c>
      <c r="I19" s="21" t="n">
        <v>11392.3475</v>
      </c>
      <c r="J19" s="21" t="n">
        <v>12215.63</v>
      </c>
      <c r="K19" s="21" t="n">
        <v>13161.459</v>
      </c>
      <c r="L19" s="21" t="n">
        <v>14221.1156</v>
      </c>
      <c r="M19" s="21" t="n">
        <v>15381.3367</v>
      </c>
      <c r="N19" s="21" t="n">
        <v>16649.1618</v>
      </c>
      <c r="O19" s="21" t="n">
        <v>18032.123</v>
      </c>
      <c r="P19" s="21" t="n">
        <v>19538.2801</v>
      </c>
    </row>
    <row r="20">
      <c r="A20" s="6" t="inlineStr">
        <is>
          <t>Cash and equivalents</t>
        </is>
      </c>
      <c r="B20" s="21" t="n">
        <v>12526.4815</v>
      </c>
      <c r="C20" s="21" t="n">
        <v>16528.2737</v>
      </c>
      <c r="D20" s="21" t="n">
        <v>21479.091</v>
      </c>
      <c r="E20" s="21" t="n">
        <v>27439.8749</v>
      </c>
      <c r="F20" s="21" t="n">
        <v>34487.6078</v>
      </c>
      <c r="G20" s="21" t="n">
        <v>42707.3786</v>
      </c>
      <c r="H20" s="21" t="n">
        <v>52162.1701</v>
      </c>
      <c r="I20" s="21" t="n">
        <v>62885.7945</v>
      </c>
      <c r="J20" s="21" t="n">
        <v>74876.4152</v>
      </c>
      <c r="K20" s="21" t="n">
        <v>88091.27830000001</v>
      </c>
      <c r="L20" s="21" t="n">
        <v>102443.2803</v>
      </c>
      <c r="M20" s="21" t="n">
        <v>117799.9225</v>
      </c>
      <c r="N20" s="21" t="n">
        <v>134231.5296</v>
      </c>
      <c r="O20" s="21" t="n">
        <v>151813.3492</v>
      </c>
      <c r="P20" s="21" t="n">
        <v>170625.8962</v>
      </c>
    </row>
    <row r="21">
      <c r="A21" s="6" t="inlineStr">
        <is>
          <t>Property and equipment</t>
        </is>
      </c>
      <c r="B21" s="21" t="n">
        <v>4530.9012</v>
      </c>
      <c r="C21" s="21" t="n">
        <v>4542.3659</v>
      </c>
      <c r="D21" s="21" t="n">
        <v>4556.5495</v>
      </c>
      <c r="E21" s="21" t="n">
        <v>4573.6265</v>
      </c>
      <c r="F21" s="21" t="n">
        <v>4593.8175</v>
      </c>
      <c r="G21" s="21" t="n">
        <v>4617.3663</v>
      </c>
      <c r="H21" s="21" t="n">
        <v>4644.4533</v>
      </c>
      <c r="I21" s="21" t="n">
        <v>4675.1754</v>
      </c>
      <c r="J21" s="21" t="n">
        <v>4709.5273</v>
      </c>
      <c r="K21" s="21" t="n">
        <v>4747.3865</v>
      </c>
      <c r="L21" s="21" t="n">
        <v>4788.5035</v>
      </c>
      <c r="M21" s="21" t="n">
        <v>4832.4987</v>
      </c>
      <c r="N21" s="21" t="n">
        <v>4879.5736</v>
      </c>
      <c r="O21" s="21" t="n">
        <v>4929.9437</v>
      </c>
      <c r="P21" s="21" t="n">
        <v>4983.8397</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174203.5663</v>
      </c>
      <c r="C23" s="22" t="n">
        <v>178589.6446</v>
      </c>
      <c r="D23" s="22" t="n">
        <v>185428.1321</v>
      </c>
      <c r="E23" s="22" t="n">
        <v>194876.5103</v>
      </c>
      <c r="F23" s="22" t="n">
        <v>207133.7119</v>
      </c>
      <c r="G23" s="22" t="n">
        <v>222419.6183</v>
      </c>
      <c r="H23" s="22" t="n">
        <v>240896.9851</v>
      </c>
      <c r="I23" s="22" t="n">
        <v>262653.1883</v>
      </c>
      <c r="J23" s="22" t="n">
        <v>287683.4814</v>
      </c>
      <c r="K23" s="22" t="n">
        <v>315877.3825</v>
      </c>
      <c r="L23" s="22" t="n">
        <v>347009.8047</v>
      </c>
      <c r="M23" s="22" t="n">
        <v>380738.3531</v>
      </c>
      <c r="N23" s="22" t="n">
        <v>417244.7565</v>
      </c>
      <c r="O23" s="22" t="n">
        <v>456723.4648</v>
      </c>
      <c r="P23" s="22" t="n">
        <v>499382.5393</v>
      </c>
    </row>
    <row r="24">
      <c r="A24" s="6" t="inlineStr">
        <is>
          <t>Customer advances</t>
        </is>
      </c>
      <c r="B24" s="21" t="n">
        <v>68848.8921</v>
      </c>
      <c r="C24" s="21" t="n">
        <v>69029.6323</v>
      </c>
      <c r="D24" s="21" t="n">
        <v>69937.88039999999</v>
      </c>
      <c r="E24" s="21" t="n">
        <v>71620.3535</v>
      </c>
      <c r="F24" s="21" t="n">
        <v>74136.065</v>
      </c>
      <c r="G24" s="21" t="n">
        <v>77550.2427</v>
      </c>
      <c r="H24" s="21" t="n">
        <v>81911.1682</v>
      </c>
      <c r="I24" s="21" t="n">
        <v>87244.7616</v>
      </c>
      <c r="J24" s="21" t="n">
        <v>93549.6148</v>
      </c>
      <c r="K24" s="21" t="n">
        <v>100792.9533</v>
      </c>
      <c r="L24" s="21" t="n">
        <v>108908.0051</v>
      </c>
      <c r="M24" s="21" t="n">
        <v>117793.1985</v>
      </c>
      <c r="N24" s="21" t="n">
        <v>127502.4436</v>
      </c>
      <c r="O24" s="21" t="n">
        <v>138093.4238</v>
      </c>
      <c r="P24" s="21" t="n">
        <v>149627.8607</v>
      </c>
    </row>
    <row r="25">
      <c r="A25" s="6" t="inlineStr">
        <is>
          <t>Suppliers</t>
        </is>
      </c>
      <c r="B25" s="21" t="n">
        <v>3779.268</v>
      </c>
      <c r="C25" s="21" t="n">
        <v>3789.1892</v>
      </c>
      <c r="D25" s="21" t="n">
        <v>3839.045</v>
      </c>
      <c r="E25" s="21" t="n">
        <v>3931.3997</v>
      </c>
      <c r="F25" s="21" t="n">
        <v>4069.4926</v>
      </c>
      <c r="G25" s="21" t="n">
        <v>4256.9044</v>
      </c>
      <c r="H25" s="21" t="n">
        <v>4496.2853</v>
      </c>
      <c r="I25" s="21" t="n">
        <v>4789.058</v>
      </c>
      <c r="J25" s="21" t="n">
        <v>5135.1453</v>
      </c>
      <c r="K25" s="21" t="n">
        <v>5532.7482</v>
      </c>
      <c r="L25" s="21" t="n">
        <v>5978.2014</v>
      </c>
      <c r="M25" s="21" t="n">
        <v>6465.9293</v>
      </c>
      <c r="N25" s="21" t="n">
        <v>6998.8912</v>
      </c>
      <c r="O25" s="21" t="n">
        <v>7580.2536</v>
      </c>
      <c r="P25" s="21" t="n">
        <v>8213.4043</v>
      </c>
    </row>
    <row r="26">
      <c r="A26" s="6" t="inlineStr">
        <is>
          <t>Other creditors</t>
        </is>
      </c>
      <c r="B26" s="21" t="n">
        <v>5084.3911</v>
      </c>
      <c r="C26" s="21" t="n">
        <v>5097.7385</v>
      </c>
      <c r="D26" s="21" t="n">
        <v>5164.8113</v>
      </c>
      <c r="E26" s="21" t="n">
        <v>5289.0595</v>
      </c>
      <c r="F26" s="21" t="n">
        <v>5474.8412</v>
      </c>
      <c r="G26" s="21" t="n">
        <v>5726.9733</v>
      </c>
      <c r="H26" s="21" t="n">
        <v>6049.0213</v>
      </c>
      <c r="I26" s="21" t="n">
        <v>6442.8995</v>
      </c>
      <c r="J26" s="21" t="n">
        <v>6908.5038</v>
      </c>
      <c r="K26" s="21" t="n">
        <v>7443.4139</v>
      </c>
      <c r="L26" s="21" t="n">
        <v>8042.6987</v>
      </c>
      <c r="M26" s="21" t="n">
        <v>8698.857400000001</v>
      </c>
      <c r="N26" s="21" t="n">
        <v>9415.8711</v>
      </c>
      <c r="O26" s="21" t="n">
        <v>10197.9997</v>
      </c>
      <c r="P26" s="21" t="n">
        <v>11049.8012</v>
      </c>
    </row>
    <row r="27">
      <c r="A27" s="6" t="inlineStr">
        <is>
          <t>Cheques under collection</t>
        </is>
      </c>
      <c r="B27" s="21" t="n">
        <v>2435.8261</v>
      </c>
      <c r="C27" s="21" t="n">
        <v>2442.2206</v>
      </c>
      <c r="D27" s="21" t="n">
        <v>2474.3537</v>
      </c>
      <c r="E27" s="21" t="n">
        <v>2533.8785</v>
      </c>
      <c r="F27" s="21" t="n">
        <v>2622.8826</v>
      </c>
      <c r="G27" s="21" t="n">
        <v>2743.6738</v>
      </c>
      <c r="H27" s="21" t="n">
        <v>2897.9604</v>
      </c>
      <c r="I27" s="21" t="n">
        <v>3086.6592</v>
      </c>
      <c r="J27" s="21" t="n">
        <v>3309.7205</v>
      </c>
      <c r="K27" s="21" t="n">
        <v>3565.9848</v>
      </c>
      <c r="L27" s="21" t="n">
        <v>3853.0898</v>
      </c>
      <c r="M27" s="21" t="n">
        <v>4167.4417</v>
      </c>
      <c r="N27" s="21" t="n">
        <v>4510.9481</v>
      </c>
      <c r="O27" s="21" t="n">
        <v>4885.6496</v>
      </c>
      <c r="P27" s="21" t="n">
        <v>5293.73</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152775.8773</v>
      </c>
      <c r="C30" s="22" t="n">
        <v>152986.2806</v>
      </c>
      <c r="D30" s="22" t="n">
        <v>154043.5905</v>
      </c>
      <c r="E30" s="22" t="n">
        <v>156002.1912</v>
      </c>
      <c r="F30" s="22" t="n">
        <v>158930.7814</v>
      </c>
      <c r="G30" s="22" t="n">
        <v>162905.2943</v>
      </c>
      <c r="H30" s="22" t="n">
        <v>167981.9352</v>
      </c>
      <c r="I30" s="22" t="n">
        <v>174190.8783</v>
      </c>
      <c r="J30" s="22" t="n">
        <v>181530.4844</v>
      </c>
      <c r="K30" s="22" t="n">
        <v>189962.6002</v>
      </c>
      <c r="L30" s="22" t="n">
        <v>199409.4949</v>
      </c>
      <c r="M30" s="22" t="n">
        <v>209752.9269</v>
      </c>
      <c r="N30" s="22" t="n">
        <v>221055.654</v>
      </c>
      <c r="O30" s="22" t="n">
        <v>233384.8267</v>
      </c>
      <c r="P30" s="22" t="n">
        <v>246812.2963</v>
      </c>
    </row>
    <row r="31">
      <c r="A31" s="6" t="inlineStr">
        <is>
          <t>Shareholders' funds</t>
        </is>
      </c>
      <c r="B31" s="21" t="n">
        <v>21427.689</v>
      </c>
      <c r="C31" s="21" t="n">
        <v>25603.364</v>
      </c>
      <c r="D31" s="21" t="n">
        <v>31384.5416</v>
      </c>
      <c r="E31" s="21" t="n">
        <v>38874.3191</v>
      </c>
      <c r="F31" s="21" t="n">
        <v>48202.9305</v>
      </c>
      <c r="G31" s="21" t="n">
        <v>59514.324</v>
      </c>
      <c r="H31" s="21" t="n">
        <v>72915.05</v>
      </c>
      <c r="I31" s="21" t="n">
        <v>88462.3101</v>
      </c>
      <c r="J31" s="21" t="n">
        <v>106152.9969</v>
      </c>
      <c r="K31" s="21" t="n">
        <v>125914.7823</v>
      </c>
      <c r="L31" s="21" t="n">
        <v>147600.3098</v>
      </c>
      <c r="M31" s="21" t="n">
        <v>170985.4262</v>
      </c>
      <c r="N31" s="21" t="n">
        <v>196189.1025</v>
      </c>
      <c r="O31" s="21" t="n">
        <v>223338.6381</v>
      </c>
      <c r="P31" s="21" t="n">
        <v>252570.2431</v>
      </c>
    </row>
    <row r="32">
      <c r="A32" s="4" t="inlineStr">
        <is>
          <t>TOTAL LIABILITIES AND EQUITY</t>
        </is>
      </c>
      <c r="B32" s="22" t="n">
        <v>174203.5663</v>
      </c>
      <c r="C32" s="22" t="n">
        <v>178589.6446</v>
      </c>
      <c r="D32" s="22" t="n">
        <v>185428.1321</v>
      </c>
      <c r="E32" s="22" t="n">
        <v>194876.5103</v>
      </c>
      <c r="F32" s="22" t="n">
        <v>207133.7119</v>
      </c>
      <c r="G32" s="22" t="n">
        <v>222419.6183</v>
      </c>
      <c r="H32" s="22" t="n">
        <v>240896.9851</v>
      </c>
      <c r="I32" s="22" t="n">
        <v>262653.1883</v>
      </c>
      <c r="J32" s="22" t="n">
        <v>287683.4814</v>
      </c>
      <c r="K32" s="22" t="n">
        <v>315877.3825</v>
      </c>
      <c r="L32" s="22" t="n">
        <v>347009.8047</v>
      </c>
      <c r="M32" s="22" t="n">
        <v>380738.3531</v>
      </c>
      <c r="N32" s="22" t="n">
        <v>417244.7565</v>
      </c>
      <c r="O32" s="22" t="n">
        <v>456723.4648</v>
      </c>
      <c r="P32" s="22" t="n">
        <v>499382.5393</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931.1632</v>
      </c>
      <c r="C34" s="21" t="n">
        <v>724.8507</v>
      </c>
      <c r="D34" s="21" t="n">
        <v>593.6126</v>
      </c>
      <c r="E34" s="21" t="n">
        <v>504.8944</v>
      </c>
      <c r="F34" s="21" t="n">
        <v>442.0258</v>
      </c>
      <c r="G34" s="21" t="n">
        <v>396.4523</v>
      </c>
      <c r="H34" s="21" t="n">
        <v>364.048</v>
      </c>
      <c r="I34" s="21" t="n">
        <v>341.8734</v>
      </c>
      <c r="J34" s="21" t="n">
        <v>327.8445</v>
      </c>
      <c r="K34" s="21" t="n">
        <v>320.5052</v>
      </c>
      <c r="L34" s="21" t="n">
        <v>318.8709</v>
      </c>
      <c r="M34" s="21" t="n">
        <v>322.3231</v>
      </c>
      <c r="N34" s="21" t="n">
        <v>326.0663</v>
      </c>
      <c r="O34" s="21" t="n">
        <v>330.0477</v>
      </c>
      <c r="P34" s="21" t="n">
        <v>334.22</v>
      </c>
    </row>
    <row r="35">
      <c r="A35" s="6" t="inlineStr">
        <is>
          <t>Work in progress, days of cost</t>
        </is>
      </c>
      <c r="B35" s="21" t="n">
        <v>244.74</v>
      </c>
      <c r="C35" s="21" t="n">
        <v>190.5143</v>
      </c>
      <c r="D35" s="21" t="n">
        <v>156.0207</v>
      </c>
      <c r="E35" s="21" t="n">
        <v>132.7027</v>
      </c>
      <c r="F35" s="21" t="n">
        <v>116.1788</v>
      </c>
      <c r="G35" s="21" t="n">
        <v>104.2006</v>
      </c>
      <c r="H35" s="21" t="n">
        <v>95.6837</v>
      </c>
      <c r="I35" s="21" t="n">
        <v>89.8554</v>
      </c>
      <c r="J35" s="21" t="n">
        <v>86.1682</v>
      </c>
      <c r="K35" s="21" t="n">
        <v>84.2392</v>
      </c>
      <c r="L35" s="21" t="n">
        <v>83.8096</v>
      </c>
      <c r="M35" s="21" t="n">
        <v>84.717</v>
      </c>
      <c r="N35" s="21" t="n">
        <v>85.7008</v>
      </c>
      <c r="O35" s="21" t="n">
        <v>86.7473</v>
      </c>
      <c r="P35" s="21" t="n">
        <v>87.8439</v>
      </c>
    </row>
    <row r="36">
      <c r="A36" s="6" t="inlineStr">
        <is>
          <t>Suppliers, days of cost</t>
        </is>
      </c>
      <c r="B36" s="21" t="n">
        <v>53.0266</v>
      </c>
      <c r="C36" s="21" t="n">
        <v>41.2778</v>
      </c>
      <c r="D36" s="21" t="n">
        <v>33.8042</v>
      </c>
      <c r="E36" s="21" t="n">
        <v>28.752</v>
      </c>
      <c r="F36" s="21" t="n">
        <v>25.1719</v>
      </c>
      <c r="G36" s="21" t="n">
        <v>22.5766</v>
      </c>
      <c r="H36" s="21" t="n">
        <v>20.7313</v>
      </c>
      <c r="I36" s="21" t="n">
        <v>19.4685</v>
      </c>
      <c r="J36" s="21" t="n">
        <v>18.6696</v>
      </c>
      <c r="K36" s="21" t="n">
        <v>18.2517</v>
      </c>
      <c r="L36" s="21" t="n">
        <v>18.1586</v>
      </c>
      <c r="M36" s="21" t="n">
        <v>18.3552</v>
      </c>
      <c r="N36" s="21" t="n">
        <v>18.5684</v>
      </c>
      <c r="O36" s="21" t="n">
        <v>18.7951</v>
      </c>
      <c r="P36" s="21" t="n">
        <v>19.0327</v>
      </c>
    </row>
    <row r="37">
      <c r="A37" s="6" t="inlineStr">
        <is>
          <t>Customer advances, share of the order book</t>
        </is>
      </c>
      <c r="B37" s="17" t="n">
        <v>0.1954</v>
      </c>
      <c r="C37" s="17" t="n">
        <v>0.1548</v>
      </c>
      <c r="D37" s="17" t="n">
        <v>0.1295</v>
      </c>
      <c r="E37" s="17" t="n">
        <v>0.1132</v>
      </c>
      <c r="F37" s="17" t="n">
        <v>0.1024</v>
      </c>
      <c r="G37" s="17" t="n">
        <v>0.0955</v>
      </c>
      <c r="H37" s="17" t="n">
        <v>0.0912</v>
      </c>
      <c r="I37" s="17" t="n">
        <v>0.0888</v>
      </c>
      <c r="J37" s="17" t="n">
        <v>0.0878</v>
      </c>
      <c r="K37" s="17" t="n">
        <v>0.0877</v>
      </c>
      <c r="L37" s="17" t="n">
        <v>0.08799999999999999</v>
      </c>
      <c r="M37" s="17" t="n">
        <v>0.0885</v>
      </c>
      <c r="N37" s="17" t="n">
        <v>0.0891</v>
      </c>
      <c r="O37" s="17" t="n">
        <v>0.0898</v>
      </c>
      <c r="P37" s="17" t="n">
        <v>0.0906</v>
      </c>
    </row>
    <row r="38">
      <c r="A38" s="6" t="inlineStr">
        <is>
          <t>Net working capital</t>
        </is>
      </c>
      <c r="B38" s="21" t="n">
        <v>61869.5063</v>
      </c>
      <c r="C38" s="21" t="n">
        <v>62031.9244</v>
      </c>
      <c r="D38" s="21" t="n">
        <v>62848.1011</v>
      </c>
      <c r="E38" s="21" t="n">
        <v>64360.0177</v>
      </c>
      <c r="F38" s="21" t="n">
        <v>66620.70510000001</v>
      </c>
      <c r="G38" s="21" t="n">
        <v>69688.7791</v>
      </c>
      <c r="H38" s="21" t="n">
        <v>73607.6265</v>
      </c>
      <c r="I38" s="21" t="n">
        <v>78400.5401</v>
      </c>
      <c r="J38" s="21" t="n">
        <v>84066.25440000001</v>
      </c>
      <c r="K38" s="21" t="n">
        <v>90575.3175</v>
      </c>
      <c r="L38" s="21" t="n">
        <v>97867.726</v>
      </c>
      <c r="M38" s="21" t="n">
        <v>105852.205</v>
      </c>
      <c r="N38" s="21" t="n">
        <v>114577.1994</v>
      </c>
      <c r="O38" s="21" t="n">
        <v>124094.5452</v>
      </c>
      <c r="P38" s="21" t="n">
        <v>134459.7072</v>
      </c>
    </row>
    <row r="39">
      <c r="A39" s="6" t="inlineStr">
        <is>
          <t xml:space="preserve">  as a multiple of revenue</t>
        </is>
      </c>
      <c r="B39" s="7" t="n">
        <v>1.536</v>
      </c>
      <c r="C39" s="7" t="n">
        <v>1.1957</v>
      </c>
      <c r="D39" s="7" t="n">
        <v>0.9792</v>
      </c>
      <c r="E39" s="7" t="n">
        <v>0.8329</v>
      </c>
      <c r="F39" s="7" t="n">
        <v>0.7292</v>
      </c>
      <c r="G39" s="7" t="n">
        <v>0.654</v>
      </c>
      <c r="H39" s="7" t="n">
        <v>0.6005</v>
      </c>
      <c r="I39" s="7" t="n">
        <v>0.5639</v>
      </c>
      <c r="J39" s="7" t="n">
        <v>0.5407999999999999</v>
      </c>
      <c r="K39" s="7" t="n">
        <v>0.5286999999999999</v>
      </c>
      <c r="L39" s="7" t="n">
        <v>0.526</v>
      </c>
      <c r="M39" s="7" t="n">
        <v>0.5317</v>
      </c>
      <c r="N39" s="7" t="n">
        <v>0.5379</v>
      </c>
      <c r="O39" s="7" t="n">
        <v>0.5444</v>
      </c>
      <c r="P39" s="7" t="n">
        <v>0.5513</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115272.032</v>
      </c>
      <c r="C43" s="21" t="n">
        <v>148470.3773</v>
      </c>
      <c r="D43" s="21" t="n">
        <v>183680.1272</v>
      </c>
      <c r="E43" s="21" t="n">
        <v>221150.8732</v>
      </c>
      <c r="F43" s="21" t="n">
        <v>261477.7349</v>
      </c>
      <c r="G43" s="21" t="n">
        <v>304961.4822</v>
      </c>
      <c r="H43" s="21" t="n">
        <v>350781.945</v>
      </c>
      <c r="I43" s="21" t="n">
        <v>397856.882</v>
      </c>
      <c r="J43" s="21" t="n">
        <v>444863.6726</v>
      </c>
      <c r="K43" s="21" t="n">
        <v>490284.2535</v>
      </c>
      <c r="L43" s="21" t="n">
        <v>532473.2136</v>
      </c>
      <c r="M43" s="21" t="n">
        <v>569746.3385</v>
      </c>
      <c r="N43" s="21" t="n">
        <v>609628.5821999999</v>
      </c>
      <c r="O43" s="21" t="n">
        <v>652302.583</v>
      </c>
      <c r="P43" s="21" t="n">
        <v>697963.7638</v>
      </c>
    </row>
    <row r="44">
      <c r="A44" s="6" t="inlineStr">
        <is>
          <t>Work in progress</t>
        </is>
      </c>
      <c r="B44" s="21" t="n">
        <v>19567.3436</v>
      </c>
      <c r="C44" s="21" t="n">
        <v>25202.7386</v>
      </c>
      <c r="D44" s="21" t="n">
        <v>31179.568</v>
      </c>
      <c r="E44" s="21" t="n">
        <v>37540.1999</v>
      </c>
      <c r="F44" s="21" t="n">
        <v>44385.6554</v>
      </c>
      <c r="G44" s="21" t="n">
        <v>51766.9898</v>
      </c>
      <c r="H44" s="21" t="n">
        <v>59544.9801</v>
      </c>
      <c r="I44" s="21" t="n">
        <v>67535.9164</v>
      </c>
      <c r="J44" s="21" t="n">
        <v>75515.2849</v>
      </c>
      <c r="K44" s="21" t="n">
        <v>83225.3955</v>
      </c>
      <c r="L44" s="21" t="n">
        <v>90386.9408</v>
      </c>
      <c r="M44" s="21" t="n">
        <v>96714.0266</v>
      </c>
      <c r="N44" s="21" t="n">
        <v>103484.0085</v>
      </c>
      <c r="O44" s="21" t="n">
        <v>110727.8891</v>
      </c>
      <c r="P44" s="21" t="n">
        <v>118478.8413</v>
      </c>
    </row>
    <row r="45">
      <c r="A45" s="6" t="inlineStr">
        <is>
          <t>Other receivables and prepayments</t>
        </is>
      </c>
      <c r="B45" s="21" t="n">
        <v>14390.2256</v>
      </c>
      <c r="C45" s="21" t="n">
        <v>18534.6105</v>
      </c>
      <c r="D45" s="21" t="n">
        <v>22930.0934</v>
      </c>
      <c r="E45" s="21" t="n">
        <v>27607.8324</v>
      </c>
      <c r="F45" s="21" t="n">
        <v>32642.1207</v>
      </c>
      <c r="G45" s="21" t="n">
        <v>38070.5054</v>
      </c>
      <c r="H45" s="21" t="n">
        <v>43790.5988</v>
      </c>
      <c r="I45" s="21" t="n">
        <v>49667.2972</v>
      </c>
      <c r="J45" s="21" t="n">
        <v>55535.4883</v>
      </c>
      <c r="K45" s="21" t="n">
        <v>61205.6617</v>
      </c>
      <c r="L45" s="21" t="n">
        <v>66472.40889999999</v>
      </c>
      <c r="M45" s="21" t="n">
        <v>71125.47749999999</v>
      </c>
      <c r="N45" s="21" t="n">
        <v>76104.26089999999</v>
      </c>
      <c r="O45" s="21" t="n">
        <v>81431.5592</v>
      </c>
      <c r="P45" s="21" t="n">
        <v>87131.7683</v>
      </c>
    </row>
    <row r="46">
      <c r="A46" s="6" t="inlineStr">
        <is>
          <t>Advances to suppliers</t>
        </is>
      </c>
      <c r="B46" s="21" t="n">
        <v>10085.185</v>
      </c>
      <c r="C46" s="21" t="n">
        <v>12989.7183</v>
      </c>
      <c r="D46" s="21" t="n">
        <v>16070.23</v>
      </c>
      <c r="E46" s="21" t="n">
        <v>19348.5569</v>
      </c>
      <c r="F46" s="21" t="n">
        <v>22876.7662</v>
      </c>
      <c r="G46" s="21" t="n">
        <v>26681.1725</v>
      </c>
      <c r="H46" s="21" t="n">
        <v>30690.0186</v>
      </c>
      <c r="I46" s="21" t="n">
        <v>34808.6191</v>
      </c>
      <c r="J46" s="21" t="n">
        <v>38921.2575</v>
      </c>
      <c r="K46" s="21" t="n">
        <v>42895.1179</v>
      </c>
      <c r="L46" s="21" t="n">
        <v>46586.2428</v>
      </c>
      <c r="M46" s="21" t="n">
        <v>49847.2798</v>
      </c>
      <c r="N46" s="21" t="n">
        <v>53336.5893</v>
      </c>
      <c r="O46" s="21" t="n">
        <v>57070.1506</v>
      </c>
      <c r="P46" s="21" t="n">
        <v>61065.0611</v>
      </c>
    </row>
    <row r="47">
      <c r="A47" s="6" t="inlineStr">
        <is>
          <t>Cash and equivalents</t>
        </is>
      </c>
      <c r="B47" s="21" t="n">
        <v>4991.1571</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3253.9963</v>
      </c>
      <c r="N47" s="21" t="n">
        <v>4397.6579</v>
      </c>
      <c r="O47" s="21" t="n">
        <v>5802.9778</v>
      </c>
      <c r="P47" s="21" t="n">
        <v>7488.2719</v>
      </c>
    </row>
    <row r="48">
      <c r="A48" s="6" t="inlineStr">
        <is>
          <t>Property and equipment</t>
        </is>
      </c>
      <c r="B48" s="21" t="n">
        <v>4530.9012</v>
      </c>
      <c r="C48" s="21" t="n">
        <v>4542.3659</v>
      </c>
      <c r="D48" s="21" t="n">
        <v>4556.5495</v>
      </c>
      <c r="E48" s="21" t="n">
        <v>4573.6265</v>
      </c>
      <c r="F48" s="21" t="n">
        <v>4593.8175</v>
      </c>
      <c r="G48" s="21" t="n">
        <v>4617.3663</v>
      </c>
      <c r="H48" s="21" t="n">
        <v>4644.4533</v>
      </c>
      <c r="I48" s="21" t="n">
        <v>4675.1754</v>
      </c>
      <c r="J48" s="21" t="n">
        <v>4709.5273</v>
      </c>
      <c r="K48" s="21" t="n">
        <v>4747.3865</v>
      </c>
      <c r="L48" s="21" t="n">
        <v>4788.5035</v>
      </c>
      <c r="M48" s="21" t="n">
        <v>4832.4987</v>
      </c>
      <c r="N48" s="21" t="n">
        <v>4879.5736</v>
      </c>
      <c r="O48" s="21" t="n">
        <v>4929.9437</v>
      </c>
      <c r="P48" s="21" t="n">
        <v>4983.8397</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183965.1445</v>
      </c>
      <c r="C50" s="22" t="n">
        <v>227222.9855</v>
      </c>
      <c r="D50" s="22" t="n">
        <v>275899.7431</v>
      </c>
      <c r="E50" s="22" t="n">
        <v>327704.264</v>
      </c>
      <c r="F50" s="22" t="n">
        <v>383459.2698</v>
      </c>
      <c r="G50" s="22" t="n">
        <v>443580.6913</v>
      </c>
      <c r="H50" s="22" t="n">
        <v>506935.1708</v>
      </c>
      <c r="I50" s="22" t="n">
        <v>572027.0651</v>
      </c>
      <c r="J50" s="22" t="n">
        <v>637028.4056000001</v>
      </c>
      <c r="K50" s="22" t="n">
        <v>699840.9901000001</v>
      </c>
      <c r="L50" s="22" t="n">
        <v>758190.4845</v>
      </c>
      <c r="M50" s="22" t="n">
        <v>810647.9174</v>
      </c>
      <c r="N50" s="22" t="n">
        <v>866958.9725</v>
      </c>
      <c r="O50" s="22" t="n">
        <v>927393.4033</v>
      </c>
      <c r="P50" s="22" t="n">
        <v>992239.8462</v>
      </c>
    </row>
    <row r="51">
      <c r="A51" s="6" t="inlineStr">
        <is>
          <t>Customer advances</t>
        </is>
      </c>
      <c r="B51" s="21" t="n">
        <v>77234.2626</v>
      </c>
      <c r="C51" s="21" t="n">
        <v>99477.7303</v>
      </c>
      <c r="D51" s="21" t="n">
        <v>123068.874</v>
      </c>
      <c r="E51" s="21" t="n">
        <v>148174.9243</v>
      </c>
      <c r="F51" s="21" t="n">
        <v>175194.6218</v>
      </c>
      <c r="G51" s="21" t="n">
        <v>204329.4874</v>
      </c>
      <c r="H51" s="21" t="n">
        <v>235029.9929</v>
      </c>
      <c r="I51" s="21" t="n">
        <v>266571.0179</v>
      </c>
      <c r="J51" s="21" t="n">
        <v>298066.3837</v>
      </c>
      <c r="K51" s="21" t="n">
        <v>328498.9614</v>
      </c>
      <c r="L51" s="21" t="n">
        <v>356766.2971</v>
      </c>
      <c r="M51" s="21" t="n">
        <v>381739.9379</v>
      </c>
      <c r="N51" s="21" t="n">
        <v>408461.7335</v>
      </c>
      <c r="O51" s="21" t="n">
        <v>437054.0549</v>
      </c>
      <c r="P51" s="21" t="n">
        <v>467647.8387</v>
      </c>
    </row>
    <row r="52">
      <c r="A52" s="6" t="inlineStr">
        <is>
          <t>Suppliers</t>
        </is>
      </c>
      <c r="B52" s="21" t="n">
        <v>4239.5596</v>
      </c>
      <c r="C52" s="21" t="n">
        <v>5460.5527</v>
      </c>
      <c r="D52" s="21" t="n">
        <v>6755.5228</v>
      </c>
      <c r="E52" s="21" t="n">
        <v>8133.6494</v>
      </c>
      <c r="F52" s="21" t="n">
        <v>9616.820400000001</v>
      </c>
      <c r="G52" s="21" t="n">
        <v>11216.0977</v>
      </c>
      <c r="H52" s="21" t="n">
        <v>12901.3163</v>
      </c>
      <c r="I52" s="21" t="n">
        <v>14632.673</v>
      </c>
      <c r="J52" s="21" t="n">
        <v>16361.5233</v>
      </c>
      <c r="K52" s="21" t="n">
        <v>18032.0348</v>
      </c>
      <c r="L52" s="21" t="n">
        <v>19583.6914</v>
      </c>
      <c r="M52" s="21" t="n">
        <v>20954.5498</v>
      </c>
      <c r="N52" s="21" t="n">
        <v>22421.3683</v>
      </c>
      <c r="O52" s="21" t="n">
        <v>23990.8641</v>
      </c>
      <c r="P52" s="21" t="n">
        <v>25670.2246</v>
      </c>
    </row>
    <row r="53">
      <c r="A53" s="6" t="inlineStr">
        <is>
          <t>Other creditors</t>
        </is>
      </c>
      <c r="B53" s="21" t="n">
        <v>5703.6386</v>
      </c>
      <c r="C53" s="21" t="n">
        <v>7346.2865</v>
      </c>
      <c r="D53" s="21" t="n">
        <v>9088.4584</v>
      </c>
      <c r="E53" s="21" t="n">
        <v>10942.5039</v>
      </c>
      <c r="F53" s="21" t="n">
        <v>12937.8695</v>
      </c>
      <c r="G53" s="21" t="n">
        <v>15089.4372</v>
      </c>
      <c r="H53" s="21" t="n">
        <v>17356.6251</v>
      </c>
      <c r="I53" s="21" t="n">
        <v>19685.8842</v>
      </c>
      <c r="J53" s="21" t="n">
        <v>22011.7714</v>
      </c>
      <c r="K53" s="21" t="n">
        <v>24259.1733</v>
      </c>
      <c r="L53" s="21" t="n">
        <v>26346.6752</v>
      </c>
      <c r="M53" s="21" t="n">
        <v>28190.9424</v>
      </c>
      <c r="N53" s="21" t="n">
        <v>30164.3084</v>
      </c>
      <c r="O53" s="21" t="n">
        <v>32275.81</v>
      </c>
      <c r="P53" s="21" t="n">
        <v>34535.1167</v>
      </c>
    </row>
    <row r="54">
      <c r="A54" s="6" t="inlineStr">
        <is>
          <t>Cheques under collection</t>
        </is>
      </c>
      <c r="B54" s="21" t="n">
        <v>2732.4947</v>
      </c>
      <c r="C54" s="21" t="n">
        <v>3519.4532</v>
      </c>
      <c r="D54" s="21" t="n">
        <v>4354.0915</v>
      </c>
      <c r="E54" s="21" t="n">
        <v>5242.3261</v>
      </c>
      <c r="F54" s="21" t="n">
        <v>6198.2643</v>
      </c>
      <c r="G54" s="21" t="n">
        <v>7229.0357</v>
      </c>
      <c r="H54" s="21" t="n">
        <v>8315.1983</v>
      </c>
      <c r="I54" s="21" t="n">
        <v>9431.097900000001</v>
      </c>
      <c r="J54" s="21" t="n">
        <v>10545.3821</v>
      </c>
      <c r="K54" s="21" t="n">
        <v>11622.0656</v>
      </c>
      <c r="L54" s="21" t="n">
        <v>12622.1444</v>
      </c>
      <c r="M54" s="21" t="n">
        <v>13505.6945</v>
      </c>
      <c r="N54" s="21" t="n">
        <v>14451.0931</v>
      </c>
      <c r="O54" s="21" t="n">
        <v>15462.6696</v>
      </c>
      <c r="P54" s="21" t="n">
        <v>16545.0565</v>
      </c>
    </row>
    <row r="55">
      <c r="A55" s="6" t="inlineStr">
        <is>
          <t>Borrowings</t>
        </is>
      </c>
      <c r="B55" s="21" t="n">
        <v>33552.7</v>
      </c>
      <c r="C55" s="21" t="n">
        <v>46740.7988</v>
      </c>
      <c r="D55" s="21" t="n">
        <v>62173.4549</v>
      </c>
      <c r="E55" s="21" t="n">
        <v>77261.74099999999</v>
      </c>
      <c r="F55" s="21" t="n">
        <v>92233.9633</v>
      </c>
      <c r="G55" s="21" t="n">
        <v>107127.5093</v>
      </c>
      <c r="H55" s="21" t="n">
        <v>121342.1882</v>
      </c>
      <c r="I55" s="21" t="n">
        <v>134169.282</v>
      </c>
      <c r="J55" s="21" t="n">
        <v>144815.5481</v>
      </c>
      <c r="K55" s="21" t="n">
        <v>152439.1727</v>
      </c>
      <c r="L55" s="21" t="n">
        <v>156196.5667</v>
      </c>
      <c r="M55" s="21" t="n">
        <v>156196.5667</v>
      </c>
      <c r="N55" s="21" t="n">
        <v>156196.5667</v>
      </c>
      <c r="O55" s="21" t="n">
        <v>156196.5667</v>
      </c>
      <c r="P55" s="21" t="n">
        <v>156196.5667</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162537.4555</v>
      </c>
      <c r="C57" s="22" t="n">
        <v>201619.6215</v>
      </c>
      <c r="D57" s="22" t="n">
        <v>244515.2016</v>
      </c>
      <c r="E57" s="22" t="n">
        <v>288829.9449</v>
      </c>
      <c r="F57" s="22" t="n">
        <v>335256.3393</v>
      </c>
      <c r="G57" s="22" t="n">
        <v>384066.3672</v>
      </c>
      <c r="H57" s="22" t="n">
        <v>434020.1208</v>
      </c>
      <c r="I57" s="22" t="n">
        <v>483564.755</v>
      </c>
      <c r="J57" s="22" t="n">
        <v>530875.4086</v>
      </c>
      <c r="K57" s="22" t="n">
        <v>573926.2078</v>
      </c>
      <c r="L57" s="22" t="n">
        <v>610590.1747</v>
      </c>
      <c r="M57" s="22" t="n">
        <v>639662.4913</v>
      </c>
      <c r="N57" s="22" t="n">
        <v>670769.87</v>
      </c>
      <c r="O57" s="22" t="n">
        <v>704054.7652</v>
      </c>
      <c r="P57" s="22" t="n">
        <v>739669.6030999999</v>
      </c>
    </row>
    <row r="58">
      <c r="A58" s="6" t="inlineStr">
        <is>
          <t>Shareholders' funds</t>
        </is>
      </c>
      <c r="B58" s="21" t="n">
        <v>21427.689</v>
      </c>
      <c r="C58" s="21" t="n">
        <v>25603.364</v>
      </c>
      <c r="D58" s="21" t="n">
        <v>31384.5416</v>
      </c>
      <c r="E58" s="21" t="n">
        <v>38874.3191</v>
      </c>
      <c r="F58" s="21" t="n">
        <v>48202.9305</v>
      </c>
      <c r="G58" s="21" t="n">
        <v>59514.324</v>
      </c>
      <c r="H58" s="21" t="n">
        <v>72915.05</v>
      </c>
      <c r="I58" s="21" t="n">
        <v>88462.3101</v>
      </c>
      <c r="J58" s="21" t="n">
        <v>106152.9969</v>
      </c>
      <c r="K58" s="21" t="n">
        <v>125914.7823</v>
      </c>
      <c r="L58" s="21" t="n">
        <v>147600.3098</v>
      </c>
      <c r="M58" s="21" t="n">
        <v>170985.4262</v>
      </c>
      <c r="N58" s="21" t="n">
        <v>196189.1025</v>
      </c>
      <c r="O58" s="21" t="n">
        <v>223338.6381</v>
      </c>
      <c r="P58" s="21" t="n">
        <v>252570.2431</v>
      </c>
    </row>
    <row r="59">
      <c r="A59" s="4" t="inlineStr">
        <is>
          <t>TOTAL LIABILITIES AND EQUITY</t>
        </is>
      </c>
      <c r="B59" s="22" t="n">
        <v>183965.1445</v>
      </c>
      <c r="C59" s="22" t="n">
        <v>227222.9855</v>
      </c>
      <c r="D59" s="22" t="n">
        <v>275899.7431</v>
      </c>
      <c r="E59" s="22" t="n">
        <v>327704.264</v>
      </c>
      <c r="F59" s="22" t="n">
        <v>383459.2698</v>
      </c>
      <c r="G59" s="22" t="n">
        <v>443580.6913</v>
      </c>
      <c r="H59" s="22" t="n">
        <v>506935.1708</v>
      </c>
      <c r="I59" s="22" t="n">
        <v>572027.0651</v>
      </c>
      <c r="J59" s="22" t="n">
        <v>637028.4056000001</v>
      </c>
      <c r="K59" s="22" t="n">
        <v>699840.9901000001</v>
      </c>
      <c r="L59" s="22" t="n">
        <v>758190.4845</v>
      </c>
      <c r="M59" s="22" t="n">
        <v>810647.9174</v>
      </c>
      <c r="N59" s="22" t="n">
        <v>866958.9725</v>
      </c>
      <c r="O59" s="22" t="n">
        <v>927393.4033</v>
      </c>
      <c r="P59" s="22" t="n">
        <v>992239.8462</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274.5478</v>
      </c>
      <c r="C62" s="21" t="n">
        <v>274.5478</v>
      </c>
      <c r="D62" s="21" t="n">
        <v>274.5478</v>
      </c>
      <c r="E62" s="21" t="n">
        <v>274.5478</v>
      </c>
      <c r="F62" s="21" t="n">
        <v>274.5478</v>
      </c>
      <c r="G62" s="21" t="n">
        <v>274.5478</v>
      </c>
      <c r="H62" s="21" t="n">
        <v>274.5478</v>
      </c>
      <c r="I62" s="21" t="n">
        <v>274.5478</v>
      </c>
      <c r="J62" s="21" t="n">
        <v>274.5478</v>
      </c>
      <c r="K62" s="21" t="n">
        <v>274.5478</v>
      </c>
      <c r="L62" s="21" t="n">
        <v>274.5478</v>
      </c>
      <c r="M62" s="21" t="n">
        <v>274.5478</v>
      </c>
      <c r="N62" s="21" t="n">
        <v>274.5478</v>
      </c>
      <c r="O62" s="21" t="n">
        <v>274.5478</v>
      </c>
      <c r="P62" s="21" t="n">
        <v>274.5478</v>
      </c>
    </row>
    <row r="63">
      <c r="A63" s="6" t="inlineStr">
        <is>
          <t>Suppliers, days of cost</t>
        </is>
      </c>
      <c r="B63" s="21" t="n">
        <v>59.4849</v>
      </c>
      <c r="C63" s="21" t="n">
        <v>59.4849</v>
      </c>
      <c r="D63" s="21" t="n">
        <v>59.4849</v>
      </c>
      <c r="E63" s="21" t="n">
        <v>59.4849</v>
      </c>
      <c r="F63" s="21" t="n">
        <v>59.4849</v>
      </c>
      <c r="G63" s="21" t="n">
        <v>59.4849</v>
      </c>
      <c r="H63" s="21" t="n">
        <v>59.4849</v>
      </c>
      <c r="I63" s="21" t="n">
        <v>59.4849</v>
      </c>
      <c r="J63" s="21" t="n">
        <v>59.4849</v>
      </c>
      <c r="K63" s="21" t="n">
        <v>59.4849</v>
      </c>
      <c r="L63" s="21" t="n">
        <v>59.4849</v>
      </c>
      <c r="M63" s="21" t="n">
        <v>59.4849</v>
      </c>
      <c r="N63" s="21" t="n">
        <v>59.4849</v>
      </c>
      <c r="O63" s="21" t="n">
        <v>59.4849</v>
      </c>
      <c r="P63" s="21" t="n">
        <v>59.4849</v>
      </c>
    </row>
    <row r="64">
      <c r="A64" s="6" t="inlineStr">
        <is>
          <t>Customer advances, share of the order book</t>
        </is>
      </c>
      <c r="B64" s="17" t="n">
        <v>0.2191</v>
      </c>
      <c r="C64" s="17" t="n">
        <v>0.2231</v>
      </c>
      <c r="D64" s="17" t="n">
        <v>0.2279</v>
      </c>
      <c r="E64" s="17" t="n">
        <v>0.2341</v>
      </c>
      <c r="F64" s="17" t="n">
        <v>0.2421</v>
      </c>
      <c r="G64" s="17" t="n">
        <v>0.2516</v>
      </c>
      <c r="H64" s="17" t="n">
        <v>0.2617</v>
      </c>
      <c r="I64" s="17" t="n">
        <v>0.2714</v>
      </c>
      <c r="J64" s="17" t="n">
        <v>0.2798</v>
      </c>
      <c r="K64" s="17" t="n">
        <v>0.2857</v>
      </c>
      <c r="L64" s="17" t="n">
        <v>0.2884</v>
      </c>
      <c r="M64" s="17" t="n">
        <v>0.287</v>
      </c>
      <c r="N64" s="17" t="n">
        <v>0.2856</v>
      </c>
      <c r="O64" s="17" t="n">
        <v>0.2843</v>
      </c>
      <c r="P64" s="17" t="n">
        <v>0.2831</v>
      </c>
    </row>
    <row r="65">
      <c r="A65" s="6" t="inlineStr">
        <is>
          <t>Net working capital</t>
        </is>
      </c>
      <c r="B65" s="21" t="n">
        <v>69404.83070000001</v>
      </c>
      <c r="C65" s="21" t="n">
        <v>89393.4219</v>
      </c>
      <c r="D65" s="21" t="n">
        <v>110593.0719</v>
      </c>
      <c r="E65" s="21" t="n">
        <v>133154.0586</v>
      </c>
      <c r="F65" s="21" t="n">
        <v>157434.7012</v>
      </c>
      <c r="G65" s="21" t="n">
        <v>183616.092</v>
      </c>
      <c r="H65" s="21" t="n">
        <v>211204.4098</v>
      </c>
      <c r="I65" s="21" t="n">
        <v>239548.0416</v>
      </c>
      <c r="J65" s="21" t="n">
        <v>267850.6428</v>
      </c>
      <c r="K65" s="21" t="n">
        <v>295198.1934</v>
      </c>
      <c r="L65" s="21" t="n">
        <v>320599.9979</v>
      </c>
      <c r="M65" s="21" t="n">
        <v>343041.9978</v>
      </c>
      <c r="N65" s="21" t="n">
        <v>367054.9376</v>
      </c>
      <c r="O65" s="21" t="n">
        <v>392748.7833</v>
      </c>
      <c r="P65" s="21" t="n">
        <v>420241.1981</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2661.889</v>
      </c>
      <c r="C6" s="21" t="n">
        <v>4175.675</v>
      </c>
      <c r="D6" s="21" t="n">
        <v>5781.1776</v>
      </c>
      <c r="E6" s="21" t="n">
        <v>7489.7775</v>
      </c>
      <c r="F6" s="21" t="n">
        <v>9328.6114</v>
      </c>
      <c r="G6" s="21" t="n">
        <v>11311.3936</v>
      </c>
      <c r="H6" s="21" t="n">
        <v>13400.7259</v>
      </c>
      <c r="I6" s="21" t="n">
        <v>15547.2601</v>
      </c>
      <c r="J6" s="21" t="n">
        <v>17690.6869</v>
      </c>
      <c r="K6" s="21" t="n">
        <v>19761.7853</v>
      </c>
      <c r="L6" s="21" t="n">
        <v>21685.5275</v>
      </c>
      <c r="M6" s="21" t="n">
        <v>23385.1163</v>
      </c>
      <c r="N6" s="21" t="n">
        <v>25203.6764</v>
      </c>
      <c r="O6" s="21" t="n">
        <v>27149.5356</v>
      </c>
      <c r="P6" s="21" t="n">
        <v>29231.6049</v>
      </c>
    </row>
    <row r="7">
      <c r="A7" s="6" t="inlineStr">
        <is>
          <t>Depreciation and amortisation</t>
        </is>
      </c>
      <c r="B7" s="21" t="n">
        <v>393.8882</v>
      </c>
      <c r="C7" s="21" t="n">
        <v>507.3279</v>
      </c>
      <c r="D7" s="21" t="n">
        <v>627.6408</v>
      </c>
      <c r="E7" s="21" t="n">
        <v>755.6795</v>
      </c>
      <c r="F7" s="21" t="n">
        <v>893.4776000000001</v>
      </c>
      <c r="G7" s="21" t="n">
        <v>1042.063</v>
      </c>
      <c r="H7" s="21" t="n">
        <v>1198.6329</v>
      </c>
      <c r="I7" s="21" t="n">
        <v>1359.4895</v>
      </c>
      <c r="J7" s="21" t="n">
        <v>1520.1132</v>
      </c>
      <c r="K7" s="21" t="n">
        <v>1675.3167</v>
      </c>
      <c r="L7" s="21" t="n">
        <v>1819.4777</v>
      </c>
      <c r="M7" s="21" t="n">
        <v>1946.8412</v>
      </c>
      <c r="N7" s="21" t="n">
        <v>2083.12</v>
      </c>
      <c r="O7" s="21" t="n">
        <v>2228.9384</v>
      </c>
      <c r="P7" s="21" t="n">
        <v>2384.9641</v>
      </c>
    </row>
    <row r="8">
      <c r="A8" s="6" t="inlineStr">
        <is>
          <t>Change in working capital, cash effect</t>
        </is>
      </c>
      <c r="B8" s="21" t="n">
        <v>453.9937</v>
      </c>
      <c r="C8" s="21" t="n">
        <v>-162.4181</v>
      </c>
      <c r="D8" s="21" t="n">
        <v>-816.1768</v>
      </c>
      <c r="E8" s="21" t="n">
        <v>-1511.9166</v>
      </c>
      <c r="F8" s="21" t="n">
        <v>-2260.6874</v>
      </c>
      <c r="G8" s="21" t="n">
        <v>-3068.0739</v>
      </c>
      <c r="H8" s="21" t="n">
        <v>-3918.8475</v>
      </c>
      <c r="I8" s="21" t="n">
        <v>-4792.9136</v>
      </c>
      <c r="J8" s="21" t="n">
        <v>-5665.7143</v>
      </c>
      <c r="K8" s="21" t="n">
        <v>-6509.063</v>
      </c>
      <c r="L8" s="21" t="n">
        <v>-7292.4085</v>
      </c>
      <c r="M8" s="21" t="n">
        <v>-7984.479</v>
      </c>
      <c r="N8" s="21" t="n">
        <v>-8724.9944</v>
      </c>
      <c r="O8" s="21" t="n">
        <v>-9517.3459</v>
      </c>
      <c r="P8" s="21" t="n">
        <v>-10365.162</v>
      </c>
    </row>
    <row r="9">
      <c r="A9" s="4" t="inlineStr">
        <is>
          <t>Cash from operations</t>
        </is>
      </c>
      <c r="B9" s="22" t="n">
        <v>3509.7709</v>
      </c>
      <c r="C9" s="22" t="n">
        <v>4520.5849</v>
      </c>
      <c r="D9" s="22" t="n">
        <v>5592.6416</v>
      </c>
      <c r="E9" s="22" t="n">
        <v>6733.5405</v>
      </c>
      <c r="F9" s="22" t="n">
        <v>7961.4016</v>
      </c>
      <c r="G9" s="22" t="n">
        <v>9285.382600000001</v>
      </c>
      <c r="H9" s="22" t="n">
        <v>10680.5114</v>
      </c>
      <c r="I9" s="22" t="n">
        <v>12113.836</v>
      </c>
      <c r="J9" s="22" t="n">
        <v>13545.0857</v>
      </c>
      <c r="K9" s="22" t="n">
        <v>14928.039</v>
      </c>
      <c r="L9" s="22" t="n">
        <v>16212.5967</v>
      </c>
      <c r="M9" s="22" t="n">
        <v>17347.4785</v>
      </c>
      <c r="N9" s="22" t="n">
        <v>18561.802</v>
      </c>
      <c r="O9" s="22" t="n">
        <v>19861.1281</v>
      </c>
      <c r="P9" s="22" t="n">
        <v>21251.4071</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-402.7893</v>
      </c>
      <c r="C11" s="21" t="n">
        <v>-518.7927</v>
      </c>
      <c r="D11" s="21" t="n">
        <v>-641.8244</v>
      </c>
      <c r="E11" s="21" t="n">
        <v>-772.7565</v>
      </c>
      <c r="F11" s="21" t="n">
        <v>-913.6686999999999</v>
      </c>
      <c r="G11" s="21" t="n">
        <v>-1065.6118</v>
      </c>
      <c r="H11" s="21" t="n">
        <v>-1225.7199</v>
      </c>
      <c r="I11" s="21" t="n">
        <v>-1390.2116</v>
      </c>
      <c r="J11" s="21" t="n">
        <v>-1554.465</v>
      </c>
      <c r="K11" s="21" t="n">
        <v>-1713.1759</v>
      </c>
      <c r="L11" s="21" t="n">
        <v>-1860.5947</v>
      </c>
      <c r="M11" s="21" t="n">
        <v>-1990.8364</v>
      </c>
      <c r="N11" s="21" t="n">
        <v>-2130.1949</v>
      </c>
      <c r="O11" s="21" t="n">
        <v>-2279.3085</v>
      </c>
      <c r="P11" s="21" t="n">
        <v>-2438.8601</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12526.4815</v>
      </c>
      <c r="C14" s="22" t="n">
        <v>16528.2737</v>
      </c>
      <c r="D14" s="22" t="n">
        <v>21479.091</v>
      </c>
      <c r="E14" s="22" t="n">
        <v>27439.8749</v>
      </c>
      <c r="F14" s="22" t="n">
        <v>34487.6078</v>
      </c>
      <c r="G14" s="22" t="n">
        <v>42707.3786</v>
      </c>
      <c r="H14" s="22" t="n">
        <v>52162.1701</v>
      </c>
      <c r="I14" s="22" t="n">
        <v>62885.7945</v>
      </c>
      <c r="J14" s="22" t="n">
        <v>74876.4152</v>
      </c>
      <c r="K14" s="22" t="n">
        <v>88091.27830000001</v>
      </c>
      <c r="L14" s="22" t="n">
        <v>102443.2803</v>
      </c>
      <c r="M14" s="22" t="n">
        <v>117799.9225</v>
      </c>
      <c r="N14" s="22" t="n">
        <v>134231.5296</v>
      </c>
      <c r="O14" s="22" t="n">
        <v>151813.3492</v>
      </c>
      <c r="P14" s="22" t="n">
        <v>170625.8962</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2661.889</v>
      </c>
      <c r="C19" s="21" t="n">
        <v>4175.675</v>
      </c>
      <c r="D19" s="21" t="n">
        <v>5781.1776</v>
      </c>
      <c r="E19" s="21" t="n">
        <v>7489.7775</v>
      </c>
      <c r="F19" s="21" t="n">
        <v>9328.6114</v>
      </c>
      <c r="G19" s="21" t="n">
        <v>11311.3936</v>
      </c>
      <c r="H19" s="21" t="n">
        <v>13400.7259</v>
      </c>
      <c r="I19" s="21" t="n">
        <v>15547.2601</v>
      </c>
      <c r="J19" s="21" t="n">
        <v>17690.6869</v>
      </c>
      <c r="K19" s="21" t="n">
        <v>19761.7853</v>
      </c>
      <c r="L19" s="21" t="n">
        <v>21685.5275</v>
      </c>
      <c r="M19" s="21" t="n">
        <v>23385.1163</v>
      </c>
      <c r="N19" s="21" t="n">
        <v>25203.6764</v>
      </c>
      <c r="O19" s="21" t="n">
        <v>27149.5356</v>
      </c>
      <c r="P19" s="21" t="n">
        <v>29231.6049</v>
      </c>
    </row>
    <row r="20">
      <c r="A20" s="6" t="inlineStr">
        <is>
          <t>Depreciation and amortisation</t>
        </is>
      </c>
      <c r="B20" s="21" t="n">
        <v>393.8882</v>
      </c>
      <c r="C20" s="21" t="n">
        <v>507.3279</v>
      </c>
      <c r="D20" s="21" t="n">
        <v>627.6408</v>
      </c>
      <c r="E20" s="21" t="n">
        <v>755.6795</v>
      </c>
      <c r="F20" s="21" t="n">
        <v>893.4776000000001</v>
      </c>
      <c r="G20" s="21" t="n">
        <v>1042.063</v>
      </c>
      <c r="H20" s="21" t="n">
        <v>1198.6329</v>
      </c>
      <c r="I20" s="21" t="n">
        <v>1359.4895</v>
      </c>
      <c r="J20" s="21" t="n">
        <v>1520.1132</v>
      </c>
      <c r="K20" s="21" t="n">
        <v>1675.3167</v>
      </c>
      <c r="L20" s="21" t="n">
        <v>1819.4777</v>
      </c>
      <c r="M20" s="21" t="n">
        <v>1946.8412</v>
      </c>
      <c r="N20" s="21" t="n">
        <v>2083.12</v>
      </c>
      <c r="O20" s="21" t="n">
        <v>2228.9384</v>
      </c>
      <c r="P20" s="21" t="n">
        <v>2384.9641</v>
      </c>
    </row>
    <row r="21">
      <c r="A21" s="6" t="inlineStr">
        <is>
          <t>Change in working capital, cash effect</t>
        </is>
      </c>
      <c r="B21" s="21" t="n">
        <v>-7081.3307</v>
      </c>
      <c r="C21" s="21" t="n">
        <v>-19988.5912</v>
      </c>
      <c r="D21" s="21" t="n">
        <v>-21199.65</v>
      </c>
      <c r="E21" s="21" t="n">
        <v>-22560.9867</v>
      </c>
      <c r="F21" s="21" t="n">
        <v>-24280.6426</v>
      </c>
      <c r="G21" s="21" t="n">
        <v>-26181.3908</v>
      </c>
      <c r="H21" s="21" t="n">
        <v>-27588.3178</v>
      </c>
      <c r="I21" s="21" t="n">
        <v>-28343.6318</v>
      </c>
      <c r="J21" s="21" t="n">
        <v>-28302.6011</v>
      </c>
      <c r="K21" s="21" t="n">
        <v>-27347.5506</v>
      </c>
      <c r="L21" s="21" t="n">
        <v>-25401.8045</v>
      </c>
      <c r="M21" s="21" t="n">
        <v>-22441.9999</v>
      </c>
      <c r="N21" s="21" t="n">
        <v>-24012.9398</v>
      </c>
      <c r="O21" s="21" t="n">
        <v>-25693.8456</v>
      </c>
      <c r="P21" s="21" t="n">
        <v>-27492.4148</v>
      </c>
    </row>
    <row r="22">
      <c r="A22" s="4" t="inlineStr">
        <is>
          <t>Cash from operations</t>
        </is>
      </c>
      <c r="B22" s="22" t="n">
        <v>-4025.5535</v>
      </c>
      <c r="C22" s="22" t="n">
        <v>-15305.5883</v>
      </c>
      <c r="D22" s="22" t="n">
        <v>-14790.8317</v>
      </c>
      <c r="E22" s="22" t="n">
        <v>-14315.5297</v>
      </c>
      <c r="F22" s="22" t="n">
        <v>-14058.5536</v>
      </c>
      <c r="G22" s="22" t="n">
        <v>-13827.9342</v>
      </c>
      <c r="H22" s="22" t="n">
        <v>-12988.959</v>
      </c>
      <c r="I22" s="22" t="n">
        <v>-11436.8822</v>
      </c>
      <c r="J22" s="22" t="n">
        <v>-9091.801100000001</v>
      </c>
      <c r="K22" s="22" t="n">
        <v>-5910.4486</v>
      </c>
      <c r="L22" s="22" t="n">
        <v>-1896.7993</v>
      </c>
      <c r="M22" s="22" t="n">
        <v>2889.9576</v>
      </c>
      <c r="N22" s="22" t="n">
        <v>3273.8566</v>
      </c>
      <c r="O22" s="22" t="n">
        <v>3684.6284</v>
      </c>
      <c r="P22" s="22" t="n">
        <v>4124.1542</v>
      </c>
    </row>
    <row r="23">
      <c r="A23" s="6" t="inlineStr">
        <is>
          <t xml:space="preserve">  as a share of revenue</t>
        </is>
      </c>
      <c r="B23" s="17" t="n">
        <v>-0.0999</v>
      </c>
      <c r="C23" s="17" t="n">
        <v>-0.295</v>
      </c>
      <c r="D23" s="17" t="n">
        <v>-0.2304</v>
      </c>
      <c r="E23" s="17" t="n">
        <v>-0.1853</v>
      </c>
      <c r="F23" s="17" t="n">
        <v>-0.1539</v>
      </c>
      <c r="G23" s="17" t="n">
        <v>-0.1298</v>
      </c>
      <c r="H23" s="17" t="n">
        <v>-0.106</v>
      </c>
      <c r="I23" s="17" t="n">
        <v>-0.0823</v>
      </c>
      <c r="J23" s="17" t="n">
        <v>-0.0585</v>
      </c>
      <c r="K23" s="17" t="n">
        <v>-0.0345</v>
      </c>
      <c r="L23" s="17" t="n">
        <v>-0.0102</v>
      </c>
      <c r="M23" s="17" t="n">
        <v>0.0145</v>
      </c>
      <c r="N23" s="17" t="n">
        <v>0.0154</v>
      </c>
      <c r="O23" s="17" t="n">
        <v>0.0162</v>
      </c>
      <c r="P23" s="17" t="n">
        <v>0.0169</v>
      </c>
    </row>
    <row r="24">
      <c r="A24" s="6" t="inlineStr">
        <is>
          <t>Capital expenditure</t>
        </is>
      </c>
      <c r="B24" s="21" t="n">
        <v>-402.7893</v>
      </c>
      <c r="C24" s="21" t="n">
        <v>-518.7927</v>
      </c>
      <c r="D24" s="21" t="n">
        <v>-641.8244</v>
      </c>
      <c r="E24" s="21" t="n">
        <v>-772.7565</v>
      </c>
      <c r="F24" s="21" t="n">
        <v>-913.6686999999999</v>
      </c>
      <c r="G24" s="21" t="n">
        <v>-1065.6118</v>
      </c>
      <c r="H24" s="21" t="n">
        <v>-1225.7199</v>
      </c>
      <c r="I24" s="21" t="n">
        <v>-1390.2116</v>
      </c>
      <c r="J24" s="21" t="n">
        <v>-1554.465</v>
      </c>
      <c r="K24" s="21" t="n">
        <v>-1713.1759</v>
      </c>
      <c r="L24" s="21" t="n">
        <v>-1860.5947</v>
      </c>
      <c r="M24" s="21" t="n">
        <v>-1990.8364</v>
      </c>
      <c r="N24" s="21" t="n">
        <v>-2130.1949</v>
      </c>
      <c r="O24" s="21" t="n">
        <v>-2279.3085</v>
      </c>
      <c r="P24" s="21" t="n">
        <v>-2438.8601</v>
      </c>
    </row>
    <row r="25">
      <c r="A25" s="6" t="inlineStr">
        <is>
          <t>New borrowing drawn</t>
        </is>
      </c>
      <c r="B25" s="21" t="n">
        <v>0</v>
      </c>
      <c r="C25" s="21" t="n">
        <v>13188.0988</v>
      </c>
      <c r="D25" s="21" t="n">
        <v>15432.656</v>
      </c>
      <c r="E25" s="21" t="n">
        <v>15088.2862</v>
      </c>
      <c r="F25" s="21" t="n">
        <v>14972.2223</v>
      </c>
      <c r="G25" s="21" t="n">
        <v>14893.546</v>
      </c>
      <c r="H25" s="21" t="n">
        <v>14214.6789</v>
      </c>
      <c r="I25" s="21" t="n">
        <v>12827.0938</v>
      </c>
      <c r="J25" s="21" t="n">
        <v>10646.2661</v>
      </c>
      <c r="K25" s="21" t="n">
        <v>7623.6245</v>
      </c>
      <c r="L25" s="21" t="n">
        <v>3757.394</v>
      </c>
      <c r="M25" s="21" t="n">
        <v>0</v>
      </c>
      <c r="N25" s="21" t="n">
        <v>0</v>
      </c>
      <c r="O25" s="21" t="n">
        <v>0</v>
      </c>
      <c r="P25" s="21" t="n">
        <v>0</v>
      </c>
    </row>
    <row r="26">
      <c r="A26" s="6" t="inlineStr">
        <is>
          <t>Cash from financing</t>
        </is>
      </c>
      <c r="B26" s="21" t="n">
        <v>0</v>
      </c>
      <c r="C26" s="21" t="n">
        <v>13188.0988</v>
      </c>
      <c r="D26" s="21" t="n">
        <v>15432.656</v>
      </c>
      <c r="E26" s="21" t="n">
        <v>15088.2862</v>
      </c>
      <c r="F26" s="21" t="n">
        <v>14972.2223</v>
      </c>
      <c r="G26" s="21" t="n">
        <v>14893.546</v>
      </c>
      <c r="H26" s="21" t="n">
        <v>14214.6789</v>
      </c>
      <c r="I26" s="21" t="n">
        <v>12827.0938</v>
      </c>
      <c r="J26" s="21" t="n">
        <v>10646.2661</v>
      </c>
      <c r="K26" s="21" t="n">
        <v>7623.6245</v>
      </c>
      <c r="L26" s="21" t="n">
        <v>3757.394</v>
      </c>
      <c r="M26" s="21" t="n">
        <v>0</v>
      </c>
      <c r="N26" s="21" t="n">
        <v>0</v>
      </c>
      <c r="O26" s="21" t="n">
        <v>0</v>
      </c>
      <c r="P26" s="21" t="n">
        <v>0</v>
      </c>
    </row>
    <row r="27">
      <c r="A27" s="4" t="inlineStr">
        <is>
          <t>Closing cash</t>
        </is>
      </c>
      <c r="B27" s="22" t="n">
        <v>4991.1571</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3253.9963</v>
      </c>
      <c r="N27" s="22" t="n">
        <v>4397.6579</v>
      </c>
      <c r="O27" s="22" t="n">
        <v>5802.9778</v>
      </c>
      <c r="P27" s="22" t="n">
        <v>7488.2719</v>
      </c>
    </row>
    <row r="28">
      <c r="A28" s="6" t="inlineStr">
        <is>
          <t>Cumulative new borrowing</t>
        </is>
      </c>
      <c r="B28" s="21" t="n">
        <v>0</v>
      </c>
      <c r="C28" s="21" t="n">
        <v>13188.0988</v>
      </c>
      <c r="D28" s="21" t="n">
        <v>28620.7549</v>
      </c>
      <c r="E28" s="21" t="n">
        <v>43709.041</v>
      </c>
      <c r="F28" s="21" t="n">
        <v>58681.2633</v>
      </c>
      <c r="G28" s="21" t="n">
        <v>73574.80929999999</v>
      </c>
      <c r="H28" s="21" t="n">
        <v>87789.48820000001</v>
      </c>
      <c r="I28" s="21" t="n">
        <v>100616.582</v>
      </c>
      <c r="J28" s="21" t="n">
        <v>111262.8481</v>
      </c>
      <c r="K28" s="21" t="n">
        <v>118886.4727</v>
      </c>
      <c r="L28" s="21" t="n">
        <v>122643.8667</v>
      </c>
      <c r="M28" s="21" t="n">
        <v>122643.8667</v>
      </c>
      <c r="N28" s="21" t="n">
        <v>122643.8667</v>
      </c>
      <c r="O28" s="21" t="n">
        <v>122643.8667</v>
      </c>
      <c r="P28" s="21" t="n">
        <v>122643.8667</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B13/B5</f>
        <v/>
      </c>
      <c r="C14" s="17">
        <f>C13/C5</f>
        <v/>
      </c>
      <c r="D14" s="17">
        <f>D13/D5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20.68</v>
      </c>
      <c r="C5" s="7" t="n">
        <v>11.96</v>
      </c>
      <c r="D5" s="7" t="n">
        <v>7.58</v>
      </c>
      <c r="E5" s="7" t="n">
        <v>4.94</v>
      </c>
      <c r="F5" s="7" t="n">
        <v>3.17</v>
      </c>
    </row>
    <row r="6">
      <c r="A6" s="20" t="n">
        <v>0.06</v>
      </c>
      <c r="B6" s="7" t="n">
        <v>32.99</v>
      </c>
      <c r="C6" s="7" t="n">
        <v>19.87</v>
      </c>
      <c r="D6" s="7" t="n">
        <v>13.32</v>
      </c>
      <c r="E6" s="7" t="n">
        <v>9.4</v>
      </c>
      <c r="F6" s="7" t="n">
        <v>6.79</v>
      </c>
    </row>
    <row r="7">
      <c r="A7" s="20" t="n">
        <v>0.08713663734609707</v>
      </c>
      <c r="B7" s="7" t="n">
        <v>49.19</v>
      </c>
      <c r="C7" s="7" t="n">
        <v>30.28</v>
      </c>
      <c r="D7" s="7" t="n">
        <v>20.88</v>
      </c>
      <c r="E7" s="7" t="n">
        <v>15.27</v>
      </c>
      <c r="F7" s="7" t="n">
        <v>11.55</v>
      </c>
    </row>
    <row r="8">
      <c r="A8" s="20" t="n">
        <v>0.12</v>
      </c>
      <c r="B8" s="7" t="n">
        <v>68.8</v>
      </c>
      <c r="C8" s="7" t="n">
        <v>42.89</v>
      </c>
      <c r="D8" s="7" t="n">
        <v>30.04</v>
      </c>
      <c r="E8" s="7" t="n">
        <v>22.38</v>
      </c>
      <c r="F8" s="7" t="n">
        <v>17.32</v>
      </c>
    </row>
    <row r="9">
      <c r="A9" s="20" t="n">
        <v>0.1787001284632628</v>
      </c>
      <c r="B9" s="7" t="n">
        <v>103.84</v>
      </c>
      <c r="C9" s="7" t="n">
        <v>65.41</v>
      </c>
      <c r="D9" s="7" t="n">
        <v>46.39</v>
      </c>
      <c r="E9" s="7" t="n">
        <v>35.08</v>
      </c>
      <c r="F9" s="7" t="n">
        <v>27.62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2026-09-17T20:27:59Z</dcterms:created>
  <dcterms:modified xmlns:dcterms="http://purl.org/dc/terms/" xmlns:xsi="http://www.w3.org/2001/XMLSchema-instance" xsi:type="dcterms:W3CDTF">2026-09-17T20:27:59Z</dcterms:modified>
</cp:coreProperties>
</file>