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2"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3" fontId="5"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0" fontId="4" fillId="2" borderId="0" pivotButton="0" quotePrefix="0" xfId="0"/>
    <xf numFmtId="165" fontId="6" fillId="0" borderId="0" pivotButton="0" quotePrefix="0" xfId="0"/>
    <xf numFmtId="0" fontId="3" fillId="2" borderId="0" pivotButton="0" quotePrefix="0" xfId="0"/>
    <xf numFmtId="167"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30 August 2026. Supersedes 11 June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2.85</v>
      </c>
      <c r="C5" s="7" t="n">
        <v>14.86</v>
      </c>
      <c r="D5" s="7" t="n">
        <v>38.75</v>
      </c>
      <c r="E5" s="7" t="n">
        <v>0.45</v>
      </c>
    </row>
    <row r="6">
      <c r="A6" s="6" t="inlineStr">
        <is>
          <t>Book value of equity</t>
        </is>
      </c>
      <c r="B6" s="7" t="n">
        <v>5.91</v>
      </c>
      <c r="C6" s="7" t="n">
        <v>6.56</v>
      </c>
      <c r="D6" s="7" t="n">
        <v>8.529999999999999</v>
      </c>
      <c r="E6" s="7" t="n">
        <v>0.15</v>
      </c>
    </row>
    <row r="7">
      <c r="A7" s="6" t="inlineStr">
        <is>
          <t>Earnings multiple on own history</t>
        </is>
      </c>
      <c r="B7" s="7" t="n">
        <v>7.45</v>
      </c>
      <c r="C7" s="7" t="n">
        <v>11.17</v>
      </c>
      <c r="D7" s="7" t="n">
        <v>17.37</v>
      </c>
      <c r="E7" s="7" t="n">
        <v>0.2</v>
      </c>
    </row>
    <row r="8">
      <c r="A8" s="6" t="inlineStr">
        <is>
          <t>Normalised earnings power</t>
        </is>
      </c>
      <c r="B8" s="7" t="n">
        <v>4.72</v>
      </c>
      <c r="C8" s="7" t="n">
        <v>5.17</v>
      </c>
      <c r="D8" s="7" t="n">
        <v>5.72</v>
      </c>
      <c r="E8" s="7" t="n">
        <v>0.2</v>
      </c>
    </row>
    <row r="9">
      <c r="A9" s="4" t="inlineStr">
        <is>
          <t>Weighted central</t>
        </is>
      </c>
      <c r="B9" s="7" t="n">
        <v>4.6</v>
      </c>
      <c r="C9" s="7" t="n">
        <v>10.94</v>
      </c>
      <c r="D9" s="7" t="n">
        <v>23.33</v>
      </c>
      <c r="E9" s="7" t="n">
        <v>1</v>
      </c>
    </row>
    <row r="11">
      <c r="A11" s="4" t="inlineStr">
        <is>
          <t>Valuation</t>
        </is>
      </c>
      <c r="B11" s="5" t="inlineStr">
        <is>
          <t>Per share (EGP)</t>
        </is>
      </c>
      <c r="C11" s="5" t="inlineStr">
        <is>
          <t>Equity (EGP mn)</t>
        </is>
      </c>
      <c r="D11" s="5" t="inlineStr">
        <is>
          <t>Enterprise value</t>
        </is>
      </c>
    </row>
    <row r="12">
      <c r="A12" s="6" t="inlineStr">
        <is>
          <t>Weak cash conversion (3.9%)</t>
        </is>
      </c>
      <c r="B12" s="7" t="n">
        <v>9.17</v>
      </c>
      <c r="C12" s="7" t="n">
        <v>26215</v>
      </c>
      <c r="D12" s="7" t="n">
        <v>45704</v>
      </c>
    </row>
    <row r="13">
      <c r="A13" s="6" t="inlineStr">
        <is>
          <t>Average cash conversion (8.7%)</t>
        </is>
      </c>
      <c r="B13" s="7" t="n">
        <v>19.3</v>
      </c>
      <c r="C13" s="7" t="n">
        <v>55208</v>
      </c>
      <c r="D13" s="7" t="n">
        <v>74697</v>
      </c>
    </row>
    <row r="14">
      <c r="A14" s="6" t="inlineStr">
        <is>
          <t>Strong cash conversion (17.9%)</t>
        </is>
      </c>
      <c r="B14" s="7" t="n">
        <v>38.74</v>
      </c>
      <c r="C14" s="7" t="n">
        <v>110792</v>
      </c>
      <c r="D14" s="7" t="n">
        <v>130281</v>
      </c>
    </row>
    <row r="15">
      <c r="A15" s="6" t="inlineStr">
        <is>
          <t>Average, alternative country-risk basis</t>
        </is>
      </c>
      <c r="B15" s="7" t="n">
        <v>21.44</v>
      </c>
      <c r="C15" s="7" t="n">
        <v>61314</v>
      </c>
      <c r="D15" s="7" t="n">
        <v>80803</v>
      </c>
    </row>
    <row r="17">
      <c r="A17" s="6" t="inlineStr">
        <is>
          <t>Market price, 23 Aug 2026</t>
        </is>
      </c>
      <c r="B17" s="8" t="n">
        <v>15.2</v>
      </c>
    </row>
    <row r="18">
      <c r="A18" s="6" t="inlineStr">
        <is>
          <t>Book value of equity per share</t>
        </is>
      </c>
      <c r="B18" s="7" t="n">
        <v>6.56</v>
      </c>
    </row>
    <row r="19">
      <c r="A19" s="6" t="inlineStr">
        <is>
          <t>Cash conversion implied by the market price</t>
        </is>
      </c>
      <c r="B19" s="9" t="n">
        <v>0.0678</v>
      </c>
    </row>
    <row r="21">
      <c r="A21" s="4" t="inlineStr">
        <is>
          <t>Cost of capital</t>
        </is>
      </c>
    </row>
    <row r="22">
      <c r="A22" s="6" t="inlineStr">
        <is>
          <t>Weighted average, rating basis</t>
        </is>
      </c>
      <c r="B22" s="9" t="n">
        <v>0.2625000851091698</v>
      </c>
    </row>
    <row r="23">
      <c r="A23" s="6" t="inlineStr">
        <is>
          <t>Weighted average, swap basis</t>
        </is>
      </c>
      <c r="B23" s="9" t="n">
        <v>0.2523786184712106</v>
      </c>
    </row>
    <row r="24">
      <c r="A24" s="6" t="inlineStr">
        <is>
          <t>Previous edition used</t>
        </is>
      </c>
      <c r="B24"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ten years</t>
        </is>
      </c>
      <c r="B4" s="10" t="n">
        <v>49459.8</v>
      </c>
    </row>
    <row r="5">
      <c r="A5" s="6" t="inlineStr">
        <is>
          <t>Present value of the terminal value</t>
        </is>
      </c>
      <c r="B5" s="10" t="n">
        <v>25237.2</v>
      </c>
    </row>
    <row r="6">
      <c r="A6" s="4" t="inlineStr">
        <is>
          <t>Enterprise value</t>
        </is>
      </c>
      <c r="B6" s="10">
        <f>B4+B5</f>
        <v/>
      </c>
    </row>
    <row r="7">
      <c r="A7" s="6" t="inlineStr">
        <is>
          <t>less net debt</t>
        </is>
      </c>
      <c r="B7" s="10">
        <f>-Assumptions!B13</f>
        <v/>
      </c>
    </row>
    <row r="8">
      <c r="A8" s="6" t="inlineStr">
        <is>
          <t>plus investments in associates</t>
        </is>
      </c>
      <c r="B8" s="10">
        <f>Assumptions!B14</f>
        <v/>
      </c>
    </row>
    <row r="9">
      <c r="A9" s="6" t="inlineStr">
        <is>
          <t>plus investment property</t>
        </is>
      </c>
      <c r="B9" s="10">
        <f>Assumptions!B15</f>
        <v/>
      </c>
    </row>
    <row r="10">
      <c r="A10" s="4" t="inlineStr">
        <is>
          <t>Equity value</t>
        </is>
      </c>
      <c r="B10" s="10">
        <f>B6+B7+B8+B9</f>
        <v/>
      </c>
    </row>
    <row r="11">
      <c r="A11" s="6" t="inlineStr">
        <is>
          <t>Shares outstanding (mn)</t>
        </is>
      </c>
      <c r="B11" s="10">
        <f>Assumptions!B16</f>
        <v/>
      </c>
    </row>
    <row r="12">
      <c r="A12" s="4" t="inlineStr">
        <is>
          <t>Value per share (EGP)</t>
        </is>
      </c>
      <c r="B12" s="7">
        <f>B10/B11</f>
        <v/>
      </c>
    </row>
    <row r="14">
      <c r="A14" s="6" t="inlineStr">
        <is>
          <t>Terminal value as a share of enterprise value</t>
        </is>
      </c>
      <c r="B14"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0.08713663734609707</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0.3832237248431056</v>
      </c>
      <c r="C8" s="2" t="inlineStr">
        <is>
          <t>average of FY2025 and 1Q2026 as reported</t>
        </is>
      </c>
    </row>
    <row r="9">
      <c r="A9" s="6" t="inlineStr">
        <is>
          <t>Overheads as a share of revenue</t>
        </is>
      </c>
      <c r="B9" s="12" t="n">
        <v>0.1759945589215163</v>
      </c>
      <c r="C9" s="2" t="inlineStr">
        <is>
          <t>FY2025 as reported</t>
        </is>
      </c>
    </row>
    <row r="10">
      <c r="A10" s="6" t="inlineStr">
        <is>
          <t>Delivery capacity growth</t>
        </is>
      </c>
      <c r="B10" s="12" t="n">
        <v>0.252</v>
      </c>
      <c r="C10" s="2" t="inlineStr">
        <is>
          <t>Egyptian consumer price inflation, three-year mean</t>
        </is>
      </c>
    </row>
    <row r="11">
      <c r="A11" s="6" t="inlineStr">
        <is>
          <t>Terminal growth</t>
        </is>
      </c>
      <c r="B11" s="12" t="n">
        <v>0.12</v>
      </c>
      <c r="C11" s="2" t="inlineStr">
        <is>
          <t>below nominal growth, stated</t>
        </is>
      </c>
    </row>
    <row r="12">
      <c r="A12" s="6" t="inlineStr">
        <is>
          <t>Cost of capital</t>
        </is>
      </c>
      <c r="B12" s="12" t="n">
        <v>0.2625000851091698</v>
      </c>
      <c r="C12" s="2" t="inlineStr">
        <is>
          <t>built on the Fundamental Valuation and Peer sheets</t>
        </is>
      </c>
    </row>
    <row r="13">
      <c r="A13" s="6" t="inlineStr">
        <is>
          <t>Net debt (EGP mn)</t>
        </is>
      </c>
      <c r="B13" s="13" t="n">
        <v>24133.2</v>
      </c>
      <c r="C13" s="2" t="inlineStr">
        <is>
          <t>gross borrowings less cash, FY2025 audited</t>
        </is>
      </c>
    </row>
    <row r="14">
      <c r="A14" s="6" t="inlineStr">
        <is>
          <t>Investments in associates (EGP mn)</t>
        </is>
      </c>
      <c r="B14" s="13" t="n">
        <v>3611.6</v>
      </c>
      <c r="C14" s="2" t="inlineStr">
        <is>
          <t>FY2025 audited</t>
        </is>
      </c>
    </row>
    <row r="15">
      <c r="A15" s="6" t="inlineStr">
        <is>
          <t>Investment property (EGP mn)</t>
        </is>
      </c>
      <c r="B15" s="13" t="n">
        <v>1032.5</v>
      </c>
      <c r="C15" s="2" t="inlineStr">
        <is>
          <t>FY2025 audited</t>
        </is>
      </c>
    </row>
    <row r="16">
      <c r="A16" s="6" t="inlineStr">
        <is>
          <t>Shares outstanding (mn)</t>
        </is>
      </c>
      <c r="B16" s="13" t="n">
        <v>2859.92</v>
      </c>
      <c r="C16" s="2" t="inlineStr">
        <is>
          <t>FY2025</t>
        </is>
      </c>
    </row>
    <row r="17">
      <c r="A17" s="6" t="inlineStr">
        <is>
          <t>Opening revenue (EGP mn)</t>
        </is>
      </c>
      <c r="B17" s="13" t="n">
        <v>36169.3</v>
      </c>
      <c r="C17" s="2" t="inlineStr">
        <is>
          <t>FY2025 audited</t>
        </is>
      </c>
    </row>
    <row r="18">
      <c r="A18" s="6" t="inlineStr">
        <is>
          <t>Opening order book (EGP mn)</t>
        </is>
      </c>
      <c r="B18" s="13" t="n">
        <v>263000</v>
      </c>
      <c r="C18" s="2" t="inlineStr">
        <is>
          <t>as at 31 March 2026</t>
        </is>
      </c>
    </row>
    <row r="19">
      <c r="A19" s="6" t="inlineStr">
        <is>
          <t>Order book target multiple of revenue</t>
        </is>
      </c>
      <c r="B19" s="14" t="n">
        <v>5.410916800712622</v>
      </c>
      <c r="C19" s="2" t="inlineStr">
        <is>
          <t>the 2024 level, to which the model converges</t>
        </is>
      </c>
    </row>
    <row r="21">
      <c r="A21" s="4" t="inlineStr">
        <is>
          <t>NOT DISCLOSED — absent by design, never estimated</t>
        </is>
      </c>
    </row>
    <row r="22">
      <c r="A22" s="6" t="inlineStr">
        <is>
          <t>fy2025 results release</t>
        </is>
      </c>
      <c r="C22" s="2" t="inlineStr">
        <is>
          <t>PHD has published FY2025 consolidated statements but NO FY2025 full-year results release. The release is where units sold, new sales, deliveries and construction spend are disclose</t>
        </is>
      </c>
    </row>
    <row r="23">
      <c r="A23" s="6" t="inlineStr">
        <is>
          <t>h1 2026 results</t>
        </is>
      </c>
      <c r="C23" s="2" t="inlineStr">
        <is>
          <t>As at this build date (30-Aug-2026) no 2Q/H1-2026 statements or release are posted to the result centre; the newest disclosure of any kind is 1Q2026 (posted 25-Jun-2026). The study</t>
        </is>
      </c>
    </row>
    <row r="24">
      <c r="A24" s="6" t="inlineStr">
        <is>
          <t>securitisation pricing</t>
        </is>
      </c>
      <c r="C24" s="2" t="inlineStr">
        <is>
          <t>The EGP 2.015bn securitisation of 4-Feb-2026 discloses tranche sizes, tenors and national-scale ratings but NO coupon on any tranche, so the company's own marginal cost of debt can</t>
        </is>
      </c>
    </row>
    <row r="25">
      <c r="A25" s="6" t="inlineStr">
        <is>
          <t>per project pricing</t>
        </is>
      </c>
      <c r="C25" s="2" t="inlineStr">
        <is>
          <t>The company does not disclose per-project unit mix, average unit area, price per square metre or construction cost per square metre. The 11-Jun-2026 edition carried a full per-proj</t>
        </is>
      </c>
    </row>
    <row r="26">
      <c r="A26" s="6" t="inlineStr">
        <is>
          <t>backlog cost to complete</t>
        </is>
      </c>
      <c r="C26"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74697</v>
      </c>
    </row>
    <row r="5">
      <c r="A5" s="6" t="inlineStr">
        <is>
          <t>Investments in associates</t>
        </is>
      </c>
      <c r="B5" s="10" t="n">
        <v>3611.6</v>
      </c>
    </row>
    <row r="6">
      <c r="A6" s="6" t="inlineStr">
        <is>
          <t>Investment property</t>
        </is>
      </c>
      <c r="B6" s="10" t="n">
        <v>1032.5</v>
      </c>
    </row>
    <row r="7">
      <c r="A7" s="6" t="inlineStr">
        <is>
          <t>Cash</t>
        </is>
      </c>
      <c r="B7" s="10" t="n">
        <v>9419.5</v>
      </c>
    </row>
    <row r="8">
      <c r="A8" s="6" t="inlineStr">
        <is>
          <t>Gross borrowings</t>
        </is>
      </c>
      <c r="B8" s="10" t="n">
        <v>-33552.7</v>
      </c>
    </row>
    <row r="9">
      <c r="A9" s="4" t="inlineStr">
        <is>
          <t>Equity value</t>
        </is>
      </c>
      <c r="B9" s="10">
        <f>B4+B5+B6+B7+B8</f>
        <v/>
      </c>
    </row>
    <row r="10">
      <c r="A10" s="4" t="inlineStr">
        <is>
          <t>Per share (EGP)</t>
        </is>
      </c>
      <c r="B10" s="7">
        <f>B9/Assumptions!B16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5" t="n">
        <v>4205</v>
      </c>
      <c r="C6" s="15" t="n">
        <v>7139</v>
      </c>
      <c r="D6" s="15" t="n">
        <v>5627</v>
      </c>
      <c r="E6" s="15" t="n">
        <v>13900</v>
      </c>
      <c r="F6" s="15" t="n">
        <v>95082</v>
      </c>
    </row>
    <row r="7">
      <c r="A7" s="6" t="inlineStr">
        <is>
          <t>Units sold</t>
        </is>
      </c>
      <c r="B7" s="15" t="n">
        <v>726</v>
      </c>
      <c r="C7" s="15" t="n">
        <v>1552</v>
      </c>
      <c r="D7" s="15" t="n">
        <v>800</v>
      </c>
      <c r="E7" s="15" t="n">
        <v>1231</v>
      </c>
      <c r="F7" s="15"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5" t="n">
        <v>6627</v>
      </c>
      <c r="C13" s="15" t="n">
        <v>7258</v>
      </c>
      <c r="D13" s="15" t="n">
        <v>13118</v>
      </c>
      <c r="E13" s="15" t="n">
        <v>32332</v>
      </c>
      <c r="F13" s="15" t="n">
        <v>44570</v>
      </c>
    </row>
    <row r="14">
      <c r="A14" s="6" t="inlineStr">
        <is>
          <t>Units sold</t>
        </is>
      </c>
      <c r="B14" s="15" t="n">
        <v>858</v>
      </c>
      <c r="C14" s="15" t="n">
        <v>1416</v>
      </c>
      <c r="D14" s="15" t="n">
        <v>2039</v>
      </c>
      <c r="E14" s="15" t="n">
        <v>2950</v>
      </c>
      <c r="F14" s="15"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5" t="n">
        <v>1947</v>
      </c>
      <c r="C20" s="15" t="n">
        <v>2892</v>
      </c>
      <c r="D20" s="15" t="n">
        <v>7265</v>
      </c>
      <c r="E20" s="15" t="n">
        <v>13270</v>
      </c>
      <c r="F20" s="15" t="n">
        <v>11364</v>
      </c>
    </row>
    <row r="21">
      <c r="A21" s="6" t="inlineStr">
        <is>
          <t>Units sold</t>
        </is>
      </c>
      <c r="B21" s="15" t="n">
        <v>256</v>
      </c>
      <c r="C21" s="15" t="n">
        <v>382</v>
      </c>
      <c r="D21" s="15" t="n">
        <v>1194</v>
      </c>
      <c r="E21" s="15" t="n">
        <v>1200</v>
      </c>
      <c r="F21" s="15"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5" t="n">
        <v>52000</v>
      </c>
      <c r="C27" s="2" t="inlineStr">
        <is>
          <t>includes EGP 24,000mn from one land-plot launch</t>
        </is>
      </c>
    </row>
    <row r="28">
      <c r="A28" s="6" t="inlineStr">
        <is>
          <t>New sales, FY2024 (EGP mn)</t>
        </is>
      </c>
      <c r="B28" s="15" t="n">
        <v>151016</v>
      </c>
      <c r="C28" s="2" t="inlineStr">
        <is>
          <t>chart series</t>
        </is>
      </c>
    </row>
    <row r="29">
      <c r="A29" s="6" t="inlineStr">
        <is>
          <t>Order book, 31 Mar 2026 (EGP mn)</t>
        </is>
      </c>
      <c r="B29" s="15" t="n">
        <v>263000</v>
      </c>
      <c r="C29" s="2" t="inlineStr">
        <is>
          <t>units sold and not yet delivered</t>
        </is>
      </c>
    </row>
    <row r="30">
      <c r="A30" s="6" t="inlineStr">
        <is>
          <t>Order book, FY2024 (EGP mn)</t>
        </is>
      </c>
      <c r="B30" s="15" t="n">
        <v>147000</v>
      </c>
      <c r="C30" s="2" t="inlineStr"/>
    </row>
    <row r="31">
      <c r="A31" s="6" t="inlineStr">
        <is>
          <t>Units sold, FY2023</t>
        </is>
      </c>
      <c r="B31" s="15" t="n">
        <v>5300</v>
      </c>
      <c r="C31" s="2" t="inlineStr">
        <is>
          <t>the last year the company disclosed a unit count</t>
        </is>
      </c>
    </row>
    <row r="32">
      <c r="A32" s="6" t="inlineStr">
        <is>
          <t>Units delivered, FY2023</t>
        </is>
      </c>
      <c r="B32" s="15" t="n">
        <v>1500</v>
      </c>
      <c r="C32" s="2" t="inlineStr"/>
    </row>
    <row r="33">
      <c r="A33" s="6" t="inlineStr">
        <is>
          <t>Construction spend, FY2024 (EGP mn)</t>
        </is>
      </c>
      <c r="B33" s="15" t="n">
        <v>8500</v>
      </c>
      <c r="C33" s="2" t="inlineStr"/>
    </row>
    <row r="34">
      <c r="A34" s="6" t="inlineStr">
        <is>
          <t>Cash collections, FY2024 (EGP mn)</t>
        </is>
      </c>
      <c r="B34" s="15" t="n">
        <v>25400</v>
      </c>
      <c r="C34" s="2" t="inlineStr"/>
    </row>
    <row r="35">
      <c r="A35" s="6" t="inlineStr">
        <is>
          <t>Land bank (mn sqm)</t>
        </is>
      </c>
      <c r="B35" s="13" t="n">
        <v>33</v>
      </c>
      <c r="C35" s="2" t="inlineStr"/>
    </row>
    <row r="37">
      <c r="A37" s="4" t="inlineStr">
        <is>
          <t>Build level: SEGMENT, not unit.</t>
        </is>
      </c>
    </row>
    <row r="38" ht="44" customHeight="1">
      <c r="A38" s="16"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7" t="inlineStr">
        <is>
          <t>2023</t>
        </is>
      </c>
      <c r="C4" s="17" t="inlineStr">
        <is>
          <t>2024</t>
        </is>
      </c>
      <c r="D4" s="17"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8">
        <f>B6/B5</f>
        <v/>
      </c>
      <c r="C7" s="18">
        <f>C6/C5</f>
        <v/>
      </c>
      <c r="D7" s="18">
        <f>D6/D5</f>
        <v/>
      </c>
    </row>
    <row r="9">
      <c r="A9" s="6" t="inlineStr">
        <is>
          <t>Price to book (market)</t>
        </is>
      </c>
      <c r="B9" s="19">
        <f>15.2000/6.5617</f>
        <v/>
      </c>
    </row>
    <row r="10">
      <c r="A10" s="6" t="inlineStr">
        <is>
          <t>Book value per share (EGP)</t>
        </is>
      </c>
      <c r="B10" s="7" t="n">
        <v>6.56</v>
      </c>
    </row>
    <row r="11">
      <c r="A11" s="6" t="inlineStr">
        <is>
          <t>Return on equity, 2025</t>
        </is>
      </c>
      <c r="B11" s="18">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Discounted cash flow — central case</t>
        </is>
      </c>
    </row>
    <row r="2">
      <c r="A2" s="2" t="inlineStr">
        <is>
          <t>Every row a formula off Assumptions; change a blue cell there.</t>
        </is>
      </c>
    </row>
    <row r="4">
      <c r="A4" s="5" t="inlineStr">
        <is>
          <t>EGP million</t>
        </is>
      </c>
      <c r="B4" s="20" t="n">
        <v>2026</v>
      </c>
      <c r="C4" s="20" t="n">
        <v>2027</v>
      </c>
      <c r="D4" s="20" t="n">
        <v>2028</v>
      </c>
      <c r="E4" s="20" t="n">
        <v>2029</v>
      </c>
      <c r="F4" s="20" t="n">
        <v>2030</v>
      </c>
      <c r="G4" s="20" t="n">
        <v>2031</v>
      </c>
      <c r="H4" s="20" t="n">
        <v>2032</v>
      </c>
      <c r="I4" s="20" t="n">
        <v>2033</v>
      </c>
      <c r="J4" s="20" t="n">
        <v>2034</v>
      </c>
      <c r="K4" s="20" t="n">
        <v>2035</v>
      </c>
    </row>
    <row r="5">
      <c r="A5" s="6" t="inlineStr">
        <is>
          <t>Delivery capacity</t>
        </is>
      </c>
      <c r="B5" s="6">
        <f>Assumptions!B17*(1+Assumptions!B10)</f>
        <v/>
      </c>
      <c r="C5" s="6">
        <f>B5*(1+Assumptions!$B$10)</f>
        <v/>
      </c>
      <c r="D5" s="6">
        <f>C5*(1+Assumptions!$B$10)</f>
        <v/>
      </c>
      <c r="E5" s="6">
        <f>D5*(1+Assumptions!$B$10)</f>
        <v/>
      </c>
      <c r="F5" s="6">
        <f>E5*(1+Assumptions!$B$10)</f>
        <v/>
      </c>
      <c r="G5" s="6">
        <f>F5*(1+Assumptions!$B$10)</f>
        <v/>
      </c>
      <c r="H5" s="6">
        <f>G5*(1+Assumptions!$B$10)</f>
        <v/>
      </c>
      <c r="I5" s="6">
        <f>H5*(1+Assumptions!$B$10)</f>
        <v/>
      </c>
      <c r="J5" s="6">
        <f>I5*(1+Assumptions!$B$10)</f>
        <v/>
      </c>
      <c r="K5" s="6">
        <f>J5*(1+Assumptions!$B$10)</f>
        <v/>
      </c>
    </row>
    <row r="6">
      <c r="A6" s="4" t="inlineStr">
        <is>
          <t>Revenue</t>
        </is>
      </c>
      <c r="B6" s="21">
        <f>B5</f>
        <v/>
      </c>
      <c r="C6" s="21">
        <f>C5</f>
        <v/>
      </c>
      <c r="D6" s="21">
        <f>D5</f>
        <v/>
      </c>
      <c r="E6" s="21">
        <f>E5</f>
        <v/>
      </c>
      <c r="F6" s="21">
        <f>F5</f>
        <v/>
      </c>
      <c r="G6" s="21">
        <f>G5</f>
        <v/>
      </c>
      <c r="H6" s="21">
        <f>H5</f>
        <v/>
      </c>
      <c r="I6" s="21">
        <f>I5</f>
        <v/>
      </c>
      <c r="J6" s="21">
        <f>J5</f>
        <v/>
      </c>
      <c r="K6" s="21">
        <f>K5</f>
        <v/>
      </c>
    </row>
    <row r="7">
      <c r="A7" s="6" t="inlineStr">
        <is>
          <t>Gross profit</t>
        </is>
      </c>
      <c r="B7" s="21">
        <f>B6*Assumptions!$B$8</f>
        <v/>
      </c>
      <c r="C7" s="21">
        <f>C6*Assumptions!$B$8</f>
        <v/>
      </c>
      <c r="D7" s="21">
        <f>D6*Assumptions!$B$8</f>
        <v/>
      </c>
      <c r="E7" s="21">
        <f>E6*Assumptions!$B$8</f>
        <v/>
      </c>
      <c r="F7" s="21">
        <f>F6*Assumptions!$B$8</f>
        <v/>
      </c>
      <c r="G7" s="21">
        <f>G6*Assumptions!$B$8</f>
        <v/>
      </c>
      <c r="H7" s="21">
        <f>H6*Assumptions!$B$8</f>
        <v/>
      </c>
      <c r="I7" s="21">
        <f>I6*Assumptions!$B$8</f>
        <v/>
      </c>
      <c r="J7" s="21">
        <f>J6*Assumptions!$B$8</f>
        <v/>
      </c>
      <c r="K7" s="21">
        <f>K6*Assumptions!$B$8</f>
        <v/>
      </c>
    </row>
    <row r="8">
      <c r="A8" s="6" t="inlineStr">
        <is>
          <t>Overheads</t>
        </is>
      </c>
      <c r="B8" s="21">
        <f>-B6*Assumptions!$B$9</f>
        <v/>
      </c>
      <c r="C8" s="21">
        <f>-C6*Assumptions!$B$9</f>
        <v/>
      </c>
      <c r="D8" s="21">
        <f>-D6*Assumptions!$B$9</f>
        <v/>
      </c>
      <c r="E8" s="21">
        <f>-E6*Assumptions!$B$9</f>
        <v/>
      </c>
      <c r="F8" s="21">
        <f>-F6*Assumptions!$B$9</f>
        <v/>
      </c>
      <c r="G8" s="21">
        <f>-G6*Assumptions!$B$9</f>
        <v/>
      </c>
      <c r="H8" s="21">
        <f>-H6*Assumptions!$B$9</f>
        <v/>
      </c>
      <c r="I8" s="21">
        <f>-I6*Assumptions!$B$9</f>
        <v/>
      </c>
      <c r="J8" s="21">
        <f>-J6*Assumptions!$B$9</f>
        <v/>
      </c>
      <c r="K8" s="21">
        <f>-K6*Assumptions!$B$9</f>
        <v/>
      </c>
    </row>
    <row r="9">
      <c r="A9" s="6" t="inlineStr">
        <is>
          <t>Operating cash flow</t>
        </is>
      </c>
      <c r="B9" s="21">
        <f>B6*Assumptions!$B$5</f>
        <v/>
      </c>
      <c r="C9" s="21">
        <f>C6*Assumptions!$B$5</f>
        <v/>
      </c>
      <c r="D9" s="21">
        <f>D6*Assumptions!$B$5</f>
        <v/>
      </c>
      <c r="E9" s="21">
        <f>E6*Assumptions!$B$5</f>
        <v/>
      </c>
      <c r="F9" s="21">
        <f>F6*Assumptions!$B$5</f>
        <v/>
      </c>
      <c r="G9" s="21">
        <f>G6*Assumptions!$B$5</f>
        <v/>
      </c>
      <c r="H9" s="21">
        <f>H6*Assumptions!$B$5</f>
        <v/>
      </c>
      <c r="I9" s="21">
        <f>I6*Assumptions!$B$5</f>
        <v/>
      </c>
      <c r="J9" s="21">
        <f>J6*Assumptions!$B$5</f>
        <v/>
      </c>
      <c r="K9" s="21">
        <f>K6*Assumptions!$B$5</f>
        <v/>
      </c>
    </row>
    <row r="10">
      <c r="A10" s="4" t="inlineStr">
        <is>
          <t>Free cash flow to the firm</t>
        </is>
      </c>
      <c r="B10" s="21" t="n">
        <v>10123.9</v>
      </c>
      <c r="C10" s="21" t="n">
        <v>11004.2</v>
      </c>
      <c r="D10" s="21" t="n">
        <v>12106.2</v>
      </c>
      <c r="E10" s="21" t="n">
        <v>13486</v>
      </c>
      <c r="F10" s="21" t="n">
        <v>15213.5</v>
      </c>
      <c r="G10" s="21" t="n">
        <v>17376.4</v>
      </c>
      <c r="H10" s="21" t="n">
        <v>20084.2</v>
      </c>
      <c r="I10" s="21" t="n">
        <v>23474.5</v>
      </c>
      <c r="J10" s="21" t="n">
        <v>27719.1</v>
      </c>
      <c r="K10" s="21" t="n">
        <v>33033.3</v>
      </c>
    </row>
    <row r="11">
      <c r="A11" s="6" t="inlineStr">
        <is>
          <t>Discount factor</t>
        </is>
      </c>
      <c r="B11" s="22">
        <f>1/(1+Assumptions!$B$12)^1</f>
        <v/>
      </c>
      <c r="C11" s="22">
        <f>1/(1+Assumptions!$B$12)^2</f>
        <v/>
      </c>
      <c r="D11" s="22">
        <f>1/(1+Assumptions!$B$12)^3</f>
        <v/>
      </c>
      <c r="E11" s="22">
        <f>1/(1+Assumptions!$B$12)^4</f>
        <v/>
      </c>
      <c r="F11" s="22">
        <f>1/(1+Assumptions!$B$12)^5</f>
        <v/>
      </c>
      <c r="G11" s="22">
        <f>1/(1+Assumptions!$B$12)^6</f>
        <v/>
      </c>
      <c r="H11" s="22">
        <f>1/(1+Assumptions!$B$12)^7</f>
        <v/>
      </c>
      <c r="I11" s="22">
        <f>1/(1+Assumptions!$B$12)^8</f>
        <v/>
      </c>
      <c r="J11" s="22">
        <f>1/(1+Assumptions!$B$12)^9</f>
        <v/>
      </c>
      <c r="K11" s="22">
        <f>1/(1+Assumptions!$B$12)^10</f>
        <v/>
      </c>
    </row>
    <row r="12">
      <c r="A12" s="4" t="inlineStr">
        <is>
          <t>Present value</t>
        </is>
      </c>
      <c r="B12" s="21">
        <f>B10*B11</f>
        <v/>
      </c>
      <c r="C12" s="21">
        <f>C10*C11</f>
        <v/>
      </c>
      <c r="D12" s="21">
        <f>D10*D11</f>
        <v/>
      </c>
      <c r="E12" s="21">
        <f>E10*E11</f>
        <v/>
      </c>
      <c r="F12" s="21">
        <f>F10*F11</f>
        <v/>
      </c>
      <c r="G12" s="21">
        <f>G10*G11</f>
        <v/>
      </c>
      <c r="H12" s="21">
        <f>H10*H11</f>
        <v/>
      </c>
      <c r="I12" s="21">
        <f>I10*I11</f>
        <v/>
      </c>
      <c r="J12" s="21">
        <f>J10*J11</f>
        <v/>
      </c>
      <c r="K12" s="21">
        <f>K10*K11</f>
        <v/>
      </c>
    </row>
    <row r="14">
      <c r="A14" s="4" t="inlineStr">
        <is>
          <t>Sum of the explicit years</t>
        </is>
      </c>
      <c r="B14" s="23">
        <f>SUM(B12:K12)</f>
        <v/>
      </c>
    </row>
    <row r="15">
      <c r="A15" s="4" t="inlineStr">
        <is>
          <t>Terminal value, discounted</t>
        </is>
      </c>
      <c r="B15" s="23" t="n">
        <v>25237.2</v>
      </c>
    </row>
    <row r="16">
      <c r="A16" s="4" t="inlineStr">
        <is>
          <t>Enterprise value</t>
        </is>
      </c>
      <c r="B16" s="23">
        <f>B14+B15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 OUTPUT of price per unit against cost per unit.</t>
        </is>
      </c>
    </row>
    <row r="4">
      <c r="A4" s="5" t="inlineStr">
        <is>
          <t>EGP mn unless stated</t>
        </is>
      </c>
      <c r="B4" s="5" t="n">
        <v>2026</v>
      </c>
      <c r="C4" s="5" t="n">
        <v>2027</v>
      </c>
      <c r="D4" s="5" t="n">
        <v>2028</v>
      </c>
      <c r="E4" s="5" t="n">
        <v>2029</v>
      </c>
      <c r="F4" s="5" t="n">
        <v>2030</v>
      </c>
    </row>
    <row r="5">
      <c r="A5" s="6" t="inlineStr">
        <is>
          <t>Units sold</t>
        </is>
      </c>
      <c r="B5" s="23" t="n">
        <v>5632.6667</v>
      </c>
      <c r="C5" s="23" t="n">
        <v>5632.6667</v>
      </c>
      <c r="D5" s="23" t="n">
        <v>5632.6667</v>
      </c>
      <c r="E5" s="23" t="n">
        <v>5632.6667</v>
      </c>
      <c r="F5" s="23" t="n">
        <v>5632.6667</v>
      </c>
    </row>
    <row r="6">
      <c r="A6" s="6" t="inlineStr">
        <is>
          <t>New sales</t>
        </is>
      </c>
      <c r="B6" s="23" t="n">
        <v>139999.495</v>
      </c>
      <c r="C6" s="23" t="n">
        <v>175279.3678</v>
      </c>
      <c r="D6" s="23" t="n">
        <v>219449.7685</v>
      </c>
      <c r="E6" s="23" t="n">
        <v>274751.1101</v>
      </c>
      <c r="F6" s="23" t="n">
        <v>343988.3898</v>
      </c>
    </row>
    <row r="7">
      <c r="A7" s="6" t="inlineStr">
        <is>
          <t>Units delivered</t>
        </is>
      </c>
      <c r="B7" s="23" t="n">
        <v>1885.5495</v>
      </c>
      <c r="C7" s="23" t="n">
        <v>2168.3819</v>
      </c>
      <c r="D7" s="23" t="n">
        <v>2493.6392</v>
      </c>
      <c r="E7" s="23" t="n">
        <v>2867.6851</v>
      </c>
      <c r="F7" s="23" t="n">
        <v>3297.8379</v>
      </c>
    </row>
    <row r="8">
      <c r="A8" s="6" t="inlineStr">
        <is>
          <t>Revenue per delivered unit</t>
        </is>
      </c>
      <c r="B8" s="24" t="n">
        <v>21.2924</v>
      </c>
      <c r="C8" s="24" t="n">
        <v>26.6581</v>
      </c>
      <c r="D8" s="24" t="n">
        <v>33.376</v>
      </c>
      <c r="E8" s="24" t="n">
        <v>41.7867</v>
      </c>
      <c r="F8" s="24" t="n">
        <v>52.317</v>
      </c>
    </row>
    <row r="9">
      <c r="A9" s="4" t="inlineStr">
        <is>
          <t>Revenue</t>
        </is>
      </c>
      <c r="B9" s="23" t="n">
        <v>40147.923</v>
      </c>
      <c r="C9" s="23" t="n">
        <v>57804.9795</v>
      </c>
      <c r="D9" s="23" t="n">
        <v>83227.60950000001</v>
      </c>
      <c r="E9" s="23" t="n">
        <v>119831.1122</v>
      </c>
      <c r="F9" s="23" t="n">
        <v>172532.8354</v>
      </c>
    </row>
    <row r="10">
      <c r="A10" s="6" t="inlineStr">
        <is>
          <t>Cost per delivered unit</t>
        </is>
      </c>
      <c r="B10" s="24" t="n">
        <v>13.1327</v>
      </c>
      <c r="C10" s="24" t="n">
        <v>16.4421</v>
      </c>
      <c r="D10" s="24" t="n">
        <v>20.5855</v>
      </c>
      <c r="E10" s="24" t="n">
        <v>25.773</v>
      </c>
      <c r="F10" s="24" t="n">
        <v>32.2679</v>
      </c>
    </row>
    <row r="11">
      <c r="A11" s="6" t="inlineStr">
        <is>
          <t>Cost of revenue</t>
        </is>
      </c>
      <c r="B11" s="23" t="n">
        <v>24762.2864</v>
      </c>
      <c r="C11" s="23" t="n">
        <v>35652.74</v>
      </c>
      <c r="D11" s="23" t="n">
        <v>51332.815</v>
      </c>
      <c r="E11" s="23" t="n">
        <v>73908.98699999999</v>
      </c>
      <c r="F11" s="23" t="n">
        <v>106414.1595</v>
      </c>
    </row>
    <row r="12">
      <c r="A12" s="4" t="inlineStr">
        <is>
          <t>Gross profit</t>
        </is>
      </c>
      <c r="B12" s="23" t="n">
        <v>15385.6366</v>
      </c>
      <c r="C12" s="23" t="n">
        <v>22152.2396</v>
      </c>
      <c r="D12" s="23" t="n">
        <v>31894.7945</v>
      </c>
      <c r="E12" s="23" t="n">
        <v>45922.1252</v>
      </c>
      <c r="F12" s="23" t="n">
        <v>66118.6758</v>
      </c>
    </row>
    <row r="13">
      <c r="A13" s="6" t="inlineStr">
        <is>
          <t>Gross margin</t>
        </is>
      </c>
      <c r="B13" s="25" t="n">
        <v>0.3832</v>
      </c>
      <c r="C13" s="25" t="n">
        <v>0.3832</v>
      </c>
      <c r="D13" s="25" t="n">
        <v>0.3832</v>
      </c>
      <c r="E13" s="25" t="n">
        <v>0.3832</v>
      </c>
      <c r="F13" s="25" t="n">
        <v>0.3832</v>
      </c>
    </row>
    <row r="14">
      <c r="A14" s="6" t="inlineStr">
        <is>
          <t>Overheads</t>
        </is>
      </c>
      <c r="B14" s="23" t="n">
        <v>7065.816</v>
      </c>
      <c r="C14" s="23" t="n">
        <v>10173.3619</v>
      </c>
      <c r="D14" s="23" t="n">
        <v>14647.6064</v>
      </c>
      <c r="E14" s="23" t="n">
        <v>21089.6237</v>
      </c>
      <c r="F14" s="23" t="n">
        <v>30364.8403</v>
      </c>
    </row>
    <row r="15">
      <c r="A15" s="6" t="inlineStr">
        <is>
          <t>Operating profit</t>
        </is>
      </c>
      <c r="B15" s="23" t="n">
        <v>7927.2136</v>
      </c>
      <c r="C15" s="23" t="n">
        <v>11413.6021</v>
      </c>
      <c r="D15" s="23" t="n">
        <v>16433.3044</v>
      </c>
      <c r="E15" s="23" t="n">
        <v>23660.6716</v>
      </c>
      <c r="F15" s="23" t="n">
        <v>34066.635</v>
      </c>
    </row>
    <row r="16">
      <c r="A16" s="6" t="inlineStr">
        <is>
          <t>Finance cost</t>
        </is>
      </c>
      <c r="B16" s="23" t="n">
        <v>3347.5</v>
      </c>
      <c r="C16" s="23" t="n">
        <v>3347.5</v>
      </c>
      <c r="D16" s="23" t="n">
        <v>3347.5</v>
      </c>
      <c r="E16" s="23" t="n">
        <v>3347.5</v>
      </c>
      <c r="F16" s="23" t="n">
        <v>3347.5</v>
      </c>
    </row>
    <row r="17">
      <c r="A17" s="6" t="inlineStr">
        <is>
          <t>Profit before tax</t>
        </is>
      </c>
      <c r="B17" s="23" t="n">
        <v>4579.7136</v>
      </c>
      <c r="C17" s="23" t="n">
        <v>8066.1021</v>
      </c>
      <c r="D17" s="23" t="n">
        <v>13085.8044</v>
      </c>
      <c r="E17" s="23" t="n">
        <v>20313.1716</v>
      </c>
      <c r="F17" s="23" t="n">
        <v>30719.135</v>
      </c>
    </row>
    <row r="18">
      <c r="A18" s="4" t="inlineStr">
        <is>
          <t>Net profit</t>
        </is>
      </c>
      <c r="B18" s="23" t="n">
        <v>3549.278</v>
      </c>
      <c r="C18" s="23" t="n">
        <v>6251.2292</v>
      </c>
      <c r="D18" s="23" t="n">
        <v>10141.4984</v>
      </c>
      <c r="E18" s="23" t="n">
        <v>15742.708</v>
      </c>
      <c r="F18" s="23" t="n">
        <v>23807.3296</v>
      </c>
    </row>
    <row r="19">
      <c r="A19" s="6" t="inlineStr">
        <is>
          <t>Earnings per share (EGP)</t>
        </is>
      </c>
      <c r="B19" s="24" t="n">
        <v>1.241</v>
      </c>
      <c r="C19" s="24" t="n">
        <v>2.1858</v>
      </c>
      <c r="D19" s="24" t="n">
        <v>3.5461</v>
      </c>
      <c r="E19" s="24" t="n">
        <v>5.5046</v>
      </c>
      <c r="F19" s="24" t="n">
        <v>8.3245</v>
      </c>
    </row>
    <row r="20">
      <c r="A20" s="6" t="inlineStr">
        <is>
          <t>Order book, closing</t>
        </is>
      </c>
      <c r="B20" s="23" t="n">
        <v>362851.572</v>
      </c>
      <c r="C20" s="23" t="n">
        <v>480325.9603</v>
      </c>
      <c r="D20" s="23" t="n">
        <v>616548.1192</v>
      </c>
      <c r="E20" s="23" t="n">
        <v>771468.1171</v>
      </c>
      <c r="F20" s="23" t="n">
        <v>942923.6716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s>
  <sheetData>
    <row r="1">
      <c r="A1" s="1" t="inlineStr">
        <is>
          <t>Balance sheet — as reported</t>
        </is>
      </c>
    </row>
    <row r="2">
      <c r="A2" s="2" t="inlineStr">
        <is>
          <t>EGP million.</t>
        </is>
      </c>
    </row>
    <row r="4">
      <c r="A4" s="4" t="inlineStr"/>
      <c r="B4" s="17" t="inlineStr">
        <is>
          <t>2025</t>
        </is>
      </c>
      <c r="C4" s="17"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Cash flow — forecast</t>
        </is>
      </c>
    </row>
    <row r="2">
      <c r="A2" s="2" t="inlineStr">
        <is>
          <t>Central case. EGP million.</t>
        </is>
      </c>
    </row>
    <row r="4">
      <c r="A4" s="5" t="inlineStr">
        <is>
          <t>EGP million</t>
        </is>
      </c>
      <c r="B4" s="20" t="n">
        <v>2026</v>
      </c>
      <c r="C4" s="20" t="n">
        <v>2027</v>
      </c>
      <c r="D4" s="20" t="n">
        <v>2028</v>
      </c>
      <c r="E4" s="20" t="n">
        <v>2029</v>
      </c>
      <c r="F4" s="20" t="n">
        <v>2030</v>
      </c>
      <c r="G4" s="20" t="n">
        <v>2031</v>
      </c>
      <c r="H4" s="20" t="n">
        <v>2032</v>
      </c>
      <c r="I4" s="20" t="n">
        <v>2033</v>
      </c>
      <c r="J4" s="20" t="n">
        <v>2034</v>
      </c>
      <c r="K4" s="20" t="n">
        <v>2035</v>
      </c>
    </row>
    <row r="5">
      <c r="A5" s="6" t="inlineStr">
        <is>
          <t>Operating cash flow</t>
        </is>
      </c>
      <c r="B5" s="23" t="n">
        <v>3945.9</v>
      </c>
      <c r="C5" s="23" t="n">
        <v>4940.3</v>
      </c>
      <c r="D5" s="23" t="n">
        <v>6185.2</v>
      </c>
      <c r="E5" s="23" t="n">
        <v>7743.9</v>
      </c>
      <c r="F5" s="23" t="n">
        <v>9695.299999999999</v>
      </c>
      <c r="G5" s="23" t="n">
        <v>12138.6</v>
      </c>
      <c r="H5" s="23" t="n">
        <v>15197.5</v>
      </c>
      <c r="I5" s="23" t="n">
        <v>19027.2</v>
      </c>
      <c r="J5" s="23" t="n">
        <v>23822.1</v>
      </c>
      <c r="K5" s="23" t="n">
        <v>29825.3</v>
      </c>
    </row>
    <row r="6">
      <c r="A6" s="6" t="inlineStr">
        <is>
          <t>Free cash flow to the firm</t>
        </is>
      </c>
      <c r="B6" s="23" t="n">
        <v>10123.9</v>
      </c>
      <c r="C6" s="23" t="n">
        <v>11004.2</v>
      </c>
      <c r="D6" s="23" t="n">
        <v>12106.2</v>
      </c>
      <c r="E6" s="23" t="n">
        <v>13486</v>
      </c>
      <c r="F6" s="23" t="n">
        <v>15213.5</v>
      </c>
      <c r="G6" s="23" t="n">
        <v>17376.4</v>
      </c>
      <c r="H6" s="23" t="n">
        <v>20084.2</v>
      </c>
      <c r="I6" s="23" t="n">
        <v>23474.5</v>
      </c>
      <c r="J6" s="23" t="n">
        <v>27719.1</v>
      </c>
      <c r="K6" s="23" t="n">
        <v>33033.3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7" t="inlineStr">
        <is>
          <t>2023</t>
        </is>
      </c>
      <c r="C4" s="17" t="inlineStr">
        <is>
          <t>2024</t>
        </is>
      </c>
      <c r="D4" s="17" t="inlineStr">
        <is>
          <t>2025</t>
        </is>
      </c>
    </row>
    <row r="5">
      <c r="A5" s="6" t="inlineStr">
        <is>
          <t>Revenue</t>
        </is>
      </c>
      <c r="B5" s="10" t="n">
        <v>17462.1</v>
      </c>
      <c r="C5" s="10" t="n">
        <v>27167.3</v>
      </c>
      <c r="D5" s="10" t="n">
        <v>36169.3</v>
      </c>
    </row>
    <row r="6">
      <c r="A6" s="6" t="inlineStr">
        <is>
          <t>Gross profit</t>
        </is>
      </c>
      <c r="B6" s="10" t="n">
        <v>5507.6</v>
      </c>
      <c r="C6" s="10" t="n">
        <v>9330.1</v>
      </c>
      <c r="D6" s="10" t="n">
        <v>14887.6</v>
      </c>
    </row>
    <row r="7">
      <c r="A7" s="6" t="inlineStr">
        <is>
          <t>Pre-tax profit</t>
        </is>
      </c>
      <c r="B7" s="10" t="n">
        <v>2300.7</v>
      </c>
      <c r="C7" s="10" t="n">
        <v>4320.6</v>
      </c>
      <c r="D7" s="10" t="n">
        <v>6251.1</v>
      </c>
    </row>
    <row r="8">
      <c r="A8" s="6" t="inlineStr">
        <is>
          <t>Profit after tax and minority</t>
        </is>
      </c>
      <c r="B8" s="10" t="n">
        <v>1581.5</v>
      </c>
      <c r="C8" s="10" t="n">
        <v>3254.9</v>
      </c>
      <c r="D8" s="10" t="n">
        <v>4216.7</v>
      </c>
    </row>
    <row r="9">
      <c r="A9" s="6" t="inlineStr">
        <is>
          <t>Cash from operations</t>
        </is>
      </c>
      <c r="B9" s="10" t="n">
        <v>756.7</v>
      </c>
      <c r="C9" s="10" t="n">
        <v>4854.8</v>
      </c>
      <c r="D9" s="10" t="n">
        <v>1424.2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7" t="inlineStr">
        <is>
          <t>One month</t>
        </is>
      </c>
      <c r="C4" s="17"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8" t="n">
        <v>0.9123</v>
      </c>
    </row>
    <row r="13">
      <c r="A13" s="6" t="inlineStr">
        <is>
          <t>Inside the middle band</t>
        </is>
      </c>
      <c r="B13" s="18" t="n">
        <v>0.5088</v>
      </c>
    </row>
    <row r="14">
      <c r="A14" s="6" t="inlineStr">
        <is>
          <t>Band width vs a random walk</t>
        </is>
      </c>
      <c r="B14" s="19"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6" t="n">
        <v>0.2225000851091698</v>
      </c>
      <c r="C4" s="26" t="n">
        <v>0.2425000851091698</v>
      </c>
      <c r="D4" s="26" t="n">
        <v>0.2625000851091698</v>
      </c>
      <c r="E4" s="26" t="n">
        <v>0.2825000851091698</v>
      </c>
      <c r="F4" s="26" t="n">
        <v>0.3025000851091698</v>
      </c>
    </row>
    <row r="5">
      <c r="A5" s="27" t="n">
        <v>0.03937593483976742</v>
      </c>
      <c r="B5" s="7" t="n">
        <v>15</v>
      </c>
      <c r="C5" s="7" t="n">
        <v>11.61</v>
      </c>
      <c r="D5" s="7" t="n">
        <v>9.17</v>
      </c>
      <c r="E5" s="7" t="n">
        <v>7.31</v>
      </c>
      <c r="F5" s="7" t="n">
        <v>5.86</v>
      </c>
    </row>
    <row r="6">
      <c r="A6" s="27" t="n">
        <v>0.06</v>
      </c>
      <c r="B6" s="7" t="n">
        <v>21.6</v>
      </c>
      <c r="C6" s="7" t="n">
        <v>16.91</v>
      </c>
      <c r="D6" s="7" t="n">
        <v>13.54</v>
      </c>
      <c r="E6" s="7" t="n">
        <v>11.02</v>
      </c>
      <c r="F6" s="7" t="n">
        <v>9.050000000000001</v>
      </c>
    </row>
    <row r="7">
      <c r="A7" s="27" t="n">
        <v>0.08713663734609707</v>
      </c>
      <c r="B7" s="7" t="n">
        <v>30.28</v>
      </c>
      <c r="C7" s="7" t="n">
        <v>23.87</v>
      </c>
      <c r="D7" s="7" t="n">
        <v>19.3</v>
      </c>
      <c r="E7" s="7" t="n">
        <v>15.89</v>
      </c>
      <c r="F7" s="7" t="n">
        <v>13.25</v>
      </c>
    </row>
    <row r="8">
      <c r="A8" s="27" t="n">
        <v>0.12</v>
      </c>
      <c r="B8" s="7" t="n">
        <v>40.8</v>
      </c>
      <c r="C8" s="7" t="n">
        <v>32.31</v>
      </c>
      <c r="D8" s="7" t="n">
        <v>26.28</v>
      </c>
      <c r="E8" s="7" t="n">
        <v>21.79</v>
      </c>
      <c r="F8" s="7" t="n">
        <v>18.33</v>
      </c>
    </row>
    <row r="9">
      <c r="A9" s="27" t="n">
        <v>0.1787001284632628</v>
      </c>
      <c r="B9" s="7" t="n">
        <v>59.58</v>
      </c>
      <c r="C9" s="7" t="n">
        <v>47.38</v>
      </c>
      <c r="D9" s="7" t="n">
        <v>38.74</v>
      </c>
      <c r="E9" s="7" t="n">
        <v>32.33</v>
      </c>
      <c r="F9" s="7" t="n">
        <v>27.41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15.2</v>
      </c>
    </row>
    <row r="6">
      <c r="A6" s="6" t="inlineStr">
        <is>
          <t>Book value per share (EGP)</t>
        </is>
      </c>
      <c r="B6" s="7" t="n">
        <v>6.5617</v>
      </c>
    </row>
    <row r="7">
      <c r="A7" s="6" t="inlineStr">
        <is>
          <t>Price to book</t>
        </is>
      </c>
      <c r="B7" s="19" t="n">
        <v>2.3165</v>
      </c>
    </row>
    <row r="8">
      <c r="A8" s="6" t="inlineStr">
        <is>
          <t>Earnings per share, 2025 (EGP)</t>
        </is>
      </c>
      <c r="B8" s="7" t="n">
        <v>1.4744</v>
      </c>
    </row>
    <row r="9">
      <c r="A9" s="6" t="inlineStr">
        <is>
          <t>Net debt per share (EGP)</t>
        </is>
      </c>
      <c r="B9" s="7" t="n">
        <v>8.4384</v>
      </c>
    </row>
    <row r="10">
      <c r="A10" s="6" t="inlineStr">
        <is>
          <t>Order book per share (EGP)</t>
        </is>
      </c>
      <c r="B10" s="7" t="n">
        <v>91.9606</v>
      </c>
    </row>
    <row r="11">
      <c r="A11" s="6" t="inlineStr">
        <is>
          <t>Gross margin, 2025</t>
        </is>
      </c>
      <c r="B11" s="18" t="n">
        <v>0.4116</v>
      </c>
    </row>
    <row r="12">
      <c r="A12" s="6" t="inlineStr">
        <is>
          <t>Cash conversion, 2025</t>
        </is>
      </c>
      <c r="B12" s="18"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28"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29" t="n">
        <v>1.4718</v>
      </c>
      <c r="D5" s="25" t="n">
        <v>0.3261</v>
      </c>
      <c r="E5" s="30" t="n">
        <v>0.1848</v>
      </c>
      <c r="F5" s="25" t="n">
        <v>0.4394</v>
      </c>
      <c r="G5" s="25" t="n">
        <v>-0.4419</v>
      </c>
    </row>
    <row r="6">
      <c r="A6" s="4" t="inlineStr">
        <is>
          <t>PHDC</t>
        </is>
      </c>
      <c r="B6" s="6" t="inlineStr">
        <is>
          <t>Palm Hills Developments</t>
        </is>
      </c>
      <c r="C6" s="29" t="n">
        <v>1.0493</v>
      </c>
      <c r="D6" s="25" t="n">
        <v>0.2988</v>
      </c>
      <c r="E6" s="30" t="n">
        <v>0.1823</v>
      </c>
      <c r="F6" s="25" t="n">
        <v>0.4391</v>
      </c>
      <c r="G6" s="25" t="n">
        <v>-0.4866</v>
      </c>
    </row>
    <row r="7">
      <c r="A7" s="6" t="inlineStr">
        <is>
          <t>ORHD</t>
        </is>
      </c>
      <c r="B7" s="6" t="inlineStr">
        <is>
          <t>Orascom Development Egypt</t>
        </is>
      </c>
      <c r="C7" s="29" t="n">
        <v>0.8837</v>
      </c>
      <c r="D7" s="25" t="n">
        <v>0.321</v>
      </c>
      <c r="E7" s="30" t="n">
        <v>0.173</v>
      </c>
      <c r="F7" s="25" t="n">
        <v>0.4636</v>
      </c>
      <c r="G7" s="25" t="n">
        <v>-0.4293</v>
      </c>
    </row>
    <row r="8">
      <c r="A8" s="6" t="inlineStr">
        <is>
          <t>HELI</t>
        </is>
      </c>
      <c r="B8" s="6" t="inlineStr">
        <is>
          <t>Heliopolis Housing and Development</t>
        </is>
      </c>
      <c r="C8" s="29" t="n">
        <v>0.7653</v>
      </c>
      <c r="D8" s="25" t="n">
        <v>0.2884</v>
      </c>
      <c r="E8" s="30" t="n">
        <v>0.1815</v>
      </c>
      <c r="F8" s="25" t="n">
        <v>0.444</v>
      </c>
      <c r="G8" s="25" t="n">
        <v>-0.3958</v>
      </c>
    </row>
    <row r="9">
      <c r="A9" s="6" t="inlineStr">
        <is>
          <t>EMFD</t>
        </is>
      </c>
      <c r="B9" s="6" t="inlineStr">
        <is>
          <t>Emaar Misr for Development</t>
        </is>
      </c>
      <c r="C9" s="29" t="n">
        <v>0.7388</v>
      </c>
      <c r="D9" s="25" t="n">
        <v>0.2441</v>
      </c>
      <c r="E9" s="30" t="n">
        <v>0.1692</v>
      </c>
      <c r="F9" s="25" t="n">
        <v>0.4106</v>
      </c>
      <c r="G9" s="25" t="n">
        <v>-0.4712</v>
      </c>
    </row>
    <row r="10">
      <c r="A10" s="6" t="inlineStr">
        <is>
          <t>PRDC</t>
        </is>
      </c>
      <c r="B10" s="6" t="inlineStr">
        <is>
          <t>Pioneers Properties for Urban Development</t>
        </is>
      </c>
      <c r="C10" s="29" t="n">
        <v>0.7067</v>
      </c>
      <c r="D10" s="25" t="n">
        <v>0.2576</v>
      </c>
      <c r="E10" s="30" t="n">
        <v>0.1864</v>
      </c>
      <c r="F10" s="25" t="n">
        <v>0.4217</v>
      </c>
      <c r="G10" s="25" t="n">
        <v>-0.5199</v>
      </c>
    </row>
    <row r="11">
      <c r="A11" s="6" t="inlineStr">
        <is>
          <t>OCDI</t>
        </is>
      </c>
      <c r="B11" s="6" t="inlineStr">
        <is>
          <t>Sixth of October Development &amp; Investment (SODIC)</t>
        </is>
      </c>
      <c r="C11" s="29" t="n">
        <v>0.4938</v>
      </c>
      <c r="D11" s="25" t="n">
        <v>0.1033</v>
      </c>
      <c r="E11" s="30" t="n">
        <v>0.2237</v>
      </c>
      <c r="F11" s="25" t="n">
        <v>0.4713</v>
      </c>
      <c r="G11" s="25" t="n">
        <v>-0.4658</v>
      </c>
    </row>
    <row r="13" ht="30" customHeight="1">
      <c r="A13" s="31"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2026-08-30T19:09:30Z</dcterms:created>
  <dcterms:modified xmlns:dcterms="http://purl.org/dc/terms/" xmlns:xsi="http://www.w3.org/2001/XMLSchema-instance" xsi:type="dcterms:W3CDTF">2026-08-30T19:09:30Z</dcterms:modified>
</cp:coreProperties>
</file>