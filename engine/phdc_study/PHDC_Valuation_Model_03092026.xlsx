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2 September 2026. Supersedes 30 August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4.98</v>
      </c>
      <c r="C5" s="7" t="n">
        <v>21.09</v>
      </c>
      <c r="D5" s="7" t="n">
        <v>55.07</v>
      </c>
      <c r="E5" s="7" t="n"/>
    </row>
    <row r="6">
      <c r="A6" s="6" t="inlineStr">
        <is>
          <t>Earnings multiple on own history</t>
        </is>
      </c>
      <c r="B6" s="7" t="n">
        <v>5.59</v>
      </c>
      <c r="C6" s="7" t="n">
        <v>8.390000000000001</v>
      </c>
      <c r="D6" s="7" t="n">
        <v>13.05</v>
      </c>
      <c r="E6" s="7" t="n"/>
    </row>
    <row r="7">
      <c r="A7" s="6" t="inlineStr">
        <is>
          <t>Book value of equity — a disclosed floor</t>
        </is>
      </c>
      <c r="B7" s="7" t="n">
        <v>5.97</v>
      </c>
      <c r="C7" s="7" t="n">
        <v>6.63</v>
      </c>
      <c r="D7" s="7" t="n">
        <v>8.619999999999999</v>
      </c>
      <c r="E7" s="7" t="n"/>
    </row>
    <row r="8">
      <c r="A8" s="4" t="inlineStr">
        <is>
          <t>Weighted central</t>
        </is>
      </c>
      <c r="B8" s="7" t="n">
        <v>4.98</v>
      </c>
      <c r="C8" s="7" t="n">
        <v>21.09</v>
      </c>
      <c r="D8" s="7" t="n">
        <v>55.07</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7.65</v>
      </c>
      <c r="C11" s="7" t="n">
        <v>21883</v>
      </c>
      <c r="D11" s="7" t="n">
        <v>41344</v>
      </c>
    </row>
    <row r="12">
      <c r="A12" s="6" t="inlineStr">
        <is>
          <t>Average cash conversion (8.7%)</t>
        </is>
      </c>
      <c r="B12" s="7" t="n">
        <v>21.09</v>
      </c>
      <c r="C12" s="7" t="n">
        <v>60315</v>
      </c>
      <c r="D12" s="7" t="n">
        <v>81664</v>
      </c>
    </row>
    <row r="13">
      <c r="A13" s="6" t="inlineStr">
        <is>
          <t>Strong cash conversion (17.9%)</t>
        </is>
      </c>
      <c r="B13" s="7" t="n">
        <v>46.85</v>
      </c>
      <c r="C13" s="7" t="n">
        <v>133993</v>
      </c>
      <c r="D13" s="7" t="n">
        <v>158963</v>
      </c>
    </row>
    <row r="14">
      <c r="A14" s="6" t="inlineStr">
        <is>
          <t>Average, alternative country-risk basis</t>
        </is>
      </c>
      <c r="B14" s="7" t="n">
        <v>20.7</v>
      </c>
      <c r="C14" s="7" t="n">
        <v>59192</v>
      </c>
      <c r="D14" s="7" t="n">
        <v>80486</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0.0634</v>
      </c>
    </row>
    <row r="20">
      <c r="A20" s="4" t="inlineStr">
        <is>
          <t>Cost of capital</t>
        </is>
      </c>
    </row>
    <row r="21">
      <c r="A21" s="6" t="inlineStr">
        <is>
          <t>Weighted average, rating basis</t>
        </is>
      </c>
      <c r="B21" s="9" t="n">
        <v>0.2608706403474768</v>
      </c>
    </row>
    <row r="22">
      <c r="A22" s="6" t="inlineStr">
        <is>
          <t>Weighted average, swap basis</t>
        </is>
      </c>
      <c r="B22" s="9" t="n">
        <v>0.2510196958005933</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52181.7</v>
      </c>
    </row>
    <row r="5">
      <c r="A5" s="6" t="inlineStr">
        <is>
          <t>Present value of the terminal value</t>
        </is>
      </c>
      <c r="B5" s="10" t="n">
        <v>29482.4</v>
      </c>
    </row>
    <row r="6">
      <c r="A6" s="4" t="inlineStr">
        <is>
          <t>Enterprise value</t>
        </is>
      </c>
      <c r="B6" s="10">
        <f>B4+B5</f>
        <v/>
      </c>
    </row>
    <row r="7">
      <c r="A7" s="6" t="inlineStr">
        <is>
          <t>less net debt, 31 March 2026</t>
        </is>
      </c>
      <c r="B7" s="10">
        <f>-Assumptions!B13</f>
        <v/>
      </c>
    </row>
    <row r="8">
      <c r="A8" s="6" t="inlineStr">
        <is>
          <t>plus investments in associates</t>
        </is>
      </c>
      <c r="B8" s="10">
        <f>Assumptions!B14</f>
        <v/>
      </c>
    </row>
    <row r="9">
      <c r="A9" s="6" t="inlineStr">
        <is>
          <t>plus investment property</t>
        </is>
      </c>
      <c r="B9" s="10">
        <f>Assumptions!B15</f>
        <v/>
      </c>
    </row>
    <row r="10">
      <c r="A10" s="4" t="inlineStr">
        <is>
          <t>Equity value before minority interests</t>
        </is>
      </c>
      <c r="B10" s="10">
        <f>B6+B7+B8+B9</f>
        <v/>
      </c>
    </row>
    <row r="11">
      <c r="A11" s="6" t="inlineStr">
        <is>
          <t>less minority interests at their share of value</t>
        </is>
      </c>
      <c r="B11" s="10">
        <f>-B10*Assumptions!B16</f>
        <v/>
      </c>
    </row>
    <row r="12">
      <c r="A12" s="4" t="inlineStr">
        <is>
          <t>Equity value attributable to shareholders</t>
        </is>
      </c>
      <c r="B12" s="10">
        <f>B10+B11</f>
        <v/>
      </c>
    </row>
    <row r="13">
      <c r="A13" s="6" t="inlineStr">
        <is>
          <t>Shares outstanding (mn)</t>
        </is>
      </c>
      <c r="B13" s="10">
        <f>Assumptions!B17</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0.3832237248431056</v>
      </c>
      <c r="C8" s="2" t="inlineStr">
        <is>
          <t>average of FY2025 and 1Q2026 as reported</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0.12</v>
      </c>
      <c r="C11" s="2" t="inlineStr">
        <is>
          <t>below nominal growth, stated</t>
        </is>
      </c>
    </row>
    <row r="12">
      <c r="A12" s="6" t="inlineStr">
        <is>
          <t>Cost of capital</t>
        </is>
      </c>
      <c r="B12" s="12" t="n">
        <v>0.2608706403474768</v>
      </c>
      <c r="C12" s="2" t="inlineStr">
        <is>
          <t>built on the Fundamental Valuation and Peer sheets</t>
        </is>
      </c>
    </row>
    <row r="13">
      <c r="A13" s="6" t="inlineStr">
        <is>
          <t>Net debt (EGP mn)</t>
        </is>
      </c>
      <c r="B13" s="13" t="n">
        <v>23244.718678</v>
      </c>
      <c r="C13" s="2" t="inlineStr">
        <is>
          <t>gross borrowings less cash, 31 March 2026 reviewed balance sheet</t>
        </is>
      </c>
    </row>
    <row r="14">
      <c r="A14" s="6" t="inlineStr">
        <is>
          <t>Investments in associates (EGP mn)</t>
        </is>
      </c>
      <c r="B14" s="13" t="n">
        <v>3838.697211</v>
      </c>
      <c r="C14" s="2" t="inlineStr">
        <is>
          <t>31 March 2026 reviewed balance sheet</t>
        </is>
      </c>
    </row>
    <row r="15">
      <c r="A15" s="6" t="inlineStr">
        <is>
          <t>Investment property (EGP mn)</t>
        </is>
      </c>
      <c r="B15" s="13" t="n">
        <v>1020.474869</v>
      </c>
      <c r="C15" s="2" t="inlineStr">
        <is>
          <t>31 March 2026 reviewed balance sheet</t>
        </is>
      </c>
    </row>
    <row r="16">
      <c r="A16" s="6" t="inlineStr">
        <is>
          <t>Minority interests, share of equity value</t>
        </is>
      </c>
      <c r="B16" s="12" t="n">
        <v>0.0468375604683756</v>
      </c>
      <c r="C16" s="2" t="inlineStr">
        <is>
          <t>the minority's filed share of FY2025 profit after tax, as its share of value</t>
        </is>
      </c>
    </row>
    <row r="17">
      <c r="A17" s="6" t="inlineStr">
        <is>
          <t>Shares outstanding (mn)</t>
        </is>
      </c>
      <c r="B17" s="13" t="n">
        <v>2859.92</v>
      </c>
      <c r="C17" s="2" t="inlineStr">
        <is>
          <t>FY2025</t>
        </is>
      </c>
    </row>
    <row r="18">
      <c r="A18" s="6" t="inlineStr">
        <is>
          <t>Opening revenue (EGP mn)</t>
        </is>
      </c>
      <c r="B18" s="13" t="n">
        <v>36169.3</v>
      </c>
      <c r="C18" s="2" t="inlineStr">
        <is>
          <t>FY2025 audited</t>
        </is>
      </c>
    </row>
    <row r="19">
      <c r="A19" s="6" t="inlineStr">
        <is>
          <t>Opening order book (EGP mn)</t>
        </is>
      </c>
      <c r="B19" s="13" t="n">
        <v>263000</v>
      </c>
      <c r="C19" s="2" t="inlineStr">
        <is>
          <t>as at 31 March 2026</t>
        </is>
      </c>
    </row>
    <row r="20">
      <c r="A20" s="6" t="inlineStr">
        <is>
          <t>Units delivered, 2026</t>
        </is>
      </c>
      <c r="B20" s="14" t="n">
        <v>2035.093098749406</v>
      </c>
      <c r="C20" s="2" t="inlineStr">
        <is>
          <t>implied by the reported first quarter of 2026</t>
        </is>
      </c>
    </row>
    <row r="21">
      <c r="A21" s="6" t="inlineStr">
        <is>
          <t>Units delivered, annual growth</t>
        </is>
      </c>
      <c r="B21" s="12" t="n">
        <v>0.15</v>
      </c>
      <c r="C21" s="2" t="inlineStr">
        <is>
          <t>the disclosed run of handovers, 1,308 / 1,281 / 1,500 / 2,000</t>
        </is>
      </c>
    </row>
    <row r="22">
      <c r="A22" s="6" t="inlineStr">
        <is>
          <t>Revenue per delivered unit, 2026 (EGP mn)</t>
        </is>
      </c>
      <c r="B22" s="8" t="n">
        <v>19.727806568</v>
      </c>
      <c r="C22" s="2" t="inlineStr">
        <is>
          <t>FY2024 revenue over c. 2,000 units delivered, escalated</t>
        </is>
      </c>
    </row>
    <row r="23">
      <c r="A23" s="6" t="inlineStr">
        <is>
          <t>Maintenance capital expenditure, share of revenue</t>
        </is>
      </c>
      <c r="B23" s="12" t="n">
        <v>0.01</v>
      </c>
      <c r="C23" s="2" t="inlineStr">
        <is>
          <t>the building itself is inventory and sits in operating cash</t>
        </is>
      </c>
    </row>
    <row r="25">
      <c r="A25" s="4" t="inlineStr">
        <is>
          <t>NOT DISCLOSED — absent by design, never estimated</t>
        </is>
      </c>
    </row>
    <row r="26">
      <c r="A26" s="6" t="inlineStr">
        <is>
          <t>cash flow statement detail</t>
        </is>
      </c>
      <c r="C26" s="2" t="inlineStr">
        <is>
          <t>The FY2025 cash-flow statement is published in its three totals only (operating EGP 1,424.2mn, investing EGP -4,031.7mn, financing EGP 5,628.8mn); no line-by-line statement is post</t>
        </is>
      </c>
    </row>
    <row r="27">
      <c r="A27" s="6" t="inlineStr">
        <is>
          <t>fy2025 results release</t>
        </is>
      </c>
      <c r="C27" s="2" t="inlineStr">
        <is>
          <t>PHD has published FY2025 consolidated statements but NO FY2025 full-year results release. The release is where units sold, new sales, deliveries and construction spend are disclose</t>
        </is>
      </c>
    </row>
    <row r="28">
      <c r="A28" s="6" t="inlineStr">
        <is>
          <t>h1 2026 results</t>
        </is>
      </c>
      <c r="C28" s="2" t="inlineStr">
        <is>
          <t>As at this build date (30-Aug-2026) no 2Q/H1-2026 statements or release are posted to the result centre; the newest disclosure of any kind is 1Q2026 (posted 25-Jun-2026). The study</t>
        </is>
      </c>
    </row>
    <row r="29">
      <c r="A29" s="6" t="inlineStr">
        <is>
          <t>securitisation pricing</t>
        </is>
      </c>
      <c r="C29" s="2" t="inlineStr">
        <is>
          <t>The EGP 2.015bn securitisation of 4-Feb-2026 discloses tranche sizes, tenors and national-scale ratings but NO coupon on any tranche, so the company's own marginal cost of debt can</t>
        </is>
      </c>
    </row>
    <row r="30">
      <c r="A30" s="6" t="inlineStr">
        <is>
          <t>per project pricing</t>
        </is>
      </c>
      <c r="C30" s="2" t="inlineStr">
        <is>
          <t>The company does not disclose per-project unit mix, average unit area, price per square metre or construction cost per square metre. The 11-Jun-2026 edition carried a full per-proj</t>
        </is>
      </c>
    </row>
    <row r="31">
      <c r="A31" s="6" t="inlineStr">
        <is>
          <t>backlog cost to complete</t>
        </is>
      </c>
      <c r="C31"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81664.10000000001</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-(B4+B5+B6+B7+B8)*Assumptions!B16</f>
        <v/>
      </c>
    </row>
    <row r="10">
      <c r="A10" s="4" t="inlineStr">
        <is>
          <t>Equity value attributable to shareholders</t>
        </is>
      </c>
      <c r="B10" s="10">
        <f>B4+B5+B6+B7+B8+B9</f>
        <v/>
      </c>
    </row>
    <row r="11">
      <c r="A11" s="4" t="inlineStr">
        <is>
          <t>Per share (EGP)</t>
        </is>
      </c>
      <c r="B11" s="7">
        <f>B10/Assumptions!B17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Assumptions!$B$20</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Assumptions!$B$22</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-B9*Assumptions!$B$23</f>
        <v/>
      </c>
      <c r="C13" s="21">
        <f>-C9*Assumptions!$B$23</f>
        <v/>
      </c>
      <c r="D13" s="21">
        <f>-D9*Assumptions!$B$23</f>
        <v/>
      </c>
      <c r="E13" s="21">
        <f>-E9*Assumptions!$B$23</f>
        <v/>
      </c>
      <c r="F13" s="21">
        <f>-F9*Assumptions!$B$23</f>
        <v/>
      </c>
      <c r="G13" s="21">
        <f>-G9*Assumptions!$B$23</f>
        <v/>
      </c>
      <c r="H13" s="21">
        <f>-H9*Assumptions!$B$23</f>
        <v/>
      </c>
      <c r="I13" s="21">
        <f>-I9*Assumptions!$B$23</f>
        <v/>
      </c>
      <c r="J13" s="21">
        <f>-J9*Assumptions!$B$23</f>
        <v/>
      </c>
      <c r="K13" s="21">
        <f>-K9*Assumptions!$B$23</f>
        <v/>
      </c>
      <c r="L13" s="21">
        <f>-L9*Assumptions!$B$23</f>
        <v/>
      </c>
      <c r="M13" s="21">
        <f>-M9*Assumptions!$B$23</f>
        <v/>
      </c>
      <c r="N13" s="21">
        <f>-N9*Assumptions!$B$23</f>
        <v/>
      </c>
      <c r="O13" s="21">
        <f>-O9*Assumptions!$B$23</f>
        <v/>
      </c>
      <c r="P13" s="21">
        <f>-P9*Assumptions!$B$23</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0.249647</v>
      </c>
      <c r="C16" s="12" t="n">
        <v>0.213967</v>
      </c>
      <c r="D16" s="12" t="n">
        <v>0.185423</v>
      </c>
      <c r="E16" s="12" t="n">
        <v>0.164015</v>
      </c>
      <c r="F16" s="12" t="n">
        <v>0.149743</v>
      </c>
      <c r="G16" s="12" t="n">
        <v>0.149743</v>
      </c>
      <c r="H16" s="12" t="n">
        <v>0.149743</v>
      </c>
      <c r="I16" s="12" t="n">
        <v>0.149743</v>
      </c>
      <c r="J16" s="12" t="n">
        <v>0.149743</v>
      </c>
      <c r="K16" s="12" t="n">
        <v>0.149743</v>
      </c>
      <c r="L16" s="12" t="n">
        <v>0.149743</v>
      </c>
      <c r="M16" s="12" t="n">
        <v>0.149743</v>
      </c>
      <c r="N16" s="12" t="n">
        <v>0.149743</v>
      </c>
      <c r="O16" s="12" t="n">
        <v>0.149743</v>
      </c>
      <c r="P16" s="12" t="n">
        <v>0.149743</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29482.4</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12.7276</v>
      </c>
      <c r="C10" s="25" t="n">
        <v>14.2549</v>
      </c>
      <c r="D10" s="25" t="n">
        <v>15.5379</v>
      </c>
      <c r="E10" s="25" t="n">
        <v>16.7032</v>
      </c>
      <c r="F10" s="25" t="n">
        <v>17.8724</v>
      </c>
      <c r="G10" s="25" t="n">
        <v>19.1235</v>
      </c>
      <c r="H10" s="25" t="n">
        <v>20.4622</v>
      </c>
      <c r="I10" s="25" t="n">
        <v>21.8945</v>
      </c>
      <c r="J10" s="25" t="n">
        <v>23.4271</v>
      </c>
      <c r="K10" s="25" t="n">
        <v>25.067</v>
      </c>
      <c r="L10" s="25" t="n">
        <v>26.8217</v>
      </c>
      <c r="M10" s="25" t="n">
        <v>28.6992</v>
      </c>
      <c r="N10" s="25" t="n">
        <v>30.7082</v>
      </c>
      <c r="O10" s="25" t="n">
        <v>32.8578</v>
      </c>
      <c r="P10" s="25" t="n">
        <v>35.1578</v>
      </c>
    </row>
    <row r="11">
      <c r="A11" s="6" t="inlineStr">
        <is>
          <t>Cost of revenue</t>
        </is>
      </c>
      <c r="B11" s="24" t="n">
        <v>25901.8858</v>
      </c>
      <c r="C11" s="24" t="n">
        <v>33361.6289</v>
      </c>
      <c r="D11" s="24" t="n">
        <v>41273.3392</v>
      </c>
      <c r="E11" s="24" t="n">
        <v>49693.1004</v>
      </c>
      <c r="F11" s="24" t="n">
        <v>58754.6373</v>
      </c>
      <c r="G11" s="24" t="n">
        <v>68525.53350000001</v>
      </c>
      <c r="H11" s="24" t="n">
        <v>78821.49490000001</v>
      </c>
      <c r="I11" s="24" t="n">
        <v>89399.3395</v>
      </c>
      <c r="J11" s="24" t="n">
        <v>99961.8714</v>
      </c>
      <c r="K11" s="24" t="n">
        <v>110167.9785</v>
      </c>
      <c r="L11" s="24" t="n">
        <v>119647.9331</v>
      </c>
      <c r="M11" s="24" t="n">
        <v>128023.2884</v>
      </c>
      <c r="N11" s="24" t="n">
        <v>136984.9185</v>
      </c>
      <c r="O11" s="24" t="n">
        <v>146573.8628</v>
      </c>
      <c r="P11" s="24" t="n">
        <v>156834.0332</v>
      </c>
    </row>
    <row r="12">
      <c r="A12" s="4" t="inlineStr">
        <is>
          <t>Gross profit</t>
        </is>
      </c>
      <c r="B12" s="24" t="n">
        <v>14246.0372</v>
      </c>
      <c r="C12" s="24" t="n">
        <v>18348.8959</v>
      </c>
      <c r="D12" s="24" t="n">
        <v>22700.3366</v>
      </c>
      <c r="E12" s="24" t="n">
        <v>27331.2052</v>
      </c>
      <c r="F12" s="24" t="n">
        <v>32315.0505</v>
      </c>
      <c r="G12" s="24" t="n">
        <v>37689.0434</v>
      </c>
      <c r="H12" s="24" t="n">
        <v>43351.8222</v>
      </c>
      <c r="I12" s="24" t="n">
        <v>49169.6367</v>
      </c>
      <c r="J12" s="24" t="n">
        <v>54979.0293</v>
      </c>
      <c r="K12" s="24" t="n">
        <v>60592.3882</v>
      </c>
      <c r="L12" s="24" t="n">
        <v>65806.36320000001</v>
      </c>
      <c r="M12" s="24" t="n">
        <v>70412.8086</v>
      </c>
      <c r="N12" s="24" t="n">
        <v>75341.7052</v>
      </c>
      <c r="O12" s="24" t="n">
        <v>80615.6246</v>
      </c>
      <c r="P12" s="24" t="n">
        <v>86258.71829999999</v>
      </c>
    </row>
    <row r="13">
      <c r="A13" s="6" t="inlineStr">
        <is>
          <t>Gross margin</t>
        </is>
      </c>
      <c r="B13" s="26" t="n">
        <v>0.3548</v>
      </c>
      <c r="C13" s="26" t="n">
        <v>0.3548</v>
      </c>
      <c r="D13" s="26" t="n">
        <v>0.3548</v>
      </c>
      <c r="E13" s="26" t="n">
        <v>0.3548</v>
      </c>
      <c r="F13" s="26" t="n">
        <v>0.3548</v>
      </c>
      <c r="G13" s="26" t="n">
        <v>0.3548</v>
      </c>
      <c r="H13" s="26" t="n">
        <v>0.3548</v>
      </c>
      <c r="I13" s="26" t="n">
        <v>0.3548</v>
      </c>
      <c r="J13" s="26" t="n">
        <v>0.3548</v>
      </c>
      <c r="K13" s="26" t="n">
        <v>0.3548</v>
      </c>
      <c r="L13" s="26" t="n">
        <v>0.3548</v>
      </c>
      <c r="M13" s="26" t="n">
        <v>0.3548</v>
      </c>
      <c r="N13" s="26" t="n">
        <v>0.3548</v>
      </c>
      <c r="O13" s="26" t="n">
        <v>0.3548</v>
      </c>
      <c r="P13" s="26" t="n">
        <v>0.3548</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6787.6142</v>
      </c>
      <c r="C15" s="24" t="n">
        <v>8742.447099999999</v>
      </c>
      <c r="D15" s="24" t="n">
        <v>10815.7184</v>
      </c>
      <c r="E15" s="24" t="n">
        <v>13022.125</v>
      </c>
      <c r="F15" s="24" t="n">
        <v>15396.7094</v>
      </c>
      <c r="G15" s="24" t="n">
        <v>17957.1822</v>
      </c>
      <c r="H15" s="24" t="n">
        <v>20655.2489</v>
      </c>
      <c r="I15" s="24" t="n">
        <v>23427.1833</v>
      </c>
      <c r="J15" s="24" t="n">
        <v>26195.105</v>
      </c>
      <c r="K15" s="24" t="n">
        <v>28869.6252</v>
      </c>
      <c r="L15" s="24" t="n">
        <v>31353.8564</v>
      </c>
      <c r="M15" s="24" t="n">
        <v>33548.6264</v>
      </c>
      <c r="N15" s="24" t="n">
        <v>35897.0302</v>
      </c>
      <c r="O15" s="24" t="n">
        <v>38409.8223</v>
      </c>
      <c r="P15" s="24" t="n">
        <v>41098.5099</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3440.1142</v>
      </c>
      <c r="C17" s="24" t="n">
        <v>5394.9471</v>
      </c>
      <c r="D17" s="24" t="n">
        <v>7468.2184</v>
      </c>
      <c r="E17" s="24" t="n">
        <v>9674.625</v>
      </c>
      <c r="F17" s="24" t="n">
        <v>12049.2094</v>
      </c>
      <c r="G17" s="24" t="n">
        <v>14609.6822</v>
      </c>
      <c r="H17" s="24" t="n">
        <v>17307.7489</v>
      </c>
      <c r="I17" s="24" t="n">
        <v>20079.6833</v>
      </c>
      <c r="J17" s="24" t="n">
        <v>22847.605</v>
      </c>
      <c r="K17" s="24" t="n">
        <v>25522.1252</v>
      </c>
      <c r="L17" s="24" t="n">
        <v>28006.3564</v>
      </c>
      <c r="M17" s="24" t="n">
        <v>30201.1264</v>
      </c>
      <c r="N17" s="24" t="n">
        <v>32549.5302</v>
      </c>
      <c r="O17" s="24" t="n">
        <v>35062.3223</v>
      </c>
      <c r="P17" s="24" t="n">
        <v>37751.0099</v>
      </c>
    </row>
    <row r="18">
      <c r="A18" s="4" t="inlineStr">
        <is>
          <t>Net profit</t>
        </is>
      </c>
      <c r="B18" s="24" t="n">
        <v>2666.0885</v>
      </c>
      <c r="C18" s="24" t="n">
        <v>4181.084</v>
      </c>
      <c r="D18" s="24" t="n">
        <v>5787.8693</v>
      </c>
      <c r="E18" s="24" t="n">
        <v>7497.8343</v>
      </c>
      <c r="F18" s="24" t="n">
        <v>9338.1373</v>
      </c>
      <c r="G18" s="24" t="n">
        <v>11322.5037</v>
      </c>
      <c r="H18" s="24" t="n">
        <v>13413.5054</v>
      </c>
      <c r="I18" s="24" t="n">
        <v>15561.7545</v>
      </c>
      <c r="J18" s="24" t="n">
        <v>17706.8938</v>
      </c>
      <c r="K18" s="24" t="n">
        <v>19779.647</v>
      </c>
      <c r="L18" s="24" t="n">
        <v>21704.9262</v>
      </c>
      <c r="M18" s="24" t="n">
        <v>23405.8729</v>
      </c>
      <c r="N18" s="24" t="n">
        <v>25225.8859</v>
      </c>
      <c r="O18" s="24" t="n">
        <v>27173.2998</v>
      </c>
      <c r="P18" s="24" t="n">
        <v>29257.0327</v>
      </c>
    </row>
    <row r="19">
      <c r="A19" s="6" t="inlineStr">
        <is>
          <t>Earnings per share (EGP)</t>
        </is>
      </c>
      <c r="B19" s="25" t="n">
        <v>0.9322</v>
      </c>
      <c r="C19" s="25" t="n">
        <v>1.462</v>
      </c>
      <c r="D19" s="25" t="n">
        <v>2.0238</v>
      </c>
      <c r="E19" s="25" t="n">
        <v>2.6217</v>
      </c>
      <c r="F19" s="25" t="n">
        <v>3.2652</v>
      </c>
      <c r="G19" s="25" t="n">
        <v>3.959</v>
      </c>
      <c r="H19" s="25" t="n">
        <v>4.6902</v>
      </c>
      <c r="I19" s="25" t="n">
        <v>5.4413</v>
      </c>
      <c r="J19" s="25" t="n">
        <v>6.1914</v>
      </c>
      <c r="K19" s="25" t="n">
        <v>6.9162</v>
      </c>
      <c r="L19" s="25" t="n">
        <v>7.5893</v>
      </c>
      <c r="M19" s="25" t="n">
        <v>8.184100000000001</v>
      </c>
      <c r="N19" s="25" t="n">
        <v>8.820499999999999</v>
      </c>
      <c r="O19" s="25" t="n">
        <v>9.5014</v>
      </c>
      <c r="P19" s="25" t="n">
        <v>10.23</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102780.6851</v>
      </c>
      <c r="C16" s="21" t="n">
        <v>103081.1032</v>
      </c>
      <c r="D16" s="21" t="n">
        <v>104474.5979</v>
      </c>
      <c r="E16" s="21" t="n">
        <v>107031.3611</v>
      </c>
      <c r="F16" s="21" t="n">
        <v>110840.0601</v>
      </c>
      <c r="G16" s="21" t="n">
        <v>115998.6995</v>
      </c>
      <c r="H16" s="21" t="n">
        <v>122579.822</v>
      </c>
      <c r="I16" s="21" t="n">
        <v>130622.3724</v>
      </c>
      <c r="J16" s="21" t="n">
        <v>140124.2351</v>
      </c>
      <c r="K16" s="21" t="n">
        <v>151036.1666</v>
      </c>
      <c r="L16" s="21" t="n">
        <v>163257.8423</v>
      </c>
      <c r="M16" s="21" t="n">
        <v>176636.6514</v>
      </c>
      <c r="N16" s="21" t="n">
        <v>191253.5933</v>
      </c>
      <c r="O16" s="21" t="n">
        <v>207195.3372</v>
      </c>
      <c r="P16" s="21" t="n">
        <v>224554.6194</v>
      </c>
    </row>
    <row r="17">
      <c r="A17" s="6" t="inlineStr">
        <is>
          <t>Work in progress</t>
        </is>
      </c>
      <c r="B17" s="21" t="n">
        <v>17446.9465</v>
      </c>
      <c r="C17" s="21" t="n">
        <v>17497.9423</v>
      </c>
      <c r="D17" s="21" t="n">
        <v>17734.487</v>
      </c>
      <c r="E17" s="21" t="n">
        <v>18168.4957</v>
      </c>
      <c r="F17" s="21" t="n">
        <v>18815.0196</v>
      </c>
      <c r="G17" s="21" t="n">
        <v>19690.6949</v>
      </c>
      <c r="H17" s="21" t="n">
        <v>20807.8356</v>
      </c>
      <c r="I17" s="21" t="n">
        <v>22173.0527</v>
      </c>
      <c r="J17" s="21" t="n">
        <v>23785.987</v>
      </c>
      <c r="K17" s="21" t="n">
        <v>25638.2795</v>
      </c>
      <c r="L17" s="21" t="n">
        <v>27712.9</v>
      </c>
      <c r="M17" s="21" t="n">
        <v>29983.9431</v>
      </c>
      <c r="N17" s="21" t="n">
        <v>32465.1584</v>
      </c>
      <c r="O17" s="21" t="n">
        <v>35171.2578</v>
      </c>
      <c r="P17" s="21" t="n">
        <v>38117.9833</v>
      </c>
    </row>
    <row r="18">
      <c r="A18" s="6" t="inlineStr">
        <is>
          <t>Other receivables and prepayments</t>
        </is>
      </c>
      <c r="B18" s="21" t="n">
        <v>12830.8421</v>
      </c>
      <c r="C18" s="21" t="n">
        <v>12868.3454</v>
      </c>
      <c r="D18" s="21" t="n">
        <v>13042.3052</v>
      </c>
      <c r="E18" s="21" t="n">
        <v>13361.4841</v>
      </c>
      <c r="F18" s="21" t="n">
        <v>13836.951</v>
      </c>
      <c r="G18" s="21" t="n">
        <v>14480.9406</v>
      </c>
      <c r="H18" s="21" t="n">
        <v>15302.5088</v>
      </c>
      <c r="I18" s="21" t="n">
        <v>16306.5174</v>
      </c>
      <c r="J18" s="21" t="n">
        <v>17492.7024</v>
      </c>
      <c r="K18" s="21" t="n">
        <v>18854.9162</v>
      </c>
      <c r="L18" s="21" t="n">
        <v>20380.6347</v>
      </c>
      <c r="M18" s="21" t="n">
        <v>22050.8063</v>
      </c>
      <c r="N18" s="21" t="n">
        <v>23875.5429</v>
      </c>
      <c r="O18" s="21" t="n">
        <v>25865.6639</v>
      </c>
      <c r="P18" s="21" t="n">
        <v>28032.7462</v>
      </c>
    </row>
    <row r="19">
      <c r="A19" s="6" t="inlineStr">
        <is>
          <t>Advances to suppliers</t>
        </is>
      </c>
      <c r="B19" s="21" t="n">
        <v>8992.3133</v>
      </c>
      <c r="C19" s="21" t="n">
        <v>9018.5969</v>
      </c>
      <c r="D19" s="21" t="n">
        <v>9140.5142</v>
      </c>
      <c r="E19" s="21" t="n">
        <v>9364.206200000001</v>
      </c>
      <c r="F19" s="21" t="n">
        <v>9697.430399999999</v>
      </c>
      <c r="G19" s="21" t="n">
        <v>10148.7614</v>
      </c>
      <c r="H19" s="21" t="n">
        <v>10724.5458</v>
      </c>
      <c r="I19" s="21" t="n">
        <v>11428.1909</v>
      </c>
      <c r="J19" s="21" t="n">
        <v>12259.5118</v>
      </c>
      <c r="K19" s="21" t="n">
        <v>13214.2</v>
      </c>
      <c r="L19" s="21" t="n">
        <v>14283.4781</v>
      </c>
      <c r="M19" s="21" t="n">
        <v>15453.9941</v>
      </c>
      <c r="N19" s="21" t="n">
        <v>16732.8348</v>
      </c>
      <c r="O19" s="21" t="n">
        <v>18127.5828</v>
      </c>
      <c r="P19" s="21" t="n">
        <v>19646.3517</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174226.335</v>
      </c>
      <c r="C23" s="22" t="n">
        <v>178641.7393</v>
      </c>
      <c r="D23" s="22" t="n">
        <v>185516.5074</v>
      </c>
      <c r="E23" s="22" t="n">
        <v>195008.5676</v>
      </c>
      <c r="F23" s="22" t="n">
        <v>207317.4165</v>
      </c>
      <c r="G23" s="22" t="n">
        <v>222663.5593</v>
      </c>
      <c r="H23" s="22" t="n">
        <v>241210.2129</v>
      </c>
      <c r="I23" s="22" t="n">
        <v>263045.0012</v>
      </c>
      <c r="J23" s="22" t="n">
        <v>288163.1641</v>
      </c>
      <c r="K23" s="22" t="n">
        <v>316453.9067</v>
      </c>
      <c r="L23" s="22" t="n">
        <v>347691.5035</v>
      </c>
      <c r="M23" s="22" t="n">
        <v>381532.5888</v>
      </c>
      <c r="N23" s="22" t="n">
        <v>418159.4067</v>
      </c>
      <c r="O23" s="22" t="n">
        <v>457766.9584</v>
      </c>
      <c r="P23" s="22" t="n">
        <v>500563.8955</v>
      </c>
    </row>
    <row r="24">
      <c r="A24" s="6" t="inlineStr">
        <is>
          <t>Customer advances</t>
        </is>
      </c>
      <c r="B24" s="21" t="n">
        <v>68864.84329999999</v>
      </c>
      <c r="C24" s="21" t="n">
        <v>69066.1287</v>
      </c>
      <c r="D24" s="21" t="n">
        <v>69999.79429999999</v>
      </c>
      <c r="E24" s="21" t="n">
        <v>71712.87</v>
      </c>
      <c r="F24" s="21" t="n">
        <v>74264.7645</v>
      </c>
      <c r="G24" s="21" t="n">
        <v>77721.1425</v>
      </c>
      <c r="H24" s="21" t="n">
        <v>82130.6088</v>
      </c>
      <c r="I24" s="21" t="n">
        <v>87519.25719999999</v>
      </c>
      <c r="J24" s="21" t="n">
        <v>93885.6701</v>
      </c>
      <c r="K24" s="21" t="n">
        <v>101196.8537</v>
      </c>
      <c r="L24" s="21" t="n">
        <v>109385.5886</v>
      </c>
      <c r="M24" s="21" t="n">
        <v>118349.6229</v>
      </c>
      <c r="N24" s="21" t="n">
        <v>128143.2277</v>
      </c>
      <c r="O24" s="21" t="n">
        <v>138824.4729</v>
      </c>
      <c r="P24" s="21" t="n">
        <v>150455.4934</v>
      </c>
    </row>
    <row r="25">
      <c r="A25" s="6" t="inlineStr">
        <is>
          <t>Suppliers</t>
        </is>
      </c>
      <c r="B25" s="21" t="n">
        <v>3780.1436</v>
      </c>
      <c r="C25" s="21" t="n">
        <v>3791.1926</v>
      </c>
      <c r="D25" s="21" t="n">
        <v>3842.4436</v>
      </c>
      <c r="E25" s="21" t="n">
        <v>3936.4781</v>
      </c>
      <c r="F25" s="21" t="n">
        <v>4076.5572</v>
      </c>
      <c r="G25" s="21" t="n">
        <v>4266.2855</v>
      </c>
      <c r="H25" s="21" t="n">
        <v>4508.3308</v>
      </c>
      <c r="I25" s="21" t="n">
        <v>4804.1257</v>
      </c>
      <c r="J25" s="21" t="n">
        <v>5153.5922</v>
      </c>
      <c r="K25" s="21" t="n">
        <v>5554.9192</v>
      </c>
      <c r="L25" s="21" t="n">
        <v>6004.417</v>
      </c>
      <c r="M25" s="21" t="n">
        <v>6496.4727</v>
      </c>
      <c r="N25" s="21" t="n">
        <v>7034.0653</v>
      </c>
      <c r="O25" s="21" t="n">
        <v>7620.3825</v>
      </c>
      <c r="P25" s="21" t="n">
        <v>8258.8349</v>
      </c>
    </row>
    <row r="26">
      <c r="A26" s="6" t="inlineStr">
        <is>
          <t>Other creditors</t>
        </is>
      </c>
      <c r="B26" s="21" t="n">
        <v>5085.5691</v>
      </c>
      <c r="C26" s="21" t="n">
        <v>5100.4337</v>
      </c>
      <c r="D26" s="21" t="n">
        <v>5169.3836</v>
      </c>
      <c r="E26" s="21" t="n">
        <v>5295.8918</v>
      </c>
      <c r="F26" s="21" t="n">
        <v>5484.3455</v>
      </c>
      <c r="G26" s="21" t="n">
        <v>5739.594</v>
      </c>
      <c r="H26" s="21" t="n">
        <v>6065.2267</v>
      </c>
      <c r="I26" s="21" t="n">
        <v>6463.1706</v>
      </c>
      <c r="J26" s="21" t="n">
        <v>6933.321</v>
      </c>
      <c r="K26" s="21" t="n">
        <v>7473.2413</v>
      </c>
      <c r="L26" s="21" t="n">
        <v>8077.9675</v>
      </c>
      <c r="M26" s="21" t="n">
        <v>8739.9485</v>
      </c>
      <c r="N26" s="21" t="n">
        <v>9463.1921</v>
      </c>
      <c r="O26" s="21" t="n">
        <v>10251.9866</v>
      </c>
      <c r="P26" s="21" t="n">
        <v>11110.9206</v>
      </c>
    </row>
    <row r="27">
      <c r="A27" s="6" t="inlineStr">
        <is>
          <t>Cheques under collection</t>
        </is>
      </c>
      <c r="B27" s="21" t="n">
        <v>2436.3904</v>
      </c>
      <c r="C27" s="21" t="n">
        <v>2443.5118</v>
      </c>
      <c r="D27" s="21" t="n">
        <v>2476.5442</v>
      </c>
      <c r="E27" s="21" t="n">
        <v>2537.1516</v>
      </c>
      <c r="F27" s="21" t="n">
        <v>2627.4359</v>
      </c>
      <c r="G27" s="21" t="n">
        <v>2749.7202</v>
      </c>
      <c r="H27" s="21" t="n">
        <v>2905.724</v>
      </c>
      <c r="I27" s="21" t="n">
        <v>3096.3707</v>
      </c>
      <c r="J27" s="21" t="n">
        <v>3321.61</v>
      </c>
      <c r="K27" s="21" t="n">
        <v>3580.2746</v>
      </c>
      <c r="L27" s="21" t="n">
        <v>3869.9863</v>
      </c>
      <c r="M27" s="21" t="n">
        <v>4187.1277</v>
      </c>
      <c r="N27" s="21" t="n">
        <v>4533.6186</v>
      </c>
      <c r="O27" s="21" t="n">
        <v>4911.5137</v>
      </c>
      <c r="P27" s="21" t="n">
        <v>5323.0111</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152794.4465</v>
      </c>
      <c r="C30" s="22" t="n">
        <v>153028.7668</v>
      </c>
      <c r="D30" s="22" t="n">
        <v>154115.6657</v>
      </c>
      <c r="E30" s="22" t="n">
        <v>156109.8915</v>
      </c>
      <c r="F30" s="22" t="n">
        <v>159080.6031</v>
      </c>
      <c r="G30" s="22" t="n">
        <v>163104.2421</v>
      </c>
      <c r="H30" s="22" t="n">
        <v>168237.3904</v>
      </c>
      <c r="I30" s="22" t="n">
        <v>174510.4241</v>
      </c>
      <c r="J30" s="22" t="n">
        <v>181921.6932</v>
      </c>
      <c r="K30" s="22" t="n">
        <v>190432.7888</v>
      </c>
      <c r="L30" s="22" t="n">
        <v>199965.4594</v>
      </c>
      <c r="M30" s="22" t="n">
        <v>210400.6718</v>
      </c>
      <c r="N30" s="22" t="n">
        <v>221801.6037</v>
      </c>
      <c r="O30" s="22" t="n">
        <v>234235.8557</v>
      </c>
      <c r="P30" s="22" t="n">
        <v>247775.76</v>
      </c>
    </row>
    <row r="31">
      <c r="A31" s="6" t="inlineStr">
        <is>
          <t>Shareholders' funds</t>
        </is>
      </c>
      <c r="B31" s="21" t="n">
        <v>21431.8885</v>
      </c>
      <c r="C31" s="21" t="n">
        <v>25612.9725</v>
      </c>
      <c r="D31" s="21" t="n">
        <v>31400.8418</v>
      </c>
      <c r="E31" s="21" t="n">
        <v>38898.6761</v>
      </c>
      <c r="F31" s="21" t="n">
        <v>48236.8134</v>
      </c>
      <c r="G31" s="21" t="n">
        <v>59559.3171</v>
      </c>
      <c r="H31" s="21" t="n">
        <v>72972.82249999999</v>
      </c>
      <c r="I31" s="21" t="n">
        <v>88534.577</v>
      </c>
      <c r="J31" s="21" t="n">
        <v>106241.4709</v>
      </c>
      <c r="K31" s="21" t="n">
        <v>126021.1179</v>
      </c>
      <c r="L31" s="21" t="n">
        <v>147726.0441</v>
      </c>
      <c r="M31" s="21" t="n">
        <v>171131.9171</v>
      </c>
      <c r="N31" s="21" t="n">
        <v>196357.803</v>
      </c>
      <c r="O31" s="21" t="n">
        <v>223531.1028</v>
      </c>
      <c r="P31" s="21" t="n">
        <v>252788.1354</v>
      </c>
    </row>
    <row r="32">
      <c r="A32" s="4" t="inlineStr">
        <is>
          <t>TOTAL LIABILITIES AND EQUITY</t>
        </is>
      </c>
      <c r="B32" s="22" t="n">
        <v>174226.335</v>
      </c>
      <c r="C32" s="22" t="n">
        <v>178641.7393</v>
      </c>
      <c r="D32" s="22" t="n">
        <v>185516.5074</v>
      </c>
      <c r="E32" s="22" t="n">
        <v>195008.5676</v>
      </c>
      <c r="F32" s="22" t="n">
        <v>207317.4165</v>
      </c>
      <c r="G32" s="22" t="n">
        <v>222663.5593</v>
      </c>
      <c r="H32" s="22" t="n">
        <v>241210.2129</v>
      </c>
      <c r="I32" s="22" t="n">
        <v>263045.0012</v>
      </c>
      <c r="J32" s="22" t="n">
        <v>288163.1641</v>
      </c>
      <c r="K32" s="22" t="n">
        <v>316453.9067</v>
      </c>
      <c r="L32" s="22" t="n">
        <v>347691.5035</v>
      </c>
      <c r="M32" s="22" t="n">
        <v>381532.5888</v>
      </c>
      <c r="N32" s="22" t="n">
        <v>418159.4067</v>
      </c>
      <c r="O32" s="22" t="n">
        <v>457766.9584</v>
      </c>
      <c r="P32" s="22" t="n">
        <v>500563.8955</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934.4182</v>
      </c>
      <c r="C34" s="21" t="n">
        <v>727.6005</v>
      </c>
      <c r="D34" s="21" t="n">
        <v>596.0769</v>
      </c>
      <c r="E34" s="21" t="n">
        <v>507.1964</v>
      </c>
      <c r="F34" s="21" t="n">
        <v>444.2381</v>
      </c>
      <c r="G34" s="21" t="n">
        <v>398.6225</v>
      </c>
      <c r="H34" s="21" t="n">
        <v>366.2145</v>
      </c>
      <c r="I34" s="21" t="n">
        <v>344.0681</v>
      </c>
      <c r="J34" s="21" t="n">
        <v>330.0958</v>
      </c>
      <c r="K34" s="21" t="n">
        <v>322.8396</v>
      </c>
      <c r="L34" s="21" t="n">
        <v>321.3143</v>
      </c>
      <c r="M34" s="21" t="n">
        <v>324.9025</v>
      </c>
      <c r="N34" s="21" t="n">
        <v>328.7744</v>
      </c>
      <c r="O34" s="21" t="n">
        <v>332.8776</v>
      </c>
      <c r="P34" s="21" t="n">
        <v>337.1653</v>
      </c>
    </row>
    <row r="35">
      <c r="A35" s="6" t="inlineStr">
        <is>
          <t>Work in progress, days of cost</t>
        </is>
      </c>
      <c r="B35" s="21" t="n">
        <v>245.8561</v>
      </c>
      <c r="C35" s="21" t="n">
        <v>191.44</v>
      </c>
      <c r="D35" s="21" t="n">
        <v>156.8346</v>
      </c>
      <c r="E35" s="21" t="n">
        <v>133.4491</v>
      </c>
      <c r="F35" s="21" t="n">
        <v>116.8841</v>
      </c>
      <c r="G35" s="21" t="n">
        <v>104.8821</v>
      </c>
      <c r="H35" s="21" t="n">
        <v>96.3552</v>
      </c>
      <c r="I35" s="21" t="n">
        <v>90.5282</v>
      </c>
      <c r="J35" s="21" t="n">
        <v>86.852</v>
      </c>
      <c r="K35" s="21" t="n">
        <v>84.94280000000001</v>
      </c>
      <c r="L35" s="21" t="n">
        <v>84.5414</v>
      </c>
      <c r="M35" s="21" t="n">
        <v>85.4855</v>
      </c>
      <c r="N35" s="21" t="n">
        <v>86.5043</v>
      </c>
      <c r="O35" s="21" t="n">
        <v>87.5839</v>
      </c>
      <c r="P35" s="21" t="n">
        <v>88.712</v>
      </c>
    </row>
    <row r="36">
      <c r="A36" s="6" t="inlineStr">
        <is>
          <t>Suppliers, days of cost</t>
        </is>
      </c>
      <c r="B36" s="21" t="n">
        <v>53.2684</v>
      </c>
      <c r="C36" s="21" t="n">
        <v>41.4783</v>
      </c>
      <c r="D36" s="21" t="n">
        <v>33.9806</v>
      </c>
      <c r="E36" s="21" t="n">
        <v>28.9138</v>
      </c>
      <c r="F36" s="21" t="n">
        <v>25.3247</v>
      </c>
      <c r="G36" s="21" t="n">
        <v>22.7243</v>
      </c>
      <c r="H36" s="21" t="n">
        <v>20.8768</v>
      </c>
      <c r="I36" s="21" t="n">
        <v>19.6143</v>
      </c>
      <c r="J36" s="21" t="n">
        <v>18.8178</v>
      </c>
      <c r="K36" s="21" t="n">
        <v>18.4041</v>
      </c>
      <c r="L36" s="21" t="n">
        <v>18.3172</v>
      </c>
      <c r="M36" s="21" t="n">
        <v>18.5217</v>
      </c>
      <c r="N36" s="21" t="n">
        <v>18.7425</v>
      </c>
      <c r="O36" s="21" t="n">
        <v>18.9764</v>
      </c>
      <c r="P36" s="21" t="n">
        <v>19.2208</v>
      </c>
    </row>
    <row r="37">
      <c r="A37" s="6" t="inlineStr">
        <is>
          <t>Customer advances, share of the order book</t>
        </is>
      </c>
      <c r="B37" s="17" t="n">
        <v>0.1953</v>
      </c>
      <c r="C37" s="17" t="n">
        <v>0.1548</v>
      </c>
      <c r="D37" s="17" t="n">
        <v>0.1295</v>
      </c>
      <c r="E37" s="17" t="n">
        <v>0.1132</v>
      </c>
      <c r="F37" s="17" t="n">
        <v>0.1025</v>
      </c>
      <c r="G37" s="17" t="n">
        <v>0.0955</v>
      </c>
      <c r="H37" s="17" t="n">
        <v>0.09130000000000001</v>
      </c>
      <c r="I37" s="17" t="n">
        <v>0.08890000000000001</v>
      </c>
      <c r="J37" s="17" t="n">
        <v>0.08790000000000001</v>
      </c>
      <c r="K37" s="17" t="n">
        <v>0.0878</v>
      </c>
      <c r="L37" s="17" t="n">
        <v>0.0882</v>
      </c>
      <c r="M37" s="17" t="n">
        <v>0.0887</v>
      </c>
      <c r="N37" s="17" t="n">
        <v>0.0893</v>
      </c>
      <c r="O37" s="17" t="n">
        <v>0.09</v>
      </c>
      <c r="P37" s="17" t="n">
        <v>0.0907</v>
      </c>
    </row>
    <row r="38">
      <c r="A38" s="6" t="inlineStr">
        <is>
          <t>Net working capital</t>
        </is>
      </c>
      <c r="B38" s="21" t="n">
        <v>61883.8405</v>
      </c>
      <c r="C38" s="21" t="n">
        <v>62064.721</v>
      </c>
      <c r="D38" s="21" t="n">
        <v>62903.7386</v>
      </c>
      <c r="E38" s="21" t="n">
        <v>64443.1556</v>
      </c>
      <c r="F38" s="21" t="n">
        <v>66736.3581</v>
      </c>
      <c r="G38" s="21" t="n">
        <v>69842.35430000001</v>
      </c>
      <c r="H38" s="21" t="n">
        <v>73804.8219</v>
      </c>
      <c r="I38" s="21" t="n">
        <v>78647.20940000001</v>
      </c>
      <c r="J38" s="21" t="n">
        <v>84368.243</v>
      </c>
      <c r="K38" s="21" t="n">
        <v>90938.2735</v>
      </c>
      <c r="L38" s="21" t="n">
        <v>98296.8956</v>
      </c>
      <c r="M38" s="21" t="n">
        <v>106352.2232</v>
      </c>
      <c r="N38" s="21" t="n">
        <v>115153.0256</v>
      </c>
      <c r="O38" s="21" t="n">
        <v>124751.4861</v>
      </c>
      <c r="P38" s="21" t="n">
        <v>135203.4406</v>
      </c>
    </row>
    <row r="39">
      <c r="A39" s="6" t="inlineStr">
        <is>
          <t xml:space="preserve">  as a multiple of revenue</t>
        </is>
      </c>
      <c r="B39" s="7" t="n">
        <v>1.5414</v>
      </c>
      <c r="C39" s="7" t="n">
        <v>1.2002</v>
      </c>
      <c r="D39" s="7" t="n">
        <v>0.9833</v>
      </c>
      <c r="E39" s="7" t="n">
        <v>0.8367</v>
      </c>
      <c r="F39" s="7" t="n">
        <v>0.7328</v>
      </c>
      <c r="G39" s="7" t="n">
        <v>0.6576</v>
      </c>
      <c r="H39" s="7" t="n">
        <v>0.6041</v>
      </c>
      <c r="I39" s="7" t="n">
        <v>0.5676</v>
      </c>
      <c r="J39" s="7" t="n">
        <v>0.5445</v>
      </c>
      <c r="K39" s="7" t="n">
        <v>0.5325</v>
      </c>
      <c r="L39" s="7" t="n">
        <v>0.53</v>
      </c>
      <c r="M39" s="7" t="n">
        <v>0.536</v>
      </c>
      <c r="N39" s="7" t="n">
        <v>0.5423</v>
      </c>
      <c r="O39" s="7" t="n">
        <v>0.5491</v>
      </c>
      <c r="P39" s="7" t="n">
        <v>0.5562</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5221.1313</v>
      </c>
      <c r="C47" s="21" t="n">
        <v>2354.875</v>
      </c>
      <c r="D47" s="21" t="n">
        <v>2354.875</v>
      </c>
      <c r="E47" s="21" t="n">
        <v>2354.875</v>
      </c>
      <c r="F47" s="21" t="n">
        <v>2354.875</v>
      </c>
      <c r="G47" s="21" t="n">
        <v>2354.875</v>
      </c>
      <c r="H47" s="21" t="n">
        <v>2354.875</v>
      </c>
      <c r="I47" s="21" t="n">
        <v>2354.875</v>
      </c>
      <c r="J47" s="21" t="n">
        <v>2354.875</v>
      </c>
      <c r="K47" s="21" t="n">
        <v>2354.875</v>
      </c>
      <c r="L47" s="21" t="n">
        <v>2354.875</v>
      </c>
      <c r="M47" s="21" t="n">
        <v>3347.8907</v>
      </c>
      <c r="N47" s="21" t="n">
        <v>4592.0193</v>
      </c>
      <c r="O47" s="21" t="n">
        <v>6104.8389</v>
      </c>
      <c r="P47" s="21" t="n">
        <v>7905.1577</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183676.9035</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755795.9730999999</v>
      </c>
      <c r="M50" s="22" t="n">
        <v>808179.6021</v>
      </c>
      <c r="N50" s="22" t="n">
        <v>864411.6871</v>
      </c>
      <c r="O50" s="22" t="n">
        <v>924761.6199</v>
      </c>
      <c r="P50" s="22" t="n">
        <v>989517.6499</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46440.3637</v>
      </c>
      <c r="D55" s="21" t="n">
        <v>61797.328</v>
      </c>
      <c r="E55" s="21" t="n">
        <v>76804.1201</v>
      </c>
      <c r="F55" s="21" t="n">
        <v>91687.7757</v>
      </c>
      <c r="G55" s="21" t="n">
        <v>106484.9775</v>
      </c>
      <c r="H55" s="21" t="n">
        <v>120597.0553</v>
      </c>
      <c r="I55" s="21" t="n">
        <v>133317.3644</v>
      </c>
      <c r="J55" s="21" t="n">
        <v>143855.255</v>
      </c>
      <c r="K55" s="21" t="n">
        <v>151371.9443</v>
      </c>
      <c r="L55" s="21" t="n">
        <v>155027.1841</v>
      </c>
      <c r="M55" s="21" t="n">
        <v>155027.1841</v>
      </c>
      <c r="N55" s="21" t="n">
        <v>155027.1841</v>
      </c>
      <c r="O55" s="21" t="n">
        <v>155027.1841</v>
      </c>
      <c r="P55" s="21" t="n">
        <v>155027.1841</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200942.523</v>
      </c>
      <c r="D57" s="22" t="n">
        <v>243673.0856</v>
      </c>
      <c r="E57" s="22" t="n">
        <v>287811.273</v>
      </c>
      <c r="F57" s="22" t="n">
        <v>334046.7932</v>
      </c>
      <c r="G57" s="22" t="n">
        <v>382650.1604</v>
      </c>
      <c r="H57" s="22" t="n">
        <v>432385.0682</v>
      </c>
      <c r="I57" s="22" t="n">
        <v>481703.4905</v>
      </c>
      <c r="J57" s="22" t="n">
        <v>528786.5142</v>
      </c>
      <c r="K57" s="22" t="n">
        <v>571615.148</v>
      </c>
      <c r="L57" s="22" t="n">
        <v>608069.929</v>
      </c>
      <c r="M57" s="22" t="n">
        <v>637047.6851</v>
      </c>
      <c r="N57" s="22" t="n">
        <v>668053.8842</v>
      </c>
      <c r="O57" s="22" t="n">
        <v>701230.5172</v>
      </c>
      <c r="P57" s="22" t="n">
        <v>736729.5145</v>
      </c>
    </row>
    <row r="58">
      <c r="A58" s="6" t="inlineStr">
        <is>
          <t>Shareholders' funds</t>
        </is>
      </c>
      <c r="B58" s="21" t="n">
        <v>21431.8885</v>
      </c>
      <c r="C58" s="21" t="n">
        <v>25612.9725</v>
      </c>
      <c r="D58" s="21" t="n">
        <v>31400.8418</v>
      </c>
      <c r="E58" s="21" t="n">
        <v>38898.6761</v>
      </c>
      <c r="F58" s="21" t="n">
        <v>48236.8134</v>
      </c>
      <c r="G58" s="21" t="n">
        <v>59559.3171</v>
      </c>
      <c r="H58" s="21" t="n">
        <v>72972.82249999999</v>
      </c>
      <c r="I58" s="21" t="n">
        <v>88534.577</v>
      </c>
      <c r="J58" s="21" t="n">
        <v>106241.4709</v>
      </c>
      <c r="K58" s="21" t="n">
        <v>126021.1179</v>
      </c>
      <c r="L58" s="21" t="n">
        <v>147726.0441</v>
      </c>
      <c r="M58" s="21" t="n">
        <v>171131.9171</v>
      </c>
      <c r="N58" s="21" t="n">
        <v>196357.803</v>
      </c>
      <c r="O58" s="21" t="n">
        <v>223531.1028</v>
      </c>
      <c r="P58" s="21" t="n">
        <v>252788.1354</v>
      </c>
    </row>
    <row r="59">
      <c r="A59" s="4" t="inlineStr">
        <is>
          <t>TOTAL LIABILITIES AND EQUITY</t>
        </is>
      </c>
      <c r="B59" s="22" t="n">
        <v>183676.9035</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755795.9730999999</v>
      </c>
      <c r="M59" s="22" t="n">
        <v>808179.6021</v>
      </c>
      <c r="N59" s="22" t="n">
        <v>864411.6871</v>
      </c>
      <c r="O59" s="22" t="n">
        <v>924761.6199</v>
      </c>
      <c r="P59" s="22" t="n">
        <v>989517.6499</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274.8391</v>
      </c>
      <c r="C62" s="21" t="n">
        <v>274.8391</v>
      </c>
      <c r="D62" s="21" t="n">
        <v>274.8391</v>
      </c>
      <c r="E62" s="21" t="n">
        <v>274.8391</v>
      </c>
      <c r="F62" s="21" t="n">
        <v>274.8391</v>
      </c>
      <c r="G62" s="21" t="n">
        <v>274.8391</v>
      </c>
      <c r="H62" s="21" t="n">
        <v>274.8391</v>
      </c>
      <c r="I62" s="21" t="n">
        <v>274.8391</v>
      </c>
      <c r="J62" s="21" t="n">
        <v>274.8391</v>
      </c>
      <c r="K62" s="21" t="n">
        <v>274.8391</v>
      </c>
      <c r="L62" s="21" t="n">
        <v>274.8391</v>
      </c>
      <c r="M62" s="21" t="n">
        <v>274.8391</v>
      </c>
      <c r="N62" s="21" t="n">
        <v>274.8391</v>
      </c>
      <c r="O62" s="21" t="n">
        <v>274.8391</v>
      </c>
      <c r="P62" s="21" t="n">
        <v>274.8391</v>
      </c>
    </row>
    <row r="63">
      <c r="A63" s="6" t="inlineStr">
        <is>
          <t>Suppliers, days of cost</t>
        </is>
      </c>
      <c r="B63" s="21" t="n">
        <v>59.548</v>
      </c>
      <c r="C63" s="21" t="n">
        <v>59.548</v>
      </c>
      <c r="D63" s="21" t="n">
        <v>59.548</v>
      </c>
      <c r="E63" s="21" t="n">
        <v>59.548</v>
      </c>
      <c r="F63" s="21" t="n">
        <v>59.548</v>
      </c>
      <c r="G63" s="21" t="n">
        <v>59.548</v>
      </c>
      <c r="H63" s="21" t="n">
        <v>59.548</v>
      </c>
      <c r="I63" s="21" t="n">
        <v>59.548</v>
      </c>
      <c r="J63" s="21" t="n">
        <v>59.548</v>
      </c>
      <c r="K63" s="21" t="n">
        <v>59.548</v>
      </c>
      <c r="L63" s="21" t="n">
        <v>59.548</v>
      </c>
      <c r="M63" s="21" t="n">
        <v>59.548</v>
      </c>
      <c r="N63" s="21" t="n">
        <v>59.548</v>
      </c>
      <c r="O63" s="21" t="n">
        <v>59.548</v>
      </c>
      <c r="P63" s="21" t="n">
        <v>59.548</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2666.0885</v>
      </c>
      <c r="C6" s="21" t="n">
        <v>4181.084</v>
      </c>
      <c r="D6" s="21" t="n">
        <v>5787.8693</v>
      </c>
      <c r="E6" s="21" t="n">
        <v>7497.8343</v>
      </c>
      <c r="F6" s="21" t="n">
        <v>9338.1373</v>
      </c>
      <c r="G6" s="21" t="n">
        <v>11322.5037</v>
      </c>
      <c r="H6" s="21" t="n">
        <v>13413.5054</v>
      </c>
      <c r="I6" s="21" t="n">
        <v>15561.7545</v>
      </c>
      <c r="J6" s="21" t="n">
        <v>17706.8938</v>
      </c>
      <c r="K6" s="21" t="n">
        <v>19779.647</v>
      </c>
      <c r="L6" s="21" t="n">
        <v>21704.9262</v>
      </c>
      <c r="M6" s="21" t="n">
        <v>23405.8729</v>
      </c>
      <c r="N6" s="21" t="n">
        <v>25225.8859</v>
      </c>
      <c r="O6" s="21" t="n">
        <v>27173.2998</v>
      </c>
      <c r="P6" s="21" t="n">
        <v>29257.0327</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439.6595</v>
      </c>
      <c r="C8" s="21" t="n">
        <v>-180.8806</v>
      </c>
      <c r="D8" s="21" t="n">
        <v>-839.0176</v>
      </c>
      <c r="E8" s="21" t="n">
        <v>-1539.4169</v>
      </c>
      <c r="F8" s="21" t="n">
        <v>-2293.2025</v>
      </c>
      <c r="G8" s="21" t="n">
        <v>-3105.9962</v>
      </c>
      <c r="H8" s="21" t="n">
        <v>-3962.4676</v>
      </c>
      <c r="I8" s="21" t="n">
        <v>-4842.3875</v>
      </c>
      <c r="J8" s="21" t="n">
        <v>-5721.0336</v>
      </c>
      <c r="K8" s="21" t="n">
        <v>-6570.0305</v>
      </c>
      <c r="L8" s="21" t="n">
        <v>-7358.6222</v>
      </c>
      <c r="M8" s="21" t="n">
        <v>-8055.3276</v>
      </c>
      <c r="N8" s="21" t="n">
        <v>-8800.8024</v>
      </c>
      <c r="O8" s="21" t="n">
        <v>-9598.4604</v>
      </c>
      <c r="P8" s="21" t="n">
        <v>-10451.9545</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2666.0885</v>
      </c>
      <c r="C19" s="21" t="n">
        <v>4181.084</v>
      </c>
      <c r="D19" s="21" t="n">
        <v>5787.8693</v>
      </c>
      <c r="E19" s="21" t="n">
        <v>7497.8343</v>
      </c>
      <c r="F19" s="21" t="n">
        <v>9338.1373</v>
      </c>
      <c r="G19" s="21" t="n">
        <v>11322.5037</v>
      </c>
      <c r="H19" s="21" t="n">
        <v>13413.5054</v>
      </c>
      <c r="I19" s="21" t="n">
        <v>15561.7545</v>
      </c>
      <c r="J19" s="21" t="n">
        <v>17706.8938</v>
      </c>
      <c r="K19" s="21" t="n">
        <v>19779.647</v>
      </c>
      <c r="L19" s="21" t="n">
        <v>21704.9262</v>
      </c>
      <c r="M19" s="21" t="n">
        <v>23405.8729</v>
      </c>
      <c r="N19" s="21" t="n">
        <v>25225.8859</v>
      </c>
      <c r="O19" s="21" t="n">
        <v>27173.2998</v>
      </c>
      <c r="P19" s="21" t="n">
        <v>29257.0327</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-3796.8895</v>
      </c>
      <c r="C22" s="22" t="n">
        <v>-15236.8147</v>
      </c>
      <c r="D22" s="22" t="n">
        <v>-14717.2276</v>
      </c>
      <c r="E22" s="22" t="n">
        <v>-14236.549</v>
      </c>
      <c r="F22" s="22" t="n">
        <v>-13972.9587</v>
      </c>
      <c r="G22" s="22" t="n">
        <v>-13735.0561</v>
      </c>
      <c r="H22" s="22" t="n">
        <v>-12890.3446</v>
      </c>
      <c r="I22" s="22" t="n">
        <v>-11334.6194</v>
      </c>
      <c r="J22" s="22" t="n">
        <v>-8988.481599999999</v>
      </c>
      <c r="K22" s="22" t="n">
        <v>-5809.0856</v>
      </c>
      <c r="L22" s="22" t="n">
        <v>-1800.6969</v>
      </c>
      <c r="M22" s="22" t="n">
        <v>2977.3767</v>
      </c>
      <c r="N22" s="22" t="n">
        <v>3367.3949</v>
      </c>
      <c r="O22" s="22" t="n">
        <v>3784.7144</v>
      </c>
      <c r="P22" s="22" t="n">
        <v>4231.2463</v>
      </c>
    </row>
    <row r="23">
      <c r="A23" s="6" t="inlineStr">
        <is>
          <t xml:space="preserve">  as a share of revenue</t>
        </is>
      </c>
      <c r="B23" s="17" t="n">
        <v>-0.0946</v>
      </c>
      <c r="C23" s="17" t="n">
        <v>-0.2947</v>
      </c>
      <c r="D23" s="17" t="n">
        <v>-0.2301</v>
      </c>
      <c r="E23" s="17" t="n">
        <v>-0.1848</v>
      </c>
      <c r="F23" s="17" t="n">
        <v>-0.1534</v>
      </c>
      <c r="G23" s="17" t="n">
        <v>-0.1293</v>
      </c>
      <c r="H23" s="17" t="n">
        <v>-0.1055</v>
      </c>
      <c r="I23" s="17" t="n">
        <v>-0.0818</v>
      </c>
      <c r="J23" s="17" t="n">
        <v>-0.058</v>
      </c>
      <c r="K23" s="17" t="n">
        <v>-0.034</v>
      </c>
      <c r="L23" s="17" t="n">
        <v>-0.0097</v>
      </c>
      <c r="M23" s="17" t="n">
        <v>0.015</v>
      </c>
      <c r="N23" s="17" t="n">
        <v>0.0159</v>
      </c>
      <c r="O23" s="17" t="n">
        <v>0.0167</v>
      </c>
      <c r="P23" s="17" t="n">
        <v>0.0174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12887.6637</v>
      </c>
      <c r="D25" s="21" t="n">
        <v>15356.9644</v>
      </c>
      <c r="E25" s="21" t="n">
        <v>15006.7921</v>
      </c>
      <c r="F25" s="21" t="n">
        <v>14883.6556</v>
      </c>
      <c r="G25" s="21" t="n">
        <v>14797.2019</v>
      </c>
      <c r="H25" s="21" t="n">
        <v>14112.0778</v>
      </c>
      <c r="I25" s="21" t="n">
        <v>12720.3091</v>
      </c>
      <c r="J25" s="21" t="n">
        <v>10537.8906</v>
      </c>
      <c r="K25" s="21" t="n">
        <v>7516.6892</v>
      </c>
      <c r="L25" s="21" t="n">
        <v>3655.2398</v>
      </c>
      <c r="M25" s="21" t="n">
        <v>0</v>
      </c>
      <c r="N25" s="21" t="n">
        <v>0</v>
      </c>
      <c r="O25" s="21" t="n">
        <v>0</v>
      </c>
      <c r="P25" s="21" t="n">
        <v>0</v>
      </c>
    </row>
    <row r="26">
      <c r="A26" s="6" t="inlineStr">
        <is>
          <t>Cash from financing</t>
        </is>
      </c>
      <c r="B26" s="21" t="n">
        <v>0</v>
      </c>
      <c r="C26" s="21" t="n">
        <v>12887.6637</v>
      </c>
      <c r="D26" s="21" t="n">
        <v>15356.9644</v>
      </c>
      <c r="E26" s="21" t="n">
        <v>15006.7921</v>
      </c>
      <c r="F26" s="21" t="n">
        <v>14883.6556</v>
      </c>
      <c r="G26" s="21" t="n">
        <v>14797.2019</v>
      </c>
      <c r="H26" s="21" t="n">
        <v>14112.0778</v>
      </c>
      <c r="I26" s="21" t="n">
        <v>12720.3091</v>
      </c>
      <c r="J26" s="21" t="n">
        <v>10537.8906</v>
      </c>
      <c r="K26" s="21" t="n">
        <v>7516.6892</v>
      </c>
      <c r="L26" s="21" t="n">
        <v>3655.2398</v>
      </c>
      <c r="M26" s="21" t="n">
        <v>0</v>
      </c>
      <c r="N26" s="21" t="n">
        <v>0</v>
      </c>
      <c r="O26" s="21" t="n">
        <v>0</v>
      </c>
      <c r="P26" s="21" t="n">
        <v>0</v>
      </c>
    </row>
    <row r="27">
      <c r="A27" s="4" t="inlineStr">
        <is>
          <t>Closing cash</t>
        </is>
      </c>
      <c r="B27" s="22" t="n">
        <v>5221.1313</v>
      </c>
      <c r="C27" s="22" t="n">
        <v>2354.875</v>
      </c>
      <c r="D27" s="22" t="n">
        <v>2354.875</v>
      </c>
      <c r="E27" s="22" t="n">
        <v>2354.875</v>
      </c>
      <c r="F27" s="22" t="n">
        <v>2354.875</v>
      </c>
      <c r="G27" s="22" t="n">
        <v>2354.875</v>
      </c>
      <c r="H27" s="22" t="n">
        <v>2354.875</v>
      </c>
      <c r="I27" s="22" t="n">
        <v>2354.875</v>
      </c>
      <c r="J27" s="22" t="n">
        <v>2354.875</v>
      </c>
      <c r="K27" s="22" t="n">
        <v>2354.875</v>
      </c>
      <c r="L27" s="22" t="n">
        <v>2354.875</v>
      </c>
      <c r="M27" s="22" t="n">
        <v>3347.8907</v>
      </c>
      <c r="N27" s="22" t="n">
        <v>4592.0193</v>
      </c>
      <c r="O27" s="22" t="n">
        <v>6104.8389</v>
      </c>
      <c r="P27" s="22" t="n">
        <v>7905.1577</v>
      </c>
    </row>
    <row r="28">
      <c r="A28" s="6" t="inlineStr">
        <is>
          <t>Cumulative new borrowing</t>
        </is>
      </c>
      <c r="B28" s="21" t="n">
        <v>0</v>
      </c>
      <c r="C28" s="21" t="n">
        <v>12887.6637</v>
      </c>
      <c r="D28" s="21" t="n">
        <v>28244.628</v>
      </c>
      <c r="E28" s="21" t="n">
        <v>43251.4201</v>
      </c>
      <c r="F28" s="21" t="n">
        <v>58135.0757</v>
      </c>
      <c r="G28" s="21" t="n">
        <v>72932.2775</v>
      </c>
      <c r="H28" s="21" t="n">
        <v>87044.3553</v>
      </c>
      <c r="I28" s="21" t="n">
        <v>99764.66439999999</v>
      </c>
      <c r="J28" s="21" t="n">
        <v>110302.555</v>
      </c>
      <c r="K28" s="21" t="n">
        <v>117819.2443</v>
      </c>
      <c r="L28" s="21" t="n">
        <v>121474.4841</v>
      </c>
      <c r="M28" s="21" t="n">
        <v>121474.4841</v>
      </c>
      <c r="N28" s="21" t="n">
        <v>121474.4841</v>
      </c>
      <c r="O28" s="21" t="n">
        <v>121474.4841</v>
      </c>
      <c r="P28" s="21" t="n">
        <v>121474.4841</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0.209647238833035</v>
      </c>
      <c r="C4" s="29" t="n">
        <v>0.229647238833035</v>
      </c>
      <c r="D4" s="29" t="n">
        <v>0.249647238833035</v>
      </c>
      <c r="E4" s="29" t="n">
        <v>0.269647238833035</v>
      </c>
      <c r="F4" s="29" t="n">
        <v>0.2896472388330349</v>
      </c>
    </row>
    <row r="5">
      <c r="A5" s="20" t="n">
        <v>0.03937593483976742</v>
      </c>
      <c r="B5" s="7" t="n">
        <v>20.9</v>
      </c>
      <c r="C5" s="7" t="n">
        <v>12.08</v>
      </c>
      <c r="D5" s="7" t="n">
        <v>7.65</v>
      </c>
      <c r="E5" s="7" t="n">
        <v>4.98</v>
      </c>
      <c r="F5" s="7" t="n">
        <v>3.19</v>
      </c>
    </row>
    <row r="6">
      <c r="A6" s="20" t="n">
        <v>0.06</v>
      </c>
      <c r="B6" s="7" t="n">
        <v>33.33</v>
      </c>
      <c r="C6" s="7" t="n">
        <v>20.07</v>
      </c>
      <c r="D6" s="7" t="n">
        <v>13.45</v>
      </c>
      <c r="E6" s="7" t="n">
        <v>9.49</v>
      </c>
      <c r="F6" s="7" t="n">
        <v>6.85</v>
      </c>
    </row>
    <row r="7">
      <c r="A7" s="20" t="n">
        <v>0.08713663734609707</v>
      </c>
      <c r="B7" s="7" t="n">
        <v>49.69</v>
      </c>
      <c r="C7" s="7" t="n">
        <v>30.59</v>
      </c>
      <c r="D7" s="7" t="n">
        <v>21.09</v>
      </c>
      <c r="E7" s="7" t="n">
        <v>15.42</v>
      </c>
      <c r="F7" s="7" t="n">
        <v>11.66</v>
      </c>
    </row>
    <row r="8">
      <c r="A8" s="20" t="n">
        <v>0.12</v>
      </c>
      <c r="B8" s="7" t="n">
        <v>69.5</v>
      </c>
      <c r="C8" s="7" t="n">
        <v>43.32</v>
      </c>
      <c r="D8" s="7" t="n">
        <v>30.34</v>
      </c>
      <c r="E8" s="7" t="n">
        <v>22.6</v>
      </c>
      <c r="F8" s="7" t="n">
        <v>17.48</v>
      </c>
    </row>
    <row r="9">
      <c r="A9" s="20" t="n">
        <v>0.1787001284632628</v>
      </c>
      <c r="B9" s="7" t="n">
        <v>104.89</v>
      </c>
      <c r="C9" s="7" t="n">
        <v>66.06999999999999</v>
      </c>
      <c r="D9" s="7" t="n">
        <v>46.85</v>
      </c>
      <c r="E9" s="7" t="n">
        <v>35.43</v>
      </c>
      <c r="F9" s="7" t="n">
        <v>27.89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1.4687</v>
      </c>
      <c r="D5" s="26" t="n">
        <v>0.3252</v>
      </c>
      <c r="E5" s="32" t="n">
        <v>0.1833</v>
      </c>
      <c r="F5" s="26" t="n">
        <v>0.4394</v>
      </c>
      <c r="G5" s="26" t="n">
        <v>-0.4419</v>
      </c>
    </row>
    <row r="6">
      <c r="A6" s="4" t="inlineStr">
        <is>
          <t>PHDC</t>
        </is>
      </c>
      <c r="B6" s="6" t="inlineStr">
        <is>
          <t>Palm Hills Developments</t>
        </is>
      </c>
      <c r="C6" s="31" t="n">
        <v>1.0481</v>
      </c>
      <c r="D6" s="26" t="n">
        <v>0.2997</v>
      </c>
      <c r="E6" s="32" t="n">
        <v>0.1808</v>
      </c>
      <c r="F6" s="26" t="n">
        <v>0.4391</v>
      </c>
      <c r="G6" s="26" t="n">
        <v>-0.4866</v>
      </c>
    </row>
    <row r="7">
      <c r="A7" s="6" t="inlineStr">
        <is>
          <t>ORHD</t>
        </is>
      </c>
      <c r="B7" s="6" t="inlineStr">
        <is>
          <t>Orascom Development Egypt</t>
        </is>
      </c>
      <c r="C7" s="31" t="n">
        <v>0.8817</v>
      </c>
      <c r="D7" s="26" t="n">
        <v>0.3251</v>
      </c>
      <c r="E7" s="32" t="n">
        <v>0.1727</v>
      </c>
      <c r="F7" s="26" t="n">
        <v>0.4619</v>
      </c>
      <c r="G7" s="26" t="n">
        <v>-0.4293</v>
      </c>
    </row>
    <row r="8">
      <c r="A8" s="6" t="inlineStr">
        <is>
          <t>HELI</t>
        </is>
      </c>
      <c r="B8" s="6" t="inlineStr">
        <is>
          <t>Heliopolis Housing and Development</t>
        </is>
      </c>
      <c r="C8" s="31" t="n">
        <v>0.7648</v>
      </c>
      <c r="D8" s="26" t="n">
        <v>0.2874</v>
      </c>
      <c r="E8" s="32" t="n">
        <v>0.1803</v>
      </c>
      <c r="F8" s="26" t="n">
        <v>0.444</v>
      </c>
      <c r="G8" s="26" t="n">
        <v>-0.3958</v>
      </c>
    </row>
    <row r="9">
      <c r="A9" s="6" t="inlineStr">
        <is>
          <t>EMFD</t>
        </is>
      </c>
      <c r="B9" s="6" t="inlineStr">
        <is>
          <t>Emaar Misr for Development</t>
        </is>
      </c>
      <c r="C9" s="31" t="n">
        <v>0.7349</v>
      </c>
      <c r="D9" s="26" t="n">
        <v>0.2423</v>
      </c>
      <c r="E9" s="32" t="n">
        <v>0.1693</v>
      </c>
      <c r="F9" s="26" t="n">
        <v>0.412</v>
      </c>
      <c r="G9" s="26" t="n">
        <v>-0.4712</v>
      </c>
    </row>
    <row r="10">
      <c r="A10" s="6" t="inlineStr">
        <is>
          <t>PRDC</t>
        </is>
      </c>
      <c r="B10" s="6" t="inlineStr">
        <is>
          <t>Pioneers Properties for Urban Development</t>
        </is>
      </c>
      <c r="C10" s="31" t="n">
        <v>0.7006</v>
      </c>
      <c r="D10" s="26" t="n">
        <v>0.2565</v>
      </c>
      <c r="E10" s="32" t="n">
        <v>0.1854</v>
      </c>
      <c r="F10" s="26" t="n">
        <v>0.4217</v>
      </c>
      <c r="G10" s="26" t="n">
        <v>-0.5199</v>
      </c>
    </row>
    <row r="11">
      <c r="A11" s="6" t="inlineStr">
        <is>
          <t>OCDI</t>
        </is>
      </c>
      <c r="B11" s="6" t="inlineStr">
        <is>
          <t>Sixth of October Development &amp; Investment (SODIC)</t>
        </is>
      </c>
      <c r="C11" s="31" t="n">
        <v>0.4949</v>
      </c>
      <c r="D11" s="26" t="n">
        <v>0.1018</v>
      </c>
      <c r="E11" s="32" t="n">
        <v>0.2275</v>
      </c>
      <c r="F11" s="26" t="n">
        <v>0.4755</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2026-09-10T11:53:10Z</dcterms:created>
  <dcterms:modified xmlns:dcterms="http://purl.org/dc/terms/" xmlns:xsi="http://www.w3.org/2001/XMLSchema-instance" xsi:type="dcterms:W3CDTF">2026-09-10T11:53:10Z</dcterms:modified>
</cp:coreProperties>
</file>