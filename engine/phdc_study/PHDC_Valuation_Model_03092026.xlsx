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2 September 2026. Supersedes 30 August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4.01</v>
      </c>
      <c r="C5" s="7" t="n">
        <v>17.85</v>
      </c>
      <c r="D5" s="7" t="n">
        <v>46.5</v>
      </c>
      <c r="E5" s="7" t="n"/>
    </row>
    <row r="6">
      <c r="A6" s="6" t="inlineStr">
        <is>
          <t>Earnings multiple on own history</t>
        </is>
      </c>
      <c r="B6" s="7" t="n">
        <v>7.45</v>
      </c>
      <c r="C6" s="7" t="n">
        <v>11.17</v>
      </c>
      <c r="D6" s="7" t="n">
        <v>17.37</v>
      </c>
      <c r="E6" s="7" t="n"/>
    </row>
    <row r="7">
      <c r="A7" s="6" t="inlineStr">
        <is>
          <t>Book value of equity — a disclosed floor</t>
        </is>
      </c>
      <c r="B7" s="7" t="n">
        <v>5.97</v>
      </c>
      <c r="C7" s="7" t="n">
        <v>6.63</v>
      </c>
      <c r="D7" s="7" t="n">
        <v>8.619999999999999</v>
      </c>
      <c r="E7" s="7" t="n"/>
    </row>
    <row r="8">
      <c r="A8" s="4" t="inlineStr">
        <is>
          <t>Weighted central</t>
        </is>
      </c>
      <c r="B8" s="7" t="n">
        <v>4.01</v>
      </c>
      <c r="C8" s="7" t="n">
        <v>17.85</v>
      </c>
      <c r="D8" s="7" t="n">
        <v>46.5</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6.14</v>
      </c>
      <c r="C11" s="7" t="n">
        <v>17565</v>
      </c>
      <c r="D11" s="7" t="n">
        <v>36814</v>
      </c>
    </row>
    <row r="12">
      <c r="A12" s="6" t="inlineStr">
        <is>
          <t>Average cash conversion (8.7%)</t>
        </is>
      </c>
      <c r="B12" s="7" t="n">
        <v>17.85</v>
      </c>
      <c r="C12" s="7" t="n">
        <v>51043</v>
      </c>
      <c r="D12" s="7" t="n">
        <v>71937</v>
      </c>
    </row>
    <row r="13">
      <c r="A13" s="6" t="inlineStr">
        <is>
          <t>Strong cash conversion (17.9%)</t>
        </is>
      </c>
      <c r="B13" s="7" t="n">
        <v>40.29</v>
      </c>
      <c r="C13" s="7" t="n">
        <v>115225</v>
      </c>
      <c r="D13" s="7" t="n">
        <v>139273</v>
      </c>
    </row>
    <row r="14">
      <c r="A14" s="6" t="inlineStr">
        <is>
          <t>Average, alternative country-risk basis</t>
        </is>
      </c>
      <c r="B14" s="7" t="n">
        <v>17.46</v>
      </c>
      <c r="C14" s="7" t="n">
        <v>49934</v>
      </c>
      <c r="D14" s="7" t="n">
        <v>70773</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0.0731</v>
      </c>
    </row>
    <row r="20">
      <c r="A20" s="4" t="inlineStr">
        <is>
          <t>Cost of capital</t>
        </is>
      </c>
    </row>
    <row r="21">
      <c r="A21" s="6" t="inlineStr">
        <is>
          <t>Weighted average, rating basis</t>
        </is>
      </c>
      <c r="B21" s="9" t="n">
        <v>0.2609671471091543</v>
      </c>
    </row>
    <row r="22">
      <c r="A22" s="6" t="inlineStr">
        <is>
          <t>Weighted average, swap basis</t>
        </is>
      </c>
      <c r="B22" s="9" t="n">
        <v>0.2510848413262307</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49462.4</v>
      </c>
    </row>
    <row r="5">
      <c r="A5" s="6" t="inlineStr">
        <is>
          <t>Present value of the terminal value</t>
        </is>
      </c>
      <c r="B5" s="10" t="n">
        <v>22474.6</v>
      </c>
    </row>
    <row r="6">
      <c r="A6" s="4" t="inlineStr">
        <is>
          <t>Enterprise value</t>
        </is>
      </c>
      <c r="B6" s="10">
        <f>B4+B5</f>
        <v/>
      </c>
    </row>
    <row r="7">
      <c r="A7" s="6" t="inlineStr">
        <is>
          <t>less net debt, 31 March 2026</t>
        </is>
      </c>
      <c r="B7" s="10">
        <f>-Assumptions!B13</f>
        <v/>
      </c>
    </row>
    <row r="8">
      <c r="A8" s="6" t="inlineStr">
        <is>
          <t>plus investments in associates</t>
        </is>
      </c>
      <c r="B8" s="10">
        <f>Assumptions!B14</f>
        <v/>
      </c>
    </row>
    <row r="9">
      <c r="A9" s="6" t="inlineStr">
        <is>
          <t>plus investment property</t>
        </is>
      </c>
      <c r="B9" s="10">
        <f>Assumptions!B15</f>
        <v/>
      </c>
    </row>
    <row r="10">
      <c r="A10" s="4" t="inlineStr">
        <is>
          <t>Equity value before minority interests</t>
        </is>
      </c>
      <c r="B10" s="10">
        <f>B6+B7+B8+B9</f>
        <v/>
      </c>
    </row>
    <row r="11">
      <c r="A11" s="6" t="inlineStr">
        <is>
          <t>less minority interests at their share of value</t>
        </is>
      </c>
      <c r="B11" s="10">
        <f>-B10*Assumptions!B16</f>
        <v/>
      </c>
    </row>
    <row r="12">
      <c r="A12" s="4" t="inlineStr">
        <is>
          <t>Equity value attributable to shareholders</t>
        </is>
      </c>
      <c r="B12" s="10">
        <f>B10+B11</f>
        <v/>
      </c>
    </row>
    <row r="13">
      <c r="A13" s="6" t="inlineStr">
        <is>
          <t>Shares outstanding (mn)</t>
        </is>
      </c>
      <c r="B13" s="10">
        <f>Assumptions!B17</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0.3832237248431056</v>
      </c>
      <c r="C8" s="2" t="inlineStr">
        <is>
          <t>average of FY2025 and 1Q2026 as reported</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0.12</v>
      </c>
      <c r="C11" s="2" t="inlineStr">
        <is>
          <t>below nominal growth, stated</t>
        </is>
      </c>
    </row>
    <row r="12">
      <c r="A12" s="6" t="inlineStr">
        <is>
          <t>Cost of capital</t>
        </is>
      </c>
      <c r="B12" s="12" t="n">
        <v>0.2609671471091543</v>
      </c>
      <c r="C12" s="2" t="inlineStr">
        <is>
          <t>built on the Fundamental Valuation and Peer sheets</t>
        </is>
      </c>
    </row>
    <row r="13">
      <c r="A13" s="6" t="inlineStr">
        <is>
          <t>Net debt (EGP mn)</t>
        </is>
      </c>
      <c r="B13" s="13" t="n">
        <v>23244.718678</v>
      </c>
      <c r="C13" s="2" t="inlineStr">
        <is>
          <t>gross borrowings less cash, 31 March 2026 reviewed balance sheet</t>
        </is>
      </c>
    </row>
    <row r="14">
      <c r="A14" s="6" t="inlineStr">
        <is>
          <t>Investments in associates (EGP mn)</t>
        </is>
      </c>
      <c r="B14" s="13" t="n">
        <v>3838.697211</v>
      </c>
      <c r="C14" s="2" t="inlineStr">
        <is>
          <t>31 March 2026 reviewed balance sheet</t>
        </is>
      </c>
    </row>
    <row r="15">
      <c r="A15" s="6" t="inlineStr">
        <is>
          <t>Investment property (EGP mn)</t>
        </is>
      </c>
      <c r="B15" s="13" t="n">
        <v>1020.474869</v>
      </c>
      <c r="C15" s="2" t="inlineStr">
        <is>
          <t>31 March 2026 reviewed balance sheet</t>
        </is>
      </c>
    </row>
    <row r="16">
      <c r="A16" s="6" t="inlineStr">
        <is>
          <t>Minority interests, share of equity value</t>
        </is>
      </c>
      <c r="B16" s="12" t="n">
        <v>0.0468375604683756</v>
      </c>
      <c r="C16" s="2" t="inlineStr">
        <is>
          <t>the minority's filed share of FY2025 profit after tax, as its share of value</t>
        </is>
      </c>
    </row>
    <row r="17">
      <c r="A17" s="6" t="inlineStr">
        <is>
          <t>Shares outstanding (mn)</t>
        </is>
      </c>
      <c r="B17" s="13" t="n">
        <v>2859.92</v>
      </c>
      <c r="C17" s="2" t="inlineStr">
        <is>
          <t>FY2025</t>
        </is>
      </c>
    </row>
    <row r="18">
      <c r="A18" s="6" t="inlineStr">
        <is>
          <t>Opening revenue (EGP mn)</t>
        </is>
      </c>
      <c r="B18" s="13" t="n">
        <v>36169.3</v>
      </c>
      <c r="C18" s="2" t="inlineStr">
        <is>
          <t>FY2025 audited</t>
        </is>
      </c>
    </row>
    <row r="19">
      <c r="A19" s="6" t="inlineStr">
        <is>
          <t>Opening order book (EGP mn)</t>
        </is>
      </c>
      <c r="B19" s="13" t="n">
        <v>263000</v>
      </c>
      <c r="C19" s="2" t="inlineStr">
        <is>
          <t>as at 31 March 2026</t>
        </is>
      </c>
    </row>
    <row r="20">
      <c r="A20" s="6" t="inlineStr">
        <is>
          <t>Units delivered, 2026</t>
        </is>
      </c>
      <c r="B20" s="14" t="n">
        <v>2035.093098749406</v>
      </c>
      <c r="C20" s="2" t="inlineStr">
        <is>
          <t>implied by the reported first quarter of 2026</t>
        </is>
      </c>
    </row>
    <row r="21">
      <c r="A21" s="6" t="inlineStr">
        <is>
          <t>Units delivered, annual growth</t>
        </is>
      </c>
      <c r="B21" s="12" t="n">
        <v>0.15</v>
      </c>
      <c r="C21" s="2" t="inlineStr">
        <is>
          <t>the disclosed run of handovers, 1,308 / 1,281 / 1,500 / 2,000</t>
        </is>
      </c>
    </row>
    <row r="22">
      <c r="A22" s="6" t="inlineStr">
        <is>
          <t>Revenue per delivered unit, 2026 (EGP mn)</t>
        </is>
      </c>
      <c r="B22" s="8" t="n">
        <v>19.727806568</v>
      </c>
      <c r="C22" s="2" t="inlineStr">
        <is>
          <t>FY2024 revenue over c. 2,000 units delivered, escalated</t>
        </is>
      </c>
    </row>
    <row r="23">
      <c r="A23" s="6" t="inlineStr">
        <is>
          <t>Maintenance capital expenditure, share of revenue</t>
        </is>
      </c>
      <c r="B23" s="12" t="n">
        <v>0.01</v>
      </c>
      <c r="C23" s="2" t="inlineStr">
        <is>
          <t>the building itself is inventory and sits in operating cash</t>
        </is>
      </c>
    </row>
    <row r="25">
      <c r="A25" s="4" t="inlineStr">
        <is>
          <t>NOT DISCLOSED — absent by design, never estimated</t>
        </is>
      </c>
    </row>
    <row r="26">
      <c r="A26" s="6" t="inlineStr">
        <is>
          <t>cash flow statement detail</t>
        </is>
      </c>
      <c r="C26" s="2" t="inlineStr">
        <is>
          <t>The FY2025 cash-flow statement is published in its three totals only (operating EGP 1,424.2mn, investing EGP -4,031.7mn, financing EGP 5,628.8mn); no line-by-line statement is post</t>
        </is>
      </c>
    </row>
    <row r="27">
      <c r="A27" s="6" t="inlineStr">
        <is>
          <t>fy2025 results release</t>
        </is>
      </c>
      <c r="C27" s="2" t="inlineStr">
        <is>
          <t>PHD has published FY2025 consolidated statements but NO FY2025 full-year results release. The release is where units sold, new sales, deliveries and construction spend are disclose</t>
        </is>
      </c>
    </row>
    <row r="28">
      <c r="A28" s="6" t="inlineStr">
        <is>
          <t>h1 2026 results</t>
        </is>
      </c>
      <c r="C28" s="2" t="inlineStr">
        <is>
          <t>As at this build date (30-Aug-2026) no 2Q/H1-2026 statements or release are posted to the result centre; the newest disclosure of any kind is 1Q2026 (posted 25-Jun-2026). The study</t>
        </is>
      </c>
    </row>
    <row r="29">
      <c r="A29" s="6" t="inlineStr">
        <is>
          <t>securitisation pricing</t>
        </is>
      </c>
      <c r="C29" s="2" t="inlineStr">
        <is>
          <t>The EGP 2.015bn securitisation of 4-Feb-2026 discloses tranche sizes, tenors and national-scale ratings but NO coupon on any tranche, so the company's own marginal cost of debt can</t>
        </is>
      </c>
    </row>
    <row r="30">
      <c r="A30" s="6" t="inlineStr">
        <is>
          <t>per project pricing</t>
        </is>
      </c>
      <c r="C30" s="2" t="inlineStr">
        <is>
          <t>The company does not disclose per-project unit mix, average unit area, price per square metre or construction cost per square metre. The 11-Jun-2026 edition carried a full per-proj</t>
        </is>
      </c>
    </row>
    <row r="31">
      <c r="A31" s="6" t="inlineStr">
        <is>
          <t>backlog cost to complete</t>
        </is>
      </c>
      <c r="C31"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71936.89999999999</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-(B4+B5+B6+B7+B8)*Assumptions!B16</f>
        <v/>
      </c>
    </row>
    <row r="10">
      <c r="A10" s="4" t="inlineStr">
        <is>
          <t>Equity value attributable to shareholders</t>
        </is>
      </c>
      <c r="B10" s="10">
        <f>B4+B5+B6+B7+B8+B9</f>
        <v/>
      </c>
    </row>
    <row r="11">
      <c r="A11" s="4" t="inlineStr">
        <is>
          <t>Per share (EGP)</t>
        </is>
      </c>
      <c r="B11" s="7">
        <f>B10/Assumptions!B17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Assumptions!$B$20</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Assumptions!$B$22</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-B9*Assumptions!$B$23</f>
        <v/>
      </c>
      <c r="C13" s="21">
        <f>-C9*Assumptions!$B$23</f>
        <v/>
      </c>
      <c r="D13" s="21">
        <f>-D9*Assumptions!$B$23</f>
        <v/>
      </c>
      <c r="E13" s="21">
        <f>-E9*Assumptions!$B$23</f>
        <v/>
      </c>
      <c r="F13" s="21">
        <f>-F9*Assumptions!$B$23</f>
        <v/>
      </c>
      <c r="G13" s="21">
        <f>-G9*Assumptions!$B$23</f>
        <v/>
      </c>
      <c r="H13" s="21">
        <f>-H9*Assumptions!$B$23</f>
        <v/>
      </c>
      <c r="I13" s="21">
        <f>-I9*Assumptions!$B$23</f>
        <v/>
      </c>
      <c r="J13" s="21">
        <f>-J9*Assumptions!$B$23</f>
        <v/>
      </c>
      <c r="K13" s="21">
        <f>-K9*Assumptions!$B$23</f>
        <v/>
      </c>
      <c r="L13" s="21">
        <f>-L9*Assumptions!$B$23</f>
        <v/>
      </c>
      <c r="M13" s="21">
        <f>-M9*Assumptions!$B$23</f>
        <v/>
      </c>
      <c r="N13" s="21">
        <f>-N9*Assumptions!$B$23</f>
        <v/>
      </c>
      <c r="O13" s="21">
        <f>-O9*Assumptions!$B$23</f>
        <v/>
      </c>
      <c r="P13" s="21">
        <f>-P9*Assumptions!$B$23</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0.251085</v>
      </c>
      <c r="C16" s="12" t="n">
        <v>0.219107</v>
      </c>
      <c r="D16" s="12" t="n">
        <v>0.193525</v>
      </c>
      <c r="E16" s="12" t="n">
        <v>0.174338</v>
      </c>
      <c r="F16" s="12" t="n">
        <v>0.161547</v>
      </c>
      <c r="G16" s="12" t="n">
        <v>0.161547</v>
      </c>
      <c r="H16" s="12" t="n">
        <v>0.161547</v>
      </c>
      <c r="I16" s="12" t="n">
        <v>0.161547</v>
      </c>
      <c r="J16" s="12" t="n">
        <v>0.161547</v>
      </c>
      <c r="K16" s="12" t="n">
        <v>0.161547</v>
      </c>
      <c r="L16" s="12" t="n">
        <v>0.161547</v>
      </c>
      <c r="M16" s="12" t="n">
        <v>0.161547</v>
      </c>
      <c r="N16" s="12" t="n">
        <v>0.161547</v>
      </c>
      <c r="O16" s="12" t="n">
        <v>0.161547</v>
      </c>
      <c r="P16" s="12" t="n">
        <v>0.161547</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22474.6</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12.1676</v>
      </c>
      <c r="C10" s="25" t="n">
        <v>13.6278</v>
      </c>
      <c r="D10" s="25" t="n">
        <v>14.8543</v>
      </c>
      <c r="E10" s="25" t="n">
        <v>15.9683</v>
      </c>
      <c r="F10" s="25" t="n">
        <v>17.0861</v>
      </c>
      <c r="G10" s="25" t="n">
        <v>18.2821</v>
      </c>
      <c r="H10" s="25" t="n">
        <v>19.5619</v>
      </c>
      <c r="I10" s="25" t="n">
        <v>20.9312</v>
      </c>
      <c r="J10" s="25" t="n">
        <v>22.3964</v>
      </c>
      <c r="K10" s="25" t="n">
        <v>23.9642</v>
      </c>
      <c r="L10" s="25" t="n">
        <v>25.6416</v>
      </c>
      <c r="M10" s="25" t="n">
        <v>27.4366</v>
      </c>
      <c r="N10" s="25" t="n">
        <v>29.3571</v>
      </c>
      <c r="O10" s="25" t="n">
        <v>31.4121</v>
      </c>
      <c r="P10" s="25" t="n">
        <v>33.611</v>
      </c>
    </row>
    <row r="11">
      <c r="A11" s="6" t="inlineStr">
        <is>
          <t>Cost of revenue</t>
        </is>
      </c>
      <c r="B11" s="24" t="n">
        <v>24762.2864</v>
      </c>
      <c r="C11" s="24" t="n">
        <v>31893.8249</v>
      </c>
      <c r="D11" s="24" t="n">
        <v>39457.4455</v>
      </c>
      <c r="E11" s="24" t="n">
        <v>47506.7643</v>
      </c>
      <c r="F11" s="24" t="n">
        <v>56169.6228</v>
      </c>
      <c r="G11" s="24" t="n">
        <v>65510.6311</v>
      </c>
      <c r="H11" s="24" t="n">
        <v>75353.60340000001</v>
      </c>
      <c r="I11" s="24" t="n">
        <v>85466.057</v>
      </c>
      <c r="J11" s="24" t="n">
        <v>95563.8716</v>
      </c>
      <c r="K11" s="24" t="n">
        <v>105320.9429</v>
      </c>
      <c r="L11" s="24" t="n">
        <v>114383.81</v>
      </c>
      <c r="M11" s="24" t="n">
        <v>122390.6767</v>
      </c>
      <c r="N11" s="24" t="n">
        <v>130958.0241</v>
      </c>
      <c r="O11" s="24" t="n">
        <v>140125.0858</v>
      </c>
      <c r="P11" s="24" t="n">
        <v>149933.8418</v>
      </c>
    </row>
    <row r="12">
      <c r="A12" s="4" t="inlineStr">
        <is>
          <t>Gross profit</t>
        </is>
      </c>
      <c r="B12" s="24" t="n">
        <v>15385.6366</v>
      </c>
      <c r="C12" s="24" t="n">
        <v>19816.6999</v>
      </c>
      <c r="D12" s="24" t="n">
        <v>24516.2303</v>
      </c>
      <c r="E12" s="24" t="n">
        <v>29517.5413</v>
      </c>
      <c r="F12" s="24" t="n">
        <v>34900.065</v>
      </c>
      <c r="G12" s="24" t="n">
        <v>40703.9458</v>
      </c>
      <c r="H12" s="24" t="n">
        <v>46819.7136</v>
      </c>
      <c r="I12" s="24" t="n">
        <v>53102.9192</v>
      </c>
      <c r="J12" s="24" t="n">
        <v>59377.0291</v>
      </c>
      <c r="K12" s="24" t="n">
        <v>65439.4238</v>
      </c>
      <c r="L12" s="24" t="n">
        <v>71070.4862</v>
      </c>
      <c r="M12" s="24" t="n">
        <v>76045.42019999999</v>
      </c>
      <c r="N12" s="24" t="n">
        <v>81368.5996</v>
      </c>
      <c r="O12" s="24" t="n">
        <v>87064.4016</v>
      </c>
      <c r="P12" s="24" t="n">
        <v>93158.9097</v>
      </c>
    </row>
    <row r="13">
      <c r="A13" s="6" t="inlineStr">
        <is>
          <t>Gross margin</t>
        </is>
      </c>
      <c r="B13" s="26" t="n">
        <v>0.3832</v>
      </c>
      <c r="C13" s="26" t="n">
        <v>0.3832</v>
      </c>
      <c r="D13" s="26" t="n">
        <v>0.3832</v>
      </c>
      <c r="E13" s="26" t="n">
        <v>0.3832</v>
      </c>
      <c r="F13" s="26" t="n">
        <v>0.3832</v>
      </c>
      <c r="G13" s="26" t="n">
        <v>0.3832</v>
      </c>
      <c r="H13" s="26" t="n">
        <v>0.3832</v>
      </c>
      <c r="I13" s="26" t="n">
        <v>0.3832</v>
      </c>
      <c r="J13" s="26" t="n">
        <v>0.3832</v>
      </c>
      <c r="K13" s="26" t="n">
        <v>0.3832</v>
      </c>
      <c r="L13" s="26" t="n">
        <v>0.3832</v>
      </c>
      <c r="M13" s="26" t="n">
        <v>0.3832</v>
      </c>
      <c r="N13" s="26" t="n">
        <v>0.3832</v>
      </c>
      <c r="O13" s="26" t="n">
        <v>0.3832</v>
      </c>
      <c r="P13" s="26" t="n">
        <v>0.3832</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7927.2136</v>
      </c>
      <c r="C15" s="24" t="n">
        <v>10210.2511</v>
      </c>
      <c r="D15" s="24" t="n">
        <v>12631.6122</v>
      </c>
      <c r="E15" s="24" t="n">
        <v>15208.461</v>
      </c>
      <c r="F15" s="24" t="n">
        <v>17981.7239</v>
      </c>
      <c r="G15" s="24" t="n">
        <v>20972.0846</v>
      </c>
      <c r="H15" s="24" t="n">
        <v>24123.1403</v>
      </c>
      <c r="I15" s="24" t="n">
        <v>27360.4657</v>
      </c>
      <c r="J15" s="24" t="n">
        <v>30593.1048</v>
      </c>
      <c r="K15" s="24" t="n">
        <v>33716.6608</v>
      </c>
      <c r="L15" s="24" t="n">
        <v>36617.9794</v>
      </c>
      <c r="M15" s="24" t="n">
        <v>39181.238</v>
      </c>
      <c r="N15" s="24" t="n">
        <v>41923.9247</v>
      </c>
      <c r="O15" s="24" t="n">
        <v>44858.5994</v>
      </c>
      <c r="P15" s="24" t="n">
        <v>47998.7013</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4579.7136</v>
      </c>
      <c r="C17" s="24" t="n">
        <v>6862.7511</v>
      </c>
      <c r="D17" s="24" t="n">
        <v>9284.1122</v>
      </c>
      <c r="E17" s="24" t="n">
        <v>11860.961</v>
      </c>
      <c r="F17" s="24" t="n">
        <v>14634.2239</v>
      </c>
      <c r="G17" s="24" t="n">
        <v>17624.5846</v>
      </c>
      <c r="H17" s="24" t="n">
        <v>20775.6403</v>
      </c>
      <c r="I17" s="24" t="n">
        <v>24012.9657</v>
      </c>
      <c r="J17" s="24" t="n">
        <v>27245.6048</v>
      </c>
      <c r="K17" s="24" t="n">
        <v>30369.1608</v>
      </c>
      <c r="L17" s="24" t="n">
        <v>33270.4794</v>
      </c>
      <c r="M17" s="24" t="n">
        <v>35833.738</v>
      </c>
      <c r="N17" s="24" t="n">
        <v>38576.4247</v>
      </c>
      <c r="O17" s="24" t="n">
        <v>41511.0994</v>
      </c>
      <c r="P17" s="24" t="n">
        <v>44651.2013</v>
      </c>
    </row>
    <row r="18">
      <c r="A18" s="4" t="inlineStr">
        <is>
          <t>Net profit</t>
        </is>
      </c>
      <c r="B18" s="24" t="n">
        <v>3549.278</v>
      </c>
      <c r="C18" s="24" t="n">
        <v>5318.6321</v>
      </c>
      <c r="D18" s="24" t="n">
        <v>7195.1869</v>
      </c>
      <c r="E18" s="24" t="n">
        <v>9192.2448</v>
      </c>
      <c r="F18" s="24" t="n">
        <v>11341.5235</v>
      </c>
      <c r="G18" s="24" t="n">
        <v>13659.0531</v>
      </c>
      <c r="H18" s="24" t="n">
        <v>16101.1212</v>
      </c>
      <c r="I18" s="24" t="n">
        <v>18610.0485</v>
      </c>
      <c r="J18" s="24" t="n">
        <v>21115.3437</v>
      </c>
      <c r="K18" s="24" t="n">
        <v>23536.0996</v>
      </c>
      <c r="L18" s="24" t="n">
        <v>25784.6216</v>
      </c>
      <c r="M18" s="24" t="n">
        <v>27771.1469</v>
      </c>
      <c r="N18" s="24" t="n">
        <v>29896.7291</v>
      </c>
      <c r="O18" s="24" t="n">
        <v>32171.102</v>
      </c>
      <c r="P18" s="24" t="n">
        <v>34604.681</v>
      </c>
    </row>
    <row r="19">
      <c r="A19" s="6" t="inlineStr">
        <is>
          <t>Earnings per share (EGP)</t>
        </is>
      </c>
      <c r="B19" s="25" t="n">
        <v>1.241</v>
      </c>
      <c r="C19" s="25" t="n">
        <v>1.8597</v>
      </c>
      <c r="D19" s="25" t="n">
        <v>2.5159</v>
      </c>
      <c r="E19" s="25" t="n">
        <v>3.2142</v>
      </c>
      <c r="F19" s="25" t="n">
        <v>3.9657</v>
      </c>
      <c r="G19" s="25" t="n">
        <v>4.776</v>
      </c>
      <c r="H19" s="25" t="n">
        <v>5.6299</v>
      </c>
      <c r="I19" s="25" t="n">
        <v>6.5072</v>
      </c>
      <c r="J19" s="25" t="n">
        <v>7.3832</v>
      </c>
      <c r="K19" s="25" t="n">
        <v>8.2296</v>
      </c>
      <c r="L19" s="25" t="n">
        <v>9.0159</v>
      </c>
      <c r="M19" s="25" t="n">
        <v>9.7105</v>
      </c>
      <c r="N19" s="25" t="n">
        <v>10.4537</v>
      </c>
      <c r="O19" s="25" t="n">
        <v>11.249</v>
      </c>
      <c r="P19" s="25" t="n">
        <v>12.0999</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104247.5434</v>
      </c>
      <c r="C16" s="21" t="n">
        <v>106437.275</v>
      </c>
      <c r="D16" s="21" t="n">
        <v>110168.1339</v>
      </c>
      <c r="E16" s="21" t="n">
        <v>115539.0836</v>
      </c>
      <c r="F16" s="21" t="n">
        <v>122675.136</v>
      </c>
      <c r="G16" s="21" t="n">
        <v>131714.4677</v>
      </c>
      <c r="H16" s="21" t="n">
        <v>142759.3565</v>
      </c>
      <c r="I16" s="21" t="n">
        <v>155864.7106</v>
      </c>
      <c r="J16" s="21" t="n">
        <v>171027.5473</v>
      </c>
      <c r="K16" s="21" t="n">
        <v>188178.4383</v>
      </c>
      <c r="L16" s="21" t="n">
        <v>207175.9358</v>
      </c>
      <c r="M16" s="21" t="n">
        <v>227804.8743</v>
      </c>
      <c r="N16" s="21" t="n">
        <v>250179.4547</v>
      </c>
      <c r="O16" s="21" t="n">
        <v>274421.8718</v>
      </c>
      <c r="P16" s="21" t="n">
        <v>300662.8743</v>
      </c>
    </row>
    <row r="17">
      <c r="A17" s="6" t="inlineStr">
        <is>
          <t>Work in progress</t>
        </is>
      </c>
      <c r="B17" s="21" t="n">
        <v>17695.9447</v>
      </c>
      <c r="C17" s="21" t="n">
        <v>18067.65</v>
      </c>
      <c r="D17" s="21" t="n">
        <v>18700.9606</v>
      </c>
      <c r="E17" s="21" t="n">
        <v>19612.6754</v>
      </c>
      <c r="F17" s="21" t="n">
        <v>20824.0151</v>
      </c>
      <c r="G17" s="21" t="n">
        <v>22358.4351</v>
      </c>
      <c r="H17" s="21" t="n">
        <v>24233.297</v>
      </c>
      <c r="I17" s="21" t="n">
        <v>26457.9213</v>
      </c>
      <c r="J17" s="21" t="n">
        <v>29031.8018</v>
      </c>
      <c r="K17" s="21" t="n">
        <v>31943.1531</v>
      </c>
      <c r="L17" s="21" t="n">
        <v>35167.9644</v>
      </c>
      <c r="M17" s="21" t="n">
        <v>38669.7118</v>
      </c>
      <c r="N17" s="21" t="n">
        <v>42467.7805</v>
      </c>
      <c r="O17" s="21" t="n">
        <v>46582.9132</v>
      </c>
      <c r="P17" s="21" t="n">
        <v>51037.3043</v>
      </c>
    </row>
    <row r="18">
      <c r="A18" s="6" t="inlineStr">
        <is>
          <t>Other receivables and prepayments</t>
        </is>
      </c>
      <c r="B18" s="21" t="n">
        <v>13013.9604</v>
      </c>
      <c r="C18" s="21" t="n">
        <v>13287.3202</v>
      </c>
      <c r="D18" s="21" t="n">
        <v>13753.0697</v>
      </c>
      <c r="E18" s="21" t="n">
        <v>14423.5635</v>
      </c>
      <c r="F18" s="21" t="n">
        <v>15314.4075</v>
      </c>
      <c r="G18" s="21" t="n">
        <v>16442.8514</v>
      </c>
      <c r="H18" s="21" t="n">
        <v>17821.6633</v>
      </c>
      <c r="I18" s="21" t="n">
        <v>19457.6976</v>
      </c>
      <c r="J18" s="21" t="n">
        <v>21350.5821</v>
      </c>
      <c r="K18" s="21" t="n">
        <v>23491.6495</v>
      </c>
      <c r="L18" s="21" t="n">
        <v>25863.2419</v>
      </c>
      <c r="M18" s="21" t="n">
        <v>28438.4986</v>
      </c>
      <c r="N18" s="21" t="n">
        <v>31231.6762</v>
      </c>
      <c r="O18" s="21" t="n">
        <v>34258.0291</v>
      </c>
      <c r="P18" s="21" t="n">
        <v>37533.8796</v>
      </c>
    </row>
    <row r="19">
      <c r="A19" s="6" t="inlineStr">
        <is>
          <t>Advances to suppliers</t>
        </is>
      </c>
      <c r="B19" s="21" t="n">
        <v>9120.6492</v>
      </c>
      <c r="C19" s="21" t="n">
        <v>9312.2294</v>
      </c>
      <c r="D19" s="21" t="n">
        <v>9638.643400000001</v>
      </c>
      <c r="E19" s="21" t="n">
        <v>10108.5494</v>
      </c>
      <c r="F19" s="21" t="n">
        <v>10732.8848</v>
      </c>
      <c r="G19" s="21" t="n">
        <v>11523.7387</v>
      </c>
      <c r="H19" s="21" t="n">
        <v>12490.0594</v>
      </c>
      <c r="I19" s="21" t="n">
        <v>13636.6508</v>
      </c>
      <c r="J19" s="21" t="n">
        <v>14963.2519</v>
      </c>
      <c r="K19" s="21" t="n">
        <v>16463.7886</v>
      </c>
      <c r="L19" s="21" t="n">
        <v>18125.8854</v>
      </c>
      <c r="M19" s="21" t="n">
        <v>19930.7175</v>
      </c>
      <c r="N19" s="21" t="n">
        <v>21888.2763</v>
      </c>
      <c r="O19" s="21" t="n">
        <v>24009.2527</v>
      </c>
      <c r="P19" s="21" t="n">
        <v>26305.086</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176253.6456</v>
      </c>
      <c r="C23" s="22" t="n">
        <v>183280.226</v>
      </c>
      <c r="D23" s="22" t="n">
        <v>193385.4107</v>
      </c>
      <c r="E23" s="22" t="n">
        <v>206766.8924</v>
      </c>
      <c r="F23" s="22" t="n">
        <v>223674.3988</v>
      </c>
      <c r="G23" s="22" t="n">
        <v>244383.9558</v>
      </c>
      <c r="H23" s="22" t="n">
        <v>269099.8767</v>
      </c>
      <c r="I23" s="22" t="n">
        <v>297931.8479</v>
      </c>
      <c r="J23" s="22" t="n">
        <v>330873.911</v>
      </c>
      <c r="K23" s="22" t="n">
        <v>367787.3738</v>
      </c>
      <c r="L23" s="22" t="n">
        <v>408389.676</v>
      </c>
      <c r="M23" s="22" t="n">
        <v>452250.996</v>
      </c>
      <c r="N23" s="22" t="n">
        <v>499599.4651</v>
      </c>
      <c r="O23" s="22" t="n">
        <v>550679.1836</v>
      </c>
      <c r="P23" s="22" t="n">
        <v>605751.339</v>
      </c>
    </row>
    <row r="24">
      <c r="A24" s="6" t="inlineStr">
        <is>
          <t>Customer advances</t>
        </is>
      </c>
      <c r="B24" s="21" t="n">
        <v>69847.66379999999</v>
      </c>
      <c r="C24" s="21" t="n">
        <v>71314.822</v>
      </c>
      <c r="D24" s="21" t="n">
        <v>73814.56230000001</v>
      </c>
      <c r="E24" s="21" t="n">
        <v>77413.1918</v>
      </c>
      <c r="F24" s="21" t="n">
        <v>82194.4708</v>
      </c>
      <c r="G24" s="21" t="n">
        <v>88250.98</v>
      </c>
      <c r="H24" s="21" t="n">
        <v>95651.2472</v>
      </c>
      <c r="I24" s="21" t="n">
        <v>104432.062</v>
      </c>
      <c r="J24" s="21" t="n">
        <v>114591.4258</v>
      </c>
      <c r="K24" s="21" t="n">
        <v>126082.8205</v>
      </c>
      <c r="L24" s="21" t="n">
        <v>138811.4737</v>
      </c>
      <c r="M24" s="21" t="n">
        <v>152633.2206</v>
      </c>
      <c r="N24" s="21" t="n">
        <v>167624.5779</v>
      </c>
      <c r="O24" s="21" t="n">
        <v>183867.4182</v>
      </c>
      <c r="P24" s="21" t="n">
        <v>201449.3454</v>
      </c>
    </row>
    <row r="25">
      <c r="A25" s="6" t="inlineStr">
        <is>
          <t>Suppliers</t>
        </is>
      </c>
      <c r="B25" s="21" t="n">
        <v>3834.0928</v>
      </c>
      <c r="C25" s="21" t="n">
        <v>3914.6284</v>
      </c>
      <c r="D25" s="21" t="n">
        <v>4051.8446</v>
      </c>
      <c r="E25" s="21" t="n">
        <v>4249.3814</v>
      </c>
      <c r="F25" s="21" t="n">
        <v>4511.8364</v>
      </c>
      <c r="G25" s="21" t="n">
        <v>4844.2916</v>
      </c>
      <c r="H25" s="21" t="n">
        <v>5250.5086</v>
      </c>
      <c r="I25" s="21" t="n">
        <v>5732.5069</v>
      </c>
      <c r="J25" s="21" t="n">
        <v>6290.1769</v>
      </c>
      <c r="K25" s="21" t="n">
        <v>6920.965</v>
      </c>
      <c r="L25" s="21" t="n">
        <v>7619.6689</v>
      </c>
      <c r="M25" s="21" t="n">
        <v>8378.3752</v>
      </c>
      <c r="N25" s="21" t="n">
        <v>9201.284</v>
      </c>
      <c r="O25" s="21" t="n">
        <v>10092.8894</v>
      </c>
      <c r="P25" s="21" t="n">
        <v>11058.0003</v>
      </c>
    </row>
    <row r="26">
      <c r="A26" s="6" t="inlineStr">
        <is>
          <t>Other creditors</t>
        </is>
      </c>
      <c r="B26" s="21" t="n">
        <v>5158.149</v>
      </c>
      <c r="C26" s="21" t="n">
        <v>5266.4965</v>
      </c>
      <c r="D26" s="21" t="n">
        <v>5451.0987</v>
      </c>
      <c r="E26" s="21" t="n">
        <v>5716.8523</v>
      </c>
      <c r="F26" s="21" t="n">
        <v>6069.9428</v>
      </c>
      <c r="G26" s="21" t="n">
        <v>6517.2073</v>
      </c>
      <c r="H26" s="21" t="n">
        <v>7063.7063</v>
      </c>
      <c r="I26" s="21" t="n">
        <v>7712.1568</v>
      </c>
      <c r="J26" s="21" t="n">
        <v>8462.411099999999</v>
      </c>
      <c r="K26" s="21" t="n">
        <v>9311.034</v>
      </c>
      <c r="L26" s="21" t="n">
        <v>10251.0266</v>
      </c>
      <c r="M26" s="21" t="n">
        <v>11271.7426</v>
      </c>
      <c r="N26" s="21" t="n">
        <v>12378.8327</v>
      </c>
      <c r="O26" s="21" t="n">
        <v>13578.343</v>
      </c>
      <c r="P26" s="21" t="n">
        <v>14876.7429</v>
      </c>
    </row>
    <row r="27">
      <c r="A27" s="6" t="inlineStr">
        <is>
          <t>Cheques under collection</t>
        </is>
      </c>
      <c r="B27" s="21" t="n">
        <v>2471.1619</v>
      </c>
      <c r="C27" s="21" t="n">
        <v>2523.069</v>
      </c>
      <c r="D27" s="21" t="n">
        <v>2611.5081</v>
      </c>
      <c r="E27" s="21" t="n">
        <v>2738.8251</v>
      </c>
      <c r="F27" s="21" t="n">
        <v>2907.9834</v>
      </c>
      <c r="G27" s="21" t="n">
        <v>3122.2585</v>
      </c>
      <c r="H27" s="21" t="n">
        <v>3384.0748</v>
      </c>
      <c r="I27" s="21" t="n">
        <v>3694.734</v>
      </c>
      <c r="J27" s="21" t="n">
        <v>4054.1652</v>
      </c>
      <c r="K27" s="21" t="n">
        <v>4460.7228</v>
      </c>
      <c r="L27" s="21" t="n">
        <v>4911.0538</v>
      </c>
      <c r="M27" s="21" t="n">
        <v>5400.0576</v>
      </c>
      <c r="N27" s="21" t="n">
        <v>5930.4414</v>
      </c>
      <c r="O27" s="21" t="n">
        <v>6505.1018</v>
      </c>
      <c r="P27" s="21" t="n">
        <v>7127.1382</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153938.5676</v>
      </c>
      <c r="C30" s="22" t="n">
        <v>155646.5159</v>
      </c>
      <c r="D30" s="22" t="n">
        <v>158556.5137</v>
      </c>
      <c r="E30" s="22" t="n">
        <v>162745.7506</v>
      </c>
      <c r="F30" s="22" t="n">
        <v>168311.7334</v>
      </c>
      <c r="G30" s="22" t="n">
        <v>175362.2373</v>
      </c>
      <c r="H30" s="22" t="n">
        <v>183977.037</v>
      </c>
      <c r="I30" s="22" t="n">
        <v>194198.9597</v>
      </c>
      <c r="J30" s="22" t="n">
        <v>206025.6791</v>
      </c>
      <c r="K30" s="22" t="n">
        <v>219403.0423</v>
      </c>
      <c r="L30" s="22" t="n">
        <v>234220.723</v>
      </c>
      <c r="M30" s="22" t="n">
        <v>250310.896</v>
      </c>
      <c r="N30" s="22" t="n">
        <v>267762.636</v>
      </c>
      <c r="O30" s="22" t="n">
        <v>286671.2524</v>
      </c>
      <c r="P30" s="22" t="n">
        <v>307138.7268</v>
      </c>
    </row>
    <row r="31">
      <c r="A31" s="6" t="inlineStr">
        <is>
          <t>Shareholders' funds</t>
        </is>
      </c>
      <c r="B31" s="21" t="n">
        <v>22315.078</v>
      </c>
      <c r="C31" s="21" t="n">
        <v>27633.7101</v>
      </c>
      <c r="D31" s="21" t="n">
        <v>34828.8971</v>
      </c>
      <c r="E31" s="21" t="n">
        <v>44021.1419</v>
      </c>
      <c r="F31" s="21" t="n">
        <v>55362.6654</v>
      </c>
      <c r="G31" s="21" t="n">
        <v>69021.7185</v>
      </c>
      <c r="H31" s="21" t="n">
        <v>85122.8397</v>
      </c>
      <c r="I31" s="21" t="n">
        <v>103732.8882</v>
      </c>
      <c r="J31" s="21" t="n">
        <v>124848.2319</v>
      </c>
      <c r="K31" s="21" t="n">
        <v>148384.3315</v>
      </c>
      <c r="L31" s="21" t="n">
        <v>174168.953</v>
      </c>
      <c r="M31" s="21" t="n">
        <v>201940.1</v>
      </c>
      <c r="N31" s="21" t="n">
        <v>231836.8291</v>
      </c>
      <c r="O31" s="21" t="n">
        <v>264007.9311</v>
      </c>
      <c r="P31" s="21" t="n">
        <v>298612.6121</v>
      </c>
    </row>
    <row r="32">
      <c r="A32" s="4" t="inlineStr">
        <is>
          <t>TOTAL LIABILITIES AND EQUITY</t>
        </is>
      </c>
      <c r="B32" s="22" t="n">
        <v>176253.6456</v>
      </c>
      <c r="C32" s="22" t="n">
        <v>183280.226</v>
      </c>
      <c r="D32" s="22" t="n">
        <v>193385.4107</v>
      </c>
      <c r="E32" s="22" t="n">
        <v>206766.8924</v>
      </c>
      <c r="F32" s="22" t="n">
        <v>223674.3988</v>
      </c>
      <c r="G32" s="22" t="n">
        <v>244383.9558</v>
      </c>
      <c r="H32" s="22" t="n">
        <v>269099.8767</v>
      </c>
      <c r="I32" s="22" t="n">
        <v>297931.8479</v>
      </c>
      <c r="J32" s="22" t="n">
        <v>330873.911</v>
      </c>
      <c r="K32" s="22" t="n">
        <v>367787.3738</v>
      </c>
      <c r="L32" s="22" t="n">
        <v>408389.676</v>
      </c>
      <c r="M32" s="22" t="n">
        <v>452250.996</v>
      </c>
      <c r="N32" s="22" t="n">
        <v>499599.4651</v>
      </c>
      <c r="O32" s="22" t="n">
        <v>550679.1836</v>
      </c>
      <c r="P32" s="22" t="n">
        <v>605751.339</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947.754</v>
      </c>
      <c r="C34" s="21" t="n">
        <v>751.2901000000001</v>
      </c>
      <c r="D34" s="21" t="n">
        <v>628.5612</v>
      </c>
      <c r="E34" s="21" t="n">
        <v>547.5124</v>
      </c>
      <c r="F34" s="21" t="n">
        <v>491.6721</v>
      </c>
      <c r="G34" s="21" t="n">
        <v>452.6288</v>
      </c>
      <c r="H34" s="21" t="n">
        <v>426.502</v>
      </c>
      <c r="I34" s="21" t="n">
        <v>410.5581</v>
      </c>
      <c r="J34" s="21" t="n">
        <v>402.8959</v>
      </c>
      <c r="K34" s="21" t="n">
        <v>402.2311</v>
      </c>
      <c r="L34" s="21" t="n">
        <v>407.7512</v>
      </c>
      <c r="M34" s="21" t="n">
        <v>419.0204</v>
      </c>
      <c r="N34" s="21" t="n">
        <v>430.0709</v>
      </c>
      <c r="O34" s="21" t="n">
        <v>440.883</v>
      </c>
      <c r="P34" s="21" t="n">
        <v>451.4406</v>
      </c>
    </row>
    <row r="35">
      <c r="A35" s="6" t="inlineStr">
        <is>
          <t>Work in progress, days of cost</t>
        </is>
      </c>
      <c r="B35" s="21" t="n">
        <v>260.841</v>
      </c>
      <c r="C35" s="21" t="n">
        <v>206.7702</v>
      </c>
      <c r="D35" s="21" t="n">
        <v>172.9927</v>
      </c>
      <c r="E35" s="21" t="n">
        <v>150.6865</v>
      </c>
      <c r="F35" s="21" t="n">
        <v>135.3181</v>
      </c>
      <c r="G35" s="21" t="n">
        <v>124.5726</v>
      </c>
      <c r="H35" s="21" t="n">
        <v>117.382</v>
      </c>
      <c r="I35" s="21" t="n">
        <v>112.9939</v>
      </c>
      <c r="J35" s="21" t="n">
        <v>110.8851</v>
      </c>
      <c r="K35" s="21" t="n">
        <v>110.7021</v>
      </c>
      <c r="L35" s="21" t="n">
        <v>112.2214</v>
      </c>
      <c r="M35" s="21" t="n">
        <v>115.3229</v>
      </c>
      <c r="N35" s="21" t="n">
        <v>118.3642</v>
      </c>
      <c r="O35" s="21" t="n">
        <v>121.3399</v>
      </c>
      <c r="P35" s="21" t="n">
        <v>124.2456</v>
      </c>
    </row>
    <row r="36">
      <c r="A36" s="6" t="inlineStr">
        <is>
          <t>Suppliers, days of cost</t>
        </is>
      </c>
      <c r="B36" s="21" t="n">
        <v>56.5151</v>
      </c>
      <c r="C36" s="21" t="n">
        <v>44.7999</v>
      </c>
      <c r="D36" s="21" t="n">
        <v>37.4815</v>
      </c>
      <c r="E36" s="21" t="n">
        <v>32.6485</v>
      </c>
      <c r="F36" s="21" t="n">
        <v>29.3187</v>
      </c>
      <c r="G36" s="21" t="n">
        <v>26.9905</v>
      </c>
      <c r="H36" s="21" t="n">
        <v>25.4326</v>
      </c>
      <c r="I36" s="21" t="n">
        <v>24.4818</v>
      </c>
      <c r="J36" s="21" t="n">
        <v>24.0249</v>
      </c>
      <c r="K36" s="21" t="n">
        <v>23.9853</v>
      </c>
      <c r="L36" s="21" t="n">
        <v>24.3144</v>
      </c>
      <c r="M36" s="21" t="n">
        <v>24.9864</v>
      </c>
      <c r="N36" s="21" t="n">
        <v>25.6454</v>
      </c>
      <c r="O36" s="21" t="n">
        <v>26.2901</v>
      </c>
      <c r="P36" s="21" t="n">
        <v>26.9197</v>
      </c>
    </row>
    <row r="37">
      <c r="A37" s="6" t="inlineStr">
        <is>
          <t>Customer advances, share of the order book</t>
        </is>
      </c>
      <c r="B37" s="17" t="n">
        <v>0.1981</v>
      </c>
      <c r="C37" s="17" t="n">
        <v>0.1599</v>
      </c>
      <c r="D37" s="17" t="n">
        <v>0.1366</v>
      </c>
      <c r="E37" s="17" t="n">
        <v>0.1222</v>
      </c>
      <c r="F37" s="17" t="n">
        <v>0.1134</v>
      </c>
      <c r="G37" s="17" t="n">
        <v>0.1085</v>
      </c>
      <c r="H37" s="17" t="n">
        <v>0.1063</v>
      </c>
      <c r="I37" s="17" t="n">
        <v>0.1061</v>
      </c>
      <c r="J37" s="17" t="n">
        <v>0.1073</v>
      </c>
      <c r="K37" s="17" t="n">
        <v>0.1094</v>
      </c>
      <c r="L37" s="17" t="n">
        <v>0.1119</v>
      </c>
      <c r="M37" s="17" t="n">
        <v>0.1143</v>
      </c>
      <c r="N37" s="17" t="n">
        <v>0.1168</v>
      </c>
      <c r="O37" s="17" t="n">
        <v>0.1191</v>
      </c>
      <c r="P37" s="17" t="n">
        <v>0.1215</v>
      </c>
    </row>
    <row r="38">
      <c r="A38" s="6" t="inlineStr">
        <is>
          <t>Net working capital</t>
        </is>
      </c>
      <c r="B38" s="21" t="n">
        <v>62767.03</v>
      </c>
      <c r="C38" s="21" t="n">
        <v>64085.4587</v>
      </c>
      <c r="D38" s="21" t="n">
        <v>66331.79399999999</v>
      </c>
      <c r="E38" s="21" t="n">
        <v>69565.6214</v>
      </c>
      <c r="F38" s="21" t="n">
        <v>73862.2101</v>
      </c>
      <c r="G38" s="21" t="n">
        <v>79304.7556</v>
      </c>
      <c r="H38" s="21" t="n">
        <v>85954.8391</v>
      </c>
      <c r="I38" s="21" t="n">
        <v>93845.5206</v>
      </c>
      <c r="J38" s="21" t="n">
        <v>102975.004</v>
      </c>
      <c r="K38" s="21" t="n">
        <v>113301.4871</v>
      </c>
      <c r="L38" s="21" t="n">
        <v>124739.8046</v>
      </c>
      <c r="M38" s="21" t="n">
        <v>137160.4062</v>
      </c>
      <c r="N38" s="21" t="n">
        <v>150632.0517</v>
      </c>
      <c r="O38" s="21" t="n">
        <v>165228.3144</v>
      </c>
      <c r="P38" s="21" t="n">
        <v>181027.9173</v>
      </c>
    </row>
    <row r="39">
      <c r="A39" s="6" t="inlineStr">
        <is>
          <t xml:space="preserve">  as a multiple of revenue</t>
        </is>
      </c>
      <c r="B39" s="7" t="n">
        <v>1.5634</v>
      </c>
      <c r="C39" s="7" t="n">
        <v>1.2393</v>
      </c>
      <c r="D39" s="7" t="n">
        <v>1.0369</v>
      </c>
      <c r="E39" s="7" t="n">
        <v>0.9032</v>
      </c>
      <c r="F39" s="7" t="n">
        <v>0.8111</v>
      </c>
      <c r="G39" s="7" t="n">
        <v>0.7466</v>
      </c>
      <c r="H39" s="7" t="n">
        <v>0.7035</v>
      </c>
      <c r="I39" s="7" t="n">
        <v>0.6772</v>
      </c>
      <c r="J39" s="7" t="n">
        <v>0.6646</v>
      </c>
      <c r="K39" s="7" t="n">
        <v>0.6635</v>
      </c>
      <c r="L39" s="7" t="n">
        <v>0.6726</v>
      </c>
      <c r="M39" s="7" t="n">
        <v>0.6912</v>
      </c>
      <c r="N39" s="7" t="n">
        <v>0.7094</v>
      </c>
      <c r="O39" s="7" t="n">
        <v>0.7272999999999999</v>
      </c>
      <c r="P39" s="7" t="n">
        <v>0.7447</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6104.3208</v>
      </c>
      <c r="C47" s="21" t="n">
        <v>2354.875</v>
      </c>
      <c r="D47" s="21" t="n">
        <v>2354.875</v>
      </c>
      <c r="E47" s="21" t="n">
        <v>2354.875</v>
      </c>
      <c r="F47" s="21" t="n">
        <v>2354.875</v>
      </c>
      <c r="G47" s="21" t="n">
        <v>2354.875</v>
      </c>
      <c r="H47" s="21" t="n">
        <v>2354.875</v>
      </c>
      <c r="I47" s="21" t="n">
        <v>2354.875</v>
      </c>
      <c r="J47" s="21" t="n">
        <v>2354.875</v>
      </c>
      <c r="K47" s="21" t="n">
        <v>2354.875</v>
      </c>
      <c r="L47" s="21" t="n">
        <v>2779.3305</v>
      </c>
      <c r="M47" s="21" t="n">
        <v>8137.6202</v>
      </c>
      <c r="N47" s="21" t="n">
        <v>14052.592</v>
      </c>
      <c r="O47" s="21" t="n">
        <v>20563.2138</v>
      </c>
      <c r="P47" s="21" t="n">
        <v>27711.1809</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184560.093</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756220.4286</v>
      </c>
      <c r="M50" s="22" t="n">
        <v>812969.3316</v>
      </c>
      <c r="N50" s="22" t="n">
        <v>873872.2598</v>
      </c>
      <c r="O50" s="22" t="n">
        <v>939219.9948</v>
      </c>
      <c r="P50" s="22" t="n">
        <v>1009323.6732</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44419.626</v>
      </c>
      <c r="D55" s="21" t="n">
        <v>58369.2727</v>
      </c>
      <c r="E55" s="21" t="n">
        <v>71681.65429999999</v>
      </c>
      <c r="F55" s="21" t="n">
        <v>84561.9237</v>
      </c>
      <c r="G55" s="21" t="n">
        <v>97022.5762</v>
      </c>
      <c r="H55" s="21" t="n">
        <v>108447.0381</v>
      </c>
      <c r="I55" s="21" t="n">
        <v>118119.0533</v>
      </c>
      <c r="J55" s="21" t="n">
        <v>125248.494</v>
      </c>
      <c r="K55" s="21" t="n">
        <v>129008.7307</v>
      </c>
      <c r="L55" s="21" t="n">
        <v>129008.7307</v>
      </c>
      <c r="M55" s="21" t="n">
        <v>129008.7307</v>
      </c>
      <c r="N55" s="21" t="n">
        <v>129008.7307</v>
      </c>
      <c r="O55" s="21" t="n">
        <v>129008.7307</v>
      </c>
      <c r="P55" s="21" t="n">
        <v>129008.7307</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198921.7853</v>
      </c>
      <c r="D57" s="22" t="n">
        <v>240245.0303</v>
      </c>
      <c r="E57" s="22" t="n">
        <v>282688.8073</v>
      </c>
      <c r="F57" s="22" t="n">
        <v>326920.9412</v>
      </c>
      <c r="G57" s="22" t="n">
        <v>373187.7591</v>
      </c>
      <c r="H57" s="22" t="n">
        <v>420235.051</v>
      </c>
      <c r="I57" s="22" t="n">
        <v>466505.1793</v>
      </c>
      <c r="J57" s="22" t="n">
        <v>510179.7532</v>
      </c>
      <c r="K57" s="22" t="n">
        <v>549251.9344</v>
      </c>
      <c r="L57" s="22" t="n">
        <v>582051.4754999999</v>
      </c>
      <c r="M57" s="22" t="n">
        <v>611029.2316000001</v>
      </c>
      <c r="N57" s="22" t="n">
        <v>642035.4307</v>
      </c>
      <c r="O57" s="22" t="n">
        <v>675212.0637000001</v>
      </c>
      <c r="P57" s="22" t="n">
        <v>710711.061</v>
      </c>
    </row>
    <row r="58">
      <c r="A58" s="6" t="inlineStr">
        <is>
          <t>Shareholders' funds</t>
        </is>
      </c>
      <c r="B58" s="21" t="n">
        <v>22315.078</v>
      </c>
      <c r="C58" s="21" t="n">
        <v>27633.7101</v>
      </c>
      <c r="D58" s="21" t="n">
        <v>34828.8971</v>
      </c>
      <c r="E58" s="21" t="n">
        <v>44021.1419</v>
      </c>
      <c r="F58" s="21" t="n">
        <v>55362.6654</v>
      </c>
      <c r="G58" s="21" t="n">
        <v>69021.7185</v>
      </c>
      <c r="H58" s="21" t="n">
        <v>85122.8397</v>
      </c>
      <c r="I58" s="21" t="n">
        <v>103732.8882</v>
      </c>
      <c r="J58" s="21" t="n">
        <v>124848.2319</v>
      </c>
      <c r="K58" s="21" t="n">
        <v>148384.3315</v>
      </c>
      <c r="L58" s="21" t="n">
        <v>174168.953</v>
      </c>
      <c r="M58" s="21" t="n">
        <v>201940.1</v>
      </c>
      <c r="N58" s="21" t="n">
        <v>231836.8291</v>
      </c>
      <c r="O58" s="21" t="n">
        <v>264007.9311</v>
      </c>
      <c r="P58" s="21" t="n">
        <v>298612.6121</v>
      </c>
    </row>
    <row r="59">
      <c r="A59" s="4" t="inlineStr">
        <is>
          <t>TOTAL LIABILITIES AND EQUITY</t>
        </is>
      </c>
      <c r="B59" s="22" t="n">
        <v>184560.093</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756220.4286</v>
      </c>
      <c r="M59" s="22" t="n">
        <v>812969.3316</v>
      </c>
      <c r="N59" s="22" t="n">
        <v>873872.2598</v>
      </c>
      <c r="O59" s="22" t="n">
        <v>939219.9948</v>
      </c>
      <c r="P59" s="22" t="n">
        <v>1009323.6732</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287.4876</v>
      </c>
      <c r="C62" s="21" t="n">
        <v>287.4876</v>
      </c>
      <c r="D62" s="21" t="n">
        <v>287.4876</v>
      </c>
      <c r="E62" s="21" t="n">
        <v>287.4876</v>
      </c>
      <c r="F62" s="21" t="n">
        <v>287.4876</v>
      </c>
      <c r="G62" s="21" t="n">
        <v>287.4876</v>
      </c>
      <c r="H62" s="21" t="n">
        <v>287.4876</v>
      </c>
      <c r="I62" s="21" t="n">
        <v>287.4876</v>
      </c>
      <c r="J62" s="21" t="n">
        <v>287.4876</v>
      </c>
      <c r="K62" s="21" t="n">
        <v>287.4876</v>
      </c>
      <c r="L62" s="21" t="n">
        <v>287.4876</v>
      </c>
      <c r="M62" s="21" t="n">
        <v>287.4876</v>
      </c>
      <c r="N62" s="21" t="n">
        <v>287.4876</v>
      </c>
      <c r="O62" s="21" t="n">
        <v>287.4876</v>
      </c>
      <c r="P62" s="21" t="n">
        <v>287.4876</v>
      </c>
    </row>
    <row r="63">
      <c r="A63" s="6" t="inlineStr">
        <is>
          <t>Suppliers, days of cost</t>
        </is>
      </c>
      <c r="B63" s="21" t="n">
        <v>62.2885</v>
      </c>
      <c r="C63" s="21" t="n">
        <v>62.2885</v>
      </c>
      <c r="D63" s="21" t="n">
        <v>62.2885</v>
      </c>
      <c r="E63" s="21" t="n">
        <v>62.2885</v>
      </c>
      <c r="F63" s="21" t="n">
        <v>62.2885</v>
      </c>
      <c r="G63" s="21" t="n">
        <v>62.2885</v>
      </c>
      <c r="H63" s="21" t="n">
        <v>62.2885</v>
      </c>
      <c r="I63" s="21" t="n">
        <v>62.2885</v>
      </c>
      <c r="J63" s="21" t="n">
        <v>62.2885</v>
      </c>
      <c r="K63" s="21" t="n">
        <v>62.2885</v>
      </c>
      <c r="L63" s="21" t="n">
        <v>62.2885</v>
      </c>
      <c r="M63" s="21" t="n">
        <v>62.2885</v>
      </c>
      <c r="N63" s="21" t="n">
        <v>62.2885</v>
      </c>
      <c r="O63" s="21" t="n">
        <v>62.2885</v>
      </c>
      <c r="P63" s="21" t="n">
        <v>62.2885</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3549.278</v>
      </c>
      <c r="C6" s="21" t="n">
        <v>5318.6321</v>
      </c>
      <c r="D6" s="21" t="n">
        <v>7195.1869</v>
      </c>
      <c r="E6" s="21" t="n">
        <v>9192.2448</v>
      </c>
      <c r="F6" s="21" t="n">
        <v>11341.5235</v>
      </c>
      <c r="G6" s="21" t="n">
        <v>13659.0531</v>
      </c>
      <c r="H6" s="21" t="n">
        <v>16101.1212</v>
      </c>
      <c r="I6" s="21" t="n">
        <v>18610.0485</v>
      </c>
      <c r="J6" s="21" t="n">
        <v>21115.3437</v>
      </c>
      <c r="K6" s="21" t="n">
        <v>23536.0996</v>
      </c>
      <c r="L6" s="21" t="n">
        <v>25784.6216</v>
      </c>
      <c r="M6" s="21" t="n">
        <v>27771.1469</v>
      </c>
      <c r="N6" s="21" t="n">
        <v>29896.7291</v>
      </c>
      <c r="O6" s="21" t="n">
        <v>32171.102</v>
      </c>
      <c r="P6" s="21" t="n">
        <v>34604.681</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-443.53</v>
      </c>
      <c r="C8" s="21" t="n">
        <v>-1318.4287</v>
      </c>
      <c r="D8" s="21" t="n">
        <v>-2246.3353</v>
      </c>
      <c r="E8" s="21" t="n">
        <v>-3233.8274</v>
      </c>
      <c r="F8" s="21" t="n">
        <v>-4296.5887</v>
      </c>
      <c r="G8" s="21" t="n">
        <v>-5442.5456</v>
      </c>
      <c r="H8" s="21" t="n">
        <v>-6650.0835</v>
      </c>
      <c r="I8" s="21" t="n">
        <v>-7890.6814</v>
      </c>
      <c r="J8" s="21" t="n">
        <v>-9129.4835</v>
      </c>
      <c r="K8" s="21" t="n">
        <v>-10326.483</v>
      </c>
      <c r="L8" s="21" t="n">
        <v>-11438.3175</v>
      </c>
      <c r="M8" s="21" t="n">
        <v>-12420.6016</v>
      </c>
      <c r="N8" s="21" t="n">
        <v>-13471.6456</v>
      </c>
      <c r="O8" s="21" t="n">
        <v>-14596.2626</v>
      </c>
      <c r="P8" s="21" t="n">
        <v>-15799.6029</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3549.278</v>
      </c>
      <c r="C19" s="21" t="n">
        <v>5318.6321</v>
      </c>
      <c r="D19" s="21" t="n">
        <v>7195.1869</v>
      </c>
      <c r="E19" s="21" t="n">
        <v>9192.2448</v>
      </c>
      <c r="F19" s="21" t="n">
        <v>11341.5235</v>
      </c>
      <c r="G19" s="21" t="n">
        <v>13659.0531</v>
      </c>
      <c r="H19" s="21" t="n">
        <v>16101.1212</v>
      </c>
      <c r="I19" s="21" t="n">
        <v>18610.0485</v>
      </c>
      <c r="J19" s="21" t="n">
        <v>21115.3437</v>
      </c>
      <c r="K19" s="21" t="n">
        <v>23536.0996</v>
      </c>
      <c r="L19" s="21" t="n">
        <v>25784.6216</v>
      </c>
      <c r="M19" s="21" t="n">
        <v>27771.1469</v>
      </c>
      <c r="N19" s="21" t="n">
        <v>29896.7291</v>
      </c>
      <c r="O19" s="21" t="n">
        <v>32171.102</v>
      </c>
      <c r="P19" s="21" t="n">
        <v>34604.681</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-2913.7</v>
      </c>
      <c r="C22" s="22" t="n">
        <v>-14099.2666</v>
      </c>
      <c r="D22" s="22" t="n">
        <v>-13309.9099</v>
      </c>
      <c r="E22" s="22" t="n">
        <v>-12542.1386</v>
      </c>
      <c r="F22" s="22" t="n">
        <v>-11969.5725</v>
      </c>
      <c r="G22" s="22" t="n">
        <v>-11398.5068</v>
      </c>
      <c r="H22" s="22" t="n">
        <v>-10202.7287</v>
      </c>
      <c r="I22" s="22" t="n">
        <v>-8286.3254</v>
      </c>
      <c r="J22" s="22" t="n">
        <v>-5580.0317</v>
      </c>
      <c r="K22" s="22" t="n">
        <v>-2052.633</v>
      </c>
      <c r="L22" s="22" t="n">
        <v>2278.9985</v>
      </c>
      <c r="M22" s="22" t="n">
        <v>7342.6507</v>
      </c>
      <c r="N22" s="22" t="n">
        <v>8038.2381</v>
      </c>
      <c r="O22" s="22" t="n">
        <v>8782.516600000001</v>
      </c>
      <c r="P22" s="22" t="n">
        <v>9578.894700000001</v>
      </c>
    </row>
    <row r="23">
      <c r="A23" s="6" t="inlineStr">
        <is>
          <t xml:space="preserve">  as a share of revenue</t>
        </is>
      </c>
      <c r="B23" s="17" t="n">
        <v>-0.0726</v>
      </c>
      <c r="C23" s="17" t="n">
        <v>-0.2727</v>
      </c>
      <c r="D23" s="17" t="n">
        <v>-0.2081</v>
      </c>
      <c r="E23" s="17" t="n">
        <v>-0.1628</v>
      </c>
      <c r="F23" s="17" t="n">
        <v>-0.1314</v>
      </c>
      <c r="G23" s="17" t="n">
        <v>-0.1073</v>
      </c>
      <c r="H23" s="17" t="n">
        <v>-0.0835</v>
      </c>
      <c r="I23" s="17" t="n">
        <v>-0.0598</v>
      </c>
      <c r="J23" s="17" t="n">
        <v>-0.036</v>
      </c>
      <c r="K23" s="17" t="n">
        <v>-0.012</v>
      </c>
      <c r="L23" s="17" t="n">
        <v>0.0123</v>
      </c>
      <c r="M23" s="17" t="n">
        <v>0.037</v>
      </c>
      <c r="N23" s="17" t="n">
        <v>0.0379</v>
      </c>
      <c r="O23" s="17" t="n">
        <v>0.0387</v>
      </c>
      <c r="P23" s="17" t="n">
        <v>0.0394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10866.926</v>
      </c>
      <c r="D25" s="21" t="n">
        <v>13949.6467</v>
      </c>
      <c r="E25" s="21" t="n">
        <v>13312.3816</v>
      </c>
      <c r="F25" s="21" t="n">
        <v>12880.2694</v>
      </c>
      <c r="G25" s="21" t="n">
        <v>12460.6525</v>
      </c>
      <c r="H25" s="21" t="n">
        <v>11424.4619</v>
      </c>
      <c r="I25" s="21" t="n">
        <v>9672.0152</v>
      </c>
      <c r="J25" s="21" t="n">
        <v>7129.4407</v>
      </c>
      <c r="K25" s="21" t="n">
        <v>3760.2366</v>
      </c>
      <c r="L25" s="21" t="n">
        <v>0</v>
      </c>
      <c r="M25" s="21" t="n">
        <v>0</v>
      </c>
      <c r="N25" s="21" t="n">
        <v>0</v>
      </c>
      <c r="O25" s="21" t="n">
        <v>0</v>
      </c>
      <c r="P25" s="21" t="n">
        <v>0</v>
      </c>
    </row>
    <row r="26">
      <c r="A26" s="6" t="inlineStr">
        <is>
          <t>Cash from financing</t>
        </is>
      </c>
      <c r="B26" s="21" t="n">
        <v>0</v>
      </c>
      <c r="C26" s="21" t="n">
        <v>10866.926</v>
      </c>
      <c r="D26" s="21" t="n">
        <v>13949.6467</v>
      </c>
      <c r="E26" s="21" t="n">
        <v>13312.3816</v>
      </c>
      <c r="F26" s="21" t="n">
        <v>12880.2694</v>
      </c>
      <c r="G26" s="21" t="n">
        <v>12460.6525</v>
      </c>
      <c r="H26" s="21" t="n">
        <v>11424.4619</v>
      </c>
      <c r="I26" s="21" t="n">
        <v>9672.0152</v>
      </c>
      <c r="J26" s="21" t="n">
        <v>7129.4407</v>
      </c>
      <c r="K26" s="21" t="n">
        <v>3760.2366</v>
      </c>
      <c r="L26" s="21" t="n">
        <v>0</v>
      </c>
      <c r="M26" s="21" t="n">
        <v>0</v>
      </c>
      <c r="N26" s="21" t="n">
        <v>0</v>
      </c>
      <c r="O26" s="21" t="n">
        <v>0</v>
      </c>
      <c r="P26" s="21" t="n">
        <v>0</v>
      </c>
    </row>
    <row r="27">
      <c r="A27" s="4" t="inlineStr">
        <is>
          <t>Closing cash</t>
        </is>
      </c>
      <c r="B27" s="22" t="n">
        <v>6104.3208</v>
      </c>
      <c r="C27" s="22" t="n">
        <v>2354.875</v>
      </c>
      <c r="D27" s="22" t="n">
        <v>2354.875</v>
      </c>
      <c r="E27" s="22" t="n">
        <v>2354.875</v>
      </c>
      <c r="F27" s="22" t="n">
        <v>2354.875</v>
      </c>
      <c r="G27" s="22" t="n">
        <v>2354.875</v>
      </c>
      <c r="H27" s="22" t="n">
        <v>2354.875</v>
      </c>
      <c r="I27" s="22" t="n">
        <v>2354.875</v>
      </c>
      <c r="J27" s="22" t="n">
        <v>2354.875</v>
      </c>
      <c r="K27" s="22" t="n">
        <v>2354.875</v>
      </c>
      <c r="L27" s="22" t="n">
        <v>2779.3305</v>
      </c>
      <c r="M27" s="22" t="n">
        <v>8137.6202</v>
      </c>
      <c r="N27" s="22" t="n">
        <v>14052.592</v>
      </c>
      <c r="O27" s="22" t="n">
        <v>20563.2138</v>
      </c>
      <c r="P27" s="22" t="n">
        <v>27711.1809</v>
      </c>
    </row>
    <row r="28">
      <c r="A28" s="6" t="inlineStr">
        <is>
          <t>Cumulative new borrowing</t>
        </is>
      </c>
      <c r="B28" s="21" t="n">
        <v>0</v>
      </c>
      <c r="C28" s="21" t="n">
        <v>10866.926</v>
      </c>
      <c r="D28" s="21" t="n">
        <v>24816.5727</v>
      </c>
      <c r="E28" s="21" t="n">
        <v>38128.9543</v>
      </c>
      <c r="F28" s="21" t="n">
        <v>51009.2237</v>
      </c>
      <c r="G28" s="21" t="n">
        <v>63469.8762</v>
      </c>
      <c r="H28" s="21" t="n">
        <v>74894.33809999999</v>
      </c>
      <c r="I28" s="21" t="n">
        <v>84566.3533</v>
      </c>
      <c r="J28" s="21" t="n">
        <v>91695.79399999999</v>
      </c>
      <c r="K28" s="21" t="n">
        <v>95456.0307</v>
      </c>
      <c r="L28" s="21" t="n">
        <v>95456.0307</v>
      </c>
      <c r="M28" s="21" t="n">
        <v>95456.0307</v>
      </c>
      <c r="N28" s="21" t="n">
        <v>95456.0307</v>
      </c>
      <c r="O28" s="21" t="n">
        <v>95456.0307</v>
      </c>
      <c r="P28" s="21" t="n">
        <v>95456.0307</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0.2110848413262307</v>
      </c>
      <c r="C4" s="29" t="n">
        <v>0.2310848413262307</v>
      </c>
      <c r="D4" s="29" t="n">
        <v>0.2510848413262307</v>
      </c>
      <c r="E4" s="29" t="n">
        <v>0.2710848413262307</v>
      </c>
      <c r="F4" s="29" t="n">
        <v>0.2910848413262307</v>
      </c>
    </row>
    <row r="5">
      <c r="A5" s="20" t="n">
        <v>0.03937593483976742</v>
      </c>
      <c r="B5" s="7" t="n">
        <v>15.25</v>
      </c>
      <c r="C5" s="7" t="n">
        <v>9.44</v>
      </c>
      <c r="D5" s="7" t="n">
        <v>6.14</v>
      </c>
      <c r="E5" s="7" t="n">
        <v>4.01</v>
      </c>
      <c r="F5" s="7" t="n">
        <v>2.52</v>
      </c>
    </row>
    <row r="6">
      <c r="A6" s="20" t="n">
        <v>0.06</v>
      </c>
      <c r="B6" s="7" t="n">
        <v>24.81</v>
      </c>
      <c r="C6" s="7" t="n">
        <v>16.1</v>
      </c>
      <c r="D6" s="7" t="n">
        <v>11.2</v>
      </c>
      <c r="E6" s="7" t="n">
        <v>8.050000000000001</v>
      </c>
      <c r="F6" s="7" t="n">
        <v>5.86</v>
      </c>
    </row>
    <row r="7">
      <c r="A7" s="20" t="n">
        <v>0.08713663734609707</v>
      </c>
      <c r="B7" s="7" t="n">
        <v>37.4</v>
      </c>
      <c r="C7" s="7" t="n">
        <v>24.88</v>
      </c>
      <c r="D7" s="7" t="n">
        <v>17.85</v>
      </c>
      <c r="E7" s="7" t="n">
        <v>13.36</v>
      </c>
      <c r="F7" s="7" t="n">
        <v>10.24</v>
      </c>
    </row>
    <row r="8">
      <c r="A8" s="20" t="n">
        <v>0.12</v>
      </c>
      <c r="B8" s="7" t="n">
        <v>52.64</v>
      </c>
      <c r="C8" s="7" t="n">
        <v>35.5</v>
      </c>
      <c r="D8" s="7" t="n">
        <v>25.9</v>
      </c>
      <c r="E8" s="7" t="n">
        <v>19.78</v>
      </c>
      <c r="F8" s="7" t="n">
        <v>15.56</v>
      </c>
    </row>
    <row r="9">
      <c r="A9" s="20" t="n">
        <v>0.1787001284632628</v>
      </c>
      <c r="B9" s="7" t="n">
        <v>79.86</v>
      </c>
      <c r="C9" s="7" t="n">
        <v>54.48</v>
      </c>
      <c r="D9" s="7" t="n">
        <v>40.29</v>
      </c>
      <c r="E9" s="7" t="n">
        <v>31.27</v>
      </c>
      <c r="F9" s="7" t="n">
        <v>25.05</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1.4718</v>
      </c>
      <c r="D5" s="26" t="n">
        <v>0.3261</v>
      </c>
      <c r="E5" s="32" t="n">
        <v>0.1848</v>
      </c>
      <c r="F5" s="26" t="n">
        <v>0.4394</v>
      </c>
      <c r="G5" s="26" t="n">
        <v>-0.4419</v>
      </c>
    </row>
    <row r="6">
      <c r="A6" s="4" t="inlineStr">
        <is>
          <t>PHDC</t>
        </is>
      </c>
      <c r="B6" s="6" t="inlineStr">
        <is>
          <t>Palm Hills Developments</t>
        </is>
      </c>
      <c r="C6" s="31" t="n">
        <v>1.0493</v>
      </c>
      <c r="D6" s="26" t="n">
        <v>0.2988</v>
      </c>
      <c r="E6" s="32" t="n">
        <v>0.1823</v>
      </c>
      <c r="F6" s="26" t="n">
        <v>0.4391</v>
      </c>
      <c r="G6" s="26" t="n">
        <v>-0.4866</v>
      </c>
    </row>
    <row r="7">
      <c r="A7" s="6" t="inlineStr">
        <is>
          <t>ORHD</t>
        </is>
      </c>
      <c r="B7" s="6" t="inlineStr">
        <is>
          <t>Orascom Development Egypt</t>
        </is>
      </c>
      <c r="C7" s="31" t="n">
        <v>0.8837</v>
      </c>
      <c r="D7" s="26" t="n">
        <v>0.321</v>
      </c>
      <c r="E7" s="32" t="n">
        <v>0.173</v>
      </c>
      <c r="F7" s="26" t="n">
        <v>0.4636</v>
      </c>
      <c r="G7" s="26" t="n">
        <v>-0.4293</v>
      </c>
    </row>
    <row r="8">
      <c r="A8" s="6" t="inlineStr">
        <is>
          <t>HELI</t>
        </is>
      </c>
      <c r="B8" s="6" t="inlineStr">
        <is>
          <t>Heliopolis Housing and Development</t>
        </is>
      </c>
      <c r="C8" s="31" t="n">
        <v>0.7653</v>
      </c>
      <c r="D8" s="26" t="n">
        <v>0.2884</v>
      </c>
      <c r="E8" s="32" t="n">
        <v>0.1815</v>
      </c>
      <c r="F8" s="26" t="n">
        <v>0.444</v>
      </c>
      <c r="G8" s="26" t="n">
        <v>-0.3958</v>
      </c>
    </row>
    <row r="9">
      <c r="A9" s="6" t="inlineStr">
        <is>
          <t>EMFD</t>
        </is>
      </c>
      <c r="B9" s="6" t="inlineStr">
        <is>
          <t>Emaar Misr for Development</t>
        </is>
      </c>
      <c r="C9" s="31" t="n">
        <v>0.7388</v>
      </c>
      <c r="D9" s="26" t="n">
        <v>0.2441</v>
      </c>
      <c r="E9" s="32" t="n">
        <v>0.1692</v>
      </c>
      <c r="F9" s="26" t="n">
        <v>0.4106</v>
      </c>
      <c r="G9" s="26" t="n">
        <v>-0.4712</v>
      </c>
    </row>
    <row r="10">
      <c r="A10" s="6" t="inlineStr">
        <is>
          <t>PRDC</t>
        </is>
      </c>
      <c r="B10" s="6" t="inlineStr">
        <is>
          <t>Pioneers Properties for Urban Development</t>
        </is>
      </c>
      <c r="C10" s="31" t="n">
        <v>0.7067</v>
      </c>
      <c r="D10" s="26" t="n">
        <v>0.2576</v>
      </c>
      <c r="E10" s="32" t="n">
        <v>0.1864</v>
      </c>
      <c r="F10" s="26" t="n">
        <v>0.4217</v>
      </c>
      <c r="G10" s="26" t="n">
        <v>-0.5199</v>
      </c>
    </row>
    <row r="11">
      <c r="A11" s="6" t="inlineStr">
        <is>
          <t>OCDI</t>
        </is>
      </c>
      <c r="B11" s="6" t="inlineStr">
        <is>
          <t>Sixth of October Development &amp; Investment (SODIC)</t>
        </is>
      </c>
      <c r="C11" s="31" t="n">
        <v>0.4938</v>
      </c>
      <c r="D11" s="26" t="n">
        <v>0.1033</v>
      </c>
      <c r="E11" s="32" t="n">
        <v>0.2237</v>
      </c>
      <c r="F11" s="26" t="n">
        <v>0.4713</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2026-09-03T14:07:20Z</dcterms:created>
  <dcterms:modified xmlns:dcterms="http://purl.org/dc/terms/" xmlns:xsi="http://www.w3.org/2001/XMLSchema-instance" xsi:type="dcterms:W3CDTF">2026-09-03T14:07:20Z</dcterms:modified>
</cp:coreProperties>
</file>