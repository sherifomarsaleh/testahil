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4">
    <numFmt numFmtId="164" formatCode="#,##0.000"/>
    <numFmt numFmtId="165" formatCode="0.0%"/>
    <numFmt numFmtId="166" formatCode="#,##0.0"/>
    <numFmt numFmtId="167" formatCode="0.00&quot;x&quot;"/>
  </numFmts>
  <fonts count="7">
    <font>
      <name val="Calibri"/>
      <family val="2"/>
      <color theme="1"/>
      <sz val="11"/>
      <scheme val="minor"/>
    </font>
    <font>
      <name val="Calibri"/>
      <b val="1"/>
      <color rgb="001C3A36"/>
      <sz val="14"/>
    </font>
    <font>
      <name val="Calibri"/>
      <b val="1"/>
      <color rgb="00FFFFFF"/>
      <sz val="11"/>
    </font>
    <font>
      <name val="Calibri"/>
      <b val="1"/>
      <color rgb="001C3A36"/>
      <sz val="10"/>
    </font>
    <font>
      <name val="Calibri"/>
      <color rgb="001A1A1A"/>
      <sz val="10"/>
    </font>
    <font>
      <name val="Calibri"/>
      <color rgb="000033CC"/>
      <sz val="10"/>
    </font>
    <font>
      <name val="Calibri"/>
      <color rgb="00000000"/>
      <sz val="10"/>
    </font>
  </fonts>
  <fills count="5">
    <fill>
      <patternFill/>
    </fill>
    <fill>
      <patternFill patternType="gray125"/>
    </fill>
    <fill>
      <patternFill patternType="solid">
        <fgColor rgb="001C3A36"/>
      </patternFill>
    </fill>
    <fill>
      <patternFill patternType="solid">
        <fgColor rgb="00F3EFE4"/>
      </patternFill>
    </fill>
    <fill>
      <patternFill patternType="solid">
        <fgColor rgb="00EFE7D2"/>
      </patternFill>
    </fill>
  </fills>
  <borders count="2">
    <border>
      <left/>
      <right/>
      <top/>
      <bottom/>
      <diagonal/>
    </border>
    <border>
      <left style="thin">
        <color rgb="00C8D0CE"/>
      </left>
      <right style="thin">
        <color rgb="00C8D0CE"/>
      </right>
      <top style="thin">
        <color rgb="00C8D0CE"/>
      </top>
      <bottom style="thin">
        <color rgb="00C8D0CE"/>
      </bottom>
    </border>
  </borders>
  <cellStyleXfs count="1">
    <xf numFmtId="0" fontId="0" fillId="0" borderId="0"/>
  </cellStyleXfs>
  <cellXfs count="33">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2" borderId="1" applyAlignment="1" pivotButton="0" quotePrefix="0" xfId="0">
      <alignment horizontal="left" vertical="center" wrapText="1"/>
    </xf>
    <xf numFmtId="0" fontId="2" fillId="2" borderId="1" applyAlignment="1" pivotButton="0" quotePrefix="0" xfId="0">
      <alignment horizontal="center" vertical="center" wrapText="1"/>
    </xf>
    <xf numFmtId="0" fontId="4" fillId="0" borderId="0" pivotButton="0" quotePrefix="0" xfId="0"/>
    <xf numFmtId="4" fontId="6" fillId="0" borderId="1" pivotButton="0" quotePrefix="0" xfId="0"/>
    <xf numFmtId="165" fontId="6" fillId="0" borderId="1" pivotButton="0" quotePrefix="0" xfId="0"/>
    <xf numFmtId="0" fontId="3" fillId="0" borderId="0" pivotButton="0" quotePrefix="0" xfId="0"/>
    <xf numFmtId="4" fontId="3" fillId="0" borderId="1" pivotButton="0" quotePrefix="0" xfId="0"/>
    <xf numFmtId="165" fontId="3" fillId="0" borderId="1" pivotButton="0" quotePrefix="0" xfId="0"/>
    <xf numFmtId="0" fontId="3" fillId="3" borderId="0" pivotButton="0" quotePrefix="0" xfId="0"/>
    <xf numFmtId="10" fontId="6" fillId="0" borderId="1" pivotButton="0" quotePrefix="0" xfId="0"/>
    <xf numFmtId="3" fontId="6" fillId="0" borderId="1" pivotButton="0" quotePrefix="0" xfId="0"/>
    <xf numFmtId="167" fontId="6" fillId="0" borderId="1" pivotButton="0" quotePrefix="0" xfId="0"/>
    <xf numFmtId="0" fontId="0" fillId="3" borderId="0" pivotButton="0" quotePrefix="0" xfId="0"/>
    <xf numFmtId="4" fontId="5" fillId="4" borderId="1" pivotButton="0" quotePrefix="0" xfId="0"/>
    <xf numFmtId="164" fontId="5" fillId="4" borderId="1" pivotButton="0" quotePrefix="0" xfId="0"/>
    <xf numFmtId="3" fontId="5" fillId="4" borderId="1" pivotButton="0" quotePrefix="0" xfId="0"/>
    <xf numFmtId="10" fontId="5" fillId="4" borderId="1" pivotButton="0" quotePrefix="0" xfId="0"/>
    <xf numFmtId="165" fontId="5" fillId="4" borderId="1" pivotButton="0" quotePrefix="0" xfId="0"/>
    <xf numFmtId="3" fontId="3" fillId="0" borderId="1" pivotButton="0" quotePrefix="0" xfId="0"/>
    <xf numFmtId="164" fontId="6" fillId="0" borderId="1" pivotButton="0" quotePrefix="0" xfId="0"/>
    <xf numFmtId="166" fontId="6" fillId="0" borderId="1" pivotButton="0" quotePrefix="0" xfId="0"/>
    <xf numFmtId="167" fontId="3" fillId="0" borderId="1" pivotButton="0" quotePrefix="0" xfId="0"/>
    <xf numFmtId="10" fontId="3" fillId="0" borderId="1" pivotButton="0" quotePrefix="0" xfId="0"/>
    <xf numFmtId="0" fontId="3" fillId="0" borderId="0" applyAlignment="1" pivotButton="0" quotePrefix="0" xfId="0">
      <alignment horizontal="center"/>
    </xf>
    <xf numFmtId="0" fontId="6" fillId="0" borderId="1" pivotButton="0" quotePrefix="0" xfId="0"/>
    <xf numFmtId="10" fontId="3" fillId="0" borderId="0" applyAlignment="1" pivotButton="0" quotePrefix="0" xfId="0">
      <alignment horizontal="center"/>
    </xf>
    <xf numFmtId="10" fontId="3" fillId="0" borderId="0" pivotButton="0" quotePrefix="0" xfId="0"/>
    <xf numFmtId="165" fontId="3"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 customWidth="1" min="1" max="1"/>
    <col width="116" customWidth="1" min="2" max="2"/>
  </cols>
  <sheetData>
    <row r="1" ht="22" customHeight="1">
      <c r="A1" s="1" t="inlineStr">
        <is>
          <t>ADNOC Drilling Company P.J.S.C. — valuation model, 9 August 2026</t>
        </is>
      </c>
    </row>
    <row r="3" ht="16" customHeight="1">
      <c r="B3" s="2" t="inlineStr">
        <is>
          <t>THIS WORKBOOK CALCULATES.</t>
        </is>
      </c>
    </row>
    <row r="4" ht="104" customHeight="1">
      <c r="B4" s="3" t="inlineStr">
        <is>
          <t>Everything arithmetically derivable from a driver is a live formula. Change a blue cell on the Assumptions sheet and the workbook reprices: the cost of capital is built in the sheet from the risk-free rate net of the sovereign default spread, the equity beta and the equity risk premium; the cost of debt is built from the five-year Treasury yield and the company's own borrowing margin and then taxed; the weights come from net debt and market capitalisation; the discount factors compound; the waterfall chains EBITDA to EBIT to NOPAT to free cash flow to present value; the terminal block derives its reinvestment rate from growth over return on capital; the statements roll forward; and every ratio and per-share figure is a formula.</t>
        </is>
      </c>
    </row>
    <row r="6" ht="16" customHeight="1">
      <c r="B6" s="2" t="inlineStr">
        <is>
          <t>THREE CLASSES OF CELL ARE PASTED, AND ONLY THREE.</t>
        </is>
      </c>
    </row>
    <row r="7" ht="52" customHeight="1">
      <c r="B7" s="3" t="inlineStr">
        <is>
          <t>1. Audited and disclosed history. The three years of income statement, balance sheet and cash flow come from the company's own signed consolidated financial statements. Where a line is both disclosed and derivable, the DISCLOSED figure is carried — the model does not overwrite an audited number with its own arithmetic.</t>
        </is>
      </c>
    </row>
    <row r="9" ht="39" customHeight="1">
      <c r="B9" s="3" t="inlineStr">
        <is>
          <t>2. The output of the unit build. The rig delivery schedule on the Assumptions sheet is a fleet plan, not arithmetic: it says how many rigs of each class are expected in service in each year. Everything downstream of it — average deployed rigs, revenue per class, the cost stack that serves them — is a formula.</t>
        </is>
      </c>
    </row>
    <row r="11" ht="65" customHeight="1">
      <c r="B11" s="3" t="inlineStr">
        <is>
          <t>3. Whole-model re-runs. The Monte Carlo sheet, the three grids on the Sensitivity sheet, and the Bear and Bull columns on the Summary and Fundamental Valuation sheets are pasted, because each cell in them is a complete revaluation at a different set of inputs. THESE CELLS DO NOT REDRAW WHEN A DRIVER CHANGES. Everything else does — including both discounted-cash-flow cases, which are each built live from their own fleet schedule, their own capital-expenditure plan and the same cost stack.</t>
        </is>
      </c>
    </row>
    <row r="13" ht="16" customHeight="1">
      <c r="B13" s="2" t="inlineStr">
        <is>
          <t xml:space="preserve">One sheet is other companies' data. </t>
        </is>
      </c>
    </row>
    <row r="14" ht="52" customHeight="1">
      <c r="B14" s="3" t="inlineStr">
        <is>
          <t>The Peer and Sector sheet carries thirteen other listed drillers and oilfield-service companies. Their prices, earnings and balance sheets are theirs, not ADNOC Drilling's, and are pasted as observations. The only formulas on that sheet are the enterprise values and multiples computed from them. Nothing on it enters ADNOC Drilling's own statements.</t>
        </is>
      </c>
    </row>
    <row r="16" ht="16" customHeight="1">
      <c r="B16" s="2" t="inlineStr">
        <is>
          <t>BLUE MEANS INPUT, BLACK MEANS FORMULA.</t>
        </is>
      </c>
    </row>
    <row r="17" ht="30" customHeight="1">
      <c r="B17" s="3" t="inlineStr">
        <is>
          <t>Every blue cell is on the Assumptions sheet, and every one of them carries its source and the construction behind it in the right-hand column.</t>
        </is>
      </c>
    </row>
    <row r="19" ht="16" customHeight="1">
      <c r="B19" s="2" t="inlineStr">
        <is>
          <t>WHERE THE NUMBERS COME FROM.</t>
        </is>
      </c>
    </row>
    <row r="20" ht="91" customHeight="1">
      <c r="B20" s="3" t="inlineStr">
        <is>
          <t>Every historical figure traces to ADNOC Drilling's own issued financial statements: the audited consolidated statements for 2023, 2024 and 2025 and the reviewed interim statements for the first quarter and first half of 2026, each downloaded from the company's investor-relations site. Operating units — rig counts, wells drilled, integrated-services rig counts, unconventional revenue — come from the company's own quarterly management discussion and analysis, which is the only published source that carries them. The Peer and Sector sheet is the one place third-party data appears; it is other companies' data, used for cross-check and for the relative lens, and none of it enters ADNOC Drilling's own statements.</t>
        </is>
      </c>
    </row>
    <row r="22" ht="16" customHeight="1">
      <c r="B22" s="2" t="inlineStr">
        <is>
          <t>CURRENCY.</t>
        </is>
      </c>
    </row>
    <row r="23" ht="39" customHeight="1">
      <c r="B23" s="3" t="inlineStr">
        <is>
          <t>The company reports in US dollars, which is its functional and presentation currency. Its shares trade in dirhams on the Abu Dhabi Securities Exchange. The model runs in dollars and converts per-share figures at the peg of 3.6725 dirhams to the dollar.</t>
        </is>
      </c>
    </row>
    <row r="25" ht="16" customHeight="1">
      <c r="B25" s="2" t="inlineStr">
        <is>
          <t>WHAT THIS IS NOT.</t>
        </is>
      </c>
    </row>
    <row r="26" ht="30" customHeight="1">
      <c r="B26" s="3" t="inlineStr">
        <is>
          <t>This workbook contains no rating and no price target. It produces a fair-value range and a distribution of outcomes.</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16" customWidth="1" min="2" max="2"/>
    <col width="14" customWidth="1" min="3" max="3"/>
    <col width="16" customWidth="1" min="4" max="4"/>
    <col width="16" customWidth="1" min="5" max="5"/>
    <col width="46" customWidth="1" min="6" max="6"/>
  </cols>
  <sheetData>
    <row r="1" ht="22" customHeight="1">
      <c r="A1" s="1" t="inlineStr">
        <is>
          <t>Summary valuation table</t>
        </is>
      </c>
    </row>
    <row r="3" ht="30" customHeight="1">
      <c r="A3" s="4" t="inlineStr"/>
      <c r="B3" s="5" t="inlineStr">
        <is>
          <t>AED per share</t>
        </is>
      </c>
      <c r="C3" s="5" t="inlineStr">
        <is>
          <t>Weight</t>
        </is>
      </c>
      <c r="D3" s="5" t="inlineStr">
        <is>
          <t>Bear</t>
        </is>
      </c>
      <c r="E3" s="5" t="inlineStr">
        <is>
          <t>Bull</t>
        </is>
      </c>
      <c r="F3" s="5" t="inlineStr">
        <is>
          <t>Note</t>
        </is>
      </c>
    </row>
    <row r="4">
      <c r="A4" s="6" t="inlineStr">
        <is>
          <t>Discounted cash flow — continued expansion</t>
        </is>
      </c>
      <c r="B4" s="7">
        <f>'Fundamental Valuation'!B4</f>
        <v/>
      </c>
      <c r="C4" s="8">
        <f>'Fundamental Valuation'!C4</f>
        <v/>
      </c>
      <c r="D4" s="7">
        <f>'Fundamental Valuation'!D4</f>
        <v/>
      </c>
      <c r="E4" s="7">
        <f>'Fundamental Valuation'!E4</f>
        <v/>
      </c>
      <c r="F4" s="8">
        <f>DCF!$C$51</f>
        <v/>
      </c>
    </row>
    <row r="5">
      <c r="A5" s="6" t="inlineStr">
        <is>
          <t>Discounted cash flow — capacity plateau</t>
        </is>
      </c>
      <c r="B5" s="7">
        <f>'Fundamental Valuation'!B5</f>
        <v/>
      </c>
      <c r="C5" s="8">
        <f>'Fundamental Valuation'!C5</f>
        <v/>
      </c>
      <c r="D5" s="7">
        <f>'Fundamental Valuation'!D5</f>
        <v/>
      </c>
      <c r="E5" s="7">
        <f>'Fundamental Valuation'!E5</f>
        <v/>
      </c>
      <c r="F5" s="8">
        <f>DCF!$C$71</f>
        <v/>
      </c>
    </row>
    <row r="6">
      <c r="A6" s="6" t="inlineStr">
        <is>
          <t>Relative multiples</t>
        </is>
      </c>
      <c r="B6" s="7">
        <f>'Fundamental Valuation'!B6</f>
        <v/>
      </c>
      <c r="C6" s="8">
        <f>'Fundamental Valuation'!C6</f>
        <v/>
      </c>
      <c r="D6" s="7">
        <f>'Fundamental Valuation'!D6</f>
        <v/>
      </c>
      <c r="E6" s="7">
        <f>'Fundamental Valuation'!E6</f>
        <v/>
      </c>
      <c r="F6" s="6" t="inlineStr"/>
    </row>
    <row r="7">
      <c r="A7" s="6" t="inlineStr">
        <is>
          <t>Book value and sustainable return</t>
        </is>
      </c>
      <c r="B7" s="7">
        <f>'Fundamental Valuation'!B7</f>
        <v/>
      </c>
      <c r="C7" s="8">
        <f>'Fundamental Valuation'!C7</f>
        <v/>
      </c>
      <c r="D7" s="7">
        <f>'Fundamental Valuation'!D7</f>
        <v/>
      </c>
      <c r="E7" s="7">
        <f>'Fundamental Valuation'!E7</f>
        <v/>
      </c>
      <c r="F7" s="6" t="inlineStr"/>
    </row>
    <row r="8">
      <c r="A8" s="6" t="inlineStr">
        <is>
          <t>Normalised earnings power</t>
        </is>
      </c>
      <c r="B8" s="7">
        <f>'Fundamental Valuation'!B8</f>
        <v/>
      </c>
      <c r="C8" s="8">
        <f>'Fundamental Valuation'!C8</f>
        <v/>
      </c>
      <c r="D8" s="7">
        <f>'Fundamental Valuation'!D8</f>
        <v/>
      </c>
      <c r="E8" s="7">
        <f>'Fundamental Valuation'!E8</f>
        <v/>
      </c>
      <c r="F8" s="6" t="inlineStr"/>
    </row>
    <row r="9">
      <c r="A9" s="9" t="inlineStr">
        <is>
          <t>Weighted central fair value</t>
        </is>
      </c>
      <c r="B9" s="10">
        <f>'Fundamental Valuation'!B9</f>
        <v/>
      </c>
      <c r="D9" s="7">
        <f>'Fundamental Valuation'!D9</f>
        <v/>
      </c>
      <c r="E9" s="7">
        <f>'Fundamental Valuation'!E9</f>
        <v/>
      </c>
    </row>
    <row r="10">
      <c r="A10" s="6" t="inlineStr">
        <is>
          <t>Market price, 07-Aug-2026</t>
        </is>
      </c>
      <c r="B10" s="7">
        <f>Assumptions!$C$5</f>
        <v/>
      </c>
    </row>
    <row r="11">
      <c r="A11" s="6" t="inlineStr">
        <is>
          <t>Central against the market price</t>
        </is>
      </c>
      <c r="B11" s="11">
        <f>B9/B10-1</f>
        <v/>
      </c>
    </row>
    <row r="13">
      <c r="A13" s="12" t="inlineStr">
        <is>
          <t>MEMO</t>
        </is>
      </c>
    </row>
    <row r="14">
      <c r="A14" s="6" t="inlineStr">
        <is>
          <t>Terminal value as a share of enterprise value — continued expansion</t>
        </is>
      </c>
      <c r="B14" s="8">
        <f>DCF!$C$51</f>
        <v/>
      </c>
    </row>
    <row r="15">
      <c r="A15" s="6" t="inlineStr">
        <is>
          <t>Terminal value as a share of enterprise value — capacity plateau</t>
        </is>
      </c>
      <c r="B15" s="8">
        <f>DCF!$C$71</f>
        <v/>
      </c>
    </row>
    <row r="16">
      <c r="A16" s="6" t="inlineStr">
        <is>
          <t>Weighted average cost of capital — rating basis</t>
        </is>
      </c>
      <c r="B16" s="13">
        <f>DCF!$C$23</f>
        <v/>
      </c>
    </row>
    <row r="17">
      <c r="A17" s="6" t="inlineStr">
        <is>
          <t>Weighted average cost of capital — credit-default-swap basis</t>
        </is>
      </c>
      <c r="B17" s="13">
        <f>DCF!$C$24</f>
        <v/>
      </c>
    </row>
    <row r="18">
      <c r="A18" s="6" t="inlineStr">
        <is>
          <t>Market capitalisation (USD thousands)</t>
        </is>
      </c>
      <c r="B18" s="14">
        <f>DCF!$C$19</f>
        <v/>
      </c>
    </row>
    <row r="19">
      <c r="A19" s="6" t="inlineStr">
        <is>
          <t>Enterprise value at the market price (USD thousands)</t>
        </is>
      </c>
      <c r="B19" s="14">
        <f>DCF!$C$19+DCF!$C$20</f>
        <v/>
      </c>
    </row>
    <row r="20">
      <c r="A20" s="6" t="inlineStr">
        <is>
          <t>Enterprise value / FY2026 guided EBITDA at the market price</t>
        </is>
      </c>
      <c r="B20" s="15">
        <f>'Relative &amp; Normalized'!C15</f>
        <v/>
      </c>
    </row>
    <row r="21">
      <c r="A21" s="6" t="inlineStr">
        <is>
          <t>Segment-weighted peer enterprise value / EBITDA</t>
        </is>
      </c>
      <c r="B21" s="15">
        <f>'Relative &amp; Normalized'!C10</f>
        <v/>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16" customWidth="1" min="2" max="2"/>
    <col width="14" customWidth="1" min="3" max="3"/>
    <col width="16" customWidth="1" min="4" max="4"/>
    <col width="16" customWidth="1" min="5" max="5"/>
    <col width="54" customWidth="1" min="6" max="6"/>
  </cols>
  <sheetData>
    <row r="1" ht="22" customHeight="1">
      <c r="A1" s="1" t="inlineStr">
        <is>
          <t>Fundamental valuation — the five lenses and the weighted central</t>
        </is>
      </c>
    </row>
    <row r="3" ht="30" customHeight="1">
      <c r="A3" s="4" t="inlineStr">
        <is>
          <t>Lens</t>
        </is>
      </c>
      <c r="B3" s="5" t="inlineStr">
        <is>
          <t>Value (AED/sh)</t>
        </is>
      </c>
      <c r="C3" s="5" t="inlineStr">
        <is>
          <t>Weight</t>
        </is>
      </c>
      <c r="D3" s="5" t="inlineStr">
        <is>
          <t>Bear</t>
        </is>
      </c>
      <c r="E3" s="5" t="inlineStr">
        <is>
          <t>Bull</t>
        </is>
      </c>
      <c r="F3" s="5" t="inlineStr">
        <is>
          <t>What the lens is measuring</t>
        </is>
      </c>
    </row>
    <row r="4">
      <c r="A4" s="6" t="inlineStr">
        <is>
          <t>Discounted cash flow — continued expansion</t>
        </is>
      </c>
      <c r="B4" s="7">
        <f>'SOTP Bridge'!B15</f>
        <v/>
      </c>
      <c r="C4" s="8">
        <f>Assumptions!$C$145</f>
        <v/>
      </c>
      <c r="D4" s="7" t="n">
        <v>5.648676479469689</v>
      </c>
      <c r="E4" s="7" t="n">
        <v>6.979692495465288</v>
      </c>
      <c r="F4" s="3" t="inlineStr">
        <is>
          <t>Free cash flow to the firm over five explicit years plus a terminal value, on a fleet plan that keeps building</t>
        </is>
      </c>
    </row>
    <row r="5">
      <c r="A5" s="6" t="inlineStr">
        <is>
          <t>Discounted cash flow — capacity plateau</t>
        </is>
      </c>
      <c r="B5" s="7">
        <f>'SOTP Bridge'!C15</f>
        <v/>
      </c>
      <c r="C5" s="8">
        <f>Assumptions!$C$146</f>
        <v/>
      </c>
      <c r="D5" s="7" t="n">
        <v>4.954797022996693</v>
      </c>
      <c r="E5" s="7" t="n">
        <v>5.917443513705311</v>
      </c>
      <c r="F5" s="3" t="inlineStr">
        <is>
          <t>The same waterfall on a fleet that stops growing once the capacity target is met</t>
        </is>
      </c>
    </row>
    <row r="6">
      <c r="A6" s="6" t="inlineStr">
        <is>
          <t>Relative multiples</t>
        </is>
      </c>
      <c r="B6" s="7">
        <f>'Relative &amp; Normalized'!C14</f>
        <v/>
      </c>
      <c r="C6" s="8">
        <f>Assumptions!$C$147</f>
        <v/>
      </c>
      <c r="D6" s="7" t="n">
        <v>3.072625032470192</v>
      </c>
      <c r="E6" s="7" t="n">
        <v>4.764959157932728</v>
      </c>
      <c r="F6" s="3" t="inlineStr">
        <is>
          <t>What the listed drilling and oilfield-services universe pays for a dollar of EBITDA, weighted to this company's own segment mix</t>
        </is>
      </c>
    </row>
    <row r="7">
      <c r="A7" s="6" t="inlineStr">
        <is>
          <t>Book value and sustainable return</t>
        </is>
      </c>
      <c r="B7" s="7">
        <f>'Relative &amp; Normalized'!C35</f>
        <v/>
      </c>
      <c r="C7" s="8">
        <f>Assumptions!$C$148</f>
        <v/>
      </c>
      <c r="D7" s="7" t="n">
        <v>5.847218426942332</v>
      </c>
      <c r="E7" s="7" t="n">
        <v>7.092982609192152</v>
      </c>
      <c r="F7" s="3" t="inlineStr">
        <is>
          <t>The multiple of book a franchise earning this return on equity justifies</t>
        </is>
      </c>
    </row>
    <row r="8">
      <c r="A8" s="6" t="inlineStr">
        <is>
          <t>Normalised earnings power</t>
        </is>
      </c>
      <c r="B8" s="7">
        <f>'Relative &amp; Normalized'!C26</f>
        <v/>
      </c>
      <c r="C8" s="8">
        <f>Assumptions!$C$149</f>
        <v/>
      </c>
      <c r="D8" s="7" t="n">
        <v>5.243458168375043</v>
      </c>
      <c r="E8" s="7" t="n">
        <v>5.897755596954919</v>
      </c>
      <c r="F8" s="3" t="inlineStr">
        <is>
          <t>What the fleet already installed earns at the guided margin, with no growth credited</t>
        </is>
      </c>
    </row>
    <row r="9">
      <c r="A9" s="9" t="inlineStr">
        <is>
          <t>Weighted central</t>
        </is>
      </c>
      <c r="B9" s="10">
        <f>(B4*C4+B5*C5+B6*C6+B7*C7+B8*C8)/(C4+C5+C6+C7+C8)</f>
        <v/>
      </c>
      <c r="C9" s="8">
        <f>C4+C5+C6+C7+C8</f>
        <v/>
      </c>
      <c r="D9" s="7">
        <f>(D4*C4+D5*C5+D6*C6+D7*C7+D8*C8)/(C4+C5+C6+C7+C8)</f>
        <v/>
      </c>
      <c r="E9" s="7">
        <f>(E4*C4+E5*C5+E6*C6+E7*C7+E8*C8)/(C4+C5+C6+C7+C8)</f>
        <v/>
      </c>
    </row>
    <row r="11">
      <c r="A11" s="6" t="inlineStr">
        <is>
          <t>Market price</t>
        </is>
      </c>
      <c r="B11" s="7">
        <f>Assumptions!$C$5</f>
        <v/>
      </c>
    </row>
    <row r="12">
      <c r="A12" s="6" t="inlineStr">
        <is>
          <t>Central against the market price</t>
        </is>
      </c>
      <c r="B12" s="11">
        <f>B9/B11-1</f>
        <v/>
      </c>
    </row>
    <row r="13">
      <c r="A13" s="6" t="inlineStr">
        <is>
          <t>Terminal value as a share of enterprise value (continued expansion)</t>
        </is>
      </c>
      <c r="B13" s="8">
        <f>DCF!$C$51</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9"/>
  <sheetViews>
    <sheetView workbookViewId="0">
      <selection activeCell="A1" sqref="A1"/>
    </sheetView>
  </sheetViews>
  <sheetFormatPr baseColWidth="8" defaultRowHeight="15"/>
  <cols>
    <col width="58" customWidth="1" min="1" max="1"/>
    <col width="10" customWidth="1" min="2" max="2"/>
    <col width="16" customWidth="1" min="3" max="3"/>
    <col width="92" customWidth="1" min="4" max="4"/>
  </cols>
  <sheetData>
    <row r="1" ht="22" customHeight="1">
      <c r="A1" s="1" t="inlineStr">
        <is>
          <t>Assumptions — every blue cell is an input; change one and the workbook reprices</t>
        </is>
      </c>
    </row>
    <row r="3" ht="30" customHeight="1">
      <c r="A3" s="4" t="inlineStr">
        <is>
          <t>Driver</t>
        </is>
      </c>
      <c r="B3" s="5" t="inlineStr">
        <is>
          <t>Unit</t>
        </is>
      </c>
      <c r="C3" s="5" t="inlineStr">
        <is>
          <t>Value</t>
        </is>
      </c>
      <c r="D3" s="5" t="inlineStr">
        <is>
          <t>Source and construction</t>
        </is>
      </c>
    </row>
    <row r="4">
      <c r="A4" s="12" t="inlineStr">
        <is>
          <t>MARKET AND SHARE COUNT</t>
        </is>
      </c>
      <c r="B4" s="16" t="n"/>
      <c r="C4" s="16" t="n"/>
      <c r="D4" s="16" t="n"/>
    </row>
    <row r="5">
      <c r="A5" s="6" t="inlineStr">
        <is>
          <t>Market price</t>
        </is>
      </c>
      <c r="B5" s="6" t="inlineStr">
        <is>
          <t>AED/sh</t>
        </is>
      </c>
      <c r="C5" s="17" t="n">
        <v>5.94</v>
      </c>
      <c r="D5" s="3" t="inlineStr">
        <is>
          <t>Uploaded ADX daily price history for ADNOCDRILL, last close 07-Aug-2026</t>
        </is>
      </c>
    </row>
    <row r="6">
      <c r="A6" s="6" t="inlineStr">
        <is>
          <t>AED per USD</t>
        </is>
      </c>
      <c r="B6" s="6" t="inlineStr">
        <is>
          <t>AED/USD</t>
        </is>
      </c>
      <c r="C6" s="18" t="n">
        <v>3.6725</v>
      </c>
      <c r="D6" s="3" t="inlineStr">
        <is>
          <t>AED/USD central-bank peg, unchanged since 1997; the rate at which the company itself translates its AED-declared dividends into the USD amounts disclosed in Note 24 of the audited statements</t>
        </is>
      </c>
    </row>
    <row r="7">
      <c r="A7" s="6" t="inlineStr">
        <is>
          <t>Shares issued</t>
        </is>
      </c>
      <c r="B7" s="6" t="inlineStr">
        <is>
          <t>'000</t>
        </is>
      </c>
      <c r="C7" s="19" t="n">
        <v>16000000</v>
      </c>
      <c r="D7" s="3" t="inlineStr">
        <is>
          <t>Share capital note 13, FY2025 audited statements: 16,000,000 thousand shares of AED 0.10 each, unchanged since listing</t>
        </is>
      </c>
    </row>
    <row r="8">
      <c r="A8" s="6" t="inlineStr">
        <is>
          <t>Treasury shares held by the market maker</t>
        </is>
      </c>
      <c r="B8" s="6" t="inlineStr">
        <is>
          <t>'000</t>
        </is>
      </c>
      <c r="C8" s="19" t="n">
        <v>7349</v>
      </c>
      <c r="D8" s="3" t="inlineStr">
        <is>
          <t>Note 14, 1H-2026 interim: the appointed market maker held 7,349 thousand shares on the company's behalf at 30 June 2026, classified as treasury shares in equity (31 Dec 2025: 9,279 thousand)</t>
        </is>
      </c>
    </row>
    <row r="9">
      <c r="A9" s="12" t="inlineStr">
        <is>
          <t>COST OF CAPITAL</t>
        </is>
      </c>
      <c r="B9" s="16" t="n"/>
      <c r="C9" s="16" t="n"/>
      <c r="D9" s="16" t="n"/>
    </row>
    <row r="10">
      <c r="A10" s="6" t="inlineStr">
        <is>
          <t>US 10-year Treasury yield (observed)</t>
        </is>
      </c>
      <c r="B10" s="6" t="inlineStr">
        <is>
          <t>%</t>
        </is>
      </c>
      <c r="C10" s="20" t="n">
        <v>0.0469</v>
      </c>
      <c r="D10" s="3" t="inlineStr">
        <is>
          <t>US 10-year constant-maturity Treasury yield, Federal Reserve H.15 via the St. Louis Fed (series DGS10), 06-Aug-2026 close</t>
        </is>
      </c>
    </row>
    <row r="11">
      <c r="A11" s="6" t="inlineStr">
        <is>
          <t>US adjusted default spread</t>
        </is>
      </c>
      <c r="B11" s="6" t="inlineStr">
        <is>
          <t>%</t>
        </is>
      </c>
      <c r="C11" s="20" t="n">
        <v>0.0023</v>
      </c>
      <c r="D11" s="3" t="inlineStr">
        <is>
          <t>Adjusted default spread for the United States (Moody's Aa1), Damodaran country default spreads and risk premiums, original ctryprem file, last updated 5 January 2026</t>
        </is>
      </c>
    </row>
    <row r="12">
      <c r="A12" s="6" t="inlineStr">
        <is>
          <t>Equity beta</t>
        </is>
      </c>
      <c r="B12" s="6" t="inlineStr">
        <is>
          <t>x</t>
        </is>
      </c>
      <c r="C12" s="18" t="n">
        <v>0.664</v>
      </c>
      <c r="D12" s="3" t="inlineStr">
        <is>
          <t>Own-stock 5-year weekly regression against an equal-weight ADX composite built from the full committed 18-name UAE price library; n=249 weekly observations, R-squared 0.160, standard error 0.097, 90% interval 0.50 to 0.82. Clears the regression usability gate (n&gt;=24, R-squared&gt;=5%, standard error below the absolute beta), so the first tier of the beta hierarchy applies and no peer beta is needed. Source: engine/adnocdrill_study/beta_reg.py</t>
        </is>
      </c>
    </row>
    <row r="13">
      <c r="A13" s="6" t="inlineStr">
        <is>
          <t>Equity risk premium — rating basis</t>
        </is>
      </c>
      <c r="B13" s="6" t="inlineStr">
        <is>
          <t>%</t>
        </is>
      </c>
      <c r="C13" s="20" t="n">
        <v>0.0487</v>
      </c>
      <c r="D13" s="3" t="inlineStr">
        <is>
          <t>Equity risk premium for the Emirate of Abu Dhabi on the rating basis (mature-market premium plus the Abu Dhabi country risk premium), Damodaran ctryprem file, 5 January 2026. The United Arab Emirates federal row carries the identical Aa2 / 0.42% / 0.64% / 4.87% set</t>
        </is>
      </c>
    </row>
    <row r="14">
      <c r="A14" s="6" t="inlineStr">
        <is>
          <t>Equity risk premium — credit-default-swap basis</t>
        </is>
      </c>
      <c r="B14" s="6" t="inlineStr">
        <is>
          <t>%</t>
        </is>
      </c>
      <c r="C14" s="20" t="n">
        <v>0.0493</v>
      </c>
      <c r="D14" s="3" t="inlineStr">
        <is>
          <t>Equity risk premium for the Emirate of Abu Dhabi on the credit-default-swap basis, Damodaran ctryprem file, 5 January 2026</t>
        </is>
      </c>
    </row>
    <row r="15">
      <c r="A15" s="6" t="inlineStr">
        <is>
          <t>US 5-year Treasury yield</t>
        </is>
      </c>
      <c r="B15" s="6" t="inlineStr">
        <is>
          <t>%</t>
        </is>
      </c>
      <c r="C15" s="20" t="n">
        <v>0.044</v>
      </c>
      <c r="D15" s="3" t="inlineStr">
        <is>
          <t>US 5-year constant-maturity Treasury yield, Federal Reserve H.15 via the St. Louis Fed (series DGS5), 06-Aug-2026 close</t>
        </is>
      </c>
    </row>
    <row r="16">
      <c r="A16" s="6" t="inlineStr">
        <is>
          <t>Borrowing margin over Term SOFR on the latest facility</t>
        </is>
      </c>
      <c r="B16" s="6" t="inlineStr">
        <is>
          <t>%</t>
        </is>
      </c>
      <c r="C16" s="20" t="n">
        <v>0.0075</v>
      </c>
      <c r="D16" s="3" t="inlineStr">
        <is>
          <t>Borrowings note 15, FY2025 audited consolidated financial statements (Deloitte &amp; Touche (M.E.), unqualified) — the Facility E and F term loan and revolving facility signed 16 October 2025, USD 2.0 billion committed, 5-year initial maturity, priced at Term SOFR plus 0.75%. This is the company's own latest and longest-dated debt issue and therefore its marginal borrowing margin</t>
        </is>
      </c>
    </row>
    <row r="17">
      <c r="A17" s="6" t="inlineStr">
        <is>
          <t>Secured Overnight Financing Rate, spot</t>
        </is>
      </c>
      <c r="B17" s="6" t="inlineStr">
        <is>
          <t>%</t>
        </is>
      </c>
      <c r="C17" s="20" t="n">
        <v>0.0365</v>
      </c>
      <c r="D17" s="3" t="inlineStr">
        <is>
          <t>Secured Overnight Financing Rate, New York Fed via the St. Louis Fed (series SOFR), 06-Aug-2026</t>
        </is>
      </c>
    </row>
    <row r="18">
      <c r="A18" s="6" t="inlineStr">
        <is>
          <t>Abu Dhabi sovereign credit-default-swap spread</t>
        </is>
      </c>
      <c r="B18" s="6" t="inlineStr">
        <is>
          <t>%</t>
        </is>
      </c>
      <c r="C18" s="20" t="n">
        <v>0.0046</v>
      </c>
      <c r="D18" s="3" t="inlineStr">
        <is>
          <t>Sovereign credit-default-swap spread for the Emirate of Abu Dhabi, Damodaran ctryprem file</t>
        </is>
      </c>
    </row>
    <row r="19">
      <c r="A19" s="6" t="inlineStr">
        <is>
          <t>Corporate income tax rate</t>
        </is>
      </c>
      <c r="B19" s="6" t="inlineStr">
        <is>
          <t>%</t>
        </is>
      </c>
      <c r="C19" s="20" t="n">
        <v>0.09</v>
      </c>
      <c r="D19" s="3" t="inlineStr">
        <is>
          <t>Income tax note 30, FY2025 audited consolidated financial statements (Deloitte &amp; Touche (M.E.), unqualified): 'The Group is subject to income tax at 9% on its taxable profits in accordance with the fiscal arrangement with Abu Dhabi Supreme Council for Financial and Economic Affairs effective 1 January 2024.' The same 9% is the UAE statutory corporate rate in the Damodaran country file</t>
        </is>
      </c>
    </row>
    <row r="20">
      <c r="A20" s="12" t="inlineStr">
        <is>
          <t>FLEET PLAN — CONTINUED-EXPANSION CASE (a delivery schedule, not arithmetic)</t>
        </is>
      </c>
      <c r="B20" s="16" t="n"/>
      <c r="C20" s="16" t="n"/>
      <c r="D20" s="16" t="n"/>
    </row>
    <row r="21">
      <c r="A21" s="6" t="inlineStr">
        <is>
          <t>Abu Dhabi onshore rigs, year end — 2026</t>
        </is>
      </c>
      <c r="B21" s="6" t="inlineStr">
        <is>
          <t>rigs</t>
        </is>
      </c>
      <c r="C21" s="19" t="n">
        <v>92</v>
      </c>
      <c r="D21" s="3" t="inlineStr">
        <is>
          <t>Abu Dhabi onshore fleet held at the FY2025 disclosed 92 rigs and grown two a year thereafter under the continued-expansion case</t>
        </is>
      </c>
    </row>
    <row r="22">
      <c r="A22" s="6" t="inlineStr">
        <is>
          <t>Abu Dhabi onshore rigs, year end — 2027</t>
        </is>
      </c>
      <c r="B22" s="6" t="inlineStr">
        <is>
          <t>rigs</t>
        </is>
      </c>
      <c r="C22" s="19" t="n">
        <v>94</v>
      </c>
      <c r="D22" s="3" t="inlineStr">
        <is>
          <t>Abu Dhabi onshore fleet held at the FY2025 disclosed 92 rigs and grown two a year thereafter under the continued-expansion case</t>
        </is>
      </c>
    </row>
    <row r="23">
      <c r="A23" s="6" t="inlineStr">
        <is>
          <t>Abu Dhabi onshore rigs, year end — 2028</t>
        </is>
      </c>
      <c r="B23" s="6" t="inlineStr">
        <is>
          <t>rigs</t>
        </is>
      </c>
      <c r="C23" s="19" t="n">
        <v>96</v>
      </c>
      <c r="D23" s="3" t="inlineStr">
        <is>
          <t>Abu Dhabi onshore fleet held at the FY2025 disclosed 92 rigs and grown two a year thereafter under the continued-expansion case</t>
        </is>
      </c>
    </row>
    <row r="24">
      <c r="A24" s="6" t="inlineStr">
        <is>
          <t>Abu Dhabi onshore rigs, year end — 2029</t>
        </is>
      </c>
      <c r="B24" s="6" t="inlineStr">
        <is>
          <t>rigs</t>
        </is>
      </c>
      <c r="C24" s="19" t="n">
        <v>98</v>
      </c>
      <c r="D24" s="3" t="inlineStr">
        <is>
          <t>Abu Dhabi onshore fleet held at the FY2025 disclosed 92 rigs and grown two a year thereafter under the continued-expansion case</t>
        </is>
      </c>
    </row>
    <row r="25">
      <c r="A25" s="6" t="inlineStr">
        <is>
          <t>Abu Dhabi onshore rigs, year end — 2030</t>
        </is>
      </c>
      <c r="B25" s="6" t="inlineStr">
        <is>
          <t>rigs</t>
        </is>
      </c>
      <c r="C25" s="19" t="n">
        <v>100</v>
      </c>
      <c r="D25" s="3" t="inlineStr">
        <is>
          <t>Abu Dhabi onshore fleet held at the FY2025 disclosed 92 rigs and grown two a year thereafter under the continued-expansion case</t>
        </is>
      </c>
    </row>
    <row r="26">
      <c r="A26" s="6" t="inlineStr">
        <is>
          <t>Regional onshore rigs, year end — 2026</t>
        </is>
      </c>
      <c r="B26" s="6" t="inlineStr">
        <is>
          <t>rigs</t>
        </is>
      </c>
      <c r="C26" s="19" t="n">
        <v>30</v>
      </c>
      <c r="D26" s="3" t="inlineStr">
        <is>
          <t>Opens at the 30 regional rigs disclosed at 30 June 2026 (8 from the SLDC joint venture with SLB, 22 from MBPS) and adds two a year</t>
        </is>
      </c>
    </row>
    <row r="27">
      <c r="A27" s="6" t="inlineStr">
        <is>
          <t>Regional onshore rigs, year end — 2027</t>
        </is>
      </c>
      <c r="B27" s="6" t="inlineStr">
        <is>
          <t>rigs</t>
        </is>
      </c>
      <c r="C27" s="19" t="n">
        <v>32</v>
      </c>
      <c r="D27" s="3" t="inlineStr">
        <is>
          <t>Opens at the 30 regional rigs disclosed at 30 June 2026 (8 from the SLDC joint venture with SLB, 22 from MBPS) and adds two a year</t>
        </is>
      </c>
    </row>
    <row r="28">
      <c r="A28" s="6" t="inlineStr">
        <is>
          <t>Regional onshore rigs, year end — 2028</t>
        </is>
      </c>
      <c r="B28" s="6" t="inlineStr">
        <is>
          <t>rigs</t>
        </is>
      </c>
      <c r="C28" s="19" t="n">
        <v>34</v>
      </c>
      <c r="D28" s="3" t="inlineStr">
        <is>
          <t>Opens at the 30 regional rigs disclosed at 30 June 2026 (8 from the SLDC joint venture with SLB, 22 from MBPS) and adds two a year</t>
        </is>
      </c>
    </row>
    <row r="29">
      <c r="A29" s="6" t="inlineStr">
        <is>
          <t>Regional onshore rigs, year end — 2029</t>
        </is>
      </c>
      <c r="B29" s="6" t="inlineStr">
        <is>
          <t>rigs</t>
        </is>
      </c>
      <c r="C29" s="19" t="n">
        <v>36</v>
      </c>
      <c r="D29" s="3" t="inlineStr">
        <is>
          <t>Opens at the 30 regional rigs disclosed at 30 June 2026 (8 from the SLDC joint venture with SLB, 22 from MBPS) and adds two a year</t>
        </is>
      </c>
    </row>
    <row r="30">
      <c r="A30" s="6" t="inlineStr">
        <is>
          <t>Regional onshore rigs, year end — 2030</t>
        </is>
      </c>
      <c r="B30" s="6" t="inlineStr">
        <is>
          <t>rigs</t>
        </is>
      </c>
      <c r="C30" s="19" t="n">
        <v>38</v>
      </c>
      <c r="D30" s="3" t="inlineStr">
        <is>
          <t>Opens at the 30 regional rigs disclosed at 30 June 2026 (8 from the SLDC joint venture with SLB, 22 from MBPS) and adds two a year</t>
        </is>
      </c>
    </row>
    <row r="31">
      <c r="A31" s="6" t="inlineStr">
        <is>
          <t>Jack-up rigs, year end — 2026</t>
        </is>
      </c>
      <c r="B31" s="6" t="inlineStr">
        <is>
          <t>rigs</t>
        </is>
      </c>
      <c r="C31" s="19" t="n">
        <v>36</v>
      </c>
      <c r="D31" s="3" t="inlineStr">
        <is>
          <t>Held flat at the FY2025 disclosed 36; no jack-ups are on order</t>
        </is>
      </c>
    </row>
    <row r="32">
      <c r="A32" s="6" t="inlineStr">
        <is>
          <t>Jack-up rigs, year end — 2027</t>
        </is>
      </c>
      <c r="B32" s="6" t="inlineStr">
        <is>
          <t>rigs</t>
        </is>
      </c>
      <c r="C32" s="19" t="n">
        <v>36</v>
      </c>
      <c r="D32" s="3" t="inlineStr">
        <is>
          <t>Held flat at the FY2025 disclosed 36; no jack-ups are on order</t>
        </is>
      </c>
    </row>
    <row r="33">
      <c r="A33" s="6" t="inlineStr">
        <is>
          <t>Jack-up rigs, year end — 2028</t>
        </is>
      </c>
      <c r="B33" s="6" t="inlineStr">
        <is>
          <t>rigs</t>
        </is>
      </c>
      <c r="C33" s="19" t="n">
        <v>36</v>
      </c>
      <c r="D33" s="3" t="inlineStr">
        <is>
          <t>Held flat at the FY2025 disclosed 36; no jack-ups are on order</t>
        </is>
      </c>
    </row>
    <row r="34">
      <c r="A34" s="6" t="inlineStr">
        <is>
          <t>Jack-up rigs, year end — 2029</t>
        </is>
      </c>
      <c r="B34" s="6" t="inlineStr">
        <is>
          <t>rigs</t>
        </is>
      </c>
      <c r="C34" s="19" t="n">
        <v>36</v>
      </c>
      <c r="D34" s="3" t="inlineStr">
        <is>
          <t>Held flat at the FY2025 disclosed 36; no jack-ups are on order</t>
        </is>
      </c>
    </row>
    <row r="35">
      <c r="A35" s="6" t="inlineStr">
        <is>
          <t>Jack-up rigs, year end — 2030</t>
        </is>
      </c>
      <c r="B35" s="6" t="inlineStr">
        <is>
          <t>rigs</t>
        </is>
      </c>
      <c r="C35" s="19" t="n">
        <v>36</v>
      </c>
      <c r="D35" s="3" t="inlineStr">
        <is>
          <t>Held flat at the FY2025 disclosed 36; no jack-ups are on order</t>
        </is>
      </c>
    </row>
    <row r="36">
      <c r="A36" s="6" t="inlineStr">
        <is>
          <t>Island rigs, year end — 2026</t>
        </is>
      </c>
      <c r="B36" s="6" t="inlineStr">
        <is>
          <t>rigs</t>
        </is>
      </c>
      <c r="C36" s="19" t="n">
        <v>14</v>
      </c>
      <c r="D36" s="3" t="inlineStr">
        <is>
          <t>FY2025 disclosed 12, plus the six island rigs the company has ordered for gradual delivery between 2026 and 2028</t>
        </is>
      </c>
    </row>
    <row r="37">
      <c r="A37" s="6" t="inlineStr">
        <is>
          <t>Island rigs, year end — 2027</t>
        </is>
      </c>
      <c r="B37" s="6" t="inlineStr">
        <is>
          <t>rigs</t>
        </is>
      </c>
      <c r="C37" s="19" t="n">
        <v>16</v>
      </c>
      <c r="D37" s="3" t="inlineStr">
        <is>
          <t>FY2025 disclosed 12, plus the six island rigs the company has ordered for gradual delivery between 2026 and 2028</t>
        </is>
      </c>
    </row>
    <row r="38">
      <c r="A38" s="6" t="inlineStr">
        <is>
          <t>Island rigs, year end — 2028</t>
        </is>
      </c>
      <c r="B38" s="6" t="inlineStr">
        <is>
          <t>rigs</t>
        </is>
      </c>
      <c r="C38" s="19" t="n">
        <v>18</v>
      </c>
      <c r="D38" s="3" t="inlineStr">
        <is>
          <t>FY2025 disclosed 12, plus the six island rigs the company has ordered for gradual delivery between 2026 and 2028</t>
        </is>
      </c>
    </row>
    <row r="39">
      <c r="A39" s="6" t="inlineStr">
        <is>
          <t>Island rigs, year end — 2029</t>
        </is>
      </c>
      <c r="B39" s="6" t="inlineStr">
        <is>
          <t>rigs</t>
        </is>
      </c>
      <c r="C39" s="19" t="n">
        <v>18</v>
      </c>
      <c r="D39" s="3" t="inlineStr">
        <is>
          <t>FY2025 disclosed 12, plus the six island rigs the company has ordered for gradual delivery between 2026 and 2028</t>
        </is>
      </c>
    </row>
    <row r="40">
      <c r="A40" s="6" t="inlineStr">
        <is>
          <t>Island rigs, year end — 2030</t>
        </is>
      </c>
      <c r="B40" s="6" t="inlineStr">
        <is>
          <t>rigs</t>
        </is>
      </c>
      <c r="C40" s="19" t="n">
        <v>18</v>
      </c>
      <c r="D40" s="3" t="inlineStr">
        <is>
          <t>FY2025 disclosed 12, plus the six island rigs the company has ordered for gradual delivery between 2026 and 2028</t>
        </is>
      </c>
    </row>
    <row r="41">
      <c r="A41" s="6" t="inlineStr">
        <is>
          <t>Integrated-services rigs, year end — 2026</t>
        </is>
      </c>
      <c r="B41" s="6" t="inlineStr">
        <is>
          <t>rigs</t>
        </is>
      </c>
      <c r="C41" s="19" t="n">
        <v>70</v>
      </c>
      <c r="D41" s="3" t="inlineStr">
        <is>
          <t>The company's own target of approximately 70 integrated-services rigs by the end of 2026, extended at four a year and tapering</t>
        </is>
      </c>
    </row>
    <row r="42">
      <c r="A42" s="6" t="inlineStr">
        <is>
          <t>Integrated-services rigs, year end — 2027</t>
        </is>
      </c>
      <c r="B42" s="6" t="inlineStr">
        <is>
          <t>rigs</t>
        </is>
      </c>
      <c r="C42" s="19" t="n">
        <v>74</v>
      </c>
      <c r="D42" s="3" t="inlineStr">
        <is>
          <t>The company's own target of approximately 70 integrated-services rigs by the end of 2026, extended at four a year and tapering</t>
        </is>
      </c>
    </row>
    <row r="43">
      <c r="A43" s="6" t="inlineStr">
        <is>
          <t>Integrated-services rigs, year end — 2028</t>
        </is>
      </c>
      <c r="B43" s="6" t="inlineStr">
        <is>
          <t>rigs</t>
        </is>
      </c>
      <c r="C43" s="19" t="n">
        <v>78</v>
      </c>
      <c r="D43" s="3" t="inlineStr">
        <is>
          <t>The company's own target of approximately 70 integrated-services rigs by the end of 2026, extended at four a year and tapering</t>
        </is>
      </c>
    </row>
    <row r="44">
      <c r="A44" s="6" t="inlineStr">
        <is>
          <t>Integrated-services rigs, year end — 2029</t>
        </is>
      </c>
      <c r="B44" s="6" t="inlineStr">
        <is>
          <t>rigs</t>
        </is>
      </c>
      <c r="C44" s="19" t="n">
        <v>80</v>
      </c>
      <c r="D44" s="3" t="inlineStr">
        <is>
          <t>The company's own target of approximately 70 integrated-services rigs by the end of 2026, extended at four a year and tapering</t>
        </is>
      </c>
    </row>
    <row r="45">
      <c r="A45" s="6" t="inlineStr">
        <is>
          <t>Integrated-services rigs, year end — 2030</t>
        </is>
      </c>
      <c r="B45" s="6" t="inlineStr">
        <is>
          <t>rigs</t>
        </is>
      </c>
      <c r="C45" s="19" t="n">
        <v>82</v>
      </c>
      <c r="D45" s="3" t="inlineStr">
        <is>
          <t>The company's own target of approximately 70 integrated-services rigs by the end of 2026, extended at four a year and tapering</t>
        </is>
      </c>
    </row>
    <row r="46">
      <c r="A46" s="12" t="inlineStr">
        <is>
          <t>FLEET PLAN — CAPACITY-PLATEAU CASE (a delivery schedule, not arithmetic)</t>
        </is>
      </c>
      <c r="B46" s="16" t="n"/>
      <c r="C46" s="16" t="n"/>
      <c r="D46" s="16" t="n"/>
    </row>
    <row r="47">
      <c r="A47" s="6" t="inlineStr">
        <is>
          <t>Abu Dhabi onshore rigs, year end (plateau) — 2026</t>
        </is>
      </c>
      <c r="B47" s="6" t="inlineStr">
        <is>
          <t>rigs</t>
        </is>
      </c>
      <c r="C47" s="19" t="n">
        <v>92</v>
      </c>
      <c r="D47" s="3" t="inlineStr">
        <is>
          <t>Held flat at the FY2025 disclosed 92 rigs: the domestic fleet stops growing once the production-capacity target is met</t>
        </is>
      </c>
    </row>
    <row r="48">
      <c r="A48" s="6" t="inlineStr">
        <is>
          <t>Abu Dhabi onshore rigs, year end (plateau) — 2027</t>
        </is>
      </c>
      <c r="B48" s="6" t="inlineStr">
        <is>
          <t>rigs</t>
        </is>
      </c>
      <c r="C48" s="19" t="n">
        <v>92</v>
      </c>
      <c r="D48" s="3" t="inlineStr">
        <is>
          <t>Held flat at the FY2025 disclosed 92 rigs: the domestic fleet stops growing once the production-capacity target is met</t>
        </is>
      </c>
    </row>
    <row r="49">
      <c r="A49" s="6" t="inlineStr">
        <is>
          <t>Abu Dhabi onshore rigs, year end (plateau) — 2028</t>
        </is>
      </c>
      <c r="B49" s="6" t="inlineStr">
        <is>
          <t>rigs</t>
        </is>
      </c>
      <c r="C49" s="19" t="n">
        <v>92</v>
      </c>
      <c r="D49" s="3" t="inlineStr">
        <is>
          <t>Held flat at the FY2025 disclosed 92 rigs: the domestic fleet stops growing once the production-capacity target is met</t>
        </is>
      </c>
    </row>
    <row r="50">
      <c r="A50" s="6" t="inlineStr">
        <is>
          <t>Abu Dhabi onshore rigs, year end (plateau) — 2029</t>
        </is>
      </c>
      <c r="B50" s="6" t="inlineStr">
        <is>
          <t>rigs</t>
        </is>
      </c>
      <c r="C50" s="19" t="n">
        <v>92</v>
      </c>
      <c r="D50" s="3" t="inlineStr">
        <is>
          <t>Held flat at the FY2025 disclosed 92 rigs: the domestic fleet stops growing once the production-capacity target is met</t>
        </is>
      </c>
    </row>
    <row r="51">
      <c r="A51" s="6" t="inlineStr">
        <is>
          <t>Abu Dhabi onshore rigs, year end (plateau) — 2030</t>
        </is>
      </c>
      <c r="B51" s="6" t="inlineStr">
        <is>
          <t>rigs</t>
        </is>
      </c>
      <c r="C51" s="19" t="n">
        <v>92</v>
      </c>
      <c r="D51" s="3" t="inlineStr">
        <is>
          <t>Held flat at the FY2025 disclosed 92 rigs: the domestic fleet stops growing once the production-capacity target is met</t>
        </is>
      </c>
    </row>
    <row r="52">
      <c r="A52" s="6" t="inlineStr">
        <is>
          <t>Regional onshore rigs, year end (plateau) — 2026</t>
        </is>
      </c>
      <c r="B52" s="6" t="inlineStr">
        <is>
          <t>rigs</t>
        </is>
      </c>
      <c r="C52" s="19" t="n">
        <v>30</v>
      </c>
      <c r="D52" s="3" t="inlineStr">
        <is>
          <t>Held flat at the 30 regional rigs disclosed at 30 June 2026</t>
        </is>
      </c>
    </row>
    <row r="53">
      <c r="A53" s="6" t="inlineStr">
        <is>
          <t>Regional onshore rigs, year end (plateau) — 2027</t>
        </is>
      </c>
      <c r="B53" s="6" t="inlineStr">
        <is>
          <t>rigs</t>
        </is>
      </c>
      <c r="C53" s="19" t="n">
        <v>30</v>
      </c>
      <c r="D53" s="3" t="inlineStr">
        <is>
          <t>Held flat at the 30 regional rigs disclosed at 30 June 2026</t>
        </is>
      </c>
    </row>
    <row r="54">
      <c r="A54" s="6" t="inlineStr">
        <is>
          <t>Regional onshore rigs, year end (plateau) — 2028</t>
        </is>
      </c>
      <c r="B54" s="6" t="inlineStr">
        <is>
          <t>rigs</t>
        </is>
      </c>
      <c r="C54" s="19" t="n">
        <v>30</v>
      </c>
      <c r="D54" s="3" t="inlineStr">
        <is>
          <t>Held flat at the 30 regional rigs disclosed at 30 June 2026</t>
        </is>
      </c>
    </row>
    <row r="55">
      <c r="A55" s="6" t="inlineStr">
        <is>
          <t>Regional onshore rigs, year end (plateau) — 2029</t>
        </is>
      </c>
      <c r="B55" s="6" t="inlineStr">
        <is>
          <t>rigs</t>
        </is>
      </c>
      <c r="C55" s="19" t="n">
        <v>30</v>
      </c>
      <c r="D55" s="3" t="inlineStr">
        <is>
          <t>Held flat at the 30 regional rigs disclosed at 30 June 2026</t>
        </is>
      </c>
    </row>
    <row r="56">
      <c r="A56" s="6" t="inlineStr">
        <is>
          <t>Regional onshore rigs, year end (plateau) — 2030</t>
        </is>
      </c>
      <c r="B56" s="6" t="inlineStr">
        <is>
          <t>rigs</t>
        </is>
      </c>
      <c r="C56" s="19" t="n">
        <v>30</v>
      </c>
      <c r="D56" s="3" t="inlineStr">
        <is>
          <t>Held flat at the 30 regional rigs disclosed at 30 June 2026</t>
        </is>
      </c>
    </row>
    <row r="57">
      <c r="A57" s="6" t="inlineStr">
        <is>
          <t>Jack-up rigs, year end (plateau) — 2026</t>
        </is>
      </c>
      <c r="B57" s="6" t="inlineStr">
        <is>
          <t>rigs</t>
        </is>
      </c>
      <c r="C57" s="19" t="n">
        <v>36</v>
      </c>
      <c r="D57" s="3" t="inlineStr">
        <is>
          <t>Held flat at the FY2025 disclosed 36</t>
        </is>
      </c>
    </row>
    <row r="58">
      <c r="A58" s="6" t="inlineStr">
        <is>
          <t>Jack-up rigs, year end (plateau) — 2027</t>
        </is>
      </c>
      <c r="B58" s="6" t="inlineStr">
        <is>
          <t>rigs</t>
        </is>
      </c>
      <c r="C58" s="19" t="n">
        <v>36</v>
      </c>
      <c r="D58" s="3" t="inlineStr">
        <is>
          <t>Held flat at the FY2025 disclosed 36</t>
        </is>
      </c>
    </row>
    <row r="59">
      <c r="A59" s="6" t="inlineStr">
        <is>
          <t>Jack-up rigs, year end (plateau) — 2028</t>
        </is>
      </c>
      <c r="B59" s="6" t="inlineStr">
        <is>
          <t>rigs</t>
        </is>
      </c>
      <c r="C59" s="19" t="n">
        <v>36</v>
      </c>
      <c r="D59" s="3" t="inlineStr">
        <is>
          <t>Held flat at the FY2025 disclosed 36</t>
        </is>
      </c>
    </row>
    <row r="60">
      <c r="A60" s="6" t="inlineStr">
        <is>
          <t>Jack-up rigs, year end (plateau) — 2029</t>
        </is>
      </c>
      <c r="B60" s="6" t="inlineStr">
        <is>
          <t>rigs</t>
        </is>
      </c>
      <c r="C60" s="19" t="n">
        <v>36</v>
      </c>
      <c r="D60" s="3" t="inlineStr">
        <is>
          <t>Held flat at the FY2025 disclosed 36</t>
        </is>
      </c>
    </row>
    <row r="61">
      <c r="A61" s="6" t="inlineStr">
        <is>
          <t>Jack-up rigs, year end (plateau) — 2030</t>
        </is>
      </c>
      <c r="B61" s="6" t="inlineStr">
        <is>
          <t>rigs</t>
        </is>
      </c>
      <c r="C61" s="19" t="n">
        <v>36</v>
      </c>
      <c r="D61" s="3" t="inlineStr">
        <is>
          <t>Held flat at the FY2025 disclosed 36</t>
        </is>
      </c>
    </row>
    <row r="62">
      <c r="A62" s="6" t="inlineStr">
        <is>
          <t>Island rigs, year end (plateau) — 2026</t>
        </is>
      </c>
      <c r="B62" s="6" t="inlineStr">
        <is>
          <t>rigs</t>
        </is>
      </c>
      <c r="C62" s="19" t="n">
        <v>14</v>
      </c>
      <c r="D62" s="3" t="inlineStr">
        <is>
          <t>The six ordered island rigs still arrive — they are already paid for — but nothing follows them</t>
        </is>
      </c>
    </row>
    <row r="63">
      <c r="A63" s="6" t="inlineStr">
        <is>
          <t>Island rigs, year end (plateau) — 2027</t>
        </is>
      </c>
      <c r="B63" s="6" t="inlineStr">
        <is>
          <t>rigs</t>
        </is>
      </c>
      <c r="C63" s="19" t="n">
        <v>16</v>
      </c>
      <c r="D63" s="3" t="inlineStr">
        <is>
          <t>The six ordered island rigs still arrive — they are already paid for — but nothing follows them</t>
        </is>
      </c>
    </row>
    <row r="64">
      <c r="A64" s="6" t="inlineStr">
        <is>
          <t>Island rigs, year end (plateau) — 2028</t>
        </is>
      </c>
      <c r="B64" s="6" t="inlineStr">
        <is>
          <t>rigs</t>
        </is>
      </c>
      <c r="C64" s="19" t="n">
        <v>18</v>
      </c>
      <c r="D64" s="3" t="inlineStr">
        <is>
          <t>The six ordered island rigs still arrive — they are already paid for — but nothing follows them</t>
        </is>
      </c>
    </row>
    <row r="65">
      <c r="A65" s="6" t="inlineStr">
        <is>
          <t>Island rigs, year end (plateau) — 2029</t>
        </is>
      </c>
      <c r="B65" s="6" t="inlineStr">
        <is>
          <t>rigs</t>
        </is>
      </c>
      <c r="C65" s="19" t="n">
        <v>18</v>
      </c>
      <c r="D65" s="3" t="inlineStr">
        <is>
          <t>The six ordered island rigs still arrive — they are already paid for — but nothing follows them</t>
        </is>
      </c>
    </row>
    <row r="66">
      <c r="A66" s="6" t="inlineStr">
        <is>
          <t>Island rigs, year end (plateau) — 2030</t>
        </is>
      </c>
      <c r="B66" s="6" t="inlineStr">
        <is>
          <t>rigs</t>
        </is>
      </c>
      <c r="C66" s="19" t="n">
        <v>18</v>
      </c>
      <c r="D66" s="3" t="inlineStr">
        <is>
          <t>The six ordered island rigs still arrive — they are already paid for — but nothing follows them</t>
        </is>
      </c>
    </row>
    <row r="67">
      <c r="A67" s="6" t="inlineStr">
        <is>
          <t>Integrated-services rigs, year end (plateau) — 2026</t>
        </is>
      </c>
      <c r="B67" s="6" t="inlineStr">
        <is>
          <t>rigs</t>
        </is>
      </c>
      <c r="C67" s="19" t="n">
        <v>70</v>
      </c>
      <c r="D67" s="3" t="inlineStr">
        <is>
          <t>Stops just above the stated end-2026 target of approximately 70</t>
        </is>
      </c>
    </row>
    <row r="68">
      <c r="A68" s="6" t="inlineStr">
        <is>
          <t>Integrated-services rigs, year end (plateau) — 2027</t>
        </is>
      </c>
      <c r="B68" s="6" t="inlineStr">
        <is>
          <t>rigs</t>
        </is>
      </c>
      <c r="C68" s="19" t="n">
        <v>72</v>
      </c>
      <c r="D68" s="3" t="inlineStr">
        <is>
          <t>Stops just above the stated end-2026 target of approximately 70</t>
        </is>
      </c>
    </row>
    <row r="69">
      <c r="A69" s="6" t="inlineStr">
        <is>
          <t>Integrated-services rigs, year end (plateau) — 2028</t>
        </is>
      </c>
      <c r="B69" s="6" t="inlineStr">
        <is>
          <t>rigs</t>
        </is>
      </c>
      <c r="C69" s="19" t="n">
        <v>72</v>
      </c>
      <c r="D69" s="3" t="inlineStr">
        <is>
          <t>Stops just above the stated end-2026 target of approximately 70</t>
        </is>
      </c>
    </row>
    <row r="70">
      <c r="A70" s="6" t="inlineStr">
        <is>
          <t>Integrated-services rigs, year end (plateau) — 2029</t>
        </is>
      </c>
      <c r="B70" s="6" t="inlineStr">
        <is>
          <t>rigs</t>
        </is>
      </c>
      <c r="C70" s="19" t="n">
        <v>72</v>
      </c>
      <c r="D70" s="3" t="inlineStr">
        <is>
          <t>Stops just above the stated end-2026 target of approximately 70</t>
        </is>
      </c>
    </row>
    <row r="71">
      <c r="A71" s="6" t="inlineStr">
        <is>
          <t>Integrated-services rigs, year end (plateau) — 2030</t>
        </is>
      </c>
      <c r="B71" s="6" t="inlineStr">
        <is>
          <t>rigs</t>
        </is>
      </c>
      <c r="C71" s="19" t="n">
        <v>72</v>
      </c>
      <c r="D71" s="3" t="inlineStr">
        <is>
          <t>Stops just above the stated end-2026 target of approximately 70</t>
        </is>
      </c>
    </row>
    <row r="72">
      <c r="A72" s="12" t="inlineStr">
        <is>
          <t>UNIT REVENUE RATES</t>
        </is>
      </c>
      <c r="B72" s="16" t="n"/>
      <c r="C72" s="16" t="n"/>
      <c r="D72" s="16" t="n"/>
    </row>
    <row r="73">
      <c r="A73" s="6" t="inlineStr">
        <is>
          <t>Revenue per Abu Dhabi onshore rig-year</t>
        </is>
      </c>
      <c r="B73" s="6" t="inlineStr">
        <is>
          <t>USD '000</t>
        </is>
      </c>
      <c r="C73" s="19" t="n">
        <v>20096.52406417112</v>
      </c>
      <c r="D73" s="3" t="inlineStr">
        <is>
          <t>Derived from FY2025 disclosed Onshore segment revenue less the disclosed unconventional land-drilling contribution, over the average of the FY2024 and FY2025 disclosed rig counts</t>
        </is>
      </c>
    </row>
    <row r="74">
      <c r="A74" s="6" t="inlineStr">
        <is>
          <t>Revenue per regional onshore rig-year</t>
        </is>
      </c>
      <c r="B74" s="6" t="inlineStr">
        <is>
          <t>USD '000</t>
        </is>
      </c>
      <c r="C74" s="19" t="n">
        <v>8000</v>
      </c>
      <c r="D74" s="3" t="inlineStr">
        <is>
          <t>Revenue per regional land rig-year, USD thousands. Derived, not assumed: 1H-2026 Onshore revenue of $1,031 million less roughly $35 million of unconventional land drilling leaves $996 million; the Abu Dhabi conventional fleet at its disclosed FY2025 realised rate accounts for approximately $920 million of that, leaving about $76 million earned across an average of roughly 19 regional rigs in the half (8 SLDC rigs from January, 22 MBPS rigs part-period). That is about $8.0 million per rig-year, roughly 40% of the Abu Dhabi rate, consistent with smaller land rigs on Oman and Kuwait terms</t>
        </is>
      </c>
    </row>
    <row r="75">
      <c r="A75" s="6" t="inlineStr">
        <is>
          <t>Revenue per jack-up rig-year</t>
        </is>
      </c>
      <c r="B75" s="6" t="inlineStr">
        <is>
          <t>USD '000</t>
        </is>
      </c>
      <c r="C75" s="19" t="n">
        <v>30525.90973884421</v>
      </c>
      <c r="D75" s="3" t="inlineStr">
        <is>
          <t>Derived: FY2025 disclosed Offshore revenue split between jack-ups and island rigs on the FY2023 ratio, the last year the two were reported separately</t>
        </is>
      </c>
    </row>
    <row r="76">
      <c r="A76" s="6" t="inlineStr">
        <is>
          <t>Revenue per island rig-year</t>
        </is>
      </c>
      <c r="B76" s="6" t="inlineStr">
        <is>
          <t>USD '000</t>
        </is>
      </c>
      <c r="C76" s="19" t="n">
        <v>26336.11768474423</v>
      </c>
      <c r="D76" s="3" t="inlineStr">
        <is>
          <t>Derived on the same FY2023 ratio</t>
        </is>
      </c>
    </row>
    <row r="77">
      <c r="A77" s="6" t="inlineStr">
        <is>
          <t>Revenue per integrated-services rig-year</t>
        </is>
      </c>
      <c r="B77" s="6" t="inlineStr">
        <is>
          <t>USD '000</t>
        </is>
      </c>
      <c r="C77" s="19" t="n">
        <v>15862.70085470086</v>
      </c>
      <c r="D77" s="3" t="inlineStr">
        <is>
          <t>Derived from FY2025 disclosed Oilfield Services revenue less the disclosed unconventional contribution, over the average of the FY2024 and FY2025 disclosed counts</t>
        </is>
      </c>
    </row>
    <row r="78">
      <c r="A78" s="12" t="inlineStr">
        <is>
          <t>ESCALATORS — ONE PER DRIVER CLASS</t>
        </is>
      </c>
      <c r="B78" s="16" t="n"/>
      <c r="C78" s="16" t="n"/>
      <c r="D78" s="16" t="n"/>
    </row>
    <row r="79">
      <c r="A79" s="6" t="inlineStr">
        <is>
          <t>Contract day-rate escalation</t>
        </is>
      </c>
      <c r="B79" s="6" t="inlineStr">
        <is>
          <t>%</t>
        </is>
      </c>
      <c r="C79" s="20" t="n">
        <v>0.015</v>
      </c>
      <c r="D79" s="3" t="inlineStr">
        <is>
          <t>Contract day-rate escalator applied to the conventional revenue-per-rig price line. The customer is a single national oil company on multi-year contracts, so realised day rates track a negotiated escalation rather than a spot market. Realised Abu Dhabi onshore revenue per average deployed rig moved from $18.9 million in FY2023 to $20.9 million in FY2024 to $20.1 million in FY2025 (this model's own unit arithmetic on disclosed segment revenue and disclosed rig counts) — a three-year path that is up but not monotone. 1.5% is set at domestic inflation rather than extrapolating the FY2024 step</t>
        </is>
      </c>
    </row>
    <row r="80">
      <c r="A80" s="6" t="inlineStr">
        <is>
          <t>Wage escalation (domestic labour only)</t>
        </is>
      </c>
      <c r="B80" s="6" t="inlineStr">
        <is>
          <t>%</t>
        </is>
      </c>
      <c r="C80" s="20" t="n">
        <v>0.02</v>
      </c>
      <c r="D80" s="3" t="inlineStr">
        <is>
          <t>Staff-cost escalator. United Arab Emirates consumer price inflation ran 1.63% in 2023, 1.66% in 2024 and 1.25% in 2025 (World Bank via the St. Louis Fed, series FPCPITOTLZGARE); 2.0% carries a modest real-wage drift above that for a business competing for skilled rig crews in a tight regional labour market. Applies ONLY to the domestic labour line</t>
        </is>
      </c>
    </row>
    <row r="81">
      <c r="A81" s="6" t="inlineStr">
        <is>
          <t>Oilfield-services cost escalation</t>
        </is>
      </c>
      <c r="B81" s="6" t="inlineStr">
        <is>
          <t>%</t>
        </is>
      </c>
      <c r="C81" s="20" t="n">
        <v>0.015</v>
      </c>
      <c r="D81" s="3" t="inlineStr">
        <is>
          <t>Oilfield-services cost escalator, applied to repairs and maintenance, major maintenance and hire of equipment. US producer price index for drilling oil and gas wells (series PCU213111213111) stood at 396.978 in June 2026, down 1.63% year on year with a three-year compound rate of +0.29%. 1.5% sits above the flat recent print and below general inflation, on the view that the recent softness reflects the US land downturn rather than the Gulf market these costs are actually incurred in — the gap is flagged rather than smoothed away</t>
        </is>
      </c>
    </row>
    <row r="82">
      <c r="A82" s="6" t="inlineStr">
        <is>
          <t>Fuel escalation (own commodity path)</t>
        </is>
      </c>
      <c r="B82" s="6" t="inlineStr">
        <is>
          <t>%</t>
        </is>
      </c>
      <c r="C82" s="20" t="n">
        <v>0</v>
      </c>
      <c r="D82" s="3" t="inlineStr">
        <is>
          <t>Fuel and lubricants escalator. This is a globally traded input and is escalated on its own commodity path, NOT on a domestic inflation proxy: Brent closed at $88.90 on 03-Aug-2026 against a one-year average of $79.69 and a three-year average of $79.48 (US Energy Information Administration via the St. Louis Fed, series DCOILBRENTEU). Spot sits roughly 12% above the three-year mean, so a flat nominal path embeds mean reversion in real terms. The company's onshore contracts carry an explicit fuel-escalation pass-through — the 1H-2026 MD&amp;A attributes part of the onshore revenue increase to 'higher fuel escalation' — so this line is close to margin-neutral either way</t>
        </is>
      </c>
    </row>
    <row r="83">
      <c r="A83" s="6" t="inlineStr">
        <is>
          <t>General escalation</t>
        </is>
      </c>
      <c r="B83" s="6" t="inlineStr">
        <is>
          <t>%</t>
        </is>
      </c>
      <c r="C83" s="20" t="n">
        <v>0.015</v>
      </c>
      <c r="D83" s="3" t="inlineStr">
        <is>
          <t>Escalator for other direct cost and for general and administrative expenses, anchored on United Arab Emirates consumer price inflation (1.25% in 2025, 1.66% in 2024) rounded to 1.5%</t>
        </is>
      </c>
    </row>
    <row r="84">
      <c r="A84" s="12" t="inlineStr">
        <is>
          <t>FY2025 CONVENTIONAL COST STACK (base for the escalation)</t>
        </is>
      </c>
      <c r="B84" s="16" t="n"/>
      <c r="C84" s="16" t="n"/>
      <c r="D84" s="16" t="n"/>
    </row>
    <row r="85">
      <c r="A85" s="6" t="inlineStr">
        <is>
          <t>Repairs and maintenance — conventional base</t>
        </is>
      </c>
      <c r="B85" s="6" t="inlineStr">
        <is>
          <t>USD '000</t>
        </is>
      </c>
      <c r="C85" s="19" t="n">
        <v>680851.668825699</v>
      </c>
      <c r="D85" s="3" t="inlineStr">
        <is>
          <t>FY2025 direct-cost note line, net of the share of direct cost carried by the unconventional programme</t>
        </is>
      </c>
    </row>
    <row r="86">
      <c r="A86" s="6" t="inlineStr">
        <is>
          <t>Staff costs — conventional base</t>
        </is>
      </c>
      <c r="B86" s="6" t="inlineStr">
        <is>
          <t>USD '000</t>
        </is>
      </c>
      <c r="C86" s="19" t="n">
        <v>603807.7511392519</v>
      </c>
      <c r="D86" s="3" t="inlineStr">
        <is>
          <t>FY2025 direct-cost note line, net of the share of direct cost carried by the unconventional programme</t>
        </is>
      </c>
    </row>
    <row r="87">
      <c r="A87" s="6" t="inlineStr">
        <is>
          <t>Hire of equipment — conventional base</t>
        </is>
      </c>
      <c r="B87" s="6" t="inlineStr">
        <is>
          <t>USD '000</t>
        </is>
      </c>
      <c r="C87" s="19" t="n">
        <v>228460.0706372501</v>
      </c>
      <c r="D87" s="3" t="inlineStr">
        <is>
          <t>FY2025 direct-cost note line, net of the share of direct cost carried by the unconventional programme</t>
        </is>
      </c>
    </row>
    <row r="88">
      <c r="A88" s="6" t="inlineStr">
        <is>
          <t>Chemicals — conventional base</t>
        </is>
      </c>
      <c r="B88" s="6" t="inlineStr">
        <is>
          <t>USD '000</t>
        </is>
      </c>
      <c r="C88" s="19" t="n">
        <v>191505.6844007365</v>
      </c>
      <c r="D88" s="3" t="inlineStr">
        <is>
          <t>FY2025 direct-cost note line, net of the share of direct cost carried by the unconventional programme</t>
        </is>
      </c>
    </row>
    <row r="89">
      <c r="A89" s="6" t="inlineStr">
        <is>
          <t>Fuel and lubricants — conventional base</t>
        </is>
      </c>
      <c r="B89" s="6" t="inlineStr">
        <is>
          <t>USD '000</t>
        </is>
      </c>
      <c r="C89" s="19" t="n">
        <v>128487.5351492729</v>
      </c>
      <c r="D89" s="3" t="inlineStr">
        <is>
          <t>FY2025 direct-cost note line, net of the share of direct cost carried by the unconventional programme</t>
        </is>
      </c>
    </row>
    <row r="90">
      <c r="A90" s="6" t="inlineStr">
        <is>
          <t>Major maintenance charges — conventional base</t>
        </is>
      </c>
      <c r="B90" s="6" t="inlineStr">
        <is>
          <t>USD '000</t>
        </is>
      </c>
      <c r="C90" s="19" t="n">
        <v>39989.4656199876</v>
      </c>
      <c r="D90" s="3" t="inlineStr">
        <is>
          <t>FY2025 direct-cost note line, net of the share of direct cost carried by the unconventional programme</t>
        </is>
      </c>
    </row>
    <row r="91">
      <c r="A91" s="6" t="inlineStr">
        <is>
          <t>Other direct cost — conventional base</t>
        </is>
      </c>
      <c r="B91" s="6" t="inlineStr">
        <is>
          <t>USD '000</t>
        </is>
      </c>
      <c r="C91" s="19" t="n">
        <v>92776.82422780215</v>
      </c>
      <c r="D91" s="3" t="inlineStr">
        <is>
          <t>FY2025 direct-cost note line, net of the share of direct cost carried by the unconventional programme</t>
        </is>
      </c>
    </row>
    <row r="92">
      <c r="A92" s="6" t="inlineStr">
        <is>
          <t>General and administrative expenses excluding depreciation</t>
        </is>
      </c>
      <c r="B92" s="6" t="inlineStr">
        <is>
          <t>USD '000</t>
        </is>
      </c>
      <c r="C92" s="19" t="n">
        <v>147942</v>
      </c>
      <c r="D92" s="3" t="inlineStr">
        <is>
          <t>FY2025 disclosed general and administrative expenses less the depreciation and amortisation inside them</t>
        </is>
      </c>
    </row>
    <row r="93">
      <c r="A93" s="6" t="inlineStr">
        <is>
          <t>Other income, FY2025 base</t>
        </is>
      </c>
      <c r="B93" s="6" t="inlineStr">
        <is>
          <t>USD '000</t>
        </is>
      </c>
      <c r="C93" s="19" t="n">
        <v>26991</v>
      </c>
      <c r="D93" s="3" t="inlineStr">
        <is>
          <t>Other income - net, FY2025 audited consolidated financial statements (Deloitte &amp; Touche (M.E.), unqualified)</t>
        </is>
      </c>
    </row>
    <row r="94">
      <c r="A94" s="6" t="inlineStr">
        <is>
          <t>Share of joint-venture results, FY2025 base</t>
        </is>
      </c>
      <c r="B94" s="6" t="inlineStr">
        <is>
          <t>USD '000</t>
        </is>
      </c>
      <c r="C94" s="19" t="n">
        <v>29000</v>
      </c>
      <c r="D94" s="3" t="inlineStr">
        <is>
          <t>Share of results of joint ventures, FY2025 audited consolidated financial statements (Deloitte &amp; Touche (M.E.), unqualified)</t>
        </is>
      </c>
    </row>
    <row r="95">
      <c r="A95" s="12" t="inlineStr">
        <is>
          <t>UNCONVENTIONAL PROGRAMME</t>
        </is>
      </c>
      <c r="B95" s="16" t="n"/>
      <c r="C95" s="16" t="n"/>
      <c r="D95" s="16" t="n"/>
    </row>
    <row r="96">
      <c r="A96" s="6" t="inlineStr">
        <is>
          <t>Unconventional revenue — 2026</t>
        </is>
      </c>
      <c r="B96" s="6" t="inlineStr">
        <is>
          <t>USD '000</t>
        </is>
      </c>
      <c r="C96" s="19" t="n">
        <v>400000</v>
      </c>
      <c r="D96" s="3" t="inlineStr">
        <is>
          <t>Phased off the disclosed $0.86 billion of remaining Phase 1 contract value at end-2025 and the $206 million recognised in the first half of 2026</t>
        </is>
      </c>
    </row>
    <row r="97">
      <c r="A97" s="6" t="inlineStr">
        <is>
          <t>Unconventional revenue — 2027</t>
        </is>
      </c>
      <c r="B97" s="6" t="inlineStr">
        <is>
          <t>USD '000</t>
        </is>
      </c>
      <c r="C97" s="19" t="n">
        <v>260000</v>
      </c>
      <c r="D97" s="3" t="inlineStr">
        <is>
          <t>Phased off the disclosed $0.86 billion of remaining Phase 1 contract value at end-2025 and the $206 million recognised in the first half of 2026</t>
        </is>
      </c>
    </row>
    <row r="98">
      <c r="A98" s="6" t="inlineStr">
        <is>
          <t>Unconventional revenue — 2028</t>
        </is>
      </c>
      <c r="B98" s="6" t="inlineStr">
        <is>
          <t>USD '000</t>
        </is>
      </c>
      <c r="C98" s="19" t="n">
        <v>200000</v>
      </c>
      <c r="D98" s="3" t="inlineStr">
        <is>
          <t>Phased off the disclosed $0.86 billion of remaining Phase 1 contract value at end-2025 and the $206 million recognised in the first half of 2026</t>
        </is>
      </c>
    </row>
    <row r="99">
      <c r="A99" s="6" t="inlineStr">
        <is>
          <t>Unconventional revenue — 2029</t>
        </is>
      </c>
      <c r="B99" s="6" t="inlineStr">
        <is>
          <t>USD '000</t>
        </is>
      </c>
      <c r="C99" s="19" t="n">
        <v>200000</v>
      </c>
      <c r="D99" s="3" t="inlineStr">
        <is>
          <t>Phased off the disclosed $0.86 billion of remaining Phase 1 contract value at end-2025 and the $206 million recognised in the first half of 2026</t>
        </is>
      </c>
    </row>
    <row r="100">
      <c r="A100" s="6" t="inlineStr">
        <is>
          <t>Unconventional revenue — 2030</t>
        </is>
      </c>
      <c r="B100" s="6" t="inlineStr">
        <is>
          <t>USD '000</t>
        </is>
      </c>
      <c r="C100" s="19" t="n">
        <v>200000</v>
      </c>
      <c r="D100" s="3" t="inlineStr">
        <is>
          <t>Phased off the disclosed $0.86 billion of remaining Phase 1 contract value at end-2025 and the $206 million recognised in the first half of 2026</t>
        </is>
      </c>
    </row>
    <row r="101">
      <c r="A101" s="6" t="inlineStr">
        <is>
          <t>Unconventional revenue (plateau) — 2026</t>
        </is>
      </c>
      <c r="B101" s="6" t="inlineStr">
        <is>
          <t>USD '000</t>
        </is>
      </c>
      <c r="C101" s="19" t="n">
        <v>400000</v>
      </c>
      <c r="D101" s="3" t="inlineStr">
        <is>
          <t>The same programme with no successor contract: Phase 1 runs off and nothing replaces it</t>
        </is>
      </c>
    </row>
    <row r="102">
      <c r="A102" s="6" t="inlineStr">
        <is>
          <t>Unconventional revenue (plateau) — 2027</t>
        </is>
      </c>
      <c r="B102" s="6" t="inlineStr">
        <is>
          <t>USD '000</t>
        </is>
      </c>
      <c r="C102" s="19" t="n">
        <v>200000</v>
      </c>
      <c r="D102" s="3" t="inlineStr">
        <is>
          <t>The same programme with no successor contract: Phase 1 runs off and nothing replaces it</t>
        </is>
      </c>
    </row>
    <row r="103">
      <c r="A103" s="6" t="inlineStr">
        <is>
          <t>Unconventional revenue (plateau) — 2028</t>
        </is>
      </c>
      <c r="B103" s="6" t="inlineStr">
        <is>
          <t>USD '000</t>
        </is>
      </c>
      <c r="C103" s="19" t="n">
        <v>60000</v>
      </c>
      <c r="D103" s="3" t="inlineStr">
        <is>
          <t>The same programme with no successor contract: Phase 1 runs off and nothing replaces it</t>
        </is>
      </c>
    </row>
    <row r="104">
      <c r="A104" s="6" t="inlineStr">
        <is>
          <t>Unconventional revenue (plateau) — 2029</t>
        </is>
      </c>
      <c r="B104" s="6" t="inlineStr">
        <is>
          <t>USD '000</t>
        </is>
      </c>
      <c r="C104" s="19" t="n">
        <v>0</v>
      </c>
      <c r="D104" s="3" t="inlineStr">
        <is>
          <t>The same programme with no successor contract: Phase 1 runs off and nothing replaces it</t>
        </is>
      </c>
    </row>
    <row r="105">
      <c r="A105" s="6" t="inlineStr">
        <is>
          <t>Unconventional revenue (plateau) — 2030</t>
        </is>
      </c>
      <c r="B105" s="6" t="inlineStr">
        <is>
          <t>USD '000</t>
        </is>
      </c>
      <c r="C105" s="19" t="n">
        <v>0</v>
      </c>
      <c r="D105" s="3" t="inlineStr">
        <is>
          <t>The same programme with no successor contract: Phase 1 runs off and nothing replaces it</t>
        </is>
      </c>
    </row>
    <row r="106">
      <c r="A106" s="6" t="inlineStr">
        <is>
          <t>Unconventional EBITDA margin</t>
        </is>
      </c>
      <c r="B106" s="6" t="inlineStr">
        <is>
          <t>%</t>
        </is>
      </c>
      <c r="C106" s="20" t="n">
        <v>0.065</v>
      </c>
      <c r="D106" s="3" t="inlineStr">
        <is>
          <t>EBITDA margin on unconventional revenue, triangulated three ways in the workbook rather than asserted: (i) the FY2025 disclosed conventional EBITDA margin of 51% applied to conventional revenue implies $50 million of EBITDA on $692 million of unconventional revenue, a 7.3% margin; (ii) the same arithmetic on FY2024's disclosed 52% implies a negative margin, but on a $117 million revenue base a half-point of rounding in the disclosed margin swings the answer by more than the answer itself, so it is reported and discarded; (iii) the FY2024-to-FY2025 incremental bridge — group EBITDA up $183 million on revenue up $869 million, of which $294 million of conventional revenue at 51% explains $150 million — leaves $33 million on $575 million of incremental unconventional revenue, a 5.8% margin. The average of the two usable estimates is 6.5%. This is the single most consequential fact about the unconventional programme: it is a large revenue line that carries almost no profit</t>
        </is>
      </c>
    </row>
    <row r="107">
      <c r="A107" s="6" t="inlineStr">
        <is>
          <t>Unconventional share booked to Onshore</t>
        </is>
      </c>
      <c r="B107" s="6" t="inlineStr">
        <is>
          <t>%</t>
        </is>
      </c>
      <c r="C107" s="20" t="n">
        <v>0.2283236994219653</v>
      </c>
      <c r="D107" s="3" t="inlineStr">
        <is>
          <t>FY2025 disclosed split: $158 million of the $692 million was Onshore land drilling</t>
        </is>
      </c>
    </row>
    <row r="108">
      <c r="A108" s="12" t="inlineStr">
        <is>
          <t>CAPITAL AND WORKING CAPITAL</t>
        </is>
      </c>
      <c r="B108" s="16" t="n"/>
      <c r="C108" s="16" t="n"/>
      <c r="D108" s="16" t="n"/>
    </row>
    <row r="109">
      <c r="A109" s="6" t="inlineStr">
        <is>
          <t>Capital expenditure — 2026</t>
        </is>
      </c>
      <c r="B109" s="6" t="inlineStr">
        <is>
          <t>USD '000</t>
        </is>
      </c>
      <c r="C109" s="19" t="n">
        <v>700000</v>
      </c>
      <c r="D109" s="3" t="inlineStr">
        <is>
          <t>FY2026 is the midpoint of the guided $0.6-0.8 billion; later years step down toward the stated maintenance level of around $250 million as the ordered island rigs are delivered</t>
        </is>
      </c>
    </row>
    <row r="110">
      <c r="A110" s="6" t="inlineStr">
        <is>
          <t>Capital expenditure — 2027</t>
        </is>
      </c>
      <c r="B110" s="6" t="inlineStr">
        <is>
          <t>USD '000</t>
        </is>
      </c>
      <c r="C110" s="19" t="n">
        <v>600000</v>
      </c>
      <c r="D110" s="3" t="inlineStr">
        <is>
          <t>FY2026 is the midpoint of the guided $0.6-0.8 billion; later years step down toward the stated maintenance level of around $250 million as the ordered island rigs are delivered</t>
        </is>
      </c>
    </row>
    <row r="111">
      <c r="A111" s="6" t="inlineStr">
        <is>
          <t>Capital expenditure — 2028</t>
        </is>
      </c>
      <c r="B111" s="6" t="inlineStr">
        <is>
          <t>USD '000</t>
        </is>
      </c>
      <c r="C111" s="19" t="n">
        <v>520000</v>
      </c>
      <c r="D111" s="3" t="inlineStr">
        <is>
          <t>FY2026 is the midpoint of the guided $0.6-0.8 billion; later years step down toward the stated maintenance level of around $250 million as the ordered island rigs are delivered</t>
        </is>
      </c>
    </row>
    <row r="112">
      <c r="A112" s="6" t="inlineStr">
        <is>
          <t>Capital expenditure — 2029</t>
        </is>
      </c>
      <c r="B112" s="6" t="inlineStr">
        <is>
          <t>USD '000</t>
        </is>
      </c>
      <c r="C112" s="19" t="n">
        <v>420000</v>
      </c>
      <c r="D112" s="3" t="inlineStr">
        <is>
          <t>FY2026 is the midpoint of the guided $0.6-0.8 billion; later years step down toward the stated maintenance level of around $250 million as the ordered island rigs are delivered</t>
        </is>
      </c>
    </row>
    <row r="113">
      <c r="A113" s="6" t="inlineStr">
        <is>
          <t>Capital expenditure — 2030</t>
        </is>
      </c>
      <c r="B113" s="6" t="inlineStr">
        <is>
          <t>USD '000</t>
        </is>
      </c>
      <c r="C113" s="19" t="n">
        <v>380000</v>
      </c>
      <c r="D113" s="3" t="inlineStr">
        <is>
          <t>FY2026 is the midpoint of the guided $0.6-0.8 billion; later years step down toward the stated maintenance level of around $250 million as the ordered island rigs are delivered</t>
        </is>
      </c>
    </row>
    <row r="114">
      <c r="A114" s="6" t="inlineStr">
        <is>
          <t>Capital expenditure (plateau) — 2026</t>
        </is>
      </c>
      <c r="B114" s="6" t="inlineStr">
        <is>
          <t>USD '000</t>
        </is>
      </c>
      <c r="C114" s="19" t="n">
        <v>700000</v>
      </c>
      <c r="D114" s="3" t="inlineStr">
        <is>
          <t>The same FY2026 guidance, stepping down faster once the ordered rigs are delivered and nothing follows them</t>
        </is>
      </c>
    </row>
    <row r="115">
      <c r="A115" s="6" t="inlineStr">
        <is>
          <t>Capital expenditure (plateau) — 2027</t>
        </is>
      </c>
      <c r="B115" s="6" t="inlineStr">
        <is>
          <t>USD '000</t>
        </is>
      </c>
      <c r="C115" s="19" t="n">
        <v>520000</v>
      </c>
      <c r="D115" s="3" t="inlineStr">
        <is>
          <t>The same FY2026 guidance, stepping down faster once the ordered rigs are delivered and nothing follows them</t>
        </is>
      </c>
    </row>
    <row r="116">
      <c r="A116" s="6" t="inlineStr">
        <is>
          <t>Capital expenditure (plateau) — 2028</t>
        </is>
      </c>
      <c r="B116" s="6" t="inlineStr">
        <is>
          <t>USD '000</t>
        </is>
      </c>
      <c r="C116" s="19" t="n">
        <v>400000</v>
      </c>
      <c r="D116" s="3" t="inlineStr">
        <is>
          <t>The same FY2026 guidance, stepping down faster once the ordered rigs are delivered and nothing follows them</t>
        </is>
      </c>
    </row>
    <row r="117">
      <c r="A117" s="6" t="inlineStr">
        <is>
          <t>Capital expenditure (plateau) — 2029</t>
        </is>
      </c>
      <c r="B117" s="6" t="inlineStr">
        <is>
          <t>USD '000</t>
        </is>
      </c>
      <c r="C117" s="19" t="n">
        <v>300000</v>
      </c>
      <c r="D117" s="3" t="inlineStr">
        <is>
          <t>The same FY2026 guidance, stepping down faster once the ordered rigs are delivered and nothing follows them</t>
        </is>
      </c>
    </row>
    <row r="118">
      <c r="A118" s="6" t="inlineStr">
        <is>
          <t>Capital expenditure (plateau) — 2030</t>
        </is>
      </c>
      <c r="B118" s="6" t="inlineStr">
        <is>
          <t>USD '000</t>
        </is>
      </c>
      <c r="C118" s="19" t="n">
        <v>280000</v>
      </c>
      <c r="D118" s="3" t="inlineStr">
        <is>
          <t>The same FY2026 guidance, stepping down faster once the ordered rigs are delivered and nothing follows them</t>
        </is>
      </c>
    </row>
    <row r="119">
      <c r="A119" s="6" t="inlineStr">
        <is>
          <t>Depreciation rate on opening fixed assets</t>
        </is>
      </c>
      <c r="B119" s="6" t="inlineStr">
        <is>
          <t>%</t>
        </is>
      </c>
      <c r="C119" s="20" t="n">
        <v>0.09520384071834144</v>
      </c>
      <c r="D119" s="3" t="inlineStr">
        <is>
          <t>FY2025 disclosed depreciation and amortisation over opening property, equipment, right-of-use assets and intangibles</t>
        </is>
      </c>
    </row>
    <row r="120">
      <c r="A120" s="6" t="inlineStr">
        <is>
          <t>Working capital / revenue</t>
        </is>
      </c>
      <c r="B120" s="6" t="inlineStr">
        <is>
          <t>%</t>
        </is>
      </c>
      <c r="C120" s="20" t="n">
        <v>0.05912645730011457</v>
      </c>
      <c r="D120" s="3" t="inlineStr">
        <is>
          <t>Average of the three audited years: 5.5%, 6.9% and 5.4%</t>
        </is>
      </c>
    </row>
    <row r="121">
      <c r="A121" s="6" t="inlineStr">
        <is>
          <t>Dividend, FY2026 floor</t>
        </is>
      </c>
      <c r="B121" s="6" t="inlineStr">
        <is>
          <t>USD '000</t>
        </is>
      </c>
      <c r="C121" s="19" t="n">
        <v>1050000</v>
      </c>
      <c r="D121" s="3" t="inlineStr">
        <is>
          <t>1H-2026 earnings press release guidance — dividend floor of $1.05 billion, up 5% year on year</t>
        </is>
      </c>
    </row>
    <row r="122">
      <c r="A122" s="6" t="inlineStr">
        <is>
          <t>Dividend growth</t>
        </is>
      </c>
      <c r="B122" s="6" t="inlineStr">
        <is>
          <t>%</t>
        </is>
      </c>
      <c r="C122" s="20" t="n">
        <v>0.05</v>
      </c>
      <c r="D122" s="3" t="inlineStr">
        <is>
          <t>The guided floor is stated as 5% above the prior year</t>
        </is>
      </c>
    </row>
    <row r="123">
      <c r="A123" s="12" t="inlineStr">
        <is>
          <t>TERMINAL BLOCK</t>
        </is>
      </c>
      <c r="B123" s="16" t="n"/>
      <c r="C123" s="16" t="n"/>
      <c r="D123" s="16" t="n"/>
    </row>
    <row r="124">
      <c r="A124" s="6" t="inlineStr">
        <is>
          <t>Terminal growth — continued expansion</t>
        </is>
      </c>
      <c r="B124" s="6" t="inlineStr">
        <is>
          <t>%</t>
        </is>
      </c>
      <c r="C124" s="20" t="n">
        <v>0.025</v>
      </c>
      <c r="D124" s="3" t="inlineStr">
        <is>
          <t>Terminal nominal growth under the continued-expansion framing. Sits below long-run United States inflation expectations of 2.25% plus real regional activity growth, and below the 3.0% ceiling a mature contract driller could justify</t>
        </is>
      </c>
    </row>
    <row r="125">
      <c r="A125" s="6" t="inlineStr">
        <is>
          <t>Terminal growth — capacity plateau</t>
        </is>
      </c>
      <c r="B125" s="6" t="inlineStr">
        <is>
          <t>%</t>
        </is>
      </c>
      <c r="C125" s="20" t="n">
        <v>0.015</v>
      </c>
      <c r="D125" s="3" t="inlineStr">
        <is>
          <t>Terminal nominal growth under the capacity-plateau framing — the domestic fleet stops growing once the five-million-barrel-per-day capacity target is met, so nominal growth is contract escalation only</t>
        </is>
      </c>
    </row>
    <row r="126">
      <c r="A126" s="6" t="inlineStr">
        <is>
          <t>Terminal return on invested capital</t>
        </is>
      </c>
      <c r="B126" s="6" t="inlineStr">
        <is>
          <t>%</t>
        </is>
      </c>
      <c r="C126" s="20" t="n">
        <v>0.18</v>
      </c>
      <c r="D126" s="3" t="inlineStr">
        <is>
          <t>Terminal after-tax return on invested capital. The company earned a 23% return on capital employed in FY2025 and again in 1H-2026 (both disclosed in the MD&amp;A financial summary). 18% fades that toward, but not to, a cost-of-capital return: the rig fleet is contracted to a single national oil company on terms that have sustained a 23% return through a full commodity cycle, so a fade to parity would contradict the observed record, while holding 23% in perpetuity would capitalise an incumbency that faces renegotiation at every contract roll</t>
        </is>
      </c>
    </row>
    <row r="127">
      <c r="A127" s="12" t="inlineStr">
        <is>
          <t>BRIDGE FROM ENTERPRISE VALUE TO EQUITY (30 June 2026)</t>
        </is>
      </c>
      <c r="B127" s="16" t="n"/>
      <c r="C127" s="16" t="n"/>
      <c r="D127" s="16" t="n"/>
    </row>
    <row r="128">
      <c r="A128" s="6" t="inlineStr">
        <is>
          <t>Investment in joint ventures</t>
        </is>
      </c>
      <c r="B128" s="6" t="inlineStr">
        <is>
          <t>USD '000</t>
        </is>
      </c>
      <c r="C128" s="19" t="n">
        <v>461729</v>
      </c>
      <c r="D128" s="3" t="inlineStr">
        <is>
          <t>Investment in joint ventures, 1H-2026 condensed consolidated interim financial information (reviewed)</t>
        </is>
      </c>
    </row>
    <row r="129">
      <c r="A129" s="6" t="inlineStr">
        <is>
          <t>Cash and cash equivalents</t>
        </is>
      </c>
      <c r="B129" s="6" t="inlineStr">
        <is>
          <t>USD '000</t>
        </is>
      </c>
      <c r="C129" s="19" t="n">
        <v>355423</v>
      </c>
      <c r="D129" s="3" t="inlineStr">
        <is>
          <t>Cash and cash equivalents, 1H-2026 condensed consolidated interim financial information (reviewed)</t>
        </is>
      </c>
    </row>
    <row r="130">
      <c r="A130" s="6" t="inlineStr">
        <is>
          <t>Borrowings</t>
        </is>
      </c>
      <c r="B130" s="6" t="inlineStr">
        <is>
          <t>USD '000</t>
        </is>
      </c>
      <c r="C130" s="19" t="n">
        <v>2468779</v>
      </c>
      <c r="D130" s="3" t="inlineStr">
        <is>
          <t>Borrowings, 1H-2026 condensed consolidated interim financial information (reviewed): non-current 1,247,510 plus current 1,221,269</t>
        </is>
      </c>
    </row>
    <row r="131">
      <c r="A131" s="6" t="inlineStr">
        <is>
          <t>Lease liabilities</t>
        </is>
      </c>
      <c r="B131" s="6" t="inlineStr">
        <is>
          <t>USD '000</t>
        </is>
      </c>
      <c r="C131" s="19" t="n">
        <v>45183</v>
      </c>
      <c r="D131" s="3" t="inlineStr">
        <is>
          <t>Lease liabilities, 1H-2026 condensed consolidated interim financial information (reviewed): non-current 28,206 plus current 16,977</t>
        </is>
      </c>
    </row>
    <row r="132">
      <c r="A132" s="6" t="inlineStr">
        <is>
          <t>Non-controlling interests</t>
        </is>
      </c>
      <c r="B132" s="6" t="inlineStr">
        <is>
          <t>USD '000</t>
        </is>
      </c>
      <c r="C132" s="19" t="n">
        <v>53594</v>
      </c>
      <c r="D132" s="3" t="inlineStr">
        <is>
          <t>Non-controlling interests, 1H-2026 condensed consolidated interim financial information (reviewed) — arising on the SLDC and MBPS acquisitions completed in the period</t>
        </is>
      </c>
    </row>
    <row r="133">
      <c r="A133" s="6" t="inlineStr">
        <is>
          <t>Financial liability over the acquired minorities</t>
        </is>
      </c>
      <c r="B133" s="6" t="inlineStr">
        <is>
          <t>USD '000</t>
        </is>
      </c>
      <c r="C133" s="19" t="n">
        <v>62530</v>
      </c>
      <c r="D133" s="3" t="inlineStr">
        <is>
          <t>Financial liability, 1H-2026 condensed consolidated interim financial information (reviewed) note 5 — the put obligation recognised over the non-controlling interests in the acquired regional businesses</t>
        </is>
      </c>
    </row>
    <row r="134">
      <c r="A134" s="12" t="inlineStr">
        <is>
          <t>OTHER LENSES</t>
        </is>
      </c>
      <c r="B134" s="16" t="n"/>
      <c r="C134" s="16" t="n"/>
      <c r="D134" s="16" t="n"/>
    </row>
    <row r="135">
      <c r="A135" s="6" t="inlineStr">
        <is>
          <t>Sustainable return on equity</t>
        </is>
      </c>
      <c r="B135" s="6" t="inlineStr">
        <is>
          <t>%</t>
        </is>
      </c>
      <c r="C135" s="20" t="n">
        <v>0.3674356711161862</v>
      </c>
      <c r="D135" s="3" t="inlineStr">
        <is>
          <t>Average of the FY2024 and FY2025 returns on average equity, both computed from the audited statements</t>
        </is>
      </c>
    </row>
    <row r="136">
      <c r="A136" s="6" t="inlineStr">
        <is>
          <t>Book equity attributable to owners</t>
        </is>
      </c>
      <c r="B136" s="6" t="inlineStr">
        <is>
          <t>USD '000</t>
        </is>
      </c>
      <c r="C136" s="19" t="n">
        <v>4233719</v>
      </c>
      <c r="D136" s="3" t="inlineStr">
        <is>
          <t>Total equity at 30 June 2026 less non-controlling interests</t>
        </is>
      </c>
    </row>
    <row r="137">
      <c r="A137" s="6" t="inlineStr">
        <is>
          <t>Normalised EBITDA margin</t>
        </is>
      </c>
      <c r="B137" s="6" t="inlineStr">
        <is>
          <t>%</t>
        </is>
      </c>
      <c r="C137" s="20" t="n">
        <v>0.45</v>
      </c>
      <c r="D137" s="3" t="inlineStr">
        <is>
          <t>The company's own FY2026 guided group EBITDA margin — the midpoint of the $2.2-2.3 billion range over the approximately $5 billion revenue guide</t>
        </is>
      </c>
    </row>
    <row r="138">
      <c r="A138" s="6" t="inlineStr">
        <is>
          <t>Normalised depreciation and amortisation</t>
        </is>
      </c>
      <c r="B138" s="6" t="inlineStr">
        <is>
          <t>USD '000</t>
        </is>
      </c>
      <c r="C138" s="19" t="n">
        <v>391991.2464200824</v>
      </c>
      <c r="D138" s="3" t="inlineStr">
        <is>
          <t>Midway between the stated maintenance capital expenditure of around $250 million and the depreciation the grown fleet carries by 2030</t>
        </is>
      </c>
    </row>
    <row r="139">
      <c r="A139" s="6" t="inlineStr">
        <is>
          <t>Peer median EV/EBITDA — MENA national-oil-company drillers</t>
        </is>
      </c>
      <c r="B139" s="6" t="inlineStr">
        <is>
          <t>x</t>
        </is>
      </c>
      <c r="C139" s="17" t="n">
        <v>9.48869094983089</v>
      </c>
      <c r="D139" s="3" t="inlineStr">
        <is>
          <t>Median of ADES Holding and Arabian Drilling on their own latest reported EBITDA and net debt, at market prices on 07-Aug-2026</t>
        </is>
      </c>
    </row>
    <row r="140">
      <c r="A140" s="6" t="inlineStr">
        <is>
          <t>Peer median EV/EBITDA — global land drillers</t>
        </is>
      </c>
      <c r="B140" s="6" t="inlineStr">
        <is>
          <t>x</t>
        </is>
      </c>
      <c r="C140" s="17" t="n">
        <v>6.153901170474688</v>
      </c>
      <c r="D140" s="3" t="inlineStr">
        <is>
          <t>Median of Helmerich &amp; Payne, Nabors, Patterson-UTI and Precision Drilling</t>
        </is>
      </c>
    </row>
    <row r="141">
      <c r="A141" s="6" t="inlineStr">
        <is>
          <t>Peer median EV/EBITDA — global offshore drillers</t>
        </is>
      </c>
      <c r="B141" s="6" t="inlineStr">
        <is>
          <t>x</t>
        </is>
      </c>
      <c r="C141" s="17" t="n">
        <v>8.551592261282073</v>
      </c>
      <c r="D141" s="3" t="inlineStr">
        <is>
          <t>Median of Valaris, Noble and Borr Drilling</t>
        </is>
      </c>
    </row>
    <row r="142">
      <c r="A142" s="6" t="inlineStr">
        <is>
          <t>Peer median EV/EBITDA — diversified oilfield services</t>
        </is>
      </c>
      <c r="B142" s="6" t="inlineStr">
        <is>
          <t>x</t>
        </is>
      </c>
      <c r="C142" s="17" t="n">
        <v>10.621719186918</v>
      </c>
      <c r="D142" s="3" t="inlineStr">
        <is>
          <t>Median of SLB, Halliburton, Baker Hughes and Weatherford</t>
        </is>
      </c>
    </row>
    <row r="143">
      <c r="A143" s="6" t="inlineStr">
        <is>
          <t>FY2026 guided EBITDA (midpoint)</t>
        </is>
      </c>
      <c r="B143" s="6" t="inlineStr">
        <is>
          <t>USD '000</t>
        </is>
      </c>
      <c r="C143" s="19" t="n">
        <v>2250000</v>
      </c>
      <c r="D143" s="3" t="inlineStr">
        <is>
          <t>Midpoint of the reaffirmed $2.2-2.3 billion guidance range</t>
        </is>
      </c>
    </row>
    <row r="144">
      <c r="A144" s="12" t="inlineStr">
        <is>
          <t>LENS WEIGHTS</t>
        </is>
      </c>
      <c r="B144" s="16" t="n"/>
      <c r="C144" s="16" t="n"/>
      <c r="D144" s="16" t="n"/>
    </row>
    <row r="145">
      <c r="A145" s="6" t="inlineStr">
        <is>
          <t>Weight — discounted cash flow, continued expansion</t>
        </is>
      </c>
      <c r="B145" s="6" t="inlineStr">
        <is>
          <t>%</t>
        </is>
      </c>
      <c r="C145" s="21" t="n">
        <v>0.25</v>
      </c>
      <c r="D145" s="3" t="inlineStr">
        <is>
          <t>The two discounted-cash-flow framings carry equal weight and half the total, because the study refuses to choose between them; the remaining three lenses split the rest</t>
        </is>
      </c>
    </row>
    <row r="146">
      <c r="A146" s="6" t="inlineStr">
        <is>
          <t>Weight — discounted cash flow, capacity plateau</t>
        </is>
      </c>
      <c r="B146" s="6" t="inlineStr">
        <is>
          <t>%</t>
        </is>
      </c>
      <c r="C146" s="21" t="n">
        <v>0.25</v>
      </c>
      <c r="D146" s="3" t="inlineStr">
        <is>
          <t>The two discounted-cash-flow framings carry equal weight and half the total, because the study refuses to choose between them; the remaining three lenses split the rest</t>
        </is>
      </c>
    </row>
    <row r="147">
      <c r="A147" s="6" t="inlineStr">
        <is>
          <t>Weight — relative multiples</t>
        </is>
      </c>
      <c r="B147" s="6" t="inlineStr">
        <is>
          <t>%</t>
        </is>
      </c>
      <c r="C147" s="21" t="n">
        <v>0.2</v>
      </c>
      <c r="D147" s="3" t="inlineStr">
        <is>
          <t>The two discounted-cash-flow framings carry equal weight and half the total, because the study refuses to choose between them; the remaining three lenses split the rest</t>
        </is>
      </c>
    </row>
    <row r="148">
      <c r="A148" s="6" t="inlineStr">
        <is>
          <t>Weight — book value and sustainable return</t>
        </is>
      </c>
      <c r="B148" s="6" t="inlineStr">
        <is>
          <t>%</t>
        </is>
      </c>
      <c r="C148" s="21" t="n">
        <v>0.15</v>
      </c>
      <c r="D148" s="3" t="inlineStr">
        <is>
          <t>The two discounted-cash-flow framings carry equal weight and half the total, because the study refuses to choose between them; the remaining three lenses split the rest</t>
        </is>
      </c>
    </row>
    <row r="149">
      <c r="A149" s="6" t="inlineStr">
        <is>
          <t>Weight — normalised earnings power</t>
        </is>
      </c>
      <c r="B149" s="6" t="inlineStr">
        <is>
          <t>%</t>
        </is>
      </c>
      <c r="C149" s="21" t="n">
        <v>0.15</v>
      </c>
      <c r="D149" s="3" t="inlineStr">
        <is>
          <t>The two discounted-cash-flow framings carry equal weight and half the total, because the study refuses to choose between them; the remaining three lenses split the rest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58" customWidth="1" min="1" max="1"/>
    <col width="18" customWidth="1" min="2" max="2"/>
    <col width="18" customWidth="1" min="3" max="3"/>
    <col width="60" customWidth="1" min="4" max="4"/>
  </cols>
  <sheetData>
    <row r="1" ht="22" customHeight="1">
      <c r="A1" s="1" t="inlineStr">
        <is>
          <t>Enterprise value to equity — the bridge, struck on the 30 June 2026 capital structure</t>
        </is>
      </c>
    </row>
    <row r="3" ht="30" customHeight="1">
      <c r="A3" s="4" t="inlineStr"/>
      <c r="B3" s="5" t="inlineStr">
        <is>
          <t>Continued expansion</t>
        </is>
      </c>
      <c r="C3" s="5" t="inlineStr">
        <is>
          <t>Capacity plateau</t>
        </is>
      </c>
      <c r="D3" s="5" t="inlineStr">
        <is>
          <t>Note</t>
        </is>
      </c>
    </row>
    <row r="4">
      <c r="A4" s="9" t="inlineStr">
        <is>
          <t>Enterprise value</t>
        </is>
      </c>
      <c r="B4" s="22">
        <f>DCF!$C$50</f>
        <v/>
      </c>
      <c r="C4" s="22">
        <f>DCF!$C$70</f>
        <v/>
      </c>
      <c r="D4" s="3" t="inlineStr">
        <is>
          <t>Present value of the explicit five years plus the discounted terminal value</t>
        </is>
      </c>
    </row>
    <row r="5">
      <c r="A5" s="9" t="inlineStr">
        <is>
          <t>of which terminal value</t>
        </is>
      </c>
      <c r="B5" s="11">
        <f>DCF!$C$51</f>
        <v/>
      </c>
      <c r="C5" s="11">
        <f>DCF!$C$71</f>
        <v/>
      </c>
      <c r="D5" s="3" t="inlineStr">
        <is>
          <t>The share of the answer that rests on the period beyond 2030 — read this before the valuation</t>
        </is>
      </c>
    </row>
    <row r="6">
      <c r="A6" s="6" t="inlineStr">
        <is>
          <t>add investment in joint ventures</t>
        </is>
      </c>
      <c r="B6" s="14">
        <f>Assumptions!$C$128</f>
        <v/>
      </c>
      <c r="C6" s="14">
        <f>Assumptions!$C$128</f>
        <v/>
      </c>
      <c r="D6" s="3" t="inlineStr">
        <is>
          <t>Enersol and Turnwell at carrying value; their earnings are excluded from the discounted EBITDA, so the stake is added here instead</t>
        </is>
      </c>
    </row>
    <row r="7">
      <c r="A7" s="6" t="inlineStr">
        <is>
          <t>add cash and cash equivalents</t>
        </is>
      </c>
      <c r="B7" s="14">
        <f>Assumptions!$C$129</f>
        <v/>
      </c>
      <c r="C7" s="14">
        <f>Assumptions!$C$129</f>
        <v/>
      </c>
      <c r="D7" s="3" t="inlineStr">
        <is>
          <t>Balance sheet at 30 June 2026</t>
        </is>
      </c>
    </row>
    <row r="8">
      <c r="A8" s="6" t="inlineStr">
        <is>
          <t>less borrowings</t>
        </is>
      </c>
      <c r="B8" s="14">
        <f>-Assumptions!$C$130</f>
        <v/>
      </c>
      <c r="C8" s="14">
        <f>-Assumptions!$C$130</f>
        <v/>
      </c>
      <c r="D8" s="3" t="inlineStr">
        <is>
          <t>Current and non-current term loans</t>
        </is>
      </c>
    </row>
    <row r="9">
      <c r="A9" s="6" t="inlineStr">
        <is>
          <t>less lease liabilities</t>
        </is>
      </c>
      <c r="B9" s="14">
        <f>-Assumptions!$C$131</f>
        <v/>
      </c>
      <c r="C9" s="14">
        <f>-Assumptions!$C$131</f>
        <v/>
      </c>
      <c r="D9" s="3" t="inlineStr"/>
    </row>
    <row r="10">
      <c r="A10" s="6" t="inlineStr">
        <is>
          <t>less non-controlling interests</t>
        </is>
      </c>
      <c r="B10" s="14">
        <f>-Assumptions!$C$132</f>
        <v/>
      </c>
      <c r="C10" s="14">
        <f>-Assumptions!$C$132</f>
        <v/>
      </c>
      <c r="D10" s="3" t="inlineStr">
        <is>
          <t>Arising on the SLDC and MBPS acquisitions completed in the first half of 2026</t>
        </is>
      </c>
    </row>
    <row r="11">
      <c r="A11" s="6" t="inlineStr">
        <is>
          <t>less the financial liability over the acquired minorities</t>
        </is>
      </c>
      <c r="B11" s="14">
        <f>-Assumptions!$C$133</f>
        <v/>
      </c>
      <c r="C11" s="14">
        <f>-Assumptions!$C$133</f>
        <v/>
      </c>
      <c r="D11" s="3" t="inlineStr">
        <is>
          <t>The put obligation the company recognised over those same minorities</t>
        </is>
      </c>
    </row>
    <row r="12">
      <c r="A12" s="9" t="inlineStr">
        <is>
          <t>Equity value</t>
        </is>
      </c>
      <c r="B12" s="22">
        <f>B4+SUM(B6:B11)</f>
        <v/>
      </c>
      <c r="C12" s="22">
        <f>C4+SUM(C6:C11)</f>
        <v/>
      </c>
      <c r="D12" s="3" t="inlineStr"/>
    </row>
    <row r="13">
      <c r="A13" s="6" t="inlineStr">
        <is>
          <t>Shares outstanding (thousands)</t>
        </is>
      </c>
      <c r="B13" s="14">
        <f>Assumptions!$C$7-Assumptions!$C$8</f>
        <v/>
      </c>
      <c r="C13" s="14">
        <f>Assumptions!$C$7-Assumptions!$C$8</f>
        <v/>
      </c>
      <c r="D13" s="3" t="inlineStr">
        <is>
          <t>Issued shares less the shares the appointed market maker holds on the company's behalf</t>
        </is>
      </c>
    </row>
    <row r="14">
      <c r="A14" s="6" t="inlineStr">
        <is>
          <t>Value per share (USD)</t>
        </is>
      </c>
      <c r="B14" s="23">
        <f>B12/B13</f>
        <v/>
      </c>
      <c r="C14" s="23">
        <f>C12/C13</f>
        <v/>
      </c>
      <c r="D14" s="3" t="inlineStr"/>
    </row>
    <row r="15">
      <c r="A15" s="9" t="inlineStr">
        <is>
          <t>Value per share (AED)</t>
        </is>
      </c>
      <c r="B15" s="10">
        <f>B14*Assumptions!$C$6</f>
        <v/>
      </c>
      <c r="C15" s="10">
        <f>C14*Assumptions!$C$6</f>
        <v/>
      </c>
      <c r="D15" s="3" t="inlineStr">
        <is>
          <t>Converted at the peg</t>
        </is>
      </c>
    </row>
  </sheetData>
  <mergeCells count="1">
    <mergeCell ref="A1:D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Segments — the unit build: rigs times revenue per rig, and the cost stack that serves them</t>
        </is>
      </c>
    </row>
    <row r="3" ht="30" customHeight="1">
      <c r="A3" s="4" t="inlineStr">
        <is>
          <t>USD thousands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12" t="inlineStr">
        <is>
          <t>OPERATING UNITS (average deployed over the year)</t>
        </is>
      </c>
    </row>
    <row r="5">
      <c r="A5" s="6" t="inlineStr">
        <is>
          <t>Average Abu Dhabi onshore rigs</t>
        </is>
      </c>
      <c r="B5" s="24" t="n">
        <v>79</v>
      </c>
      <c r="C5" s="24" t="n">
        <v>89.5</v>
      </c>
      <c r="D5" s="24" t="n">
        <v>93.5</v>
      </c>
      <c r="E5" s="24">
        <f>(92.0+Assumptions!$C$21)/2</f>
        <v/>
      </c>
      <c r="F5" s="24">
        <f>(Assumptions!$C$21+Assumptions!$C$22)/2</f>
        <v/>
      </c>
      <c r="G5" s="24">
        <f>(Assumptions!$C$22+Assumptions!$C$23)/2</f>
        <v/>
      </c>
      <c r="H5" s="24">
        <f>(Assumptions!$C$23+Assumptions!$C$24)/2</f>
        <v/>
      </c>
      <c r="I5" s="24">
        <f>(Assumptions!$C$24+Assumptions!$C$25)/2</f>
        <v/>
      </c>
    </row>
    <row r="6">
      <c r="A6" s="6" t="inlineStr">
        <is>
          <t>Average regional onshore rigs</t>
        </is>
      </c>
      <c r="B6" s="24" t="n">
        <v>0</v>
      </c>
      <c r="C6" s="24" t="n">
        <v>0</v>
      </c>
      <c r="D6" s="24" t="n">
        <v>0</v>
      </c>
      <c r="E6" s="24">
        <f>(0.0+Assumptions!$C$26)/2</f>
        <v/>
      </c>
      <c r="F6" s="24">
        <f>(Assumptions!$C$26+Assumptions!$C$27)/2</f>
        <v/>
      </c>
      <c r="G6" s="24">
        <f>(Assumptions!$C$27+Assumptions!$C$28)/2</f>
        <v/>
      </c>
      <c r="H6" s="24">
        <f>(Assumptions!$C$28+Assumptions!$C$29)/2</f>
        <v/>
      </c>
      <c r="I6" s="24">
        <f>(Assumptions!$C$29+Assumptions!$C$30)/2</f>
        <v/>
      </c>
    </row>
    <row r="7">
      <c r="A7" s="6" t="inlineStr">
        <is>
          <t>Average jack-up rigs</t>
        </is>
      </c>
      <c r="B7" s="24" t="n">
        <v>33</v>
      </c>
      <c r="C7" s="24" t="n">
        <v>36</v>
      </c>
      <c r="D7" s="24" t="n">
        <v>36.5</v>
      </c>
      <c r="E7" s="24">
        <f>(36.0+Assumptions!$C$31)/2</f>
        <v/>
      </c>
      <c r="F7" s="24">
        <f>(Assumptions!$C$31+Assumptions!$C$32)/2</f>
        <v/>
      </c>
      <c r="G7" s="24">
        <f>(Assumptions!$C$32+Assumptions!$C$33)/2</f>
        <v/>
      </c>
      <c r="H7" s="24">
        <f>(Assumptions!$C$33+Assumptions!$C$34)/2</f>
        <v/>
      </c>
      <c r="I7" s="24">
        <f>(Assumptions!$C$34+Assumptions!$C$35)/2</f>
        <v/>
      </c>
    </row>
    <row r="8">
      <c r="A8" s="6" t="inlineStr">
        <is>
          <t>Average island rigs</t>
        </is>
      </c>
      <c r="B8" s="24" t="n">
        <v>10</v>
      </c>
      <c r="C8" s="24" t="n">
        <v>10</v>
      </c>
      <c r="D8" s="24" t="n">
        <v>11</v>
      </c>
      <c r="E8" s="24">
        <f>(12.0+Assumptions!$C$36)/2</f>
        <v/>
      </c>
      <c r="F8" s="24">
        <f>(Assumptions!$C$36+Assumptions!$C$37)/2</f>
        <v/>
      </c>
      <c r="G8" s="24">
        <f>(Assumptions!$C$37+Assumptions!$C$38)/2</f>
        <v/>
      </c>
      <c r="H8" s="24">
        <f>(Assumptions!$C$38+Assumptions!$C$39)/2</f>
        <v/>
      </c>
      <c r="I8" s="24">
        <f>(Assumptions!$C$39+Assumptions!$C$40)/2</f>
        <v/>
      </c>
    </row>
    <row r="9">
      <c r="A9" s="6" t="inlineStr">
        <is>
          <t>Average integrated-services rigs</t>
        </is>
      </c>
      <c r="B9" s="24" t="n">
        <v>44</v>
      </c>
      <c r="C9" s="24" t="n">
        <v>52.5</v>
      </c>
      <c r="D9" s="24" t="n">
        <v>58.5</v>
      </c>
      <c r="E9" s="24">
        <f>(60.0+Assumptions!$C$41)/2</f>
        <v/>
      </c>
      <c r="F9" s="24">
        <f>(Assumptions!$C$41+Assumptions!$C$42)/2</f>
        <v/>
      </c>
      <c r="G9" s="24">
        <f>(Assumptions!$C$42+Assumptions!$C$43)/2</f>
        <v/>
      </c>
      <c r="H9" s="24">
        <f>(Assumptions!$C$43+Assumptions!$C$44)/2</f>
        <v/>
      </c>
      <c r="I9" s="24">
        <f>(Assumptions!$C$44+Assumptions!$C$45)/2</f>
        <v/>
      </c>
    </row>
    <row r="10">
      <c r="A10" s="6" t="inlineStr">
        <is>
          <t>Day-rate escalation index (2025 = 1.00)</t>
        </is>
      </c>
      <c r="B10" s="23" t="n">
        <v>1</v>
      </c>
      <c r="C10" s="23" t="n">
        <v>1</v>
      </c>
      <c r="D10" s="23" t="n">
        <v>1</v>
      </c>
      <c r="E10" s="23">
        <f>(1+Assumptions!$C$79)^1</f>
        <v/>
      </c>
      <c r="F10" s="23">
        <f>(1+Assumptions!$C$79)^2</f>
        <v/>
      </c>
      <c r="G10" s="23">
        <f>(1+Assumptions!$C$79)^3</f>
        <v/>
      </c>
      <c r="H10" s="23">
        <f>(1+Assumptions!$C$79)^4</f>
        <v/>
      </c>
      <c r="I10" s="23">
        <f>(1+Assumptions!$C$79)^5</f>
        <v/>
      </c>
    </row>
    <row r="12">
      <c r="A12" s="12" t="inlineStr">
        <is>
          <t>REVENUE BY UNIT</t>
        </is>
      </c>
    </row>
    <row r="13">
      <c r="A13" s="6" t="inlineStr">
        <is>
          <t>Onshore conventional — Abu Dhabi</t>
        </is>
      </c>
      <c r="E13" s="14">
        <f>E5*Assumptions!$C$73*E10</f>
        <v/>
      </c>
      <c r="F13" s="14">
        <f>F5*Assumptions!$C$73*F10</f>
        <v/>
      </c>
      <c r="G13" s="14">
        <f>G5*Assumptions!$C$73*G10</f>
        <v/>
      </c>
      <c r="H13" s="14">
        <f>H5*Assumptions!$C$73*H10</f>
        <v/>
      </c>
      <c r="I13" s="14">
        <f>I5*Assumptions!$C$73*I10</f>
        <v/>
      </c>
    </row>
    <row r="14">
      <c r="A14" s="6" t="inlineStr">
        <is>
          <t>Onshore conventional — regional</t>
        </is>
      </c>
      <c r="E14" s="14">
        <f>E6*Assumptions!$C$74*E10</f>
        <v/>
      </c>
      <c r="F14" s="14">
        <f>F6*Assumptions!$C$74*F10</f>
        <v/>
      </c>
      <c r="G14" s="14">
        <f>G6*Assumptions!$C$74*G10</f>
        <v/>
      </c>
      <c r="H14" s="14">
        <f>H6*Assumptions!$C$74*H10</f>
        <v/>
      </c>
      <c r="I14" s="14">
        <f>I6*Assumptions!$C$74*I10</f>
        <v/>
      </c>
    </row>
    <row r="15">
      <c r="A15" s="6" t="inlineStr">
        <is>
          <t>Offshore — jack-up</t>
        </is>
      </c>
      <c r="E15" s="14">
        <f>E7*Assumptions!$C$75*E10</f>
        <v/>
      </c>
      <c r="F15" s="14">
        <f>F7*Assumptions!$C$75*F10</f>
        <v/>
      </c>
      <c r="G15" s="14">
        <f>G7*Assumptions!$C$75*G10</f>
        <v/>
      </c>
      <c r="H15" s="14">
        <f>H7*Assumptions!$C$75*H10</f>
        <v/>
      </c>
      <c r="I15" s="14">
        <f>I7*Assumptions!$C$75*I10</f>
        <v/>
      </c>
    </row>
    <row r="16">
      <c r="A16" s="6" t="inlineStr">
        <is>
          <t>Offshore — island</t>
        </is>
      </c>
      <c r="E16" s="14">
        <f>E8*Assumptions!$C$76*E10</f>
        <v/>
      </c>
      <c r="F16" s="14">
        <f>F8*Assumptions!$C$76*F10</f>
        <v/>
      </c>
      <c r="G16" s="14">
        <f>G8*Assumptions!$C$76*G10</f>
        <v/>
      </c>
      <c r="H16" s="14">
        <f>H8*Assumptions!$C$76*H10</f>
        <v/>
      </c>
      <c r="I16" s="14">
        <f>I8*Assumptions!$C$76*I10</f>
        <v/>
      </c>
    </row>
    <row r="17">
      <c r="A17" s="6" t="inlineStr">
        <is>
          <t>Oilfield Services — integrated services</t>
        </is>
      </c>
      <c r="E17" s="14">
        <f>E9*Assumptions!$C$77*E10</f>
        <v/>
      </c>
      <c r="F17" s="14">
        <f>F9*Assumptions!$C$77*F10</f>
        <v/>
      </c>
      <c r="G17" s="14">
        <f>G9*Assumptions!$C$77*G10</f>
        <v/>
      </c>
      <c r="H17" s="14">
        <f>H9*Assumptions!$C$77*H10</f>
        <v/>
      </c>
      <c r="I17" s="14">
        <f>I9*Assumptions!$C$77*I10</f>
        <v/>
      </c>
    </row>
    <row r="18">
      <c r="A18" s="6" t="inlineStr">
        <is>
          <t>Unconventional — Onshore land drilling</t>
        </is>
      </c>
      <c r="B18" s="14" t="n">
        <v>0</v>
      </c>
      <c r="C18" s="14" t="n">
        <v>22000</v>
      </c>
      <c r="D18" s="14" t="n">
        <v>158000</v>
      </c>
      <c r="E18" s="14">
        <f>Assumptions!$C$96*Assumptions!$C$107</f>
        <v/>
      </c>
      <c r="F18" s="14">
        <f>Assumptions!$C$97*Assumptions!$C$107</f>
        <v/>
      </c>
      <c r="G18" s="14">
        <f>Assumptions!$C$98*Assumptions!$C$107</f>
        <v/>
      </c>
      <c r="H18" s="14">
        <f>Assumptions!$C$99*Assumptions!$C$107</f>
        <v/>
      </c>
      <c r="I18" s="14">
        <f>Assumptions!$C$100*Assumptions!$C$107</f>
        <v/>
      </c>
    </row>
    <row r="19">
      <c r="A19" s="6" t="inlineStr">
        <is>
          <t>Unconventional — Oilfield Services</t>
        </is>
      </c>
      <c r="B19" s="14" t="n">
        <v>0</v>
      </c>
      <c r="C19" s="14" t="n">
        <v>95000</v>
      </c>
      <c r="D19" s="14" t="n">
        <v>534000</v>
      </c>
      <c r="E19" s="14">
        <f>Assumptions!$C$96*(1-Assumptions!$C$107)</f>
        <v/>
      </c>
      <c r="F19" s="14">
        <f>Assumptions!$C$97*(1-Assumptions!$C$107)</f>
        <v/>
      </c>
      <c r="G19" s="14">
        <f>Assumptions!$C$98*(1-Assumptions!$C$107)</f>
        <v/>
      </c>
      <c r="H19" s="14">
        <f>Assumptions!$C$99*(1-Assumptions!$C$107)</f>
        <v/>
      </c>
      <c r="I19" s="14">
        <f>Assumptions!$C$100*(1-Assumptions!$C$107)</f>
        <v/>
      </c>
    </row>
    <row r="21">
      <c r="A21" s="12" t="inlineStr">
        <is>
          <t>REVENUE BY REPORTED SEGMENT</t>
        </is>
      </c>
    </row>
    <row r="22">
      <c r="A22" s="9" t="inlineStr">
        <is>
          <t>Onshore</t>
        </is>
      </c>
      <c r="B22" s="22" t="n">
        <v>1495057</v>
      </c>
      <c r="C22" s="22" t="n">
        <v>1892670</v>
      </c>
      <c r="D22" s="22" t="n">
        <v>2037025</v>
      </c>
      <c r="E22" s="22">
        <f>E13+E14+E18</f>
        <v/>
      </c>
      <c r="F22" s="22">
        <f>F13+F14+F18</f>
        <v/>
      </c>
      <c r="G22" s="22">
        <f>G13+G14+G18</f>
        <v/>
      </c>
      <c r="H22" s="22">
        <f>H13+H14+H18</f>
        <v/>
      </c>
      <c r="I22" s="22">
        <f>I13+I14+I18</f>
        <v/>
      </c>
    </row>
    <row r="23">
      <c r="A23" s="9" t="inlineStr">
        <is>
          <t>Offshore</t>
        </is>
      </c>
      <c r="B23" s="22" t="n">
        <v>1008805</v>
      </c>
      <c r="C23" s="22" t="n">
        <v>1328436</v>
      </c>
      <c r="D23" s="22" t="n">
        <v>1403893</v>
      </c>
      <c r="E23" s="22">
        <f>E15+E16</f>
        <v/>
      </c>
      <c r="F23" s="22">
        <f>F15+F16</f>
        <v/>
      </c>
      <c r="G23" s="22">
        <f>G15+G16</f>
        <v/>
      </c>
      <c r="H23" s="22">
        <f>H15+H16</f>
        <v/>
      </c>
      <c r="I23" s="22">
        <f>I15+I16</f>
        <v/>
      </c>
    </row>
    <row r="24">
      <c r="A24" s="9" t="inlineStr">
        <is>
          <t>Oilfield Services</t>
        </is>
      </c>
      <c r="B24" s="22" t="n">
        <v>553003</v>
      </c>
      <c r="C24" s="22" t="n">
        <v>813116</v>
      </c>
      <c r="D24" s="22" t="n">
        <v>1461968</v>
      </c>
      <c r="E24" s="22">
        <f>E17+E19</f>
        <v/>
      </c>
      <c r="F24" s="22">
        <f>F17+F19</f>
        <v/>
      </c>
      <c r="G24" s="22">
        <f>G17+G19</f>
        <v/>
      </c>
      <c r="H24" s="22">
        <f>H17+H19</f>
        <v/>
      </c>
      <c r="I24" s="22">
        <f>I17+I19</f>
        <v/>
      </c>
    </row>
    <row r="25">
      <c r="A25" s="9" t="inlineStr">
        <is>
          <t>Total revenue</t>
        </is>
      </c>
      <c r="B25" s="22">
        <f>B22+B23+B24</f>
        <v/>
      </c>
      <c r="C25" s="22">
        <f>C22+C23+C24</f>
        <v/>
      </c>
      <c r="D25" s="22">
        <f>D22+D23+D24</f>
        <v/>
      </c>
      <c r="E25" s="22">
        <f>E22+E23+E24</f>
        <v/>
      </c>
      <c r="F25" s="22">
        <f>F22+F23+F24</f>
        <v/>
      </c>
      <c r="G25" s="22">
        <f>G22+G23+G24</f>
        <v/>
      </c>
      <c r="H25" s="22">
        <f>H22+H23+H24</f>
        <v/>
      </c>
      <c r="I25" s="22">
        <f>I22+I23+I24</f>
        <v/>
      </c>
    </row>
    <row r="26">
      <c r="A26" s="6" t="inlineStr">
        <is>
          <t>of which conventional</t>
        </is>
      </c>
      <c r="B26" s="14">
        <f>B25-B18-B19</f>
        <v/>
      </c>
      <c r="C26" s="14">
        <f>C25-C18-C19</f>
        <v/>
      </c>
      <c r="D26" s="14">
        <f>D25-D18-D19</f>
        <v/>
      </c>
      <c r="E26" s="14">
        <f>E25-E18-E19</f>
        <v/>
      </c>
      <c r="F26" s="14">
        <f>F25-F18-F19</f>
        <v/>
      </c>
      <c r="G26" s="14">
        <f>G25-G18-G19</f>
        <v/>
      </c>
      <c r="H26" s="14">
        <f>H25-H18-H19</f>
        <v/>
      </c>
      <c r="I26" s="14">
        <f>I25-I18-I19</f>
        <v/>
      </c>
    </row>
    <row r="28">
      <c r="A28" s="12" t="inlineStr">
        <is>
          <t>COST STACK — EACH LINE ON ITS OWN VOLUME DRIVER AND ITS OWN ESCALATOR</t>
        </is>
      </c>
    </row>
    <row r="29">
      <c r="A29" s="6" t="inlineStr">
        <is>
          <t>Total rig-years (all classes, including integrated services)</t>
        </is>
      </c>
      <c r="B29" s="24" t="n">
        <v>166</v>
      </c>
      <c r="C29" s="24" t="n">
        <v>188</v>
      </c>
      <c r="D29" s="24" t="n">
        <v>199.5</v>
      </c>
      <c r="E29" s="24">
        <f>E5+E6+E7+E8+E9</f>
        <v/>
      </c>
      <c r="F29" s="24">
        <f>F5+F6+F7+F8+F9</f>
        <v/>
      </c>
      <c r="G29" s="24">
        <f>G5+G6+G7+G8+G9</f>
        <v/>
      </c>
      <c r="H29" s="24">
        <f>H5+H6+H7+H8+H9</f>
        <v/>
      </c>
      <c r="I29" s="24">
        <f>I5+I6+I7+I8+I9</f>
        <v/>
      </c>
    </row>
    <row r="30">
      <c r="A30" s="6" t="inlineStr">
        <is>
          <t>Offshore rig-years</t>
        </is>
      </c>
      <c r="B30" s="24" t="n">
        <v>43</v>
      </c>
      <c r="C30" s="24" t="n">
        <v>46</v>
      </c>
      <c r="D30" s="24" t="n">
        <v>47.5</v>
      </c>
      <c r="E30" s="24">
        <f>E7+E8</f>
        <v/>
      </c>
      <c r="F30" s="24">
        <f>F7+F8</f>
        <v/>
      </c>
      <c r="G30" s="24">
        <f>G7+G8</f>
        <v/>
      </c>
      <c r="H30" s="24">
        <f>H7+H8</f>
        <v/>
      </c>
      <c r="I30" s="24">
        <f>I7+I8</f>
        <v/>
      </c>
    </row>
    <row r="31">
      <c r="A31" s="6" t="inlineStr">
        <is>
          <t>Wells drilled (drilling rig-years scaled off the FY2025 disclosed 836)</t>
        </is>
      </c>
      <c r="B31" s="14" t="n">
        <v>613</v>
      </c>
      <c r="C31" s="14" t="n">
        <v>676</v>
      </c>
      <c r="D31" s="14" t="n">
        <v>836</v>
      </c>
      <c r="E31" s="14">
        <f>836.0*(E5+E6+E7+E8)/141.0</f>
        <v/>
      </c>
      <c r="F31" s="14">
        <f>836.0*(F5+F6+F7+F8)/141.0</f>
        <v/>
      </c>
      <c r="G31" s="14">
        <f>836.0*(G5+G6+G7+G8)/141.0</f>
        <v/>
      </c>
      <c r="H31" s="14">
        <f>836.0*(H5+H6+H7+H8)/141.0</f>
        <v/>
      </c>
      <c r="I31" s="14">
        <f>836.0*(I5+I6+I7+I8)/141.0</f>
        <v/>
      </c>
    </row>
    <row r="32">
      <c r="A32" s="6" t="inlineStr">
        <is>
          <t>Repairs and maintenance  (rig years)</t>
        </is>
      </c>
      <c r="E32" s="14">
        <f>Assumptions!$C$85*E29/199.5*(1+Assumptions!$C$81)^1</f>
        <v/>
      </c>
      <c r="F32" s="14">
        <f>Assumptions!$C$85*F29/199.5*(1+Assumptions!$C$81)^2</f>
        <v/>
      </c>
      <c r="G32" s="14">
        <f>Assumptions!$C$85*G29/199.5*(1+Assumptions!$C$81)^3</f>
        <v/>
      </c>
      <c r="H32" s="14">
        <f>Assumptions!$C$85*H29/199.5*(1+Assumptions!$C$81)^4</f>
        <v/>
      </c>
      <c r="I32" s="14">
        <f>Assumptions!$C$85*I29/199.5*(1+Assumptions!$C$81)^5</f>
        <v/>
      </c>
    </row>
    <row r="33">
      <c r="A33" s="6" t="inlineStr">
        <is>
          <t>Staff costs  (rig years)</t>
        </is>
      </c>
      <c r="E33" s="14">
        <f>Assumptions!$C$86*E29/199.5*(1+Assumptions!$C$80)^1</f>
        <v/>
      </c>
      <c r="F33" s="14">
        <f>Assumptions!$C$86*F29/199.5*(1+Assumptions!$C$80)^2</f>
        <v/>
      </c>
      <c r="G33" s="14">
        <f>Assumptions!$C$86*G29/199.5*(1+Assumptions!$C$80)^3</f>
        <v/>
      </c>
      <c r="H33" s="14">
        <f>Assumptions!$C$86*H29/199.5*(1+Assumptions!$C$80)^4</f>
        <v/>
      </c>
      <c r="I33" s="14">
        <f>Assumptions!$C$86*I29/199.5*(1+Assumptions!$C$80)^5</f>
        <v/>
      </c>
    </row>
    <row r="34">
      <c r="A34" s="6" t="inlineStr">
        <is>
          <t>Hire of equipment  (conv revenue)</t>
        </is>
      </c>
      <c r="E34" s="14">
        <f>Assumptions!$C$87*E26/4210886.0*(1+Assumptions!$C$81)^1</f>
        <v/>
      </c>
      <c r="F34" s="14">
        <f>Assumptions!$C$87*F26/4210886.0*(1+Assumptions!$C$81)^2</f>
        <v/>
      </c>
      <c r="G34" s="14">
        <f>Assumptions!$C$87*G26/4210886.0*(1+Assumptions!$C$81)^3</f>
        <v/>
      </c>
      <c r="H34" s="14">
        <f>Assumptions!$C$87*H26/4210886.0*(1+Assumptions!$C$81)^4</f>
        <v/>
      </c>
      <c r="I34" s="14">
        <f>Assumptions!$C$87*I26/4210886.0*(1+Assumptions!$C$81)^5</f>
        <v/>
      </c>
    </row>
    <row r="35">
      <c r="A35" s="6" t="inlineStr">
        <is>
          <t>Chemicals  (wells)</t>
        </is>
      </c>
      <c r="E35" s="14">
        <f>Assumptions!$C$88*E31/836.0*(1+Assumptions!$C$81)^1</f>
        <v/>
      </c>
      <c r="F35" s="14">
        <f>Assumptions!$C$88*F31/836.0*(1+Assumptions!$C$81)^2</f>
        <v/>
      </c>
      <c r="G35" s="14">
        <f>Assumptions!$C$88*G31/836.0*(1+Assumptions!$C$81)^3</f>
        <v/>
      </c>
      <c r="H35" s="14">
        <f>Assumptions!$C$88*H31/836.0*(1+Assumptions!$C$81)^4</f>
        <v/>
      </c>
      <c r="I35" s="14">
        <f>Assumptions!$C$88*I31/836.0*(1+Assumptions!$C$81)^5</f>
        <v/>
      </c>
    </row>
    <row r="36">
      <c r="A36" s="6" t="inlineStr">
        <is>
          <t>Fuel and lubricants  (rig years)</t>
        </is>
      </c>
      <c r="E36" s="14">
        <f>Assumptions!$C$89*E29/199.5*(1+Assumptions!$C$82)^1</f>
        <v/>
      </c>
      <c r="F36" s="14">
        <f>Assumptions!$C$89*F29/199.5*(1+Assumptions!$C$82)^2</f>
        <v/>
      </c>
      <c r="G36" s="14">
        <f>Assumptions!$C$89*G29/199.5*(1+Assumptions!$C$82)^3</f>
        <v/>
      </c>
      <c r="H36" s="14">
        <f>Assumptions!$C$89*H29/199.5*(1+Assumptions!$C$82)^4</f>
        <v/>
      </c>
      <c r="I36" s="14">
        <f>Assumptions!$C$89*I29/199.5*(1+Assumptions!$C$82)^5</f>
        <v/>
      </c>
    </row>
    <row r="37">
      <c r="A37" s="6" t="inlineStr">
        <is>
          <t>Major maintenance charges  (offshore rig years)</t>
        </is>
      </c>
      <c r="E37" s="14">
        <f>Assumptions!$C$90*E30/47.5*(1+Assumptions!$C$81)^1</f>
        <v/>
      </c>
      <c r="F37" s="14">
        <f>Assumptions!$C$90*F30/47.5*(1+Assumptions!$C$81)^2</f>
        <v/>
      </c>
      <c r="G37" s="14">
        <f>Assumptions!$C$90*G30/47.5*(1+Assumptions!$C$81)^3</f>
        <v/>
      </c>
      <c r="H37" s="14">
        <f>Assumptions!$C$90*H30/47.5*(1+Assumptions!$C$81)^4</f>
        <v/>
      </c>
      <c r="I37" s="14">
        <f>Assumptions!$C$90*I30/47.5*(1+Assumptions!$C$81)^5</f>
        <v/>
      </c>
    </row>
    <row r="38">
      <c r="A38" s="6" t="inlineStr">
        <is>
          <t>Other direct cost  (conv revenue)</t>
        </is>
      </c>
      <c r="E38" s="14">
        <f>Assumptions!$C$91*E26/4210886.0*(1+Assumptions!$C$83)^1</f>
        <v/>
      </c>
      <c r="F38" s="14">
        <f>Assumptions!$C$91*F26/4210886.0*(1+Assumptions!$C$83)^2</f>
        <v/>
      </c>
      <c r="G38" s="14">
        <f>Assumptions!$C$91*G26/4210886.0*(1+Assumptions!$C$83)^3</f>
        <v/>
      </c>
      <c r="H38" s="14">
        <f>Assumptions!$C$91*H26/4210886.0*(1+Assumptions!$C$83)^4</f>
        <v/>
      </c>
      <c r="I38" s="14">
        <f>Assumptions!$C$91*I26/4210886.0*(1+Assumptions!$C$83)^5</f>
        <v/>
      </c>
    </row>
    <row r="39">
      <c r="A39" s="9" t="inlineStr">
        <is>
          <t>Conventional cash cost</t>
        </is>
      </c>
      <c r="E39" s="22">
        <f>SUM(E32:E38)</f>
        <v/>
      </c>
      <c r="F39" s="22">
        <f>SUM(F32:F38)</f>
        <v/>
      </c>
      <c r="G39" s="22">
        <f>SUM(G32:G38)</f>
        <v/>
      </c>
      <c r="H39" s="22">
        <f>SUM(H32:H38)</f>
        <v/>
      </c>
      <c r="I39" s="22">
        <f>SUM(I32:I38)</f>
        <v/>
      </c>
    </row>
    <row r="40">
      <c r="A40" s="6" t="inlineStr">
        <is>
          <t>Unconventional cash cost</t>
        </is>
      </c>
      <c r="E40" s="14">
        <f>(E18+E19)*(1-Assumptions!$C$106)</f>
        <v/>
      </c>
      <c r="F40" s="14">
        <f>(F18+F19)*(1-Assumptions!$C$106)</f>
        <v/>
      </c>
      <c r="G40" s="14">
        <f>(G18+G19)*(1-Assumptions!$C$106)</f>
        <v/>
      </c>
      <c r="H40" s="14">
        <f>(H18+H19)*(1-Assumptions!$C$106)</f>
        <v/>
      </c>
      <c r="I40" s="14">
        <f>(I18+I19)*(1-Assumptions!$C$106)</f>
        <v/>
      </c>
    </row>
    <row r="41">
      <c r="A41" s="6" t="inlineStr">
        <is>
          <t>General and administrative expenses excluding depreciation</t>
        </is>
      </c>
      <c r="E41" s="14">
        <f>Assumptions!$C$92*E26/4210886.0*(1+Assumptions!$C$83)^1</f>
        <v/>
      </c>
      <c r="F41" s="14">
        <f>Assumptions!$C$92*F26/4210886.0*(1+Assumptions!$C$83)^2</f>
        <v/>
      </c>
      <c r="G41" s="14">
        <f>Assumptions!$C$92*G26/4210886.0*(1+Assumptions!$C$83)^3</f>
        <v/>
      </c>
      <c r="H41" s="14">
        <f>Assumptions!$C$92*H26/4210886.0*(1+Assumptions!$C$83)^4</f>
        <v/>
      </c>
      <c r="I41" s="14">
        <f>Assumptions!$C$92*I26/4210886.0*(1+Assumptions!$C$83)^5</f>
        <v/>
      </c>
    </row>
    <row r="42">
      <c r="A42" s="6" t="inlineStr">
        <is>
          <t>Other income</t>
        </is>
      </c>
      <c r="E42" s="14">
        <f>Assumptions!$C$93*(1+Assumptions!$C$83)^1</f>
        <v/>
      </c>
      <c r="F42" s="14">
        <f>Assumptions!$C$93*(1+Assumptions!$C$83)^2</f>
        <v/>
      </c>
      <c r="G42" s="14">
        <f>Assumptions!$C$93*(1+Assumptions!$C$83)^3</f>
        <v/>
      </c>
      <c r="H42" s="14">
        <f>Assumptions!$C$93*(1+Assumptions!$C$83)^4</f>
        <v/>
      </c>
      <c r="I42" s="14">
        <f>Assumptions!$C$93*(1+Assumptions!$C$83)^5</f>
        <v/>
      </c>
    </row>
    <row r="43">
      <c r="A43" s="6" t="inlineStr">
        <is>
          <t>Share of joint-venture results</t>
        </is>
      </c>
      <c r="E43" s="14">
        <f>Assumptions!$C$94*(1+Assumptions!$C$83)^1</f>
        <v/>
      </c>
      <c r="F43" s="14">
        <f>Assumptions!$C$94*(1+Assumptions!$C$83)^2</f>
        <v/>
      </c>
      <c r="G43" s="14">
        <f>Assumptions!$C$94*(1+Assumptions!$C$83)^3</f>
        <v/>
      </c>
      <c r="H43" s="14">
        <f>Assumptions!$C$94*(1+Assumptions!$C$83)^4</f>
        <v/>
      </c>
      <c r="I43" s="14">
        <f>Assumptions!$C$94*(1+Assumptions!$C$83)^5</f>
        <v/>
      </c>
    </row>
    <row r="45">
      <c r="A45" s="9" t="inlineStr">
        <is>
          <t>EBITDA</t>
        </is>
      </c>
      <c r="B45" s="22" t="n">
        <v>1482896</v>
      </c>
      <c r="C45" s="22" t="n">
        <v>2014787</v>
      </c>
      <c r="D45" s="22" t="n">
        <v>2198036</v>
      </c>
      <c r="E45" s="22">
        <f>E25-E39-E40-E41+E42+E43</f>
        <v/>
      </c>
      <c r="F45" s="22">
        <f>F25-F39-F40-F41+F42+F43</f>
        <v/>
      </c>
      <c r="G45" s="22">
        <f>G25-G39-G40-G41+G42+G43</f>
        <v/>
      </c>
      <c r="H45" s="22">
        <f>H25-H39-H40-H41+H42+H43</f>
        <v/>
      </c>
      <c r="I45" s="22">
        <f>I25-I39-I40-I41+I42+I43</f>
        <v/>
      </c>
    </row>
    <row r="46">
      <c r="A46" s="6" t="inlineStr">
        <is>
          <t>EBITDA margin</t>
        </is>
      </c>
      <c r="B46" s="8">
        <f>B45/B25</f>
        <v/>
      </c>
      <c r="C46" s="8">
        <f>C45/C25</f>
        <v/>
      </c>
      <c r="D46" s="8">
        <f>D45/D25</f>
        <v/>
      </c>
      <c r="E46" s="8">
        <f>E45/E25</f>
        <v/>
      </c>
      <c r="F46" s="8">
        <f>F45/F25</f>
        <v/>
      </c>
      <c r="G46" s="8">
        <f>G45/G25</f>
        <v/>
      </c>
      <c r="H46" s="8">
        <f>H45/H25</f>
        <v/>
      </c>
      <c r="I46" s="8">
        <f>I45/I25</f>
        <v/>
      </c>
    </row>
    <row r="47">
      <c r="A47" s="9" t="inlineStr">
        <is>
          <t>EBITDA excluding joint-venture results</t>
        </is>
      </c>
      <c r="B47" s="22" t="n">
        <v>1482896</v>
      </c>
      <c r="C47" s="22" t="n">
        <v>2006297</v>
      </c>
      <c r="D47" s="22" t="n">
        <v>2169036</v>
      </c>
      <c r="E47" s="22">
        <f>E45-E43</f>
        <v/>
      </c>
      <c r="F47" s="22">
        <f>F45-F43</f>
        <v/>
      </c>
      <c r="G47" s="22">
        <f>G45-G43</f>
        <v/>
      </c>
      <c r="H47" s="22">
        <f>H45-H43</f>
        <v/>
      </c>
      <c r="I47" s="22">
        <f>I45-I43</f>
        <v/>
      </c>
    </row>
    <row r="50">
      <c r="A50" s="12" t="inlineStr">
        <is>
          <t>CAPACITY-PLATEAU CASE — OPERATING UNITS</t>
        </is>
      </c>
    </row>
    <row r="51">
      <c r="A51" s="6" t="inlineStr">
        <is>
          <t>Average Abu Dhabi onshore rigs</t>
        </is>
      </c>
      <c r="E51" s="24">
        <f>(92.0+Assumptions!$C$47)/2</f>
        <v/>
      </c>
      <c r="F51" s="24">
        <f>(Assumptions!$C$47+Assumptions!$C$48)/2</f>
        <v/>
      </c>
      <c r="G51" s="24">
        <f>(Assumptions!$C$48+Assumptions!$C$49)/2</f>
        <v/>
      </c>
      <c r="H51" s="24">
        <f>(Assumptions!$C$49+Assumptions!$C$50)/2</f>
        <v/>
      </c>
      <c r="I51" s="24">
        <f>(Assumptions!$C$50+Assumptions!$C$51)/2</f>
        <v/>
      </c>
    </row>
    <row r="52">
      <c r="A52" s="6" t="inlineStr">
        <is>
          <t>Average regional onshore rigs</t>
        </is>
      </c>
      <c r="E52" s="24">
        <f>(0.0+Assumptions!$C$52)/2</f>
        <v/>
      </c>
      <c r="F52" s="24">
        <f>(Assumptions!$C$52+Assumptions!$C$53)/2</f>
        <v/>
      </c>
      <c r="G52" s="24">
        <f>(Assumptions!$C$53+Assumptions!$C$54)/2</f>
        <v/>
      </c>
      <c r="H52" s="24">
        <f>(Assumptions!$C$54+Assumptions!$C$55)/2</f>
        <v/>
      </c>
      <c r="I52" s="24">
        <f>(Assumptions!$C$55+Assumptions!$C$56)/2</f>
        <v/>
      </c>
    </row>
    <row r="53">
      <c r="A53" s="6" t="inlineStr">
        <is>
          <t>Average jack-up rigs</t>
        </is>
      </c>
      <c r="E53" s="24">
        <f>(36.0+Assumptions!$C$57)/2</f>
        <v/>
      </c>
      <c r="F53" s="24">
        <f>(Assumptions!$C$57+Assumptions!$C$58)/2</f>
        <v/>
      </c>
      <c r="G53" s="24">
        <f>(Assumptions!$C$58+Assumptions!$C$59)/2</f>
        <v/>
      </c>
      <c r="H53" s="24">
        <f>(Assumptions!$C$59+Assumptions!$C$60)/2</f>
        <v/>
      </c>
      <c r="I53" s="24">
        <f>(Assumptions!$C$60+Assumptions!$C$61)/2</f>
        <v/>
      </c>
    </row>
    <row r="54">
      <c r="A54" s="6" t="inlineStr">
        <is>
          <t>Average island rigs</t>
        </is>
      </c>
      <c r="E54" s="24">
        <f>(12.0+Assumptions!$C$62)/2</f>
        <v/>
      </c>
      <c r="F54" s="24">
        <f>(Assumptions!$C$62+Assumptions!$C$63)/2</f>
        <v/>
      </c>
      <c r="G54" s="24">
        <f>(Assumptions!$C$63+Assumptions!$C$64)/2</f>
        <v/>
      </c>
      <c r="H54" s="24">
        <f>(Assumptions!$C$64+Assumptions!$C$65)/2</f>
        <v/>
      </c>
      <c r="I54" s="24">
        <f>(Assumptions!$C$65+Assumptions!$C$66)/2</f>
        <v/>
      </c>
    </row>
    <row r="55">
      <c r="A55" s="6" t="inlineStr">
        <is>
          <t>Average integrated-services rigs</t>
        </is>
      </c>
      <c r="E55" s="24">
        <f>(60.0+Assumptions!$C$67)/2</f>
        <v/>
      </c>
      <c r="F55" s="24">
        <f>(Assumptions!$C$67+Assumptions!$C$68)/2</f>
        <v/>
      </c>
      <c r="G55" s="24">
        <f>(Assumptions!$C$68+Assumptions!$C$69)/2</f>
        <v/>
      </c>
      <c r="H55" s="24">
        <f>(Assumptions!$C$69+Assumptions!$C$70)/2</f>
        <v/>
      </c>
      <c r="I55" s="24">
        <f>(Assumptions!$C$70+Assumptions!$C$71)/2</f>
        <v/>
      </c>
    </row>
    <row r="56">
      <c r="A56" s="6" t="inlineStr">
        <is>
          <t>Day-rate escalation index (2025 = 1.00)</t>
        </is>
      </c>
      <c r="E56" s="23">
        <f>(1+Assumptions!$C$79)^1</f>
        <v/>
      </c>
      <c r="F56" s="23">
        <f>(1+Assumptions!$C$79)^2</f>
        <v/>
      </c>
      <c r="G56" s="23">
        <f>(1+Assumptions!$C$79)^3</f>
        <v/>
      </c>
      <c r="H56" s="23">
        <f>(1+Assumptions!$C$79)^4</f>
        <v/>
      </c>
      <c r="I56" s="23">
        <f>(1+Assumptions!$C$79)^5</f>
        <v/>
      </c>
    </row>
    <row r="58">
      <c r="A58" s="12" t="inlineStr">
        <is>
          <t>REVENUE BY UNIT</t>
        </is>
      </c>
    </row>
    <row r="59">
      <c r="A59" s="6" t="inlineStr">
        <is>
          <t>Onshore conventional — Abu Dhabi</t>
        </is>
      </c>
      <c r="E59" s="14">
        <f>E51*Assumptions!$C$73*E56</f>
        <v/>
      </c>
      <c r="F59" s="14">
        <f>F51*Assumptions!$C$73*F56</f>
        <v/>
      </c>
      <c r="G59" s="14">
        <f>G51*Assumptions!$C$73*G56</f>
        <v/>
      </c>
      <c r="H59" s="14">
        <f>H51*Assumptions!$C$73*H56</f>
        <v/>
      </c>
      <c r="I59" s="14">
        <f>I51*Assumptions!$C$73*I56</f>
        <v/>
      </c>
    </row>
    <row r="60">
      <c r="A60" s="6" t="inlineStr">
        <is>
          <t>Onshore conventional — regional</t>
        </is>
      </c>
      <c r="E60" s="14">
        <f>E52*Assumptions!$C$74*E56</f>
        <v/>
      </c>
      <c r="F60" s="14">
        <f>F52*Assumptions!$C$74*F56</f>
        <v/>
      </c>
      <c r="G60" s="14">
        <f>G52*Assumptions!$C$74*G56</f>
        <v/>
      </c>
      <c r="H60" s="14">
        <f>H52*Assumptions!$C$74*H56</f>
        <v/>
      </c>
      <c r="I60" s="14">
        <f>I52*Assumptions!$C$74*I56</f>
        <v/>
      </c>
    </row>
    <row r="61">
      <c r="A61" s="6" t="inlineStr">
        <is>
          <t>Offshore — jack-up</t>
        </is>
      </c>
      <c r="E61" s="14">
        <f>E53*Assumptions!$C$75*E56</f>
        <v/>
      </c>
      <c r="F61" s="14">
        <f>F53*Assumptions!$C$75*F56</f>
        <v/>
      </c>
      <c r="G61" s="14">
        <f>G53*Assumptions!$C$75*G56</f>
        <v/>
      </c>
      <c r="H61" s="14">
        <f>H53*Assumptions!$C$75*H56</f>
        <v/>
      </c>
      <c r="I61" s="14">
        <f>I53*Assumptions!$C$75*I56</f>
        <v/>
      </c>
    </row>
    <row r="62">
      <c r="A62" s="6" t="inlineStr">
        <is>
          <t>Offshore — island</t>
        </is>
      </c>
      <c r="E62" s="14">
        <f>E54*Assumptions!$C$76*E56</f>
        <v/>
      </c>
      <c r="F62" s="14">
        <f>F54*Assumptions!$C$76*F56</f>
        <v/>
      </c>
      <c r="G62" s="14">
        <f>G54*Assumptions!$C$76*G56</f>
        <v/>
      </c>
      <c r="H62" s="14">
        <f>H54*Assumptions!$C$76*H56</f>
        <v/>
      </c>
      <c r="I62" s="14">
        <f>I54*Assumptions!$C$76*I56</f>
        <v/>
      </c>
    </row>
    <row r="63">
      <c r="A63" s="6" t="inlineStr">
        <is>
          <t>Oilfield Services — integrated services</t>
        </is>
      </c>
      <c r="E63" s="14">
        <f>E55*Assumptions!$C$77*E56</f>
        <v/>
      </c>
      <c r="F63" s="14">
        <f>F55*Assumptions!$C$77*F56</f>
        <v/>
      </c>
      <c r="G63" s="14">
        <f>G55*Assumptions!$C$77*G56</f>
        <v/>
      </c>
      <c r="H63" s="14">
        <f>H55*Assumptions!$C$77*H56</f>
        <v/>
      </c>
      <c r="I63" s="14">
        <f>I55*Assumptions!$C$77*I56</f>
        <v/>
      </c>
    </row>
    <row r="64">
      <c r="A64" s="6" t="inlineStr">
        <is>
          <t>Unconventional — Onshore land drilling</t>
        </is>
      </c>
      <c r="E64" s="14">
        <f>Assumptions!$C$101*Assumptions!$C$107</f>
        <v/>
      </c>
      <c r="F64" s="14">
        <f>Assumptions!$C$102*Assumptions!$C$107</f>
        <v/>
      </c>
      <c r="G64" s="14">
        <f>Assumptions!$C$103*Assumptions!$C$107</f>
        <v/>
      </c>
      <c r="H64" s="14">
        <f>Assumptions!$C$104*Assumptions!$C$107</f>
        <v/>
      </c>
      <c r="I64" s="14">
        <f>Assumptions!$C$105*Assumptions!$C$107</f>
        <v/>
      </c>
    </row>
    <row r="65">
      <c r="A65" s="6" t="inlineStr">
        <is>
          <t>Unconventional — Oilfield Services</t>
        </is>
      </c>
      <c r="E65" s="14">
        <f>Assumptions!$C$101*(1-Assumptions!$C$107)</f>
        <v/>
      </c>
      <c r="F65" s="14">
        <f>Assumptions!$C$102*(1-Assumptions!$C$107)</f>
        <v/>
      </c>
      <c r="G65" s="14">
        <f>Assumptions!$C$103*(1-Assumptions!$C$107)</f>
        <v/>
      </c>
      <c r="H65" s="14">
        <f>Assumptions!$C$104*(1-Assumptions!$C$107)</f>
        <v/>
      </c>
      <c r="I65" s="14">
        <f>Assumptions!$C$105*(1-Assumptions!$C$107)</f>
        <v/>
      </c>
    </row>
    <row r="67">
      <c r="A67" s="12" t="inlineStr">
        <is>
          <t>REVENUE BY REPORTED SEGMENT</t>
        </is>
      </c>
    </row>
    <row r="68">
      <c r="A68" s="9" t="inlineStr">
        <is>
          <t>Onshore</t>
        </is>
      </c>
      <c r="E68" s="22">
        <f>E59+E60+E64</f>
        <v/>
      </c>
      <c r="F68" s="22">
        <f>F59+F60+F64</f>
        <v/>
      </c>
      <c r="G68" s="22">
        <f>G59+G60+G64</f>
        <v/>
      </c>
      <c r="H68" s="22">
        <f>H59+H60+H64</f>
        <v/>
      </c>
      <c r="I68" s="22">
        <f>I59+I60+I64</f>
        <v/>
      </c>
    </row>
    <row r="69">
      <c r="A69" s="9" t="inlineStr">
        <is>
          <t>Offshore</t>
        </is>
      </c>
      <c r="E69" s="22">
        <f>E61+E62</f>
        <v/>
      </c>
      <c r="F69" s="22">
        <f>F61+F62</f>
        <v/>
      </c>
      <c r="G69" s="22">
        <f>G61+G62</f>
        <v/>
      </c>
      <c r="H69" s="22">
        <f>H61+H62</f>
        <v/>
      </c>
      <c r="I69" s="22">
        <f>I61+I62</f>
        <v/>
      </c>
    </row>
    <row r="70">
      <c r="A70" s="9" t="inlineStr">
        <is>
          <t>Oilfield Services</t>
        </is>
      </c>
      <c r="E70" s="22">
        <f>E63+E65</f>
        <v/>
      </c>
      <c r="F70" s="22">
        <f>F63+F65</f>
        <v/>
      </c>
      <c r="G70" s="22">
        <f>G63+G65</f>
        <v/>
      </c>
      <c r="H70" s="22">
        <f>H63+H65</f>
        <v/>
      </c>
      <c r="I70" s="22">
        <f>I63+I65</f>
        <v/>
      </c>
    </row>
    <row r="71">
      <c r="A71" s="9" t="inlineStr">
        <is>
          <t>Total revenue</t>
        </is>
      </c>
      <c r="E71" s="22">
        <f>E68+E69+E70</f>
        <v/>
      </c>
      <c r="F71" s="22">
        <f>F68+F69+F70</f>
        <v/>
      </c>
      <c r="G71" s="22">
        <f>G68+G69+G70</f>
        <v/>
      </c>
      <c r="H71" s="22">
        <f>H68+H69+H70</f>
        <v/>
      </c>
      <c r="I71" s="22">
        <f>I68+I69+I70</f>
        <v/>
      </c>
    </row>
    <row r="72">
      <c r="A72" s="6" t="inlineStr">
        <is>
          <t>of which conventional</t>
        </is>
      </c>
      <c r="E72" s="14">
        <f>E71-E64-E65</f>
        <v/>
      </c>
      <c r="F72" s="14">
        <f>F71-F64-F65</f>
        <v/>
      </c>
      <c r="G72" s="14">
        <f>G71-G64-G65</f>
        <v/>
      </c>
      <c r="H72" s="14">
        <f>H71-H64-H65</f>
        <v/>
      </c>
      <c r="I72" s="14">
        <f>I71-I64-I65</f>
        <v/>
      </c>
    </row>
    <row r="74">
      <c r="A74" s="12" t="inlineStr">
        <is>
          <t>COST STACK — EACH LINE ON ITS OWN VOLUME DRIVER AND ITS OWN ESCALATOR</t>
        </is>
      </c>
    </row>
    <row r="75">
      <c r="A75" s="6" t="inlineStr">
        <is>
          <t>Total rig-years (all classes, including integrated services)</t>
        </is>
      </c>
      <c r="E75" s="24">
        <f>E51+E52+E53+E54+E55</f>
        <v/>
      </c>
      <c r="F75" s="24">
        <f>F51+F52+F53+F54+F55</f>
        <v/>
      </c>
      <c r="G75" s="24">
        <f>G51+G52+G53+G54+G55</f>
        <v/>
      </c>
      <c r="H75" s="24">
        <f>H51+H52+H53+H54+H55</f>
        <v/>
      </c>
      <c r="I75" s="24">
        <f>I51+I52+I53+I54+I55</f>
        <v/>
      </c>
    </row>
    <row r="76">
      <c r="A76" s="6" t="inlineStr">
        <is>
          <t>Offshore rig-years</t>
        </is>
      </c>
      <c r="E76" s="24">
        <f>E53+E54</f>
        <v/>
      </c>
      <c r="F76" s="24">
        <f>F53+F54</f>
        <v/>
      </c>
      <c r="G76" s="24">
        <f>G53+G54</f>
        <v/>
      </c>
      <c r="H76" s="24">
        <f>H53+H54</f>
        <v/>
      </c>
      <c r="I76" s="24">
        <f>I53+I54</f>
        <v/>
      </c>
    </row>
    <row r="77">
      <c r="A77" s="6" t="inlineStr">
        <is>
          <t>Wells drilled (drilling rig-years scaled off the FY2025 disclosed 836)</t>
        </is>
      </c>
      <c r="E77" s="14">
        <f>836.0*(E51+E52+E53+E54)/141.0</f>
        <v/>
      </c>
      <c r="F77" s="14">
        <f>836.0*(F51+F52+F53+F54)/141.0</f>
        <v/>
      </c>
      <c r="G77" s="14">
        <f>836.0*(G51+G52+G53+G54)/141.0</f>
        <v/>
      </c>
      <c r="H77" s="14">
        <f>836.0*(H51+H52+H53+H54)/141.0</f>
        <v/>
      </c>
      <c r="I77" s="14">
        <f>836.0*(I51+I52+I53+I54)/141.0</f>
        <v/>
      </c>
    </row>
    <row r="78">
      <c r="A78" s="6" t="inlineStr">
        <is>
          <t>Repairs and maintenance  (rig years)</t>
        </is>
      </c>
      <c r="E78" s="14">
        <f>Assumptions!$C$85*E75/199.5*(1+Assumptions!$C$81)^1</f>
        <v/>
      </c>
      <c r="F78" s="14">
        <f>Assumptions!$C$85*F75/199.5*(1+Assumptions!$C$81)^2</f>
        <v/>
      </c>
      <c r="G78" s="14">
        <f>Assumptions!$C$85*G75/199.5*(1+Assumptions!$C$81)^3</f>
        <v/>
      </c>
      <c r="H78" s="14">
        <f>Assumptions!$C$85*H75/199.5*(1+Assumptions!$C$81)^4</f>
        <v/>
      </c>
      <c r="I78" s="14">
        <f>Assumptions!$C$85*I75/199.5*(1+Assumptions!$C$81)^5</f>
        <v/>
      </c>
    </row>
    <row r="79">
      <c r="A79" s="6" t="inlineStr">
        <is>
          <t>Staff costs  (rig years)</t>
        </is>
      </c>
      <c r="E79" s="14">
        <f>Assumptions!$C$86*E75/199.5*(1+Assumptions!$C$80)^1</f>
        <v/>
      </c>
      <c r="F79" s="14">
        <f>Assumptions!$C$86*F75/199.5*(1+Assumptions!$C$80)^2</f>
        <v/>
      </c>
      <c r="G79" s="14">
        <f>Assumptions!$C$86*G75/199.5*(1+Assumptions!$C$80)^3</f>
        <v/>
      </c>
      <c r="H79" s="14">
        <f>Assumptions!$C$86*H75/199.5*(1+Assumptions!$C$80)^4</f>
        <v/>
      </c>
      <c r="I79" s="14">
        <f>Assumptions!$C$86*I75/199.5*(1+Assumptions!$C$80)^5</f>
        <v/>
      </c>
    </row>
    <row r="80">
      <c r="A80" s="6" t="inlineStr">
        <is>
          <t>Hire of equipment  (conv revenue)</t>
        </is>
      </c>
      <c r="E80" s="14">
        <f>Assumptions!$C$87*E72/4210886.0*(1+Assumptions!$C$81)^1</f>
        <v/>
      </c>
      <c r="F80" s="14">
        <f>Assumptions!$C$87*F72/4210886.0*(1+Assumptions!$C$81)^2</f>
        <v/>
      </c>
      <c r="G80" s="14">
        <f>Assumptions!$C$87*G72/4210886.0*(1+Assumptions!$C$81)^3</f>
        <v/>
      </c>
      <c r="H80" s="14">
        <f>Assumptions!$C$87*H72/4210886.0*(1+Assumptions!$C$81)^4</f>
        <v/>
      </c>
      <c r="I80" s="14">
        <f>Assumptions!$C$87*I72/4210886.0*(1+Assumptions!$C$81)^5</f>
        <v/>
      </c>
    </row>
    <row r="81">
      <c r="A81" s="6" t="inlineStr">
        <is>
          <t>Chemicals  (wells)</t>
        </is>
      </c>
      <c r="E81" s="14">
        <f>Assumptions!$C$88*E77/836.0*(1+Assumptions!$C$81)^1</f>
        <v/>
      </c>
      <c r="F81" s="14">
        <f>Assumptions!$C$88*F77/836.0*(1+Assumptions!$C$81)^2</f>
        <v/>
      </c>
      <c r="G81" s="14">
        <f>Assumptions!$C$88*G77/836.0*(1+Assumptions!$C$81)^3</f>
        <v/>
      </c>
      <c r="H81" s="14">
        <f>Assumptions!$C$88*H77/836.0*(1+Assumptions!$C$81)^4</f>
        <v/>
      </c>
      <c r="I81" s="14">
        <f>Assumptions!$C$88*I77/836.0*(1+Assumptions!$C$81)^5</f>
        <v/>
      </c>
    </row>
    <row r="82">
      <c r="A82" s="6" t="inlineStr">
        <is>
          <t>Fuel and lubricants  (rig years)</t>
        </is>
      </c>
      <c r="E82" s="14">
        <f>Assumptions!$C$89*E75/199.5*(1+Assumptions!$C$82)^1</f>
        <v/>
      </c>
      <c r="F82" s="14">
        <f>Assumptions!$C$89*F75/199.5*(1+Assumptions!$C$82)^2</f>
        <v/>
      </c>
      <c r="G82" s="14">
        <f>Assumptions!$C$89*G75/199.5*(1+Assumptions!$C$82)^3</f>
        <v/>
      </c>
      <c r="H82" s="14">
        <f>Assumptions!$C$89*H75/199.5*(1+Assumptions!$C$82)^4</f>
        <v/>
      </c>
      <c r="I82" s="14">
        <f>Assumptions!$C$89*I75/199.5*(1+Assumptions!$C$82)^5</f>
        <v/>
      </c>
    </row>
    <row r="83">
      <c r="A83" s="6" t="inlineStr">
        <is>
          <t>Major maintenance charges  (offshore rig years)</t>
        </is>
      </c>
      <c r="E83" s="14">
        <f>Assumptions!$C$90*E76/47.5*(1+Assumptions!$C$81)^1</f>
        <v/>
      </c>
      <c r="F83" s="14">
        <f>Assumptions!$C$90*F76/47.5*(1+Assumptions!$C$81)^2</f>
        <v/>
      </c>
      <c r="G83" s="14">
        <f>Assumptions!$C$90*G76/47.5*(1+Assumptions!$C$81)^3</f>
        <v/>
      </c>
      <c r="H83" s="14">
        <f>Assumptions!$C$90*H76/47.5*(1+Assumptions!$C$81)^4</f>
        <v/>
      </c>
      <c r="I83" s="14">
        <f>Assumptions!$C$90*I76/47.5*(1+Assumptions!$C$81)^5</f>
        <v/>
      </c>
    </row>
    <row r="84">
      <c r="A84" s="6" t="inlineStr">
        <is>
          <t>Other direct cost  (conv revenue)</t>
        </is>
      </c>
      <c r="E84" s="14">
        <f>Assumptions!$C$91*E72/4210886.0*(1+Assumptions!$C$83)^1</f>
        <v/>
      </c>
      <c r="F84" s="14">
        <f>Assumptions!$C$91*F72/4210886.0*(1+Assumptions!$C$83)^2</f>
        <v/>
      </c>
      <c r="G84" s="14">
        <f>Assumptions!$C$91*G72/4210886.0*(1+Assumptions!$C$83)^3</f>
        <v/>
      </c>
      <c r="H84" s="14">
        <f>Assumptions!$C$91*H72/4210886.0*(1+Assumptions!$C$83)^4</f>
        <v/>
      </c>
      <c r="I84" s="14">
        <f>Assumptions!$C$91*I72/4210886.0*(1+Assumptions!$C$83)^5</f>
        <v/>
      </c>
    </row>
    <row r="85">
      <c r="A85" s="9" t="inlineStr">
        <is>
          <t>Conventional cash cost</t>
        </is>
      </c>
      <c r="E85" s="22">
        <f>SUM(E78:E84)</f>
        <v/>
      </c>
      <c r="F85" s="22">
        <f>SUM(F78:F84)</f>
        <v/>
      </c>
      <c r="G85" s="22">
        <f>SUM(G78:G84)</f>
        <v/>
      </c>
      <c r="H85" s="22">
        <f>SUM(H78:H84)</f>
        <v/>
      </c>
      <c r="I85" s="22">
        <f>SUM(I78:I84)</f>
        <v/>
      </c>
    </row>
    <row r="86">
      <c r="A86" s="6" t="inlineStr">
        <is>
          <t>Unconventional cash cost</t>
        </is>
      </c>
      <c r="E86" s="14">
        <f>(E64+E65)*(1-Assumptions!$C$106)</f>
        <v/>
      </c>
      <c r="F86" s="14">
        <f>(F64+F65)*(1-Assumptions!$C$106)</f>
        <v/>
      </c>
      <c r="G86" s="14">
        <f>(G64+G65)*(1-Assumptions!$C$106)</f>
        <v/>
      </c>
      <c r="H86" s="14">
        <f>(H64+H65)*(1-Assumptions!$C$106)</f>
        <v/>
      </c>
      <c r="I86" s="14">
        <f>(I64+I65)*(1-Assumptions!$C$106)</f>
        <v/>
      </c>
    </row>
    <row r="87">
      <c r="A87" s="6" t="inlineStr">
        <is>
          <t>General and administrative expenses excluding depreciation</t>
        </is>
      </c>
      <c r="E87" s="14">
        <f>Assumptions!$C$92*E72/4210886.0*(1+Assumptions!$C$83)^1</f>
        <v/>
      </c>
      <c r="F87" s="14">
        <f>Assumptions!$C$92*F72/4210886.0*(1+Assumptions!$C$83)^2</f>
        <v/>
      </c>
      <c r="G87" s="14">
        <f>Assumptions!$C$92*G72/4210886.0*(1+Assumptions!$C$83)^3</f>
        <v/>
      </c>
      <c r="H87" s="14">
        <f>Assumptions!$C$92*H72/4210886.0*(1+Assumptions!$C$83)^4</f>
        <v/>
      </c>
      <c r="I87" s="14">
        <f>Assumptions!$C$92*I72/4210886.0*(1+Assumptions!$C$83)^5</f>
        <v/>
      </c>
    </row>
    <row r="88">
      <c r="A88" s="6" t="inlineStr">
        <is>
          <t>Other income</t>
        </is>
      </c>
      <c r="E88" s="14">
        <f>Assumptions!$C$93*(1+Assumptions!$C$83)^1</f>
        <v/>
      </c>
      <c r="F88" s="14">
        <f>Assumptions!$C$93*(1+Assumptions!$C$83)^2</f>
        <v/>
      </c>
      <c r="G88" s="14">
        <f>Assumptions!$C$93*(1+Assumptions!$C$83)^3</f>
        <v/>
      </c>
      <c r="H88" s="14">
        <f>Assumptions!$C$93*(1+Assumptions!$C$83)^4</f>
        <v/>
      </c>
      <c r="I88" s="14">
        <f>Assumptions!$C$93*(1+Assumptions!$C$83)^5</f>
        <v/>
      </c>
    </row>
    <row r="89">
      <c r="A89" s="6" t="inlineStr">
        <is>
          <t>Share of joint-venture results</t>
        </is>
      </c>
      <c r="E89" s="14">
        <f>Assumptions!$C$94*(1+Assumptions!$C$83)^1</f>
        <v/>
      </c>
      <c r="F89" s="14">
        <f>Assumptions!$C$94*(1+Assumptions!$C$83)^2</f>
        <v/>
      </c>
      <c r="G89" s="14">
        <f>Assumptions!$C$94*(1+Assumptions!$C$83)^3</f>
        <v/>
      </c>
      <c r="H89" s="14">
        <f>Assumptions!$C$94*(1+Assumptions!$C$83)^4</f>
        <v/>
      </c>
      <c r="I89" s="14">
        <f>Assumptions!$C$94*(1+Assumptions!$C$83)^5</f>
        <v/>
      </c>
    </row>
    <row r="91">
      <c r="A91" s="9" t="inlineStr">
        <is>
          <t>EBITDA</t>
        </is>
      </c>
      <c r="E91" s="22">
        <f>E71-E85-E86-E87+E88+E89</f>
        <v/>
      </c>
      <c r="F91" s="22">
        <f>F71-F85-F86-F87+F88+F89</f>
        <v/>
      </c>
      <c r="G91" s="22">
        <f>G71-G85-G86-G87+G88+G89</f>
        <v/>
      </c>
      <c r="H91" s="22">
        <f>H71-H85-H86-H87+H88+H89</f>
        <v/>
      </c>
      <c r="I91" s="22">
        <f>I71-I85-I86-I87+I88+I89</f>
        <v/>
      </c>
    </row>
    <row r="92">
      <c r="A92" s="6" t="inlineStr">
        <is>
          <t>EBITDA margin</t>
        </is>
      </c>
      <c r="E92" s="8">
        <f>E91/E71</f>
        <v/>
      </c>
      <c r="F92" s="8">
        <f>F91/F71</f>
        <v/>
      </c>
      <c r="G92" s="8">
        <f>G91/G71</f>
        <v/>
      </c>
      <c r="H92" s="8">
        <f>H91/H71</f>
        <v/>
      </c>
      <c r="I92" s="8">
        <f>I91/I71</f>
        <v/>
      </c>
    </row>
    <row r="93">
      <c r="A93" s="9" t="inlineStr">
        <is>
          <t>EBITDA excluding joint-venture results</t>
        </is>
      </c>
      <c r="E93" s="22">
        <f>E91-E89</f>
        <v/>
      </c>
      <c r="F93" s="22">
        <f>F91-F89</f>
        <v/>
      </c>
      <c r="G93" s="22">
        <f>G91-G89</f>
        <v/>
      </c>
      <c r="H93" s="22">
        <f>H91-H89</f>
        <v/>
      </c>
      <c r="I93" s="22">
        <f>I91-I89</f>
        <v/>
      </c>
    </row>
  </sheetData>
  <mergeCells count="1">
    <mergeCell ref="A1:I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56" customWidth="1" min="1" max="1"/>
    <col width="18" customWidth="1" min="2" max="2"/>
    <col width="18" customWidth="1" min="3" max="3"/>
    <col width="54" customWidth="1" min="4" max="4"/>
  </cols>
  <sheetData>
    <row r="1" ht="22" customHeight="1">
      <c r="A1" s="1" t="inlineStr">
        <is>
          <t>Relative multiples, normalised earnings power, and the book-value lens</t>
        </is>
      </c>
    </row>
    <row r="3">
      <c r="A3" s="12" t="inlineStr">
        <is>
          <t>RELATIVE MULTIPLES — segment-weighted, applied to the company's own guided EBITDA</t>
        </is>
      </c>
    </row>
    <row r="4">
      <c r="A4" s="6" t="inlineStr">
        <is>
          <t>Onshore share of FY2025 segment EBITDA</t>
        </is>
      </c>
      <c r="C4" s="8">
        <f>994477.0/(994477.0+952523.0+251036.0)</f>
        <v/>
      </c>
      <c r="D4" s="3" t="inlineStr">
        <is>
          <t>From the FY2025 segment note</t>
        </is>
      </c>
    </row>
    <row r="5">
      <c r="A5" s="6" t="inlineStr">
        <is>
          <t>Offshore share of FY2025 segment EBITDA</t>
        </is>
      </c>
      <c r="C5" s="8">
        <f>952523.0/(994477.0+952523.0+251036.0)</f>
        <v/>
      </c>
      <c r="D5" s="3" t="inlineStr"/>
    </row>
    <row r="6">
      <c r="A6" s="6" t="inlineStr">
        <is>
          <t>Oilfield Services share of FY2025 segment EBITDA</t>
        </is>
      </c>
      <c r="C6" s="8">
        <f>1-C4-C5</f>
        <v/>
      </c>
      <c r="D6" s="3" t="inlineStr"/>
    </row>
    <row r="7">
      <c r="A7" s="6" t="inlineStr">
        <is>
          <t>Multiple applied to Onshore</t>
        </is>
      </c>
      <c r="C7" s="7">
        <f>(Assumptions!$C$139+Assumptions!$C$140)/2</f>
        <v/>
      </c>
      <c r="D7" s="3" t="inlineStr">
        <is>
          <t>Average of the MENA national-oil-company drillers and the global land drillers</t>
        </is>
      </c>
    </row>
    <row r="8">
      <c r="A8" s="6" t="inlineStr">
        <is>
          <t>Multiple applied to Offshore</t>
        </is>
      </c>
      <c r="C8" s="7">
        <f>(Assumptions!$C$139+Assumptions!$C$141)/2</f>
        <v/>
      </c>
      <c r="D8" s="3" t="inlineStr"/>
    </row>
    <row r="9">
      <c r="A9" s="6" t="inlineStr">
        <is>
          <t>Multiple applied to Oilfield Services</t>
        </is>
      </c>
      <c r="C9" s="7">
        <f>Assumptions!$C$142</f>
        <v/>
      </c>
      <c r="D9" s="3" t="inlineStr"/>
    </row>
    <row r="10">
      <c r="A10" s="9" t="inlineStr">
        <is>
          <t>Segment-weighted multiple</t>
        </is>
      </c>
      <c r="C10" s="10">
        <f>C4*C7+C5*C8+C6*C9</f>
        <v/>
      </c>
      <c r="D10" s="3" t="inlineStr"/>
    </row>
    <row r="11">
      <c r="A11" s="6" t="inlineStr">
        <is>
          <t>FY2026 guided EBITDA (midpoint)</t>
        </is>
      </c>
      <c r="C11" s="14">
        <f>Assumptions!$C$143</f>
        <v/>
      </c>
      <c r="D11" s="3" t="inlineStr"/>
    </row>
    <row r="12">
      <c r="A12" s="9" t="inlineStr">
        <is>
          <t>Implied enterprise value</t>
        </is>
      </c>
      <c r="C12" s="22">
        <f>C10*C11</f>
        <v/>
      </c>
      <c r="D12" s="3" t="inlineStr"/>
    </row>
    <row r="13">
      <c r="A13" s="6" t="inlineStr">
        <is>
          <t>Implied equity value</t>
        </is>
      </c>
      <c r="C13" s="14">
        <f>C12+Assumptions!$C$128+Assumptions!$C$129-Assumptions!$C$130-Assumptions!$C$131-Assumptions!$C$132-Assumptions!$C$133</f>
        <v/>
      </c>
      <c r="D13" s="3" t="inlineStr"/>
    </row>
    <row r="14">
      <c r="A14" s="9" t="inlineStr">
        <is>
          <t>Implied value per share (AED)</t>
        </is>
      </c>
      <c r="C14" s="10">
        <f>C13/(Assumptions!$C$7-Assumptions!$C$8)*Assumptions!$C$6</f>
        <v/>
      </c>
      <c r="D14" s="3" t="inlineStr"/>
    </row>
    <row r="15">
      <c r="A15" s="9" t="inlineStr">
        <is>
          <t>The company's own enterprise value / guided EBITDA</t>
        </is>
      </c>
      <c r="C15" s="25">
        <f>(DCF!$C$19+DCF!$C$20)/C11</f>
        <v/>
      </c>
      <c r="D15" s="3" t="inlineStr">
        <is>
          <t>The gap between this and the segment-weighted peer multiple is the whole of the relative lens</t>
        </is>
      </c>
    </row>
    <row r="17">
      <c r="A17" s="12" t="inlineStr">
        <is>
          <t>NORMALISED EARNINGS POWER — the installed fleet, no growth credited</t>
        </is>
      </c>
    </row>
    <row r="18">
      <c r="A18" s="6" t="inlineStr">
        <is>
          <t>Normalised revenue on the installed fleet</t>
        </is>
      </c>
      <c r="C18" s="14">
        <f>92.0*Assumptions!$C$73+30.0*Assumptions!$C$74+36.0*Assumptions!$C$75+14.0*Assumptions!$C$76+70.0*Assumptions!$C$77</f>
        <v/>
      </c>
      <c r="D18" s="3" t="inlineStr">
        <is>
          <t>The rigs the company already owns or has taken delivery of, at FY2025 realised rates</t>
        </is>
      </c>
    </row>
    <row r="19">
      <c r="A19" s="6" t="inlineStr">
        <is>
          <t>Normalised EBITDA</t>
        </is>
      </c>
      <c r="C19" s="14">
        <f>C18*Assumptions!$C$137</f>
        <v/>
      </c>
      <c r="D19" s="3" t="inlineStr"/>
    </row>
    <row r="20">
      <c r="A20" s="6" t="inlineStr">
        <is>
          <t>Normalised depreciation and amortisation</t>
        </is>
      </c>
      <c r="C20" s="14">
        <f>Assumptions!$C$138</f>
        <v/>
      </c>
      <c r="D20" s="3" t="inlineStr"/>
    </row>
    <row r="21">
      <c r="A21" s="6" t="inlineStr">
        <is>
          <t>Normalised EBIT</t>
        </is>
      </c>
      <c r="C21" s="14">
        <f>C19-C20</f>
        <v/>
      </c>
      <c r="D21" s="3" t="inlineStr"/>
    </row>
    <row r="22">
      <c r="A22" s="9" t="inlineStr">
        <is>
          <t>Normalised NOPAT</t>
        </is>
      </c>
      <c r="C22" s="22">
        <f>C21*(1-Assumptions!$C$19)</f>
        <v/>
      </c>
      <c r="D22" s="3" t="inlineStr"/>
    </row>
    <row r="23">
      <c r="A23" s="6" t="inlineStr">
        <is>
          <t>Capitalisation rate</t>
        </is>
      </c>
      <c r="C23" s="13">
        <f>DCF!$C$23-Assumptions!$C$125</f>
        <v/>
      </c>
      <c r="D23" s="3" t="inlineStr"/>
    </row>
    <row r="24">
      <c r="A24" s="6" t="inlineStr">
        <is>
          <t>Implied enterprise value</t>
        </is>
      </c>
      <c r="C24" s="14">
        <f>C22/C23</f>
        <v/>
      </c>
      <c r="D24" s="3" t="inlineStr"/>
    </row>
    <row r="25">
      <c r="A25" s="6" t="inlineStr">
        <is>
          <t>Implied equity value</t>
        </is>
      </c>
      <c r="C25" s="14">
        <f>C24+Assumptions!$C$128+Assumptions!$C$129-Assumptions!$C$130-Assumptions!$C$131-Assumptions!$C$132-Assumptions!$C$133</f>
        <v/>
      </c>
      <c r="D25" s="3" t="inlineStr"/>
    </row>
    <row r="26">
      <c r="A26" s="9" t="inlineStr">
        <is>
          <t>Implied value per share (AED)</t>
        </is>
      </c>
      <c r="C26" s="10">
        <f>C25/(Assumptions!$C$7-Assumptions!$C$8)*Assumptions!$C$6</f>
        <v/>
      </c>
      <c r="D26" s="3" t="inlineStr"/>
    </row>
    <row r="28">
      <c r="A28" s="12" t="inlineStr">
        <is>
          <t>BOOK VALUE AND SUSTAINABLE RETURN</t>
        </is>
      </c>
    </row>
    <row r="29">
      <c r="A29" s="6" t="inlineStr">
        <is>
          <t>Sustainable return on equity</t>
        </is>
      </c>
      <c r="C29" s="8">
        <f>Assumptions!$C$135</f>
        <v/>
      </c>
      <c r="D29" s="3" t="inlineStr"/>
    </row>
    <row r="30">
      <c r="A30" s="6" t="inlineStr">
        <is>
          <t>Cost of equity</t>
        </is>
      </c>
      <c r="C30" s="13">
        <f>DCF!$C$9</f>
        <v/>
      </c>
      <c r="D30" s="3" t="inlineStr"/>
    </row>
    <row r="31">
      <c r="A31" s="6" t="inlineStr">
        <is>
          <t>Growth</t>
        </is>
      </c>
      <c r="C31" s="13">
        <f>Assumptions!$C$124</f>
        <v/>
      </c>
      <c r="D31" s="3" t="inlineStr"/>
    </row>
    <row r="32">
      <c r="A32" s="9" t="inlineStr">
        <is>
          <t>Justified price / book = (return on equity - growth) / (cost of equity - growth)</t>
        </is>
      </c>
      <c r="C32" s="25">
        <f>(C29-C31)/(C30-C31)</f>
        <v/>
      </c>
      <c r="D32" s="3" t="inlineStr">
        <is>
          <t>Highly geared to the denominator: with a cost of equity this close to the growth rate, a small move in either coordinate moves the multiple a long way. Read the sensitivity, not the point estimate</t>
        </is>
      </c>
    </row>
    <row r="33">
      <c r="A33" s="6" t="inlineStr">
        <is>
          <t>Book equity attributable to owners</t>
        </is>
      </c>
      <c r="C33" s="14">
        <f>Assumptions!$C$136</f>
        <v/>
      </c>
      <c r="D33" s="3" t="inlineStr"/>
    </row>
    <row r="34">
      <c r="A34" s="6" t="inlineStr">
        <is>
          <t>Book value per share (AED)</t>
        </is>
      </c>
      <c r="C34" s="7">
        <f>C33/(Assumptions!$C$7-Assumptions!$C$8)*Assumptions!$C$6</f>
        <v/>
      </c>
      <c r="D34" s="3" t="inlineStr"/>
    </row>
    <row r="35">
      <c r="A35" s="9" t="inlineStr">
        <is>
          <t>Implied value per share (AED)</t>
        </is>
      </c>
      <c r="C35" s="10">
        <f>C32*C34</f>
        <v/>
      </c>
      <c r="D35" s="3" t="inlineStr"/>
    </row>
    <row r="36">
      <c r="A36" s="6" t="inlineStr">
        <is>
          <t>The company's own price / book</t>
        </is>
      </c>
      <c r="C36" s="15">
        <f>Assumptions!$C$5/C34</f>
        <v/>
      </c>
      <c r="D36" s="3" t="inlineStr"/>
    </row>
  </sheetData>
  <mergeCells count="1">
    <mergeCell ref="A1:D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50" customWidth="1" min="1" max="1"/>
    <col width="16" customWidth="1" min="2" max="2"/>
    <col width="16"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Discounted cash flow — the cost of capital and the waterfall, both built here</t>
        </is>
      </c>
    </row>
    <row r="3">
      <c r="A3" s="12" t="inlineStr">
        <is>
          <t>COST OF CAPITAL — BUILT, NOT PASTED</t>
        </is>
      </c>
    </row>
    <row r="4">
      <c r="A4" s="6" t="inlineStr">
        <is>
          <t>US 10-year Treasury yield (observed)</t>
        </is>
      </c>
      <c r="C4" s="13">
        <f>Assumptions!$C$10</f>
        <v/>
      </c>
    </row>
    <row r="5">
      <c r="A5" s="6" t="inlineStr">
        <is>
          <t>less the US adjusted default spread</t>
        </is>
      </c>
      <c r="C5" s="13">
        <f>Assumptions!$C$11</f>
        <v/>
      </c>
    </row>
    <row r="6">
      <c r="A6" s="9" t="inlineStr">
        <is>
          <t>Normalised risk-free rate</t>
        </is>
      </c>
      <c r="C6" s="26">
        <f>C4-C5</f>
        <v/>
      </c>
    </row>
    <row r="7">
      <c r="A7" s="6" t="inlineStr">
        <is>
          <t>Equity beta</t>
        </is>
      </c>
      <c r="C7" s="23">
        <f>Assumptions!$C$12</f>
        <v/>
      </c>
    </row>
    <row r="8">
      <c r="A8" s="6" t="inlineStr">
        <is>
          <t>Equity risk premium — rating basis</t>
        </is>
      </c>
      <c r="C8" s="13">
        <f>Assumptions!$C$13</f>
        <v/>
      </c>
    </row>
    <row r="9">
      <c r="A9" s="9" t="inlineStr">
        <is>
          <t>Cost of equity — rating basis</t>
        </is>
      </c>
      <c r="C9" s="26">
        <f>C6+C7*C8</f>
        <v/>
      </c>
    </row>
    <row r="10">
      <c r="A10" s="6" t="inlineStr">
        <is>
          <t>Equity risk premium — credit-default-swap basis</t>
        </is>
      </c>
      <c r="C10" s="13">
        <f>Assumptions!$C$14</f>
        <v/>
      </c>
    </row>
    <row r="11">
      <c r="A11" s="9" t="inlineStr">
        <is>
          <t>Cost of equity — credit-default-swap basis</t>
        </is>
      </c>
      <c r="C11" s="26">
        <f>C6+C7*C10</f>
        <v/>
      </c>
    </row>
    <row r="12">
      <c r="A12" s="6" t="inlineStr">
        <is>
          <t>US 5-year Treasury yield</t>
        </is>
      </c>
      <c r="C12" s="13">
        <f>Assumptions!$C$15</f>
        <v/>
      </c>
    </row>
    <row r="13">
      <c r="A13" s="6" t="inlineStr">
        <is>
          <t>Borrowing margin on the latest facility</t>
        </is>
      </c>
      <c r="C13" s="13">
        <f>Assumptions!$C$16</f>
        <v/>
      </c>
    </row>
    <row r="14">
      <c r="A14" s="9" t="inlineStr">
        <is>
          <t>Marginal cost of debt, pre-tax (term-matched)</t>
        </is>
      </c>
      <c r="C14" s="26">
        <f>C12+C13</f>
        <v/>
      </c>
    </row>
    <row r="15">
      <c r="A15" s="6" t="inlineStr">
        <is>
          <t>Cross-check: spot floating all-in cost</t>
        </is>
      </c>
      <c r="C15" s="13">
        <f>Assumptions!$C$17+C13</f>
        <v/>
      </c>
    </row>
    <row r="16">
      <c r="A16" s="6" t="inlineStr">
        <is>
          <t>Cross-check: trailing effective rate on average gross debt</t>
        </is>
      </c>
      <c r="C16" s="13" t="n">
        <v>0.04769677125739161</v>
      </c>
    </row>
    <row r="17">
      <c r="A17" s="6" t="inlineStr">
        <is>
          <t>Sovereign floor — 5-year Treasury plus the Abu Dhabi credit-default-swap spread</t>
        </is>
      </c>
      <c r="C17" s="13">
        <f>C12+Assumptions!$C$18</f>
        <v/>
      </c>
    </row>
    <row r="18">
      <c r="A18" s="6" t="inlineStr">
        <is>
          <t>Cost of debt after tax</t>
        </is>
      </c>
      <c r="C18" s="13">
        <f>C14*(1-Assumptions!$C$19)</f>
        <v/>
      </c>
    </row>
    <row r="19">
      <c r="A19" s="6" t="inlineStr">
        <is>
          <t>Market capitalisation</t>
        </is>
      </c>
      <c r="C19" s="14">
        <f>(Assumptions!$C$7-Assumptions!$C$8)*Assumptions!$C$5/Assumptions!$C$6</f>
        <v/>
      </c>
    </row>
    <row r="20">
      <c r="A20" s="6" t="inlineStr">
        <is>
          <t>Net debt at 30 June 2026</t>
        </is>
      </c>
      <c r="C20" s="14">
        <f>Assumptions!$C$130+Assumptions!$C$131-Assumptions!$C$129</f>
        <v/>
      </c>
    </row>
    <row r="21">
      <c r="A21" s="6" t="inlineStr">
        <is>
          <t>Weight of equity</t>
        </is>
      </c>
      <c r="C21" s="8">
        <f>C19/(C19+C20)</f>
        <v/>
      </c>
    </row>
    <row r="22">
      <c r="A22" s="6" t="inlineStr">
        <is>
          <t>Weight of debt</t>
        </is>
      </c>
      <c r="C22" s="8">
        <f>1-C21</f>
        <v/>
      </c>
    </row>
    <row r="23">
      <c r="A23" s="9" t="inlineStr">
        <is>
          <t>Weighted average cost of capital — rating basis</t>
        </is>
      </c>
      <c r="C23" s="26">
        <f>C21*C9+C22*C18</f>
        <v/>
      </c>
    </row>
    <row r="24">
      <c r="A24" s="9" t="inlineStr">
        <is>
          <t>Weighted average cost of capital — credit-default-swap basis</t>
        </is>
      </c>
      <c r="C24" s="26">
        <f>C21*C11+C22*C18</f>
        <v/>
      </c>
    </row>
    <row r="26">
      <c r="A26" s="12" t="inlineStr">
        <is>
          <t>FREE-CASH-FLOW WATERFALL — CONTINUED-EXPANSION CASE</t>
        </is>
      </c>
    </row>
    <row r="27">
      <c r="B27" s="27" t="inlineStr">
        <is>
          <t>FY2026E</t>
        </is>
      </c>
      <c r="C27" s="27" t="inlineStr">
        <is>
          <t>FY2027E</t>
        </is>
      </c>
      <c r="D27" s="27" t="inlineStr">
        <is>
          <t>FY2028E</t>
        </is>
      </c>
      <c r="E27" s="27" t="inlineStr">
        <is>
          <t>FY2029E</t>
        </is>
      </c>
      <c r="F27" s="27" t="inlineStr">
        <is>
          <t>FY2030E</t>
        </is>
      </c>
    </row>
    <row r="28">
      <c r="A28" s="6" t="inlineStr">
        <is>
          <t>Revenue</t>
        </is>
      </c>
      <c r="B28" s="14">
        <f>Segments!E25</f>
        <v/>
      </c>
      <c r="C28" s="14">
        <f>Segments!F25</f>
        <v/>
      </c>
      <c r="D28" s="14">
        <f>Segments!G25</f>
        <v/>
      </c>
      <c r="E28" s="14">
        <f>Segments!H25</f>
        <v/>
      </c>
      <c r="F28" s="14">
        <f>Segments!I25</f>
        <v/>
      </c>
    </row>
    <row r="29">
      <c r="A29" s="9" t="inlineStr">
        <is>
          <t>EBITDA</t>
        </is>
      </c>
      <c r="B29" s="22">
        <f>Segments!E47</f>
        <v/>
      </c>
      <c r="C29" s="22">
        <f>Segments!F47</f>
        <v/>
      </c>
      <c r="D29" s="22">
        <f>Segments!G47</f>
        <v/>
      </c>
      <c r="E29" s="22">
        <f>Segments!H47</f>
        <v/>
      </c>
      <c r="F29" s="22">
        <f>Segments!I47</f>
        <v/>
      </c>
    </row>
    <row r="30">
      <c r="A30" s="6" t="inlineStr">
        <is>
          <t>EBITDA margin</t>
        </is>
      </c>
      <c r="B30" s="8">
        <f>B29/B28</f>
        <v/>
      </c>
      <c r="C30" s="8">
        <f>C29/C28</f>
        <v/>
      </c>
      <c r="D30" s="8">
        <f>D29/D28</f>
        <v/>
      </c>
      <c r="E30" s="8">
        <f>E29/E28</f>
        <v/>
      </c>
      <c r="F30" s="8">
        <f>F29/F28</f>
        <v/>
      </c>
    </row>
    <row r="31">
      <c r="A31" s="6" t="inlineStr">
        <is>
          <t>less depreciation and amortisation</t>
        </is>
      </c>
      <c r="B31" s="14">
        <f>-'Balance Sheet'!E7</f>
        <v/>
      </c>
      <c r="C31" s="14">
        <f>-'Balance Sheet'!F7</f>
        <v/>
      </c>
      <c r="D31" s="14">
        <f>-'Balance Sheet'!G7</f>
        <v/>
      </c>
      <c r="E31" s="14">
        <f>-'Balance Sheet'!H7</f>
        <v/>
      </c>
      <c r="F31" s="14">
        <f>-'Balance Sheet'!I7</f>
        <v/>
      </c>
    </row>
    <row r="32">
      <c r="A32" s="9" t="inlineStr">
        <is>
          <t>EBIT</t>
        </is>
      </c>
      <c r="B32" s="22">
        <f>B29+B31</f>
        <v/>
      </c>
      <c r="C32" s="22">
        <f>C29+C31</f>
        <v/>
      </c>
      <c r="D32" s="22">
        <f>D29+D31</f>
        <v/>
      </c>
      <c r="E32" s="22">
        <f>E29+E31</f>
        <v/>
      </c>
      <c r="F32" s="22">
        <f>F29+F31</f>
        <v/>
      </c>
    </row>
    <row r="33">
      <c r="A33" s="6" t="inlineStr">
        <is>
          <t>Tax rate</t>
        </is>
      </c>
      <c r="B33" s="8">
        <f>Assumptions!$C$19</f>
        <v/>
      </c>
      <c r="C33" s="8">
        <f>Assumptions!$C$19</f>
        <v/>
      </c>
      <c r="D33" s="8">
        <f>Assumptions!$C$19</f>
        <v/>
      </c>
      <c r="E33" s="8">
        <f>Assumptions!$C$19</f>
        <v/>
      </c>
      <c r="F33" s="8">
        <f>Assumptions!$C$19</f>
        <v/>
      </c>
    </row>
    <row r="34">
      <c r="A34" s="9" t="inlineStr">
        <is>
          <t>NOPAT = EBIT x (1 - tax rate)</t>
        </is>
      </c>
      <c r="B34" s="22">
        <f>B32*(1-B33)</f>
        <v/>
      </c>
      <c r="C34" s="22">
        <f>C32*(1-C33)</f>
        <v/>
      </c>
      <c r="D34" s="22">
        <f>D32*(1-D33)</f>
        <v/>
      </c>
      <c r="E34" s="22">
        <f>E32*(1-E33)</f>
        <v/>
      </c>
      <c r="F34" s="22">
        <f>F32*(1-F33)</f>
        <v/>
      </c>
    </row>
    <row r="35">
      <c r="A35" s="6" t="inlineStr">
        <is>
          <t>add back depreciation and amortisation</t>
        </is>
      </c>
      <c r="B35" s="14">
        <f>'Balance Sheet'!E7</f>
        <v/>
      </c>
      <c r="C35" s="14">
        <f>'Balance Sheet'!F7</f>
        <v/>
      </c>
      <c r="D35" s="14">
        <f>'Balance Sheet'!G7</f>
        <v/>
      </c>
      <c r="E35" s="14">
        <f>'Balance Sheet'!H7</f>
        <v/>
      </c>
      <c r="F35" s="14">
        <f>'Balance Sheet'!I7</f>
        <v/>
      </c>
    </row>
    <row r="36">
      <c r="A36" s="6" t="inlineStr">
        <is>
          <t>less capital expenditure</t>
        </is>
      </c>
      <c r="B36" s="14">
        <f>-'Balance Sheet'!E6</f>
        <v/>
      </c>
      <c r="C36" s="14">
        <f>-'Balance Sheet'!F6</f>
        <v/>
      </c>
      <c r="D36" s="14">
        <f>-'Balance Sheet'!G6</f>
        <v/>
      </c>
      <c r="E36" s="14">
        <f>-'Balance Sheet'!H6</f>
        <v/>
      </c>
      <c r="F36" s="14">
        <f>-'Balance Sheet'!I6</f>
        <v/>
      </c>
    </row>
    <row r="37">
      <c r="A37" s="6" t="inlineStr">
        <is>
          <t>less increase in working capital</t>
        </is>
      </c>
      <c r="B37" s="14">
        <f>-('Balance Sheet'!E30-'Balance Sheet'!D30)</f>
        <v/>
      </c>
      <c r="C37" s="14">
        <f>-('Balance Sheet'!F30-'Balance Sheet'!E30)</f>
        <v/>
      </c>
      <c r="D37" s="14">
        <f>-('Balance Sheet'!G30-'Balance Sheet'!F30)</f>
        <v/>
      </c>
      <c r="E37" s="14">
        <f>-('Balance Sheet'!H30-'Balance Sheet'!G30)</f>
        <v/>
      </c>
      <c r="F37" s="14">
        <f>-('Balance Sheet'!I30-'Balance Sheet'!H30)</f>
        <v/>
      </c>
    </row>
    <row r="38">
      <c r="A38" s="9" t="inlineStr">
        <is>
          <t>Free cash flow to the firm</t>
        </is>
      </c>
      <c r="B38" s="22">
        <f>B34+B35+B36+B37</f>
        <v/>
      </c>
      <c r="C38" s="22">
        <f>C34+C35+C36+C37</f>
        <v/>
      </c>
      <c r="D38" s="22">
        <f>D34+D35+D36+D37</f>
        <v/>
      </c>
      <c r="E38" s="22">
        <f>E34+E35+E36+E37</f>
        <v/>
      </c>
      <c r="F38" s="22">
        <f>F34+F35+F36+F37</f>
        <v/>
      </c>
    </row>
    <row r="39">
      <c r="A39" s="6" t="inlineStr">
        <is>
          <t>Discount factor</t>
        </is>
      </c>
      <c r="B39" s="23">
        <f>1/(1+$C$23)^1</f>
        <v/>
      </c>
      <c r="C39" s="23">
        <f>1/(1+$C$23)^2</f>
        <v/>
      </c>
      <c r="D39" s="23">
        <f>1/(1+$C$23)^3</f>
        <v/>
      </c>
      <c r="E39" s="23">
        <f>1/(1+$C$23)^4</f>
        <v/>
      </c>
      <c r="F39" s="23">
        <f>1/(1+$C$23)^5</f>
        <v/>
      </c>
    </row>
    <row r="40">
      <c r="A40" s="9" t="inlineStr">
        <is>
          <t>Present value of free cash flow to the firm</t>
        </is>
      </c>
      <c r="B40" s="22">
        <f>B38*B39</f>
        <v/>
      </c>
      <c r="C40" s="22">
        <f>C38*C39</f>
        <v/>
      </c>
      <c r="D40" s="22">
        <f>D38*D39</f>
        <v/>
      </c>
      <c r="E40" s="22">
        <f>E38*E39</f>
        <v/>
      </c>
      <c r="F40" s="22">
        <f>F38*F39</f>
        <v/>
      </c>
    </row>
    <row r="42">
      <c r="A42" s="12" t="inlineStr">
        <is>
          <t>TERMINAL BLOCK AND ENTERPRISE VALUE</t>
        </is>
      </c>
    </row>
    <row r="43">
      <c r="A43" s="6" t="inlineStr">
        <is>
          <t>Terminal growth rate</t>
        </is>
      </c>
      <c r="C43" s="13">
        <f>Assumptions!$C$124</f>
        <v/>
      </c>
    </row>
    <row r="44">
      <c r="A44" s="6" t="inlineStr">
        <is>
          <t>Terminal return on invested capital</t>
        </is>
      </c>
      <c r="C44" s="13">
        <f>Assumptions!$C$126</f>
        <v/>
      </c>
    </row>
    <row r="45">
      <c r="A45" s="6" t="inlineStr">
        <is>
          <t>Terminal-year NOPAT (one year beyond the window)</t>
        </is>
      </c>
      <c r="C45" s="14">
        <f>F34*(1+C43)</f>
        <v/>
      </c>
    </row>
    <row r="46">
      <c r="A46" s="6" t="inlineStr">
        <is>
          <t>Reinvestment rate = growth / return on capital</t>
        </is>
      </c>
      <c r="C46" s="8">
        <f>C43/C44</f>
        <v/>
      </c>
    </row>
    <row r="47">
      <c r="A47" s="9" t="inlineStr">
        <is>
          <t>Terminal value</t>
        </is>
      </c>
      <c r="C47" s="22">
        <f>C45*(1-C46)/($C$23-C43)</f>
        <v/>
      </c>
    </row>
    <row r="48">
      <c r="A48" s="6" t="inlineStr">
        <is>
          <t>Present value of the terminal value</t>
        </is>
      </c>
      <c r="C48" s="14">
        <f>C47*F39</f>
        <v/>
      </c>
    </row>
    <row r="49">
      <c r="A49" s="6" t="inlineStr">
        <is>
          <t>Present value of the explicit five years</t>
        </is>
      </c>
      <c r="C49" s="14">
        <f>SUM(B40:F40)</f>
        <v/>
      </c>
    </row>
    <row r="50">
      <c r="A50" s="9" t="inlineStr">
        <is>
          <t>Enterprise value</t>
        </is>
      </c>
      <c r="C50" s="22">
        <f>C49+C48</f>
        <v/>
      </c>
    </row>
    <row r="51">
      <c r="A51" s="9" t="inlineStr">
        <is>
          <t>Terminal value as a share of enterprise value</t>
        </is>
      </c>
      <c r="C51" s="11">
        <f>C48/C50</f>
        <v/>
      </c>
    </row>
    <row r="53">
      <c r="A53" s="12" t="inlineStr">
        <is>
          <t>CAPACITY-PLATEAU CASE — the same waterfall on the plateau fleet plan</t>
        </is>
      </c>
    </row>
    <row r="54">
      <c r="B54" s="27" t="inlineStr">
        <is>
          <t>FY2026E</t>
        </is>
      </c>
      <c r="C54" s="27" t="inlineStr">
        <is>
          <t>FY2027E</t>
        </is>
      </c>
      <c r="D54" s="27" t="inlineStr">
        <is>
          <t>FY2028E</t>
        </is>
      </c>
      <c r="E54" s="27" t="inlineStr">
        <is>
          <t>FY2029E</t>
        </is>
      </c>
      <c r="F54" s="27" t="inlineStr">
        <is>
          <t>FY2030E</t>
        </is>
      </c>
    </row>
    <row r="55">
      <c r="A55" s="6" t="inlineStr">
        <is>
          <t>EBITDA excluding joint-venture results</t>
        </is>
      </c>
      <c r="B55" s="14">
        <f>Segments!E93</f>
        <v/>
      </c>
      <c r="C55" s="14">
        <f>Segments!F93</f>
        <v/>
      </c>
      <c r="D55" s="14">
        <f>Segments!G93</f>
        <v/>
      </c>
      <c r="E55" s="14">
        <f>Segments!H93</f>
        <v/>
      </c>
      <c r="F55" s="14">
        <f>Segments!I93</f>
        <v/>
      </c>
    </row>
    <row r="56">
      <c r="A56" s="6" t="inlineStr">
        <is>
          <t>less depreciation and amortisation</t>
        </is>
      </c>
      <c r="B56" s="14">
        <f>-'Balance Sheet'!E37</f>
        <v/>
      </c>
      <c r="C56" s="14">
        <f>-'Balance Sheet'!F37</f>
        <v/>
      </c>
      <c r="D56" s="14">
        <f>-'Balance Sheet'!G37</f>
        <v/>
      </c>
      <c r="E56" s="14">
        <f>-'Balance Sheet'!H37</f>
        <v/>
      </c>
      <c r="F56" s="14">
        <f>-'Balance Sheet'!I37</f>
        <v/>
      </c>
    </row>
    <row r="57">
      <c r="A57" s="6" t="inlineStr">
        <is>
          <t>EBIT</t>
        </is>
      </c>
      <c r="B57" s="14">
        <f>B55+B56</f>
        <v/>
      </c>
      <c r="C57" s="14">
        <f>C55+C56</f>
        <v/>
      </c>
      <c r="D57" s="14">
        <f>D55+D56</f>
        <v/>
      </c>
      <c r="E57" s="14">
        <f>E55+E56</f>
        <v/>
      </c>
      <c r="F57" s="14">
        <f>F55+F56</f>
        <v/>
      </c>
    </row>
    <row r="58">
      <c r="A58" s="6" t="inlineStr">
        <is>
          <t>NOPAT = EBIT x (1 - tax rate)</t>
        </is>
      </c>
      <c r="B58" s="14">
        <f>B57*(1-Assumptions!$C$19)</f>
        <v/>
      </c>
      <c r="C58" s="14">
        <f>C57*(1-Assumptions!$C$19)</f>
        <v/>
      </c>
      <c r="D58" s="14">
        <f>D57*(1-Assumptions!$C$19)</f>
        <v/>
      </c>
      <c r="E58" s="14">
        <f>E57*(1-Assumptions!$C$19)</f>
        <v/>
      </c>
      <c r="F58" s="14">
        <f>F57*(1-Assumptions!$C$19)</f>
        <v/>
      </c>
    </row>
    <row r="59">
      <c r="A59" s="6" t="inlineStr">
        <is>
          <t>add back depreciation and amortisation</t>
        </is>
      </c>
      <c r="B59" s="14">
        <f>'Balance Sheet'!E37</f>
        <v/>
      </c>
      <c r="C59" s="14">
        <f>'Balance Sheet'!F37</f>
        <v/>
      </c>
      <c r="D59" s="14">
        <f>'Balance Sheet'!G37</f>
        <v/>
      </c>
      <c r="E59" s="14">
        <f>'Balance Sheet'!H37</f>
        <v/>
      </c>
      <c r="F59" s="14">
        <f>'Balance Sheet'!I37</f>
        <v/>
      </c>
    </row>
    <row r="60">
      <c r="A60" s="6" t="inlineStr">
        <is>
          <t>less capital expenditure</t>
        </is>
      </c>
      <c r="B60" s="14">
        <f>-'Balance Sheet'!E36</f>
        <v/>
      </c>
      <c r="C60" s="14">
        <f>-'Balance Sheet'!F36</f>
        <v/>
      </c>
      <c r="D60" s="14">
        <f>-'Balance Sheet'!G36</f>
        <v/>
      </c>
      <c r="E60" s="14">
        <f>-'Balance Sheet'!H36</f>
        <v/>
      </c>
      <c r="F60" s="14">
        <f>-'Balance Sheet'!I36</f>
        <v/>
      </c>
    </row>
    <row r="61">
      <c r="A61" s="6" t="inlineStr">
        <is>
          <t>less increase in working capital</t>
        </is>
      </c>
      <c r="B61" s="14">
        <f>-('Balance Sheet'!E39-'Balance Sheet'!D30)</f>
        <v/>
      </c>
      <c r="C61" s="14">
        <f>-('Balance Sheet'!F39-'Balance Sheet'!E39)</f>
        <v/>
      </c>
      <c r="D61" s="14">
        <f>-('Balance Sheet'!G39-'Balance Sheet'!F39)</f>
        <v/>
      </c>
      <c r="E61" s="14">
        <f>-('Balance Sheet'!H39-'Balance Sheet'!G39)</f>
        <v/>
      </c>
      <c r="F61" s="14">
        <f>-('Balance Sheet'!I39-'Balance Sheet'!H39)</f>
        <v/>
      </c>
    </row>
    <row r="62">
      <c r="A62" s="9" t="inlineStr">
        <is>
          <t>Free cash flow to the firm — plateau case</t>
        </is>
      </c>
      <c r="B62" s="22">
        <f>B58+B59+B60+B61</f>
        <v/>
      </c>
      <c r="C62" s="22">
        <f>C58+C59+C60+C61</f>
        <v/>
      </c>
      <c r="D62" s="22">
        <f>D58+D59+D60+D61</f>
        <v/>
      </c>
      <c r="E62" s="22">
        <f>E58+E59+E60+E61</f>
        <v/>
      </c>
      <c r="F62" s="22">
        <f>F58+F59+F60+F61</f>
        <v/>
      </c>
    </row>
    <row r="63">
      <c r="A63" s="6" t="inlineStr">
        <is>
          <t>Discount factor</t>
        </is>
      </c>
      <c r="B63" s="23">
        <f>1/(1+$C$23)^1</f>
        <v/>
      </c>
      <c r="C63" s="23">
        <f>1/(1+$C$23)^2</f>
        <v/>
      </c>
      <c r="D63" s="23">
        <f>1/(1+$C$23)^3</f>
        <v/>
      </c>
      <c r="E63" s="23">
        <f>1/(1+$C$23)^4</f>
        <v/>
      </c>
      <c r="F63" s="23">
        <f>1/(1+$C$23)^5</f>
        <v/>
      </c>
    </row>
    <row r="64">
      <c r="A64" s="9" t="inlineStr">
        <is>
          <t>Present value</t>
        </is>
      </c>
      <c r="B64" s="22">
        <f>B62*B63</f>
        <v/>
      </c>
      <c r="C64" s="22">
        <f>C62*C63</f>
        <v/>
      </c>
      <c r="D64" s="22">
        <f>D62*D63</f>
        <v/>
      </c>
      <c r="E64" s="22">
        <f>E62*E63</f>
        <v/>
      </c>
      <c r="F64" s="22">
        <f>F62*F63</f>
        <v/>
      </c>
    </row>
    <row r="65">
      <c r="A65" s="6" t="inlineStr">
        <is>
          <t>Terminal growth rate — plateau</t>
        </is>
      </c>
      <c r="C65" s="13">
        <f>Assumptions!$C$125</f>
        <v/>
      </c>
    </row>
    <row r="66">
      <c r="A66" s="6" t="inlineStr">
        <is>
          <t>Terminal-year NOPAT</t>
        </is>
      </c>
      <c r="C66" s="14">
        <f>F58*(1+C65)</f>
        <v/>
      </c>
    </row>
    <row r="67">
      <c r="A67" s="6" t="inlineStr">
        <is>
          <t>Terminal value</t>
        </is>
      </c>
      <c r="C67" s="14">
        <f>C66*(1-C65/C44)/($C$23-C65)</f>
        <v/>
      </c>
    </row>
    <row r="68">
      <c r="A68" s="6" t="inlineStr">
        <is>
          <t>Present value of the terminal value</t>
        </is>
      </c>
      <c r="C68" s="14">
        <f>C67*F63</f>
        <v/>
      </c>
    </row>
    <row r="69">
      <c r="A69" s="6" t="inlineStr">
        <is>
          <t>Present value of the explicit five years</t>
        </is>
      </c>
      <c r="C69" s="14">
        <f>SUM(B64:F64)</f>
        <v/>
      </c>
    </row>
    <row r="70">
      <c r="A70" s="9" t="inlineStr">
        <is>
          <t>Enterprise value — plateau</t>
        </is>
      </c>
      <c r="C70" s="22">
        <f>C69+C68</f>
        <v/>
      </c>
    </row>
    <row r="71">
      <c r="A71" s="9" t="inlineStr">
        <is>
          <t>Terminal value as a share of enterprise value</t>
        </is>
      </c>
      <c r="C71" s="11">
        <f>C68/C70</f>
        <v/>
      </c>
    </row>
  </sheetData>
  <mergeCells count="1">
    <mergeCell ref="A1:I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Income statement — three audited years and the five-year forecast</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9" t="inlineStr">
        <is>
          <t>Revenue</t>
        </is>
      </c>
      <c r="B4" s="22">
        <f>Segments!B25</f>
        <v/>
      </c>
      <c r="C4" s="22">
        <f>Segments!C25</f>
        <v/>
      </c>
      <c r="D4" s="22">
        <f>Segments!D25</f>
        <v/>
      </c>
      <c r="E4" s="22">
        <f>Segments!E25</f>
        <v/>
      </c>
      <c r="F4" s="22">
        <f>Segments!F25</f>
        <v/>
      </c>
      <c r="G4" s="22">
        <f>Segments!G25</f>
        <v/>
      </c>
      <c r="H4" s="22">
        <f>Segments!H25</f>
        <v/>
      </c>
      <c r="I4" s="22">
        <f>Segments!I25</f>
        <v/>
      </c>
    </row>
    <row r="5">
      <c r="A5" s="9" t="inlineStr">
        <is>
          <t>EBITDA</t>
        </is>
      </c>
      <c r="B5" s="22">
        <f>Segments!B45</f>
        <v/>
      </c>
      <c r="C5" s="22">
        <f>Segments!C45</f>
        <v/>
      </c>
      <c r="D5" s="22">
        <f>Segments!D45</f>
        <v/>
      </c>
      <c r="E5" s="22">
        <f>Segments!E45</f>
        <v/>
      </c>
      <c r="F5" s="22">
        <f>Segments!F45</f>
        <v/>
      </c>
      <c r="G5" s="22">
        <f>Segments!G45</f>
        <v/>
      </c>
      <c r="H5" s="22">
        <f>Segments!H45</f>
        <v/>
      </c>
      <c r="I5" s="22">
        <f>Segments!I45</f>
        <v/>
      </c>
    </row>
    <row r="6">
      <c r="A6" s="6" t="inlineStr">
        <is>
          <t>EBITDA margin</t>
        </is>
      </c>
      <c r="B6" s="8">
        <f>B5/B4</f>
        <v/>
      </c>
      <c r="C6" s="8">
        <f>C5/C4</f>
        <v/>
      </c>
      <c r="D6" s="8">
        <f>D5/D4</f>
        <v/>
      </c>
      <c r="E6" s="8">
        <f>E5/E4</f>
        <v/>
      </c>
      <c r="F6" s="8">
        <f>F5/F4</f>
        <v/>
      </c>
      <c r="G6" s="8">
        <f>G5/G4</f>
        <v/>
      </c>
      <c r="H6" s="8">
        <f>H5/H4</f>
        <v/>
      </c>
      <c r="I6" s="8">
        <f>I5/I4</f>
        <v/>
      </c>
    </row>
    <row r="7">
      <c r="A7" s="6" t="inlineStr">
        <is>
          <t>Depreciation and amortisation</t>
        </is>
      </c>
      <c r="B7" s="14">
        <f>-'Balance Sheet'!B7</f>
        <v/>
      </c>
      <c r="C7" s="14">
        <f>-'Balance Sheet'!C7</f>
        <v/>
      </c>
      <c r="D7" s="14">
        <f>-'Balance Sheet'!D7</f>
        <v/>
      </c>
      <c r="E7" s="14">
        <f>-'Balance Sheet'!E7</f>
        <v/>
      </c>
      <c r="F7" s="14">
        <f>-'Balance Sheet'!F7</f>
        <v/>
      </c>
      <c r="G7" s="14">
        <f>-'Balance Sheet'!G7</f>
        <v/>
      </c>
      <c r="H7" s="14">
        <f>-'Balance Sheet'!H7</f>
        <v/>
      </c>
      <c r="I7" s="14">
        <f>-'Balance Sheet'!I7</f>
        <v/>
      </c>
    </row>
    <row r="8">
      <c r="A8" s="6" t="inlineStr">
        <is>
          <t>Share of joint-venture results</t>
        </is>
      </c>
      <c r="B8" s="14" t="n">
        <v>0</v>
      </c>
      <c r="C8" s="14" t="n">
        <v>8490</v>
      </c>
      <c r="D8" s="14" t="n">
        <v>29000</v>
      </c>
      <c r="E8" s="14">
        <f>Segments!E43</f>
        <v/>
      </c>
      <c r="F8" s="14">
        <f>Segments!F43</f>
        <v/>
      </c>
      <c r="G8" s="14">
        <f>Segments!G43</f>
        <v/>
      </c>
      <c r="H8" s="14">
        <f>Segments!H43</f>
        <v/>
      </c>
      <c r="I8" s="14">
        <f>Segments!I43</f>
        <v/>
      </c>
    </row>
    <row r="9">
      <c r="A9" s="6" t="inlineStr">
        <is>
          <t>EBIT (after depreciation, before joint ventures)</t>
        </is>
      </c>
      <c r="B9" s="14">
        <f>B5-B8+B7</f>
        <v/>
      </c>
      <c r="C9" s="14">
        <f>C5-C8+C7</f>
        <v/>
      </c>
      <c r="D9" s="14">
        <f>D5-D8+D7</f>
        <v/>
      </c>
      <c r="E9" s="14">
        <f>E5-E8+E7</f>
        <v/>
      </c>
      <c r="F9" s="14">
        <f>F5-F8+F7</f>
        <v/>
      </c>
      <c r="G9" s="14">
        <f>G5-G8+G7</f>
        <v/>
      </c>
      <c r="H9" s="14">
        <f>H5-H8+H7</f>
        <v/>
      </c>
      <c r="I9" s="14">
        <f>I5-I8+I7</f>
        <v/>
      </c>
    </row>
    <row r="10">
      <c r="A10" s="6" t="inlineStr">
        <is>
          <t>Finance cost</t>
        </is>
      </c>
      <c r="B10" s="14" t="n">
        <v>-74577</v>
      </c>
      <c r="C10" s="14" t="n">
        <v>-135995</v>
      </c>
      <c r="D10" s="14" t="n">
        <v>-109463</v>
      </c>
      <c r="E10" s="14">
        <f>-'Balance Sheet'!E21*DCF!$C$14</f>
        <v/>
      </c>
      <c r="F10" s="14">
        <f>-'Balance Sheet'!F21*DCF!$C$14</f>
        <v/>
      </c>
      <c r="G10" s="14">
        <f>-'Balance Sheet'!G21*DCF!$C$14</f>
        <v/>
      </c>
      <c r="H10" s="14">
        <f>-'Balance Sheet'!H21*DCF!$C$14</f>
        <v/>
      </c>
      <c r="I10" s="14">
        <f>-'Balance Sheet'!I21*DCF!$C$14</f>
        <v/>
      </c>
    </row>
    <row r="11">
      <c r="A11" s="6" t="inlineStr">
        <is>
          <t>Finance income</t>
        </is>
      </c>
      <c r="B11" s="14" t="n">
        <v>15727</v>
      </c>
      <c r="C11" s="14" t="n">
        <v>11736</v>
      </c>
      <c r="D11" s="14" t="n">
        <v>11626</v>
      </c>
      <c r="E11" s="14">
        <f>'Balance Sheet'!D17*Assumptions!$C$17</f>
        <v/>
      </c>
      <c r="F11" s="14">
        <f>'Balance Sheet'!E17*Assumptions!$C$17</f>
        <v/>
      </c>
      <c r="G11" s="14">
        <f>'Balance Sheet'!F17*Assumptions!$C$17</f>
        <v/>
      </c>
      <c r="H11" s="14">
        <f>'Balance Sheet'!G17*Assumptions!$C$17</f>
        <v/>
      </c>
      <c r="I11" s="14">
        <f>'Balance Sheet'!H17*Assumptions!$C$17</f>
        <v/>
      </c>
    </row>
    <row r="12">
      <c r="A12" s="6" t="inlineStr">
        <is>
          <t>Profit before tax</t>
        </is>
      </c>
      <c r="B12" s="14">
        <f>B9+B8+B10+B11</f>
        <v/>
      </c>
      <c r="C12" s="14">
        <f>C9+C8+C10+C11</f>
        <v/>
      </c>
      <c r="D12" s="14">
        <f>D9+D8+D10+D11</f>
        <v/>
      </c>
      <c r="E12" s="14">
        <f>E9+E8+E10+E11</f>
        <v/>
      </c>
      <c r="F12" s="14">
        <f>F9+F8+F10+F11</f>
        <v/>
      </c>
      <c r="G12" s="14">
        <f>G9+G8+G10+G11</f>
        <v/>
      </c>
      <c r="H12" s="14">
        <f>H9+H8+H10+H11</f>
        <v/>
      </c>
      <c r="I12" s="14">
        <f>I9+I8+I10+I11</f>
        <v/>
      </c>
    </row>
    <row r="13">
      <c r="A13" s="6" t="inlineStr">
        <is>
          <t>Income tax</t>
        </is>
      </c>
      <c r="B13" s="14" t="n">
        <v>-0</v>
      </c>
      <c r="C13" s="14" t="n">
        <v>-128510</v>
      </c>
      <c r="D13" s="14" t="n">
        <v>-139099</v>
      </c>
      <c r="E13" s="14">
        <f>-E12*Assumptions!$C$19</f>
        <v/>
      </c>
      <c r="F13" s="14">
        <f>-F12*Assumptions!$C$19</f>
        <v/>
      </c>
      <c r="G13" s="14">
        <f>-G12*Assumptions!$C$19</f>
        <v/>
      </c>
      <c r="H13" s="14">
        <f>-H12*Assumptions!$C$19</f>
        <v/>
      </c>
      <c r="I13" s="14">
        <f>-I12*Assumptions!$C$19</f>
        <v/>
      </c>
    </row>
    <row r="14">
      <c r="A14" s="9" t="inlineStr">
        <is>
          <t>Profit after tax</t>
        </is>
      </c>
      <c r="B14" s="22">
        <f>B12+B13</f>
        <v/>
      </c>
      <c r="C14" s="22">
        <f>C12+C13</f>
        <v/>
      </c>
      <c r="D14" s="22">
        <f>D12+D13</f>
        <v/>
      </c>
      <c r="E14" s="22">
        <f>E12+E13</f>
        <v/>
      </c>
      <c r="F14" s="22">
        <f>F12+F13</f>
        <v/>
      </c>
      <c r="G14" s="22">
        <f>G12+G13</f>
        <v/>
      </c>
      <c r="H14" s="22">
        <f>H12+H13</f>
        <v/>
      </c>
      <c r="I14" s="22">
        <f>I12+I13</f>
        <v/>
      </c>
    </row>
    <row r="15">
      <c r="A15" s="6" t="inlineStr">
        <is>
          <t>Net margin</t>
        </is>
      </c>
      <c r="B15" s="8">
        <f>B14/B4</f>
        <v/>
      </c>
      <c r="C15" s="8">
        <f>C14/C4</f>
        <v/>
      </c>
      <c r="D15" s="8">
        <f>D14/D4</f>
        <v/>
      </c>
      <c r="E15" s="8">
        <f>E14/E4</f>
        <v/>
      </c>
      <c r="F15" s="8">
        <f>F14/F4</f>
        <v/>
      </c>
      <c r="G15" s="8">
        <f>G14/G4</f>
        <v/>
      </c>
      <c r="H15" s="8">
        <f>H14/H4</f>
        <v/>
      </c>
      <c r="I15" s="8">
        <f>I14/I4</f>
        <v/>
      </c>
    </row>
  </sheetData>
  <mergeCells count="1">
    <mergeCell ref="A1:I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Balance sheet — three audited years and the five-year roll-forward</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12" t="inlineStr">
        <is>
          <t>FIXED-ASSET ROLL-FORWARD</t>
        </is>
      </c>
    </row>
    <row r="5">
      <c r="A5" s="6" t="inlineStr">
        <is>
          <t>Opening property, equipment, right-of-use and intangibles</t>
        </is>
      </c>
      <c r="E5" s="14">
        <f>D8</f>
        <v/>
      </c>
      <c r="F5" s="14">
        <f>E8</f>
        <v/>
      </c>
      <c r="G5" s="14">
        <f>F8</f>
        <v/>
      </c>
      <c r="H5" s="14">
        <f>G8</f>
        <v/>
      </c>
      <c r="I5" s="14">
        <f>H8</f>
        <v/>
      </c>
    </row>
    <row r="6">
      <c r="A6" s="6" t="inlineStr">
        <is>
          <t>Capital expenditure</t>
        </is>
      </c>
      <c r="B6" s="14" t="n">
        <v>1062274</v>
      </c>
      <c r="C6" s="14" t="n">
        <v>761822</v>
      </c>
      <c r="D6" s="14" t="n">
        <v>814876</v>
      </c>
      <c r="E6" s="14">
        <f>Assumptions!$C$109</f>
        <v/>
      </c>
      <c r="F6" s="14">
        <f>Assumptions!$C$110</f>
        <v/>
      </c>
      <c r="G6" s="14">
        <f>Assumptions!$C$111</f>
        <v/>
      </c>
      <c r="H6" s="14">
        <f>Assumptions!$C$112</f>
        <v/>
      </c>
      <c r="I6" s="14">
        <f>Assumptions!$C$113</f>
        <v/>
      </c>
    </row>
    <row r="7">
      <c r="A7" s="6" t="inlineStr">
        <is>
          <t>Depreciation and amortisation</t>
        </is>
      </c>
      <c r="B7" s="14" t="n">
        <v>391247</v>
      </c>
      <c r="C7" s="14" t="n">
        <v>458452</v>
      </c>
      <c r="D7" s="14" t="n">
        <v>512319</v>
      </c>
      <c r="E7" s="14">
        <f>E5*Assumptions!$C$119</f>
        <v/>
      </c>
      <c r="F7" s="14">
        <f>F5*Assumptions!$C$119</f>
        <v/>
      </c>
      <c r="G7" s="14">
        <f>G5*Assumptions!$C$119</f>
        <v/>
      </c>
      <c r="H7" s="14">
        <f>H5*Assumptions!$C$119</f>
        <v/>
      </c>
      <c r="I7" s="14">
        <f>I5*Assumptions!$C$119</f>
        <v/>
      </c>
    </row>
    <row r="8">
      <c r="A8" s="9" t="inlineStr">
        <is>
          <t>Closing fixed assets</t>
        </is>
      </c>
      <c r="B8" s="22">
        <f>4847540.0+173911.0+5432.0</f>
        <v/>
      </c>
      <c r="C8" s="22">
        <f>5352674.0+23310.0+5301.0</f>
        <v/>
      </c>
      <c r="D8" s="22">
        <f>5477158.0+45729.0+10769.0</f>
        <v/>
      </c>
      <c r="E8" s="22">
        <f>E5+E6-E7</f>
        <v/>
      </c>
      <c r="F8" s="22">
        <f>F5+F6-F7</f>
        <v/>
      </c>
      <c r="G8" s="22">
        <f>G5+G6-G7</f>
        <v/>
      </c>
      <c r="H8" s="22">
        <f>H5+H6-H7</f>
        <v/>
      </c>
      <c r="I8" s="22">
        <f>I5+I6-I7</f>
        <v/>
      </c>
    </row>
    <row r="10">
      <c r="A10" s="12" t="inlineStr">
        <is>
          <t>ASSETS</t>
        </is>
      </c>
    </row>
    <row r="11">
      <c r="A11" s="6" t="inlineStr">
        <is>
          <t>Fixed assets</t>
        </is>
      </c>
      <c r="B11" s="14" t="n">
        <v>5026883</v>
      </c>
      <c r="C11" s="14" t="n">
        <v>5381285</v>
      </c>
      <c r="D11" s="14" t="n">
        <v>5533656</v>
      </c>
      <c r="E11" s="14">
        <f>E8</f>
        <v/>
      </c>
      <c r="F11" s="14">
        <f>F8</f>
        <v/>
      </c>
      <c r="G11" s="14">
        <f>G8</f>
        <v/>
      </c>
      <c r="H11" s="14">
        <f>H8</f>
        <v/>
      </c>
      <c r="I11" s="14">
        <f>I8</f>
        <v/>
      </c>
    </row>
    <row r="12">
      <c r="A12" s="6" t="inlineStr">
        <is>
          <t>Other non-current assets</t>
        </is>
      </c>
      <c r="B12" s="14" t="n">
        <v>1654</v>
      </c>
      <c r="C12" s="14" t="n">
        <v>3627</v>
      </c>
      <c r="D12" s="14" t="n">
        <v>100446</v>
      </c>
      <c r="E12" s="14">
        <f>100446.0</f>
        <v/>
      </c>
      <c r="F12" s="14">
        <f>100446.0</f>
        <v/>
      </c>
      <c r="G12" s="14">
        <f>100446.0</f>
        <v/>
      </c>
      <c r="H12" s="14">
        <f>100446.0</f>
        <v/>
      </c>
      <c r="I12" s="14">
        <f>100446.0</f>
        <v/>
      </c>
    </row>
    <row r="13">
      <c r="A13" s="6" t="inlineStr">
        <is>
          <t>Investment in joint ventures</t>
        </is>
      </c>
      <c r="B13" s="14" t="n">
        <v>0</v>
      </c>
      <c r="C13" s="14" t="n">
        <v>275240</v>
      </c>
      <c r="D13" s="14" t="n">
        <v>437090</v>
      </c>
      <c r="E13" s="14">
        <f>437090.0</f>
        <v/>
      </c>
      <c r="F13" s="14">
        <f>437090.0</f>
        <v/>
      </c>
      <c r="G13" s="14">
        <f>437090.0</f>
        <v/>
      </c>
      <c r="H13" s="14">
        <f>437090.0</f>
        <v/>
      </c>
      <c r="I13" s="14">
        <f>437090.0</f>
        <v/>
      </c>
    </row>
    <row r="14">
      <c r="A14" s="6" t="inlineStr">
        <is>
          <t>Inventories</t>
        </is>
      </c>
      <c r="B14" s="14" t="n">
        <v>206107</v>
      </c>
      <c r="C14" s="14" t="n">
        <v>223083</v>
      </c>
      <c r="D14" s="14" t="n">
        <v>279030</v>
      </c>
      <c r="E14" s="14">
        <f>E30*1.05969746801311</f>
        <v/>
      </c>
      <c r="F14" s="14">
        <f>F30*1.05969746801311</f>
        <v/>
      </c>
      <c r="G14" s="14">
        <f>G30*1.05969746801311</f>
        <v/>
      </c>
      <c r="H14" s="14">
        <f>H30*1.05969746801311</f>
        <v/>
      </c>
      <c r="I14" s="14">
        <f>I30*1.05969746801311</f>
        <v/>
      </c>
    </row>
    <row r="15">
      <c r="A15" s="6" t="inlineStr">
        <is>
          <t>Trade and other receivables</t>
        </is>
      </c>
      <c r="B15" s="14" t="n">
        <v>153946</v>
      </c>
      <c r="C15" s="14" t="n">
        <v>185958</v>
      </c>
      <c r="D15" s="14" t="n">
        <v>150376</v>
      </c>
      <c r="E15" s="14">
        <f>E30*0.5710965360353346</f>
        <v/>
      </c>
      <c r="F15" s="14">
        <f>F30*0.5710965360353346</f>
        <v/>
      </c>
      <c r="G15" s="14">
        <f>G30*0.5710965360353346</f>
        <v/>
      </c>
      <c r="H15" s="14">
        <f>H30*0.5710965360353346</f>
        <v/>
      </c>
      <c r="I15" s="14">
        <f>I30*0.5710965360353346</f>
        <v/>
      </c>
    </row>
    <row r="16">
      <c r="A16" s="6" t="inlineStr">
        <is>
          <t>Due from related parties</t>
        </is>
      </c>
      <c r="B16" s="14" t="n">
        <v>986696</v>
      </c>
      <c r="C16" s="14" t="n">
        <v>1361282</v>
      </c>
      <c r="D16" s="14" t="n">
        <v>1364794</v>
      </c>
      <c r="E16" s="14">
        <f>E30*5.183201613301382</f>
        <v/>
      </c>
      <c r="F16" s="14">
        <f>F30*5.183201613301382</f>
        <v/>
      </c>
      <c r="G16" s="14">
        <f>G30*5.183201613301382</f>
        <v/>
      </c>
      <c r="H16" s="14">
        <f>H30*5.183201613301382</f>
        <v/>
      </c>
      <c r="I16" s="14">
        <f>I30*5.183201613301382</f>
        <v/>
      </c>
    </row>
    <row r="17">
      <c r="A17" s="6" t="inlineStr">
        <is>
          <t>Cash and cash equivalents</t>
        </is>
      </c>
      <c r="B17" s="14" t="n">
        <v>364839</v>
      </c>
      <c r="C17" s="14" t="n">
        <v>335996</v>
      </c>
      <c r="D17" s="14" t="n">
        <v>236016</v>
      </c>
      <c r="E17" s="14">
        <f>'Cash Flow'!E13</f>
        <v/>
      </c>
      <c r="F17" s="14">
        <f>'Cash Flow'!F13</f>
        <v/>
      </c>
      <c r="G17" s="14">
        <f>'Cash Flow'!G13</f>
        <v/>
      </c>
      <c r="H17" s="14">
        <f>'Cash Flow'!H13</f>
        <v/>
      </c>
      <c r="I17" s="14">
        <f>'Cash Flow'!I13</f>
        <v/>
      </c>
    </row>
    <row r="18">
      <c r="A18" s="9" t="inlineStr">
        <is>
          <t>Total assets</t>
        </is>
      </c>
      <c r="B18" s="22">
        <f>SUM(B11:B17)</f>
        <v/>
      </c>
      <c r="C18" s="22">
        <f>SUM(C11:C17)</f>
        <v/>
      </c>
      <c r="D18" s="22">
        <f>SUM(D11:D17)</f>
        <v/>
      </c>
      <c r="E18" s="22">
        <f>SUM(E11:E17)</f>
        <v/>
      </c>
      <c r="F18" s="22">
        <f>SUM(F11:F17)</f>
        <v/>
      </c>
      <c r="G18" s="22">
        <f>SUM(G11:G17)</f>
        <v/>
      </c>
      <c r="H18" s="22">
        <f>SUM(H11:H17)</f>
        <v/>
      </c>
      <c r="I18" s="22">
        <f>SUM(I11:I17)</f>
        <v/>
      </c>
    </row>
    <row r="20">
      <c r="A20" s="12" t="inlineStr">
        <is>
          <t>LIABILITIES AND EQUITY</t>
        </is>
      </c>
    </row>
    <row r="21">
      <c r="A21" s="6" t="inlineStr">
        <is>
          <t>Borrowings and lease liabilities</t>
        </is>
      </c>
      <c r="B21" s="14" t="n">
        <v>2181475</v>
      </c>
      <c r="C21" s="14" t="n">
        <v>2319907</v>
      </c>
      <c r="D21" s="14" t="n">
        <v>2316620</v>
      </c>
      <c r="E21" s="14">
        <f>2316620.0</f>
        <v/>
      </c>
      <c r="F21" s="14">
        <f>2316620.0</f>
        <v/>
      </c>
      <c r="G21" s="14">
        <f>2316620.0</f>
        <v/>
      </c>
      <c r="H21" s="14">
        <f>2316620.0</f>
        <v/>
      </c>
      <c r="I21" s="14">
        <f>2316620.0</f>
        <v/>
      </c>
    </row>
    <row r="22">
      <c r="A22" s="6" t="inlineStr">
        <is>
          <t>Trade and other payables</t>
        </is>
      </c>
      <c r="B22" s="14" t="n">
        <v>929770</v>
      </c>
      <c r="C22" s="14" t="n">
        <v>1240598</v>
      </c>
      <c r="D22" s="14" t="n">
        <v>1114818</v>
      </c>
      <c r="E22" s="14">
        <f>E30*4.2338451488923745</f>
        <v/>
      </c>
      <c r="F22" s="14">
        <f>F30*4.2338451488923745</f>
        <v/>
      </c>
      <c r="G22" s="14">
        <f>G30*4.2338451488923745</f>
        <v/>
      </c>
      <c r="H22" s="14">
        <f>H30*4.2338451488923745</f>
        <v/>
      </c>
      <c r="I22" s="14">
        <f>I30*4.2338451488923745</f>
        <v/>
      </c>
    </row>
    <row r="23">
      <c r="A23" s="6" t="inlineStr">
        <is>
          <t>Due to related parties</t>
        </is>
      </c>
      <c r="B23" s="14" t="n">
        <v>250237</v>
      </c>
      <c r="C23" s="14" t="n">
        <v>250850</v>
      </c>
      <c r="D23" s="14" t="n">
        <v>416071</v>
      </c>
      <c r="E23" s="14">
        <f>E30*1.5801504684574514</f>
        <v/>
      </c>
      <c r="F23" s="14">
        <f>F30*1.5801504684574514</f>
        <v/>
      </c>
      <c r="G23" s="14">
        <f>G30*1.5801504684574514</f>
        <v/>
      </c>
      <c r="H23" s="14">
        <f>H30*1.5801504684574514</f>
        <v/>
      </c>
      <c r="I23" s="14">
        <f>I30*1.5801504684574514</f>
        <v/>
      </c>
    </row>
    <row r="24">
      <c r="A24" s="6" t="inlineStr">
        <is>
          <t>Employees' end of service benefits</t>
        </is>
      </c>
      <c r="B24" s="14" t="n">
        <v>114422</v>
      </c>
      <c r="C24" s="14" t="n">
        <v>129947</v>
      </c>
      <c r="D24" s="14" t="n">
        <v>143587</v>
      </c>
      <c r="E24" s="14">
        <f>143587.0*(1+Assumptions!$C$80)^1</f>
        <v/>
      </c>
      <c r="F24" s="14">
        <f>143587.0*(1+Assumptions!$C$80)^2</f>
        <v/>
      </c>
      <c r="G24" s="14">
        <f>143587.0*(1+Assumptions!$C$80)^3</f>
        <v/>
      </c>
      <c r="H24" s="14">
        <f>143587.0*(1+Assumptions!$C$80)^4</f>
        <v/>
      </c>
      <c r="I24" s="14">
        <f>143587.0*(1+Assumptions!$C$80)^5</f>
        <v/>
      </c>
    </row>
    <row r="25">
      <c r="A25" s="6" t="inlineStr">
        <is>
          <t>Income tax payable</t>
        </is>
      </c>
      <c r="B25" s="14" t="n">
        <v>0</v>
      </c>
      <c r="C25" s="14" t="n">
        <v>15000</v>
      </c>
      <c r="D25" s="14" t="n">
        <v>11000</v>
      </c>
      <c r="E25" s="14">
        <f>-'Income Statement'!E13*0.07908036722046888</f>
        <v/>
      </c>
      <c r="F25" s="14">
        <f>-'Income Statement'!F13*0.07908036722046888</f>
        <v/>
      </c>
      <c r="G25" s="14">
        <f>-'Income Statement'!G13*0.07908036722046888</f>
        <v/>
      </c>
      <c r="H25" s="14">
        <f>-'Income Statement'!H13*0.07908036722046888</f>
        <v/>
      </c>
      <c r="I25" s="14">
        <f>-'Income Statement'!I13*0.07908036722046888</f>
        <v/>
      </c>
    </row>
    <row r="26">
      <c r="A26" s="9" t="inlineStr">
        <is>
          <t>Total liabilities</t>
        </is>
      </c>
      <c r="B26" s="22">
        <f>SUM(B21:B25)</f>
        <v/>
      </c>
      <c r="C26" s="22">
        <f>SUM(C21:C25)</f>
        <v/>
      </c>
      <c r="D26" s="22">
        <f>SUM(D21:D25)</f>
        <v/>
      </c>
      <c r="E26" s="22">
        <f>SUM(E21:E25)</f>
        <v/>
      </c>
      <c r="F26" s="22">
        <f>SUM(F21:F25)</f>
        <v/>
      </c>
      <c r="G26" s="22">
        <f>SUM(G21:G25)</f>
        <v/>
      </c>
      <c r="H26" s="22">
        <f>SUM(H21:H25)</f>
        <v/>
      </c>
      <c r="I26" s="22">
        <f>SUM(I21:I25)</f>
        <v/>
      </c>
    </row>
    <row r="27">
      <c r="A27" s="9" t="inlineStr">
        <is>
          <t>Total equity</t>
        </is>
      </c>
      <c r="B27" s="22" t="n">
        <v>3264221</v>
      </c>
      <c r="C27" s="22" t="n">
        <v>3810169</v>
      </c>
      <c r="D27" s="22" t="n">
        <v>4099312</v>
      </c>
      <c r="E27" s="22">
        <f>E18-E26</f>
        <v/>
      </c>
      <c r="F27" s="22">
        <f>F18-F26</f>
        <v/>
      </c>
      <c r="G27" s="22">
        <f>G18-G26</f>
        <v/>
      </c>
      <c r="H27" s="22">
        <f>H18-H26</f>
        <v/>
      </c>
      <c r="I27" s="22">
        <f>I18-I26</f>
        <v/>
      </c>
    </row>
    <row r="28">
      <c r="A28" s="9" t="inlineStr">
        <is>
          <t>Total liabilities and equity</t>
        </is>
      </c>
      <c r="B28" s="22">
        <f>B26+B27</f>
        <v/>
      </c>
      <c r="C28" s="22">
        <f>C26+C27</f>
        <v/>
      </c>
      <c r="D28" s="22">
        <f>D26+D27</f>
        <v/>
      </c>
      <c r="E28" s="22">
        <f>E26+E27</f>
        <v/>
      </c>
      <c r="F28" s="22">
        <f>F26+F27</f>
        <v/>
      </c>
      <c r="G28" s="22">
        <f>G26+G27</f>
        <v/>
      </c>
      <c r="H28" s="22">
        <f>H26+H27</f>
        <v/>
      </c>
      <c r="I28" s="22">
        <f>I26+I27</f>
        <v/>
      </c>
    </row>
    <row r="30">
      <c r="A30" s="6" t="inlineStr">
        <is>
          <t>Working capital</t>
        </is>
      </c>
      <c r="B30" s="14">
        <f>B14+B15+B16-B22-B23</f>
        <v/>
      </c>
      <c r="C30" s="14">
        <f>C14+C15+C16-C22-C23</f>
        <v/>
      </c>
      <c r="D30" s="14">
        <f>D14+D15+D16-D22-D23</f>
        <v/>
      </c>
      <c r="E30" s="14">
        <f>Segments!E25*Assumptions!$C$120</f>
        <v/>
      </c>
      <c r="F30" s="14">
        <f>Segments!F25*Assumptions!$C$120</f>
        <v/>
      </c>
      <c r="G30" s="14">
        <f>Segments!G25*Assumptions!$C$120</f>
        <v/>
      </c>
      <c r="H30" s="14">
        <f>Segments!H25*Assumptions!$C$120</f>
        <v/>
      </c>
      <c r="I30" s="14">
        <f>Segments!I25*Assumptions!$C$120</f>
        <v/>
      </c>
    </row>
    <row r="31">
      <c r="A31" s="6" t="inlineStr">
        <is>
          <t>Net debt</t>
        </is>
      </c>
      <c r="B31" s="14">
        <f>B21-B17</f>
        <v/>
      </c>
      <c r="C31" s="14">
        <f>C21-C17</f>
        <v/>
      </c>
      <c r="D31" s="14">
        <f>D21-D17</f>
        <v/>
      </c>
      <c r="E31" s="14">
        <f>E21-E17</f>
        <v/>
      </c>
      <c r="F31" s="14">
        <f>F21-F17</f>
        <v/>
      </c>
      <c r="G31" s="14">
        <f>G21-G17</f>
        <v/>
      </c>
      <c r="H31" s="14">
        <f>H21-H17</f>
        <v/>
      </c>
      <c r="I31" s="14">
        <f>I21-I17</f>
        <v/>
      </c>
    </row>
    <row r="32">
      <c r="A32" s="6" t="inlineStr">
        <is>
          <t>Net debt / EBITDA</t>
        </is>
      </c>
      <c r="B32" s="7">
        <f>B31/Segments!B45</f>
        <v/>
      </c>
      <c r="C32" s="7">
        <f>C31/Segments!C45</f>
        <v/>
      </c>
      <c r="D32" s="7">
        <f>D31/Segments!D45</f>
        <v/>
      </c>
      <c r="E32" s="7">
        <f>E31/Segments!E45</f>
        <v/>
      </c>
      <c r="F32" s="7">
        <f>F31/Segments!F45</f>
        <v/>
      </c>
      <c r="G32" s="7">
        <f>G31/Segments!G45</f>
        <v/>
      </c>
      <c r="H32" s="7">
        <f>H31/Segments!H45</f>
        <v/>
      </c>
      <c r="I32" s="7">
        <f>I31/Segments!I45</f>
        <v/>
      </c>
    </row>
    <row r="34">
      <c r="A34" s="12" t="inlineStr">
        <is>
          <t>CAPACITY-PLATEAU CASE — FIXED ASSETS AND WORKING CAPITAL</t>
        </is>
      </c>
    </row>
    <row r="35">
      <c r="A35" s="6" t="inlineStr">
        <is>
          <t>Opening fixed assets</t>
        </is>
      </c>
      <c r="E35" s="14">
        <f>D8</f>
        <v/>
      </c>
      <c r="F35" s="14">
        <f>E38</f>
        <v/>
      </c>
      <c r="G35" s="14">
        <f>F38</f>
        <v/>
      </c>
      <c r="H35" s="14">
        <f>G38</f>
        <v/>
      </c>
      <c r="I35" s="14">
        <f>H38</f>
        <v/>
      </c>
    </row>
    <row r="36">
      <c r="A36" s="6" t="inlineStr">
        <is>
          <t>Capital expenditure</t>
        </is>
      </c>
      <c r="E36" s="14">
        <f>Assumptions!$C$114</f>
        <v/>
      </c>
      <c r="F36" s="14">
        <f>Assumptions!$C$115</f>
        <v/>
      </c>
      <c r="G36" s="14">
        <f>Assumptions!$C$116</f>
        <v/>
      </c>
      <c r="H36" s="14">
        <f>Assumptions!$C$117</f>
        <v/>
      </c>
      <c r="I36" s="14">
        <f>Assumptions!$C$118</f>
        <v/>
      </c>
    </row>
    <row r="37">
      <c r="A37" s="6" t="inlineStr">
        <is>
          <t>Depreciation and amortisation</t>
        </is>
      </c>
      <c r="E37" s="14">
        <f>E35*Assumptions!$C$119</f>
        <v/>
      </c>
      <c r="F37" s="14">
        <f>F35*Assumptions!$C$119</f>
        <v/>
      </c>
      <c r="G37" s="14">
        <f>G35*Assumptions!$C$119</f>
        <v/>
      </c>
      <c r="H37" s="14">
        <f>H35*Assumptions!$C$119</f>
        <v/>
      </c>
      <c r="I37" s="14">
        <f>I35*Assumptions!$C$119</f>
        <v/>
      </c>
    </row>
    <row r="38">
      <c r="A38" s="9" t="inlineStr">
        <is>
          <t>Closing fixed assets</t>
        </is>
      </c>
      <c r="E38" s="22">
        <f>E35+E36-E37</f>
        <v/>
      </c>
      <c r="F38" s="22">
        <f>F35+F36-F37</f>
        <v/>
      </c>
      <c r="G38" s="22">
        <f>G35+G36-G37</f>
        <v/>
      </c>
      <c r="H38" s="22">
        <f>H35+H36-H37</f>
        <v/>
      </c>
      <c r="I38" s="22">
        <f>I35+I36-I37</f>
        <v/>
      </c>
    </row>
    <row r="39">
      <c r="A39" s="6" t="inlineStr">
        <is>
          <t>Working capital</t>
        </is>
      </c>
      <c r="E39" s="14">
        <f>Segments!E71*Assumptions!$C$120</f>
        <v/>
      </c>
      <c r="F39" s="14">
        <f>Segments!F71*Assumptions!$C$120</f>
        <v/>
      </c>
      <c r="G39" s="14">
        <f>Segments!G71*Assumptions!$C$120</f>
        <v/>
      </c>
      <c r="H39" s="14">
        <f>Segments!H71*Assumptions!$C$120</f>
        <v/>
      </c>
      <c r="I39" s="14">
        <f>Segments!I71*Assumptions!$C$120</f>
        <v/>
      </c>
    </row>
  </sheetData>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Cash flow — the free-cash-flow bridge and the movement in cash</t>
        </is>
      </c>
    </row>
    <row r="3" ht="30" customHeight="1">
      <c r="A3" s="4" t="inlineStr">
        <is>
          <t>USD thousands</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Profit after tax</t>
        </is>
      </c>
      <c r="B4" s="14">
        <f>'Income Statement'!B14</f>
        <v/>
      </c>
      <c r="C4" s="14">
        <f>'Income Statement'!C14</f>
        <v/>
      </c>
      <c r="D4" s="14">
        <f>'Income Statement'!D14</f>
        <v/>
      </c>
      <c r="E4" s="14">
        <f>'Income Statement'!E14</f>
        <v/>
      </c>
      <c r="F4" s="14">
        <f>'Income Statement'!F14</f>
        <v/>
      </c>
      <c r="G4" s="14">
        <f>'Income Statement'!G14</f>
        <v/>
      </c>
      <c r="H4" s="14">
        <f>'Income Statement'!H14</f>
        <v/>
      </c>
      <c r="I4" s="14">
        <f>'Income Statement'!I14</f>
        <v/>
      </c>
    </row>
    <row r="5">
      <c r="A5" s="6" t="inlineStr">
        <is>
          <t>Depreciation and amortisation</t>
        </is>
      </c>
      <c r="B5" s="14">
        <f>'Balance Sheet'!B7</f>
        <v/>
      </c>
      <c r="C5" s="14">
        <f>'Balance Sheet'!C7</f>
        <v/>
      </c>
      <c r="D5" s="14">
        <f>'Balance Sheet'!D7</f>
        <v/>
      </c>
      <c r="E5" s="14">
        <f>'Balance Sheet'!E7</f>
        <v/>
      </c>
      <c r="F5" s="14">
        <f>'Balance Sheet'!F7</f>
        <v/>
      </c>
      <c r="G5" s="14">
        <f>'Balance Sheet'!G7</f>
        <v/>
      </c>
      <c r="H5" s="14">
        <f>'Balance Sheet'!H7</f>
        <v/>
      </c>
      <c r="I5" s="14">
        <f>'Balance Sheet'!I7</f>
        <v/>
      </c>
    </row>
    <row r="6">
      <c r="A6" s="6" t="inlineStr">
        <is>
          <t>Increase in working capital</t>
        </is>
      </c>
      <c r="E6" s="14">
        <f>-('Balance Sheet'!E30-'Balance Sheet'!D30)</f>
        <v/>
      </c>
      <c r="F6" s="14">
        <f>-('Balance Sheet'!F30-'Balance Sheet'!E30)</f>
        <v/>
      </c>
      <c r="G6" s="14">
        <f>-('Balance Sheet'!G30-'Balance Sheet'!F30)</f>
        <v/>
      </c>
      <c r="H6" s="14">
        <f>-('Balance Sheet'!H30-'Balance Sheet'!G30)</f>
        <v/>
      </c>
      <c r="I6" s="14">
        <f>-('Balance Sheet'!I30-'Balance Sheet'!H30)</f>
        <v/>
      </c>
    </row>
    <row r="7">
      <c r="A7" s="6" t="inlineStr">
        <is>
          <t>Movement in provisions and tax payable</t>
        </is>
      </c>
      <c r="E7" s="14">
        <f>('Balance Sheet'!E24-'Balance Sheet'!D24)+('Balance Sheet'!E25-'Balance Sheet'!D25)</f>
        <v/>
      </c>
      <c r="F7" s="14">
        <f>('Balance Sheet'!F24-'Balance Sheet'!E24)+('Balance Sheet'!F25-'Balance Sheet'!E25)</f>
        <v/>
      </c>
      <c r="G7" s="14">
        <f>('Balance Sheet'!G24-'Balance Sheet'!F24)+('Balance Sheet'!G25-'Balance Sheet'!F25)</f>
        <v/>
      </c>
      <c r="H7" s="14">
        <f>('Balance Sheet'!H24-'Balance Sheet'!G24)+('Balance Sheet'!H25-'Balance Sheet'!G25)</f>
        <v/>
      </c>
      <c r="I7" s="14">
        <f>('Balance Sheet'!I24-'Balance Sheet'!H24)+('Balance Sheet'!I25-'Balance Sheet'!H25)</f>
        <v/>
      </c>
    </row>
    <row r="8">
      <c r="A8" s="9" t="inlineStr">
        <is>
          <t>Net cash from operating activities</t>
        </is>
      </c>
      <c r="B8" s="22" t="n">
        <v>1355056</v>
      </c>
      <c r="C8" s="22" t="n">
        <v>1653666</v>
      </c>
      <c r="D8" s="22" t="n">
        <v>2225843</v>
      </c>
      <c r="E8" s="22">
        <f>E4+E5+E6+E7</f>
        <v/>
      </c>
      <c r="F8" s="22">
        <f>F4+F5+F6+F7</f>
        <v/>
      </c>
      <c r="G8" s="22">
        <f>G4+G5+G6+G7</f>
        <v/>
      </c>
      <c r="H8" s="22">
        <f>H4+H5+H6+H7</f>
        <v/>
      </c>
      <c r="I8" s="22">
        <f>I4+I5+I6+I7</f>
        <v/>
      </c>
    </row>
    <row r="9">
      <c r="A9" s="6" t="inlineStr">
        <is>
          <t>Capital expenditure</t>
        </is>
      </c>
      <c r="B9" s="14">
        <f>-'Balance Sheet'!B6</f>
        <v/>
      </c>
      <c r="C9" s="14">
        <f>-'Balance Sheet'!C6</f>
        <v/>
      </c>
      <c r="D9" s="14">
        <f>-'Balance Sheet'!D6</f>
        <v/>
      </c>
      <c r="E9" s="14">
        <f>-'Balance Sheet'!E6</f>
        <v/>
      </c>
      <c r="F9" s="14">
        <f>-'Balance Sheet'!F6</f>
        <v/>
      </c>
      <c r="G9" s="14">
        <f>-'Balance Sheet'!G6</f>
        <v/>
      </c>
      <c r="H9" s="14">
        <f>-'Balance Sheet'!H6</f>
        <v/>
      </c>
      <c r="I9" s="14">
        <f>-'Balance Sheet'!I6</f>
        <v/>
      </c>
    </row>
    <row r="10">
      <c r="A10" s="6" t="inlineStr">
        <is>
          <t>Dividends paid</t>
        </is>
      </c>
      <c r="B10" s="14" t="n">
        <v>-699559</v>
      </c>
      <c r="C10" s="14" t="n">
        <v>-752452</v>
      </c>
      <c r="D10" s="14" t="n">
        <v>-1143567</v>
      </c>
      <c r="E10" s="14">
        <f>-Assumptions!$C$121*(1+Assumptions!$C$122)^0</f>
        <v/>
      </c>
      <c r="F10" s="14">
        <f>-Assumptions!$C$121*(1+Assumptions!$C$122)^1</f>
        <v/>
      </c>
      <c r="G10" s="14">
        <f>-Assumptions!$C$121*(1+Assumptions!$C$122)^2</f>
        <v/>
      </c>
      <c r="H10" s="14">
        <f>-Assumptions!$C$121*(1+Assumptions!$C$122)^3</f>
        <v/>
      </c>
      <c r="I10" s="14">
        <f>-Assumptions!$C$121*(1+Assumptions!$C$122)^4</f>
        <v/>
      </c>
    </row>
    <row r="11">
      <c r="A11" s="6" t="inlineStr">
        <is>
          <t>Net movement in cash</t>
        </is>
      </c>
      <c r="E11" s="14">
        <f>E8+E9+E10</f>
        <v/>
      </c>
      <c r="F11" s="14">
        <f>F8+F9+F10</f>
        <v/>
      </c>
      <c r="G11" s="14">
        <f>G8+G9+G10</f>
        <v/>
      </c>
      <c r="H11" s="14">
        <f>H8+H9+H10</f>
        <v/>
      </c>
      <c r="I11" s="14">
        <f>I8+I9+I10</f>
        <v/>
      </c>
    </row>
    <row r="12">
      <c r="A12" s="6" t="inlineStr">
        <is>
          <t>Opening cash</t>
        </is>
      </c>
      <c r="E12" s="14">
        <f>236016.0</f>
        <v/>
      </c>
      <c r="F12" s="14">
        <f>E13</f>
        <v/>
      </c>
      <c r="G12" s="14">
        <f>F13</f>
        <v/>
      </c>
      <c r="H12" s="14">
        <f>G13</f>
        <v/>
      </c>
      <c r="I12" s="14">
        <f>H13</f>
        <v/>
      </c>
    </row>
    <row r="13">
      <c r="A13" s="9" t="inlineStr">
        <is>
          <t>Closing cash</t>
        </is>
      </c>
      <c r="E13" s="22">
        <f>E12+E11</f>
        <v/>
      </c>
      <c r="F13" s="22">
        <f>F12+F11</f>
        <v/>
      </c>
      <c r="G13" s="22">
        <f>G12+G11</f>
        <v/>
      </c>
      <c r="H13" s="22">
        <f>H12+H11</f>
        <v/>
      </c>
      <c r="I13" s="22">
        <f>I12+I11</f>
        <v/>
      </c>
    </row>
    <row r="14">
      <c r="A14" s="9" t="inlineStr">
        <is>
          <t>Memo: free cash flow to the firm</t>
        </is>
      </c>
      <c r="E14" s="22">
        <f>('Income Statement'!E9*(1-Assumptions!$C$19))+E5+E9+E6</f>
        <v/>
      </c>
      <c r="F14" s="22">
        <f>('Income Statement'!F9*(1-Assumptions!$C$19))+F5+F9+F6</f>
        <v/>
      </c>
      <c r="G14" s="22">
        <f>('Income Statement'!G9*(1-Assumptions!$C$19))+G5+G9+G6</f>
        <v/>
      </c>
      <c r="H14" s="22">
        <f>('Income Statement'!H9*(1-Assumptions!$C$19))+H5+H9+H6</f>
        <v/>
      </c>
      <c r="I14" s="22">
        <f>('Income Statement'!I9*(1-Assumptions!$C$19))+I5+I9+I6</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Summary financials — the eight-year picture on one page</t>
        </is>
      </c>
    </row>
    <row r="3" ht="30" customHeight="1">
      <c r="A3" s="4" t="inlineStr">
        <is>
          <t>USD thousands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Revenue</t>
        </is>
      </c>
      <c r="B4" s="14">
        <f>'Income Statement'!B4</f>
        <v/>
      </c>
      <c r="C4" s="14">
        <f>'Income Statement'!C4</f>
        <v/>
      </c>
      <c r="D4" s="14">
        <f>'Income Statement'!D4</f>
        <v/>
      </c>
      <c r="E4" s="14">
        <f>'Income Statement'!E4</f>
        <v/>
      </c>
      <c r="F4" s="14">
        <f>'Income Statement'!F4</f>
        <v/>
      </c>
      <c r="G4" s="14">
        <f>'Income Statement'!G4</f>
        <v/>
      </c>
      <c r="H4" s="14">
        <f>'Income Statement'!H4</f>
        <v/>
      </c>
      <c r="I4" s="14">
        <f>'Income Statement'!I4</f>
        <v/>
      </c>
    </row>
    <row r="5">
      <c r="A5" s="6" t="inlineStr">
        <is>
          <t>EBITDA</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s="6" t="inlineStr">
        <is>
          <t>EBITDA margin</t>
        </is>
      </c>
      <c r="B6" s="8">
        <f>'Income Statement'!B6</f>
        <v/>
      </c>
      <c r="C6" s="8">
        <f>'Income Statement'!C6</f>
        <v/>
      </c>
      <c r="D6" s="8">
        <f>'Income Statement'!D6</f>
        <v/>
      </c>
      <c r="E6" s="8">
        <f>'Income Statement'!E6</f>
        <v/>
      </c>
      <c r="F6" s="8">
        <f>'Income Statement'!F6</f>
        <v/>
      </c>
      <c r="G6" s="8">
        <f>'Income Statement'!G6</f>
        <v/>
      </c>
      <c r="H6" s="8">
        <f>'Income Statement'!H6</f>
        <v/>
      </c>
      <c r="I6" s="8">
        <f>'Income Statement'!I6</f>
        <v/>
      </c>
    </row>
    <row r="7">
      <c r="A7" s="6" t="inlineStr">
        <is>
          <t>Profit after tax</t>
        </is>
      </c>
      <c r="B7" s="14">
        <f>'Income Statement'!B14</f>
        <v/>
      </c>
      <c r="C7" s="14">
        <f>'Income Statement'!C14</f>
        <v/>
      </c>
      <c r="D7" s="14">
        <f>'Income Statement'!D14</f>
        <v/>
      </c>
      <c r="E7" s="14">
        <f>'Income Statement'!E14</f>
        <v/>
      </c>
      <c r="F7" s="14">
        <f>'Income Statement'!F14</f>
        <v/>
      </c>
      <c r="G7" s="14">
        <f>'Income Statement'!G14</f>
        <v/>
      </c>
      <c r="H7" s="14">
        <f>'Income Statement'!H14</f>
        <v/>
      </c>
      <c r="I7" s="14">
        <f>'Income Statement'!I14</f>
        <v/>
      </c>
    </row>
    <row r="8">
      <c r="A8" s="6" t="inlineStr">
        <is>
          <t>Net margin</t>
        </is>
      </c>
      <c r="B8" s="8">
        <f>'Income Statement'!B15</f>
        <v/>
      </c>
      <c r="C8" s="8">
        <f>'Income Statement'!C15</f>
        <v/>
      </c>
      <c r="D8" s="8">
        <f>'Income Statement'!D15</f>
        <v/>
      </c>
      <c r="E8" s="8">
        <f>'Income Statement'!E15</f>
        <v/>
      </c>
      <c r="F8" s="8">
        <f>'Income Statement'!F15</f>
        <v/>
      </c>
      <c r="G8" s="8">
        <f>'Income Statement'!G15</f>
        <v/>
      </c>
      <c r="H8" s="8">
        <f>'Income Statement'!H15</f>
        <v/>
      </c>
      <c r="I8" s="8">
        <f>'Income Statement'!I15</f>
        <v/>
      </c>
    </row>
    <row r="9">
      <c r="A9" s="6" t="inlineStr">
        <is>
          <t>Capital expenditure</t>
        </is>
      </c>
      <c r="B9" s="14">
        <f>'Balance Sheet'!B6</f>
        <v/>
      </c>
      <c r="C9" s="14">
        <f>'Balance Sheet'!C6</f>
        <v/>
      </c>
      <c r="D9" s="14">
        <f>'Balance Sheet'!D6</f>
        <v/>
      </c>
      <c r="E9" s="14">
        <f>'Balance Sheet'!E6</f>
        <v/>
      </c>
      <c r="F9" s="14">
        <f>'Balance Sheet'!F6</f>
        <v/>
      </c>
      <c r="G9" s="14">
        <f>'Balance Sheet'!G6</f>
        <v/>
      </c>
      <c r="H9" s="14">
        <f>'Balance Sheet'!H6</f>
        <v/>
      </c>
      <c r="I9" s="14">
        <f>'Balance Sheet'!I6</f>
        <v/>
      </c>
    </row>
    <row r="10">
      <c r="A10" s="6" t="inlineStr">
        <is>
          <t>Net debt</t>
        </is>
      </c>
      <c r="B10" s="14">
        <f>'Balance Sheet'!B31</f>
        <v/>
      </c>
      <c r="C10" s="14">
        <f>'Balance Sheet'!C31</f>
        <v/>
      </c>
      <c r="D10" s="14">
        <f>'Balance Sheet'!D31</f>
        <v/>
      </c>
      <c r="E10" s="14">
        <f>'Balance Sheet'!E31</f>
        <v/>
      </c>
      <c r="F10" s="14">
        <f>'Balance Sheet'!F31</f>
        <v/>
      </c>
      <c r="G10" s="14">
        <f>'Balance Sheet'!G31</f>
        <v/>
      </c>
      <c r="H10" s="14">
        <f>'Balance Sheet'!H31</f>
        <v/>
      </c>
      <c r="I10" s="14">
        <f>'Balance Sheet'!I31</f>
        <v/>
      </c>
    </row>
    <row r="11">
      <c r="A11" s="6" t="inlineStr">
        <is>
          <t>Net debt / EBITDA</t>
        </is>
      </c>
      <c r="B11" s="7">
        <f>'Balance Sheet'!B32</f>
        <v/>
      </c>
      <c r="C11" s="7">
        <f>'Balance Sheet'!C32</f>
        <v/>
      </c>
      <c r="D11" s="7">
        <f>'Balance Sheet'!D32</f>
        <v/>
      </c>
      <c r="E11" s="7">
        <f>'Balance Sheet'!E32</f>
        <v/>
      </c>
      <c r="F11" s="7">
        <f>'Balance Sheet'!F32</f>
        <v/>
      </c>
      <c r="G11" s="7">
        <f>'Balance Sheet'!G32</f>
        <v/>
      </c>
      <c r="H11" s="7">
        <f>'Balance Sheet'!H32</f>
        <v/>
      </c>
      <c r="I11" s="7">
        <f>'Balance Sheet'!I32</f>
        <v/>
      </c>
    </row>
    <row r="12">
      <c r="A12" s="6" t="inlineStr">
        <is>
          <t>Total equity</t>
        </is>
      </c>
      <c r="B12" s="14">
        <f>'Balance Sheet'!B27</f>
        <v/>
      </c>
      <c r="C12" s="14">
        <f>'Balance Sheet'!C27</f>
        <v/>
      </c>
      <c r="D12" s="14">
        <f>'Balance Sheet'!D27</f>
        <v/>
      </c>
      <c r="E12" s="14">
        <f>'Balance Sheet'!E27</f>
        <v/>
      </c>
      <c r="F12" s="14">
        <f>'Balance Sheet'!F27</f>
        <v/>
      </c>
      <c r="G12" s="14">
        <f>'Balance Sheet'!G27</f>
        <v/>
      </c>
      <c r="H12" s="14">
        <f>'Balance Sheet'!H27</f>
        <v/>
      </c>
      <c r="I12" s="14">
        <f>'Balance Sheet'!I27</f>
        <v/>
      </c>
    </row>
    <row r="13">
      <c r="A13" s="6" t="inlineStr">
        <is>
          <t>Working capital</t>
        </is>
      </c>
      <c r="B13" s="14">
        <f>'Balance Sheet'!B30</f>
        <v/>
      </c>
      <c r="C13" s="14">
        <f>'Balance Sheet'!C30</f>
        <v/>
      </c>
      <c r="D13" s="14">
        <f>'Balance Sheet'!D30</f>
        <v/>
      </c>
      <c r="E13" s="14">
        <f>'Balance Sheet'!E30</f>
        <v/>
      </c>
      <c r="F13" s="14">
        <f>'Balance Sheet'!F30</f>
        <v/>
      </c>
      <c r="G13" s="14">
        <f>'Balance Sheet'!G30</f>
        <v/>
      </c>
      <c r="H13" s="14">
        <f>'Balance Sheet'!H30</f>
        <v/>
      </c>
      <c r="I13" s="14">
        <f>'Balance Sheet'!I30</f>
        <v/>
      </c>
    </row>
    <row r="15">
      <c r="A15" s="6" t="inlineStr">
        <is>
          <t>Return on invested capital</t>
        </is>
      </c>
      <c r="E15" s="8">
        <f>DCF!B34/('Balance Sheet'!E27+'Balance Sheet'!E31)</f>
        <v/>
      </c>
      <c r="F15" s="8">
        <f>DCF!C34/('Balance Sheet'!F27+'Balance Sheet'!F31)</f>
        <v/>
      </c>
      <c r="G15" s="8">
        <f>DCF!D34/('Balance Sheet'!G27+'Balance Sheet'!G31)</f>
        <v/>
      </c>
      <c r="H15" s="8">
        <f>DCF!E34/('Balance Sheet'!H27+'Balance Sheet'!H31)</f>
        <v/>
      </c>
      <c r="I15" s="8">
        <f>DCF!F34/('Balance Sheet'!I27+'Balance Sheet'!I31)</f>
        <v/>
      </c>
    </row>
  </sheetData>
  <mergeCells count="1">
    <mergeCell ref="A1:I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18" customWidth="1" min="2" max="2"/>
    <col width="18" customWidth="1" min="3" max="3"/>
    <col width="60" customWidth="1" min="4" max="4"/>
  </cols>
  <sheetData>
    <row r="1" ht="22" customHeight="1">
      <c r="A1" s="1" t="inlineStr">
        <is>
          <t>Probability map — a whole-model re-run; these cells do NOT redraw when a driver changes</t>
        </is>
      </c>
    </row>
    <row r="2" ht="40" customHeight="1">
      <c r="A2" s="3" t="inlineStr">
        <is>
          <t>Each figure below is the outcome of 50,000 simulated price paths struck on 07-Aug-2026. They are pasted because every one of them is a complete re-simulation, not an arithmetic function of a cell on the Assumptions sheet. Changing a valuation driver does not move them.</t>
        </is>
      </c>
    </row>
    <row r="4" ht="30" customHeight="1">
      <c r="A4" s="4" t="inlineStr"/>
      <c r="B4" s="5" t="inlineStr">
        <is>
          <t>One month</t>
        </is>
      </c>
      <c r="C4" s="5" t="inlineStr">
        <is>
          <t>Three months</t>
        </is>
      </c>
      <c r="D4" s="5" t="inlineStr">
        <is>
          <t>Note</t>
        </is>
      </c>
    </row>
    <row r="5">
      <c r="A5" s="6" t="inlineStr">
        <is>
          <t>Check date</t>
        </is>
      </c>
      <c r="B5" s="28" t="inlineStr">
        <is>
          <t>2026-09-07</t>
        </is>
      </c>
      <c r="C5" s="28" t="inlineStr">
        <is>
          <t>2026-11-09</t>
        </is>
      </c>
    </row>
    <row r="6">
      <c r="A6" s="6" t="inlineStr">
        <is>
          <t>5th percentile (AED)</t>
        </is>
      </c>
      <c r="B6" s="7" t="n">
        <v>5.261053120757469</v>
      </c>
      <c r="C6" s="7" t="n">
        <v>4.744087340250267</v>
      </c>
    </row>
    <row r="7">
      <c r="A7" s="6" t="inlineStr">
        <is>
          <t>25th percentile (AED)</t>
        </is>
      </c>
      <c r="B7" s="7" t="n">
        <v>5.668091731626873</v>
      </c>
      <c r="C7" s="7" t="n">
        <v>5.4485130105545</v>
      </c>
    </row>
    <row r="8">
      <c r="A8" s="6" t="inlineStr">
        <is>
          <t>50th percentile (AED)</t>
        </is>
      </c>
      <c r="B8" s="7" t="n">
        <v>5.937700098055332</v>
      </c>
      <c r="C8" s="7" t="n">
        <v>5.939034492560133</v>
      </c>
    </row>
    <row r="9">
      <c r="A9" s="6" t="inlineStr">
        <is>
          <t>75th percentile (AED)</t>
        </is>
      </c>
      <c r="B9" s="7" t="n">
        <v>6.221601492284306</v>
      </c>
      <c r="C9" s="7" t="n">
        <v>6.471824806058941</v>
      </c>
    </row>
    <row r="10">
      <c r="A10" s="6" t="inlineStr">
        <is>
          <t>95th percentile (AED)</t>
        </is>
      </c>
      <c r="B10" s="7" t="n">
        <v>6.688436587011161</v>
      </c>
      <c r="C10" s="7" t="n">
        <v>7.443568188277743</v>
      </c>
    </row>
    <row r="11">
      <c r="A11" s="6" t="inlineStr">
        <is>
          <t>Probability of finishing above the current price</t>
        </is>
      </c>
      <c r="B11" s="8" t="n">
        <v>0.4976</v>
      </c>
      <c r="C11" s="8" t="n">
        <v>0.49956</v>
      </c>
    </row>
    <row r="12">
      <c r="A12" s="6" t="inlineStr">
        <is>
          <t>Probability of finishing 10% or more above</t>
        </is>
      </c>
      <c r="B12" s="8" t="n">
        <v>0.08798</v>
      </c>
      <c r="C12" s="8" t="n">
        <v>0.22738</v>
      </c>
    </row>
    <row r="13">
      <c r="A13" s="6" t="inlineStr">
        <is>
          <t>Probability of finishing 10% or more below</t>
        </is>
      </c>
      <c r="B13" s="8" t="n">
        <v>0.07288</v>
      </c>
      <c r="C13" s="8" t="n">
        <v>0.20606</v>
      </c>
    </row>
    <row r="14">
      <c r="A14" s="6" t="inlineStr">
        <is>
          <t>Probability of touching +10% at any point</t>
        </is>
      </c>
      <c r="B14" s="8" t="n">
        <v>0.14622</v>
      </c>
      <c r="C14" s="8" t="n">
        <v>0.41784</v>
      </c>
    </row>
    <row r="15">
      <c r="A15" s="6" t="inlineStr">
        <is>
          <t>Probability of touching -10% at any point</t>
        </is>
      </c>
      <c r="B15" s="8" t="n">
        <v>0.11776</v>
      </c>
      <c r="C15" s="8" t="n">
        <v>0.37572</v>
      </c>
    </row>
    <row r="16">
      <c r="A16" s="6" t="inlineStr">
        <is>
          <t>Probability of touching +20% at any point</t>
        </is>
      </c>
      <c r="B16" s="8" t="n">
        <v>0.01514</v>
      </c>
      <c r="C16" s="8" t="n">
        <v>0.15284</v>
      </c>
    </row>
    <row r="17">
      <c r="A17" s="6" t="inlineStr">
        <is>
          <t>Probability of touching -20% at any point</t>
        </is>
      </c>
      <c r="B17" s="8" t="n">
        <v>0.00514</v>
      </c>
      <c r="C17" s="8" t="n">
        <v>0.08853999999999999</v>
      </c>
    </row>
    <row r="18">
      <c r="A18" s="6" t="inlineStr">
        <is>
          <t>Annualised volatility at the anchor</t>
        </is>
      </c>
      <c r="B18" s="8" t="n">
        <v>0.2713821605148101</v>
      </c>
      <c r="C18" s="8" t="n">
        <v>0.2842222835333822</v>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Sensitivity — whole-model re-runs; these grids do NOT redraw when a driver changes</t>
        </is>
      </c>
    </row>
    <row r="2" ht="40" customHeight="1">
      <c r="A2" s="3" t="inlineStr">
        <is>
          <t>Each cell below is a complete revaluation of the model at a different pair of inputs, computed and pasted. They are the one place in this workbook where a number is not a live formula, and that is deliberate: a grid of full model re-runs cannot be expressed as arithmetic over a single set of driver cells.</t>
        </is>
      </c>
    </row>
    <row r="4">
      <c r="A4" s="12" t="inlineStr">
        <is>
          <t>Discounted-cash-flow value (AED/share) — cost of capital against terminal growth</t>
        </is>
      </c>
    </row>
    <row r="5">
      <c r="B5" s="29" t="n">
        <v>0.01</v>
      </c>
      <c r="C5" s="29" t="n">
        <v>0.015</v>
      </c>
      <c r="D5" s="29" t="n">
        <v>0.02</v>
      </c>
      <c r="E5" s="29" t="n">
        <v>0.025</v>
      </c>
      <c r="F5" s="29" t="n">
        <v>0.03</v>
      </c>
    </row>
    <row r="6">
      <c r="A6" s="30" t="n">
        <v>0.064621</v>
      </c>
      <c r="B6" s="7" t="n">
        <v>6.439473892704435</v>
      </c>
      <c r="C6" s="7" t="n">
        <v>6.828836475852107</v>
      </c>
      <c r="D6" s="7" t="n">
        <v>7.303575178495154</v>
      </c>
      <c r="E6" s="7" t="n">
        <v>7.896012299223474</v>
      </c>
      <c r="F6" s="7" t="n">
        <v>8.657142213453122</v>
      </c>
    </row>
    <row r="7">
      <c r="A7" s="30" t="n">
        <v>0.069621</v>
      </c>
      <c r="B7" s="7" t="n">
        <v>5.86179219004092</v>
      </c>
      <c r="C7" s="7" t="n">
        <v>6.167691868302923</v>
      </c>
      <c r="D7" s="7" t="n">
        <v>6.533583992603078</v>
      </c>
      <c r="E7" s="7" t="n">
        <v>6.979635898737802</v>
      </c>
      <c r="F7" s="7" t="n">
        <v>7.53619504708212</v>
      </c>
    </row>
    <row r="8">
      <c r="A8" s="30" t="n">
        <v>0.07462100000000001</v>
      </c>
      <c r="B8" s="7" t="n">
        <v>5.373388977815597</v>
      </c>
      <c r="C8" s="7" t="n">
        <v>5.617194738766592</v>
      </c>
      <c r="D8" s="7" t="n">
        <v>5.904167753049582</v>
      </c>
      <c r="E8" s="7" t="n">
        <v>6.247357108751856</v>
      </c>
      <c r="F8" s="7" t="n">
        <v>6.665660749023269</v>
      </c>
    </row>
    <row r="9">
      <c r="A9" s="30" t="n">
        <v>0.079621</v>
      </c>
      <c r="B9" s="7" t="n">
        <v>4.955035063878917</v>
      </c>
      <c r="C9" s="7" t="n">
        <v>5.151671126876438</v>
      </c>
      <c r="D9" s="7" t="n">
        <v>5.379973582807436</v>
      </c>
      <c r="E9" s="7" t="n">
        <v>5.648638645472497</v>
      </c>
      <c r="F9" s="7" t="n">
        <v>5.969867582500469</v>
      </c>
    </row>
    <row r="10">
      <c r="A10" s="30" t="n">
        <v>0.084621</v>
      </c>
      <c r="B10" s="7" t="n">
        <v>4.5926548285967</v>
      </c>
      <c r="C10" s="7" t="n">
        <v>4.752822038737026</v>
      </c>
      <c r="D10" s="7" t="n">
        <v>4.93658968054318</v>
      </c>
      <c r="E10" s="7" t="n">
        <v>5.149895367859067</v>
      </c>
      <c r="F10" s="7" t="n">
        <v>5.400850828456897</v>
      </c>
    </row>
    <row r="13">
      <c r="A13" s="12" t="inlineStr">
        <is>
          <t>EBITDA-margin shift (percentage points of revenue)</t>
        </is>
      </c>
    </row>
    <row r="14">
      <c r="B14" s="31" t="n">
        <v>-0.04</v>
      </c>
      <c r="C14" s="31" t="n">
        <v>-0.02</v>
      </c>
      <c r="D14" s="31" t="n">
        <v>0</v>
      </c>
      <c r="E14" s="31" t="n">
        <v>0.02</v>
      </c>
      <c r="F14" s="31" t="n">
        <v>0.04</v>
      </c>
    </row>
    <row r="15">
      <c r="B15" s="7" t="n">
        <v>5.471874275925205</v>
      </c>
      <c r="C15" s="7" t="n">
        <v>5.859638593805311</v>
      </c>
      <c r="D15" s="7" t="n">
        <v>6.247402911685418</v>
      </c>
      <c r="E15" s="7" t="n">
        <v>6.635167229565526</v>
      </c>
      <c r="F15" s="7" t="n">
        <v>7.022931547445633</v>
      </c>
    </row>
    <row r="17">
      <c r="A17" s="12" t="inlineStr">
        <is>
          <t>Equity beta</t>
        </is>
      </c>
    </row>
    <row r="18">
      <c r="B18" s="32" t="n">
        <v>0.5</v>
      </c>
      <c r="C18" s="32" t="n">
        <v>0.6</v>
      </c>
      <c r="D18" s="32" t="n">
        <v>0.664</v>
      </c>
      <c r="E18" s="32" t="n">
        <v>0.8</v>
      </c>
      <c r="F18" s="32" t="n">
        <v>1</v>
      </c>
    </row>
    <row r="19">
      <c r="B19" s="7" t="n">
        <v>7.387409647763772</v>
      </c>
      <c r="C19" s="7" t="n">
        <v>6.649660356490521</v>
      </c>
      <c r="D19" s="7" t="n">
        <v>6.247402911685418</v>
      </c>
      <c r="E19" s="7" t="n">
        <v>5.52994449165278</v>
      </c>
      <c r="F19" s="7" t="n">
        <v>4.719959938114322</v>
      </c>
    </row>
  </sheetData>
  <mergeCells count="2">
    <mergeCell ref="A1:I1"/>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Per-share figures and ratios — every cell a formula</t>
        </is>
      </c>
    </row>
    <row r="3" ht="30" customHeight="1">
      <c r="A3" s="4" t="inlineStr">
        <is>
          <t>AED per share unless stated</t>
        </is>
      </c>
      <c r="B3" s="5" t="inlineStr">
        <is>
          <t>FY2023</t>
        </is>
      </c>
      <c r="C3" s="5" t="inlineStr">
        <is>
          <t>FY2024</t>
        </is>
      </c>
      <c r="D3" s="5" t="inlineStr">
        <is>
          <t>FY2025</t>
        </is>
      </c>
      <c r="E3" s="5" t="inlineStr">
        <is>
          <t>FY2026E</t>
        </is>
      </c>
      <c r="F3" s="5" t="inlineStr">
        <is>
          <t>FY2027E</t>
        </is>
      </c>
      <c r="G3" s="5" t="inlineStr">
        <is>
          <t>FY2028E</t>
        </is>
      </c>
      <c r="H3" s="5" t="inlineStr">
        <is>
          <t>FY2029E</t>
        </is>
      </c>
      <c r="I3" s="5" t="inlineStr">
        <is>
          <t>FY2030E</t>
        </is>
      </c>
    </row>
    <row r="4">
      <c r="A4" s="6" t="inlineStr">
        <is>
          <t>Earnings per share</t>
        </is>
      </c>
      <c r="B4" s="23">
        <f>'Income Statement'!B14/(Assumptions!$C$7-Assumptions!$C$8)*Assumptions!$C$6</f>
        <v/>
      </c>
      <c r="C4" s="23">
        <f>'Income Statement'!C14/(Assumptions!$C$7-Assumptions!$C$8)*Assumptions!$C$6</f>
        <v/>
      </c>
      <c r="D4" s="23">
        <f>'Income Statement'!D14/(Assumptions!$C$7-Assumptions!$C$8)*Assumptions!$C$6</f>
        <v/>
      </c>
      <c r="E4" s="23">
        <f>'Income Statement'!E14/(Assumptions!$C$7-Assumptions!$C$8)*Assumptions!$C$6</f>
        <v/>
      </c>
      <c r="F4" s="23">
        <f>'Income Statement'!F14/(Assumptions!$C$7-Assumptions!$C$8)*Assumptions!$C$6</f>
        <v/>
      </c>
      <c r="G4" s="23">
        <f>'Income Statement'!G14/(Assumptions!$C$7-Assumptions!$C$8)*Assumptions!$C$6</f>
        <v/>
      </c>
      <c r="H4" s="23">
        <f>'Income Statement'!H14/(Assumptions!$C$7-Assumptions!$C$8)*Assumptions!$C$6</f>
        <v/>
      </c>
      <c r="I4" s="23">
        <f>'Income Statement'!I14/(Assumptions!$C$7-Assumptions!$C$8)*Assumptions!$C$6</f>
        <v/>
      </c>
    </row>
    <row r="5">
      <c r="A5" s="6" t="inlineStr">
        <is>
          <t>Dividend per share</t>
        </is>
      </c>
      <c r="E5" s="23">
        <f>-'Cash Flow'!E10/(Assumptions!$C$7-Assumptions!$C$8)*Assumptions!$C$6</f>
        <v/>
      </c>
      <c r="F5" s="23">
        <f>-'Cash Flow'!F10/(Assumptions!$C$7-Assumptions!$C$8)*Assumptions!$C$6</f>
        <v/>
      </c>
      <c r="G5" s="23">
        <f>-'Cash Flow'!G10/(Assumptions!$C$7-Assumptions!$C$8)*Assumptions!$C$6</f>
        <v/>
      </c>
      <c r="H5" s="23">
        <f>-'Cash Flow'!H10/(Assumptions!$C$7-Assumptions!$C$8)*Assumptions!$C$6</f>
        <v/>
      </c>
      <c r="I5" s="23">
        <f>-'Cash Flow'!I10/(Assumptions!$C$7-Assumptions!$C$8)*Assumptions!$C$6</f>
        <v/>
      </c>
    </row>
    <row r="6">
      <c r="A6" s="6" t="inlineStr">
        <is>
          <t>Book value per share</t>
        </is>
      </c>
      <c r="B6" s="7">
        <f>'Balance Sheet'!B27/(Assumptions!$C$7-Assumptions!$C$8)*Assumptions!$C$6</f>
        <v/>
      </c>
      <c r="C6" s="7">
        <f>'Balance Sheet'!C27/(Assumptions!$C$7-Assumptions!$C$8)*Assumptions!$C$6</f>
        <v/>
      </c>
      <c r="D6" s="7">
        <f>'Balance Sheet'!D27/(Assumptions!$C$7-Assumptions!$C$8)*Assumptions!$C$6</f>
        <v/>
      </c>
      <c r="E6" s="7">
        <f>'Balance Sheet'!E27/(Assumptions!$C$7-Assumptions!$C$8)*Assumptions!$C$6</f>
        <v/>
      </c>
      <c r="F6" s="7">
        <f>'Balance Sheet'!F27/(Assumptions!$C$7-Assumptions!$C$8)*Assumptions!$C$6</f>
        <v/>
      </c>
      <c r="G6" s="7">
        <f>'Balance Sheet'!G27/(Assumptions!$C$7-Assumptions!$C$8)*Assumptions!$C$6</f>
        <v/>
      </c>
      <c r="H6" s="7">
        <f>'Balance Sheet'!H27/(Assumptions!$C$7-Assumptions!$C$8)*Assumptions!$C$6</f>
        <v/>
      </c>
      <c r="I6" s="7">
        <f>'Balance Sheet'!I27/(Assumptions!$C$7-Assumptions!$C$8)*Assumptions!$C$6</f>
        <v/>
      </c>
    </row>
    <row r="7">
      <c r="A7" s="6" t="inlineStr">
        <is>
          <t>Free cash flow per share</t>
        </is>
      </c>
      <c r="E7" s="23">
        <f>'Cash Flow'!E14/(Assumptions!$C$7-Assumptions!$C$8)*Assumptions!$C$6</f>
        <v/>
      </c>
      <c r="F7" s="23">
        <f>'Cash Flow'!F14/(Assumptions!$C$7-Assumptions!$C$8)*Assumptions!$C$6</f>
        <v/>
      </c>
      <c r="G7" s="23">
        <f>'Cash Flow'!G14/(Assumptions!$C$7-Assumptions!$C$8)*Assumptions!$C$6</f>
        <v/>
      </c>
      <c r="H7" s="23">
        <f>'Cash Flow'!H14/(Assumptions!$C$7-Assumptions!$C$8)*Assumptions!$C$6</f>
        <v/>
      </c>
      <c r="I7" s="23">
        <f>'Cash Flow'!I14/(Assumptions!$C$7-Assumptions!$C$8)*Assumptions!$C$6</f>
        <v/>
      </c>
    </row>
    <row r="9">
      <c r="A9" s="12" t="inlineStr">
        <is>
          <t>RATIOS AT THE CURRENT MARKET PRICE</t>
        </is>
      </c>
    </row>
    <row r="10">
      <c r="A10" s="6" t="inlineStr">
        <is>
          <t>Price / earnings</t>
        </is>
      </c>
      <c r="B10" s="15">
        <f>Assumptions!$C$5/B4</f>
        <v/>
      </c>
      <c r="C10" s="15">
        <f>Assumptions!$C$5/C4</f>
        <v/>
      </c>
      <c r="D10" s="15">
        <f>Assumptions!$C$5/D4</f>
        <v/>
      </c>
      <c r="E10" s="15">
        <f>Assumptions!$C$5/E4</f>
        <v/>
      </c>
      <c r="F10" s="15">
        <f>Assumptions!$C$5/F4</f>
        <v/>
      </c>
      <c r="G10" s="15">
        <f>Assumptions!$C$5/G4</f>
        <v/>
      </c>
      <c r="H10" s="15">
        <f>Assumptions!$C$5/H4</f>
        <v/>
      </c>
      <c r="I10" s="15">
        <f>Assumptions!$C$5/I4</f>
        <v/>
      </c>
    </row>
    <row r="11">
      <c r="A11" s="6" t="inlineStr">
        <is>
          <t>Dividend yield</t>
        </is>
      </c>
      <c r="E11" s="8">
        <f>E5/Assumptions!$C$5</f>
        <v/>
      </c>
      <c r="F11" s="8">
        <f>F5/Assumptions!$C$5</f>
        <v/>
      </c>
      <c r="G11" s="8">
        <f>G5/Assumptions!$C$5</f>
        <v/>
      </c>
      <c r="H11" s="8">
        <f>H5/Assumptions!$C$5</f>
        <v/>
      </c>
      <c r="I11" s="8">
        <f>I5/Assumptions!$C$5</f>
        <v/>
      </c>
    </row>
    <row r="12">
      <c r="A12" s="6" t="inlineStr">
        <is>
          <t>Price / book</t>
        </is>
      </c>
      <c r="B12" s="15">
        <f>Assumptions!$C$5/B6</f>
        <v/>
      </c>
      <c r="C12" s="15">
        <f>Assumptions!$C$5/C6</f>
        <v/>
      </c>
      <c r="D12" s="15">
        <f>Assumptions!$C$5/D6</f>
        <v/>
      </c>
      <c r="E12" s="15">
        <f>Assumptions!$C$5/E6</f>
        <v/>
      </c>
      <c r="F12" s="15">
        <f>Assumptions!$C$5/F6</f>
        <v/>
      </c>
      <c r="G12" s="15">
        <f>Assumptions!$C$5/G6</f>
        <v/>
      </c>
      <c r="H12" s="15">
        <f>Assumptions!$C$5/H6</f>
        <v/>
      </c>
      <c r="I12" s="15">
        <f>Assumptions!$C$5/I6</f>
        <v/>
      </c>
    </row>
  </sheetData>
  <mergeCells count="1">
    <mergeCell ref="A1:I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0" customWidth="1" min="1" max="1"/>
    <col width="34" customWidth="1" min="2" max="2"/>
    <col width="15" customWidth="1" min="3" max="3"/>
    <col width="15" customWidth="1" min="4" max="4"/>
    <col width="15" customWidth="1" min="5" max="5"/>
    <col width="15" customWidth="1" min="6" max="6"/>
    <col width="15" customWidth="1" min="7" max="7"/>
    <col width="14" customWidth="1" min="8" max="8"/>
  </cols>
  <sheetData>
    <row r="1" ht="22" customHeight="1">
      <c r="A1" s="1" t="inlineStr">
        <is>
          <t>Peer and sector — third-party market data, used for cross-check and for the relative lens only</t>
        </is>
      </c>
    </row>
    <row r="2" ht="40" customHeight="1">
      <c r="A2" s="3" t="inlineStr">
        <is>
          <t>Every figure on this sheet belongs to another company. Nothing here enters ADNOC Drilling's own income statement, balance sheet or cash flow — those are built exclusively from its own audited filings. Prices are at the close on 07-Aug-2026; balance-sheet and earnings figures are each peer's own latest reported period.</t>
        </is>
      </c>
    </row>
    <row r="4" ht="30" customHeight="1">
      <c r="A4" s="4" t="inlineStr">
        <is>
          <t>Group</t>
        </is>
      </c>
      <c r="B4" s="5" t="inlineStr">
        <is>
          <t>Company</t>
        </is>
      </c>
      <c r="C4" s="5" t="inlineStr">
        <is>
          <t>Market cap (USD mn)</t>
        </is>
      </c>
      <c r="D4" s="5" t="inlineStr">
        <is>
          <t>Net debt (USD mn)</t>
        </is>
      </c>
      <c r="E4" s="5" t="inlineStr">
        <is>
          <t>Enterprise value (USD mn)</t>
        </is>
      </c>
      <c r="F4" s="5" t="inlineStr">
        <is>
          <t>Last 12 months EBITDA (USD mn)</t>
        </is>
      </c>
      <c r="G4" s="5" t="inlineStr">
        <is>
          <t>EV / EBITDA</t>
        </is>
      </c>
      <c r="H4" s="5" t="inlineStr">
        <is>
          <t>Latest period</t>
        </is>
      </c>
    </row>
    <row r="5">
      <c r="A5" s="6" t="inlineStr">
        <is>
          <t>MENA NOC-contracted driller</t>
        </is>
      </c>
      <c r="B5" s="6" t="inlineStr">
        <is>
          <t>ADES Holding</t>
        </is>
      </c>
      <c r="C5" s="14" t="n">
        <v>5167.41972084</v>
      </c>
      <c r="D5" s="14" t="n">
        <v>4813.9656</v>
      </c>
      <c r="E5" s="14">
        <f>C5+D5</f>
        <v/>
      </c>
      <c r="F5" s="14" t="n">
        <v>976.1512</v>
      </c>
      <c r="G5" s="15">
        <f>E5/F5</f>
        <v/>
      </c>
      <c r="H5" s="6" t="inlineStr">
        <is>
          <t>2026-03-31</t>
        </is>
      </c>
    </row>
    <row r="6">
      <c r="A6" s="6" t="inlineStr">
        <is>
          <t>MENA NOC-contracted driller</t>
        </is>
      </c>
      <c r="B6" s="6" t="inlineStr">
        <is>
          <t>Arabian Drilling</t>
        </is>
      </c>
      <c r="C6" s="14" t="n">
        <v>1960.373333333333</v>
      </c>
      <c r="D6" s="14" t="n">
        <v>626.8503327999999</v>
      </c>
      <c r="E6" s="14">
        <f>C6+D6</f>
        <v/>
      </c>
      <c r="F6" s="14" t="n">
        <v>295.6105165333333</v>
      </c>
      <c r="G6" s="15">
        <f>E6/F6</f>
        <v/>
      </c>
      <c r="H6" s="6" t="inlineStr">
        <is>
          <t>2026-03-31</t>
        </is>
      </c>
    </row>
    <row r="7">
      <c r="A7" s="6" t="inlineStr">
        <is>
          <t>Global land driller</t>
        </is>
      </c>
      <c r="B7" s="6" t="inlineStr">
        <is>
          <t>Helmerich &amp; Payne</t>
        </is>
      </c>
      <c r="C7" s="14" t="n">
        <v>3706.9393984</v>
      </c>
      <c r="D7" s="14" t="n">
        <v>1657.689</v>
      </c>
      <c r="E7" s="14">
        <f>C7+D7</f>
        <v/>
      </c>
      <c r="F7" s="14" t="n">
        <v>794.456</v>
      </c>
      <c r="G7" s="15">
        <f>E7/F7</f>
        <v/>
      </c>
      <c r="H7" s="6" t="inlineStr">
        <is>
          <t>2026-06-30</t>
        </is>
      </c>
    </row>
    <row r="8">
      <c r="A8" s="6" t="inlineStr">
        <is>
          <t>Global land driller</t>
        </is>
      </c>
      <c r="B8" s="6" t="inlineStr">
        <is>
          <t>Nabors Industries</t>
        </is>
      </c>
      <c r="C8" s="14" t="n">
        <v>1207.61359</v>
      </c>
      <c r="D8" s="14" t="n">
        <v>1618.75</v>
      </c>
      <c r="E8" s="14">
        <f>C8+D8</f>
        <v/>
      </c>
      <c r="F8" s="14" t="n">
        <v>1308.166</v>
      </c>
      <c r="G8" s="15">
        <f>E8/F8</f>
        <v/>
      </c>
      <c r="H8" s="6" t="inlineStr">
        <is>
          <t>2026-06-30</t>
        </is>
      </c>
    </row>
    <row r="9">
      <c r="A9" s="6" t="inlineStr">
        <is>
          <t>Global land driller</t>
        </is>
      </c>
      <c r="B9" s="6" t="inlineStr">
        <is>
          <t>Patterson-UTI</t>
        </is>
      </c>
      <c r="C9" s="14" t="n">
        <v>3764.22361035</v>
      </c>
      <c r="D9" s="14" t="n">
        <v>1084.557</v>
      </c>
      <c r="E9" s="14">
        <f>C9+D9</f>
        <v/>
      </c>
      <c r="F9" s="14" t="n">
        <v>872.833</v>
      </c>
      <c r="G9" s="15">
        <f>E9/F9</f>
        <v/>
      </c>
      <c r="H9" s="6" t="inlineStr">
        <is>
          <t>2026-06-30</t>
        </is>
      </c>
    </row>
    <row r="10">
      <c r="A10" s="6" t="inlineStr">
        <is>
          <t>Global land driller</t>
        </is>
      </c>
      <c r="B10" s="6" t="inlineStr">
        <is>
          <t>Precision Drilling</t>
        </is>
      </c>
      <c r="C10" s="14" t="n">
        <v>973.5877829999999</v>
      </c>
      <c r="D10" s="14" t="n">
        <v>630.732</v>
      </c>
      <c r="E10" s="14">
        <f>C10+D10</f>
        <v/>
      </c>
      <c r="F10" s="14" t="n">
        <v>228.669</v>
      </c>
      <c r="G10" s="15">
        <f>E10/F10</f>
        <v/>
      </c>
      <c r="H10" s="6" t="inlineStr">
        <is>
          <t>2026-06-30</t>
        </is>
      </c>
    </row>
    <row r="11">
      <c r="A11" s="6" t="inlineStr">
        <is>
          <t>Global offshore driller</t>
        </is>
      </c>
      <c r="B11" s="6" t="inlineStr">
        <is>
          <t>Valaris</t>
        </is>
      </c>
      <c r="C11" s="14" t="n">
        <v>5455.6552284</v>
      </c>
      <c r="D11" s="14" t="n">
        <v>624.3</v>
      </c>
      <c r="E11" s="14">
        <f>C11+D11</f>
        <v/>
      </c>
      <c r="F11" s="14" t="n">
        <v>606.3</v>
      </c>
      <c r="G11" s="15">
        <f>E11/F11</f>
        <v/>
      </c>
      <c r="H11" s="6" t="inlineStr">
        <is>
          <t>2026-06-30</t>
        </is>
      </c>
    </row>
    <row r="12">
      <c r="A12" s="6" t="inlineStr">
        <is>
          <t>Global offshore driller</t>
        </is>
      </c>
      <c r="B12" s="6" t="inlineStr">
        <is>
          <t>Noble Corporation</t>
        </is>
      </c>
      <c r="C12" s="14" t="n">
        <v>6508.572784020001</v>
      </c>
      <c r="D12" s="14" t="n">
        <v>1432.222</v>
      </c>
      <c r="E12" s="14">
        <f>C12+D12</f>
        <v/>
      </c>
      <c r="F12" s="14" t="n">
        <v>928.575</v>
      </c>
      <c r="G12" s="15">
        <f>E12/F12</f>
        <v/>
      </c>
      <c r="H12" s="6" t="inlineStr">
        <is>
          <t>2026-06-30</t>
        </is>
      </c>
    </row>
    <row r="13">
      <c r="A13" s="6" t="inlineStr">
        <is>
          <t>Global offshore driller</t>
        </is>
      </c>
      <c r="B13" s="6" t="inlineStr">
        <is>
          <t>Borr Drilling</t>
        </is>
      </c>
      <c r="C13" s="14" t="n">
        <v>1187.7261495</v>
      </c>
      <c r="D13" s="14" t="n">
        <v>2058.9</v>
      </c>
      <c r="E13" s="14">
        <f>C13+D13</f>
        <v/>
      </c>
      <c r="F13" s="14" t="n">
        <v>452</v>
      </c>
      <c r="G13" s="15">
        <f>E13/F13</f>
        <v/>
      </c>
      <c r="H13" s="6" t="inlineStr">
        <is>
          <t>2026-03-31</t>
        </is>
      </c>
    </row>
    <row r="14">
      <c r="A14" s="6" t="inlineStr">
        <is>
          <t>Diversified oilfield services</t>
        </is>
      </c>
      <c r="B14" s="6" t="inlineStr">
        <is>
          <t>SLB</t>
        </is>
      </c>
      <c r="C14" s="14" t="n">
        <v>74993.75746243</v>
      </c>
      <c r="D14" s="14" t="n">
        <v>10055</v>
      </c>
      <c r="E14" s="14">
        <f>C14+D14</f>
        <v/>
      </c>
      <c r="F14" s="14" t="n">
        <v>6663</v>
      </c>
      <c r="G14" s="15">
        <f>E14/F14</f>
        <v/>
      </c>
      <c r="H14" s="6" t="inlineStr">
        <is>
          <t>2026-06-30</t>
        </is>
      </c>
    </row>
    <row r="15">
      <c r="A15" s="6" t="inlineStr">
        <is>
          <t>Diversified oilfield services</t>
        </is>
      </c>
      <c r="B15" s="6" t="inlineStr">
        <is>
          <t>Halliburton</t>
        </is>
      </c>
      <c r="C15" s="14" t="n">
        <v>26596.26</v>
      </c>
      <c r="D15" s="14" t="n">
        <v>6151</v>
      </c>
      <c r="E15" s="14">
        <f>C15+D15</f>
        <v/>
      </c>
      <c r="F15" s="14" t="n">
        <v>3592</v>
      </c>
      <c r="G15" s="15">
        <f>E15/F15</f>
        <v/>
      </c>
      <c r="H15" s="6" t="inlineStr">
        <is>
          <t>2026-06-30</t>
        </is>
      </c>
    </row>
    <row r="16">
      <c r="A16" s="6" t="inlineStr">
        <is>
          <t>Diversified oilfield services</t>
        </is>
      </c>
      <c r="B16" s="6" t="inlineStr">
        <is>
          <t>Baker Hughes</t>
        </is>
      </c>
      <c r="C16" s="14" t="n">
        <v>61077.72685</v>
      </c>
      <c r="D16" s="14" t="n">
        <v>526</v>
      </c>
      <c r="E16" s="14">
        <f>C16+D16</f>
        <v/>
      </c>
      <c r="F16" s="14" t="n">
        <v>5080</v>
      </c>
      <c r="G16" s="15">
        <f>E16/F16</f>
        <v/>
      </c>
      <c r="H16" s="6" t="inlineStr">
        <is>
          <t>2026-06-30</t>
        </is>
      </c>
    </row>
    <row r="17">
      <c r="A17" s="6" t="inlineStr">
        <is>
          <t>Diversified oilfield services</t>
        </is>
      </c>
      <c r="B17" s="6" t="inlineStr">
        <is>
          <t>Weatherford Intl</t>
        </is>
      </c>
      <c r="C17" s="14" t="n">
        <v>6233.675999999999</v>
      </c>
      <c r="D17" s="14" t="n">
        <v>522</v>
      </c>
      <c r="E17" s="14">
        <f>C17+D17</f>
        <v/>
      </c>
      <c r="F17" s="14" t="n">
        <v>848</v>
      </c>
      <c r="G17" s="15">
        <f>E17/F17</f>
        <v/>
      </c>
      <c r="H17" s="6" t="inlineStr">
        <is>
          <t>2026-06-30</t>
        </is>
      </c>
    </row>
    <row r="19">
      <c r="A19" s="9" t="inlineStr">
        <is>
          <t>ADNOC Drilling at the market price</t>
        </is>
      </c>
      <c r="B19" s="9" t="inlineStr">
        <is>
          <t>ADNOC Drilling</t>
        </is>
      </c>
      <c r="C19" s="14">
        <f>DCF!$C$19/1000</f>
        <v/>
      </c>
      <c r="D19" s="14">
        <f>DCF!$C$20/1000</f>
        <v/>
      </c>
      <c r="E19" s="14">
        <f>C19+D19</f>
        <v/>
      </c>
      <c r="F19" s="14">
        <f>Assumptions!$C$143/1000</f>
        <v/>
      </c>
      <c r="G19" s="25">
        <f>E19/F19</f>
        <v/>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2026-08-09T15:52:50Z</dcterms:created>
  <dcterms:modified xmlns:dcterms="http://purl.org/dc/terms/" xmlns:xsi="http://www.w3.org/2001/XMLSchema-instance" xsi:type="dcterms:W3CDTF">2026-08-09T15:52:50Z</dcterms:modified>
</cp:coreProperties>
</file>