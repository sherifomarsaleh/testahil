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 Bridge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#,##0.00;(#,##0.00);&quot;-&quot;"/>
    <numFmt numFmtId="165" formatCode="#,##0.0;(#,##0.0);&quot;-&quot;"/>
    <numFmt numFmtId="166" formatCode="0.0%;(0.0%);&quot;-&quot;"/>
    <numFmt numFmtId="167" formatCode="#,##0;(#,##0);&quot;-&quot;"/>
    <numFmt numFmtId="168" formatCode="0.00x"/>
    <numFmt numFmtId="169" formatCode="0.00;(0.00);&quot;-&quot;"/>
    <numFmt numFmtId="170" formatCode="0.000"/>
    <numFmt numFmtId="171" formatCode="0.000%"/>
    <numFmt numFmtId="172" formatCode="0.0000"/>
  </numFmts>
  <fonts count="10">
    <font>
      <name val="Calibri"/>
      <family val="2"/>
      <color theme="1"/>
      <sz val="11"/>
      <scheme val="minor"/>
    </font>
    <font>
      <b val="1"/>
      <color rgb="00F6F1E6"/>
      <sz val="13"/>
    </font>
    <font>
      <sz val="10"/>
    </font>
    <font>
      <color rgb="006E7B77"/>
      <sz val="9"/>
    </font>
    <font>
      <b val="1"/>
    </font>
    <font>
      <color rgb="00000000"/>
    </font>
    <font>
      <color rgb="000000FF"/>
    </font>
    <font>
      <color rgb="00008000"/>
    </font>
    <font>
      <b val="1"/>
      <color rgb="00000000"/>
    </font>
    <font>
      <b val="1"/>
      <color rgb="00008000"/>
    </font>
  </fonts>
  <fills count="5">
    <fill>
      <patternFill/>
    </fill>
    <fill>
      <patternFill patternType="gray125"/>
    </fill>
    <fill>
      <patternFill patternType="solid">
        <fgColor rgb="001C3A36"/>
      </patternFill>
    </fill>
    <fill>
      <patternFill patternType="solid">
        <fgColor rgb="00EAF0EE"/>
      </patternFill>
    </fill>
    <fill>
      <patternFill patternType="solid">
        <fgColor rgb="00F6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169" fontId="6" fillId="0" borderId="0" pivotButton="0" quotePrefix="0" xfId="0"/>
    <xf numFmtId="169" fontId="7" fillId="0" borderId="0" pivotButton="0" quotePrefix="0" xfId="0"/>
    <xf numFmtId="166" fontId="7" fillId="0" borderId="0" pivotButton="0" quotePrefix="0" xfId="0"/>
    <xf numFmtId="169" fontId="5" fillId="0" borderId="0" pivotButton="0" quotePrefix="0" xfId="0"/>
    <xf numFmtId="166" fontId="5" fillId="0" borderId="0" pivotButton="0" quotePrefix="0" xfId="0"/>
    <xf numFmtId="0" fontId="8" fillId="4" borderId="0" pivotButton="0" quotePrefix="0" xfId="0"/>
    <xf numFmtId="169" fontId="8" fillId="4" borderId="0" pivotButton="0" quotePrefix="0" xfId="0"/>
    <xf numFmtId="166" fontId="8" fillId="4" borderId="0" pivotButton="0" quotePrefix="0" xfId="0"/>
    <xf numFmtId="0" fontId="4" fillId="4" borderId="0" pivotButton="0" quotePrefix="0" xfId="0"/>
    <xf numFmtId="169" fontId="9" fillId="4" borderId="0" pivotButton="0" quotePrefix="0" xfId="0"/>
    <xf numFmtId="167" fontId="7" fillId="0" borderId="0" pivotButton="0" quotePrefix="0" xfId="0"/>
    <xf numFmtId="10" fontId="7" fillId="0" borderId="0" pivotButton="0" quotePrefix="0" xfId="0"/>
    <xf numFmtId="169" fontId="9" fillId="0" borderId="0" pivotButton="0" quotePrefix="0" xfId="0"/>
    <xf numFmtId="0" fontId="8" fillId="0" borderId="0" pivotButton="0" quotePrefix="0" xfId="0"/>
    <xf numFmtId="169" fontId="8" fillId="0" borderId="0" pivotButton="0" quotePrefix="0" xfId="0"/>
    <xf numFmtId="0" fontId="5" fillId="0" borderId="0" applyAlignment="1" pivotButton="0" quotePrefix="0" xfId="0">
      <alignment vertical="top" wrapText="1"/>
    </xf>
    <xf numFmtId="164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0" fontId="6" fillId="0" borderId="0" pivotButton="0" quotePrefix="0" xfId="0"/>
    <xf numFmtId="168" fontId="6" fillId="0" borderId="0" pivotButton="0" quotePrefix="0" xfId="0"/>
    <xf numFmtId="170" fontId="6" fillId="0" borderId="0" pivotButton="0" quotePrefix="0" xfId="0"/>
    <xf numFmtId="171" fontId="6" fillId="0" borderId="0" pivotButton="0" quotePrefix="0" xfId="0"/>
    <xf numFmtId="167" fontId="5" fillId="0" borderId="0" pivotButton="0" quotePrefix="0" xfId="0"/>
    <xf numFmtId="167" fontId="8" fillId="0" borderId="0" pivotButton="0" quotePrefix="0" xfId="0"/>
    <xf numFmtId="164" fontId="7" fillId="0" borderId="0" pivotButton="0" quotePrefix="0" xfId="0"/>
    <xf numFmtId="165" fontId="8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5" fontId="7" fillId="0" borderId="0" pivotButton="0" quotePrefix="0" xfId="0"/>
    <xf numFmtId="168" fontId="7" fillId="0" borderId="0" pivotButton="0" quotePrefix="0" xfId="0"/>
    <xf numFmtId="172" fontId="7" fillId="0" borderId="0" pivotButton="0" quotePrefix="0" xfId="0"/>
    <xf numFmtId="168" fontId="5" fillId="0" borderId="0" pivotButton="0" quotePrefix="0" xfId="0"/>
    <xf numFmtId="170" fontId="5" fillId="0" borderId="0" pivotButton="0" quotePrefix="0" xfId="0"/>
    <xf numFmtId="10" fontId="5" fillId="0" borderId="0" pivotButton="0" quotePrefix="0" xfId="0"/>
    <xf numFmtId="10" fontId="8" fillId="0" borderId="0" pivotButton="0" quotePrefix="0" xfId="0"/>
    <xf numFmtId="172" fontId="5" fillId="0" borderId="0" pivotButton="0" quotePrefix="0" xfId="0"/>
    <xf numFmtId="166" fontId="8" fillId="0" borderId="0" pivotButton="0" quotePrefix="0" xfId="0"/>
    <xf numFmtId="0" fontId="6" fillId="0" borderId="0" pivotButton="0" quotePrefix="0" xfId="0"/>
    <xf numFmtId="168" fontId="8" fillId="4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1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Testahil — Air Arabia PJSC (DFM: AIRARABIA)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Companion model · Independent Valuation Study · Educational analysis · Not investment advice</t>
        </is>
      </c>
    </row>
    <row r="4">
      <c r="A4" s="3" t="inlineStr"/>
    </row>
    <row r="5">
      <c r="A5" s="3" t="inlineStr">
        <is>
          <t>What this workbook is. A transparent companion to the Air Arabia valuation study. Every blue cell is an</t>
        </is>
      </c>
    </row>
    <row r="6">
      <c r="A6" s="3" t="inlineStr">
        <is>
          <t>input; every black cell is a formula; green cells link across sheets.</t>
        </is>
      </c>
    </row>
    <row r="7">
      <c r="A7" s="3" t="inlineStr"/>
    </row>
    <row r="8">
      <c r="A8" s="3" t="inlineStr">
        <is>
          <t>IT IS FORMULA-DRIVEN. Every figure that can be derived arithmetically from a driver is a live formula, so</t>
        </is>
      </c>
    </row>
    <row r="9">
      <c r="A9" s="3" t="inlineStr">
        <is>
          <t>you can change a blue cell on Assumptions and watch the model reprice: the cost of capital is built from</t>
        </is>
      </c>
    </row>
    <row r="10">
      <c r="A10" s="3" t="inlineStr">
        <is>
          <t>the dirham government-bond yield net of the sovereign spread, beta and the premium rather than pasted; the</t>
        </is>
      </c>
    </row>
    <row r="11">
      <c r="A11" s="3" t="inlineStr">
        <is>
          <t>discount factors compound from the cost-of-debt glide; revenue is passengers times revenue per passenger;</t>
        </is>
      </c>
    </row>
    <row r="12">
      <c r="A12" s="3" t="inlineStr">
        <is>
          <t>the cost stack is passengers times cost per passenger, line by line; and the income statement, balance</t>
        </is>
      </c>
    </row>
    <row r="13">
      <c r="A13" s="3" t="inlineStr">
        <is>
          <t>sheet, cash flow, ratios and all four lenses chain off the same cells.</t>
        </is>
      </c>
    </row>
    <row r="14">
      <c r="A14" s="3" t="inlineStr"/>
    </row>
    <row r="15">
      <c r="A15" s="3" t="inlineStr">
        <is>
          <t>THREE THINGS ARE PASTED VALUES, and it is worth knowing exactly which. First, audited and disclosed</t>
        </is>
      </c>
    </row>
    <row r="16">
      <c r="A16" s="3" t="inlineStr">
        <is>
          <t>history — the primary record, not a calculation; where a line is both disclosed and derivable the</t>
        </is>
      </c>
    </row>
    <row r="17">
      <c r="A17" s="3" t="inlineStr">
        <is>
          <t>DISCLOSED figure is carried. Second, the unit build's disclosed bases: FY2025 passengers, the per-</t>
        </is>
      </c>
    </row>
    <row r="18">
      <c r="A18" s="3" t="inlineStr">
        <is>
          <t>passenger revenue and cost rates, and the FY2025 revenue-line levels are pasted from the audited</t>
        </is>
      </c>
    </row>
    <row r="19">
      <c r="A19" s="3" t="inlineStr">
        <is>
          <t>disclosures and grown on their own drivers — the build itself is live formula from there. Third,</t>
        </is>
      </c>
    </row>
    <row r="20">
      <c r="A20" s="3" t="inlineStr">
        <is>
          <t>whole-model re-runs, where each figure is a complete revaluation of the entire model and so cannot be a</t>
        </is>
      </c>
    </row>
    <row r="21">
      <c r="A21" s="3" t="inlineStr">
        <is>
          <t>single formula: the Monte Carlo price map, the sensitivity grids, the DCF scenario bear/bull bounds, the</t>
        </is>
      </c>
    </row>
    <row r="22">
      <c r="A22" s="3" t="inlineStr">
        <is>
          <t>high-fuel alternative valuation, and the expert-panel legs. Everything else — every lens base value, the</t>
        </is>
      </c>
    </row>
    <row r="23">
      <c r="A23" s="3" t="inlineStr">
        <is>
          <t>joint-venture bridge on both framings, and the anchor-date roll — is a live formula. Changing a driver</t>
        </is>
      </c>
    </row>
    <row r="24">
      <c r="A24" s="3" t="inlineStr">
        <is>
          <t>reprices the model but does NOT redraw the engine outputs.</t>
        </is>
      </c>
    </row>
    <row r="25">
      <c r="A25" s="3" t="inlineStr"/>
    </row>
    <row r="26">
      <c r="A26" s="3" t="inlineStr">
        <is>
          <t>How revenue is built. Not as one growth rate. Passenger and baggage revenue is passengers times revenue</t>
        </is>
      </c>
    </row>
    <row r="27">
      <c r="A27" s="3" t="inlineStr">
        <is>
          <t>per passenger; ancillary revenue is passengers times an ancillary rate; cargo, service, hotel and</t>
        </is>
      </c>
    </row>
    <row r="28">
      <c r="A28" s="3" t="inlineStr">
        <is>
          <t>aircraft-lease income grow on their own paths. Costs are built the same way: fuel, staff, maintenance,</t>
        </is>
      </c>
    </row>
    <row r="29">
      <c r="A29" s="3" t="inlineStr">
        <is>
          <t>landing, handling and other costs are each per-passenger rates with their OWN escalator (fuel on the</t>
        </is>
      </c>
    </row>
    <row r="30">
      <c r="A30" s="3" t="inlineStr">
        <is>
          <t>commodity path, staff on wages, airport charges on UAE inflation). Margins are OUTPUTS.</t>
        </is>
      </c>
    </row>
    <row r="31">
      <c r="A31" s="3" t="inlineStr"/>
    </row>
    <row r="32">
      <c r="A32" s="3" t="inlineStr">
        <is>
          <t>Two judgements are shown both ways, never averaged. The fuel path: the base case follows the official</t>
        </is>
      </c>
    </row>
    <row r="33">
      <c r="A33" s="3" t="inlineStr">
        <is>
          <t>US energy-agency curve (relief from 2027); the alternative holds the airline-association high-fuel</t>
        </is>
      </c>
    </row>
    <row r="34">
      <c r="A34" s="3" t="inlineStr">
        <is>
          <t>assumption. And the joint-venture network (Abu Dhabi, Egypt, Pakistan, Morocco, the new Saudi venture):</t>
        </is>
      </c>
    </row>
    <row r="35">
      <c r="A35" s="3" t="inlineStr">
        <is>
          <t>the base carries it at its audited balance-sheet value of AED 363mn; the alternative capitalises its</t>
        </is>
      </c>
    </row>
    <row r="36">
      <c r="A36" s="3" t="inlineStr">
        <is>
          <t>profit share at a growth multiple. Both appear on the Summary and the SOTP Bridge.</t>
        </is>
      </c>
    </row>
    <row r="37">
      <c r="A37" s="3" t="inlineStr"/>
    </row>
    <row r="38">
      <c r="A38" s="3" t="inlineStr">
        <is>
          <t>What it is not. It is not investment advice, a recommendation, or a price target. Values are model</t>
        </is>
      </c>
    </row>
    <row r="39">
      <c r="A39" s="3" t="inlineStr">
        <is>
          <t>outputs shown as ranges.</t>
        </is>
      </c>
    </row>
    <row r="40">
      <c r="A40" s="3" t="inlineStr"/>
    </row>
    <row r="41">
      <c r="A41" s="3" t="inlineStr">
        <is>
          <t>Sourcing note, up front. FY2023, FY2024 and FY2025 all come from the company's own audited consolidated</t>
        </is>
      </c>
    </row>
    <row r="42">
      <c r="A42" s="3" t="inlineStr">
        <is>
          <t>financial statements, read from the company's investor-relations page; FY2024 comparatives are as</t>
        </is>
      </c>
    </row>
    <row r="43">
      <c r="A43" s="3" t="inlineStr">
        <is>
          <t>restated in the FY2025 filing. The interim quarter is the reviewed Q1-2026 filing. Passengers, load</t>
        </is>
      </c>
    </row>
    <row r="44">
      <c r="A44" s="3" t="inlineStr">
        <is>
          <t>factor and fleet come from the company's own results presentations. Every input is listed with source</t>
        </is>
      </c>
    </row>
    <row r="45">
      <c r="A45" s="3" t="inlineStr">
        <is>
          <t>and date in the companion bibliography document.</t>
        </is>
      </c>
    </row>
    <row r="46">
      <c r="A46" s="3" t="inlineStr"/>
    </row>
    <row r="47">
      <c r="A47" s="3" t="inlineStr">
        <is>
          <t>Discount convention. Each explicit year is discounted at its own forward cost of capital, gliding</t>
        </is>
      </c>
    </row>
    <row r="48">
      <c r="A48" s="3" t="inlineStr">
        <is>
          <t>9.21% -&gt; 8.67% on the same easing calendar as the cost-of-debt path; the terminal value is</t>
        </is>
      </c>
    </row>
    <row r="49">
      <c r="A49" s="3" t="inlineStr">
        <is>
          <t>capitalised at the terminal rate and discounted at the year-5 cumulative factor. One date, one price of</t>
        </is>
      </c>
    </row>
    <row r="50">
      <c r="A50" s="3" t="inlineStr">
        <is>
          <t>time: values are struck at 31-Dec-2025 and rolled to the 7-Aug-2026 anchor at the cost of equity, net of</t>
        </is>
      </c>
    </row>
    <row r="51">
      <c r="A51" s="3" t="inlineStr">
        <is>
          <t>the AED 0.30 dividend paid inside the window.</t>
        </is>
      </c>
    </row>
    <row r="52">
      <c r="A52" s="3" t="inlineStr"/>
    </row>
    <row r="53">
      <c r="A53" s="3" t="inlineStr">
        <is>
          <t>Currency. AED million unless stated. Spot AED 5.24 (2026-08-07 close). Sheets: READ FIRST · Summary ·</t>
        </is>
      </c>
    </row>
    <row r="54">
      <c r="A54" s="3" t="inlineStr">
        <is>
          <t>Fundamental Valuation · Assumptions · SOTP Bridge · Segments · Relative &amp; Normalized · DCF · Income</t>
        </is>
      </c>
    </row>
    <row r="55">
      <c r="A55" s="3" t="inlineStr">
        <is>
          <t>Statement · Balance Sheet · Cash Flow · Summary Financials · Monte Carlo · Sensitivity · Per-Share &amp;</t>
        </is>
      </c>
    </row>
    <row r="56">
      <c r="A56" s="3" t="inlineStr">
        <is>
          <t>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Summary — valuation at a glance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All values link live to their source sheets</t>
        </is>
      </c>
    </row>
    <row r="4">
      <c r="A4" s="5" t="inlineStr">
        <is>
          <t>Lens</t>
        </is>
      </c>
      <c r="B4" s="5" t="inlineStr">
        <is>
          <t>Bear</t>
        </is>
      </c>
      <c r="C4" s="5" t="inlineStr">
        <is>
          <t>Base</t>
        </is>
      </c>
      <c r="D4" s="5" t="inlineStr">
        <is>
          <t>Bull</t>
        </is>
      </c>
      <c r="E4" s="5" t="inlineStr">
        <is>
          <t>Weight</t>
        </is>
      </c>
      <c r="F4" s="5" t="inlineStr">
        <is>
          <t>Contribution</t>
        </is>
      </c>
      <c r="G4" s="5" t="inlineStr">
        <is>
          <t>vs spot</t>
        </is>
      </c>
    </row>
    <row r="5">
      <c r="A5" s="6" t="inlineStr">
        <is>
          <t>Discounted cash flow (primary)</t>
        </is>
      </c>
      <c r="B5" s="7" t="n">
        <v>0.4703575469948413</v>
      </c>
      <c r="C5" s="8">
        <f>'Fundamental Valuation'!C5</f>
        <v/>
      </c>
      <c r="D5" s="7" t="n">
        <v>7.228322439161341</v>
      </c>
      <c r="E5" s="9">
        <f>Assumptions!$C$83</f>
        <v/>
      </c>
      <c r="F5" s="10">
        <f>C5*E5</f>
        <v/>
      </c>
      <c r="G5" s="11">
        <f>C5/$C$16-1</f>
        <v/>
      </c>
    </row>
    <row r="6">
      <c r="A6" s="6" t="inlineStr">
        <is>
          <t>Relative multiples</t>
        </is>
      </c>
      <c r="B6" s="8">
        <f>'Relative &amp; Normalized'!C12</f>
        <v/>
      </c>
      <c r="C6" s="8">
        <f>'Relative &amp; Normalized'!C11</f>
        <v/>
      </c>
      <c r="D6" s="8">
        <f>'Relative &amp; Normalized'!C13</f>
        <v/>
      </c>
      <c r="E6" s="9">
        <f>Assumptions!$C$84</f>
        <v/>
      </c>
      <c r="F6" s="10">
        <f>C6*E6</f>
        <v/>
      </c>
      <c r="G6" s="11">
        <f>C6/$C$16-1</f>
        <v/>
      </c>
    </row>
    <row r="7">
      <c r="A7" s="6" t="inlineStr">
        <is>
          <t>Normalised earnings power</t>
        </is>
      </c>
      <c r="B7" s="8">
        <f>'Relative &amp; Normalized'!C31</f>
        <v/>
      </c>
      <c r="C7" s="8">
        <f>'Relative &amp; Normalized'!C29</f>
        <v/>
      </c>
      <c r="D7" s="8">
        <f>'Relative &amp; Normalized'!C32</f>
        <v/>
      </c>
      <c r="E7" s="9">
        <f>Assumptions!$C$85</f>
        <v/>
      </c>
      <c r="F7" s="10">
        <f>C7*E7</f>
        <v/>
      </c>
      <c r="G7" s="11">
        <f>C7/$C$16-1</f>
        <v/>
      </c>
    </row>
    <row r="8">
      <c r="A8" s="6" t="inlineStr">
        <is>
          <t>Book value and sustainable return</t>
        </is>
      </c>
      <c r="B8" s="8">
        <f>'Relative &amp; Normalized'!C39</f>
        <v/>
      </c>
      <c r="C8" s="8">
        <f>'Relative &amp; Normalized'!C37</f>
        <v/>
      </c>
      <c r="D8" s="8">
        <f>'Relative &amp; Normalized'!C40</f>
        <v/>
      </c>
      <c r="E8" s="9">
        <f>Assumptions!$C$86</f>
        <v/>
      </c>
      <c r="F8" s="10">
        <f>C8*E8</f>
        <v/>
      </c>
      <c r="G8" s="11">
        <f>C8/$C$16-1</f>
        <v/>
      </c>
    </row>
    <row r="9">
      <c r="A9" s="12" t="inlineStr">
        <is>
          <t>Weighted central (range weighted like the base)</t>
        </is>
      </c>
      <c r="B9" s="13">
        <f>B5*E5+B6*E6+B7*E7+B8*E8</f>
        <v/>
      </c>
      <c r="C9" s="13">
        <f>SUM(F5:F8)</f>
        <v/>
      </c>
      <c r="D9" s="13">
        <f>D5*E5+D6*E6+D7*E7+D8*E8</f>
        <v/>
      </c>
      <c r="E9" s="14">
        <f>SUM(E5:E8)</f>
        <v/>
      </c>
      <c r="F9" s="15" t="n"/>
      <c r="G9" s="14">
        <f>C9/$C$16-1</f>
        <v/>
      </c>
    </row>
    <row r="10">
      <c r="A10" s="6" t="inlineStr">
        <is>
          <t>DCF — JV network capitalised (contested judgement, other framing)</t>
        </is>
      </c>
      <c r="C10" s="8">
        <f>'SOTP Bridge'!C20</f>
        <v/>
      </c>
      <c r="G10" s="11">
        <f>C10/$C$16-1</f>
        <v/>
      </c>
    </row>
    <row r="11">
      <c r="A11" s="6" t="inlineStr">
        <is>
          <t>Weighted central on that framing</t>
        </is>
      </c>
      <c r="C11" s="10">
        <f>C9+Assumptions!$C$83*('SOTP Bridge'!C20-'Fundamental Valuation'!C5)</f>
        <v/>
      </c>
      <c r="G11" s="11">
        <f>C11/$C$16-1</f>
        <v/>
      </c>
    </row>
    <row r="12">
      <c r="A12" s="6" t="inlineStr">
        <is>
          <t>Terminal value share of DCF enterprise value</t>
        </is>
      </c>
      <c r="C12" s="9">
        <f>DCF!C57</f>
        <v/>
      </c>
    </row>
    <row r="13">
      <c r="A13" s="6" t="inlineStr">
        <is>
          <t>Expert panel median</t>
        </is>
      </c>
      <c r="C13" s="8">
        <f>'Fundamental Valuation'!C23</f>
        <v/>
      </c>
      <c r="G13" s="11">
        <f>C13/$C$16-1</f>
        <v/>
      </c>
    </row>
    <row r="14">
      <c r="A14" s="6" t="inlineStr">
        <is>
          <t>DCF on the high-fuel alternative (whole-model re-run)</t>
        </is>
      </c>
      <c r="C14" s="7" t="n">
        <v>1.855923186986279</v>
      </c>
      <c r="G14" s="11">
        <f>C14/$C$16-1</f>
        <v/>
      </c>
    </row>
    <row r="15">
      <c r="A15" s="6" t="inlineStr">
        <is>
          <t>Widest single-lens span (the DCF scenarios) — labelled, not the weighted range</t>
        </is>
      </c>
      <c r="B15" s="10">
        <f>MIN(B5:B8)</f>
        <v/>
      </c>
      <c r="D15" s="10">
        <f>MAX(D5:D8)</f>
        <v/>
      </c>
    </row>
    <row r="16">
      <c r="A16" s="12" t="inlineStr">
        <is>
          <t>Market price (7-Aug-2026 close)</t>
        </is>
      </c>
      <c r="B16" s="15" t="n"/>
      <c r="C16" s="16">
        <f>Assumptions!$C$52</f>
        <v/>
      </c>
      <c r="D16" s="15" t="n"/>
      <c r="E16" s="15" t="n"/>
      <c r="F16" s="15" t="n"/>
      <c r="G16" s="15" t="n"/>
    </row>
    <row r="18">
      <c r="A18" s="5" t="inlineStr">
        <is>
          <t>Key figure</t>
        </is>
      </c>
      <c r="B18" s="5" t="inlineStr"/>
      <c r="C18" s="5" t="inlineStr">
        <is>
          <t>Value</t>
        </is>
      </c>
    </row>
    <row r="19">
      <c r="A19" s="6" t="inlineStr">
        <is>
          <t>Shares outstanding (mn)</t>
        </is>
      </c>
      <c r="C19" s="17">
        <f>Assumptions!$C$53</f>
        <v/>
      </c>
    </row>
    <row r="20">
      <c r="A20" s="6" t="inlineStr">
        <is>
          <t>Market capitalisation (AED mn)</t>
        </is>
      </c>
      <c r="C20" s="17">
        <f>DCF!C14</f>
        <v/>
      </c>
    </row>
    <row r="21">
      <c r="A21" s="6" t="inlineStr">
        <is>
          <t>Net cash incl. fixed deposits, FY2025 (AED mn)</t>
        </is>
      </c>
      <c r="C21" s="17">
        <f>'SOTP Bridge'!C6</f>
        <v/>
      </c>
    </row>
    <row r="22">
      <c r="A22" s="6" t="inlineStr">
        <is>
          <t>FY2025 revenue (AED mn)</t>
        </is>
      </c>
      <c r="C22" s="17">
        <f>'Income Statement'!D5</f>
        <v/>
      </c>
    </row>
    <row r="23">
      <c r="A23" s="6" t="inlineStr">
        <is>
          <t>FY2025 EBITDA (AED mn)</t>
        </is>
      </c>
      <c r="C23" s="17">
        <f>'Income Statement'!D9</f>
        <v/>
      </c>
    </row>
    <row r="24">
      <c r="A24" s="6" t="inlineStr">
        <is>
          <t>FY2025 attributable profit (AED mn)</t>
        </is>
      </c>
      <c r="C24" s="17">
        <f>'Income Statement'!D20</f>
        <v/>
      </c>
    </row>
    <row r="25">
      <c r="A25" s="6" t="inlineStr">
        <is>
          <t>Cost of capital — explicit window</t>
        </is>
      </c>
      <c r="C25" s="18">
        <f>DCF!C17</f>
        <v/>
      </c>
    </row>
    <row r="26">
      <c r="A26" s="6" t="inlineStr">
        <is>
          <t>Cost of capital — terminal</t>
        </is>
      </c>
      <c r="C26" s="18">
        <f>DCF!C24</f>
        <v/>
      </c>
    </row>
    <row r="27">
      <c r="A27" s="6" t="inlineStr">
        <is>
          <t>Terminal growth</t>
        </is>
      </c>
      <c r="C27" s="9">
        <f>Assumptions!$C$47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Fundamental valuation — the four lenses and the alternatives</t>
        </is>
      </c>
      <c r="B1" s="2" t="n"/>
      <c r="C1" s="2" t="n"/>
      <c r="D1" s="2" t="n"/>
      <c r="E1" s="2" t="n"/>
      <c r="F1" s="2" t="n"/>
    </row>
    <row r="4">
      <c r="A4" s="5" t="inlineStr">
        <is>
          <t>Lens</t>
        </is>
      </c>
      <c r="B4" s="5" t="inlineStr">
        <is>
          <t>Basis</t>
        </is>
      </c>
      <c r="C4" s="5" t="inlineStr">
        <is>
          <t>AED per share</t>
        </is>
      </c>
    </row>
    <row r="5">
      <c r="A5" s="6" t="inlineStr">
        <is>
          <t>Discounted cash flow (primary)</t>
        </is>
      </c>
      <c r="B5" s="6" t="inlineStr">
        <is>
          <t>FCFF, glide-discounted, JV at carrying value</t>
        </is>
      </c>
      <c r="C5" s="19">
        <f>'SOTP Bridge'!C15</f>
        <v/>
      </c>
    </row>
    <row r="6">
      <c r="A6" s="6" t="inlineStr">
        <is>
          <t>Relative multiples</t>
        </is>
      </c>
      <c r="B6" s="6" t="inlineStr">
        <is>
          <t>6.5x FY2027E EBITDA, discounted</t>
        </is>
      </c>
      <c r="C6" s="8">
        <f>'Relative &amp; Normalized'!C11</f>
        <v/>
      </c>
    </row>
    <row r="7">
      <c r="A7" s="6" t="inlineStr">
        <is>
          <t>Normalised earnings power</t>
        </is>
      </c>
      <c r="B7" s="6" t="inlineStr">
        <is>
          <t>13x mid-cycle EPS at current scale</t>
        </is>
      </c>
      <c r="C7" s="8">
        <f>'Relative &amp; Normalized'!C29</f>
        <v/>
      </c>
    </row>
    <row r="8">
      <c r="A8" s="6" t="inlineStr">
        <is>
          <t>Book value and sustainable return</t>
        </is>
      </c>
      <c r="B8" s="6" t="inlineStr">
        <is>
          <t>Justified price-to-book on FY2025 equity</t>
        </is>
      </c>
      <c r="C8" s="8">
        <f>'Relative &amp; Normalized'!C37</f>
        <v/>
      </c>
    </row>
    <row r="10">
      <c r="A10" s="12" t="inlineStr">
        <is>
          <t>Weighted central</t>
        </is>
      </c>
      <c r="B10" s="15" t="n"/>
      <c r="C10" s="13">
        <f>Summary!C9</f>
        <v/>
      </c>
      <c r="D10" s="15" t="n"/>
      <c r="E10" s="15" t="n"/>
      <c r="F10" s="15" t="n"/>
    </row>
    <row r="12">
      <c r="A12" s="5" t="inlineStr">
        <is>
          <t>Alternative readings (whole-model re-runs unless linked)</t>
        </is>
      </c>
      <c r="B12" s="5" t="inlineStr"/>
      <c r="C12" s="5" t="inlineStr">
        <is>
          <t>AED per share</t>
        </is>
      </c>
    </row>
    <row r="13">
      <c r="A13" s="6" t="inlineStr">
        <is>
          <t>DCF with the JV network capitalised (the contested judgement, other framing)</t>
        </is>
      </c>
      <c r="C13" s="8">
        <f>'SOTP Bridge'!C20</f>
        <v/>
      </c>
    </row>
    <row r="14">
      <c r="A14" s="6" t="inlineStr">
        <is>
          <t>DCF on the high-fuel alternative (airline-association path held)</t>
        </is>
      </c>
      <c r="C14" s="7" t="n">
        <v>1.855923186986279</v>
      </c>
    </row>
    <row r="15">
      <c r="A15" s="6" t="inlineStr">
        <is>
          <t>DCF bear scenario (high fuel + weaker traffic + tighter money)</t>
        </is>
      </c>
      <c r="C15" s="7" t="n">
        <v>0.4703575469948413</v>
      </c>
    </row>
    <row r="16">
      <c r="A16" s="6" t="inlineStr">
        <is>
          <t>DCF bull scenario (fuel relief + stronger traffic + JV capitalised)</t>
        </is>
      </c>
      <c r="C16" s="7" t="n">
        <v>7.228322439161341</v>
      </c>
    </row>
    <row r="18">
      <c r="A18" s="5" t="inlineStr">
        <is>
          <t>Expert panel (each leg is a complete model of its own)</t>
        </is>
      </c>
      <c r="B18" s="5" t="inlineStr"/>
      <c r="C18" s="5" t="inlineStr">
        <is>
          <t>AED per share</t>
        </is>
      </c>
    </row>
    <row r="19">
      <c r="A19" s="6" t="inlineStr">
        <is>
          <t>Expert 1 — earnings power at a justified multiple (live formula)</t>
        </is>
      </c>
      <c r="C19" s="10">
        <f>13*(('Segments'!D30*'Segments'!D14+'Segments'!D28-Assumptions!D21+('Cash Flow'!D13-'Cash Flow'!D14)+'Income Statement'!G15)*(1-Assumptions!$C$36)*(1-Assumptions!$C$81)/Assumptions!$C$53)*DCF!C61-Assumptions!$C$54</f>
        <v/>
      </c>
      <c r="D19" s="10">
        <f>10*(('Segments'!D30*'Segments'!D14+'Segments'!D28-Assumptions!D21+('Cash Flow'!D13-'Cash Flow'!D14)+'Income Statement'!G15)*(1-Assumptions!$C$36)*(1-Assumptions!$C$81)/Assumptions!$C$53)*DCF!C61-Assumptions!$C$54</f>
        <v/>
      </c>
      <c r="E19" s="10">
        <f>16*(('Segments'!D30*'Segments'!D14+'Segments'!D28-Assumptions!D21+('Cash Flow'!D13-'Cash Flow'!D14)+'Income Statement'!G15)*(1-Assumptions!$C$36)*(1-Assumptions!$C$81)/Assumptions!$C$53)*DCF!C61-Assumptions!$C$54</f>
        <v/>
      </c>
    </row>
    <row r="20">
      <c r="A20" s="6" t="inlineStr">
        <is>
          <t>Expert 2 — owner cash earnings capitalised (live formula)</t>
        </is>
      </c>
      <c r="C20" s="10">
        <f>(((AVERAGE('Cash Flow'!D9:F9)+('Cash Flow'!E13-'Cash Flow'!E14)*(1-Assumptions!$C$36)+'Income Statement'!H15*(1-Assumptions!$C$36)*0.4)*(1-Assumptions!$C$81))*(1+Assumptions!$C$47)/(DCF!C21-Assumptions!$C$47)+0.5*(Assumptions!$C$76-Assumptions!$C$75))/Assumptions!$C$53*DCF!C61-Assumptions!$C$54</f>
        <v/>
      </c>
      <c r="D20" s="10">
        <f>((AVERAGE('Cash Flow'!D9:F9)+('Cash Flow'!E13-'Cash Flow'!E14)*(1-Assumptions!$C$36)+'Income Statement'!H15*(1-Assumptions!$C$36)*0.4)*(1-Assumptions!$C$81))*1.015/(0.5*(DCF!C10+DCF!C21)-0.015)/Assumptions!$C$53*DCF!C61-Assumptions!$C$54</f>
        <v/>
      </c>
      <c r="E20" s="10">
        <f>(((AVERAGE('Cash Flow'!D9:F9)+('Cash Flow'!E13-'Cash Flow'!E14)*(1-Assumptions!$C$36)+'Income Statement'!H15*(1-Assumptions!$C$36)*0.4)*(1-Assumptions!$C$81))*1.035/(DCF!C21-0.035)+2*0.5*(Assumptions!$C$76-Assumptions!$C$75))/Assumptions!$C$53*DCF!C61-Assumptions!$C$54</f>
        <v/>
      </c>
    </row>
    <row r="21">
      <c r="A21" s="6" t="inlineStr">
        <is>
          <t>Expert 3 — cash returns vs the cost of capital (whole-model re-run; full chain in Appendix C)</t>
        </is>
      </c>
      <c r="C21" s="7" t="n">
        <v>3.461161670069188</v>
      </c>
      <c r="D21" s="7" t="n">
        <v>2.669746136632601</v>
      </c>
      <c r="E21" s="7" t="n">
        <v>4.006923840645693</v>
      </c>
    </row>
    <row r="23">
      <c r="A23" s="20" t="inlineStr">
        <is>
          <t>Panel median</t>
        </is>
      </c>
      <c r="C23" s="21">
        <f>MEDIAN(C19,C20,C21)</f>
        <v/>
      </c>
    </row>
    <row r="25">
      <c r="A25" s="22" t="inlineStr">
        <is>
          <t>Columns D and E carry each expert's own low and high. The spot price on the anchor date is AED 5.24.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6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Assumptions — every driver of the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Blue cells are inputs. Change one and the model reprices.</t>
        </is>
      </c>
    </row>
    <row r="4">
      <c r="A4" s="5" t="inlineStr">
        <is>
          <t>Driver</t>
        </is>
      </c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Passengers (millions)</t>
        </is>
      </c>
      <c r="B5" s="23" t="n">
        <v>12.85</v>
      </c>
      <c r="C5" s="23" t="n">
        <v>13.95</v>
      </c>
      <c r="D5" s="23" t="n">
        <v>15.15</v>
      </c>
      <c r="E5" s="23" t="n">
        <v>16.35</v>
      </c>
      <c r="F5" s="23" t="n">
        <v>17.55</v>
      </c>
    </row>
    <row r="6">
      <c r="A6" s="6" t="inlineStr">
        <is>
          <t>Passenger + baggage revenue per passenger (AED)</t>
        </is>
      </c>
      <c r="B6" s="24" t="n">
        <v>488</v>
      </c>
      <c r="C6" s="24" t="n">
        <v>480</v>
      </c>
      <c r="D6" s="24" t="n">
        <v>484</v>
      </c>
      <c r="E6" s="24" t="n">
        <v>489</v>
      </c>
      <c r="F6" s="24" t="n">
        <v>494</v>
      </c>
    </row>
    <row r="7">
      <c r="A7" s="6" t="inlineStr">
        <is>
          <t>Ancillary revenue per passenger (AED)</t>
        </is>
      </c>
      <c r="B7" s="24" t="n">
        <v>67.40000000000001</v>
      </c>
      <c r="C7" s="24" t="n">
        <v>70.09999999999999</v>
      </c>
      <c r="D7" s="24" t="n">
        <v>72.90000000000001</v>
      </c>
      <c r="E7" s="24" t="n">
        <v>75.8</v>
      </c>
      <c r="F7" s="24" t="n">
        <v>78.8</v>
      </c>
    </row>
    <row r="8">
      <c r="A8" s="6" t="inlineStr">
        <is>
          <t>Cargo revenue growth</t>
        </is>
      </c>
      <c r="B8" s="25" t="n">
        <v>0.05</v>
      </c>
      <c r="C8" s="25" t="n">
        <v>0.05</v>
      </c>
      <c r="D8" s="25" t="n">
        <v>0.05</v>
      </c>
      <c r="E8" s="25" t="n">
        <v>0.05</v>
      </c>
      <c r="F8" s="25" t="n">
        <v>0.05</v>
      </c>
    </row>
    <row r="9">
      <c r="A9" s="6" t="inlineStr">
        <is>
          <t>Service revenue growth</t>
        </is>
      </c>
      <c r="B9" s="25" t="n">
        <v>0.04</v>
      </c>
      <c r="C9" s="25" t="n">
        <v>0.04</v>
      </c>
      <c r="D9" s="25" t="n">
        <v>0.04</v>
      </c>
      <c r="E9" s="25" t="n">
        <v>0.04</v>
      </c>
      <c r="F9" s="25" t="n">
        <v>0.04</v>
      </c>
    </row>
    <row r="10">
      <c r="A10" s="6" t="inlineStr">
        <is>
          <t>Hotel revenue growth</t>
        </is>
      </c>
      <c r="B10" s="25" t="n">
        <v>0.03</v>
      </c>
      <c r="C10" s="25" t="n">
        <v>0.03</v>
      </c>
      <c r="D10" s="25" t="n">
        <v>0.03</v>
      </c>
      <c r="E10" s="25" t="n">
        <v>0.03</v>
      </c>
      <c r="F10" s="25" t="n">
        <v>0.03</v>
      </c>
    </row>
    <row r="11">
      <c r="A11" s="6" t="inlineStr">
        <is>
          <t>Aircraft-lease revenue growth</t>
        </is>
      </c>
      <c r="B11" s="25" t="n">
        <v>0.1</v>
      </c>
      <c r="C11" s="25" t="n">
        <v>0.1</v>
      </c>
      <c r="D11" s="25" t="n">
        <v>0.08</v>
      </c>
      <c r="E11" s="25" t="n">
        <v>0.06</v>
      </c>
      <c r="F11" s="25" t="n">
        <v>0.05</v>
      </c>
    </row>
    <row r="12">
      <c r="A12" s="6" t="inlineStr">
        <is>
          <t>Effective jet fuel price (USD/bbl) — base path</t>
        </is>
      </c>
      <c r="B12" s="24" t="n">
        <v>100.7</v>
      </c>
      <c r="C12" s="24" t="n">
        <v>85.2</v>
      </c>
      <c r="D12" s="24" t="n">
        <v>86.90000000000001</v>
      </c>
      <c r="E12" s="24" t="n">
        <v>88.59999999999999</v>
      </c>
      <c r="F12" s="24" t="n">
        <v>90.40000000000001</v>
      </c>
    </row>
    <row r="13">
      <c r="A13" s="6" t="inlineStr">
        <is>
          <t>Effective jet fuel price (USD/bbl) — high-fuel alternative</t>
        </is>
      </c>
      <c r="B13" s="24" t="n">
        <v>108.4</v>
      </c>
      <c r="C13" s="24" t="n">
        <v>105.8</v>
      </c>
      <c r="D13" s="24" t="n">
        <v>106.4</v>
      </c>
      <c r="E13" s="24" t="n">
        <v>107.5</v>
      </c>
      <c r="F13" s="24" t="n">
        <v>108.5</v>
      </c>
    </row>
    <row r="14">
      <c r="A14" s="6" t="inlineStr">
        <is>
          <t>Staff cost per passenger (AED)</t>
        </is>
      </c>
      <c r="B14" s="24" t="n">
        <v>84.40000000000001</v>
      </c>
      <c r="C14" s="24" t="n">
        <v>86.90000000000001</v>
      </c>
      <c r="D14" s="24" t="n">
        <v>89.5</v>
      </c>
      <c r="E14" s="24" t="n">
        <v>92.2</v>
      </c>
      <c r="F14" s="24" t="n">
        <v>94.90000000000001</v>
      </c>
    </row>
    <row r="15">
      <c r="A15" s="6" t="inlineStr">
        <is>
          <t>Maintenance cost per passenger (AED)</t>
        </is>
      </c>
      <c r="B15" s="24" t="n">
        <v>63.8</v>
      </c>
      <c r="C15" s="24" t="n">
        <v>66.3</v>
      </c>
      <c r="D15" s="24" t="n">
        <v>69</v>
      </c>
      <c r="E15" s="24" t="n">
        <v>71.7</v>
      </c>
      <c r="F15" s="24" t="n">
        <v>74.59999999999999</v>
      </c>
    </row>
    <row r="16">
      <c r="A16" s="6" t="inlineStr">
        <is>
          <t>Landing &amp; overflying charges per passenger (AED)</t>
        </is>
      </c>
      <c r="B16" s="24" t="n">
        <v>36.7</v>
      </c>
      <c r="C16" s="24" t="n">
        <v>37.4</v>
      </c>
      <c r="D16" s="24" t="n">
        <v>38.2</v>
      </c>
      <c r="E16" s="24" t="n">
        <v>38.9</v>
      </c>
      <c r="F16" s="24" t="n">
        <v>39.7</v>
      </c>
    </row>
    <row r="17">
      <c r="A17" s="6" t="inlineStr">
        <is>
          <t>Handling charges per passenger (AED)</t>
        </is>
      </c>
      <c r="B17" s="24" t="n">
        <v>30</v>
      </c>
      <c r="C17" s="24" t="n">
        <v>30.6</v>
      </c>
      <c r="D17" s="24" t="n">
        <v>31.2</v>
      </c>
      <c r="E17" s="24" t="n">
        <v>31.8</v>
      </c>
      <c r="F17" s="24" t="n">
        <v>32.4</v>
      </c>
    </row>
    <row r="18">
      <c r="A18" s="6" t="inlineStr">
        <is>
          <t>Other direct cost per passenger (AED)</t>
        </is>
      </c>
      <c r="B18" s="24" t="n">
        <v>41.5</v>
      </c>
      <c r="C18" s="24" t="n">
        <v>41.5</v>
      </c>
      <c r="D18" s="24" t="n">
        <v>41.5</v>
      </c>
      <c r="E18" s="24" t="n">
        <v>41.5</v>
      </c>
      <c r="F18" s="24" t="n">
        <v>41.5</v>
      </c>
    </row>
    <row r="19">
      <c r="A19" s="6" t="inlineStr">
        <is>
          <t>Administrative cost growth</t>
        </is>
      </c>
      <c r="B19" s="25" t="n">
        <v>0.05</v>
      </c>
      <c r="C19" s="25" t="n">
        <v>0.05</v>
      </c>
      <c r="D19" s="25" t="n">
        <v>0.05</v>
      </c>
      <c r="E19" s="25" t="n">
        <v>0.05</v>
      </c>
      <c r="F19" s="25" t="n">
        <v>0.05</v>
      </c>
    </row>
    <row r="20">
      <c r="A20" s="6" t="inlineStr">
        <is>
          <t>Other-income growth</t>
        </is>
      </c>
      <c r="B20" s="25" t="n">
        <v>0.08</v>
      </c>
      <c r="C20" s="25" t="n">
        <v>0.08</v>
      </c>
      <c r="D20" s="25" t="n">
        <v>0.08</v>
      </c>
      <c r="E20" s="25" t="n">
        <v>0.07000000000000001</v>
      </c>
      <c r="F20" s="25" t="n">
        <v>0.06</v>
      </c>
    </row>
    <row r="21">
      <c r="A21" s="6" t="inlineStr">
        <is>
          <t>Depreciation &amp; amortisation (AED mn)</t>
        </is>
      </c>
      <c r="B21" s="26" t="n">
        <v>720</v>
      </c>
      <c r="C21" s="26" t="n">
        <v>810</v>
      </c>
      <c r="D21" s="26" t="n">
        <v>900</v>
      </c>
      <c r="E21" s="26" t="n">
        <v>980</v>
      </c>
      <c r="F21" s="26" t="n">
        <v>1060</v>
      </c>
    </row>
    <row r="22">
      <c r="A22" s="6" t="inlineStr">
        <is>
          <t>Fleet capital expenditure incl. pre-delivery payments (AED mn)</t>
        </is>
      </c>
      <c r="B22" s="26" t="n">
        <v>2000</v>
      </c>
      <c r="C22" s="26" t="n">
        <v>1900</v>
      </c>
      <c r="D22" s="26" t="n">
        <v>1900</v>
      </c>
      <c r="E22" s="26" t="n">
        <v>1950</v>
      </c>
      <c r="F22" s="26" t="n">
        <v>2000</v>
      </c>
    </row>
    <row r="23">
      <c r="A23" s="6" t="inlineStr">
        <is>
          <t>Owned aircraft additions (units)</t>
        </is>
      </c>
      <c r="B23" s="26" t="n">
        <v>1</v>
      </c>
      <c r="C23" s="26" t="n">
        <v>1</v>
      </c>
      <c r="D23" s="26" t="n">
        <v>1</v>
      </c>
      <c r="E23" s="26" t="n">
        <v>2</v>
      </c>
      <c r="F23" s="26" t="n">
        <v>2</v>
      </c>
    </row>
    <row r="24">
      <c r="A24" s="6" t="inlineStr">
        <is>
          <t>Leased aircraft additions (units)</t>
        </is>
      </c>
      <c r="B24" s="26" t="n">
        <v>1</v>
      </c>
      <c r="C24" s="26" t="n">
        <v>2</v>
      </c>
      <c r="D24" s="26" t="n">
        <v>2</v>
      </c>
      <c r="E24" s="26" t="n">
        <v>2</v>
      </c>
      <c r="F24" s="26" t="n">
        <v>2</v>
      </c>
    </row>
    <row r="25">
      <c r="A25" s="6" t="inlineStr">
        <is>
          <t>Consolidated fleet, year-end (aircraft)</t>
        </is>
      </c>
      <c r="B25" s="26" t="n">
        <v>58</v>
      </c>
      <c r="C25" s="26" t="n">
        <v>61</v>
      </c>
      <c r="D25" s="26" t="n">
        <v>64</v>
      </c>
      <c r="E25" s="26" t="n">
        <v>68</v>
      </c>
      <c r="F25" s="26" t="n">
        <v>72</v>
      </c>
    </row>
    <row r="26">
      <c r="A26" s="6" t="inlineStr">
        <is>
          <t>Booked finance-cost rate on the debt book</t>
        </is>
      </c>
      <c r="B26" s="27" t="n">
        <v>0.031</v>
      </c>
      <c r="C26" s="27" t="n">
        <v>0.033</v>
      </c>
      <c r="D26" s="27" t="n">
        <v>0.035</v>
      </c>
      <c r="E26" s="27" t="n">
        <v>0.036</v>
      </c>
      <c r="F26" s="27" t="n">
        <v>0.037</v>
      </c>
    </row>
    <row r="27">
      <c r="A27" s="6" t="inlineStr">
        <is>
          <t>Debt amortisation (AED mn)</t>
        </is>
      </c>
      <c r="B27" s="26" t="n">
        <v>500</v>
      </c>
      <c r="C27" s="26" t="n">
        <v>520</v>
      </c>
      <c r="D27" s="26" t="n">
        <v>540</v>
      </c>
      <c r="E27" s="26" t="n">
        <v>560</v>
      </c>
      <c r="F27" s="26" t="n">
        <v>580</v>
      </c>
    </row>
    <row r="28">
      <c r="A28" s="6" t="inlineStr">
        <is>
          <t>Marginal cost of debt path</t>
        </is>
      </c>
      <c r="B28" s="27" t="n">
        <v>0.054</v>
      </c>
      <c r="C28" s="27" t="n">
        <v>0.052</v>
      </c>
      <c r="D28" s="27" t="n">
        <v>0.051</v>
      </c>
      <c r="E28" s="27" t="n">
        <v>0.05</v>
      </c>
      <c r="F28" s="27" t="n">
        <v>0.05</v>
      </c>
    </row>
    <row r="29">
      <c r="A29" s="6" t="inlineStr">
        <is>
          <t>Deposit yield path</t>
        </is>
      </c>
      <c r="B29" s="27" t="n">
        <v>0.041</v>
      </c>
      <c r="C29" s="27" t="n">
        <v>0.038</v>
      </c>
      <c r="D29" s="27" t="n">
        <v>0.037</v>
      </c>
      <c r="E29" s="27" t="n">
        <v>0.037</v>
      </c>
      <c r="F29" s="27" t="n">
        <v>0.037</v>
      </c>
    </row>
    <row r="30">
      <c r="A30" s="6" t="inlineStr">
        <is>
          <t>Growth in the share of joint-venture and associate profit</t>
        </is>
      </c>
      <c r="B30" s="25" t="n">
        <v>0.02</v>
      </c>
      <c r="C30" s="25" t="n">
        <v>0.18</v>
      </c>
      <c r="D30" s="25" t="n">
        <v>0.18</v>
      </c>
      <c r="E30" s="25" t="n">
        <v>0.15</v>
      </c>
      <c r="F30" s="25" t="n">
        <v>0.12</v>
      </c>
    </row>
    <row r="31">
      <c r="A31" s="6" t="inlineStr">
        <is>
          <t>Dividend payout ratio</t>
        </is>
      </c>
      <c r="B31" s="25" t="n">
        <v>1</v>
      </c>
      <c r="C31" s="25" t="n">
        <v>0.9</v>
      </c>
      <c r="D31" s="25" t="n">
        <v>0.85</v>
      </c>
      <c r="E31" s="25" t="n">
        <v>0.85</v>
      </c>
      <c r="F31" s="25" t="n">
        <v>0.85</v>
      </c>
    </row>
    <row r="33">
      <c r="A33" s="5" t="inlineStr">
        <is>
          <t>Scalar driver</t>
        </is>
      </c>
      <c r="B33" s="5" t="inlineStr">
        <is>
          <t>Value</t>
        </is>
      </c>
    </row>
    <row r="34">
      <c r="A34" s="6" t="inlineStr">
        <is>
          <t>Selling &amp; marketing / revenue</t>
        </is>
      </c>
      <c r="C34" s="27" t="n">
        <v>0.0146</v>
      </c>
    </row>
    <row r="35">
      <c r="A35" s="6" t="inlineStr">
        <is>
          <t>Working capital / revenue</t>
        </is>
      </c>
      <c r="C35" s="25" t="n">
        <v>-0.64</v>
      </c>
    </row>
    <row r="36">
      <c r="A36" s="6" t="inlineStr">
        <is>
          <t>Tax rate</t>
        </is>
      </c>
      <c r="C36" s="25" t="n">
        <v>0.15</v>
      </c>
    </row>
    <row r="37">
      <c r="A37" s="6" t="inlineStr">
        <is>
          <t>AED government bond yield (January-2031 tranche)</t>
        </is>
      </c>
      <c r="C37" s="27" t="n">
        <v>0.0448</v>
      </c>
    </row>
    <row r="38">
      <c r="A38" s="6" t="inlineStr">
        <is>
          <t>Observed sovereign spread at the auction (netted out)</t>
        </is>
      </c>
      <c r="C38" s="27" t="n">
        <v>0.0004</v>
      </c>
    </row>
    <row r="39">
      <c r="A39" s="6" t="inlineStr">
        <is>
          <t>Rating-table sovereign spread (alternative netting, disclosed)</t>
        </is>
      </c>
      <c r="C39" s="27" t="n">
        <v>0.0042</v>
      </c>
    </row>
    <row r="40">
      <c r="A40" s="6" t="inlineStr">
        <is>
          <t>Beta (five-year weekly, vs the Dubai index)</t>
        </is>
      </c>
      <c r="C40" s="23" t="n">
        <v>1.086</v>
      </c>
    </row>
    <row r="41">
      <c r="A41" s="6" t="inlineStr">
        <is>
          <t>Equity risk premium</t>
        </is>
      </c>
      <c r="C41" s="27" t="n">
        <v>0.0487</v>
      </c>
    </row>
    <row r="42">
      <c r="A42" s="6" t="inlineStr">
        <is>
          <t>Terminal risk-free rate</t>
        </is>
      </c>
      <c r="C42" s="27" t="n">
        <v>0.04</v>
      </c>
    </row>
    <row r="43">
      <c r="A43" s="6" t="inlineStr">
        <is>
          <t>Terminal equity risk premium</t>
        </is>
      </c>
      <c r="C43" s="27" t="n">
        <v>0.0475</v>
      </c>
    </row>
    <row r="44">
      <c r="A44" s="6" t="inlineStr">
        <is>
          <t>Marginal cost of debt</t>
        </is>
      </c>
      <c r="C44" s="27" t="n">
        <v>0.055</v>
      </c>
    </row>
    <row r="45">
      <c r="A45" s="6" t="inlineStr">
        <is>
          <t>Terminal cost of debt</t>
        </is>
      </c>
      <c r="C45" s="27" t="n">
        <v>0.05</v>
      </c>
    </row>
    <row r="46">
      <c r="A46" s="6" t="inlineStr">
        <is>
          <t>Terminal debt weight</t>
        </is>
      </c>
      <c r="C46" s="25" t="n">
        <v>0.1</v>
      </c>
    </row>
    <row r="47">
      <c r="A47" s="6" t="inlineStr">
        <is>
          <t>Terminal growth</t>
        </is>
      </c>
      <c r="C47" s="25" t="n">
        <v>0.025</v>
      </c>
    </row>
    <row r="48">
      <c r="A48" s="6" t="inlineStr">
        <is>
          <t>Joint-venture capitalisation multiple</t>
        </is>
      </c>
      <c r="C48" s="28" t="n">
        <v>15</v>
      </c>
    </row>
    <row r="49">
      <c r="A49" s="6" t="inlineStr">
        <is>
          <t>Justified EV/EBITDA</t>
        </is>
      </c>
      <c r="C49" s="28" t="n">
        <v>6.5</v>
      </c>
    </row>
    <row r="50">
      <c r="A50" s="6" t="inlineStr">
        <is>
          <t>Justified price/earnings</t>
        </is>
      </c>
      <c r="C50" s="28" t="n">
        <v>13</v>
      </c>
    </row>
    <row r="51">
      <c r="A51" s="6" t="inlineStr">
        <is>
          <t>Sustainable return on equity</t>
        </is>
      </c>
      <c r="C51" s="25" t="n">
        <v>0.18</v>
      </c>
    </row>
    <row r="52">
      <c r="A52" s="6" t="inlineStr">
        <is>
          <t>Spot price (AED)</t>
        </is>
      </c>
      <c r="C52" s="7" t="n">
        <v>5.24</v>
      </c>
    </row>
    <row r="53">
      <c r="A53" s="6" t="inlineStr">
        <is>
          <t>Shares outstanding (mn)</t>
        </is>
      </c>
      <c r="C53" s="26" t="n">
        <v>4666.7</v>
      </c>
    </row>
    <row r="54">
      <c r="A54" s="6" t="inlineStr">
        <is>
          <t>FY2025 dividend per share (AED, approved 12 March 2026)</t>
        </is>
      </c>
      <c r="C54" s="7" t="n">
        <v>0.3</v>
      </c>
    </row>
    <row r="55">
      <c r="A55" s="6" t="inlineStr">
        <is>
          <t>Days from 31-Dec-2025 to the 7-Aug-2026 anchor</t>
        </is>
      </c>
      <c r="C55" s="26" t="n">
        <v>219</v>
      </c>
    </row>
    <row r="56">
      <c r="A56" s="6" t="inlineStr">
        <is>
          <t>Fuel intensity (AED per passenger per USD/bbl of effective jet price)</t>
        </is>
      </c>
      <c r="C56" s="29" t="n">
        <v>1.937</v>
      </c>
    </row>
    <row r="57">
      <c r="A57" s="6" t="inlineStr">
        <is>
          <t>Right-of-use value per leased aircraft (AED mn)</t>
        </is>
      </c>
      <c r="C57" s="26" t="n">
        <v>175</v>
      </c>
    </row>
    <row r="58">
      <c r="A58" s="6" t="inlineStr">
        <is>
          <t>Loan drawn per owned aircraft (AED mn)</t>
        </is>
      </c>
      <c r="C58" s="26" t="n">
        <v>150</v>
      </c>
    </row>
    <row r="59">
      <c r="A59" s="6" t="inlineStr">
        <is>
          <t>Dividend floor (AED mn = 30 fils on the full share count)</t>
        </is>
      </c>
      <c r="C59" s="26" t="n">
        <v>1400</v>
      </c>
    </row>
    <row r="60">
      <c r="A60" s="6" t="inlineStr">
        <is>
          <t>Minority interests at carrying value (AED mn, audited)</t>
        </is>
      </c>
      <c r="C60" s="23" t="n">
        <v>1.287</v>
      </c>
    </row>
    <row r="61">
      <c r="A61" s="6" t="inlineStr">
        <is>
          <t>Scenario: passenger multiplier</t>
        </is>
      </c>
      <c r="C61" s="23" t="n">
        <v>1</v>
      </c>
    </row>
    <row r="62">
      <c r="A62" s="6" t="inlineStr">
        <is>
          <t>Scenario: fare multiplier</t>
        </is>
      </c>
      <c r="C62" s="23" t="n">
        <v>1</v>
      </c>
    </row>
    <row r="63">
      <c r="A63" s="6" t="inlineStr">
        <is>
          <t>Scenario: fuel multiplier</t>
        </is>
      </c>
      <c r="C63" s="23" t="n">
        <v>1</v>
      </c>
    </row>
    <row r="64">
      <c r="A64" s="6" t="inlineStr">
        <is>
          <t>Scenario: capital-expenditure multiplier</t>
        </is>
      </c>
      <c r="C64" s="23" t="n">
        <v>1</v>
      </c>
    </row>
    <row r="65">
      <c r="A65" s="6" t="inlineStr">
        <is>
          <t>Scenario: cost-of-capital shift</t>
        </is>
      </c>
      <c r="C65" s="27" t="n">
        <v>0</v>
      </c>
    </row>
    <row r="66">
      <c r="A66" s="6" t="inlineStr">
        <is>
          <t>Scenario: high-fuel switch (0 = base path, 1 = alternative)</t>
        </is>
      </c>
      <c r="C66" s="23" t="n">
        <v>0</v>
      </c>
    </row>
    <row r="67">
      <c r="A67" s="6" t="inlineStr">
        <is>
          <t>Cash administrative costs, FY2025 (AED mn, audited less its depreciation)</t>
        </is>
      </c>
      <c r="C67" s="24" t="n">
        <v>276.183</v>
      </c>
    </row>
    <row r="68">
      <c r="A68" s="6" t="inlineStr">
        <is>
          <t>Cargo revenue, FY2025 (AED mn, disclosed)</t>
        </is>
      </c>
      <c r="C68" s="24" t="n">
        <v>186.948</v>
      </c>
    </row>
    <row r="69">
      <c r="A69" s="6" t="inlineStr">
        <is>
          <t>Service revenue, FY2025 (AED mn, disclosed)</t>
        </is>
      </c>
      <c r="C69" s="24" t="n">
        <v>223.323</v>
      </c>
    </row>
    <row r="70">
      <c r="A70" s="6" t="inlineStr">
        <is>
          <t>Hotel revenue, FY2025 (AED mn, disclosed)</t>
        </is>
      </c>
      <c r="C70" s="24" t="n">
        <v>59.842</v>
      </c>
    </row>
    <row r="71">
      <c r="A71" s="6" t="inlineStr">
        <is>
          <t>Aircraft-lease revenue, FY2025 (AED mn, disclosed)</t>
        </is>
      </c>
      <c r="C71" s="24" t="n">
        <v>219.755</v>
      </c>
    </row>
    <row r="72">
      <c r="A72" s="6" t="inlineStr">
        <is>
          <t>Other income, FY2025 (AED mn, disclosed)</t>
        </is>
      </c>
      <c r="C72" s="24" t="n">
        <v>197.132</v>
      </c>
    </row>
    <row r="73">
      <c r="A73" s="6" t="inlineStr">
        <is>
          <t>Share of JV and associate profit, FY2025 (AED mn, disclosed)</t>
        </is>
      </c>
      <c r="C73" s="24" t="n">
        <v>189.975</v>
      </c>
    </row>
    <row r="74">
      <c r="A74" s="6" t="inlineStr">
        <is>
          <t>Working capital, FY2025 (AED mn, audited balance sheet)</t>
        </is>
      </c>
      <c r="C74" s="24" t="n">
        <v>-5186.834</v>
      </c>
    </row>
    <row r="75">
      <c r="A75" s="6" t="inlineStr">
        <is>
          <t>Gross debt, FY2025 (AED mn, audited)</t>
        </is>
      </c>
      <c r="C75" s="24" t="n">
        <v>2781.435</v>
      </c>
    </row>
    <row r="76">
      <c r="A76" s="6" t="inlineStr">
        <is>
          <t>Cash and fixed deposits, FY2025 (AED mn, audited)</t>
        </is>
      </c>
      <c r="C76" s="24" t="n">
        <v>5198.732</v>
      </c>
    </row>
    <row r="77">
      <c r="A77" s="6" t="inlineStr">
        <is>
          <t>Fleet assets, FY2025 (PP&amp;E + right-of-use + aircraft advances, AED mn, audited)</t>
        </is>
      </c>
      <c r="C77" s="24" t="n">
        <v>8670.864</v>
      </c>
    </row>
    <row r="78">
      <c r="A78" s="6" t="inlineStr">
        <is>
          <t>Intangible assets (AED mn, audited)</t>
        </is>
      </c>
      <c r="C78" s="24" t="n">
        <v>1362.497</v>
      </c>
    </row>
    <row r="79">
      <c r="A79" s="6" t="inlineStr">
        <is>
          <t>JV and associates at carrying value (AED mn, audited)</t>
        </is>
      </c>
      <c r="C79" s="24" t="n">
        <v>363.386</v>
      </c>
    </row>
    <row r="80">
      <c r="A80" s="6" t="inlineStr">
        <is>
          <t>Non-operating assets (investments + investment property + net investment in lease, AED mn)</t>
        </is>
      </c>
      <c r="C80" s="24" t="n">
        <v>1069.284</v>
      </c>
    </row>
    <row r="81">
      <c r="A81" s="6" t="inlineStr">
        <is>
          <t>Minority share of profit</t>
        </is>
      </c>
      <c r="C81" s="30" t="n">
        <v>0.0001596330894835507</v>
      </c>
    </row>
    <row r="82">
      <c r="A82" s="6" t="inlineStr">
        <is>
          <t>Equity attributable to owners, FY2025 (AED mn, audited)</t>
        </is>
      </c>
      <c r="C82" s="24" t="n">
        <v>8408.904</v>
      </c>
    </row>
    <row r="83">
      <c r="A83" s="6" t="inlineStr">
        <is>
          <t>Weight — discounted cash flow</t>
        </is>
      </c>
      <c r="C83" s="25" t="n">
        <v>0.45</v>
      </c>
    </row>
    <row r="84">
      <c r="A84" s="6" t="inlineStr">
        <is>
          <t>Weight — relative</t>
        </is>
      </c>
      <c r="C84" s="25" t="n">
        <v>0.2</v>
      </c>
    </row>
    <row r="85">
      <c r="A85" s="6" t="inlineStr">
        <is>
          <t>Weight — normalised</t>
        </is>
      </c>
      <c r="C85" s="25" t="n">
        <v>0.2</v>
      </c>
    </row>
    <row r="86">
      <c r="A86" s="6" t="inlineStr">
        <is>
          <t>Weight — book</t>
        </is>
      </c>
      <c r="C86" s="25" t="n">
        <v>0.15</v>
      </c>
    </row>
    <row r="87">
      <c r="A87" s="6" t="inlineStr">
        <is>
          <t>Relative lens — bear multiple</t>
        </is>
      </c>
      <c r="C87" s="28" t="n">
        <v>5</v>
      </c>
    </row>
    <row r="88">
      <c r="A88" s="6" t="inlineStr">
        <is>
          <t>Relative lens — bull multiple</t>
        </is>
      </c>
      <c r="C88" s="28" t="n">
        <v>8</v>
      </c>
    </row>
    <row r="89">
      <c r="A89" s="6" t="inlineStr">
        <is>
          <t>Normalised lens — bear P/E</t>
        </is>
      </c>
      <c r="C89" s="28" t="n">
        <v>10</v>
      </c>
    </row>
    <row r="90">
      <c r="A90" s="6" t="inlineStr">
        <is>
          <t>Normalised lens — bull P/E</t>
        </is>
      </c>
      <c r="C90" s="28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SOTP / EV-to-equity bridge — both JV framings</t>
        </is>
      </c>
      <c r="B1" s="2" t="n"/>
      <c r="C1" s="2" t="n"/>
      <c r="D1" s="2" t="n"/>
      <c r="E1" s="2" t="n"/>
      <c r="F1" s="2" t="n"/>
      <c r="G1" s="2" t="n"/>
    </row>
    <row r="2">
      <c r="A2" s="4" t="inlineStr">
        <is>
          <t>The joint-venture network is the contested judgement: both framings shown, never averaged.</t>
        </is>
      </c>
    </row>
    <row r="4">
      <c r="A4" s="5" t="inlineStr">
        <is>
          <t>Bridge — base framing (JV at audited carrying value)</t>
        </is>
      </c>
      <c r="B4" s="5" t="inlineStr"/>
      <c r="C4" s="5" t="inlineStr">
        <is>
          <t>AED mn</t>
        </is>
      </c>
    </row>
    <row r="5">
      <c r="A5" s="6" t="inlineStr">
        <is>
          <t>Enterprise value of the airline (DCF)</t>
        </is>
      </c>
      <c r="C5" s="17">
        <f>DCF!C56</f>
        <v/>
      </c>
    </row>
    <row r="6">
      <c r="A6" s="6" t="inlineStr">
        <is>
          <t>plus net cash (cash + deposits - borrowings - leases)</t>
        </is>
      </c>
      <c r="C6" s="31">
        <f>Assumptions!$C$76-Assumptions!$C$75</f>
        <v/>
      </c>
    </row>
    <row r="7">
      <c r="A7" s="6" t="inlineStr">
        <is>
          <t>plus non-operating assets</t>
        </is>
      </c>
      <c r="C7" s="17">
        <f>Assumptions!$C$80</f>
        <v/>
      </c>
    </row>
    <row r="8">
      <c r="A8" s="6" t="inlineStr">
        <is>
          <t>plus JV network at audited carrying value</t>
        </is>
      </c>
      <c r="C8" s="17">
        <f>Assumptions!$C$79</f>
        <v/>
      </c>
    </row>
    <row r="9">
      <c r="A9" s="20" t="inlineStr">
        <is>
          <t>Equity before minorities</t>
        </is>
      </c>
      <c r="C9" s="32">
        <f>SUM(C5:C8)</f>
        <v/>
      </c>
    </row>
    <row r="11">
      <c r="A11" s="6" t="inlineStr">
        <is>
          <t>less minorities at audited carrying value</t>
        </is>
      </c>
      <c r="C11" s="33">
        <f>Assumptions!$C$60</f>
        <v/>
      </c>
    </row>
    <row r="13">
      <c r="A13" s="20" t="inlineStr">
        <is>
          <t>Equity attributable to shareholders</t>
        </is>
      </c>
      <c r="C13" s="32">
        <f>C9-C11</f>
        <v/>
      </c>
    </row>
    <row r="14">
      <c r="A14" s="6" t="inlineStr">
        <is>
          <t>Per share at 31-Dec-2025</t>
        </is>
      </c>
      <c r="C14" s="10">
        <f>C13/Assumptions!$C$53</f>
        <v/>
      </c>
    </row>
    <row r="15">
      <c r="A15" s="20" t="inlineStr">
        <is>
          <t>Per share at the anchor — operating equity rolled at the cost of equity, cash and near-cash legs at the deposit yield</t>
        </is>
      </c>
      <c r="C15" s="21">
        <f>(C5*DCF!C61+(C6+C7+C8)*DCF!C63-C11)/Assumptions!$C$53-Assumptions!$C$54</f>
        <v/>
      </c>
    </row>
    <row r="17">
      <c r="A17" s="5" t="inlineStr">
        <is>
          <t>Alternative framing (JV capitalised at a growth multiple)</t>
        </is>
      </c>
      <c r="B17" s="5" t="inlineStr"/>
      <c r="C17" s="5" t="inlineStr">
        <is>
          <t>AED mn</t>
        </is>
      </c>
    </row>
    <row r="18">
      <c r="A18" s="6" t="inlineStr">
        <is>
          <t>JV network capitalised (multiple x FY2025 profit share)</t>
        </is>
      </c>
      <c r="C18" s="31">
        <f>Assumptions!$C$48*Assumptions!$C$73</f>
        <v/>
      </c>
    </row>
    <row r="19">
      <c r="A19" s="6" t="inlineStr">
        <is>
          <t>Equity attributable on this framing</t>
        </is>
      </c>
      <c r="C19" s="31">
        <f>C5+C6+C7+C18-C11</f>
        <v/>
      </c>
    </row>
    <row r="20">
      <c r="A20" s="20" t="inlineStr">
        <is>
          <t>Per share at the anchor — JV capitalised</t>
        </is>
      </c>
      <c r="C20" s="21">
        <f>(C5*DCF!C61+(C6+C7+C18)*DCF!C63-C11)/Assumptions!$C$53-Assumptions!$C$54</f>
        <v/>
      </c>
    </row>
    <row r="22">
      <c r="A22" s="5" t="inlineStr">
        <is>
          <t>Non-operating assets, itemised (audited FY2025)</t>
        </is>
      </c>
      <c r="B22" s="5" t="inlineStr"/>
      <c r="C22" s="5" t="inlineStr">
        <is>
          <t>AED mn</t>
        </is>
      </c>
    </row>
    <row r="23">
      <c r="A23" s="6" t="inlineStr">
        <is>
          <t>Investments at fair value through OCI</t>
        </is>
      </c>
      <c r="C23" s="24" t="n">
        <v>457.528</v>
      </c>
    </row>
    <row r="24">
      <c r="A24" s="6" t="inlineStr">
        <is>
          <t>Investment property (book; disclosed fair value AED 334mn)</t>
        </is>
      </c>
      <c r="C24" s="24" t="n">
        <v>277.09</v>
      </c>
    </row>
    <row r="25">
      <c r="A25" s="6" t="inlineStr">
        <is>
          <t>Net investment in lease (aircraft subleased to the JV airlines)</t>
        </is>
      </c>
      <c r="C25" s="24" t="n">
        <v>334.666</v>
      </c>
    </row>
    <row r="26">
      <c r="A26" s="20" t="inlineStr">
        <is>
          <t>Total non-operating assets</t>
        </is>
      </c>
      <c r="C26" s="34">
        <f>SUM(C23:C25)</f>
        <v/>
      </c>
    </row>
    <row r="28">
      <c r="A28" s="22" t="inlineStr">
        <is>
          <t>The JV network: Air Arabia Abu Dhabi (49%), Air Arabia Egypt (49%, raised from 40% in 2025), Fly Jinnah (45%), Air Arabia Maroc (44.13%), Air Arabia DMM — Saudi Arabia (49%, pre-operational). FY2025 profit share AED 190.0mn; audited carrying value AED 363.4mn.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Segments — the unit build, live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Revenue = passengers x rate; costs = passengers x unit cost. All formula.</t>
        </is>
      </c>
    </row>
    <row r="4">
      <c r="A4" s="5" t="inlineStr">
        <is>
          <t>Revenue build (AED mn)</t>
        </is>
      </c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Passengers (millions)</t>
        </is>
      </c>
      <c r="B5" s="35">
        <f>Assumptions!B5*Assumptions!$C$61</f>
        <v/>
      </c>
      <c r="C5" s="35">
        <f>Assumptions!C5*Assumptions!$C$61</f>
        <v/>
      </c>
      <c r="D5" s="35">
        <f>Assumptions!D5*Assumptions!$C$61</f>
        <v/>
      </c>
      <c r="E5" s="35">
        <f>Assumptions!E5*Assumptions!$C$61</f>
        <v/>
      </c>
      <c r="F5" s="35">
        <f>Assumptions!F5*Assumptions!$C$61</f>
        <v/>
      </c>
    </row>
    <row r="6">
      <c r="A6" s="6" t="inlineStr">
        <is>
          <t>Revenue per passenger — fare + baggage (AED)</t>
        </is>
      </c>
      <c r="B6" s="36">
        <f>Assumptions!B6*Assumptions!$C$62</f>
        <v/>
      </c>
      <c r="C6" s="36">
        <f>Assumptions!C6*Assumptions!$C$62</f>
        <v/>
      </c>
      <c r="D6" s="36">
        <f>Assumptions!D6*Assumptions!$C$62</f>
        <v/>
      </c>
      <c r="E6" s="36">
        <f>Assumptions!E6*Assumptions!$C$62</f>
        <v/>
      </c>
      <c r="F6" s="36">
        <f>Assumptions!F6*Assumptions!$C$62</f>
        <v/>
      </c>
    </row>
    <row r="7">
      <c r="A7" s="6" t="inlineStr">
        <is>
          <t>Passenger and baggage revenue</t>
        </is>
      </c>
      <c r="B7" s="31">
        <f>B5*B6</f>
        <v/>
      </c>
      <c r="C7" s="31">
        <f>C5*C6</f>
        <v/>
      </c>
      <c r="D7" s="31">
        <f>D5*D6</f>
        <v/>
      </c>
      <c r="E7" s="31">
        <f>E5*E6</f>
        <v/>
      </c>
      <c r="F7" s="31">
        <f>F5*F6</f>
        <v/>
      </c>
    </row>
    <row r="8">
      <c r="A8" s="6" t="inlineStr">
        <is>
          <t>Ancillary rate (AED per passenger)</t>
        </is>
      </c>
      <c r="B8" s="37">
        <f>Assumptions!B7</f>
        <v/>
      </c>
      <c r="C8" s="37">
        <f>Assumptions!C7</f>
        <v/>
      </c>
      <c r="D8" s="37">
        <f>Assumptions!D7</f>
        <v/>
      </c>
      <c r="E8" s="37">
        <f>Assumptions!E7</f>
        <v/>
      </c>
      <c r="F8" s="37">
        <f>Assumptions!F7</f>
        <v/>
      </c>
    </row>
    <row r="9">
      <c r="A9" s="6" t="inlineStr">
        <is>
          <t>Ancillary revenue</t>
        </is>
      </c>
      <c r="B9" s="31">
        <f>B5*B8</f>
        <v/>
      </c>
      <c r="C9" s="31">
        <f>C5*C8</f>
        <v/>
      </c>
      <c r="D9" s="31">
        <f>D5*D8</f>
        <v/>
      </c>
      <c r="E9" s="31">
        <f>E5*E8</f>
        <v/>
      </c>
      <c r="F9" s="31">
        <f>F5*F8</f>
        <v/>
      </c>
    </row>
    <row r="10">
      <c r="A10" s="6" t="inlineStr">
        <is>
          <t>Cargo revenue</t>
        </is>
      </c>
      <c r="B10" s="36">
        <f>Assumptions!$C$68*(1+Assumptions!B8)</f>
        <v/>
      </c>
      <c r="C10" s="36">
        <f>B10*(1+Assumptions!C8)</f>
        <v/>
      </c>
      <c r="D10" s="36">
        <f>C10*(1+Assumptions!D8)</f>
        <v/>
      </c>
      <c r="E10" s="36">
        <f>D10*(1+Assumptions!E8)</f>
        <v/>
      </c>
      <c r="F10" s="36">
        <f>E10*(1+Assumptions!F8)</f>
        <v/>
      </c>
    </row>
    <row r="11">
      <c r="A11" s="6" t="inlineStr">
        <is>
          <t>Service revenue</t>
        </is>
      </c>
      <c r="B11" s="36">
        <f>Assumptions!$C$69*(1+Assumptions!B9)</f>
        <v/>
      </c>
      <c r="C11" s="36">
        <f>B11*(1+Assumptions!C9)</f>
        <v/>
      </c>
      <c r="D11" s="36">
        <f>C11*(1+Assumptions!D9)</f>
        <v/>
      </c>
      <c r="E11" s="36">
        <f>D11*(1+Assumptions!E9)</f>
        <v/>
      </c>
      <c r="F11" s="36">
        <f>E11*(1+Assumptions!F9)</f>
        <v/>
      </c>
    </row>
    <row r="12">
      <c r="A12" s="6" t="inlineStr">
        <is>
          <t>Hotel revenue</t>
        </is>
      </c>
      <c r="B12" s="36">
        <f>Assumptions!$C$70*(1+Assumptions!B10)</f>
        <v/>
      </c>
      <c r="C12" s="36">
        <f>B12*(1+Assumptions!C10)</f>
        <v/>
      </c>
      <c r="D12" s="36">
        <f>C12*(1+Assumptions!D10)</f>
        <v/>
      </c>
      <c r="E12" s="36">
        <f>D12*(1+Assumptions!E10)</f>
        <v/>
      </c>
      <c r="F12" s="36">
        <f>E12*(1+Assumptions!F10)</f>
        <v/>
      </c>
    </row>
    <row r="13">
      <c r="A13" s="6" t="inlineStr">
        <is>
          <t>Aircraft-lease revenue (JV network)</t>
        </is>
      </c>
      <c r="B13" s="36">
        <f>Assumptions!$C$71*(1+Assumptions!B11)</f>
        <v/>
      </c>
      <c r="C13" s="36">
        <f>B13*(1+Assumptions!C11)</f>
        <v/>
      </c>
      <c r="D13" s="36">
        <f>C13*(1+Assumptions!D11)</f>
        <v/>
      </c>
      <c r="E13" s="36">
        <f>D13*(1+Assumptions!E11)</f>
        <v/>
      </c>
      <c r="F13" s="36">
        <f>E13*(1+Assumptions!F11)</f>
        <v/>
      </c>
    </row>
    <row r="14">
      <c r="A14" s="20" t="inlineStr">
        <is>
          <t>Total revenue</t>
        </is>
      </c>
      <c r="B14" s="32">
        <f>B7+B9+B10+B11+B12+B13</f>
        <v/>
      </c>
      <c r="C14" s="32">
        <f>C7+C9+C10+C11+C12+C13</f>
        <v/>
      </c>
      <c r="D14" s="32">
        <f>D7+D9+D10+D11+D12+D13</f>
        <v/>
      </c>
      <c r="E14" s="32">
        <f>E7+E9+E10+E11+E12+E13</f>
        <v/>
      </c>
      <c r="F14" s="32">
        <f>F7+F9+F10+F11+F12+F13</f>
        <v/>
      </c>
    </row>
    <row r="16">
      <c r="A16" s="5" t="inlineStr">
        <is>
          <t>Cost build (AED per passenger)</t>
        </is>
      </c>
      <c r="B16" s="5" t="inlineStr">
        <is>
          <t>FY26E</t>
        </is>
      </c>
      <c r="C16" s="5" t="inlineStr">
        <is>
          <t>FY27E</t>
        </is>
      </c>
      <c r="D16" s="5" t="inlineStr">
        <is>
          <t>FY28E</t>
        </is>
      </c>
      <c r="E16" s="5" t="inlineStr">
        <is>
          <t>FY29E</t>
        </is>
      </c>
      <c r="F16" s="5" t="inlineStr">
        <is>
          <t>FY30E</t>
        </is>
      </c>
    </row>
    <row r="17">
      <c r="A17" s="6" t="inlineStr">
        <is>
          <t>Fuel cost per passenger (intensity x effective jet price)</t>
        </is>
      </c>
      <c r="B17" s="36">
        <f>Assumptions!$C$56*(Assumptions!B12*(1-Assumptions!$C$66)+Assumptions!B13*Assumptions!$C$66)*Assumptions!$C$63</f>
        <v/>
      </c>
      <c r="C17" s="36">
        <f>Assumptions!$C$56*(Assumptions!C12*(1-Assumptions!$C$66)+Assumptions!C13*Assumptions!$C$66)*Assumptions!$C$63</f>
        <v/>
      </c>
      <c r="D17" s="36">
        <f>Assumptions!$C$56*(Assumptions!D12*(1-Assumptions!$C$66)+Assumptions!D13*Assumptions!$C$66)*Assumptions!$C$63</f>
        <v/>
      </c>
      <c r="E17" s="36">
        <f>Assumptions!$C$56*(Assumptions!E12*(1-Assumptions!$C$66)+Assumptions!E13*Assumptions!$C$66)*Assumptions!$C$63</f>
        <v/>
      </c>
      <c r="F17" s="36">
        <f>Assumptions!$C$56*(Assumptions!F12*(1-Assumptions!$C$66)+Assumptions!F13*Assumptions!$C$66)*Assumptions!$C$63</f>
        <v/>
      </c>
    </row>
    <row r="18">
      <c r="A18" s="6" t="inlineStr">
        <is>
          <t>Staff</t>
        </is>
      </c>
      <c r="B18" s="37">
        <f>Assumptions!B14</f>
        <v/>
      </c>
      <c r="C18" s="37">
        <f>Assumptions!C14</f>
        <v/>
      </c>
      <c r="D18" s="37">
        <f>Assumptions!D14</f>
        <v/>
      </c>
      <c r="E18" s="37">
        <f>Assumptions!E14</f>
        <v/>
      </c>
      <c r="F18" s="37">
        <f>Assumptions!F14</f>
        <v/>
      </c>
    </row>
    <row r="19">
      <c r="A19" s="6" t="inlineStr">
        <is>
          <t>Maintenance</t>
        </is>
      </c>
      <c r="B19" s="37">
        <f>Assumptions!B15</f>
        <v/>
      </c>
      <c r="C19" s="37">
        <f>Assumptions!C15</f>
        <v/>
      </c>
      <c r="D19" s="37">
        <f>Assumptions!D15</f>
        <v/>
      </c>
      <c r="E19" s="37">
        <f>Assumptions!E15</f>
        <v/>
      </c>
      <c r="F19" s="37">
        <f>Assumptions!F15</f>
        <v/>
      </c>
    </row>
    <row r="20">
      <c r="A20" s="6" t="inlineStr">
        <is>
          <t>Landing &amp; overflying</t>
        </is>
      </c>
      <c r="B20" s="37">
        <f>Assumptions!B16</f>
        <v/>
      </c>
      <c r="C20" s="37">
        <f>Assumptions!C16</f>
        <v/>
      </c>
      <c r="D20" s="37">
        <f>Assumptions!D16</f>
        <v/>
      </c>
      <c r="E20" s="37">
        <f>Assumptions!E16</f>
        <v/>
      </c>
      <c r="F20" s="37">
        <f>Assumptions!F16</f>
        <v/>
      </c>
    </row>
    <row r="21">
      <c r="A21" s="6" t="inlineStr">
        <is>
          <t>Handling</t>
        </is>
      </c>
      <c r="B21" s="37">
        <f>Assumptions!B17</f>
        <v/>
      </c>
      <c r="C21" s="37">
        <f>Assumptions!C17</f>
        <v/>
      </c>
      <c r="D21" s="37">
        <f>Assumptions!D17</f>
        <v/>
      </c>
      <c r="E21" s="37">
        <f>Assumptions!E17</f>
        <v/>
      </c>
      <c r="F21" s="37">
        <f>Assumptions!F17</f>
        <v/>
      </c>
    </row>
    <row r="22">
      <c r="A22" s="6" t="inlineStr">
        <is>
          <t>Other direct</t>
        </is>
      </c>
      <c r="B22" s="37">
        <f>Assumptions!B18</f>
        <v/>
      </c>
      <c r="C22" s="37">
        <f>Assumptions!C18</f>
        <v/>
      </c>
      <c r="D22" s="37">
        <f>Assumptions!D18</f>
        <v/>
      </c>
      <c r="E22" s="37">
        <f>Assumptions!E18</f>
        <v/>
      </c>
      <c r="F22" s="37">
        <f>Assumptions!F18</f>
        <v/>
      </c>
    </row>
    <row r="23">
      <c r="A23" s="20" t="inlineStr">
        <is>
          <t>Cash cost per passenger</t>
        </is>
      </c>
      <c r="B23" s="34">
        <f>SUM(B17:B22)</f>
        <v/>
      </c>
      <c r="C23" s="34">
        <f>SUM(C17:C22)</f>
        <v/>
      </c>
      <c r="D23" s="34">
        <f>SUM(D17:D22)</f>
        <v/>
      </c>
      <c r="E23" s="34">
        <f>SUM(E17:E22)</f>
        <v/>
      </c>
      <c r="F23" s="34">
        <f>SUM(F17:F22)</f>
        <v/>
      </c>
    </row>
    <row r="24">
      <c r="A24" s="6" t="inlineStr">
        <is>
          <t>Direct cash operating costs (AED mn)</t>
        </is>
      </c>
      <c r="B24" s="31">
        <f>B5*B23</f>
        <v/>
      </c>
      <c r="C24" s="31">
        <f>C5*C23</f>
        <v/>
      </c>
      <c r="D24" s="31">
        <f>D5*D23</f>
        <v/>
      </c>
      <c r="E24" s="31">
        <f>E5*E23</f>
        <v/>
      </c>
      <c r="F24" s="31">
        <f>F5*F23</f>
        <v/>
      </c>
    </row>
    <row r="25">
      <c r="A25" s="6" t="inlineStr">
        <is>
          <t>Administrative costs (cash)</t>
        </is>
      </c>
      <c r="B25" s="36">
        <f>Assumptions!$C$67*(1+Assumptions!B19)</f>
        <v/>
      </c>
      <c r="C25" s="36">
        <f>B25*(1+Assumptions!C19)</f>
        <v/>
      </c>
      <c r="D25" s="36">
        <f>C25*(1+Assumptions!D19)</f>
        <v/>
      </c>
      <c r="E25" s="36">
        <f>D25*(1+Assumptions!E19)</f>
        <v/>
      </c>
      <c r="F25" s="36">
        <f>E25*(1+Assumptions!F19)</f>
        <v/>
      </c>
    </row>
    <row r="26">
      <c r="A26" s="6" t="inlineStr">
        <is>
          <t>Selling &amp; marketing</t>
        </is>
      </c>
      <c r="B26" s="36">
        <f>Assumptions!$C$34*B14</f>
        <v/>
      </c>
      <c r="C26" s="36">
        <f>Assumptions!$C$34*C14</f>
        <v/>
      </c>
      <c r="D26" s="36">
        <f>Assumptions!$C$34*D14</f>
        <v/>
      </c>
      <c r="E26" s="36">
        <f>Assumptions!$C$34*E14</f>
        <v/>
      </c>
      <c r="F26" s="36">
        <f>Assumptions!$C$34*F14</f>
        <v/>
      </c>
    </row>
    <row r="27">
      <c r="A27" s="20" t="inlineStr">
        <is>
          <t>EBITDA</t>
        </is>
      </c>
      <c r="B27" s="32">
        <f>B14-B24-B25-B26</f>
        <v/>
      </c>
      <c r="C27" s="32">
        <f>C14-C24-C25-C26</f>
        <v/>
      </c>
      <c r="D27" s="32">
        <f>D14-D24-D25-D26</f>
        <v/>
      </c>
      <c r="E27" s="32">
        <f>E14-E24-E25-E26</f>
        <v/>
      </c>
      <c r="F27" s="32">
        <f>F14-F24-F25-F26</f>
        <v/>
      </c>
    </row>
    <row r="28">
      <c r="A28" s="6" t="inlineStr">
        <is>
          <t>Other income (management fees from the JV network and misc.)</t>
        </is>
      </c>
      <c r="B28" s="36">
        <f>Assumptions!$C$72*(1+Assumptions!B20)</f>
        <v/>
      </c>
      <c r="C28" s="36">
        <f>B28*(1+Assumptions!C20)</f>
        <v/>
      </c>
      <c r="D28" s="36">
        <f>C28*(1+Assumptions!D20)</f>
        <v/>
      </c>
      <c r="E28" s="36">
        <f>D28*(1+Assumptions!E20)</f>
        <v/>
      </c>
      <c r="F28" s="36">
        <f>E28*(1+Assumptions!F20)</f>
        <v/>
      </c>
    </row>
    <row r="29">
      <c r="A29" s="20" t="inlineStr">
        <is>
          <t>EBITDA including fees and other income</t>
        </is>
      </c>
      <c r="B29" s="32">
        <f>B27+B28</f>
        <v/>
      </c>
      <c r="C29" s="32">
        <f>C27+C28</f>
        <v/>
      </c>
      <c r="D29" s="32">
        <f>D27+D28</f>
        <v/>
      </c>
      <c r="E29" s="32">
        <f>E27+E28</f>
        <v/>
      </c>
      <c r="F29" s="32">
        <f>F27+F28</f>
        <v/>
      </c>
    </row>
    <row r="30">
      <c r="A30" s="6" t="inlineStr">
        <is>
          <t>EBITDA margin</t>
        </is>
      </c>
      <c r="B30" s="11">
        <f>B27/B14</f>
        <v/>
      </c>
      <c r="C30" s="11">
        <f>C27/C14</f>
        <v/>
      </c>
      <c r="D30" s="11">
        <f>D27/D14</f>
        <v/>
      </c>
      <c r="E30" s="11">
        <f>E27/E14</f>
        <v/>
      </c>
      <c r="F30" s="11">
        <f>F27/F14</f>
        <v/>
      </c>
    </row>
    <row r="33">
      <c r="A33" s="5" t="inlineStr">
        <is>
          <t>Disclosed history</t>
        </is>
      </c>
      <c r="B33" s="5" t="inlineStr">
        <is>
          <t>FY2023</t>
        </is>
      </c>
      <c r="C33" s="5" t="inlineStr">
        <is>
          <t>FY2024</t>
        </is>
      </c>
      <c r="D33" s="5" t="inlineStr">
        <is>
          <t>FY2025</t>
        </is>
      </c>
    </row>
    <row r="34">
      <c r="A34" s="6" t="inlineStr">
        <is>
          <t>Passengers (millions)</t>
        </is>
      </c>
      <c r="B34" s="23" t="n">
        <v>10.11</v>
      </c>
      <c r="C34" s="23" t="n">
        <v>11.22</v>
      </c>
      <c r="D34" s="23" t="n">
        <v>13.06</v>
      </c>
    </row>
    <row r="35">
      <c r="A35" s="6" t="inlineStr">
        <is>
          <t>Seat load factor</t>
        </is>
      </c>
      <c r="B35" s="25" t="n">
        <v>0.804</v>
      </c>
      <c r="C35" s="25" t="n">
        <v>0.82</v>
      </c>
      <c r="D35" s="25" t="n">
        <v>0.853</v>
      </c>
    </row>
    <row r="36">
      <c r="A36" s="6" t="inlineStr">
        <is>
          <t>Passenger + baggage revenue (AED mn)</t>
        </is>
      </c>
      <c r="B36" s="6" t="inlineStr">
        <is>
          <t>n/d</t>
        </is>
      </c>
      <c r="C36" s="24" t="n">
        <v>5552.393</v>
      </c>
      <c r="D36" s="24" t="n">
        <v>6251.713</v>
      </c>
    </row>
    <row r="37">
      <c r="A37" s="6" t="inlineStr">
        <is>
          <t>Ancillary revenue (AED mn)</t>
        </is>
      </c>
      <c r="B37" s="6" t="inlineStr">
        <is>
          <t>n/d</t>
        </is>
      </c>
      <c r="C37" s="24" t="n">
        <v>677.506</v>
      </c>
      <c r="D37" s="24" t="n">
        <v>846</v>
      </c>
    </row>
    <row r="38">
      <c r="A38" s="6" t="inlineStr">
        <is>
          <t>Fuel cost (AED mn)</t>
        </is>
      </c>
      <c r="B38" s="24" t="n">
        <v>1690.639</v>
      </c>
      <c r="C38" s="24" t="n">
        <v>1924.547</v>
      </c>
      <c r="D38" s="24" t="n">
        <v>2251.363</v>
      </c>
    </row>
    <row r="39">
      <c r="A39" s="6" t="inlineStr">
        <is>
          <t>Staff cost, direct (AED mn)</t>
        </is>
      </c>
      <c r="B39" s="24" t="n">
        <v>774.751</v>
      </c>
      <c r="C39" s="24" t="n">
        <v>885.104</v>
      </c>
      <c r="D39" s="24" t="n">
        <v>1069.366</v>
      </c>
    </row>
    <row r="40">
      <c r="A40" s="6" t="inlineStr">
        <is>
          <t>Maintenance (AED mn)</t>
        </is>
      </c>
      <c r="B40" s="24" t="n">
        <v>438.924</v>
      </c>
      <c r="C40" s="24" t="n">
        <v>685.639</v>
      </c>
      <c r="D40" s="24" t="n">
        <v>800.577</v>
      </c>
    </row>
    <row r="41">
      <c r="A41" s="6" t="inlineStr">
        <is>
          <t>Landing &amp; overflying (AED mn)</t>
        </is>
      </c>
      <c r="B41" s="24" t="n">
        <v>361.209</v>
      </c>
      <c r="C41" s="24" t="n">
        <v>405.084</v>
      </c>
      <c r="D41" s="24" t="n">
        <v>470.049</v>
      </c>
    </row>
    <row r="42">
      <c r="A42" s="6" t="inlineStr">
        <is>
          <t>Handling (AED mn)</t>
        </is>
      </c>
      <c r="B42" s="24" t="n">
        <v>312.891</v>
      </c>
      <c r="C42" s="24" t="n">
        <v>344.585</v>
      </c>
      <c r="D42" s="24" t="n">
        <v>384.125</v>
      </c>
    </row>
    <row r="44">
      <c r="A44" s="22" t="inlineStr">
        <is>
          <t>FY2023 revenue lines are on the pre-restatement basis (commissions netted); seat/ASK data is not disclosed by the company — passengers x rate is the finest disclosed level.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Relative multiples · normalised earnings · book value</t>
        </is>
      </c>
      <c r="B1" s="2" t="n"/>
      <c r="C1" s="2" t="n"/>
      <c r="D1" s="2" t="n"/>
      <c r="E1" s="2" t="n"/>
      <c r="F1" s="2" t="n"/>
      <c r="G1" s="2" t="n"/>
    </row>
    <row r="4">
      <c r="A4" s="5" t="inlineStr">
        <is>
          <t>Relative lens</t>
        </is>
      </c>
      <c r="B4" s="5" t="inlineStr"/>
      <c r="C4" s="5" t="inlineStr">
        <is>
          <t>Value</t>
        </is>
      </c>
    </row>
    <row r="5">
      <c r="A5" s="6" t="inlineStr">
        <is>
          <t>FY2027E EBITDA EXCLUDING fees/other income (AED mn) — peer basis</t>
        </is>
      </c>
      <c r="C5" s="17">
        <f>Segments!C27</f>
        <v/>
      </c>
    </row>
    <row r="6">
      <c r="A6" s="6" t="inlineStr">
        <is>
          <t>Justified EV/EBITDA (peer median, primary filings)</t>
        </is>
      </c>
      <c r="C6" s="38">
        <f>Assumptions!$C$49</f>
        <v/>
      </c>
    </row>
    <row r="7">
      <c r="A7" s="6" t="inlineStr">
        <is>
          <t>Fee/other-income stream valued separately (after-tax annuity)</t>
        </is>
      </c>
      <c r="C7" s="31">
        <f>Segments!C28*(1-Assumptions!$C$36)/(DCF!C24-Assumptions!$C$47)</f>
        <v/>
      </c>
    </row>
    <row r="8">
      <c r="A8" s="6" t="inlineStr">
        <is>
          <t>Enterprise value at end-FY2027</t>
        </is>
      </c>
      <c r="C8" s="31">
        <f>C5*C6+C7</f>
        <v/>
      </c>
    </row>
    <row r="9">
      <c r="A9" s="6" t="inlineStr">
        <is>
          <t>Year-2 discount factor</t>
        </is>
      </c>
      <c r="C9" s="39">
        <f>DCF!C30</f>
        <v/>
      </c>
    </row>
    <row r="10">
      <c r="A10" s="6" t="inlineStr">
        <is>
          <t>PV of FY2026-27 free cash flow</t>
        </is>
      </c>
      <c r="C10" s="17">
        <f>DCF!B44+DCF!C44</f>
        <v/>
      </c>
    </row>
    <row r="11">
      <c r="A11" s="20" t="inlineStr">
        <is>
          <t>Implied value per share at the anchor (split roll)</t>
        </is>
      </c>
      <c r="C11" s="21">
        <f>((C5*C6+C7)*C9+C10)*DCF!C61/Assumptions!$C$53+((Assumptions!$C$76-Assumptions!$C$75+Assumptions!$C$80+Assumptions!$C$79)*DCF!C63-Assumptions!$C$60)/Assumptions!$C$53-Assumptions!$C$54</f>
        <v/>
      </c>
    </row>
    <row r="12">
      <c r="A12" s="6" t="inlineStr">
        <is>
          <t>Bear (5.0x)</t>
        </is>
      </c>
      <c r="C12" s="10">
        <f>((C5*Assumptions!$C$87+C7)*C9+C10)*DCF!C61/Assumptions!$C$53+((Assumptions!$C$76-Assumptions!$C$75+Assumptions!$C$80+Assumptions!$C$79)*DCF!C63-Assumptions!$C$60)/Assumptions!$C$53-Assumptions!$C$54</f>
        <v/>
      </c>
    </row>
    <row r="13">
      <c r="A13" s="6" t="inlineStr">
        <is>
          <t>Bull (8.0x)</t>
        </is>
      </c>
      <c r="C13" s="10">
        <f>((C5*Assumptions!$C$88+C7)*C9+C10)*DCF!C61/Assumptions!$C$53+((Assumptions!$C$76-Assumptions!$C$75+Assumptions!$C$80+Assumptions!$C$79)*DCF!C63-Assumptions!$C$60)/Assumptions!$C$53-Assumptions!$C$54</f>
        <v/>
      </c>
    </row>
    <row r="15">
      <c r="A15" s="20" t="inlineStr">
        <is>
          <t>Trailing context (formulas at spot)</t>
        </is>
      </c>
    </row>
    <row r="16">
      <c r="A16" s="6" t="inlineStr">
        <is>
          <t>EV / FY2025 EBITDA at spot — EX fees (peer basis)</t>
        </is>
      </c>
      <c r="C16" s="40">
        <f>(DCF!C14+Assumptions!$C$75-Assumptions!$C$76)/'Income Statement'!D9</f>
        <v/>
      </c>
    </row>
    <row r="17">
      <c r="A17" s="6" t="inlineStr">
        <is>
          <t>Price / FY2025 earnings at spot</t>
        </is>
      </c>
      <c r="C17" s="40">
        <f>Assumptions!$C$52/'Income Statement'!D21</f>
        <v/>
      </c>
    </row>
    <row r="18">
      <c r="A18" s="6" t="inlineStr">
        <is>
          <t>EV / FY2025 EBITDA at spot — INCLUDING fees (both bases published)</t>
        </is>
      </c>
      <c r="C18" s="40">
        <f>(DCF!C14+Assumptions!$C$75-Assumptions!$C$76)/('Income Statement'!D9+'Income Statement'!D12)</f>
        <v/>
      </c>
    </row>
    <row r="20">
      <c r="A20" s="5" t="inlineStr">
        <is>
          <t>Normalised earnings power</t>
        </is>
      </c>
      <c r="B20" s="5" t="inlineStr"/>
      <c r="C20" s="5" t="inlineStr">
        <is>
          <t>Value</t>
        </is>
      </c>
    </row>
    <row r="21">
      <c r="A21" s="6" t="inlineStr">
        <is>
          <t>Mid-cycle EBITDA margin (FY2028E)</t>
        </is>
      </c>
      <c r="C21" s="9">
        <f>Segments!D30</f>
        <v/>
      </c>
    </row>
    <row r="22">
      <c r="A22" s="6" t="inlineStr">
        <is>
          <t>FY2026E revenue (current scale)</t>
        </is>
      </c>
      <c r="C22" s="17">
        <f>Segments!B14</f>
        <v/>
      </c>
    </row>
    <row r="23">
      <c r="A23" s="6" t="inlineStr">
        <is>
          <t>Normalised EBITDA incl. fees and other income</t>
        </is>
      </c>
      <c r="C23" s="31">
        <f>C21*C22+Segments!B28</f>
        <v/>
      </c>
    </row>
    <row r="24">
      <c r="A24" s="6" t="inlineStr">
        <is>
          <t>less depreciation &amp; amortisation</t>
        </is>
      </c>
      <c r="C24" s="17">
        <f>Assumptions!B21</f>
        <v/>
      </c>
    </row>
    <row r="25">
      <c r="A25" s="6" t="inlineStr">
        <is>
          <t>Normalised EBIT</t>
        </is>
      </c>
      <c r="C25" s="31">
        <f>C23-C24</f>
        <v/>
      </c>
    </row>
    <row r="26">
      <c r="A26" s="6" t="inlineStr">
        <is>
          <t>Net finance income (FY2026E)</t>
        </is>
      </c>
      <c r="C26" s="37">
        <f>'Cash Flow'!B13-'Cash Flow'!B14</f>
        <v/>
      </c>
    </row>
    <row r="27">
      <c r="A27" s="6" t="inlineStr">
        <is>
          <t>JV share EXCLUDED from the multiplied base (enters at book below) — the base framing carries the JV at carrying value in every lens</t>
        </is>
      </c>
    </row>
    <row r="28">
      <c r="A28" s="6" t="inlineStr">
        <is>
          <t>Normalised earnings per share (ex-JV)</t>
        </is>
      </c>
      <c r="C28" s="41">
        <f>(C25+C26)*(1-Assumptions!$C$36)*(1-Assumptions!$C$81)/Assumptions!$C$53</f>
        <v/>
      </c>
    </row>
    <row r="29">
      <c r="A29" s="20" t="inlineStr">
        <is>
          <t>Normalised value per share at the anchor</t>
        </is>
      </c>
      <c r="C29" s="21">
        <f>Assumptions!$C$50*C28*DCF!C61+Assumptions!$C$79/Assumptions!$C$53*DCF!C63-Assumptions!$C$54</f>
        <v/>
      </c>
    </row>
    <row r="31">
      <c r="A31" s="6" t="inlineStr">
        <is>
          <t>Bear (10x)</t>
        </is>
      </c>
      <c r="C31" s="10">
        <f>Assumptions!$C$89*C28*DCF!C61+Assumptions!$C$79/Assumptions!$C$53*DCF!C63-Assumptions!$C$54</f>
        <v/>
      </c>
    </row>
    <row r="32">
      <c r="A32" s="6" t="inlineStr">
        <is>
          <t>Bull (16x)</t>
        </is>
      </c>
      <c r="C32" s="10">
        <f>Assumptions!$C$90*C28*DCF!C61+Assumptions!$C$79/Assumptions!$C$53*DCF!C63-Assumptions!$C$54</f>
        <v/>
      </c>
    </row>
    <row r="35">
      <c r="A35" s="5" t="inlineStr">
        <is>
          <t>Book value and sustainable return</t>
        </is>
      </c>
      <c r="B35" s="5" t="inlineStr"/>
      <c r="C35" s="5" t="inlineStr">
        <is>
          <t>Value</t>
        </is>
      </c>
    </row>
    <row r="36">
      <c r="A36" s="6" t="inlineStr">
        <is>
          <t>Book value per share (FY2025, audited)</t>
        </is>
      </c>
      <c r="C36" s="10">
        <f>Assumptions!$C$82/Assumptions!$C$53</f>
        <v/>
      </c>
    </row>
    <row r="37">
      <c r="A37" s="20" t="inlineStr">
        <is>
          <t>Justified price-to-book value per share at the anchor</t>
        </is>
      </c>
      <c r="C37" s="21">
        <f>((Assumptions!$C$51-Assumptions!$C$47)/(DCF!C21-Assumptions!$C$47))*C36*DCF!C61-Assumptions!$C$54</f>
        <v/>
      </c>
    </row>
    <row r="38">
      <c r="A38" s="6" t="inlineStr">
        <is>
          <t>Justified P/B multiple</t>
        </is>
      </c>
      <c r="C38" s="40">
        <f>(Assumptions!$C$51-Assumptions!$C$47)/(DCF!C21-Assumptions!$C$47)</f>
        <v/>
      </c>
    </row>
    <row r="39">
      <c r="A39" s="6" t="inlineStr">
        <is>
          <t>Bear construction</t>
        </is>
      </c>
      <c r="C39" s="10">
        <f>((Assumptions!$C$51-0.02-0.015)/(0.5*(DCF!C10+DCF!C21)-0.015))*C36*DCF!C61-Assumptions!$C$54</f>
        <v/>
      </c>
    </row>
    <row r="40">
      <c r="A40" s="6" t="inlineStr">
        <is>
          <t>Bull construction</t>
        </is>
      </c>
      <c r="C40" s="10">
        <f>((Assumptions!$C$51+0.02-Assumptions!$C$47)/(DCF!C21-Assumptions!$C$47))*C36*DCF!C61-Assumptions!$C$54</f>
        <v/>
      </c>
    </row>
    <row r="41">
      <c r="A41" s="22" t="inlineStr">
        <is>
          <t>The bear leg holds the same Gordon identity as base and bull: (ROE_bear - g_bear)/(k_bear - g_bear).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DCF — cost of capital, glide, waterfall, terminal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Everything here is built, not pasted.</t>
        </is>
      </c>
    </row>
    <row r="4">
      <c r="A4" s="20" t="inlineStr">
        <is>
          <t>Cost of capital — explicit window</t>
        </is>
      </c>
    </row>
    <row r="5">
      <c r="A5" s="6" t="inlineStr">
        <is>
          <t>AED government bond yield</t>
        </is>
      </c>
      <c r="C5" s="18">
        <f>Assumptions!$C$37</f>
        <v/>
      </c>
    </row>
    <row r="6">
      <c r="A6" s="6" t="inlineStr">
        <is>
          <t>less the observed auction spread over US Treasuries</t>
        </is>
      </c>
      <c r="C6" s="18">
        <f>Assumptions!$C$38</f>
        <v/>
      </c>
    </row>
    <row r="7">
      <c r="A7" s="6" t="inlineStr">
        <is>
          <t>Net risk-free rate</t>
        </is>
      </c>
      <c r="C7" s="42">
        <f>C5-C6</f>
        <v/>
      </c>
    </row>
    <row r="8">
      <c r="A8" s="6" t="inlineStr">
        <is>
          <t>Beta</t>
        </is>
      </c>
      <c r="C8" s="33">
        <f>Assumptions!$C$40</f>
        <v/>
      </c>
    </row>
    <row r="9">
      <c r="A9" s="6" t="inlineStr">
        <is>
          <t>Equity risk premium</t>
        </is>
      </c>
      <c r="C9" s="18">
        <f>Assumptions!$C$41</f>
        <v/>
      </c>
    </row>
    <row r="10">
      <c r="A10" s="20" t="inlineStr">
        <is>
          <t>Cost of equity</t>
        </is>
      </c>
      <c r="C10" s="43">
        <f>C7+C8*C9</f>
        <v/>
      </c>
    </row>
    <row r="11">
      <c r="A11" s="6" t="inlineStr">
        <is>
          <t>Marginal cost of debt</t>
        </is>
      </c>
      <c r="C11" s="18">
        <f>Assumptions!$C$44</f>
        <v/>
      </c>
    </row>
    <row r="12">
      <c r="A12" s="6" t="inlineStr">
        <is>
          <t>Tax rate</t>
        </is>
      </c>
      <c r="C12" s="9">
        <f>Assumptions!$C$36</f>
        <v/>
      </c>
    </row>
    <row r="13">
      <c r="A13" s="6" t="inlineStr">
        <is>
          <t>Cost of debt after tax</t>
        </is>
      </c>
      <c r="C13" s="42">
        <f>C11*(1-C12)</f>
        <v/>
      </c>
    </row>
    <row r="14">
      <c r="A14" s="6" t="inlineStr">
        <is>
          <t>Market capitalisation (AED mn)</t>
        </is>
      </c>
      <c r="C14" s="31">
        <f>Assumptions!$C$52*Assumptions!$C$53</f>
        <v/>
      </c>
    </row>
    <row r="15">
      <c r="A15" s="6" t="inlineStr">
        <is>
          <t>Gross debt (audited)</t>
        </is>
      </c>
      <c r="C15" s="37">
        <f>Assumptions!$C$75</f>
        <v/>
      </c>
    </row>
    <row r="16">
      <c r="A16" s="6" t="inlineStr">
        <is>
          <t>Debt weight (gross)</t>
        </is>
      </c>
      <c r="C16" s="42">
        <f>C15/(C15+C14)</f>
        <v/>
      </c>
    </row>
    <row r="17">
      <c r="A17" s="20" t="inlineStr">
        <is>
          <t>Cost of capital — explicit window</t>
        </is>
      </c>
      <c r="C17" s="43">
        <f>(1-C16)*C10+C16*C13+Assumptions!$C$65</f>
        <v/>
      </c>
    </row>
    <row r="19">
      <c r="A19" s="20" t="inlineStr">
        <is>
          <t>Cost of capital — terminal</t>
        </is>
      </c>
    </row>
    <row r="20">
      <c r="A20" s="6" t="inlineStr">
        <is>
          <t>Terminal risk-free rate</t>
        </is>
      </c>
      <c r="C20" s="18">
        <f>Assumptions!$C$42</f>
        <v/>
      </c>
    </row>
    <row r="21">
      <c r="A21" s="6" t="inlineStr">
        <is>
          <t>Terminal cost of equity</t>
        </is>
      </c>
      <c r="C21" s="42">
        <f>C20+Assumptions!$C$40*Assumptions!$C$43</f>
        <v/>
      </c>
    </row>
    <row r="22">
      <c r="A22" s="6" t="inlineStr">
        <is>
          <t>Terminal cost of debt after tax</t>
        </is>
      </c>
      <c r="C22" s="42">
        <f>Assumptions!$C$45*(1-C12)</f>
        <v/>
      </c>
    </row>
    <row r="23">
      <c r="A23" s="6" t="inlineStr">
        <is>
          <t>Terminal debt weight</t>
        </is>
      </c>
      <c r="C23" s="9">
        <f>Assumptions!$C$46</f>
        <v/>
      </c>
    </row>
    <row r="24">
      <c r="A24" s="20" t="inlineStr">
        <is>
          <t>Cost of capital — terminal</t>
        </is>
      </c>
      <c r="C24" s="43">
        <f>(1-C23)*C21+C23*C22+Assumptions!$C$65</f>
        <v/>
      </c>
    </row>
    <row r="26">
      <c r="A26" s="5" t="inlineStr">
        <is>
          <t>Glide &amp; discounting</t>
        </is>
      </c>
      <c r="B26" s="5" t="inlineStr">
        <is>
          <t>FY26E</t>
        </is>
      </c>
      <c r="C26" s="5" t="inlineStr">
        <is>
          <t>FY27E</t>
        </is>
      </c>
      <c r="D26" s="5" t="inlineStr">
        <is>
          <t>FY28E</t>
        </is>
      </c>
      <c r="E26" s="5" t="inlineStr">
        <is>
          <t>FY29E</t>
        </is>
      </c>
      <c r="F26" s="5" t="inlineStr">
        <is>
          <t>FY30E</t>
        </is>
      </c>
    </row>
    <row r="27">
      <c r="A27" s="6" t="inlineStr">
        <is>
          <t>Cost-of-debt path</t>
        </is>
      </c>
      <c r="B27" s="18">
        <f>Assumptions!B28</f>
        <v/>
      </c>
      <c r="C27" s="18">
        <f>Assumptions!C28</f>
        <v/>
      </c>
      <c r="D27" s="18">
        <f>Assumptions!D28</f>
        <v/>
      </c>
      <c r="E27" s="18">
        <f>Assumptions!E28</f>
        <v/>
      </c>
      <c r="F27" s="18">
        <f>Assumptions!F28</f>
        <v/>
      </c>
    </row>
    <row r="28">
      <c r="A28" s="6" t="inlineStr">
        <is>
          <t>Glide fraction (path progress)</t>
        </is>
      </c>
      <c r="B28" s="44">
        <f>(Assumptions!$B28-B27)/(Assumptions!B28-Assumptions!F28)</f>
        <v/>
      </c>
      <c r="C28" s="44">
        <f>(Assumptions!$B28-C27)/(Assumptions!B28-Assumptions!F28)</f>
        <v/>
      </c>
      <c r="D28" s="44">
        <f>(Assumptions!$B28-D27)/(Assumptions!B28-Assumptions!F28)</f>
        <v/>
      </c>
      <c r="E28" s="44">
        <f>(Assumptions!$B28-E27)/(Assumptions!B28-Assumptions!F28)</f>
        <v/>
      </c>
      <c r="F28" s="44">
        <f>(Assumptions!$B28-F27)/(Assumptions!B28-Assumptions!F28)</f>
        <v/>
      </c>
    </row>
    <row r="29">
      <c r="A29" s="6" t="inlineStr">
        <is>
          <t>Forward cost of capital</t>
        </is>
      </c>
      <c r="B29" s="42">
        <f>$C$17-($C$17-$C$24)*B28</f>
        <v/>
      </c>
      <c r="C29" s="42">
        <f>$C$17-($C$17-$C$24)*C28</f>
        <v/>
      </c>
      <c r="D29" s="42">
        <f>$C$17-($C$17-$C$24)*D28</f>
        <v/>
      </c>
      <c r="E29" s="42">
        <f>$C$17-($C$17-$C$24)*E28</f>
        <v/>
      </c>
      <c r="F29" s="42">
        <f>$C$17-($C$17-$C$24)*F28</f>
        <v/>
      </c>
    </row>
    <row r="30">
      <c r="A30" s="6" t="inlineStr">
        <is>
          <t>Cumulative discount factor</t>
        </is>
      </c>
      <c r="B30" s="44">
        <f>1/(1+B29)</f>
        <v/>
      </c>
      <c r="C30" s="44">
        <f>B30/(1+C29)</f>
        <v/>
      </c>
      <c r="D30" s="44">
        <f>C30/(1+D29)</f>
        <v/>
      </c>
      <c r="E30" s="44">
        <f>D30/(1+E29)</f>
        <v/>
      </c>
      <c r="F30" s="44">
        <f>E30/(1+F29)</f>
        <v/>
      </c>
    </row>
    <row r="32">
      <c r="A32" s="5" t="inlineStr">
        <is>
          <t>FCFF waterfall (AED mn)</t>
        </is>
      </c>
      <c r="B32" s="5" t="inlineStr">
        <is>
          <t>FY26E</t>
        </is>
      </c>
      <c r="C32" s="5" t="inlineStr">
        <is>
          <t>FY27E</t>
        </is>
      </c>
      <c r="D32" s="5" t="inlineStr">
        <is>
          <t>FY28E</t>
        </is>
      </c>
      <c r="E32" s="5" t="inlineStr">
        <is>
          <t>FY29E</t>
        </is>
      </c>
      <c r="F32" s="5" t="inlineStr">
        <is>
          <t>FY30E</t>
        </is>
      </c>
    </row>
    <row r="33">
      <c r="A33" s="20" t="inlineStr">
        <is>
          <t>Revenue</t>
        </is>
      </c>
      <c r="B33" s="17">
        <f>Segments!B14</f>
        <v/>
      </c>
      <c r="C33" s="17">
        <f>Segments!C14</f>
        <v/>
      </c>
      <c r="D33" s="17">
        <f>Segments!D14</f>
        <v/>
      </c>
      <c r="E33" s="17">
        <f>Segments!E14</f>
        <v/>
      </c>
      <c r="F33" s="17">
        <f>Segments!F14</f>
        <v/>
      </c>
    </row>
    <row r="34">
      <c r="A34" s="20" t="inlineStr">
        <is>
          <t>EBITDA incl. fees and other income</t>
        </is>
      </c>
      <c r="B34" s="17">
        <f>Segments!B29</f>
        <v/>
      </c>
      <c r="C34" s="17">
        <f>Segments!C29</f>
        <v/>
      </c>
      <c r="D34" s="17">
        <f>Segments!D29</f>
        <v/>
      </c>
      <c r="E34" s="17">
        <f>Segments!E29</f>
        <v/>
      </c>
      <c r="F34" s="17">
        <f>Segments!F29</f>
        <v/>
      </c>
    </row>
    <row r="35">
      <c r="A35" s="6" t="inlineStr">
        <is>
          <t>less depreciation &amp; amortisation</t>
        </is>
      </c>
      <c r="B35" s="17">
        <f>Assumptions!B21</f>
        <v/>
      </c>
      <c r="C35" s="17">
        <f>Assumptions!C21</f>
        <v/>
      </c>
      <c r="D35" s="17">
        <f>Assumptions!D21</f>
        <v/>
      </c>
      <c r="E35" s="17">
        <f>Assumptions!E21</f>
        <v/>
      </c>
      <c r="F35" s="17">
        <f>Assumptions!F21</f>
        <v/>
      </c>
    </row>
    <row r="36">
      <c r="A36" s="6" t="inlineStr">
        <is>
          <t>EBIT</t>
        </is>
      </c>
      <c r="B36" s="31">
        <f>B34-B35</f>
        <v/>
      </c>
      <c r="C36" s="31">
        <f>C34-C35</f>
        <v/>
      </c>
      <c r="D36" s="31">
        <f>D34-D35</f>
        <v/>
      </c>
      <c r="E36" s="31">
        <f>E34-E35</f>
        <v/>
      </c>
      <c r="F36" s="31">
        <f>F34-F35</f>
        <v/>
      </c>
    </row>
    <row r="37">
      <c r="A37" s="6" t="inlineStr">
        <is>
          <t>NOPAT (EBIT x (1 - tax))</t>
        </is>
      </c>
      <c r="B37" s="31">
        <f>B36*(1-$C$12)</f>
        <v/>
      </c>
      <c r="C37" s="31">
        <f>C36*(1-$C$12)</f>
        <v/>
      </c>
      <c r="D37" s="31">
        <f>D36*(1-$C$12)</f>
        <v/>
      </c>
      <c r="E37" s="31">
        <f>E36*(1-$C$12)</f>
        <v/>
      </c>
      <c r="F37" s="31">
        <f>F36*(1-$C$12)</f>
        <v/>
      </c>
    </row>
    <row r="38">
      <c r="A38" s="6" t="inlineStr">
        <is>
          <t>add back depreciation &amp; amortisation</t>
        </is>
      </c>
      <c r="B38" s="31">
        <f>B35</f>
        <v/>
      </c>
      <c r="C38" s="31">
        <f>C35</f>
        <v/>
      </c>
      <c r="D38" s="31">
        <f>D35</f>
        <v/>
      </c>
      <c r="E38" s="31">
        <f>E35</f>
        <v/>
      </c>
      <c r="F38" s="31">
        <f>F35</f>
        <v/>
      </c>
    </row>
    <row r="39">
      <c r="A39" s="6" t="inlineStr">
        <is>
          <t>less owned capex + pre-delivery payments</t>
        </is>
      </c>
      <c r="B39" s="31">
        <f>Assumptions!B22*Assumptions!$C$64</f>
        <v/>
      </c>
      <c r="C39" s="31">
        <f>Assumptions!C22*Assumptions!$C$64</f>
        <v/>
      </c>
      <c r="D39" s="31">
        <f>Assumptions!D22*Assumptions!$C$64</f>
        <v/>
      </c>
      <c r="E39" s="31">
        <f>Assumptions!E22*Assumptions!$C$64</f>
        <v/>
      </c>
      <c r="F39" s="31">
        <f>Assumptions!F22*Assumptions!$C$64</f>
        <v/>
      </c>
    </row>
    <row r="40">
      <c r="A40" s="6" t="inlineStr">
        <is>
          <t>Working capital balance</t>
        </is>
      </c>
      <c r="B40" s="31">
        <f>Assumptions!$C$35*B33</f>
        <v/>
      </c>
      <c r="C40" s="31">
        <f>Assumptions!$C$35*C33</f>
        <v/>
      </c>
      <c r="D40" s="31">
        <f>Assumptions!$C$35*D33</f>
        <v/>
      </c>
      <c r="E40" s="31">
        <f>Assumptions!$C$35*E33</f>
        <v/>
      </c>
      <c r="F40" s="31">
        <f>Assumptions!$C$35*F33</f>
        <v/>
      </c>
    </row>
    <row r="41">
      <c r="A41" s="6" t="inlineStr">
        <is>
          <t>less change in working capital</t>
        </is>
      </c>
      <c r="B41" s="31">
        <f>B40-Assumptions!$C$74</f>
        <v/>
      </c>
      <c r="C41" s="31">
        <f>C40-B40</f>
        <v/>
      </c>
      <c r="D41" s="31">
        <f>D40-C40</f>
        <v/>
      </c>
      <c r="E41" s="31">
        <f>E40-D40</f>
        <v/>
      </c>
      <c r="F41" s="31">
        <f>F40-E40</f>
        <v/>
      </c>
    </row>
    <row r="42">
      <c r="A42" s="20" t="inlineStr">
        <is>
          <t>Free cash flow to the firm</t>
        </is>
      </c>
      <c r="B42" s="32">
        <f>B37+B38-B39-B41-B45</f>
        <v/>
      </c>
      <c r="C42" s="32">
        <f>C37+C38-C39-C41-C45</f>
        <v/>
      </c>
      <c r="D42" s="32">
        <f>D37+D38-D39-D41-D45</f>
        <v/>
      </c>
      <c r="E42" s="32">
        <f>E37+E38-E39-E41-E45</f>
        <v/>
      </c>
      <c r="F42" s="32">
        <f>F37+F38-F39-F41-F45</f>
        <v/>
      </c>
    </row>
    <row r="43">
      <c r="A43" s="6" t="inlineStr">
        <is>
          <t>Discount factor</t>
        </is>
      </c>
      <c r="B43" s="44">
        <f>B30</f>
        <v/>
      </c>
      <c r="C43" s="44">
        <f>C30</f>
        <v/>
      </c>
      <c r="D43" s="44">
        <f>D30</f>
        <v/>
      </c>
      <c r="E43" s="44">
        <f>E30</f>
        <v/>
      </c>
      <c r="F43" s="44">
        <f>F30</f>
        <v/>
      </c>
    </row>
    <row r="44">
      <c r="A44" s="20" t="inlineStr">
        <is>
          <t>PV of FCFF</t>
        </is>
      </c>
      <c r="B44" s="32">
        <f>B42*B43</f>
        <v/>
      </c>
      <c r="C44" s="32">
        <f>C42*C43</f>
        <v/>
      </c>
      <c r="D44" s="32">
        <f>D42*D43</f>
        <v/>
      </c>
      <c r="E44" s="32">
        <f>E42*E43</f>
        <v/>
      </c>
      <c r="F44" s="32">
        <f>F42*F43</f>
        <v/>
      </c>
    </row>
    <row r="45">
      <c r="A45" s="6" t="inlineStr">
        <is>
          <t>less leased-fleet additions (gross right-of-use value)</t>
        </is>
      </c>
      <c r="B45" s="31">
        <f>Assumptions!B24*Assumptions!$C$57*Assumptions!$C$64</f>
        <v/>
      </c>
      <c r="C45" s="31">
        <f>Assumptions!C24*Assumptions!$C$57*Assumptions!$C$64</f>
        <v/>
      </c>
      <c r="D45" s="31">
        <f>Assumptions!D24*Assumptions!$C$57*Assumptions!$C$64</f>
        <v/>
      </c>
      <c r="E45" s="31">
        <f>Assumptions!E24*Assumptions!$C$57*Assumptions!$C$64</f>
        <v/>
      </c>
      <c r="F45" s="31">
        <f>Assumptions!F24*Assumptions!$C$57*Assumptions!$C$64</f>
        <v/>
      </c>
    </row>
    <row r="46">
      <c r="A46" s="6" t="inlineStr">
        <is>
          <t>Fleet assets roll-forward</t>
        </is>
      </c>
      <c r="B46" s="31">
        <f>Assumptions!$C$77+B39+B45-B35</f>
        <v/>
      </c>
      <c r="C46" s="31">
        <f>B46+C39+C45-C35</f>
        <v/>
      </c>
      <c r="D46" s="31">
        <f>C46+D39+D45-D35</f>
        <v/>
      </c>
      <c r="E46" s="31">
        <f>D46+E39+E45-E35</f>
        <v/>
      </c>
      <c r="F46" s="31">
        <f>E46+F39+F45-F35</f>
        <v/>
      </c>
    </row>
    <row r="47">
      <c r="A47" s="6" t="inlineStr">
        <is>
          <t>Invested capital (fleet + intangibles + working capital)</t>
        </is>
      </c>
      <c r="B47" s="31">
        <f>B46+Assumptions!$C$78+B40</f>
        <v/>
      </c>
      <c r="C47" s="31">
        <f>C46+Assumptions!$C$78+C40</f>
        <v/>
      </c>
      <c r="D47" s="31">
        <f>D46+Assumptions!$C$78+D40</f>
        <v/>
      </c>
      <c r="E47" s="31">
        <f>E46+Assumptions!$C$78+E40</f>
        <v/>
      </c>
      <c r="F47" s="31">
        <f>F46+Assumptions!$C$78+F40</f>
        <v/>
      </c>
    </row>
    <row r="49">
      <c r="A49" s="20" t="inlineStr">
        <is>
          <t>Terminal block</t>
        </is>
      </c>
    </row>
    <row r="50">
      <c r="A50" s="6" t="inlineStr">
        <is>
          <t>Terminal NOPAT (FY2031E)</t>
        </is>
      </c>
      <c r="C50" s="36">
        <f>F37*(1+Assumptions!$C$47)</f>
        <v/>
      </c>
    </row>
    <row r="51">
      <c r="A51" s="6" t="inlineStr">
        <is>
          <t>Terminal return on invested capital</t>
        </is>
      </c>
      <c r="C51" s="42">
        <f>C50/F47</f>
        <v/>
      </c>
    </row>
    <row r="52">
      <c r="A52" s="6" t="inlineStr">
        <is>
          <t>Reinvestment rate = growth / return on capital</t>
        </is>
      </c>
      <c r="C52" s="42">
        <f>Assumptions!$C$47/C51</f>
        <v/>
      </c>
    </row>
    <row r="53">
      <c r="A53" s="6" t="inlineStr">
        <is>
          <t>Terminal value</t>
        </is>
      </c>
      <c r="C53" s="31">
        <f>C50*(1-C52)/(C24-Assumptions!$C$47)</f>
        <v/>
      </c>
    </row>
    <row r="54">
      <c r="A54" s="6" t="inlineStr">
        <is>
          <t>PV of terminal value</t>
        </is>
      </c>
      <c r="C54" s="31">
        <f>C53*F30</f>
        <v/>
      </c>
    </row>
    <row r="55">
      <c r="A55" s="6" t="inlineStr">
        <is>
          <t>PV of explicit years</t>
        </is>
      </c>
      <c r="C55" s="31">
        <f>SUM(B44:F44)</f>
        <v/>
      </c>
    </row>
    <row r="56">
      <c r="A56" s="20" t="inlineStr">
        <is>
          <t>Enterprise value of the airline</t>
        </is>
      </c>
      <c r="C56" s="32">
        <f>C54+C55</f>
        <v/>
      </c>
    </row>
    <row r="57">
      <c r="A57" s="20" t="inlineStr">
        <is>
          <t>Terminal value share of enterprise value</t>
        </is>
      </c>
      <c r="C57" s="45">
        <f>C54/C56</f>
        <v/>
      </c>
    </row>
    <row r="59">
      <c r="A59" s="6" t="inlineStr">
        <is>
          <t>Equity attributable (from the SOTP Bridge)</t>
        </is>
      </c>
      <c r="C59" s="17">
        <f>'SOTP Bridge'!C13</f>
        <v/>
      </c>
    </row>
    <row r="60">
      <c r="A60" s="6" t="inlineStr">
        <is>
          <t>Per share at 31-Dec-2025</t>
        </is>
      </c>
      <c r="C60" s="10">
        <f>C59/Assumptions!$C$53</f>
        <v/>
      </c>
    </row>
    <row r="61">
      <c r="A61" s="6" t="inlineStr">
        <is>
          <t>Anchor accretion factor (at the cost of equity)</t>
        </is>
      </c>
      <c r="C61" s="44">
        <f>(1+C10)^(Assumptions!$C$55/365)</f>
        <v/>
      </c>
    </row>
    <row r="62">
      <c r="A62" s="6" t="inlineStr">
        <is>
          <t>Per share, whole equity rolled at Ke (single-rate view)</t>
        </is>
      </c>
      <c r="C62" s="10">
        <f>C60*C61-Assumptions!$C$54</f>
        <v/>
      </c>
    </row>
    <row r="63">
      <c r="A63" s="6" t="inlineStr">
        <is>
          <t>Cash-leg accretion factor (deposit yield)</t>
        </is>
      </c>
      <c r="C63" s="44">
        <f>(1+Assumptions!B29)^(Assumptions!$C$55/365)</f>
        <v/>
      </c>
    </row>
    <row r="64">
      <c r="A64" s="20" t="inlineStr">
        <is>
          <t>Fair value per share at the anchor (split roll — the published figure)</t>
        </is>
      </c>
      <c r="C64" s="19">
        <f>'SOTP Bridge'!C15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Income statement — 3 years audited + 5 years forecast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FY2023 as reported; FY2024 as restated in the FY2025 filing; forecast chains from the Segments unit build.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Revenue</t>
        </is>
      </c>
      <c r="B5" s="26" t="n">
        <v>5999.75</v>
      </c>
      <c r="C5" s="26" t="n">
        <v>6765.852</v>
      </c>
      <c r="D5" s="26" t="n">
        <v>7787.581</v>
      </c>
      <c r="E5" s="17">
        <f>Segments!B14</f>
        <v/>
      </c>
      <c r="F5" s="17">
        <f>Segments!C14</f>
        <v/>
      </c>
      <c r="G5" s="17">
        <f>Segments!D14</f>
        <v/>
      </c>
      <c r="H5" s="17">
        <f>Segments!E14</f>
        <v/>
      </c>
      <c r="I5" s="17">
        <f>Segments!F14</f>
        <v/>
      </c>
    </row>
    <row r="6">
      <c r="A6" s="6" t="inlineStr">
        <is>
          <t>Direct operating costs (cash)</t>
        </is>
      </c>
      <c r="B6" s="26" t="n">
        <v>3725.597</v>
      </c>
      <c r="C6" s="26" t="n">
        <v>4587.789000000001</v>
      </c>
      <c r="D6" s="26" t="n">
        <v>5506.414999999999</v>
      </c>
      <c r="E6" s="17">
        <f>Segments!B24</f>
        <v/>
      </c>
      <c r="F6" s="17">
        <f>Segments!C24</f>
        <v/>
      </c>
      <c r="G6" s="17">
        <f>Segments!D24</f>
        <v/>
      </c>
      <c r="H6" s="17">
        <f>Segments!E24</f>
        <v/>
      </c>
      <c r="I6" s="17">
        <f>Segments!F24</f>
        <v/>
      </c>
    </row>
    <row r="7">
      <c r="A7" s="6" t="inlineStr">
        <is>
          <t>Administrative expenses (cash)</t>
        </is>
      </c>
      <c r="B7" s="24" t="n">
        <v>299.466</v>
      </c>
      <c r="C7" s="24" t="n">
        <v>241.532</v>
      </c>
      <c r="D7" s="24" t="n">
        <v>276.1830000000001</v>
      </c>
      <c r="E7" s="37">
        <f>Segments!B25</f>
        <v/>
      </c>
      <c r="F7" s="37">
        <f>Segments!C25</f>
        <v/>
      </c>
      <c r="G7" s="37">
        <f>Segments!D25</f>
        <v/>
      </c>
      <c r="H7" s="37">
        <f>Segments!E25</f>
        <v/>
      </c>
      <c r="I7" s="37">
        <f>Segments!F25</f>
        <v/>
      </c>
    </row>
    <row r="8">
      <c r="A8" s="6" t="inlineStr">
        <is>
          <t>Selling &amp; marketing</t>
        </is>
      </c>
      <c r="B8" s="24" t="n">
        <v>88.79300000000001</v>
      </c>
      <c r="C8" s="24" t="n">
        <v>103.843</v>
      </c>
      <c r="D8" s="24" t="n">
        <v>113.605</v>
      </c>
      <c r="E8" s="37">
        <f>Segments!B26</f>
        <v/>
      </c>
      <c r="F8" s="37">
        <f>Segments!C26</f>
        <v/>
      </c>
      <c r="G8" s="37">
        <f>Segments!D26</f>
        <v/>
      </c>
      <c r="H8" s="37">
        <f>Segments!E26</f>
        <v/>
      </c>
      <c r="I8" s="37">
        <f>Segments!F26</f>
        <v/>
      </c>
    </row>
    <row r="9">
      <c r="A9" s="20" t="inlineStr">
        <is>
          <t>EBITDA</t>
        </is>
      </c>
      <c r="B9" s="32">
        <f>B5-B6-B7-B8</f>
        <v/>
      </c>
      <c r="C9" s="32">
        <f>C5-C6-C7-C8</f>
        <v/>
      </c>
      <c r="D9" s="32">
        <f>D5-D6-D7-D8</f>
        <v/>
      </c>
      <c r="E9" s="32">
        <f>E5-E6-E7-E8</f>
        <v/>
      </c>
      <c r="F9" s="32">
        <f>F5-F6-F7-F8</f>
        <v/>
      </c>
      <c r="G9" s="32">
        <f>G5-G6-G7-G8</f>
        <v/>
      </c>
      <c r="H9" s="32">
        <f>H5-H6-H7-H8</f>
        <v/>
      </c>
      <c r="I9" s="32">
        <f>I5-I6-I7-I8</f>
        <v/>
      </c>
    </row>
    <row r="10">
      <c r="A10" s="6" t="inlineStr">
        <is>
          <t>Depreciation &amp; amortisation</t>
        </is>
      </c>
      <c r="B10" s="26" t="n">
        <v>647.327</v>
      </c>
      <c r="C10" s="26" t="n">
        <v>648.588</v>
      </c>
      <c r="D10" s="26" t="n">
        <v>621.798</v>
      </c>
      <c r="E10" s="17">
        <f>Assumptions!B21</f>
        <v/>
      </c>
      <c r="F10" s="17">
        <f>Assumptions!C21</f>
        <v/>
      </c>
      <c r="G10" s="17">
        <f>Assumptions!D21</f>
        <v/>
      </c>
      <c r="H10" s="17">
        <f>Assumptions!E21</f>
        <v/>
      </c>
      <c r="I10" s="17">
        <f>Assumptions!F21</f>
        <v/>
      </c>
    </row>
    <row r="11">
      <c r="A11" s="20" t="inlineStr">
        <is>
          <t>Operating profit (EBIT)</t>
        </is>
      </c>
      <c r="B11" s="32">
        <f>B9-B10</f>
        <v/>
      </c>
      <c r="C11" s="32">
        <f>C9-C10</f>
        <v/>
      </c>
      <c r="D11" s="32">
        <f>D9-D10</f>
        <v/>
      </c>
      <c r="E11" s="32">
        <f>E9-E10</f>
        <v/>
      </c>
      <c r="F11" s="32">
        <f>F9-F10</f>
        <v/>
      </c>
      <c r="G11" s="32">
        <f>G9-G10</f>
        <v/>
      </c>
      <c r="H11" s="32">
        <f>H9-H10</f>
        <v/>
      </c>
      <c r="I11" s="32">
        <f>I9-I10</f>
        <v/>
      </c>
    </row>
    <row r="12">
      <c r="A12" s="6" t="inlineStr">
        <is>
          <t>Other income</t>
        </is>
      </c>
      <c r="B12" s="24" t="n">
        <v>113.471</v>
      </c>
      <c r="C12" s="24" t="n">
        <v>131.68</v>
      </c>
      <c r="D12" s="24" t="n">
        <v>197.132</v>
      </c>
      <c r="E12" s="37">
        <f>Segments!B28</f>
        <v/>
      </c>
      <c r="F12" s="37">
        <f>Segments!C28</f>
        <v/>
      </c>
      <c r="G12" s="37">
        <f>Segments!D28</f>
        <v/>
      </c>
      <c r="H12" s="37">
        <f>Segments!E28</f>
        <v/>
      </c>
      <c r="I12" s="37">
        <f>Segments!F28</f>
        <v/>
      </c>
    </row>
    <row r="13">
      <c r="A13" s="6" t="inlineStr">
        <is>
          <t>Finance income</t>
        </is>
      </c>
      <c r="B13" s="24" t="n">
        <v>209.994</v>
      </c>
      <c r="C13" s="24" t="n">
        <v>250.698</v>
      </c>
      <c r="D13" s="24" t="n">
        <v>240.774</v>
      </c>
      <c r="E13" s="37">
        <f>'Cash Flow'!B13</f>
        <v/>
      </c>
      <c r="F13" s="37">
        <f>'Cash Flow'!C13</f>
        <v/>
      </c>
      <c r="G13" s="37">
        <f>'Cash Flow'!D13</f>
        <v/>
      </c>
      <c r="H13" s="37">
        <f>'Cash Flow'!E13</f>
        <v/>
      </c>
      <c r="I13" s="37">
        <f>'Cash Flow'!F13</f>
        <v/>
      </c>
    </row>
    <row r="14">
      <c r="A14" s="6" t="inlineStr">
        <is>
          <t>Finance costs</t>
        </is>
      </c>
      <c r="B14" s="24" t="n">
        <v>102.457</v>
      </c>
      <c r="C14" s="24" t="n">
        <v>82.092</v>
      </c>
      <c r="D14" s="24" t="n">
        <v>66.672</v>
      </c>
      <c r="E14" s="37">
        <f>'Cash Flow'!B14</f>
        <v/>
      </c>
      <c r="F14" s="37">
        <f>'Cash Flow'!C14</f>
        <v/>
      </c>
      <c r="G14" s="37">
        <f>'Cash Flow'!D14</f>
        <v/>
      </c>
      <c r="H14" s="37">
        <f>'Cash Flow'!E14</f>
        <v/>
      </c>
      <c r="I14" s="37">
        <f>'Cash Flow'!F14</f>
        <v/>
      </c>
    </row>
    <row r="15">
      <c r="A15" s="6" t="inlineStr">
        <is>
          <t>Share of JV and associate profit</t>
        </is>
      </c>
      <c r="B15" s="24" t="n">
        <v>88.121</v>
      </c>
      <c r="C15" s="24" t="n">
        <v>124.752</v>
      </c>
      <c r="D15" s="24" t="n">
        <v>189.975</v>
      </c>
      <c r="E15" s="36">
        <f>Assumptions!$C$73*(1+Assumptions!B30)</f>
        <v/>
      </c>
      <c r="F15" s="36">
        <f>E15*(1+Assumptions!C30)</f>
        <v/>
      </c>
      <c r="G15" s="36">
        <f>F15*(1+Assumptions!D30)</f>
        <v/>
      </c>
      <c r="H15" s="36">
        <f>G15*(1+Assumptions!E30)</f>
        <v/>
      </c>
      <c r="I15" s="36">
        <f>H15*(1+Assumptions!F30)</f>
        <v/>
      </c>
    </row>
    <row r="16">
      <c r="A16" s="20" t="inlineStr">
        <is>
          <t>Profit before tax (before the JV share, forecast)</t>
        </is>
      </c>
      <c r="B16" s="32">
        <f>B11+B12+B13-B14+B15</f>
        <v/>
      </c>
      <c r="C16" s="32">
        <f>C11+C12+C13-C14+C15</f>
        <v/>
      </c>
      <c r="D16" s="32">
        <f>D11+D12+D13-D14+D15</f>
        <v/>
      </c>
      <c r="E16" s="32">
        <f>E11+E12+E13-E14</f>
        <v/>
      </c>
      <c r="F16" s="32">
        <f>F11+F12+F13-F14</f>
        <v/>
      </c>
      <c r="G16" s="32">
        <f>G11+G12+G13-G14</f>
        <v/>
      </c>
      <c r="H16" s="32">
        <f>H11+H12+H13-H14</f>
        <v/>
      </c>
      <c r="I16" s="32">
        <f>I11+I12+I13-I14</f>
        <v/>
      </c>
    </row>
    <row r="17">
      <c r="A17" s="6" t="inlineStr">
        <is>
          <t>Income tax</t>
        </is>
      </c>
      <c r="B17" s="24" t="n">
        <v>0</v>
      </c>
      <c r="C17" s="24" t="n">
        <v>141.508</v>
      </c>
      <c r="D17" s="24" t="n">
        <v>202.054</v>
      </c>
      <c r="E17" s="36">
        <f>E16*Assumptions!$C$36</f>
        <v/>
      </c>
      <c r="F17" s="36">
        <f>F16*Assumptions!$C$36</f>
        <v/>
      </c>
      <c r="G17" s="36">
        <f>G16*Assumptions!$C$36</f>
        <v/>
      </c>
      <c r="H17" s="36">
        <f>H16*Assumptions!$C$36</f>
        <v/>
      </c>
      <c r="I17" s="36">
        <f>I16*Assumptions!$C$36</f>
        <v/>
      </c>
    </row>
    <row r="18">
      <c r="A18" s="20" t="inlineStr">
        <is>
          <t>Profit for the year</t>
        </is>
      </c>
      <c r="B18" s="32">
        <f>B16-B17</f>
        <v/>
      </c>
      <c r="C18" s="32">
        <f>C16-C17</f>
        <v/>
      </c>
      <c r="D18" s="32">
        <f>D16-D17</f>
        <v/>
      </c>
      <c r="E18" s="32">
        <f>E16-E17+E15</f>
        <v/>
      </c>
      <c r="F18" s="32">
        <f>F16-F17+F15</f>
        <v/>
      </c>
      <c r="G18" s="32">
        <f>G16-G17+G15</f>
        <v/>
      </c>
      <c r="H18" s="32">
        <f>H16-H17+H15</f>
        <v/>
      </c>
      <c r="I18" s="32">
        <f>I16-I17+I15</f>
        <v/>
      </c>
    </row>
    <row r="19">
      <c r="A19" s="6" t="inlineStr">
        <is>
          <t>Minorities</t>
        </is>
      </c>
      <c r="B19" s="35">
        <f>B18-B20</f>
        <v/>
      </c>
      <c r="C19" s="35">
        <f>C18-C20</f>
        <v/>
      </c>
      <c r="D19" s="35">
        <f>D18-D20</f>
        <v/>
      </c>
      <c r="E19" s="35">
        <f>E18*Assumptions!$C$81</f>
        <v/>
      </c>
      <c r="F19" s="35">
        <f>F18*Assumptions!$C$81</f>
        <v/>
      </c>
      <c r="G19" s="35">
        <f>G18*Assumptions!$C$81</f>
        <v/>
      </c>
      <c r="H19" s="35">
        <f>H18*Assumptions!$C$81</f>
        <v/>
      </c>
      <c r="I19" s="35">
        <f>I18*Assumptions!$C$81</f>
        <v/>
      </c>
    </row>
    <row r="20">
      <c r="A20" s="6" t="inlineStr">
        <is>
          <t>Attributable to owners</t>
        </is>
      </c>
      <c r="B20" s="26" t="n">
        <v>1547.132</v>
      </c>
      <c r="C20" s="26" t="n">
        <v>1466.986</v>
      </c>
      <c r="D20" s="26" t="n">
        <v>1628.475</v>
      </c>
      <c r="E20" s="32">
        <f>E18-E19</f>
        <v/>
      </c>
      <c r="F20" s="32">
        <f>F18-F19</f>
        <v/>
      </c>
      <c r="G20" s="32">
        <f>G18-G19</f>
        <v/>
      </c>
      <c r="H20" s="32">
        <f>H18-H19</f>
        <v/>
      </c>
      <c r="I20" s="32">
        <f>I18-I19</f>
        <v/>
      </c>
    </row>
    <row r="21">
      <c r="A21" s="6" t="inlineStr">
        <is>
          <t>Earnings per share (AED)</t>
        </is>
      </c>
      <c r="B21" s="10">
        <f>B20/Assumptions!$C$53</f>
        <v/>
      </c>
      <c r="C21" s="10">
        <f>C20/Assumptions!$C$53</f>
        <v/>
      </c>
      <c r="D21" s="10">
        <f>D20/Assumptions!$C$53</f>
        <v/>
      </c>
      <c r="E21" s="10">
        <f>E20/Assumptions!$C$53</f>
        <v/>
      </c>
      <c r="F21" s="10">
        <f>F20/Assumptions!$C$53</f>
        <v/>
      </c>
      <c r="G21" s="10">
        <f>G20/Assumptions!$C$53</f>
        <v/>
      </c>
      <c r="H21" s="10">
        <f>H20/Assumptions!$C$53</f>
        <v/>
      </c>
      <c r="I21" s="10">
        <f>I20/Assumptions!$C$53</f>
        <v/>
      </c>
    </row>
    <row r="22">
      <c r="A22" s="6" t="inlineStr">
        <is>
          <t>EBITDA margin</t>
        </is>
      </c>
      <c r="B22" s="11">
        <f>B9/B5</f>
        <v/>
      </c>
      <c r="C22" s="11">
        <f>C9/C5</f>
        <v/>
      </c>
      <c r="D22" s="11">
        <f>D9/D5</f>
        <v/>
      </c>
      <c r="E22" s="11">
        <f>E9/E5</f>
        <v/>
      </c>
      <c r="F22" s="11">
        <f>F9/F5</f>
        <v/>
      </c>
      <c r="G22" s="11">
        <f>G9/G5</f>
        <v/>
      </c>
      <c r="H22" s="11">
        <f>H9/H5</f>
        <v/>
      </c>
      <c r="I22" s="11">
        <f>I9/I5</f>
        <v/>
      </c>
    </row>
    <row r="24">
      <c r="A24" s="22" t="inlineStr">
        <is>
          <t>The forecast income statement carries EBIT excluding fees/other income on row 11; the DCF taxes EBIT including that recurring line (row 12), exactly as the study text describes.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Balance sheet — 3 years audited + roll-forward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4" t="inlineStr">
        <is>
          <t>FY2023 column is the restated 1-Jan-2024 position from the FY2025 filing.</t>
        </is>
      </c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Fleet assets (PP&amp;E + right-of-use + aircraft advances)</t>
        </is>
      </c>
      <c r="B5" s="26" t="n">
        <v>6415.231</v>
      </c>
      <c r="C5" s="26" t="n">
        <v>6708.975</v>
      </c>
      <c r="D5" s="26" t="n">
        <v>8670.864</v>
      </c>
      <c r="E5" s="17">
        <f>DCF!B46</f>
        <v/>
      </c>
      <c r="F5" s="17">
        <f>DCF!C46</f>
        <v/>
      </c>
      <c r="G5" s="17">
        <f>DCF!D46</f>
        <v/>
      </c>
      <c r="H5" s="17">
        <f>DCF!E46</f>
        <v/>
      </c>
      <c r="I5" s="17">
        <f>DCF!F46</f>
        <v/>
      </c>
    </row>
    <row r="6">
      <c r="A6" s="6" t="inlineStr">
        <is>
          <t>Intangible assets</t>
        </is>
      </c>
      <c r="D6" s="26" t="n">
        <v>1362.497</v>
      </c>
      <c r="E6" s="17">
        <f>Assumptions!$C$78</f>
        <v/>
      </c>
      <c r="F6" s="17">
        <f>Assumptions!$C$78</f>
        <v/>
      </c>
      <c r="G6" s="17">
        <f>Assumptions!$C$78</f>
        <v/>
      </c>
      <c r="H6" s="17">
        <f>Assumptions!$C$78</f>
        <v/>
      </c>
      <c r="I6" s="17">
        <f>Assumptions!$C$78</f>
        <v/>
      </c>
    </row>
    <row r="7">
      <c r="A7" s="6" t="inlineStr">
        <is>
          <t>Other non-current assets</t>
        </is>
      </c>
    </row>
    <row r="8">
      <c r="A8" s="6" t="inlineStr">
        <is>
          <t>Inventories</t>
        </is>
      </c>
      <c r="B8" s="26" t="n">
        <v>48.719</v>
      </c>
      <c r="C8" s="26" t="n">
        <v>53.456</v>
      </c>
      <c r="D8" s="26" t="n">
        <v>97.042</v>
      </c>
    </row>
    <row r="9">
      <c r="A9" s="6" t="inlineStr">
        <is>
          <t>Trade and other receivables (current)</t>
        </is>
      </c>
      <c r="B9" s="26" t="n">
        <v>858.576</v>
      </c>
      <c r="C9" s="26" t="n">
        <v>824.296</v>
      </c>
      <c r="D9" s="26" t="n">
        <v>896.388</v>
      </c>
    </row>
    <row r="10">
      <c r="A10" s="6" t="inlineStr">
        <is>
          <t>Cash and fixed deposits</t>
        </is>
      </c>
      <c r="B10" s="26" t="n">
        <v>5246.377</v>
      </c>
      <c r="C10" s="26" t="n">
        <v>5319.517</v>
      </c>
      <c r="D10" s="26" t="n">
        <v>5198.732</v>
      </c>
    </row>
    <row r="12">
      <c r="A12" s="6" t="inlineStr">
        <is>
          <t>Borrowings + lease liabilities</t>
        </is>
      </c>
      <c r="B12" s="26" t="n">
        <v>2278.957</v>
      </c>
      <c r="C12" s="26" t="n">
        <v>2101.441</v>
      </c>
      <c r="D12" s="26" t="n">
        <v>2781.435</v>
      </c>
    </row>
    <row r="13">
      <c r="A13" s="6" t="inlineStr">
        <is>
          <t>Payables, deferred income, provisions (operating)</t>
        </is>
      </c>
      <c r="B13" s="26" t="n">
        <v>4825.511</v>
      </c>
      <c r="C13" s="26" t="n">
        <v>5085.291999999999</v>
      </c>
      <c r="D13" s="26" t="n">
        <v>6180.264</v>
      </c>
    </row>
    <row r="15">
      <c r="A15" s="6" t="inlineStr">
        <is>
          <t>Equity attributable to owners</t>
        </is>
      </c>
      <c r="B15" s="26" t="n">
        <v>7534.006</v>
      </c>
      <c r="C15" s="26" t="n">
        <v>7950.33</v>
      </c>
      <c r="D15" s="26" t="n">
        <v>8408.904</v>
      </c>
      <c r="E15" s="31">
        <f>Assumptions!$C$82+'Income Statement'!E20-'Cash Flow'!B15</f>
        <v/>
      </c>
      <c r="F15" s="31">
        <f>E15+'Income Statement'!F20-'Cash Flow'!C15</f>
        <v/>
      </c>
      <c r="G15" s="31">
        <f>F15+'Income Statement'!G20-'Cash Flow'!D15</f>
        <v/>
      </c>
      <c r="H15" s="31">
        <f>G15+'Income Statement'!H20-'Cash Flow'!E15</f>
        <v/>
      </c>
      <c r="I15" s="31">
        <f>H15+'Income Statement'!I20-'Cash Flow'!F15</f>
        <v/>
      </c>
    </row>
    <row r="16">
      <c r="A16" s="6" t="inlineStr">
        <is>
          <t>Working capital (from the lines above)</t>
        </is>
      </c>
      <c r="B16" s="31">
        <f>B8+B9-B13</f>
        <v/>
      </c>
      <c r="C16" s="31">
        <f>C8+C9-C13</f>
        <v/>
      </c>
      <c r="D16" s="31">
        <f>D8+D9-D13</f>
        <v/>
      </c>
      <c r="E16" s="17">
        <f>DCF!B40</f>
        <v/>
      </c>
      <c r="F16" s="17">
        <f>DCF!C40</f>
        <v/>
      </c>
      <c r="G16" s="17">
        <f>DCF!D40</f>
        <v/>
      </c>
      <c r="H16" s="17">
        <f>DCF!E40</f>
        <v/>
      </c>
      <c r="I16" s="17">
        <f>DCF!F40</f>
        <v/>
      </c>
    </row>
    <row r="17">
      <c r="A17" s="6" t="inlineStr">
        <is>
          <t>Net debt (negative = net cash)</t>
        </is>
      </c>
      <c r="B17" s="31">
        <f>B12-B10</f>
        <v/>
      </c>
      <c r="C17" s="31">
        <f>C12-C10</f>
        <v/>
      </c>
      <c r="D17" s="31">
        <f>D12-D10</f>
        <v/>
      </c>
      <c r="E17" s="17">
        <f>'Cash Flow'!B16</f>
        <v/>
      </c>
      <c r="F17" s="17">
        <f>'Cash Flow'!C16</f>
        <v/>
      </c>
      <c r="G17" s="17">
        <f>'Cash Flow'!D16</f>
        <v/>
      </c>
      <c r="H17" s="17">
        <f>'Cash Flow'!E16</f>
        <v/>
      </c>
      <c r="I17" s="17">
        <f>'Cash Flow'!F16</f>
        <v/>
      </c>
    </row>
    <row r="18">
      <c r="A18" s="6" t="inlineStr">
        <is>
          <t>Net debt / EBITDA</t>
        </is>
      </c>
      <c r="B18" s="40">
        <f>B17/'Income Statement'!B9</f>
        <v/>
      </c>
      <c r="C18" s="40">
        <f>C17/'Income Statement'!C9</f>
        <v/>
      </c>
      <c r="D18" s="40">
        <f>D17/'Income Statement'!D9</f>
        <v/>
      </c>
      <c r="E18" s="40">
        <f>E17/'Income Statement'!E9</f>
        <v/>
      </c>
      <c r="F18" s="40">
        <f>F17/'Income Statement'!F9</f>
        <v/>
      </c>
      <c r="G18" s="40">
        <f>G17/'Income Statement'!G9</f>
        <v/>
      </c>
      <c r="H18" s="40">
        <f>H17/'Income Statement'!H9</f>
        <v/>
      </c>
      <c r="I18" s="40">
        <f>I17/'Income Statement'!I9</f>
        <v/>
      </c>
    </row>
    <row r="20">
      <c r="A20" s="22" t="inlineStr">
        <is>
          <t>The forecast rolls fleet assets (capex less depreciation plus leased-fleet additions), working capital (ratio x revenue), net debt (opening less retained cash generation plus dividends) and equity (profit less dividends). Deferred income, maintenance provisions and staff benefits are inside working capital — never double-counted against net debt.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Cash flow — FCFF and the financing walk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Links to the DCF waterfall; net debt rolls forward.</t>
        </is>
      </c>
    </row>
    <row r="4">
      <c r="A4" s="5" t="inlineStr">
        <is>
          <t>FCFF build (AED mn)</t>
        </is>
      </c>
      <c r="B4" s="5" t="inlineStr">
        <is>
          <t>FY26E</t>
        </is>
      </c>
      <c r="C4" s="5" t="inlineStr">
        <is>
          <t>FY27E</t>
        </is>
      </c>
      <c r="D4" s="5" t="inlineStr">
        <is>
          <t>FY28E</t>
        </is>
      </c>
      <c r="E4" s="5" t="inlineStr">
        <is>
          <t>FY29E</t>
        </is>
      </c>
      <c r="F4" s="5" t="inlineStr">
        <is>
          <t>FY30E</t>
        </is>
      </c>
    </row>
    <row r="5">
      <c r="A5" s="6" t="inlineStr">
        <is>
          <t>NOPAT</t>
        </is>
      </c>
      <c r="B5" s="17">
        <f>DCF!B37</f>
        <v/>
      </c>
      <c r="C5" s="17">
        <f>DCF!C37</f>
        <v/>
      </c>
      <c r="D5" s="17">
        <f>DCF!D37</f>
        <v/>
      </c>
      <c r="E5" s="17">
        <f>DCF!E37</f>
        <v/>
      </c>
      <c r="F5" s="17">
        <f>DCF!F37</f>
        <v/>
      </c>
    </row>
    <row r="6">
      <c r="A6" s="6" t="inlineStr">
        <is>
          <t>add depreciation &amp; amortisation</t>
        </is>
      </c>
      <c r="B6" s="17">
        <f>DCF!B38</f>
        <v/>
      </c>
      <c r="C6" s="17">
        <f>DCF!C38</f>
        <v/>
      </c>
      <c r="D6" s="17">
        <f>DCF!D38</f>
        <v/>
      </c>
      <c r="E6" s="17">
        <f>DCF!E38</f>
        <v/>
      </c>
      <c r="F6" s="17">
        <f>DCF!F38</f>
        <v/>
      </c>
    </row>
    <row r="7">
      <c r="A7" s="6" t="inlineStr">
        <is>
          <t>less owned capex + pre-delivery payments</t>
        </is>
      </c>
      <c r="B7" s="17">
        <f>DCF!B39</f>
        <v/>
      </c>
      <c r="C7" s="17">
        <f>DCF!C39</f>
        <v/>
      </c>
      <c r="D7" s="17">
        <f>DCF!D39</f>
        <v/>
      </c>
      <c r="E7" s="17">
        <f>DCF!E39</f>
        <v/>
      </c>
      <c r="F7" s="17">
        <f>DCF!F39</f>
        <v/>
      </c>
    </row>
    <row r="8">
      <c r="A8" s="6" t="inlineStr">
        <is>
          <t>less change in working capital</t>
        </is>
      </c>
      <c r="B8" s="17">
        <f>DCF!B41</f>
        <v/>
      </c>
      <c r="C8" s="17">
        <f>DCF!C41</f>
        <v/>
      </c>
      <c r="D8" s="17">
        <f>DCF!D41</f>
        <v/>
      </c>
      <c r="E8" s="17">
        <f>DCF!E41</f>
        <v/>
      </c>
      <c r="F8" s="17">
        <f>DCF!F41</f>
        <v/>
      </c>
    </row>
    <row r="9">
      <c r="A9" s="20" t="inlineStr">
        <is>
          <t>Free cash flow to the firm</t>
        </is>
      </c>
      <c r="B9" s="32">
        <f>B5+B6-B7-B8-B10</f>
        <v/>
      </c>
      <c r="C9" s="32">
        <f>C5+C6-C7-C8-C10</f>
        <v/>
      </c>
      <c r="D9" s="32">
        <f>D5+D6-D7-D8-D10</f>
        <v/>
      </c>
      <c r="E9" s="32">
        <f>E5+E6-E7-E8-E10</f>
        <v/>
      </c>
      <c r="F9" s="32">
        <f>F5+F6-F7-F8-F10</f>
        <v/>
      </c>
    </row>
    <row r="10">
      <c r="A10" s="6" t="inlineStr">
        <is>
          <t>less leased-fleet additions (gross)</t>
        </is>
      </c>
      <c r="B10" s="17">
        <f>DCF!B45</f>
        <v/>
      </c>
      <c r="C10" s="17">
        <f>DCF!C45</f>
        <v/>
      </c>
      <c r="D10" s="17">
        <f>DCF!D45</f>
        <v/>
      </c>
      <c r="E10" s="17">
        <f>DCF!E45</f>
        <v/>
      </c>
      <c r="F10" s="17">
        <f>DCF!F45</f>
        <v/>
      </c>
    </row>
    <row r="11">
      <c r="A11" s="5" t="inlineStr">
        <is>
          <t>Financing walk (AED mn)</t>
        </is>
      </c>
      <c r="B11" s="5" t="inlineStr">
        <is>
          <t>FY26E</t>
        </is>
      </c>
      <c r="C11" s="5" t="inlineStr">
        <is>
          <t>FY27E</t>
        </is>
      </c>
      <c r="D11" s="5" t="inlineStr">
        <is>
          <t>FY28E</t>
        </is>
      </c>
      <c r="E11" s="5" t="inlineStr">
        <is>
          <t>FY29E</t>
        </is>
      </c>
      <c r="F11" s="5" t="inlineStr">
        <is>
          <t>FY30E</t>
        </is>
      </c>
    </row>
    <row r="12">
      <c r="A12" s="6" t="inlineStr">
        <is>
          <t>Opening net debt (negative = net cash)</t>
        </is>
      </c>
      <c r="B12" s="31">
        <f>Assumptions!$C$75-Assumptions!$C$76</f>
        <v/>
      </c>
      <c r="C12" s="31">
        <f>B16</f>
        <v/>
      </c>
      <c r="D12" s="31">
        <f>C16</f>
        <v/>
      </c>
      <c r="E12" s="31">
        <f>D16</f>
        <v/>
      </c>
      <c r="F12" s="31">
        <f>E16</f>
        <v/>
      </c>
    </row>
    <row r="13">
      <c r="A13" s="6" t="inlineStr">
        <is>
          <t>Finance income (deposit yield x opening cash and deposits)</t>
        </is>
      </c>
      <c r="B13" s="36">
        <f>Assumptions!B29*(B17-B12)</f>
        <v/>
      </c>
      <c r="C13" s="36">
        <f>Assumptions!C29*(C17-C12)</f>
        <v/>
      </c>
      <c r="D13" s="36">
        <f>Assumptions!D29*(D17-D12)</f>
        <v/>
      </c>
      <c r="E13" s="36">
        <f>Assumptions!E29*(E17-E12)</f>
        <v/>
      </c>
      <c r="F13" s="36">
        <f>Assumptions!F29*(F17-F12)</f>
        <v/>
      </c>
    </row>
    <row r="14">
      <c r="A14" s="6" t="inlineStr">
        <is>
          <t>Finance costs (booked rate x average gross debt)</t>
        </is>
      </c>
      <c r="B14" s="36">
        <f>Assumptions!B26*(B17+B18)/2</f>
        <v/>
      </c>
      <c r="C14" s="36">
        <f>Assumptions!C26*(C17+C18)/2</f>
        <v/>
      </c>
      <c r="D14" s="36">
        <f>Assumptions!D26*(D17+D18)/2</f>
        <v/>
      </c>
      <c r="E14" s="36">
        <f>Assumptions!E26*(E17+E18)/2</f>
        <v/>
      </c>
      <c r="F14" s="36">
        <f>Assumptions!F26*(F17+F18)/2</f>
        <v/>
      </c>
    </row>
    <row r="15">
      <c r="A15" s="6" t="inlineStr">
        <is>
          <t>Dividends paid (payout, floored at 30 fils)</t>
        </is>
      </c>
      <c r="B15" s="31">
        <f>MAX(Assumptions!B31*'Income Statement'!E20,Assumptions!$C$59)</f>
        <v/>
      </c>
      <c r="C15" s="31">
        <f>MAX(Assumptions!C31*'Income Statement'!F20,Assumptions!$C$59)</f>
        <v/>
      </c>
      <c r="D15" s="31">
        <f>MAX(Assumptions!D31*'Income Statement'!G20,Assumptions!$C$59)</f>
        <v/>
      </c>
      <c r="E15" s="31">
        <f>MAX(Assumptions!E31*'Income Statement'!H20,Assumptions!$C$59)</f>
        <v/>
      </c>
      <c r="F15" s="31">
        <f>MAX(Assumptions!F31*'Income Statement'!I20,Assumptions!$C$59)</f>
        <v/>
      </c>
    </row>
    <row r="16">
      <c r="A16" s="6" t="inlineStr">
        <is>
          <t>Closing net debt</t>
        </is>
      </c>
      <c r="B16" s="32">
        <f>B12-(B9+(B13-B14)*(1-Assumptions!$C$36))+B15</f>
        <v/>
      </c>
      <c r="C16" s="32">
        <f>C12-(C9+(C13-C14)*(1-Assumptions!$C$36))+C15</f>
        <v/>
      </c>
      <c r="D16" s="32">
        <f>D12-(D9+(D13-D14)*(1-Assumptions!$C$36))+D15</f>
        <v/>
      </c>
      <c r="E16" s="32">
        <f>E12-(E9+(E13-E14)*(1-Assumptions!$C$36))+E15</f>
        <v/>
      </c>
      <c r="F16" s="32">
        <f>F12-(F9+(F13-F14)*(1-Assumptions!$C$36))+F15</f>
        <v/>
      </c>
    </row>
    <row r="17">
      <c r="A17" s="6" t="inlineStr">
        <is>
          <t>Opening gross debt (borrowings + leases)</t>
        </is>
      </c>
      <c r="B17" s="17">
        <f>Assumptions!$C$75</f>
        <v/>
      </c>
      <c r="C17" s="31">
        <f>B18</f>
        <v/>
      </c>
      <c r="D17" s="31">
        <f>C18</f>
        <v/>
      </c>
      <c r="E17" s="31">
        <f>D18</f>
        <v/>
      </c>
      <c r="F17" s="31">
        <f>E18</f>
        <v/>
      </c>
    </row>
    <row r="18">
      <c r="A18" s="6" t="inlineStr">
        <is>
          <t>Closing gross debt (+ new leases + aircraft loans - amortisation)</t>
        </is>
      </c>
      <c r="B18" s="31">
        <f>B17+DCF!B45+Assumptions!B23*Assumptions!$C$58-Assumptions!B27</f>
        <v/>
      </c>
      <c r="C18" s="31">
        <f>C17+DCF!C45+Assumptions!C23*Assumptions!$C$58-Assumptions!C27</f>
        <v/>
      </c>
      <c r="D18" s="31">
        <f>D17+DCF!D45+Assumptions!D23*Assumptions!$C$58-Assumptions!D27</f>
        <v/>
      </c>
      <c r="E18" s="31">
        <f>E17+DCF!E45+Assumptions!E23*Assumptions!$C$58-Assumptions!E27</f>
        <v/>
      </c>
      <c r="F18" s="31">
        <f>F17+DCF!F45+Assumptions!F23*Assumptions!$C$58-Assumptions!F27</f>
        <v/>
      </c>
    </row>
    <row r="20">
      <c r="A20" s="5" t="inlineStr">
        <is>
          <t>Audited history (AED mn)</t>
        </is>
      </c>
      <c r="B20" s="5" t="inlineStr">
        <is>
          <t>FY2023</t>
        </is>
      </c>
      <c r="C20" s="5" t="inlineStr">
        <is>
          <t>FY2024</t>
        </is>
      </c>
      <c r="D20" s="5" t="inlineStr">
        <is>
          <t>FY2025</t>
        </is>
      </c>
    </row>
    <row r="21">
      <c r="A21" s="6" t="inlineStr">
        <is>
          <t>Net cash from operating activities</t>
        </is>
      </c>
      <c r="B21" s="26" t="n">
        <v>2304.108</v>
      </c>
      <c r="C21" s="26" t="n">
        <v>2278.691</v>
      </c>
      <c r="D21" s="26" t="n">
        <v>2860.401</v>
      </c>
    </row>
    <row r="22">
      <c r="A22" s="6" t="inlineStr">
        <is>
          <t>Fleet capex incl. aircraft advances</t>
        </is>
      </c>
      <c r="B22" s="26" t="n">
        <v>378.035</v>
      </c>
      <c r="C22" s="26" t="n">
        <v>579.654</v>
      </c>
      <c r="D22" s="26" t="n">
        <v>2327.603</v>
      </c>
    </row>
    <row r="23">
      <c r="A23" s="6" t="inlineStr">
        <is>
          <t>Dividends paid to owners</t>
        </is>
      </c>
      <c r="B23" s="26" t="n">
        <v>700.005</v>
      </c>
      <c r="C23" s="26" t="n">
        <v>933.34</v>
      </c>
      <c r="D23" s="26" t="n">
        <v>1167.376</v>
      </c>
    </row>
    <row r="24">
      <c r="A24" s="6" t="inlineStr">
        <is>
          <t>Depreciation &amp; amortisation</t>
        </is>
      </c>
      <c r="B24" s="26" t="n">
        <v>647.327</v>
      </c>
      <c r="C24" s="26" t="n">
        <v>648.588</v>
      </c>
      <c r="D24" s="26" t="n">
        <v>621.798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>
      <c r="A1" s="1" t="inlineStr">
        <is>
          <t>Summary financials — history and forecast in one grid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4">
      <c r="A4" s="5" t="inlineStr"/>
      <c r="B4" s="5" t="inlineStr">
        <is>
          <t>FY2023</t>
        </is>
      </c>
      <c r="C4" s="5" t="inlineStr">
        <is>
          <t>FY2024</t>
        </is>
      </c>
      <c r="D4" s="5" t="inlineStr">
        <is>
          <t>FY2025</t>
        </is>
      </c>
      <c r="E4" s="5" t="inlineStr">
        <is>
          <t>FY26E</t>
        </is>
      </c>
      <c r="F4" s="5" t="inlineStr">
        <is>
          <t>FY27E</t>
        </is>
      </c>
      <c r="G4" s="5" t="inlineStr">
        <is>
          <t>FY28E</t>
        </is>
      </c>
      <c r="H4" s="5" t="inlineStr">
        <is>
          <t>FY29E</t>
        </is>
      </c>
      <c r="I4" s="5" t="inlineStr">
        <is>
          <t>FY30E</t>
        </is>
      </c>
    </row>
    <row r="5">
      <c r="A5" s="6" t="inlineStr">
        <is>
          <t>Revenue (AED mn)</t>
        </is>
      </c>
      <c r="B5" s="17">
        <f>'Income Statement'!B5</f>
        <v/>
      </c>
      <c r="C5" s="17">
        <f>'Income Statement'!C5</f>
        <v/>
      </c>
      <c r="D5" s="17">
        <f>'Income Statement'!D5</f>
        <v/>
      </c>
      <c r="E5" s="17">
        <f>'Income Statement'!E5</f>
        <v/>
      </c>
      <c r="F5" s="17">
        <f>'Income Statement'!F5</f>
        <v/>
      </c>
      <c r="G5" s="17">
        <f>'Income Statement'!G5</f>
        <v/>
      </c>
      <c r="H5" s="17">
        <f>'Income Statement'!H5</f>
        <v/>
      </c>
      <c r="I5" s="17">
        <f>'Income Statement'!I5</f>
        <v/>
      </c>
    </row>
    <row r="6">
      <c r="A6" s="6" t="inlineStr">
        <is>
          <t>Revenue growth</t>
        </is>
      </c>
      <c r="C6" s="11">
        <f>C5/B5-1</f>
        <v/>
      </c>
      <c r="D6" s="11">
        <f>D5/C5-1</f>
        <v/>
      </c>
      <c r="E6" s="11">
        <f>E5/D5-1</f>
        <v/>
      </c>
      <c r="F6" s="11">
        <f>F5/E5-1</f>
        <v/>
      </c>
      <c r="G6" s="11">
        <f>G5/F5-1</f>
        <v/>
      </c>
      <c r="H6" s="11">
        <f>H5/G5-1</f>
        <v/>
      </c>
      <c r="I6" s="11">
        <f>I5/H5-1</f>
        <v/>
      </c>
    </row>
    <row r="7">
      <c r="A7" s="6" t="inlineStr">
        <is>
          <t>EBITDA (AED mn)</t>
        </is>
      </c>
      <c r="B7" s="17">
        <f>'Income Statement'!B9</f>
        <v/>
      </c>
      <c r="C7" s="17">
        <f>'Income Statement'!C9</f>
        <v/>
      </c>
      <c r="D7" s="17">
        <f>'Income Statement'!D9</f>
        <v/>
      </c>
      <c r="E7" s="17">
        <f>'Income Statement'!E9</f>
        <v/>
      </c>
      <c r="F7" s="17">
        <f>'Income Statement'!F9</f>
        <v/>
      </c>
      <c r="G7" s="17">
        <f>'Income Statement'!G9</f>
        <v/>
      </c>
      <c r="H7" s="17">
        <f>'Income Statement'!H9</f>
        <v/>
      </c>
      <c r="I7" s="17">
        <f>'Income Statement'!I9</f>
        <v/>
      </c>
    </row>
    <row r="8">
      <c r="A8" s="6" t="inlineStr">
        <is>
          <t>EBITDA margin</t>
        </is>
      </c>
      <c r="B8" s="9">
        <f>'Income Statement'!B22</f>
        <v/>
      </c>
      <c r="C8" s="9">
        <f>'Income Statement'!C22</f>
        <v/>
      </c>
      <c r="D8" s="9">
        <f>'Income Statement'!D22</f>
        <v/>
      </c>
      <c r="E8" s="9">
        <f>'Income Statement'!E22</f>
        <v/>
      </c>
      <c r="F8" s="9">
        <f>'Income Statement'!F22</f>
        <v/>
      </c>
      <c r="G8" s="9">
        <f>'Income Statement'!G22</f>
        <v/>
      </c>
      <c r="H8" s="9">
        <f>'Income Statement'!H22</f>
        <v/>
      </c>
      <c r="I8" s="9">
        <f>'Income Statement'!I22</f>
        <v/>
      </c>
    </row>
    <row r="9">
      <c r="A9" s="6" t="inlineStr">
        <is>
          <t>Attributable profit (AED mn)</t>
        </is>
      </c>
      <c r="B9" s="17">
        <f>'Income Statement'!B20</f>
        <v/>
      </c>
      <c r="C9" s="17">
        <f>'Income Statement'!C20</f>
        <v/>
      </c>
      <c r="D9" s="17">
        <f>'Income Statement'!D20</f>
        <v/>
      </c>
      <c r="E9" s="17">
        <f>'Income Statement'!E20</f>
        <v/>
      </c>
      <c r="F9" s="17">
        <f>'Income Statement'!F20</f>
        <v/>
      </c>
      <c r="G9" s="17">
        <f>'Income Statement'!G20</f>
        <v/>
      </c>
      <c r="H9" s="17">
        <f>'Income Statement'!H20</f>
        <v/>
      </c>
      <c r="I9" s="17">
        <f>'Income Statement'!I20</f>
        <v/>
      </c>
    </row>
    <row r="10">
      <c r="A10" s="6" t="inlineStr">
        <is>
          <t>Earnings per share (AED)</t>
        </is>
      </c>
      <c r="B10" s="8">
        <f>'Income Statement'!B21</f>
        <v/>
      </c>
      <c r="C10" s="8">
        <f>'Income Statement'!C21</f>
        <v/>
      </c>
      <c r="D10" s="8">
        <f>'Income Statement'!D21</f>
        <v/>
      </c>
      <c r="E10" s="8">
        <f>'Income Statement'!E21</f>
        <v/>
      </c>
      <c r="F10" s="8">
        <f>'Income Statement'!F21</f>
        <v/>
      </c>
      <c r="G10" s="8">
        <f>'Income Statement'!G21</f>
        <v/>
      </c>
      <c r="H10" s="8">
        <f>'Income Statement'!H21</f>
        <v/>
      </c>
      <c r="I10" s="8">
        <f>'Income Statement'!I21</f>
        <v/>
      </c>
    </row>
    <row r="11">
      <c r="A11" s="6" t="inlineStr">
        <is>
          <t>Dividend per share (AED)</t>
        </is>
      </c>
      <c r="B11" s="7" t="n">
        <v>0.2</v>
      </c>
      <c r="C11" s="7" t="n">
        <v>0.25</v>
      </c>
      <c r="D11" s="7" t="n">
        <v>0.3</v>
      </c>
      <c r="E11" s="10">
        <f>'Cash Flow'!B15/Assumptions!$C$53</f>
        <v/>
      </c>
      <c r="F11" s="10">
        <f>'Cash Flow'!C15/Assumptions!$C$53</f>
        <v/>
      </c>
      <c r="G11" s="10">
        <f>'Cash Flow'!D15/Assumptions!$C$53</f>
        <v/>
      </c>
      <c r="H11" s="10">
        <f>'Cash Flow'!E15/Assumptions!$C$53</f>
        <v/>
      </c>
      <c r="I11" s="10">
        <f>'Cash Flow'!F15/Assumptions!$C$53</f>
        <v/>
      </c>
    </row>
    <row r="12">
      <c r="A12" s="6" t="inlineStr">
        <is>
          <t>Net debt (AED mn, negative = net cash)</t>
        </is>
      </c>
      <c r="B12" s="17">
        <f>'Balance Sheet'!B17</f>
        <v/>
      </c>
      <c r="C12" s="17">
        <f>'Balance Sheet'!C17</f>
        <v/>
      </c>
      <c r="D12" s="17">
        <f>'Balance Sheet'!D17</f>
        <v/>
      </c>
      <c r="E12" s="17">
        <f>'Balance Sheet'!E17</f>
        <v/>
      </c>
      <c r="F12" s="17">
        <f>'Balance Sheet'!F17</f>
        <v/>
      </c>
      <c r="G12" s="17">
        <f>'Balance Sheet'!G17</f>
        <v/>
      </c>
      <c r="H12" s="17">
        <f>'Balance Sheet'!H17</f>
        <v/>
      </c>
      <c r="I12" s="17">
        <f>'Balance Sheet'!I17</f>
        <v/>
      </c>
    </row>
    <row r="13">
      <c r="A13" s="6" t="inlineStr">
        <is>
          <t>Invested capital (AED mn)</t>
        </is>
      </c>
      <c r="E13" s="17">
        <f>DCF!B47</f>
        <v/>
      </c>
      <c r="F13" s="17">
        <f>DCF!C47</f>
        <v/>
      </c>
      <c r="G13" s="17">
        <f>DCF!D47</f>
        <v/>
      </c>
      <c r="H13" s="17">
        <f>DCF!E47</f>
        <v/>
      </c>
      <c r="I13" s="17">
        <f>DCF!F47</f>
        <v/>
      </c>
    </row>
    <row r="14">
      <c r="A14" s="6" t="inlineStr">
        <is>
          <t>Return on invested capital</t>
        </is>
      </c>
      <c r="E14" s="11">
        <f>DCF!B37/DCF!B47</f>
        <v/>
      </c>
      <c r="F14" s="11">
        <f>DCF!C37/DCF!C47</f>
        <v/>
      </c>
      <c r="G14" s="11">
        <f>DCF!D37/DCF!D47</f>
        <v/>
      </c>
      <c r="H14" s="11">
        <f>DCF!E37/DCF!E47</f>
        <v/>
      </c>
      <c r="I14" s="11">
        <f>DCF!F37/DCF!F47</f>
        <v/>
      </c>
    </row>
    <row r="15">
      <c r="A15" s="6" t="inlineStr">
        <is>
          <t>Return on equity (attributable, opening equity)</t>
        </is>
      </c>
      <c r="E15" s="11">
        <f>'Income Statement'!E20/Assumptions!$C$82</f>
        <v/>
      </c>
      <c r="F15" s="11">
        <f>'Income Statement'!F20/'Balance Sheet'!E15</f>
        <v/>
      </c>
      <c r="G15" s="11">
        <f>'Income Statement'!G20/'Balance Sheet'!F15</f>
        <v/>
      </c>
      <c r="H15" s="11">
        <f>'Income Statement'!H20/'Balance Sheet'!G15</f>
        <v/>
      </c>
      <c r="I15" s="11">
        <f>'Income Statement'!I20/'Balance Sheet'!H15</f>
        <v/>
      </c>
    </row>
    <row r="16">
      <c r="A16" s="6" t="inlineStr">
        <is>
          <t>Passengers (millions)</t>
        </is>
      </c>
      <c r="B16" s="23" t="n">
        <v>10.11</v>
      </c>
      <c r="C16" s="23" t="n">
        <v>11.22</v>
      </c>
      <c r="D16" s="23" t="n">
        <v>13.06</v>
      </c>
      <c r="E16" s="33">
        <f>Segments!B5</f>
        <v/>
      </c>
      <c r="F16" s="33">
        <f>Segments!C5</f>
        <v/>
      </c>
      <c r="G16" s="33">
        <f>Segments!D5</f>
        <v/>
      </c>
      <c r="H16" s="33">
        <f>Segments!E5</f>
        <v/>
      </c>
      <c r="I16" s="33">
        <f>Segments!F5</f>
        <v/>
      </c>
    </row>
    <row r="17">
      <c r="A17" s="6" t="inlineStr">
        <is>
          <t>Revenue per passenger (AED, total revenue basis)</t>
        </is>
      </c>
      <c r="B17" s="36">
        <f>B5/B16</f>
        <v/>
      </c>
      <c r="C17" s="36">
        <f>C5/C16</f>
        <v/>
      </c>
      <c r="D17" s="36">
        <f>D5/D16</f>
        <v/>
      </c>
      <c r="E17" s="36">
        <f>E5/E16</f>
        <v/>
      </c>
      <c r="F17" s="36">
        <f>F5/F16</f>
        <v/>
      </c>
      <c r="G17" s="36">
        <f>G5/G16</f>
        <v/>
      </c>
      <c r="H17" s="36">
        <f>H5/H16</f>
        <v/>
      </c>
      <c r="I17" s="36">
        <f>I5/I16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Monte Carlo price map — 50,000 simulated paths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Whole-model engine output: pasted, does not redraw with drivers.</t>
        </is>
      </c>
    </row>
    <row r="4">
      <c r="A4" s="5" t="inlineStr">
        <is>
          <t>Horizon</t>
        </is>
      </c>
      <c r="B4" s="5" t="inlineStr">
        <is>
          <t>1 month</t>
        </is>
      </c>
      <c r="C4" s="5" t="inlineStr">
        <is>
          <t>3 months</t>
        </is>
      </c>
    </row>
    <row r="5">
      <c r="A5" s="6" t="inlineStr">
        <is>
          <t>Check date</t>
        </is>
      </c>
      <c r="B5" s="46" t="inlineStr">
        <is>
          <t>2026-09-07</t>
        </is>
      </c>
      <c r="C5" s="46" t="inlineStr">
        <is>
          <t>2026-11-09</t>
        </is>
      </c>
    </row>
    <row r="6">
      <c r="A6" s="6" t="inlineStr">
        <is>
          <t>5th percentile (AED)</t>
        </is>
      </c>
      <c r="B6" s="7" t="n">
        <v>4.465204303977625</v>
      </c>
      <c r="C6" s="7" t="n">
        <v>3.961495832574156</v>
      </c>
    </row>
    <row r="7">
      <c r="A7" s="6" t="inlineStr">
        <is>
          <t>25th percentile</t>
        </is>
      </c>
      <c r="B7" s="7" t="n">
        <v>4.925296224526616</v>
      </c>
      <c r="C7" s="7" t="n">
        <v>4.705565286510378</v>
      </c>
    </row>
    <row r="8">
      <c r="A8" s="6" t="inlineStr">
        <is>
          <t>Median</t>
        </is>
      </c>
      <c r="B8" s="7" t="n">
        <v>5.231035951190607</v>
      </c>
      <c r="C8" s="7" t="n">
        <v>5.21964253805058</v>
      </c>
    </row>
    <row r="9">
      <c r="A9" s="6" t="inlineStr">
        <is>
          <t>75th percentile</t>
        </is>
      </c>
      <c r="B9" s="7" t="n">
        <v>5.556263413369948</v>
      </c>
      <c r="C9" s="7" t="n">
        <v>5.792213748856373</v>
      </c>
    </row>
    <row r="10">
      <c r="A10" s="6" t="inlineStr">
        <is>
          <t>95th percentile</t>
        </is>
      </c>
      <c r="B10" s="7" t="n">
        <v>6.135794207271782</v>
      </c>
      <c r="C10" s="7" t="n">
        <v>6.889681665852134</v>
      </c>
    </row>
    <row r="11">
      <c r="A11" s="6" t="inlineStr">
        <is>
          <t>Probability of finishing above spot</t>
        </is>
      </c>
      <c r="B11" s="25" t="n">
        <v>0.49236</v>
      </c>
      <c r="C11" s="25" t="n">
        <v>0.48994</v>
      </c>
    </row>
    <row r="12">
      <c r="A12" s="6" t="inlineStr">
        <is>
          <t>Probability of +10% or better at the check date</t>
        </is>
      </c>
      <c r="B12" s="25" t="n">
        <v>0.14406</v>
      </c>
      <c r="C12" s="25" t="n">
        <v>0.25934</v>
      </c>
    </row>
    <row r="13">
      <c r="A13" s="6" t="inlineStr">
        <is>
          <t>Probability of -10% or worse at the check date</t>
        </is>
      </c>
      <c r="B13" s="25" t="n">
        <v>0.1286</v>
      </c>
      <c r="C13" s="25" t="n">
        <v>0.25472</v>
      </c>
    </row>
    <row r="14">
      <c r="A14" s="6" t="inlineStr">
        <is>
          <t>Probability of TOUCHING +10% at any point</t>
        </is>
      </c>
      <c r="B14" s="25" t="n">
        <v>0.24206</v>
      </c>
      <c r="C14" s="25" t="n">
        <v>0.48584</v>
      </c>
    </row>
    <row r="15">
      <c r="A15" s="6" t="inlineStr">
        <is>
          <t>Probability of TOUCHING -10% at any point</t>
        </is>
      </c>
      <c r="B15" s="25" t="n">
        <v>0.21184</v>
      </c>
      <c r="C15" s="25" t="n">
        <v>0.46226</v>
      </c>
    </row>
    <row r="17">
      <c r="A17" s="22" t="inlineStr">
        <is>
          <t>Struck at AED 5.24 on 2026-08-07 with a 5.7% trailing dividend yield netted from the drift. How much to trust these bands: over the stock's full history the simulation's probability bands beat a naive random-walk benchmark by a small margin on a standard probabilistic accuracy score (+0.7% over the full 58-window history, 2012-2026), and over the recent four-plus years the two are statistically indistinguishable — the bands are honest, not clairvoyant. Realised outcomes landed inside the 80% band 79% of the time and inside the 90% band 86% of the time over that same full history — ONE window set, quoted identically in the study.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Sensitivity — each cell is a complete revaluation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Whole-model re-runs: pasted, do not redraw with drivers.</t>
        </is>
      </c>
    </row>
    <row r="4">
      <c r="A4" s="20" t="inlineStr">
        <is>
          <t>Fair value per share: terminal cost of capital x terminal growth</t>
        </is>
      </c>
    </row>
    <row r="5">
      <c r="A5" s="5" t="inlineStr">
        <is>
          <t>terminal cost of capital \ terminal growth</t>
        </is>
      </c>
      <c r="B5" s="5" t="inlineStr">
        <is>
          <t>1.5%</t>
        </is>
      </c>
      <c r="C5" s="5" t="inlineStr">
        <is>
          <t>2.0%</t>
        </is>
      </c>
      <c r="D5" s="5" t="inlineStr">
        <is>
          <t>2.5%</t>
        </is>
      </c>
      <c r="E5" s="5" t="inlineStr">
        <is>
          <t>3.0%</t>
        </is>
      </c>
      <c r="F5" s="5" t="inlineStr">
        <is>
          <t>3.5%</t>
        </is>
      </c>
    </row>
    <row r="6">
      <c r="A6" s="6" t="inlineStr">
        <is>
          <t>6.67%</t>
        </is>
      </c>
      <c r="B6" s="7" t="n">
        <v>4.563727371978012</v>
      </c>
      <c r="C6" s="7" t="n">
        <v>4.826833817314236</v>
      </c>
      <c r="D6" s="7" t="n">
        <v>5.151250713834374</v>
      </c>
      <c r="E6" s="7" t="n">
        <v>5.562052885138246</v>
      </c>
      <c r="F6" s="7" t="n">
        <v>6.100146969325265</v>
      </c>
    </row>
    <row r="7">
      <c r="A7" s="6" t="inlineStr">
        <is>
          <t>7.67%</t>
        </is>
      </c>
      <c r="B7" s="7" t="n">
        <v>3.844894063371688</v>
      </c>
      <c r="C7" s="7" t="n">
        <v>4.002252033552121</v>
      </c>
      <c r="D7" s="7" t="n">
        <v>4.188636361804018</v>
      </c>
      <c r="E7" s="7" t="n">
        <v>4.413374983406841</v>
      </c>
      <c r="F7" s="7" t="n">
        <v>4.690272186155007</v>
      </c>
    </row>
    <row r="8">
      <c r="A8" s="6" t="inlineStr">
        <is>
          <t>8.67%</t>
        </is>
      </c>
      <c r="B8" s="7" t="n">
        <v>3.328204707597294</v>
      </c>
      <c r="C8" s="7" t="n">
        <v>3.426565626328664</v>
      </c>
      <c r="D8" s="7" t="n">
        <v>3.539716388425919</v>
      </c>
      <c r="E8" s="7" t="n">
        <v>3.671571273184506</v>
      </c>
      <c r="F8" s="7" t="n">
        <v>3.827559476465596</v>
      </c>
    </row>
    <row r="9">
      <c r="A9" s="6" t="inlineStr">
        <is>
          <t>9.67%</t>
        </is>
      </c>
      <c r="B9" s="7" t="n">
        <v>2.939350044427541</v>
      </c>
      <c r="C9" s="7" t="n">
        <v>3.002332932445859</v>
      </c>
      <c r="D9" s="7" t="n">
        <v>3.073135682640569</v>
      </c>
      <c r="E9" s="7" t="n">
        <v>3.153517504517958</v>
      </c>
      <c r="F9" s="7" t="n">
        <v>3.245808071052985</v>
      </c>
    </row>
    <row r="10">
      <c r="A10" s="6" t="inlineStr">
        <is>
          <t>10.67%</t>
        </is>
      </c>
      <c r="B10" s="7" t="n">
        <v>2.636446054689363</v>
      </c>
      <c r="C10" s="7" t="n">
        <v>2.677083058851147</v>
      </c>
      <c r="D10" s="7" t="n">
        <v>2.721871308489303</v>
      </c>
      <c r="E10" s="7" t="n">
        <v>2.771622899645585</v>
      </c>
      <c r="F10" s="7" t="n">
        <v>2.827376528723581</v>
      </c>
    </row>
    <row r="12">
      <c r="A12" s="20" t="inlineStr">
        <is>
          <t>Fair value per share: explicit x terminal cost of capital</t>
        </is>
      </c>
    </row>
    <row r="13">
      <c r="A13" s="5" t="inlineStr">
        <is>
          <t>explicit \ terminal</t>
        </is>
      </c>
      <c r="B13" s="5" t="inlineStr">
        <is>
          <t>6.67%</t>
        </is>
      </c>
      <c r="C13" s="5" t="inlineStr">
        <is>
          <t>7.67%</t>
        </is>
      </c>
      <c r="D13" s="5" t="inlineStr">
        <is>
          <t>8.67%</t>
        </is>
      </c>
      <c r="E13" s="5" t="inlineStr">
        <is>
          <t>9.67%</t>
        </is>
      </c>
      <c r="F13" s="5" t="inlineStr">
        <is>
          <t>10.67%</t>
        </is>
      </c>
    </row>
    <row r="14">
      <c r="A14" s="6" t="inlineStr">
        <is>
          <t>7.21%</t>
        </is>
      </c>
      <c r="B14" s="7" t="n">
        <v>5.304018537245045</v>
      </c>
      <c r="C14" s="7" t="n">
        <v>4.309353735514492</v>
      </c>
      <c r="D14" s="7" t="n">
        <v>3.63883720038445</v>
      </c>
      <c r="E14" s="7" t="n">
        <v>3.156735978743524</v>
      </c>
      <c r="F14" s="7" t="n">
        <v>2.793793397486388</v>
      </c>
    </row>
    <row r="15">
      <c r="A15" s="6" t="inlineStr">
        <is>
          <t>8.21%</t>
        </is>
      </c>
      <c r="B15" s="7" t="n">
        <v>5.226747607739238</v>
      </c>
      <c r="C15" s="7" t="n">
        <v>4.248294800245155</v>
      </c>
      <c r="D15" s="7" t="n">
        <v>3.588702352857153</v>
      </c>
      <c r="E15" s="7" t="n">
        <v>3.114451765271498</v>
      </c>
      <c r="F15" s="7" t="n">
        <v>2.757416260096355</v>
      </c>
    </row>
    <row r="16">
      <c r="A16" s="6" t="inlineStr">
        <is>
          <t>9.21%</t>
        </is>
      </c>
      <c r="B16" s="7" t="n">
        <v>5.151250713834374</v>
      </c>
      <c r="C16" s="7" t="n">
        <v>4.188636361804018</v>
      </c>
      <c r="D16" s="7" t="n">
        <v>3.539716388425919</v>
      </c>
      <c r="E16" s="7" t="n">
        <v>3.073135682640569</v>
      </c>
      <c r="F16" s="7" t="n">
        <v>2.721871308489303</v>
      </c>
    </row>
    <row r="17">
      <c r="A17" s="6" t="inlineStr">
        <is>
          <t>10.21%</t>
        </is>
      </c>
      <c r="B17" s="7" t="n">
        <v>5.077474294187578</v>
      </c>
      <c r="C17" s="7" t="n">
        <v>4.13033617316109</v>
      </c>
      <c r="D17" s="7" t="n">
        <v>3.491844679320727</v>
      </c>
      <c r="E17" s="7" t="n">
        <v>3.032758574919082</v>
      </c>
      <c r="F17" s="7" t="n">
        <v>2.687133500795821</v>
      </c>
    </row>
    <row r="18">
      <c r="A18" s="6" t="inlineStr">
        <is>
          <t>11.21%</t>
        </is>
      </c>
      <c r="B18" s="7" t="n">
        <v>5.005366813033706</v>
      </c>
      <c r="C18" s="7" t="n">
        <v>4.073353583985758</v>
      </c>
      <c r="D18" s="7" t="n">
        <v>3.445053905711079</v>
      </c>
      <c r="E18" s="7" t="n">
        <v>2.993292386783587</v>
      </c>
      <c r="F18" s="7" t="n">
        <v>2.653178739906747</v>
      </c>
    </row>
    <row r="20">
      <c r="A20" s="20" t="inlineStr">
        <is>
          <t>Beta</t>
        </is>
      </c>
    </row>
    <row r="21">
      <c r="A21" s="5" t="inlineStr"/>
      <c r="B21" s="5" t="inlineStr">
        <is>
          <t>0.85</t>
        </is>
      </c>
      <c r="C21" s="5" t="inlineStr">
        <is>
          <t>0.95</t>
        </is>
      </c>
      <c r="D21" s="5" t="inlineStr">
        <is>
          <t>1.086</t>
        </is>
      </c>
      <c r="E21" s="5" t="inlineStr">
        <is>
          <t>1.2</t>
        </is>
      </c>
      <c r="F21" s="5" t="inlineStr">
        <is>
          <t>1.35</t>
        </is>
      </c>
    </row>
    <row r="22">
      <c r="A22" s="6" t="inlineStr">
        <is>
          <t>Fair value per share (AED)</t>
        </is>
      </c>
      <c r="B22" s="7" t="n">
        <v>4.257253763870267</v>
      </c>
      <c r="C22" s="7" t="n">
        <v>3.920913618442269</v>
      </c>
      <c r="D22" s="7" t="n">
        <v>3.539716388425919</v>
      </c>
      <c r="E22" s="7" t="n">
        <v>3.272618534148231</v>
      </c>
      <c r="F22" s="7" t="n">
        <v>2.976910757184894</v>
      </c>
    </row>
    <row r="24">
      <c r="A24" s="20" t="inlineStr">
        <is>
          <t>Fuel cost per passenger (multiplier on the base path)</t>
        </is>
      </c>
    </row>
    <row r="25">
      <c r="A25" s="5" t="inlineStr"/>
      <c r="B25" s="5" t="inlineStr">
        <is>
          <t>0.85</t>
        </is>
      </c>
      <c r="C25" s="5" t="inlineStr">
        <is>
          <t>0.925</t>
        </is>
      </c>
      <c r="D25" s="5" t="inlineStr">
        <is>
          <t>1.0</t>
        </is>
      </c>
      <c r="E25" s="5" t="inlineStr">
        <is>
          <t>1.075</t>
        </is>
      </c>
      <c r="F25" s="5" t="inlineStr">
        <is>
          <t>1.15</t>
        </is>
      </c>
    </row>
    <row r="26">
      <c r="A26" s="6" t="inlineStr">
        <is>
          <t>Fair value per share (AED)</t>
        </is>
      </c>
      <c r="B26" s="7" t="n">
        <v>4.772475002449729</v>
      </c>
      <c r="C26" s="7" t="n">
        <v>4.14253923376319</v>
      </c>
      <c r="D26" s="7" t="n">
        <v>3.512603465076654</v>
      </c>
      <c r="E26" s="7" t="n">
        <v>2.882667696390122</v>
      </c>
      <c r="F26" s="7" t="n">
        <v>2.252731927703584</v>
      </c>
    </row>
    <row r="28">
      <c r="A28" s="20" t="inlineStr">
        <is>
          <t>Passenger volumes (multiplier)</t>
        </is>
      </c>
    </row>
    <row r="29">
      <c r="A29" s="5" t="inlineStr"/>
      <c r="B29" s="5" t="inlineStr">
        <is>
          <t>0.9</t>
        </is>
      </c>
      <c r="C29" s="5" t="inlineStr">
        <is>
          <t>0.95</t>
        </is>
      </c>
      <c r="D29" s="5" t="inlineStr">
        <is>
          <t>1.0</t>
        </is>
      </c>
      <c r="E29" s="5" t="inlineStr">
        <is>
          <t>1.05</t>
        </is>
      </c>
      <c r="F29" s="5" t="inlineStr">
        <is>
          <t>1.1</t>
        </is>
      </c>
    </row>
    <row r="30">
      <c r="A30" s="6" t="inlineStr">
        <is>
          <t>Fair value per share (AED)</t>
        </is>
      </c>
      <c r="B30" s="7" t="n">
        <v>2.837389090760229</v>
      </c>
      <c r="C30" s="7" t="n">
        <v>3.174996277918442</v>
      </c>
      <c r="D30" s="7" t="n">
        <v>3.512603465076654</v>
      </c>
      <c r="E30" s="7" t="n">
        <v>3.850210652234865</v>
      </c>
      <c r="F30" s="7" t="n">
        <v>4.187817839393076</v>
      </c>
    </row>
    <row r="32">
      <c r="A32" s="20" t="inlineStr">
        <is>
          <t>Fare per passenger (multiplier)</t>
        </is>
      </c>
    </row>
    <row r="33">
      <c r="A33" s="5" t="inlineStr"/>
      <c r="B33" s="5" t="inlineStr">
        <is>
          <t>0.94</t>
        </is>
      </c>
      <c r="C33" s="5" t="inlineStr">
        <is>
          <t>0.97</t>
        </is>
      </c>
      <c r="D33" s="5" t="inlineStr">
        <is>
          <t>1.0</t>
        </is>
      </c>
      <c r="E33" s="5" t="inlineStr">
        <is>
          <t>1.03</t>
        </is>
      </c>
      <c r="F33" s="5" t="inlineStr">
        <is>
          <t>1.06</t>
        </is>
      </c>
    </row>
    <row r="34">
      <c r="A34" s="6" t="inlineStr">
        <is>
          <t>Fair value per share (AED)</t>
        </is>
      </c>
      <c r="B34" s="7" t="n">
        <v>2.030923191697147</v>
      </c>
      <c r="C34" s="7" t="n">
        <v>2.7717633283869</v>
      </c>
      <c r="D34" s="7" t="n">
        <v>3.512603465076654</v>
      </c>
      <c r="E34" s="7" t="n">
        <v>4.253443601766409</v>
      </c>
      <c r="F34" s="7" t="n">
        <v>4.994283738456162</v>
      </c>
    </row>
    <row r="36">
      <c r="A36" s="20" t="inlineStr">
        <is>
          <t>Fleet capex (multiplier)</t>
        </is>
      </c>
    </row>
    <row r="37">
      <c r="A37" s="5" t="inlineStr"/>
      <c r="B37" s="5" t="inlineStr">
        <is>
          <t>0.8</t>
        </is>
      </c>
      <c r="C37" s="5" t="inlineStr">
        <is>
          <t>0.9</t>
        </is>
      </c>
      <c r="D37" s="5" t="inlineStr">
        <is>
          <t>1.0</t>
        </is>
      </c>
      <c r="E37" s="5" t="inlineStr">
        <is>
          <t>1.15</t>
        </is>
      </c>
      <c r="F37" s="5" t="inlineStr">
        <is>
          <t>1.3</t>
        </is>
      </c>
    </row>
    <row r="38">
      <c r="A38" s="6" t="inlineStr">
        <is>
          <t>Fair value per share (AED)</t>
        </is>
      </c>
      <c r="B38" s="7" t="n">
        <v>4.047106184932743</v>
      </c>
      <c r="C38" s="7" t="n">
        <v>3.779854825004699</v>
      </c>
      <c r="D38" s="7" t="n">
        <v>3.512603465076654</v>
      </c>
      <c r="E38" s="7" t="n">
        <v>3.111726425184587</v>
      </c>
      <c r="F38" s="7" t="n">
        <v>2.71084938529252</v>
      </c>
    </row>
    <row r="40">
      <c r="A40" s="20" t="inlineStr">
        <is>
          <t>JV network value in the bridge (AED mn)</t>
        </is>
      </c>
    </row>
    <row r="41">
      <c r="A41" s="5" t="inlineStr"/>
      <c r="B41" s="5" t="inlineStr">
        <is>
          <t>363</t>
        </is>
      </c>
      <c r="C41" s="5" t="inlineStr">
        <is>
          <t>1,520</t>
        </is>
      </c>
      <c r="D41" s="5" t="inlineStr">
        <is>
          <t>2,280</t>
        </is>
      </c>
      <c r="E41" s="5" t="inlineStr">
        <is>
          <t>2,850</t>
        </is>
      </c>
      <c r="F41" s="5" t="inlineStr">
        <is>
          <t>3,800</t>
        </is>
      </c>
    </row>
    <row r="42">
      <c r="A42" s="6" t="inlineStr">
        <is>
          <t>Fair value per share (AED)</t>
        </is>
      </c>
      <c r="B42" s="7" t="n">
        <v>3.512603465076654</v>
      </c>
      <c r="C42" s="7" t="n">
        <v>3.766451552378421</v>
      </c>
      <c r="D42" s="7" t="n">
        <v>3.933259599963986</v>
      </c>
      <c r="E42" s="7" t="n">
        <v>4.05836563565316</v>
      </c>
      <c r="F42" s="7" t="n">
        <v>4.266875695135115</v>
      </c>
    </row>
    <row r="44">
      <c r="A44" s="20" t="inlineStr">
        <is>
          <t>Working capital / revenue</t>
        </is>
      </c>
    </row>
    <row r="45">
      <c r="A45" s="5" t="inlineStr"/>
      <c r="B45" s="5" t="inlineStr">
        <is>
          <t>-58%</t>
        </is>
      </c>
      <c r="C45" s="5" t="inlineStr">
        <is>
          <t>-61%</t>
        </is>
      </c>
      <c r="D45" s="5" t="inlineStr">
        <is>
          <t>-64%</t>
        </is>
      </c>
      <c r="E45" s="5" t="inlineStr">
        <is>
          <t>-67%</t>
        </is>
      </c>
      <c r="F45" s="5" t="inlineStr">
        <is>
          <t>-70%</t>
        </is>
      </c>
    </row>
    <row r="46">
      <c r="A46" s="6" t="inlineStr">
        <is>
          <t>Fair value per share (AED)</t>
        </is>
      </c>
      <c r="B46" s="7" t="n">
        <v>3.34435094460545</v>
      </c>
      <c r="C46" s="7" t="n">
        <v>3.428477204841052</v>
      </c>
      <c r="D46" s="7" t="n">
        <v>3.512603465076654</v>
      </c>
      <c r="E46" s="7" t="n">
        <v>3.596729725312257</v>
      </c>
      <c r="F46" s="7" t="n">
        <v>3.680855985547858</v>
      </c>
    </row>
    <row r="48">
      <c r="A48" s="20" t="inlineStr">
        <is>
          <t>Published scenario driver vectors — type these into the Scenario cells on Assumptions to reproduce each pasted output LIVE in this workbook</t>
        </is>
      </c>
    </row>
    <row r="49">
      <c r="A49" s="5" t="inlineStr">
        <is>
          <t>Scenario</t>
        </is>
      </c>
      <c r="B49" s="5" t="inlineStr">
        <is>
          <t>Passenger x</t>
        </is>
      </c>
      <c r="C49" s="5" t="inlineStr">
        <is>
          <t>Fare x</t>
        </is>
      </c>
      <c r="D49" s="5" t="inlineStr">
        <is>
          <t>Fuel path</t>
        </is>
      </c>
      <c r="E49" s="5" t="inlineStr">
        <is>
          <t>Capex x</t>
        </is>
      </c>
      <c r="F49" s="5" t="inlineStr">
        <is>
          <t>Rate shift</t>
        </is>
      </c>
      <c r="G49" s="5" t="inlineStr">
        <is>
          <t>Terminal g</t>
        </is>
      </c>
      <c r="H49" s="5" t="inlineStr">
        <is>
          <t>Output (AED/sh)</t>
        </is>
      </c>
    </row>
    <row r="50">
      <c r="A50" s="6" t="inlineStr">
        <is>
          <t>High-fuel alternative</t>
        </is>
      </c>
      <c r="B50" s="23" t="n">
        <v>1</v>
      </c>
      <c r="C50" s="23" t="n">
        <v>1</v>
      </c>
      <c r="D50" s="46" t="inlineStr">
        <is>
          <t>alternative (switch=1)</t>
        </is>
      </c>
      <c r="E50" s="23" t="n">
        <v>1</v>
      </c>
      <c r="F50" s="46" t="inlineStr">
        <is>
          <t>0bp</t>
        </is>
      </c>
      <c r="G50" s="46" t="inlineStr">
        <is>
          <t>2.5%</t>
        </is>
      </c>
      <c r="H50" s="7" t="n">
        <v>1.855923186986279</v>
      </c>
    </row>
    <row r="51">
      <c r="A51" s="6" t="inlineStr">
        <is>
          <t>Bear</t>
        </is>
      </c>
      <c r="B51" s="23" t="n">
        <v>0.9399999999999999</v>
      </c>
      <c r="C51" s="23" t="n">
        <v>0.97</v>
      </c>
      <c r="D51" s="46" t="inlineStr">
        <is>
          <t>alternative (switch=1)</t>
        </is>
      </c>
      <c r="E51" s="23" t="n">
        <v>1.15</v>
      </c>
      <c r="F51" s="46" t="inlineStr">
        <is>
          <t>+100bp</t>
        </is>
      </c>
      <c r="G51" s="46" t="inlineStr">
        <is>
          <t>1.5%</t>
        </is>
      </c>
      <c r="H51" s="7" t="n">
        <v>0.4703575469948413</v>
      </c>
    </row>
    <row r="52">
      <c r="A52" s="6" t="inlineStr">
        <is>
          <t>Bull (JV capitalised)</t>
        </is>
      </c>
      <c r="B52" s="23" t="n">
        <v>1.05</v>
      </c>
      <c r="C52" s="23" t="n">
        <v>1.03</v>
      </c>
      <c r="D52" s="46" t="inlineStr">
        <is>
          <t>base (switch=0)</t>
        </is>
      </c>
      <c r="E52" s="23" t="n">
        <v>0.9</v>
      </c>
      <c r="F52" s="46" t="inlineStr">
        <is>
          <t>-100bp</t>
        </is>
      </c>
      <c r="G52" s="46" t="inlineStr">
        <is>
          <t>3.5%</t>
        </is>
      </c>
      <c r="H52" s="7" t="n">
        <v>7.228322439161341</v>
      </c>
    </row>
    <row r="53">
      <c r="A53" s="6" t="inlineStr">
        <is>
          <t>The bull additionally switches the SOTP Bridge to the JV-capitalised row. Every other figure in the workbook reprices live when the Scenario cells change.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Per-share figures and ratios — all formulas</t>
        </is>
      </c>
      <c r="B1" s="2" t="n"/>
      <c r="C1" s="2" t="n"/>
      <c r="D1" s="2" t="n"/>
      <c r="E1" s="2" t="n"/>
      <c r="F1" s="2" t="n"/>
      <c r="G1" s="2" t="n"/>
      <c r="H1" s="2" t="n"/>
    </row>
    <row r="4">
      <c r="A4" s="5" t="inlineStr">
        <is>
          <t>Per share (AED)</t>
        </is>
      </c>
      <c r="B4" s="5" t="inlineStr">
        <is>
          <t>FY2025</t>
        </is>
      </c>
      <c r="C4" s="5" t="inlineStr">
        <is>
          <t>FY2026E</t>
        </is>
      </c>
      <c r="D4" s="5" t="inlineStr">
        <is>
          <t>FY2028E</t>
        </is>
      </c>
      <c r="E4" s="5" t="inlineStr">
        <is>
          <t>FY2030E</t>
        </is>
      </c>
    </row>
    <row r="5">
      <c r="A5" s="6" t="inlineStr">
        <is>
          <t>Earnings per share</t>
        </is>
      </c>
      <c r="B5" s="8">
        <f>'Income Statement'!D21</f>
        <v/>
      </c>
      <c r="C5" s="8">
        <f>'Income Statement'!E21</f>
        <v/>
      </c>
      <c r="D5" s="8">
        <f>'Income Statement'!G21</f>
        <v/>
      </c>
      <c r="E5" s="8">
        <f>'Income Statement'!I21</f>
        <v/>
      </c>
    </row>
    <row r="6">
      <c r="A6" s="6" t="inlineStr">
        <is>
          <t>Dividend per share</t>
        </is>
      </c>
      <c r="B6" s="8">
        <f>Assumptions!$C$54</f>
        <v/>
      </c>
      <c r="C6" s="8">
        <f>'Cash Flow'!B15/Assumptions!$C$53</f>
        <v/>
      </c>
      <c r="D6" s="8">
        <f>'Cash Flow'!D15/Assumptions!$C$53</f>
        <v/>
      </c>
      <c r="E6" s="8">
        <f>'Cash Flow'!F15/Assumptions!$C$53</f>
        <v/>
      </c>
    </row>
    <row r="7">
      <c r="A7" s="6" t="inlineStr">
        <is>
          <t>Book value per share</t>
        </is>
      </c>
      <c r="B7" s="8">
        <f>Assumptions!$C$82/Assumptions!$C$53</f>
        <v/>
      </c>
      <c r="C7" s="8">
        <f>'Balance Sheet'!E15/Assumptions!$C$53</f>
        <v/>
      </c>
      <c r="D7" s="8">
        <f>'Balance Sheet'!G15/Assumptions!$C$53</f>
        <v/>
      </c>
      <c r="E7" s="8">
        <f>'Balance Sheet'!I15/Assumptions!$C$53</f>
        <v/>
      </c>
    </row>
    <row r="8">
      <c r="A8" s="6" t="inlineStr">
        <is>
          <t>Free cash flow to the firm per share</t>
        </is>
      </c>
      <c r="C8" s="8">
        <f>'Cash Flow'!B9/Assumptions!$C$53</f>
        <v/>
      </c>
      <c r="D8" s="8">
        <f>'Cash Flow'!D9/Assumptions!$C$53</f>
        <v/>
      </c>
      <c r="E8" s="8">
        <f>'Cash Flow'!F9/Assumptions!$C$53</f>
        <v/>
      </c>
    </row>
    <row r="9">
      <c r="A9" s="6" t="inlineStr">
        <is>
          <t>Net cash per share</t>
        </is>
      </c>
      <c r="B9" s="8">
        <f>'SOTP Bridge'!C6/Assumptions!$C$53</f>
        <v/>
      </c>
    </row>
    <row r="11">
      <c r="A11" s="5" t="inlineStr">
        <is>
          <t>At the spot price</t>
        </is>
      </c>
      <c r="B11" s="5" t="inlineStr"/>
      <c r="C11" s="5" t="inlineStr">
        <is>
          <t>Value</t>
        </is>
      </c>
    </row>
    <row r="12">
      <c r="A12" s="6" t="inlineStr">
        <is>
          <t>Trailing price/earnings</t>
        </is>
      </c>
      <c r="C12" s="40">
        <f>Assumptions!$C$52/'Income Statement'!D21</f>
        <v/>
      </c>
    </row>
    <row r="13">
      <c r="A13" s="6" t="inlineStr">
        <is>
          <t>Forward price/earnings (FY2027E)</t>
        </is>
      </c>
      <c r="C13" s="40">
        <f>Assumptions!$C$52/'Income Statement'!F21</f>
        <v/>
      </c>
    </row>
    <row r="14">
      <c r="A14" s="6" t="inlineStr">
        <is>
          <t>Price / book (FY2025)</t>
        </is>
      </c>
      <c r="C14" s="40">
        <f>Assumptions!$C$52/((Assumptions!$C$82)/Assumptions!$C$53)</f>
        <v/>
      </c>
    </row>
    <row r="15">
      <c r="A15" s="6" t="inlineStr">
        <is>
          <t>EV / EBITDA (trailing, incl. fees)</t>
        </is>
      </c>
      <c r="C15" s="40">
        <f>(DCF!C14+Assumptions!$C$75-Assumptions!$C$76)/('Income Statement'!D9+'Income Statement'!D12)</f>
        <v/>
      </c>
    </row>
    <row r="16">
      <c r="A16" s="6" t="inlineStr">
        <is>
          <t>Dividend yield (FY2025 dividend at spot)</t>
        </is>
      </c>
      <c r="C16" s="11">
        <f>Assumptions!$C$54/Assumptions!$C$52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Peer frame — cross-check only, never a build source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Peer figures from public reporting and reputable aggregators, as dated; Air Arabia rows are live formulas.</t>
        </is>
      </c>
    </row>
    <row r="4">
      <c r="A4" s="5" t="inlineStr">
        <is>
          <t>Carrier</t>
        </is>
      </c>
      <c r="B4" s="5" t="inlineStr">
        <is>
          <t>Trailing P/E</t>
        </is>
      </c>
      <c r="C4" s="5" t="inlineStr">
        <is>
          <t>EV/EBITDA</t>
        </is>
      </c>
      <c r="D4" s="5" t="inlineStr">
        <is>
          <t>Basis / date</t>
        </is>
      </c>
    </row>
    <row r="5">
      <c r="A5" s="6" t="inlineStr">
        <is>
          <t>Ryanair</t>
        </is>
      </c>
      <c r="B5" s="28" t="n">
        <v>12.6</v>
      </c>
      <c r="C5" s="28" t="n">
        <v>7.81</v>
      </c>
      <c r="D5" s="6" t="inlineStr">
        <is>
          <t>TTM USD ADR, 09-Aug-2026 (aggregator)</t>
        </is>
      </c>
    </row>
    <row r="6">
      <c r="A6" s="6" t="inlineStr">
        <is>
          <t>easyJet</t>
        </is>
      </c>
      <c r="B6" s="28" t="n">
        <v>12.39</v>
      </c>
      <c r="C6" s="28" t="n">
        <v>3.48</v>
      </c>
      <c r="D6" s="6" t="inlineStr">
        <is>
          <t>TTM GBP, 07-Aug-2026 (aggregator)</t>
        </is>
      </c>
    </row>
    <row r="7">
      <c r="A7" s="6" t="inlineStr">
        <is>
          <t>IndiGo</t>
        </is>
      </c>
      <c r="B7" s="46" t="inlineStr">
        <is>
          <t>n/m</t>
        </is>
      </c>
      <c r="C7" s="28" t="n">
        <v>11.09</v>
      </c>
      <c r="D7" s="6" t="inlineStr">
        <is>
          <t>TTM INR, 09-Aug-2026; P/E n/m (FX loss year)</t>
        </is>
      </c>
    </row>
    <row r="8">
      <c r="A8" s="6" t="inlineStr">
        <is>
          <t>Pegasus</t>
        </is>
      </c>
      <c r="B8" s="28" t="n">
        <v>8.9</v>
      </c>
      <c r="C8" s="28" t="n">
        <v>6.58</v>
      </c>
      <c r="D8" s="6" t="inlineStr">
        <is>
          <t>TRY statutory basis — treat with caution</t>
        </is>
      </c>
    </row>
    <row r="9">
      <c r="A9" s="6" t="inlineStr">
        <is>
          <t>Wizz Air</t>
        </is>
      </c>
      <c r="B9" s="46" t="inlineStr">
        <is>
          <t>n/m</t>
        </is>
      </c>
      <c r="C9" s="46" t="inlineStr">
        <is>
          <t>n/m</t>
        </is>
      </c>
      <c r="D9" s="6" t="inlineStr">
        <is>
          <t>n/m — near-zero FY2026 earnings</t>
        </is>
      </c>
    </row>
    <row r="10">
      <c r="A10" s="6" t="inlineStr">
        <is>
          <t>Jazeera Airways</t>
        </is>
      </c>
      <c r="B10" s="28" t="n">
        <v>17.7</v>
      </c>
      <c r="C10" s="46" t="inlineStr">
        <is>
          <t>n/m</t>
        </is>
      </c>
      <c r="D10" s="6" t="inlineStr">
        <is>
          <t>computed: mcap / FY2025 net, KWD, 07-Aug-2026</t>
        </is>
      </c>
    </row>
    <row r="11">
      <c r="A11" s="6" t="inlineStr">
        <is>
          <t>Air transport sector (Damodaran, Jan-2026)</t>
        </is>
      </c>
      <c r="B11" s="28" t="n">
        <v>12.87</v>
      </c>
      <c r="C11" s="28" t="n">
        <v>7.58</v>
      </c>
      <c r="D11" s="6" t="inlineStr">
        <is>
          <t>profitable firms / positive-EBITDA firms</t>
        </is>
      </c>
    </row>
    <row r="12">
      <c r="A12" s="12" t="inlineStr">
        <is>
          <t>Air Arabia (live formulas)</t>
        </is>
      </c>
      <c r="B12" s="47">
        <f>Assumptions!$C$52/'Income Statement'!D21</f>
        <v/>
      </c>
      <c r="C12" s="47">
        <f>(DCF!C14+Assumptions!$C$75-Assumptions!$C$76)/('Income Statement'!D9+'Income Statement'!D12)</f>
        <v/>
      </c>
      <c r="D12" s="48" t="inlineStr">
        <is>
          <t>FY2025 audited, spot 07-Aug-2026</t>
        </is>
      </c>
    </row>
    <row r="14">
      <c r="A14" s="22" t="inlineStr">
        <is>
          <t>Justified multiples adopted: EV/EBITDA 7.5x (sector centre), P/E 13x (between the mature European carriers ~12.5x and Jazeera ~17.7x). Air Arabia trades above the peer set on both trailing multiples — the relative lens question is whether its net cash, franchise margin and growing JV network justify the premium.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2026-08-10T07:05:48Z</dcterms:created>
  <dcterms:modified xmlns:dcterms="http://purl.org/dc/terms/" xmlns:xsi="http://www.w3.org/2001/XMLSchema-instance" xsi:type="dcterms:W3CDTF">2026-08-10T07:05:48Z</dcterms:modified>
</cp:coreProperties>
</file>