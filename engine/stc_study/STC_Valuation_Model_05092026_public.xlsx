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43.86 (3 September 2026 close, the latest known price this study is
 struck against; the Monte Carlo cone starts at the last session in the price library, 31 August 2026, which is a
 different date and is stated as one).</t>
        </is>
      </c>
    </row>
    <row r="20">
      <c r="A20" s="3" t="inlineStr">
        <is>
          <t>Historical financials are the company’s own audited annual and reviewed interim statements, FY2023</t>
        </is>
      </c>
    </row>
    <row r="21">
      <c r="A21" s="3" t="inlineStr">
        <is>
          <t>onward, each fetched from its own investor-relations archive and listed with that URL in the study’s</t>
        </is>
      </c>
    </row>
    <row r="22">
      <c r="A22" s="3" t="inlineStr">
        <is>
          <t>bibliography. The balance sheet the bridge stands on is the reviewed interim to 30 June 2026.</t>
        </is>
      </c>
    </row>
    <row r="23">
      <c r="A23" s="3" t="inlineStr"/>
    </row>
    <row r="24">
      <c r="A24" s="3" t="inlineStr">
        <is>
          <t>Sheets: Summary · Fundamental Valuation · Assumptions · SOTP Bridge · Segments · Relative &amp; Normalized ·</t>
        </is>
      </c>
    </row>
    <row r="25">
      <c r="A25" s="3" t="inlineStr">
        <is>
          <t>DCF · Income Statement · Balance Sheet · Cash Flow · Summary Financials · Monte Carlo · Sensitivity ·</t>
        </is>
      </c>
    </row>
    <row r="26">
      <c r="A26"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The class primary is the central; the other lenses sit beside it as cross-checks and are never weighted into it. Base links live; bear and bull are the same model on one driver’s own filed range (study §1.5).</t>
        </is>
      </c>
    </row>
    <row r="5">
      <c r="A5" s="5" t="inlineStr"/>
      <c r="B5" s="5" t="inlineStr">
        <is>
          <t>Bear</t>
        </is>
      </c>
      <c r="C5" s="5" t="inlineStr">
        <is>
          <t>Base</t>
        </is>
      </c>
      <c r="D5" s="5" t="inlineStr">
        <is>
          <t>Bull</t>
        </is>
      </c>
      <c r="E5" s="5" t="inlineStr">
        <is>
          <t>Role</t>
        </is>
      </c>
    </row>
    <row r="6">
      <c r="A6" s="17" t="inlineStr">
        <is>
          <t>Discounted cash flow</t>
        </is>
      </c>
      <c r="B6" s="7" t="n">
        <v>37.3</v>
      </c>
      <c r="C6" s="29">
        <f>'SOTP Bridge'!C14</f>
        <v/>
      </c>
      <c r="D6" s="7" t="n">
        <v>39</v>
      </c>
      <c r="E6" s="16" t="inlineStr">
        <is>
          <t>THE CENTRAL</t>
        </is>
      </c>
    </row>
    <row r="7">
      <c r="A7" s="17" t="inlineStr">
        <is>
          <t>Dividend discount</t>
        </is>
      </c>
      <c r="B7" s="7" t="n">
        <v>29.2</v>
      </c>
      <c r="C7" s="29">
        <f>'SOTP Bridge'!C23</f>
        <v/>
      </c>
      <c r="D7" s="7" t="n">
        <v>49.6</v>
      </c>
      <c r="E7" s="6" t="inlineStr">
        <is>
          <t>cross-check</t>
        </is>
      </c>
    </row>
    <row r="8">
      <c r="A8" s="17" t="inlineStr">
        <is>
          <t>Enterprise multiple on own history</t>
        </is>
      </c>
      <c r="B8" s="7" t="n">
        <v>45.8</v>
      </c>
      <c r="C8" s="29">
        <f>'Relative &amp; Normalized'!C6</f>
        <v/>
      </c>
      <c r="D8" s="7" t="n">
        <v>49.9</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v>
      </c>
      <c r="D13" s="23" t="n">
        <v>48.08</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Cash-flow model (the class primary)</t>
        </is>
      </c>
      <c r="B6" s="29">
        <f>Summary!B6</f>
        <v/>
      </c>
      <c r="C6" s="29">
        <f>Summary!C6</f>
        <v/>
      </c>
      <c r="D6" s="29">
        <f>Summary!D6</f>
        <v/>
      </c>
    </row>
    <row r="7">
      <c r="A7" s="6" t="inlineStr">
        <is>
          <t>Dividend discount</t>
        </is>
      </c>
      <c r="B7" s="29">
        <f>Summary!B7</f>
        <v/>
      </c>
      <c r="C7" s="29">
        <f>Summary!C7</f>
        <v/>
      </c>
      <c r="D7" s="29">
        <f>Summary!D7</f>
        <v/>
      </c>
    </row>
    <row r="8">
      <c r="A8" s="6" t="inlineStr">
        <is>
          <t>Enterprise multiple on own history</t>
        </is>
      </c>
      <c r="B8" s="29">
        <f>Summary!B8</f>
        <v/>
      </c>
      <c r="C8" s="29">
        <f>Summary!C8</f>
        <v/>
      </c>
      <c r="D8" s="29">
        <f>Summary!D8</f>
        <v/>
      </c>
    </row>
    <row r="9">
      <c r="A9" s="6" t="inlineStr">
        <is>
          <t>Normalised earnings power</t>
        </is>
      </c>
      <c r="B9" s="29">
        <f>Summary!B9</f>
        <v/>
      </c>
      <c r="C9" s="29">
        <f>Summary!C9</f>
        <v/>
      </c>
      <c r="D9" s="29">
        <f>Summary!D9</f>
        <v/>
      </c>
    </row>
    <row r="10">
      <c r="A10" s="16" t="inlineStr">
        <is>
          <t>Book value — a disclosed floor, never weighted into an answer</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3921.206149602089</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14503.30474307932</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First-year scale onto the reviewed half (annualised)</t>
        </is>
      </c>
      <c r="C55" s="7" t="n">
        <v>1.006082103803541</v>
      </c>
      <c r="D55" s="7" t="n">
        <v>1</v>
      </c>
      <c r="E55" s="7" t="n">
        <v>1</v>
      </c>
      <c r="F55" s="7" t="n">
        <v>1</v>
      </c>
      <c r="G55" s="7" t="n">
        <v>1</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0.3205740707168828</v>
      </c>
      <c r="D58" s="10" t="n">
        <v>0.3197807704348273</v>
      </c>
      <c r="E58" s="10" t="n">
        <v>0.319055773120738</v>
      </c>
      <c r="F58" s="10" t="n">
        <v>0.318382960635945</v>
      </c>
      <c r="G58" s="10" t="n">
        <v>0.3177323370749691</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68">
      <c r="A68" t="inlineStr">
        <is>
          <t>Gross margin (% of revenue)</t>
        </is>
      </c>
      <c r="C68" s="10" t="n">
        <v>0.485</v>
      </c>
      <c r="D68" s="10" t="n">
        <v>0.485</v>
      </c>
      <c r="E68" s="10" t="n">
        <v>0.485</v>
      </c>
      <c r="F68" s="10" t="n">
        <v>0.485</v>
      </c>
      <c r="G68" s="10" t="n">
        <v>0.485</v>
      </c>
    </row>
    <row r="84">
      <c r="A84" s="5" t="inlineStr">
        <is>
          <t>WACC BUILD — FULL DETAIL &amp; SOURCING (feeds rows 9-17; reference only)</t>
        </is>
      </c>
    </row>
    <row r="85">
      <c r="A85" s="6" t="inlineStr">
        <is>
          <t>Risk-free rate — where the quote comes from</t>
        </is>
      </c>
      <c r="C85" s="8" t="inlineStr">
        <is>
          <t>One dated sovereign quote is held for every Saudi company this desk covers, so no single study carries a rate of its own: 5.52% as at 2026-09-03, less this sovereign’s own default spread of 0.98%, giving the normalised 4.54% the cost of equity is built on. Country risk is then charged once, inside the equity risk premium, rather than twice. The Saudi sovereign quote on the house macro path carries an as-of date of 31 July 2026 and this schedule is struck on 5 September 2026, so it is 36 days old against the 14-day bound. It is accepted DELIBERATELY and the age is disclosed here rather than used quietly; refreshing the path is a macro-path task that moves every Saudi study at once, not a lever inside this one.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A 4.91-year weekly regression of stc against the published index of the exchange it is listed on, the Tadawul All Share Index, read as of 2026-08-18: 252 paired weeks on that exchange’s own trading week, beta 0.7078, standard error 0.1029, R² 30.2%, and a confidence interval running 0.5386 to 0.8771. It is the first tier of the house preference order rather than a stopgap. A superseded reading of 0.4800, taken from a nine-week daily window on a commercial vendor’s index quotes, is recorded in the bibliography and is not used. Sensitivity: at a beta of 1.00 the cost of equity is 10.26% and the cost of capital 9.64%, which the beta grid on the Sensitivity sheet prices in full.</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Market-value equity, never book: the latest known close of SAR 43.86 on 2026-09-03 times 4,993,024 thousand shares outstanding — issued capital of SAR 50,000,000 thousand in shares of SAR 10 each, which divides to the 5,000,000 thousand shares note 17 of the reviewed 30 June 2026 interim itself states, less 6,976 thousand held in treasury. Debt is the borrowings total from the LATEST DISCLOSED balance sheet, 30 June 2026, SAR 23,536,554 thousand, which reproduces from the same interim's own financing cash flows to twelve basis points. E/(D+E) = 90.3%.</t>
        </is>
      </c>
    </row>
    <row r="92">
      <c r="A92" s="6" t="inlineStr">
        <is>
          <t>Both premium bases</t>
        </is>
      </c>
      <c r="C92" s="8" t="inlineStr">
        <is>
          <t>The cost of capital is built the same way for every market this desk covers: the sovereign yield for the country, less that same sovereign’s own default spread so country risk is charged once rather than twice, plus beta times an equity risk premium published for Saudi Arabia specifically. Both premium bases are published — 5.72% central and 5.01% on the alternative — giving costs of capital of 8.13% and 8.10%, so the choice is visible rather than made silently.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t>
        </is>
      </c>
      <c r="B7" s="8" t="inlineStr">
        <is>
          <t>% of core enterprise value</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on the disclosed stake</t>
        </is>
      </c>
      <c r="C9" s="19">
        <f>Assumptions!$B$21</f>
        <v/>
      </c>
    </row>
    <row r="10">
      <c r="A10" s="6" t="inlineStr">
        <is>
          <t>+ Investment funds and unlisted equity investments</t>
        </is>
      </c>
      <c r="B10" s="8" t="inlineStr">
        <is>
          <t>At fair value</t>
        </is>
      </c>
      <c r="C10" s="19">
        <f>Assumptions!$B$22</f>
        <v/>
      </c>
    </row>
    <row r="11">
      <c r="A11" s="6" t="inlineStr">
        <is>
          <t>− Net debt</t>
        </is>
      </c>
      <c r="B11" s="8" t="inlineStr">
        <is>
          <t>Total borrowings less cash, on the 30 June 2026 reviewed sheet</t>
        </is>
      </c>
      <c r="C11" s="19">
        <f>-Assumptions!$B$23</f>
        <v/>
      </c>
    </row>
    <row r="12">
      <c r="A12" s="6" t="inlineStr">
        <is>
          <t>− Non-controlling interests</t>
        </is>
      </c>
      <c r="B12" s="8" t="inlineStr">
        <is>
          <t>At the minority’s share of equity value, not at book</t>
        </is>
      </c>
      <c r="C12" s="19">
        <f>-Assumptions!$B$24</f>
        <v/>
      </c>
    </row>
    <row r="13">
      <c r="A13" s="16" t="inlineStr">
        <is>
          <t>Equity value</t>
        </is>
      </c>
      <c r="B13" s="6" t="inlineStr"/>
      <c r="C13" s="25">
        <f>C6+Assumptions!$B$20+Assumptions!$B$21+Assumptions!$B$22-Assumptions!$B$23-Assumptions!$B$24</f>
        <v/>
      </c>
    </row>
    <row r="14">
      <c r="A14" s="16" t="inlineStr">
        <is>
          <t>DCF fair value per share (SAR)</t>
        </is>
      </c>
      <c r="B14" s="6" t="inlineStr"/>
      <c r="C14" s="30">
        <f>C13/Assumptions!$B$6</f>
        <v/>
      </c>
    </row>
    <row r="15">
      <c r="A15" s="16" t="inlineStr">
        <is>
          <t>Upside / (downside) vs spot</t>
        </is>
      </c>
      <c r="B15" s="6" t="inlineStr"/>
      <c r="C15" s="32">
        <f>C14/Assumptions!$B$5-1</f>
        <v/>
      </c>
    </row>
    <row r="17">
      <c r="A17" s="5" t="inlineStr">
        <is>
          <t>DDM — the locked dividend policy as a lens</t>
        </is>
      </c>
    </row>
    <row r="18">
      <c r="A18" s="16" t="inlineStr">
        <is>
          <t>DPS (SAR)</t>
        </is>
      </c>
      <c r="C18" s="29">
        <f>Assumptions!C26</f>
        <v/>
      </c>
      <c r="D18" s="29">
        <f>Assumptions!D26</f>
        <v/>
      </c>
      <c r="E18" s="29">
        <f>Assumptions!E26</f>
        <v/>
      </c>
      <c r="F18" s="29">
        <f>Assumptions!F26</f>
        <v/>
      </c>
      <c r="G18" s="29">
        <f>Assumptions!G26</f>
        <v/>
      </c>
    </row>
    <row r="19">
      <c r="A19" s="6" t="inlineStr">
        <is>
          <t>PV of DPS @ Ke</t>
        </is>
      </c>
      <c r="C19" s="26">
        <f>C18/(1+Assumptions!$B$13)^1</f>
        <v/>
      </c>
      <c r="D19" s="26">
        <f>D18/(1+Assumptions!$B$13)^2</f>
        <v/>
      </c>
      <c r="E19" s="26">
        <f>E18/(1+Assumptions!$B$13)^3</f>
        <v/>
      </c>
      <c r="F19" s="26">
        <f>F18/(1+Assumptions!$B$13)^4</f>
        <v/>
      </c>
      <c r="G19" s="26">
        <f>G18/(1+Assumptions!$B$13)^5</f>
        <v/>
      </c>
    </row>
    <row r="20">
      <c r="A20" s="17" t="inlineStr">
        <is>
          <t>Σ PV of explicit DPS (FY26–30E)</t>
        </is>
      </c>
      <c r="C20" s="26">
        <f>SUM(C19:G19)</f>
        <v/>
      </c>
    </row>
    <row r="21">
      <c r="A21" s="17" t="inlineStr">
        <is>
          <t>Terminal value = DPS30 × (1+g) / (Ke − g)</t>
        </is>
      </c>
      <c r="C21" s="26">
        <f>G18*(1+Assumptions!$B$27)/(Assumptions!$B$13-Assumptions!$B$27)</f>
        <v/>
      </c>
    </row>
    <row r="22">
      <c r="A22" s="17" t="inlineStr">
        <is>
          <t>PV of terminal value</t>
        </is>
      </c>
      <c r="C22" s="26">
        <f>C21/(1+Assumptions!$B$13)^5</f>
        <v/>
      </c>
    </row>
    <row r="23">
      <c r="A23" s="16" t="inlineStr">
        <is>
          <t>DDM fair value per share (SAR)</t>
        </is>
      </c>
      <c r="C23" s="23">
        <f>C20+C22</f>
        <v/>
      </c>
    </row>
    <row r="24">
      <c r="A24" s="17" t="inlineStr">
        <is>
          <t xml:space="preserve">  terminal as a share of the dividend-model value</t>
        </is>
      </c>
      <c r="C24" s="18">
        <f>C22/C23</f>
        <v/>
      </c>
    </row>
    <row r="26">
      <c r="A26" s="8" t="inlineStr">
        <is>
          <t>What the market is paying, read off this sheet: at the spot price the market values the whole equity above what these lines add to, and the difference is the disagreement section 4 of the study takes apart. The regular dividend is covered 1.06 to 1.24 times by first-year model free cash flow across the range of capital intensity this company own three filed years actually ran — covered throughout that range, so the question is whether the data-centre build takes intensity above anything it has yet run.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12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15407.07760876889</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enterprise value</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on the 30 June 2026 reviewed sheet</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a share of enterprise value above rather than blended away.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E6*Assumptions!$C$68</f>
        <v/>
      </c>
      <c r="F7" s="17">
        <f>F6*Assumptions!$D$68</f>
        <v/>
      </c>
      <c r="G7" s="17">
        <f>G6*Assumptions!$E$68</f>
        <v/>
      </c>
      <c r="H7" s="17">
        <f>H6*Assumptions!$F$68</f>
        <v/>
      </c>
      <c r="I7" s="17">
        <f>I6*Assumptions!$G$68</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 the filings every figure above was read out of: audited consolidated financial statements for the year ended 31 December 2024; audited consolidated financial statements for the year ended 31 December 2025; reviewed condensed consolidated interim financial statements for the six months ended 30 June 2026; fourth-quarter and full-year 2025 earnings presentation; second-quarter and half-year 2026 earnings presentation — every one fetched from the company's own investor-relations archive.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the company's own statements into one layout (blue).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the FY2025 line detail is grouped from that year's own audited statements (property and equipment, right-of-use assets, intangibles and investment property into one line; cash and short-term murabahas into another). FY23/FY24 detail lines are groupings that reconcile to the disclosed totals (blue totals are as disclosed); "Other" lines are the balancing items against those totals, shown as formulas so a reader can see them close.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the price cone as the engine struck it</t>
        </is>
      </c>
      <c r="B1" s="2" t="n"/>
      <c r="C1" s="2" t="n"/>
      <c r="D1" s="2" t="n"/>
      <c r="E1" s="2" t="n"/>
      <c r="F1" s="2" t="n"/>
      <c r="G1" s="2" t="n"/>
      <c r="H1" s="2" t="n"/>
    </row>
    <row r="2">
      <c r="A2" s="4" t="inlineStr">
        <is>
          <t>50,000 paths, seed 42, computed by the engine itself rather than simulated in this sheet. The distribution carries a live momentum lean, upward, worth 0.13% at one month and 0.24% at three.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cost-of-capital axis centres on the sourced bottom-up build — a normalised risk-free rate of 4.54% plus a beta of 0.7078 times the 5.72% premium this study names as central, blended with an after-tax cost of debt of 3.89% at a 9.7% debt weight. On the alternative premium basis, published beside the central one rather than chosen silently, the same build gives 8.10%. At a beta of 1.00 the rate is 9.64%, which sits off this grid deliberately and is priced in the beta grid below.</t>
        </is>
      </c>
    </row>
    <row r="14">
      <c r="A14" s="5" t="inlineStr">
        <is>
          <t>Beta sensitivity — the regression gives 0.7078 and the grid prices the answer either side of it</t>
        </is>
      </c>
    </row>
    <row r="15">
      <c r="A15" s="16" t="inlineStr">
        <is>
          <t>beta</t>
        </is>
      </c>
      <c r="B15" s="16" t="inlineStr">
        <is>
          <t>Cost of equity (central premium basis)</t>
        </is>
      </c>
      <c r="C15" s="16" t="inlineStr">
        <is>
          <t>Cost of capital</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0.5</v>
      </c>
      <c r="B17" s="18">
        <f>Assumptions!$B$10+A17*Assumptions!$B$12</f>
        <v/>
      </c>
      <c r="C17" s="18">
        <f>(1-Assumptions!$B$16)*B17+Assumptions!$B$16*Assumptions!$B$15</f>
        <v/>
      </c>
      <c r="D17" s="26">
        <f>(SUMPRODUCT(DCF!$B$14:$F$14,1/(1+C17)^{1,2,3,4,5})+DCF!$F$14*(1+Assumptions!$B$18)/(C17-Assumptions!$B$18)/(1+C17)^5+Assumptions!$B$20+Assumptions!$B$21-Assumptions!$B$23-Assumptions!$B$24)/Assumptions!$B$6</f>
        <v/>
      </c>
    </row>
    <row r="18">
      <c r="A18" s="7" t="n">
        <v>0.7078292485042049</v>
      </c>
      <c r="B18" s="18">
        <f>Assumptions!$B$10+A18*Assumptions!$B$12</f>
        <v/>
      </c>
      <c r="C18" s="18">
        <f>(1-Assumptions!$B$16)*B18+Assumptions!$B$16*Assumptions!$B$15</f>
        <v/>
      </c>
      <c r="D18" s="26">
        <f>(SUMPRODUCT(DCF!$B$14:$F$14,1/(1+C18)^{1,2,3,4,5})+DCF!$F$14*(1+Assumptions!$B$18)/(C18-Assumptions!$B$18)/(1+C18)^5+Assumptions!$B$20+Assumptions!$B$21-Assumptions!$B$23-Assumptions!$B$24)/Assumptions!$B$6</f>
        <v/>
      </c>
      <c r="E18" s="8" t="inlineStr">
        <is>
          <t>&lt;- the adopted regression beta</t>
        </is>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the fallback this desk would have used had the regression not been usable</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t>
        </is>
      </c>
      <c r="B1" s="2" t="n"/>
      <c r="C1" s="2" t="n"/>
      <c r="D1" s="2" t="n"/>
      <c r="E1" s="2" t="n"/>
      <c r="F1" s="2" t="n"/>
      <c r="G1" s="2" t="n"/>
      <c r="H1" s="2" t="n"/>
      <c r="I1" s="2" t="n"/>
      <c r="J1" s="2" t="n"/>
    </row>
    <row r="2">
      <c r="A2" s="4" t="inlineStr">
        <is>
          <t>Every line links to the statements and the assumptions behind them.</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2026-09-05T13:41:51Z</dcterms:created>
  <dcterms:modified xmlns:dcterms="http://purl.org/dc/terms/" xmlns:xsi="http://www.w3.org/2001/XMLSchema-instance" xsi:type="dcterms:W3CDTF">2026-09-05T13:41:52Z</dcterms:modified>
</cp:coreProperties>
</file>