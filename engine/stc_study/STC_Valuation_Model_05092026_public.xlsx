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quot;-&quot;"/>
    <numFmt numFmtId="165" formatCode="0.0%;(0.0%);&quot;-&quot;"/>
    <numFmt numFmtId="166" formatCode="0.00%;(0.00%);&quot;-&quot;"/>
    <numFmt numFmtId="167" formatCode="0.0000"/>
    <numFmt numFmtId="168" formatCode="0.00x"/>
    <numFmt numFmtId="169" formatCode="0.000"/>
  </numFmts>
  <fonts count="12">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color rgb="00008000"/>
    </font>
    <font>
      <b val="1"/>
      <color rgb="000000FF"/>
    </font>
    <font>
      <b val="1"/>
      <color rgb="00008000"/>
    </font>
    <font>
      <b val="1"/>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8" fontId="6" fillId="0" borderId="0" pivotButton="0" quotePrefix="0" xfId="0"/>
    <xf numFmtId="49" fontId="6" fillId="0" borderId="0" pivotButton="0" quotePrefix="0" xfId="0"/>
    <xf numFmtId="0" fontId="4" fillId="0" borderId="0" pivotButton="0" quotePrefix="0" xfId="0"/>
    <xf numFmtId="164" fontId="5" fillId="0" borderId="0" pivotButton="0" quotePrefix="0" xfId="0"/>
    <xf numFmtId="165" fontId="5" fillId="0" borderId="0" pivotButton="0" quotePrefix="0" xfId="0"/>
    <xf numFmtId="164" fontId="8" fillId="0" borderId="0" pivotButton="0" quotePrefix="0" xfId="0"/>
    <xf numFmtId="164" fontId="4" fillId="0" borderId="0" pivotButton="0" quotePrefix="0" xfId="0"/>
    <xf numFmtId="169" fontId="5" fillId="0" borderId="0" pivotButton="0" quotePrefix="0" xfId="0"/>
    <xf numFmtId="165" fontId="4" fillId="0" borderId="0" pivotButton="0" quotePrefix="0" xfId="0"/>
    <xf numFmtId="2" fontId="4" fillId="0" borderId="0" pivotButton="0" quotePrefix="0" xfId="0"/>
    <xf numFmtId="164" fontId="9" fillId="0" borderId="0" pivotButton="0" quotePrefix="0" xfId="0"/>
    <xf numFmtId="164" fontId="10" fillId="0" borderId="0" pivotButton="0" quotePrefix="0" xfId="0"/>
    <xf numFmtId="2" fontId="5" fillId="0" borderId="0" pivotButton="0" quotePrefix="0" xfId="0"/>
    <xf numFmtId="164" fontId="11" fillId="0" borderId="0" pivotButton="0" quotePrefix="0" xfId="0"/>
    <xf numFmtId="164" fontId="0" fillId="0" borderId="0" pivotButton="0" quotePrefix="0" xfId="0"/>
    <xf numFmtId="2" fontId="8" fillId="0" borderId="0" pivotButton="0" quotePrefix="0" xfId="0"/>
    <xf numFmtId="2" fontId="10" fillId="0" borderId="0" pivotButton="0" quotePrefix="0" xfId="0"/>
    <xf numFmtId="165" fontId="8" fillId="0" borderId="0" pivotButton="0" quotePrefix="0" xfId="0"/>
    <xf numFmtId="165" fontId="10" fillId="0" borderId="0" pivotButton="0" quotePrefix="0" xfId="0"/>
    <xf numFmtId="168" fontId="5" fillId="0" borderId="0" pivotButton="0" quotePrefix="0" xfId="0"/>
    <xf numFmtId="0" fontId="4" fillId="4" borderId="0" pivotButton="0" quotePrefix="0" xfId="0"/>
    <xf numFmtId="49" fontId="5" fillId="0" borderId="0" pivotButton="0" quotePrefix="0" xfId="0"/>
    <xf numFmtId="165" fontId="4" fillId="3" borderId="0" pivotButton="0" quotePrefix="0" xfId="0"/>
    <xf numFmtId="165"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118"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Saudi Telecom Company (Tadawul: 7010)</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stc valuation study. Every blue cell is an input; every</t>
        </is>
      </c>
    </row>
    <row r="6">
      <c r="A6" s="3" t="inlineStr">
        <is>
          <t>black cell is a formula; green cells link across sheets. All inputs live on the Assumptions sheet — change one</t>
        </is>
      </c>
    </row>
    <row r="7">
      <c r="A7" s="3" t="inlineStr">
        <is>
          <t>(the EBITDA margin path, capex intensity, the beta, terminal growth, a stake mark) and the whole model reprices.</t>
        </is>
      </c>
    </row>
    <row r="8">
      <c r="A8" s="3" t="inlineStr"/>
    </row>
    <row r="9">
      <c r="A9" s="3" t="inlineStr">
        <is>
          <t>What it is not. It is not investment advice, a recommendation, or a price target. Values are model outputs shown</t>
        </is>
      </c>
    </row>
    <row r="10">
      <c r="A10" s="3" t="inlineStr">
        <is>
          <t>as ranges. The preparer is not licensed by any securities regulator and may hold a position in the security.</t>
        </is>
      </c>
    </row>
    <row r="11">
      <c r="A11" s="3" t="inlineStr"/>
    </row>
    <row r="12">
      <c r="A12" s="3" t="inlineStr">
        <is>
          <t>Entity note. Saudi Telecom Company (stc Group) is the Kingdom’s incumbent operator: stc KSA (consumer,</t>
        </is>
      </c>
    </row>
    <row r="13">
      <c r="A13" s="3" t="inlineStr">
        <is>
          <t>enterprise, wholesale) plus subsidiaries — solutions by stc (79%, listed 7202), stc bank (85%, SAMA-licensed</t>
        </is>
      </c>
    </row>
    <row r="14">
      <c r="A14" s="3" t="inlineStr">
        <is>
          <t>Jan-2025), stc Kuwait (51.8%), stc Bahrain (100%), center3 (data centres), sirar, iot squared (50% PIF JV) —</t>
        </is>
      </c>
    </row>
    <row r="15">
      <c r="A15" s="3" t="inlineStr">
        <is>
          <t>and minority stakes: 43.06% of Digital Infrastructure Co (TAWAL+GLIC towers, PIF-controlled) and 9.97% of</t>
        </is>
      </c>
    </row>
    <row r="16">
      <c r="A16" s="3" t="inlineStr">
        <is>
          <t>Telefónica. House lens: going-concern FCFF DCF (primary), cross-checked by the dividend-policy DDM,</t>
        </is>
      </c>
    </row>
    <row r="17">
      <c r="A17" s="3" t="inlineStr">
        <is>
          <t>relative multiples and normalized earnings; the tower and Telefónica stakes are bridge items marked separately.</t>
        </is>
      </c>
    </row>
    <row r="18">
      <c r="A18" s="3" t="inlineStr"/>
    </row>
    <row r="19">
      <c r="A19" s="3" t="inlineStr">
        <is>
          <t>Currency. SAR million unless stated. Spot SAR 43.58 (7 Jul 2026 close, from the attached daily history).</t>
        </is>
      </c>
    </row>
    <row r="20">
      <c r="A20" s="3" t="inlineStr">
        <is>
          <t>Historical financials are stc’s own IR disclosure (FY23–FY25 releases, restated continuing-ops basis;</t>
        </is>
      </c>
    </row>
    <row r="21">
      <c r="A21" s="3" t="inlineStr">
        <is>
          <t>Q1-26 release 28 Apr 2026); balance-sheet detail from the Q1-2026 interim FS (31-Dec-25 comparatives).</t>
        </is>
      </c>
    </row>
    <row r="22">
      <c r="A22" s="3" t="inlineStr"/>
    </row>
    <row r="23">
      <c r="A23" s="3" t="inlineStr">
        <is>
          <t>Sheets: Summary · Fundamental Valuation · Assumptions · SOTP Bridge · Segments · Relative &amp; Normalized ·</t>
        </is>
      </c>
    </row>
    <row r="24">
      <c r="A24" s="3" t="inlineStr">
        <is>
          <t>DCF · Income Statement · Balance Sheet · Cash Flow · Summary Financials · Monte Carlo · Sensitivity ·</t>
        </is>
      </c>
    </row>
    <row r="25">
      <c r="A25"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Valuation summary — Saudi Telecom Company (Tadawul: 7010)</t>
        </is>
      </c>
      <c r="B1" s="2" t="n"/>
      <c r="C1" s="2" t="n"/>
      <c r="D1" s="2" t="n"/>
      <c r="E1" s="2" t="n"/>
      <c r="F1" s="2" t="n"/>
      <c r="G1" s="2" t="n"/>
    </row>
    <row r="2">
      <c r="A2" s="4" t="inlineStr">
        <is>
          <t>Four-lens fair value vs spot. Base links live; bear/bull are scenario outputs (study §1.5).</t>
        </is>
      </c>
    </row>
    <row r="5">
      <c r="A5" s="5" t="inlineStr"/>
      <c r="B5" s="5" t="inlineStr">
        <is>
          <t>Bear</t>
        </is>
      </c>
      <c r="C5" s="5" t="inlineStr">
        <is>
          <t>Base</t>
        </is>
      </c>
      <c r="D5" s="5" t="inlineStr">
        <is>
          <t>Bull</t>
        </is>
      </c>
      <c r="E5" s="5" t="inlineStr">
        <is>
          <t>Role</t>
        </is>
      </c>
    </row>
    <row r="6">
      <c r="A6" s="17" t="inlineStr">
        <is>
          <t>Discounted cash flow</t>
        </is>
      </c>
      <c r="B6" s="7" t="n">
        <v>37.4</v>
      </c>
      <c r="C6" s="29">
        <f>'SOTP Bridge'!C13</f>
        <v/>
      </c>
      <c r="D6" s="7" t="n">
        <v>39</v>
      </c>
      <c r="E6" s="16" t="inlineStr">
        <is>
          <t>THE CENTRAL</t>
        </is>
      </c>
    </row>
    <row r="7">
      <c r="A7" s="17" t="inlineStr">
        <is>
          <t>Dividend discount</t>
        </is>
      </c>
      <c r="B7" s="7" t="n">
        <v>29.2</v>
      </c>
      <c r="C7" s="29">
        <f>'SOTP Bridge'!C22</f>
        <v/>
      </c>
      <c r="D7" s="7" t="n">
        <v>49.6</v>
      </c>
      <c r="E7" s="6" t="inlineStr">
        <is>
          <t>cross-check</t>
        </is>
      </c>
    </row>
    <row r="8">
      <c r="A8" s="17" t="inlineStr">
        <is>
          <t>Enterprise multiple on own history</t>
        </is>
      </c>
      <c r="B8" s="7" t="n">
        <v>45.7</v>
      </c>
      <c r="C8" s="29">
        <f>'Relative &amp; Normalized'!C6</f>
        <v/>
      </c>
      <c r="D8" s="7" t="n">
        <v>49.8</v>
      </c>
      <c r="E8" s="6" t="inlineStr">
        <is>
          <t>cross-check</t>
        </is>
      </c>
    </row>
    <row r="9">
      <c r="A9" s="17" t="inlineStr">
        <is>
          <t>Normalised earnings power</t>
        </is>
      </c>
      <c r="B9" s="7" t="n">
        <v>36.8</v>
      </c>
      <c r="C9" s="29">
        <f>'Relative &amp; Normalized'!C9</f>
        <v/>
      </c>
      <c r="D9" s="7" t="n">
        <v>50.2</v>
      </c>
      <c r="E9" s="6" t="inlineStr">
        <is>
          <t>cross-check</t>
        </is>
      </c>
    </row>
    <row r="10">
      <c r="A10" s="17" t="inlineStr">
        <is>
          <t>Book value per share — a DISCLOSED FLOOR, never weighted</t>
        </is>
      </c>
      <c r="C10" s="7" t="n">
        <v>17.02</v>
      </c>
      <c r="E10" s="6" t="inlineStr">
        <is>
          <t>floor</t>
        </is>
      </c>
    </row>
    <row r="12">
      <c r="A12" s="16" t="inlineStr">
        <is>
          <t>THE CENTRAL — the class primary, not an average of the rows above</t>
        </is>
      </c>
      <c r="C12" s="23">
        <f>C6</f>
        <v/>
      </c>
    </row>
    <row r="13">
      <c r="A13" s="16" t="inlineStr">
        <is>
          <t>Published range — the span of the present-value reads</t>
        </is>
      </c>
      <c r="B13" s="23" t="n">
        <v>37.37</v>
      </c>
      <c r="D13" s="23" t="n">
        <v>47.97</v>
      </c>
    </row>
    <row r="15">
      <c r="A15" s="17" t="inlineStr">
        <is>
          <t>Spot price (SAR)</t>
        </is>
      </c>
      <c r="B15" s="29" t="inlineStr">
        <is>
          <t>Assumptions!$B$5</t>
        </is>
      </c>
    </row>
    <row r="16">
      <c r="A16" s="17" t="inlineStr">
        <is>
          <t>Central against spot</t>
        </is>
      </c>
      <c r="B16" s="18">
        <f>C12/Assumptions!$B$5-1</f>
        <v/>
      </c>
    </row>
    <row r="18">
      <c r="A18" s="8" t="inlineStr">
        <is>
          <t>The retired four-lens blend at typed weights is recorded on Assumptions so nothing here can quietly rebuild it. A number produced by averaging several methods is not more robust than the best of them: it is a new method with free parameters nobody tested, and it imports every weakness of the weakest lens at whatever weight somebody typed.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Fundamental valuation — football-field data</t>
        </is>
      </c>
      <c r="B1" s="2" t="n"/>
      <c r="C1" s="2" t="n"/>
      <c r="D1" s="2" t="n"/>
      <c r="E1" s="2" t="n"/>
      <c r="F1" s="2" t="n"/>
      <c r="G1" s="2" t="n"/>
    </row>
    <row r="2">
      <c r="A2" s="4" t="inlineStr">
        <is>
          <t>Bear/base/bull per lens (links to Summary).</t>
        </is>
      </c>
    </row>
    <row r="5">
      <c r="A5" s="5" t="inlineStr">
        <is>
          <t>Lens</t>
        </is>
      </c>
      <c r="B5" s="5" t="inlineStr">
        <is>
          <t>Bear</t>
        </is>
      </c>
      <c r="C5" s="5" t="inlineStr">
        <is>
          <t>Base</t>
        </is>
      </c>
      <c r="D5" s="5" t="inlineStr">
        <is>
          <t>Bull</t>
        </is>
      </c>
    </row>
    <row r="6">
      <c r="A6" s="6" t="inlineStr">
        <is>
          <t>FCFF DCF (primary)</t>
        </is>
      </c>
      <c r="B6" s="29">
        <f>Summary!B6</f>
        <v/>
      </c>
      <c r="C6" s="29">
        <f>Summary!C6</f>
        <v/>
      </c>
      <c r="D6" s="29">
        <f>Summary!D6</f>
        <v/>
      </c>
    </row>
    <row r="7">
      <c r="A7" s="6" t="inlineStr">
        <is>
          <t>Dividend discount (policy lens)</t>
        </is>
      </c>
      <c r="B7" s="29">
        <f>Summary!B7</f>
        <v/>
      </c>
      <c r="C7" s="29">
        <f>Summary!C7</f>
        <v/>
      </c>
      <c r="D7" s="29">
        <f>Summary!D7</f>
        <v/>
      </c>
    </row>
    <row r="8">
      <c r="A8" s="6" t="inlineStr">
        <is>
          <t>Relative (EV/EBITDA)</t>
        </is>
      </c>
      <c r="B8" s="29">
        <f>Summary!B8</f>
        <v/>
      </c>
      <c r="C8" s="29">
        <f>Summary!C8</f>
        <v/>
      </c>
      <c r="D8" s="29">
        <f>Summary!D8</f>
        <v/>
      </c>
    </row>
    <row r="9">
      <c r="A9" s="6" t="inlineStr">
        <is>
          <t>Normalized earnings</t>
        </is>
      </c>
      <c r="B9" s="29">
        <f>Summary!B9</f>
        <v/>
      </c>
      <c r="C9" s="29">
        <f>Summary!C9</f>
        <v/>
      </c>
      <c r="D9" s="29">
        <f>Summary!D9</f>
        <v/>
      </c>
    </row>
    <row r="10">
      <c r="A10" s="16" t="inlineStr">
        <is>
          <t>Weighted central</t>
        </is>
      </c>
      <c r="B10" s="30">
        <f>Summary!B10</f>
        <v/>
      </c>
      <c r="C10" s="30">
        <f>Summary!C10</f>
        <v/>
      </c>
      <c r="D10" s="30">
        <f>Summary!D10</f>
        <v/>
      </c>
    </row>
    <row r="11">
      <c r="A11" s="17" t="inlineStr">
        <is>
          <t>Spot</t>
        </is>
      </c>
      <c r="B11" s="29">
        <f>Assumptions!$B$5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2"/>
  <sheetViews>
    <sheetView workbookViewId="0">
      <selection activeCell="A1" sqref="A1"/>
    </sheetView>
  </sheetViews>
  <sheetFormatPr baseColWidth="8" defaultRowHeight="15"/>
  <cols>
    <col width="44"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Spot price (SAR/share)</t>
        </is>
      </c>
      <c r="B5" s="7" t="n">
        <v>43.86</v>
      </c>
      <c r="C5" s="8" t="inlineStr">
        <is>
          <t>the latest known close, 2026-09-03, and the price the published gap is measured against</t>
        </is>
      </c>
    </row>
    <row r="6">
      <c r="A6" s="6" t="inlineStr">
        <is>
          <t>Shares outstanding (mn)</t>
        </is>
      </c>
      <c r="B6" s="9" t="n">
        <v>4993.024</v>
      </c>
      <c r="C6" s="8" t="inlineStr">
        <is>
          <t>issued capital divided by par, less treasury, FOOTED against the count note 17 of the reviewed interim itself states</t>
        </is>
      </c>
    </row>
    <row r="7">
      <c r="A7" s="6" t="inlineStr">
        <is>
          <t>Effective zakat rate ON EBIT (used for after-tax operating profit)</t>
        </is>
      </c>
      <c r="B7" s="10" t="n">
        <v>0.08034525861665882</v>
      </c>
      <c r="C7" s="8" t="inlineStr">
        <is>
          <t>three filed years together, with the disclosed prior-year reversal of 1,324,787 put back. Carrying that reversal forward would read 5.02%.</t>
        </is>
      </c>
    </row>
    <row r="8">
      <c r="A8" s="6" t="inlineStr">
        <is>
          <t>Effective zakat rate on profit before zakat (income statement)</t>
        </is>
      </c>
      <c r="B8" s="10" t="n">
        <v>0.08266854587581883</v>
      </c>
      <c r="C8" s="8" t="inlineStr">
        <is>
          <t>the same charge on the base the income statement applies it to</t>
        </is>
      </c>
    </row>
    <row r="9">
      <c r="A9" s="5" t="inlineStr">
        <is>
          <t>COST OF CAPITAL — the sanctioned schedule, not built on this sheet</t>
        </is>
      </c>
    </row>
    <row r="10">
      <c r="A10" s="6" t="inlineStr">
        <is>
          <t>Risk-free rate, normalised by the sovereign default spread</t>
        </is>
      </c>
      <c r="B10" s="11" t="n">
        <v>0.0454</v>
      </c>
      <c r="C10" s="8" t="inlineStr">
        <is>
          <t>the observed sovereign yield of 5.52% less this sovereign's OWN default spread of 0.98%. Country risk enters ONCE, through the premium; the raw yield plus a premium already carrying it would count it twice.</t>
        </is>
      </c>
    </row>
    <row r="11">
      <c r="A11" s="6" t="inlineStr">
        <is>
          <t>Equity beta — own-stock weekly regression vs the published index</t>
        </is>
      </c>
      <c r="B11" s="12" t="n">
        <v>0.7078292485042049</v>
      </c>
      <c r="C11" s="8" t="inlineStr">
        <is>
          <t>against the index of the exchange the stock is listed on, through the sanctioned resolver. The delivered study used a 40-session DAILY regression at 0.48, which is not one of the three tiers and may stand only as a flagged interim.</t>
        </is>
      </c>
    </row>
    <row r="12">
      <c r="A12" s="6" t="inlineStr">
        <is>
          <t>Equity risk premium (market basis, central)</t>
        </is>
      </c>
      <c r="B12" s="11" t="n">
        <v>0.0572</v>
      </c>
      <c r="C12" s="8" t="inlineStr">
        <is>
          <t>both bases are published; the swap basis is central because it is the market's own live pricing of the sovereign's credit against an agency judgement updated in steps</t>
        </is>
      </c>
    </row>
    <row r="13">
      <c r="A13" s="6" t="inlineStr">
        <is>
          <t>Cost of equity Ke = rf* + beta x ERP</t>
        </is>
      </c>
      <c r="B13" s="13">
        <f>B10+B11*B12</f>
        <v/>
      </c>
      <c r="C13" s="8" t="inlineStr">
        <is>
          <t>reproduces the schedule's own 8.589% from the three cells above it</t>
        </is>
      </c>
    </row>
    <row r="14">
      <c r="A14" s="6" t="inlineStr">
        <is>
          <t>Pre-tax cost of debt — the company's own latest issue</t>
        </is>
      </c>
      <c r="B14" s="11" t="n">
        <v>0.048602896</v>
      </c>
      <c r="C14" s="8" t="inlineStr">
        <is>
          <t>the January 2026 sukuk in two tranches, weighted. Held against an effective rate computed independently over two periods from the finance cost on the borrowings that actually bear it.</t>
        </is>
      </c>
    </row>
    <row r="15">
      <c r="A15" s="6" t="inlineStr">
        <is>
          <t>After-tax Kd</t>
        </is>
      </c>
      <c r="B15" s="13">
        <f>B14*(1-0.200000)</f>
        <v/>
      </c>
    </row>
    <row r="16">
      <c r="A16" s="6" t="inlineStr">
        <is>
          <t>Debt weight D/(D+E) — MARKET-VALUE equity, never book</t>
        </is>
      </c>
      <c r="B16" s="13">
        <f>23536.554/(B5*B6+23536.554)</f>
        <v/>
      </c>
      <c r="C16" s="8" t="inlineStr">
        <is>
          <t>gross borrowings from the LATEST DISCLOSED balance sheet</t>
        </is>
      </c>
    </row>
    <row r="17">
      <c r="A17" s="6" t="inlineStr">
        <is>
          <t>WACC — FLAT, because the riyal is pegged and today is already the terminal</t>
        </is>
      </c>
      <c r="B17" s="13">
        <f>(1-B16)*B13+B16*B15</f>
        <v/>
      </c>
      <c r="C17" s="8" t="inlineStr">
        <is>
          <t>the module returns a flat ladder here rather than manufacturing a glide the peg forbids; explicit 8.133% and terminal 8.133%</t>
        </is>
      </c>
    </row>
    <row r="18">
      <c r="A18" s="6" t="inlineStr">
        <is>
          <t>Terminal growth — DERIVED, terminal inflation + stated real growth</t>
        </is>
      </c>
      <c r="B18" s="11" t="n">
        <v>0.02000000000000002</v>
      </c>
      <c r="C18" s="8" t="inlineStr">
        <is>
          <t>real growth of 0.0% on the house terminal inflation. A typed nominal rate is unfalsifiable: nobody can tell whether 2.5% meant inflation plus half a point or something else.</t>
        </is>
      </c>
    </row>
    <row r="19">
      <c r="A19" s="5" t="inlineStr">
        <is>
          <t>EV -&gt; EQUITY BRIDGE — every line from the committed bridge record</t>
        </is>
      </c>
    </row>
    <row r="20">
      <c r="A20" s="6" t="inlineStr">
        <is>
          <t>Investments in associates and joint ventures</t>
        </is>
      </c>
      <c r="B20" s="9" t="n">
        <v>12909.648</v>
      </c>
      <c r="C20" s="8" t="inlineStr">
        <is>
          <t>the FILED carrying value. The delivered study carried 4,641 — a figure from before the towers business was contributed to DIIC in February 2025 — and correcting it raised the answer by 3.55%.</t>
        </is>
      </c>
    </row>
    <row r="21">
      <c r="A21" s="6" t="inlineStr">
        <is>
          <t>Listed equity investment at its disclosed fair value</t>
        </is>
      </c>
      <c r="B21" s="9" t="n">
        <v>8513.43</v>
      </c>
      <c r="C21" s="8" t="inlineStr">
        <is>
          <t>marked at the disclosed fair value, not at cost</t>
        </is>
      </c>
    </row>
    <row r="22">
      <c r="A22" s="6" t="inlineStr">
        <is>
          <t>Investment funds and unlisted equity investments, at fair value</t>
        </is>
      </c>
      <c r="B22" s="9" t="n">
        <v>5163.516</v>
      </c>
      <c r="C22" s="8" t="inlineStr">
        <is>
          <t>note 9.1, outside the operating cash flows this model discounts</t>
        </is>
      </c>
    </row>
    <row r="23">
      <c r="A23" s="6" t="inlineStr">
        <is>
          <t>Net debt</t>
        </is>
      </c>
      <c r="B23" s="9" t="n">
        <v>8375.406999999999</v>
      </c>
      <c r="C23" s="8" t="inlineStr">
        <is>
          <t>borrowings 23537 + leases 2259 + spectrum licences 3443 less cash 12940, murabahas 1062, sukuk 6368 and treasury bills 492. THE SPECTRUM LICENCE LIABILITY is consideration owed for licences already capitalised and it is disclosed OUTSIDE borrowings, so a bridge reading the borrowings lines does not see it.</t>
        </is>
      </c>
    </row>
    <row r="24">
      <c r="A24" s="6" t="inlineStr">
        <is>
          <t>Non-controlling interests, at their share of equity value</t>
        </is>
      </c>
      <c r="B24" s="9" t="n">
        <v>3927.589835802536</v>
      </c>
      <c r="C24" s="8" t="inlineStr">
        <is>
          <t>the model capitalises 100% of subsidiary cash flow, so the minority's claim is worth its SHARE OF THAT VALUE and not its historical cost. Book is 2726 and is published beside it so a reader sees the choice.</t>
        </is>
      </c>
    </row>
    <row r="25">
      <c r="A25" s="5" t="inlineStr">
        <is>
          <t>DDM (the locked SAR 0.55/quarter policy)</t>
        </is>
      </c>
    </row>
    <row r="26">
      <c r="A26" s="6" t="inlineStr">
        <is>
          <t>DPS path FY26E–FY30E (SAR)</t>
        </is>
      </c>
      <c r="C26" s="7" t="n">
        <v>2.2</v>
      </c>
      <c r="D26" s="7" t="n">
        <v>2.2</v>
      </c>
      <c r="E26" s="7" t="n">
        <v>2.3</v>
      </c>
      <c r="F26" s="7" t="n">
        <v>2.4</v>
      </c>
      <c r="G26" s="7" t="n">
        <v>2.55</v>
      </c>
    </row>
    <row r="27">
      <c r="A27" s="6" t="inlineStr">
        <is>
          <t>DDM terminal dividend growth</t>
        </is>
      </c>
      <c r="B27" s="11" t="n">
        <v>0.03</v>
      </c>
      <c r="C27" s="8" t="inlineStr">
        <is>
          <t>post-policy (2027+) payout growth ≈ EPS growth at ~75% payout</t>
        </is>
      </c>
    </row>
    <row r="28">
      <c r="A28" s="6" t="inlineStr">
        <is>
          <t>Minority share of equity value (proportional)</t>
        </is>
      </c>
      <c r="B28" s="10" t="n">
        <v>0.02020629560266924</v>
      </c>
      <c r="C28" s="8" t="inlineStr">
        <is>
          <t>the minority's own share of profit, which is how the cross-check lenses apply it: proportionally to the whole equity value including the stakes, rather than as a fixed deduction</t>
        </is>
      </c>
    </row>
    <row r="29">
      <c r="A29" s="5" t="inlineStr">
        <is>
          <t>CROSS-CHECKS — published beside the central, never averaged into it</t>
        </is>
      </c>
    </row>
    <row r="30">
      <c r="A30" s="6" t="inlineStr">
        <is>
          <t>EV/EBITDA — the company's own trailing multiple, three year ends</t>
        </is>
      </c>
      <c r="B30" s="14" t="n">
        <v>8.762062030257292</v>
      </c>
      <c r="C30" s="8" t="inlineStr">
        <is>
          <t>bear 8.316x to bull 9.131x, the range its own three year ends span. NOT a peer band and NOT the current multiple.</t>
        </is>
      </c>
    </row>
    <row r="31">
      <c r="A31" s="6" t="inlineStr">
        <is>
          <t>FY26E net profit for the relative cross-check</t>
        </is>
      </c>
      <c r="B31" s="9" t="n">
        <v>14450.68811216044</v>
      </c>
      <c r="C31" s="8" t="inlineStr">
        <is>
          <t>from the projected income statement, not aligned by hand</t>
        </is>
      </c>
    </row>
    <row r="32">
      <c r="A32" s="6" t="inlineStr">
        <is>
          <t>Normalized PAT (ex one-offs)</t>
        </is>
      </c>
      <c r="B32" s="9" t="n">
        <v>13232.64560847266</v>
      </c>
    </row>
    <row r="33">
      <c r="A33" s="6" t="inlineStr">
        <is>
          <t>Justified through-cycle P/E</t>
        </is>
      </c>
      <c r="B33" s="14" t="n">
        <v>15</v>
      </c>
      <c r="C33" s="8" t="inlineStr">
        <is>
          <t>a stated judgement rather than a measurement, and it is a CROSS-CHECK: it carries no weight in the central</t>
        </is>
      </c>
    </row>
    <row r="34">
      <c r="A34" s="5" t="inlineStr">
        <is>
          <t>THE RETIRED BLEND — recorded so nothing here can quietly rebuild it</t>
        </is>
      </c>
    </row>
    <row r="35">
      <c r="A35" s="6" t="inlineStr">
        <is>
          <t>Former weights: cash flow 35%, dividend discount 25%, relative 20%, normalised earnings 20%</t>
        </is>
      </c>
      <c r="C35" s="8" t="inlineStr">
        <is>
          <t>RETIRED. Two of those four lenses are not permitted cross-checks for this class at all and between them carried 45% of a central.</t>
        </is>
      </c>
    </row>
    <row r="36">
      <c r="A36" s="5" t="inlineStr">
        <is>
          <t>THE PRICE MAP — the production engine, reproduced (outputs on the Monte Carlo sheet)</t>
        </is>
      </c>
    </row>
    <row r="37">
      <c r="A37" s="6" t="inlineStr">
        <is>
          <t>Forward volatility over three months (annualised)</t>
        </is>
      </c>
      <c r="B37" s="10" t="n">
        <v>0.1653</v>
      </c>
      <c r="C37" s="8" t="inlineStr">
        <is>
          <t>Projected from this stock’s own recent, medium and longer-run variation</t>
        </is>
      </c>
    </row>
    <row r="38">
      <c r="A38" s="6" t="inlineStr">
        <is>
          <t>Tail parameter and width calibration</t>
        </is>
      </c>
      <c r="B38" s="15" t="inlineStr">
        <is>
          <t>15.0 / 1.056</t>
        </is>
      </c>
      <c r="C38" s="8" t="inlineStr">
        <is>
          <t>The market panel’s fitted pair. Neither is quoted alone: they trade off, and the honest object is the cone they jointly produce</t>
        </is>
      </c>
    </row>
    <row r="39">
      <c r="A39" s="6" t="inlineStr">
        <is>
          <t>Momentum lean applied over three months</t>
        </is>
      </c>
      <c r="B39" s="11" t="n">
        <v>0.002404</v>
      </c>
      <c r="C39" s="8" t="inlineStr">
        <is>
          <t>Direction call UP (reading +0.30 against a 0.25 threshold); capped at the strength measured</t>
        </is>
      </c>
    </row>
    <row r="40">
      <c r="A40" s="6" t="inlineStr">
        <is>
          <t>Paths / seed</t>
        </is>
      </c>
      <c r="B40" s="15" t="inlineStr">
        <is>
          <t>50,000 / 42</t>
        </is>
      </c>
    </row>
    <row r="41">
      <c r="A41" s="5" t="inlineStr">
        <is>
          <t>FORECAST DRIVERS (FY26E–FY30E) — top-down (§3.5-C gate: subs × ARPU not disclosed)</t>
        </is>
      </c>
    </row>
    <row r="42">
      <c r="A42" s="16" t="inlineStr">
        <is>
          <t>Driver \ year</t>
        </is>
      </c>
      <c r="C42" s="5" t="inlineStr">
        <is>
          <t>FY26E</t>
        </is>
      </c>
      <c r="D42" s="5" t="inlineStr">
        <is>
          <t>FY27E</t>
        </is>
      </c>
      <c r="E42" s="5" t="inlineStr">
        <is>
          <t>FY28E</t>
        </is>
      </c>
      <c r="F42" s="5" t="inlineStr">
        <is>
          <t>FY29E</t>
        </is>
      </c>
      <c r="G42" s="5" t="inlineStr">
        <is>
          <t>FY30E</t>
        </is>
      </c>
    </row>
    <row r="43">
      <c r="A43" s="6" t="inlineStr">
        <is>
          <t>Sirar — real revenue growth</t>
        </is>
      </c>
      <c r="C43" s="10" t="n">
        <v>0.13170363</v>
      </c>
      <c r="D43" s="10" t="n">
        <v>0.09877772999999999</v>
      </c>
      <c r="E43" s="10" t="n">
        <v>0.06585182000000001</v>
      </c>
      <c r="F43" s="10" t="n">
        <v>0.03292591</v>
      </c>
      <c r="G43" s="10" t="n">
        <v>0</v>
      </c>
    </row>
    <row r="44">
      <c r="A44" s="6" t="inlineStr">
        <is>
          <t>stc Bank — real revenue growth</t>
        </is>
      </c>
      <c r="C44" s="10" t="n">
        <v>0.10263522</v>
      </c>
      <c r="D44" s="10" t="n">
        <v>0.07697641</v>
      </c>
      <c r="E44" s="10" t="n">
        <v>0.05131761</v>
      </c>
      <c r="F44" s="10" t="n">
        <v>0.0256588</v>
      </c>
      <c r="G44" s="10" t="n">
        <v>0</v>
      </c>
    </row>
    <row r="45">
      <c r="A45" s="6" t="inlineStr">
        <is>
          <t>Specialized — real revenue growth</t>
        </is>
      </c>
      <c r="C45" s="10" t="n">
        <v>-0.05664896</v>
      </c>
      <c r="D45" s="10" t="n">
        <v>-0.04248672</v>
      </c>
      <c r="E45" s="10" t="n">
        <v>-0.02832448</v>
      </c>
      <c r="F45" s="10" t="n">
        <v>-0.01416224</v>
      </c>
      <c r="G45" s="10" t="n">
        <v>0</v>
      </c>
    </row>
    <row r="46">
      <c r="A46" s="6" t="inlineStr">
        <is>
          <t>Solutions — real revenue growth</t>
        </is>
      </c>
      <c r="C46" s="10" t="n">
        <v>0.0442675</v>
      </c>
      <c r="D46" s="10" t="n">
        <v>0.03320063</v>
      </c>
      <c r="E46" s="10" t="n">
        <v>0.02213375</v>
      </c>
      <c r="F46" s="10" t="n">
        <v>0.01106688</v>
      </c>
      <c r="G46" s="10" t="n">
        <v>0</v>
      </c>
    </row>
    <row r="47">
      <c r="A47" s="6" t="inlineStr">
        <is>
          <t>Center 3 — real revenue growth</t>
        </is>
      </c>
      <c r="C47" s="10" t="n">
        <v>0.01866393</v>
      </c>
      <c r="D47" s="10" t="n">
        <v>0.01399795</v>
      </c>
      <c r="E47" s="10" t="n">
        <v>0.00933197</v>
      </c>
      <c r="F47" s="10" t="n">
        <v>0.00466598</v>
      </c>
      <c r="G47" s="10" t="n">
        <v>0</v>
      </c>
    </row>
    <row r="48">
      <c r="A48" s="6" t="inlineStr">
        <is>
          <t>iot2 — real revenue growth</t>
        </is>
      </c>
      <c r="C48" s="10" t="n">
        <v>0.01866393</v>
      </c>
      <c r="D48" s="10" t="n">
        <v>0.01399795</v>
      </c>
      <c r="E48" s="10" t="n">
        <v>0.00933197</v>
      </c>
      <c r="F48" s="10" t="n">
        <v>0.00466598</v>
      </c>
      <c r="G48" s="10" t="n">
        <v>0</v>
      </c>
    </row>
    <row r="49">
      <c r="A49" s="6" t="inlineStr">
        <is>
          <t>SCCC — real revenue growth</t>
        </is>
      </c>
      <c r="C49" s="10" t="n">
        <v>0.01866393</v>
      </c>
      <c r="D49" s="10" t="n">
        <v>0.01399795</v>
      </c>
      <c r="E49" s="10" t="n">
        <v>0.00933197</v>
      </c>
      <c r="F49" s="10" t="n">
        <v>0.00466598</v>
      </c>
      <c r="G49" s="10" t="n">
        <v>0</v>
      </c>
    </row>
    <row r="50">
      <c r="A50" s="6" t="inlineStr">
        <is>
          <t>Other operating segments — real revenue growth</t>
        </is>
      </c>
      <c r="C50" s="10" t="n">
        <v>0.01866393</v>
      </c>
      <c r="D50" s="10" t="n">
        <v>0.01399795</v>
      </c>
      <c r="E50" s="10" t="n">
        <v>0.00933197</v>
      </c>
      <c r="F50" s="10" t="n">
        <v>0.00466598</v>
      </c>
      <c r="G50" s="10" t="n">
        <v>0</v>
      </c>
    </row>
    <row r="51">
      <c r="A51" s="6" t="inlineStr">
        <is>
          <t>Channels — real revenue growth</t>
        </is>
      </c>
      <c r="C51" s="10" t="n">
        <v>-0.01678193</v>
      </c>
      <c r="D51" s="10" t="n">
        <v>-0.01258645</v>
      </c>
      <c r="E51" s="10" t="n">
        <v>-0.008390959999999999</v>
      </c>
      <c r="F51" s="10" t="n">
        <v>-0.00419548</v>
      </c>
      <c r="G51" s="10" t="n">
        <v>0</v>
      </c>
    </row>
    <row r="52">
      <c r="A52" s="6" t="inlineStr">
        <is>
          <t>stc Kuwait — real revenue growth</t>
        </is>
      </c>
      <c r="C52" s="10" t="n">
        <v>0.00513056</v>
      </c>
      <c r="D52" s="10" t="n">
        <v>0.00384792</v>
      </c>
      <c r="E52" s="10" t="n">
        <v>0.00256528</v>
      </c>
      <c r="F52" s="10" t="n">
        <v>0.00128264</v>
      </c>
      <c r="G52" s="10" t="n">
        <v>0</v>
      </c>
    </row>
    <row r="53">
      <c r="A53" s="6" t="inlineStr">
        <is>
          <t>stc Bahrain — real revenue growth</t>
        </is>
      </c>
      <c r="C53" s="10" t="n">
        <v>-0.00262868</v>
      </c>
      <c r="D53" s="10" t="n">
        <v>-0.00197151</v>
      </c>
      <c r="E53" s="10" t="n">
        <v>-0.00131434</v>
      </c>
      <c r="F53" s="10" t="n">
        <v>-0.00065717</v>
      </c>
      <c r="G53" s="10" t="n">
        <v>0</v>
      </c>
    </row>
    <row r="54">
      <c r="A54" s="6" t="inlineStr">
        <is>
          <t>stc — real revenue growth</t>
        </is>
      </c>
      <c r="C54" s="10" t="n">
        <v>0.00181084</v>
      </c>
      <c r="D54" s="10" t="n">
        <v>0.00175477</v>
      </c>
      <c r="E54" s="10" t="n">
        <v>0.00143427</v>
      </c>
      <c r="F54" s="10" t="n">
        <v>0.00084935</v>
      </c>
      <c r="G54" s="10" t="n">
        <v>0</v>
      </c>
    </row>
    <row r="55">
      <c r="A55" s="6" t="inlineStr">
        <is>
          <t>Gross margin (% of revenue)</t>
        </is>
      </c>
      <c r="C55" s="10" t="n">
        <v>0.485</v>
      </c>
      <c r="D55" s="10" t="n">
        <v>0.485</v>
      </c>
      <c r="E55" s="10" t="n">
        <v>0.485</v>
      </c>
      <c r="F55" s="10" t="n">
        <v>0.485</v>
      </c>
      <c r="G55" s="10" t="n">
        <v>0.485</v>
      </c>
    </row>
    <row r="56">
      <c r="A56" s="6" t="inlineStr">
        <is>
          <t>House Saudi inflation ladder (nominal = real x this)</t>
        </is>
      </c>
      <c r="C56" s="10" t="n">
        <v>0.023</v>
      </c>
      <c r="D56" s="10" t="n">
        <v>0.021</v>
      </c>
      <c r="E56" s="10" t="n">
        <v>0.02</v>
      </c>
      <c r="F56" s="10" t="n">
        <v>0.02</v>
      </c>
      <c r="G56" s="10" t="n">
        <v>0.02</v>
      </c>
    </row>
    <row r="57">
      <c r="A57" s="6" t="inlineStr">
        <is>
          <t>Inter-segment eliminations (% of gross segment revenue)</t>
        </is>
      </c>
      <c r="C57" s="10" t="n">
        <v>-0.128739252364491</v>
      </c>
      <c r="D57" s="10" t="n">
        <v>-0.128739252364491</v>
      </c>
      <c r="E57" s="10" t="n">
        <v>-0.128739252364491</v>
      </c>
      <c r="F57" s="10" t="n">
        <v>-0.128739252364491</v>
      </c>
      <c r="G57" s="10" t="n">
        <v>-0.128739252364491</v>
      </c>
    </row>
    <row r="58">
      <c r="A58" s="6" t="inlineStr">
        <is>
          <t>Group EBITDA margin</t>
        </is>
      </c>
      <c r="C58" s="10" t="n">
        <v>0.319847256594818</v>
      </c>
      <c r="D58" s="10" t="n">
        <v>0.3190366010783908</v>
      </c>
      <c r="E58" s="10" t="n">
        <v>0.3184831288736253</v>
      </c>
      <c r="F58" s="10" t="n">
        <v>0.3182052626065098</v>
      </c>
      <c r="G58" s="10" t="n">
        <v>0.3182052626065097</v>
      </c>
    </row>
    <row r="59">
      <c r="A59" s="6" t="inlineStr">
        <is>
          <t>D&amp;A (% of revenue)</t>
        </is>
      </c>
      <c r="C59" s="10" t="n">
        <v>0.128904417866277</v>
      </c>
      <c r="D59" s="10" t="n">
        <v>0.128904417866277</v>
      </c>
      <c r="E59" s="10" t="n">
        <v>0.128904417866277</v>
      </c>
      <c r="F59" s="10" t="n">
        <v>0.128904417866277</v>
      </c>
      <c r="G59" s="10" t="n">
        <v>0.128904417866277</v>
      </c>
    </row>
    <row r="60">
      <c r="A60" s="6" t="inlineStr">
        <is>
          <t>Capex intensity (% of revenue)</t>
        </is>
      </c>
      <c r="C60" s="10" t="n">
        <v>0.1496340450713096</v>
      </c>
      <c r="D60" s="10" t="n">
        <v>0.1496340450713096</v>
      </c>
      <c r="E60" s="10" t="n">
        <v>0.1496340450713096</v>
      </c>
      <c r="F60" s="10" t="n">
        <v>0.1496340450713096</v>
      </c>
      <c r="G60" s="10" t="n">
        <v>0.1496340450713096</v>
      </c>
    </row>
    <row r="61">
      <c r="A61" s="6" t="inlineStr">
        <is>
          <t>Working-capital movement (% of revenue, an OUTPUT of the cycle)</t>
        </is>
      </c>
      <c r="C61" s="10" t="n">
        <v>-9.011973604334838e-17</v>
      </c>
      <c r="D61" s="10" t="n">
        <v>0.004752892568147541</v>
      </c>
      <c r="E61" s="10" t="n">
        <v>0.004271372312109522</v>
      </c>
      <c r="F61" s="10" t="n">
        <v>0.003883270351596636</v>
      </c>
      <c r="G61" s="10" t="n">
        <v>0.003439410244856249</v>
      </c>
    </row>
    <row r="62">
      <c r="A62" s="6" t="inlineStr">
        <is>
          <t>Finance income (SAR mn)</t>
        </is>
      </c>
      <c r="C62" s="9" t="n">
        <v>951.7174030437861</v>
      </c>
      <c r="D62" s="9" t="n">
        <v>971.7034685077056</v>
      </c>
      <c r="E62" s="9" t="n">
        <v>991.1375378778597</v>
      </c>
      <c r="F62" s="9" t="n">
        <v>1010.960288635417</v>
      </c>
      <c r="G62" s="9" t="n">
        <v>1031.179494408125</v>
      </c>
    </row>
    <row r="63">
      <c r="A63" s="6" t="inlineStr">
        <is>
          <t>Finance cost (SAR mn)</t>
        </is>
      </c>
      <c r="C63" s="9" t="n">
        <v>-1443.591305740267</v>
      </c>
      <c r="D63" s="9" t="n">
        <v>-1473.906723160813</v>
      </c>
      <c r="E63" s="9" t="n">
        <v>-1503.384857624029</v>
      </c>
      <c r="F63" s="9" t="n">
        <v>-1533.45255477651</v>
      </c>
      <c r="G63" s="9" t="n">
        <v>-1564.12160587204</v>
      </c>
    </row>
    <row r="64">
      <c r="A64" s="6" t="inlineStr">
        <is>
          <t>Early retirement programme (SAR mn, three-year mean escalated)</t>
        </is>
      </c>
      <c r="C64" s="9" t="n">
        <v>-1421.299666666667</v>
      </c>
      <c r="D64" s="9" t="n">
        <v>-1451.146959666667</v>
      </c>
      <c r="E64" s="9" t="n">
        <v>-1480.16989886</v>
      </c>
      <c r="F64" s="9" t="n">
        <v>-1509.7732968372</v>
      </c>
      <c r="G64" s="9" t="n">
        <v>-1539.968762773944</v>
      </c>
    </row>
    <row r="65">
      <c r="A65" s="6" t="inlineStr">
        <is>
          <t>Effective zakat rate (three filed years together)</t>
        </is>
      </c>
      <c r="C65" s="10" t="n">
        <v>0.08266854587581883</v>
      </c>
      <c r="D65" s="10" t="n">
        <v>0.08266854587581883</v>
      </c>
      <c r="E65" s="10" t="n">
        <v>0.08266854587581883</v>
      </c>
      <c r="F65" s="10" t="n">
        <v>0.08266854587581883</v>
      </c>
      <c r="G65" s="10" t="n">
        <v>0.08266854587581883</v>
      </c>
    </row>
    <row r="66">
      <c r="A66" s="6" t="inlineStr">
        <is>
          <t>DPS declared (SAR/share)</t>
        </is>
      </c>
      <c r="C66" s="7" t="n">
        <v>2.2</v>
      </c>
      <c r="D66" s="7" t="n">
        <v>2.2</v>
      </c>
      <c r="E66" s="7" t="n">
        <v>2.3</v>
      </c>
      <c r="F66" s="7" t="n">
        <v>2.4</v>
      </c>
      <c r="G66" s="7" t="n">
        <v>2.55</v>
      </c>
    </row>
    <row r="84">
      <c r="A84" s="5" t="inlineStr">
        <is>
          <t>WACC BUILD — FULL DETAIL &amp; SOURCING (feeds rows 9-17; reference only)</t>
        </is>
      </c>
    </row>
    <row r="85">
      <c r="A85" s="6" t="inlineStr">
        <is>
          <t>rf source</t>
        </is>
      </c>
      <c r="C85" s="8" t="inlineStr">
        <is>
          <t>Derived SAR 10Y sovereign: SRC (govt-guaranteed) $1.5bn 10y sukuk priced UST+95bp on 8-Jul-2026; UST 10Y 4.45% → 5.40% USD basis; the Saudi Exchange "KSA Sovereign Local Currency Debt Primer Update" (21-May-2026) documents SAR sovereign yields sitting ABOVE the USD curve through 10Y → 5.4–5.6% band, 5.5% point. Cross-check: FAB Securities stc note (27-Feb-2026) uses 5.5%. Per house rule the SAR-USD peg does NOT make UST a substitute — this is a documented named mistake in professional practice.</t>
        </is>
      </c>
    </row>
    <row r="86">
      <c r="A86" s="6" t="inlineStr">
        <is>
          <t>ERP — CDS-based (Damodaran, "more current" alternative)</t>
        </is>
      </c>
      <c r="B86" s="11" t="n">
        <v>0.0572</v>
      </c>
      <c r="C86" s="8" t="inlineStr">
        <is>
          <t>Same original file, Saudi row, CDS column: sovereign CDS 0.98% → ERP 5.72%. For Saudi the CDS basis is ABOVE the rating basis (CDS prices more risk than Aa3 implies) — the alternative WACC below is therefore the HIGHER one.</t>
        </is>
      </c>
    </row>
    <row r="87">
      <c r="A87" s="6" t="inlineStr">
        <is>
          <t>Ke, alternative (CDS-based ERP)</t>
        </is>
      </c>
      <c r="B87" s="13">
        <f>B9+B10*B86</f>
        <v/>
      </c>
    </row>
    <row r="88">
      <c r="A88" s="6" t="inlineStr">
        <is>
          <t>WACC, alternative (CDS-based ERP)</t>
        </is>
      </c>
      <c r="B88" s="13">
        <f>(1-B15)*B87+B15*B14</f>
        <v/>
      </c>
    </row>
    <row r="89">
      <c r="A89" s="6" t="inlineStr">
        <is>
          <t>Beta — regression detail</t>
        </is>
      </c>
      <c r="C89" s="8" t="inlineStr">
        <is>
          <t>Daily stc-vs-TASI OLS, n=40 paired sessions 5-May→7-Jul-2026 (TASI closes: investing.com historical table; stc: the attached price history): beta 0.475 (SE 0.189), R² 14.3%, alpha ≈ 0. Ex-Eid-gap robustness: 0.494. Passes RegressionBetaAttempt.is_usable() (n≥24, R²≥5%, SE&lt;|β|, β&gt;0). Honest flag: a 9-week daily window is the best obtainable (Yahoo/stooq/WSJ TASI history all blocked programmatically; Saudi Exchange login-gated); a 2–5yr weekly regression should replace it when accessible. Sensitivity: at β=1.0, Ke 10.51%, WACC 9.90% (rating basis) — the DCF grid in §1.9 spans this.</t>
        </is>
      </c>
    </row>
    <row r="90">
      <c r="A90" s="6" t="inlineStr">
        <is>
          <t>Kd source &amp; currency-mix evidence</t>
        </is>
      </c>
      <c r="C90" s="8" t="inlineStr">
        <is>
          <t>Named instruments: May-2019 $1.25bn 10y sukuk at 3.89% (matures 2029); Jan-2026 $2bn dual-tranche sukuk 4.489% (5y, T+75) / 5.083% (10y, T+90) under the $5bn programme (books $5.4bn); Mar-2021 ECA loan $584mn; remainder SAR murabaha/facilities (3M SAIBOR 4.79% Apr-2026 + 60–100bp). USD-linked ≈ 55–60% of gross debt; SAR pegged 3.75 → USD legs economically quasi-SAR, single blended Kd 5.0% used (no floating-FX tranche modelled).</t>
        </is>
      </c>
    </row>
    <row r="91">
      <c r="A91" s="6" t="inlineStr">
        <is>
          <t>Weights source</t>
        </is>
      </c>
      <c r="C91" s="8" t="inlineStr">
        <is>
          <t>Market cap = 43.58 × 4,989.8mn = SAR 217,455mn; total debt = SAR 22,475mn (Q1-2026 IR release, post the Jan-2026 $2bn sukuk; excludes lease liabilities 2,296). E/(D+E) = 90.6%.</t>
        </is>
      </c>
    </row>
    <row r="92">
      <c r="A92" s="6" t="inlineStr">
        <is>
          <t>Full reference &amp; cache</t>
        </is>
      </c>
      <c r="C92" s="8" t="inlineStr">
        <is>
          <t>See Cost_of_Capital_Reference.md (Saudi Arabia row, filled 09-07-2026) and wacc_builder.py for the standing method. Both ERP-basis WACCs are published per protocol.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52" customWidth="1" min="2" max="2"/>
    <col width="16" customWidth="1" min="3" max="3"/>
    <col width="12" customWidth="1" min="4" max="4"/>
    <col width="12" customWidth="1" min="5" max="5"/>
    <col width="12" customWidth="1" min="6" max="6"/>
    <col width="12" customWidth="1" min="7" max="7"/>
  </cols>
  <sheetData>
    <row r="1">
      <c r="A1" s="1" t="inlineStr">
        <is>
          <t>Valuation bridge — FCFF DCF (primary) + the dividend-policy DDM</t>
        </is>
      </c>
      <c r="B1" s="2" t="n"/>
      <c r="C1" s="2" t="n"/>
      <c r="D1" s="2" t="n"/>
      <c r="E1" s="2" t="n"/>
      <c r="F1" s="2" t="n"/>
      <c r="G1" s="2" t="n"/>
    </row>
    <row r="2">
      <c r="A2" s="4" t="inlineStr">
        <is>
          <t>Core-operations EV from the DCF sheet; stakes marked separately; DDM = the locked SAR 0.55/quarter policy. Links to DCF / Assumptions.</t>
        </is>
      </c>
    </row>
    <row r="5">
      <c r="A5" s="16" t="inlineStr">
        <is>
          <t>Component</t>
        </is>
      </c>
      <c r="B5" s="8" t="inlineStr">
        <is>
          <t>Basis</t>
        </is>
      </c>
      <c r="C5" s="20" t="inlineStr">
        <is>
          <t>Value (SAR mn)</t>
        </is>
      </c>
    </row>
    <row r="6">
      <c r="A6" s="6" t="inlineStr">
        <is>
          <t>Core operations enterprise value</t>
        </is>
      </c>
      <c r="B6" s="8" t="inlineStr">
        <is>
          <t>FCFF DCF (§1.1): Σ PV FCFF + PV terminal</t>
        </is>
      </c>
      <c r="C6" s="19">
        <f>DCF!B27</f>
        <v/>
      </c>
    </row>
    <row r="7">
      <c r="A7" s="6" t="inlineStr">
        <is>
          <t xml:space="preserve">  of which terminal value (device A-7)</t>
        </is>
      </c>
      <c r="B7" s="8" t="inlineStr">
        <is>
          <t>% of core EV</t>
        </is>
      </c>
      <c r="C7" s="31">
        <f>DCF!B28</f>
        <v/>
      </c>
    </row>
    <row r="8">
      <c r="A8" s="6" t="inlineStr">
        <is>
          <t>+ Investments in associates &amp; JVs</t>
        </is>
      </c>
      <c r="B8" s="8" t="inlineStr">
        <is>
          <t>43.06% DIIC/TAWAL at carrying value</t>
        </is>
      </c>
      <c r="C8" s="19">
        <f>Assumptions!$B$20</f>
        <v/>
      </c>
    </row>
    <row r="9">
      <c r="A9" s="6" t="inlineStr">
        <is>
          <t>+ Telefónica 9.97%</t>
        </is>
      </c>
      <c r="B9" s="8" t="inlineStr">
        <is>
          <t>Market mark: 561mn sh × €3.50 × 4.40</t>
        </is>
      </c>
      <c r="C9" s="19">
        <f>Assumptions!$B$21</f>
        <v/>
      </c>
    </row>
    <row r="10">
      <c r="A10" s="6" t="inlineStr">
        <is>
          <t>− Net debt (IR basis, Q1-26)</t>
        </is>
      </c>
      <c r="B10" s="8" t="inlineStr">
        <is>
          <t>Total debt 22,475 − core cash 15,412</t>
        </is>
      </c>
      <c r="C10" s="19">
        <f>-Assumptions!$B$23</f>
        <v/>
      </c>
    </row>
    <row r="11">
      <c r="A11" s="6" t="inlineStr">
        <is>
          <t>− Non-controlling interests</t>
        </is>
      </c>
      <c r="B11" s="8" t="inlineStr">
        <is>
          <t>Book, 31-Mar-26</t>
        </is>
      </c>
      <c r="C11" s="19">
        <f>-Assumptions!$B$24</f>
        <v/>
      </c>
    </row>
    <row r="12">
      <c r="A12" s="16" t="inlineStr">
        <is>
          <t>Equity value</t>
        </is>
      </c>
      <c r="B12" s="6" t="inlineStr"/>
      <c r="C12" s="25">
        <f>C6+Assumptions!$B$20+Assumptions!$B$21-Assumptions!$B$23-Assumptions!$B$24</f>
        <v/>
      </c>
    </row>
    <row r="13">
      <c r="A13" s="16" t="inlineStr">
        <is>
          <t>DCF fair value per share (SAR)</t>
        </is>
      </c>
      <c r="B13" s="6" t="inlineStr"/>
      <c r="C13" s="30">
        <f>C12/Assumptions!$B$6</f>
        <v/>
      </c>
    </row>
    <row r="14">
      <c r="A14" s="16" t="inlineStr">
        <is>
          <t>Upside / (downside) vs spot</t>
        </is>
      </c>
      <c r="B14" s="6" t="inlineStr"/>
      <c r="C14" s="32">
        <f>C13/Assumptions!$B$5-1</f>
        <v/>
      </c>
    </row>
    <row r="16">
      <c r="A16" s="5" t="inlineStr">
        <is>
          <t>DDM — the locked dividend policy as a lens</t>
        </is>
      </c>
    </row>
    <row r="17">
      <c r="A17" s="16" t="inlineStr">
        <is>
          <t>DPS (SAR)</t>
        </is>
      </c>
      <c r="C17" s="29">
        <f>Assumptions!C26</f>
        <v/>
      </c>
      <c r="D17" s="29">
        <f>Assumptions!D26</f>
        <v/>
      </c>
      <c r="E17" s="29">
        <f>Assumptions!E26</f>
        <v/>
      </c>
      <c r="F17" s="29">
        <f>Assumptions!F26</f>
        <v/>
      </c>
      <c r="G17" s="29">
        <f>Assumptions!G26</f>
        <v/>
      </c>
    </row>
    <row r="18">
      <c r="A18" s="6" t="inlineStr">
        <is>
          <t>PV of DPS @ Ke</t>
        </is>
      </c>
      <c r="C18" s="26">
        <f>C17/(1+Assumptions!$B$13)^1</f>
        <v/>
      </c>
      <c r="D18" s="26">
        <f>D17/(1+Assumptions!$B$13)^2</f>
        <v/>
      </c>
      <c r="E18" s="26">
        <f>E17/(1+Assumptions!$B$13)^3</f>
        <v/>
      </c>
      <c r="F18" s="26">
        <f>F17/(1+Assumptions!$B$13)^4</f>
        <v/>
      </c>
      <c r="G18" s="26">
        <f>G17/(1+Assumptions!$B$13)^5</f>
        <v/>
      </c>
    </row>
    <row r="19">
      <c r="A19" s="17" t="inlineStr">
        <is>
          <t>Σ PV of explicit DPS (FY26–30E)</t>
        </is>
      </c>
      <c r="C19" s="26">
        <f>SUM(C18:G18)</f>
        <v/>
      </c>
    </row>
    <row r="20">
      <c r="A20" s="17" t="inlineStr">
        <is>
          <t>Terminal value = DPS30 × (1+g) / (Ke − g)</t>
        </is>
      </c>
      <c r="C20" s="26">
        <f>G17*(1+Assumptions!$B$27)/(Assumptions!$B$13-Assumptions!$B$27)</f>
        <v/>
      </c>
    </row>
    <row r="21">
      <c r="A21" s="17" t="inlineStr">
        <is>
          <t>PV of terminal value</t>
        </is>
      </c>
      <c r="C21" s="26">
        <f>C20/(1+Assumptions!$B$13)^5</f>
        <v/>
      </c>
    </row>
    <row r="22">
      <c r="A22" s="16" t="inlineStr">
        <is>
          <t>DDM fair value per share (SAR)</t>
        </is>
      </c>
      <c r="C22" s="23">
        <f>C19+C21</f>
        <v/>
      </c>
    </row>
    <row r="23">
      <c r="A23" s="17" t="inlineStr">
        <is>
          <t xml:space="preserve">  terminal as % of DDM value (device A-7)</t>
        </is>
      </c>
      <c r="C23" s="18">
        <f>C21/C22</f>
        <v/>
      </c>
    </row>
    <row r="25">
      <c r="A25" s="8" t="inlineStr">
        <is>
          <t>Market-implied read: at spot, the market pays ≈ core EV of SAR 209bn for operations that produce ~SAR 10–11bn of model FCFF — an implied core FCFF yield of ~5% against a 7.6% WACC, i.e. the market already prices a large share of the terminal growth. The regular dividend (SAR 2.20 ≈ 5.0% yield) is ~0.9–1.0× covered by model FY26E FCF at the guided capex band — the balance sheet (SAR 15.4bn core cash) carries the difference; §1.7 of the study sensitizes this in real units.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Operating segments — the eleven the company discloses</t>
        </is>
      </c>
      <c r="B1" s="2" t="n"/>
      <c r="C1" s="2" t="n"/>
      <c r="D1" s="2" t="n"/>
      <c r="E1" s="2" t="n"/>
      <c r="F1" s="2" t="n"/>
      <c r="G1" s="2" t="n"/>
      <c r="H1" s="2" t="n"/>
      <c r="I1" s="2" t="n"/>
      <c r="J1" s="2" t="n"/>
    </row>
    <row r="2">
      <c r="A2" s="4" t="inlineStr">
        <is>
          <t>Note 9 of the audited statements, three filed years, each segment grown on ITS OWN measured real rate times the house Saudi inflation ladder. This sheet used to carry four BUSINESS UNITS with their historicals typed in — consumer, enterprise, wholesale and a subsidiaries residual — none of which the company reports and none of which the model is built 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stc</t>
        </is>
      </c>
      <c r="B6" s="9" t="n">
        <v>49218.179</v>
      </c>
      <c r="C6" s="9" t="n">
        <v>49643.893</v>
      </c>
      <c r="D6" s="9" t="n">
        <v>51119.024</v>
      </c>
      <c r="E6" s="17">
        <f>D6*(1+Assumptions!$C$54)*(1+Assumptions!$C$56)*Assumptions!$C$55</f>
        <v/>
      </c>
      <c r="F6" s="17">
        <f>E6*(1+Assumptions!$D$54)*(1+Assumptions!$D$56)*Assumptions!$D$55</f>
        <v/>
      </c>
      <c r="G6" s="17">
        <f>F6*(1+Assumptions!$E$54)*(1+Assumptions!$E$56)*Assumptions!$E$55</f>
        <v/>
      </c>
      <c r="H6" s="17">
        <f>G6*(1+Assumptions!$F$54)*(1+Assumptions!$F$56)*Assumptions!$F$55</f>
        <v/>
      </c>
      <c r="I6" s="17">
        <f>H6*(1+Assumptions!$G$54)*(1+Assumptions!$G$56)*Assumptions!$G$55</f>
        <v/>
      </c>
    </row>
    <row r="7">
      <c r="A7" s="17" t="inlineStr">
        <is>
          <t>Channels</t>
        </is>
      </c>
      <c r="B7" s="9" t="n">
        <v>14194.21</v>
      </c>
      <c r="C7" s="9" t="n">
        <v>15110.606</v>
      </c>
      <c r="D7" s="9" t="n">
        <v>14085.195</v>
      </c>
      <c r="E7" s="17">
        <f>D7*(1+Assumptions!$C$51)*(1+Assumptions!$C$56)*Assumptions!$C$55</f>
        <v/>
      </c>
      <c r="F7" s="17">
        <f>E7*(1+Assumptions!$D$51)*(1+Assumptions!$D$56)*Assumptions!$D$55</f>
        <v/>
      </c>
      <c r="G7" s="17">
        <f>F7*(1+Assumptions!$E$51)*(1+Assumptions!$E$56)*Assumptions!$E$55</f>
        <v/>
      </c>
      <c r="H7" s="17">
        <f>G7*(1+Assumptions!$F$51)*(1+Assumptions!$F$56)*Assumptions!$F$55</f>
        <v/>
      </c>
      <c r="I7" s="17">
        <f>H7*(1+Assumptions!$G$51)*(1+Assumptions!$G$56)*Assumptions!$G$55</f>
        <v/>
      </c>
    </row>
    <row r="8">
      <c r="A8" s="17" t="inlineStr">
        <is>
          <t>Solutions</t>
        </is>
      </c>
      <c r="B8" s="9" t="n">
        <v>11040.493</v>
      </c>
      <c r="C8" s="9" t="n">
        <v>12063.897</v>
      </c>
      <c r="D8" s="9" t="n">
        <v>12730.189</v>
      </c>
      <c r="E8" s="17">
        <f>D8*(1+Assumptions!$C$46)*(1+Assumptions!$C$56)*Assumptions!$C$55</f>
        <v/>
      </c>
      <c r="F8" s="17">
        <f>E8*(1+Assumptions!$D$46)*(1+Assumptions!$D$56)*Assumptions!$D$55</f>
        <v/>
      </c>
      <c r="G8" s="17">
        <f>F8*(1+Assumptions!$E$46)*(1+Assumptions!$E$56)*Assumptions!$E$55</f>
        <v/>
      </c>
      <c r="H8" s="17">
        <f>G8*(1+Assumptions!$F$46)*(1+Assumptions!$F$56)*Assumptions!$F$55</f>
        <v/>
      </c>
      <c r="I8" s="17">
        <f>H8*(1+Assumptions!$G$46)*(1+Assumptions!$G$56)*Assumptions!$G$55</f>
        <v/>
      </c>
    </row>
    <row r="9">
      <c r="A9" s="17" t="inlineStr">
        <is>
          <t>stc Kuwait</t>
        </is>
      </c>
      <c r="B9" s="9" t="n">
        <v>3986.034</v>
      </c>
      <c r="C9" s="9" t="n">
        <v>4105.483</v>
      </c>
      <c r="D9" s="9" t="n">
        <v>4179.842</v>
      </c>
      <c r="E9" s="17">
        <f>D9*(1+Assumptions!$C$52)*(1+Assumptions!$C$56)*Assumptions!$C$55</f>
        <v/>
      </c>
      <c r="F9" s="17">
        <f>E9*(1+Assumptions!$D$52)*(1+Assumptions!$D$56)*Assumptions!$D$55</f>
        <v/>
      </c>
      <c r="G9" s="17">
        <f>F9*(1+Assumptions!$E$52)*(1+Assumptions!$E$56)*Assumptions!$E$55</f>
        <v/>
      </c>
      <c r="H9" s="17">
        <f>G9*(1+Assumptions!$F$52)*(1+Assumptions!$F$56)*Assumptions!$F$55</f>
        <v/>
      </c>
      <c r="I9" s="17">
        <f>H9*(1+Assumptions!$G$52)*(1+Assumptions!$G$56)*Assumptions!$G$55</f>
        <v/>
      </c>
    </row>
    <row r="10">
      <c r="A10" s="17" t="inlineStr">
        <is>
          <t>stc Bahrain</t>
        </is>
      </c>
      <c r="B10" s="9" t="n">
        <v>1913.287</v>
      </c>
      <c r="C10" s="9" t="n">
        <v>1927.967</v>
      </c>
      <c r="D10" s="9" t="n">
        <v>1967.83</v>
      </c>
      <c r="E10" s="17">
        <f>D10*(1+Assumptions!$C$53)*(1+Assumptions!$C$56)*Assumptions!$C$55</f>
        <v/>
      </c>
      <c r="F10" s="17">
        <f>E10*(1+Assumptions!$D$53)*(1+Assumptions!$D$56)*Assumptions!$D$55</f>
        <v/>
      </c>
      <c r="G10" s="17">
        <f>F10*(1+Assumptions!$E$53)*(1+Assumptions!$E$56)*Assumptions!$E$55</f>
        <v/>
      </c>
      <c r="H10" s="17">
        <f>G10*(1+Assumptions!$F$53)*(1+Assumptions!$F$56)*Assumptions!$F$55</f>
        <v/>
      </c>
      <c r="I10" s="17">
        <f>H10*(1+Assumptions!$G$53)*(1+Assumptions!$G$56)*Assumptions!$G$55</f>
        <v/>
      </c>
    </row>
    <row r="11">
      <c r="A11" s="17" t="inlineStr">
        <is>
          <t>Center 3</t>
        </is>
      </c>
      <c r="B11" s="9" t="n">
        <v>1089.218</v>
      </c>
      <c r="C11" s="9" t="n">
        <v>1911.716</v>
      </c>
      <c r="D11" s="9" t="n">
        <v>1961.666</v>
      </c>
      <c r="E11" s="17">
        <f>D11*(1+Assumptions!$C$47)*(1+Assumptions!$C$56)*Assumptions!$C$55</f>
        <v/>
      </c>
      <c r="F11" s="17">
        <f>E11*(1+Assumptions!$D$47)*(1+Assumptions!$D$56)*Assumptions!$D$55</f>
        <v/>
      </c>
      <c r="G11" s="17">
        <f>F11*(1+Assumptions!$E$47)*(1+Assumptions!$E$56)*Assumptions!$E$55</f>
        <v/>
      </c>
      <c r="H11" s="17">
        <f>G11*(1+Assumptions!$F$47)*(1+Assumptions!$F$56)*Assumptions!$F$55</f>
        <v/>
      </c>
      <c r="I11" s="17">
        <f>H11*(1+Assumptions!$G$47)*(1+Assumptions!$G$56)*Assumptions!$G$55</f>
        <v/>
      </c>
    </row>
    <row r="12">
      <c r="A12" s="17" t="inlineStr">
        <is>
          <t>stc Bank</t>
        </is>
      </c>
      <c r="B12" s="9" t="n">
        <v>1063.006</v>
      </c>
      <c r="C12" s="9" t="n">
        <v>1261.646</v>
      </c>
      <c r="D12" s="9" t="n">
        <v>1401.027</v>
      </c>
      <c r="E12" s="17">
        <f>D12*(1+Assumptions!$C$44)*(1+Assumptions!$C$56)*Assumptions!$C$55</f>
        <v/>
      </c>
      <c r="F12" s="17">
        <f>E12*(1+Assumptions!$D$44)*(1+Assumptions!$D$56)*Assumptions!$D$55</f>
        <v/>
      </c>
      <c r="G12" s="17">
        <f>F12*(1+Assumptions!$E$44)*(1+Assumptions!$E$56)*Assumptions!$E$55</f>
        <v/>
      </c>
      <c r="H12" s="17">
        <f>G12*(1+Assumptions!$F$44)*(1+Assumptions!$F$56)*Assumptions!$F$55</f>
        <v/>
      </c>
      <c r="I12" s="17">
        <f>H12*(1+Assumptions!$G$44)*(1+Assumptions!$G$56)*Assumptions!$G$55</f>
        <v/>
      </c>
    </row>
    <row r="13">
      <c r="A13" s="17" t="inlineStr">
        <is>
          <t>Sirar</t>
        </is>
      </c>
      <c r="B13" s="9" t="n">
        <v>588.606</v>
      </c>
      <c r="C13" s="9" t="n">
        <v>732.675</v>
      </c>
      <c r="D13" s="9" t="n">
        <v>826.545</v>
      </c>
      <c r="E13" s="17">
        <f>D13*(1+Assumptions!$C$43)*(1+Assumptions!$C$56)*Assumptions!$C$55</f>
        <v/>
      </c>
      <c r="F13" s="17">
        <f>E13*(1+Assumptions!$D$43)*(1+Assumptions!$D$56)*Assumptions!$D$55</f>
        <v/>
      </c>
      <c r="G13" s="17">
        <f>F13*(1+Assumptions!$E$43)*(1+Assumptions!$E$56)*Assumptions!$E$55</f>
        <v/>
      </c>
      <c r="H13" s="17">
        <f>G13*(1+Assumptions!$F$43)*(1+Assumptions!$F$56)*Assumptions!$F$55</f>
        <v/>
      </c>
      <c r="I13" s="17">
        <f>H13*(1+Assumptions!$G$43)*(1+Assumptions!$G$56)*Assumptions!$G$55</f>
        <v/>
      </c>
    </row>
    <row r="14">
      <c r="A14" s="17" t="inlineStr">
        <is>
          <t>Specialized</t>
        </is>
      </c>
      <c r="B14" s="9" t="n">
        <v>397.492</v>
      </c>
      <c r="C14" s="9" t="n">
        <v>371.763</v>
      </c>
      <c r="D14" s="9" t="n">
        <v>355.306</v>
      </c>
      <c r="E14" s="17">
        <f>D14*(1+Assumptions!$C$45)*(1+Assumptions!$C$56)*Assumptions!$C$55</f>
        <v/>
      </c>
      <c r="F14" s="17">
        <f>E14*(1+Assumptions!$D$45)*(1+Assumptions!$D$56)*Assumptions!$D$55</f>
        <v/>
      </c>
      <c r="G14" s="17">
        <f>F14*(1+Assumptions!$E$45)*(1+Assumptions!$E$56)*Assumptions!$E$55</f>
        <v/>
      </c>
      <c r="H14" s="17">
        <f>G14*(1+Assumptions!$F$45)*(1+Assumptions!$F$56)*Assumptions!$F$55</f>
        <v/>
      </c>
      <c r="I14" s="17">
        <f>H14*(1+Assumptions!$G$45)*(1+Assumptions!$G$56)*Assumptions!$G$55</f>
        <v/>
      </c>
    </row>
    <row r="15">
      <c r="A15" s="17" t="inlineStr">
        <is>
          <t>iot2</t>
        </is>
      </c>
      <c r="B15" s="9" t="n">
        <v>72.539</v>
      </c>
      <c r="C15" s="9" t="n">
        <v>301.434</v>
      </c>
      <c r="D15" s="9" t="n">
        <v>321.668</v>
      </c>
      <c r="E15" s="17">
        <f>D15*(1+Assumptions!$C$48)*(1+Assumptions!$C$56)*Assumptions!$C$55</f>
        <v/>
      </c>
      <c r="F15" s="17">
        <f>E15*(1+Assumptions!$D$48)*(1+Assumptions!$D$56)*Assumptions!$D$55</f>
        <v/>
      </c>
      <c r="G15" s="17">
        <f>F15*(1+Assumptions!$E$48)*(1+Assumptions!$E$56)*Assumptions!$E$55</f>
        <v/>
      </c>
      <c r="H15" s="17">
        <f>G15*(1+Assumptions!$F$48)*(1+Assumptions!$F$56)*Assumptions!$F$55</f>
        <v/>
      </c>
      <c r="I15" s="17">
        <f>H15*(1+Assumptions!$G$48)*(1+Assumptions!$G$56)*Assumptions!$G$55</f>
        <v/>
      </c>
    </row>
    <row r="16">
      <c r="A16" s="17" t="inlineStr">
        <is>
          <t>SCCC</t>
        </is>
      </c>
      <c r="B16" s="9" t="n">
        <v>72.15000000000001</v>
      </c>
      <c r="C16" s="9" t="n">
        <v>187.904</v>
      </c>
      <c r="D16" s="9" t="n">
        <v>303.969</v>
      </c>
      <c r="E16" s="17">
        <f>D16*(1+Assumptions!$C$49)*(1+Assumptions!$C$56)*Assumptions!$C$55</f>
        <v/>
      </c>
      <c r="F16" s="17">
        <f>E16*(1+Assumptions!$D$49)*(1+Assumptions!$D$56)*Assumptions!$D$55</f>
        <v/>
      </c>
      <c r="G16" s="17">
        <f>F16*(1+Assumptions!$E$49)*(1+Assumptions!$E$56)*Assumptions!$E$55</f>
        <v/>
      </c>
      <c r="H16" s="17">
        <f>G16*(1+Assumptions!$F$49)*(1+Assumptions!$F$56)*Assumptions!$F$55</f>
        <v/>
      </c>
      <c r="I16" s="17">
        <f>H16*(1+Assumptions!$G$49)*(1+Assumptions!$G$56)*Assumptions!$G$55</f>
        <v/>
      </c>
    </row>
    <row r="17">
      <c r="A17" s="17" t="inlineStr">
        <is>
          <t>Other operating segments</t>
        </is>
      </c>
      <c r="B17" s="9" t="n">
        <v>709.843</v>
      </c>
      <c r="C17" s="9" t="n">
        <v>729.345</v>
      </c>
      <c r="D17" s="9" t="n">
        <v>65.059</v>
      </c>
      <c r="E17" s="17">
        <f>D17*(1+Assumptions!$C$50)*(1+Assumptions!$C$56)*Assumptions!$C$55</f>
        <v/>
      </c>
      <c r="F17" s="17">
        <f>E17*(1+Assumptions!$D$50)*(1+Assumptions!$D$56)*Assumptions!$D$55</f>
        <v/>
      </c>
      <c r="G17" s="17">
        <f>F17*(1+Assumptions!$E$50)*(1+Assumptions!$E$56)*Assumptions!$E$55</f>
        <v/>
      </c>
      <c r="H17" s="17">
        <f>G17*(1+Assumptions!$F$50)*(1+Assumptions!$F$56)*Assumptions!$F$55</f>
        <v/>
      </c>
      <c r="I17" s="17">
        <f>H17*(1+Assumptions!$G$50)*(1+Assumptions!$G$56)*Assumptions!$G$55</f>
        <v/>
      </c>
    </row>
    <row r="18">
      <c r="A18" s="17" t="inlineStr">
        <is>
          <t>Gross segment revenue</t>
        </is>
      </c>
      <c r="B18" s="6">
        <f>SUM(B6:B17)</f>
        <v/>
      </c>
      <c r="C18" s="6">
        <f>SUM(C6:C17)</f>
        <v/>
      </c>
      <c r="D18" s="6">
        <f>SUM(D6:D17)</f>
        <v/>
      </c>
      <c r="E18" s="17">
        <f>SUM(E6:E17)</f>
        <v/>
      </c>
      <c r="F18" s="17">
        <f>SUM(F6:F17)</f>
        <v/>
      </c>
      <c r="G18" s="17">
        <f>SUM(G6:G17)</f>
        <v/>
      </c>
      <c r="H18" s="17">
        <f>SUM(H6:H17)</f>
        <v/>
      </c>
      <c r="I18" s="17">
        <f>SUM(I6:I17)</f>
        <v/>
      </c>
    </row>
    <row r="19">
      <c r="A19" s="17" t="inlineStr">
        <is>
          <t>Eliminations / adjustments</t>
        </is>
      </c>
      <c r="B19" s="9" t="n">
        <v>-12567.896</v>
      </c>
      <c r="C19" s="9" t="n">
        <v>-12454.916</v>
      </c>
      <c r="D19" s="9" t="n">
        <v>-11498.645</v>
      </c>
      <c r="E19" s="17">
        <f>E18*Assumptions!$C$57</f>
        <v/>
      </c>
      <c r="F19" s="17">
        <f>F18*Assumptions!$D$57</f>
        <v/>
      </c>
      <c r="G19" s="17">
        <f>G18*Assumptions!$E$57</f>
        <v/>
      </c>
      <c r="H19" s="17">
        <f>H18*Assumptions!$F$57</f>
        <v/>
      </c>
      <c r="I19" s="17">
        <f>I18*Assumptions!$G$57</f>
        <v/>
      </c>
    </row>
    <row r="20">
      <c r="A20" s="17" t="inlineStr">
        <is>
          <t>Group revenue</t>
        </is>
      </c>
      <c r="B20" s="6">
        <f>B18+B19</f>
        <v/>
      </c>
      <c r="C20" s="6">
        <f>C18+C19</f>
        <v/>
      </c>
      <c r="D20" s="6">
        <f>D18+D19</f>
        <v/>
      </c>
      <c r="E20" s="17">
        <f>E18+E19</f>
        <v/>
      </c>
      <c r="F20" s="17">
        <f>F18+F19</f>
        <v/>
      </c>
      <c r="G20" s="17">
        <f>G18+G19</f>
        <v/>
      </c>
      <c r="H20" s="17">
        <f>H18+H19</f>
        <v/>
      </c>
      <c r="I20" s="17">
        <f>I18+I19</f>
        <v/>
      </c>
    </row>
    <row r="22">
      <c r="A22" s="17" t="inlineStr">
        <is>
          <t>Group EBITDA</t>
        </is>
      </c>
      <c r="B22" s="9" t="n">
        <v>22445</v>
      </c>
      <c r="C22" s="9" t="n">
        <v>23951</v>
      </c>
      <c r="D22" s="9" t="n">
        <v>24469</v>
      </c>
      <c r="E22" s="17">
        <f>E20*Assumptions!$C$58</f>
        <v/>
      </c>
      <c r="F22" s="17">
        <f>F20*Assumptions!$D$58</f>
        <v/>
      </c>
      <c r="G22" s="17">
        <f>G20*Assumptions!$E$58</f>
        <v/>
      </c>
      <c r="H22" s="17">
        <f>H20*Assumptions!$F$58</f>
        <v/>
      </c>
      <c r="I22" s="17">
        <f>I20*Assumptions!$G$58</f>
        <v/>
      </c>
    </row>
    <row r="23">
      <c r="A23" s="17" t="inlineStr">
        <is>
          <t>EBITDA margin</t>
        </is>
      </c>
      <c r="B23" s="18">
        <f>B22/B20</f>
        <v/>
      </c>
      <c r="C23" s="18">
        <f>C22/C20</f>
        <v/>
      </c>
      <c r="D23" s="18">
        <f>D22/D20</f>
        <v/>
      </c>
      <c r="E23" s="18">
        <f>E22/E20</f>
        <v/>
      </c>
      <c r="F23" s="18">
        <f>F22/F20</f>
        <v/>
      </c>
      <c r="G23" s="18">
        <f>G22/G20</f>
        <v/>
      </c>
      <c r="H23" s="18">
        <f>H22/H20</f>
        <v/>
      </c>
      <c r="I23" s="18">
        <f>I22/I20</f>
        <v/>
      </c>
    </row>
    <row r="26">
      <c r="A26" s="8" t="inlineStr">
        <is>
          <t>Every forecast cell above is a formula: the prior year times one plus the segment's own real rate times one plus the house inflation ladder, both read from Assumptions. Move a rate there and this sheet moves.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44" customWidth="1" min="1" max="1"/>
    <col width="52" customWidth="1" min="2" max="2"/>
    <col width="12" customWidth="1" min="3" max="3"/>
    <col width="12" customWidth="1" min="4" max="4"/>
    <col width="12" customWidth="1" min="5" max="5"/>
    <col width="12" customWidth="1" min="6" max="6"/>
    <col width="12" customWidth="1" min="7" max="7"/>
  </cols>
  <sheetData>
    <row r="1">
      <c r="A1" s="1" t="inlineStr">
        <is>
          <t>Relative &amp; normalized-earnings lenses</t>
        </is>
      </c>
      <c r="B1" s="2" t="n"/>
      <c r="C1" s="2" t="n"/>
      <c r="D1" s="2" t="n"/>
      <c r="E1" s="2" t="n"/>
      <c r="F1" s="2" t="n"/>
      <c r="G1" s="2" t="n"/>
    </row>
    <row r="2">
      <c r="A2" s="4" t="inlineStr">
        <is>
          <t>Links to Assumptions, DCF and the Income Statement.</t>
        </is>
      </c>
    </row>
    <row r="5">
      <c r="A5" s="5" t="inlineStr">
        <is>
          <t>Lens</t>
        </is>
      </c>
      <c r="B5" s="5" t="inlineStr">
        <is>
          <t>Workings</t>
        </is>
      </c>
      <c r="C5" s="5" t="inlineStr">
        <is>
          <t>SAR/share</t>
        </is>
      </c>
    </row>
    <row r="6">
      <c r="A6" s="17" t="inlineStr">
        <is>
          <t>Relative EV/EBITDA</t>
        </is>
      </c>
      <c r="B6" s="8" t="inlineStr">
        <is>
          <t>FY26E EBITDA × justified multiple + stakes − net debt − NCI, /sh</t>
        </is>
      </c>
      <c r="C6" s="29">
        <f>(DCF!B7*Assumptions!$B$30+Assumptions!$B$20+Assumptions!$B$21+Assumptions!$B$22-Assumptions!$B$23)*(1-Assumptions!$B$28)/Assumptions!$B$6</f>
        <v/>
      </c>
    </row>
    <row r="7">
      <c r="A7" s="17" t="inlineStr">
        <is>
          <t xml:space="preserve">  implied P/E cross-check at that value</t>
        </is>
      </c>
      <c r="C7" s="33">
        <f>C6*Assumptions!$B$6/Assumptions!$B$31</f>
        <v/>
      </c>
    </row>
    <row r="8">
      <c r="A8" s="17" t="inlineStr">
        <is>
          <t xml:space="preserve">  IS-build FY26E EPS, for reference</t>
        </is>
      </c>
      <c r="C8" s="29">
        <f>'Income Statement'!E21</f>
        <v/>
      </c>
    </row>
    <row r="9">
      <c r="A9" s="17" t="inlineStr">
        <is>
          <t>Normalized earnings power</t>
        </is>
      </c>
      <c r="B9" s="8" t="inlineStr">
        <is>
          <t>Normalized PAT (ex one-offs) × through-cycle P/E, /sh</t>
        </is>
      </c>
      <c r="C9" s="29">
        <f>Assumptions!$B$32*Assumptions!$B$33/Assumptions!$B$6</f>
        <v/>
      </c>
    </row>
    <row r="10">
      <c r="A10" s="17" t="inlineStr">
        <is>
          <t xml:space="preserve">  normalized EPS (SAR)</t>
        </is>
      </c>
      <c r="C10" s="29">
        <f>Assumptions!$B$32/Assumptions!$B$6</f>
        <v/>
      </c>
    </row>
    <row r="12">
      <c r="A12" s="17" t="inlineStr">
        <is>
          <t>P/B cross-check: spot / FY25 BVPS</t>
        </is>
      </c>
      <c r="C12" s="33">
        <f>Assumptions!$B$5/('Balance Sheet'!D14/Assumptions!$B$6)</f>
        <v/>
      </c>
    </row>
    <row r="13">
      <c r="A13" s="8" t="inlineStr">
        <is>
          <t>Dividend yield — two framings: regular declared 2.20/sh = 5.0%; cash paid during 2025 (incl. the SAR 2.00 special for FY24) 4.20/sh = 9.6%.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going-concern FCFF, explicit 5 years</t>
        </is>
      </c>
      <c r="B1" s="2" t="n"/>
      <c r="C1" s="2" t="n"/>
      <c r="D1" s="2" t="n"/>
      <c r="E1" s="2" t="n"/>
      <c r="F1" s="2" t="n"/>
      <c r="G1" s="2" t="n"/>
      <c r="H1" s="2" t="n"/>
    </row>
    <row r="2">
      <c r="A2" s="4" t="inlineStr">
        <is>
          <t>Revenue → EBITDA → D&amp;A → EBIT → NOPAT → +D&amp;A → −Capex → −ΔWC → FCFF → discount factor → PV. WACC built bottom-up on Assumptions (rf + β×ERP, both ERP bases published).</t>
        </is>
      </c>
    </row>
    <row r="4">
      <c r="B4" s="5" t="inlineStr">
        <is>
          <t>FY26E</t>
        </is>
      </c>
      <c r="C4" s="5" t="inlineStr">
        <is>
          <t>FY27E</t>
        </is>
      </c>
      <c r="D4" s="5" t="inlineStr">
        <is>
          <t>FY28E</t>
        </is>
      </c>
      <c r="E4" s="5" t="inlineStr">
        <is>
          <t>FY29E</t>
        </is>
      </c>
      <c r="F4" s="5" t="inlineStr">
        <is>
          <t>FY30E</t>
        </is>
      </c>
    </row>
    <row r="6">
      <c r="A6" s="6" t="inlineStr">
        <is>
          <t>Group revenue</t>
        </is>
      </c>
      <c r="B6" s="19">
        <f>Segments!E20</f>
        <v/>
      </c>
      <c r="C6" s="19">
        <f>Segments!F20</f>
        <v/>
      </c>
      <c r="D6" s="19">
        <f>Segments!G20</f>
        <v/>
      </c>
      <c r="E6" s="19">
        <f>Segments!H20</f>
        <v/>
      </c>
      <c r="F6" s="19">
        <f>Segments!I20</f>
        <v/>
      </c>
    </row>
    <row r="7">
      <c r="A7" s="6" t="inlineStr">
        <is>
          <t>EBITDA</t>
        </is>
      </c>
      <c r="B7" s="19">
        <f>Segments!E22</f>
        <v/>
      </c>
      <c r="C7" s="19">
        <f>Segments!F22</f>
        <v/>
      </c>
      <c r="D7" s="19">
        <f>Segments!G22</f>
        <v/>
      </c>
      <c r="E7" s="19">
        <f>Segments!H22</f>
        <v/>
      </c>
      <c r="F7" s="19">
        <f>Segments!I22</f>
        <v/>
      </c>
    </row>
    <row r="8">
      <c r="A8" s="6" t="inlineStr">
        <is>
          <t>D&amp;A</t>
        </is>
      </c>
      <c r="B8" s="17">
        <f>-B6*Assumptions!$C$59</f>
        <v/>
      </c>
      <c r="C8" s="17">
        <f>-C6*Assumptions!$D$59</f>
        <v/>
      </c>
      <c r="D8" s="17">
        <f>-D6*Assumptions!$E$59</f>
        <v/>
      </c>
      <c r="E8" s="17">
        <f>-E6*Assumptions!$F$59</f>
        <v/>
      </c>
      <c r="F8" s="17">
        <f>-F6*Assumptions!$G$59</f>
        <v/>
      </c>
    </row>
    <row r="9">
      <c r="A9" s="6" t="inlineStr">
        <is>
          <t>EBIT</t>
        </is>
      </c>
      <c r="B9" s="17">
        <f>B7+B8</f>
        <v/>
      </c>
      <c r="C9" s="17">
        <f>C7+C8</f>
        <v/>
      </c>
      <c r="D9" s="17">
        <f>D7+D8</f>
        <v/>
      </c>
      <c r="E9" s="17">
        <f>E7+E8</f>
        <v/>
      </c>
      <c r="F9" s="17">
        <f>F7+F8</f>
        <v/>
      </c>
    </row>
    <row r="10">
      <c r="A10" s="6" t="inlineStr">
        <is>
          <t>NOPAT = EBIT × (1 − zakat/tax)</t>
        </is>
      </c>
      <c r="B10" s="17">
        <f>B9*(1-Assumptions!$B$7)</f>
        <v/>
      </c>
      <c r="C10" s="17">
        <f>C9*(1-Assumptions!$B$7)</f>
        <v/>
      </c>
      <c r="D10" s="17">
        <f>D9*(1-Assumptions!$B$7)</f>
        <v/>
      </c>
      <c r="E10" s="17">
        <f>E9*(1-Assumptions!$B$7)</f>
        <v/>
      </c>
      <c r="F10" s="17">
        <f>F9*(1-Assumptions!$B$7)</f>
        <v/>
      </c>
    </row>
    <row r="11">
      <c r="A11" s="6" t="inlineStr">
        <is>
          <t>+ D&amp;A</t>
        </is>
      </c>
      <c r="B11" s="17">
        <f>-B8</f>
        <v/>
      </c>
      <c r="C11" s="17">
        <f>-C8</f>
        <v/>
      </c>
      <c r="D11" s="17">
        <f>-D8</f>
        <v/>
      </c>
      <c r="E11" s="17">
        <f>-E8</f>
        <v/>
      </c>
      <c r="F11" s="17">
        <f>-F8</f>
        <v/>
      </c>
    </row>
    <row r="12">
      <c r="A12" s="6" t="inlineStr">
        <is>
          <t>− Capex</t>
        </is>
      </c>
      <c r="B12" s="17">
        <f>-B6*Assumptions!$C$60</f>
        <v/>
      </c>
      <c r="C12" s="17">
        <f>-C6*Assumptions!$D$60</f>
        <v/>
      </c>
      <c r="D12" s="17">
        <f>-D6*Assumptions!$E$60</f>
        <v/>
      </c>
      <c r="E12" s="17">
        <f>-E6*Assumptions!$F$60</f>
        <v/>
      </c>
      <c r="F12" s="17">
        <f>-F6*Assumptions!$G$60</f>
        <v/>
      </c>
    </row>
    <row r="13">
      <c r="A13" s="6" t="inlineStr">
        <is>
          <t>− Increase in net working capital</t>
        </is>
      </c>
      <c r="B13" s="17">
        <f>-B6*Assumptions!$C$61</f>
        <v/>
      </c>
      <c r="C13" s="17">
        <f>-C6*Assumptions!$D$61</f>
        <v/>
      </c>
      <c r="D13" s="17">
        <f>-D6*Assumptions!$E$61</f>
        <v/>
      </c>
      <c r="E13" s="17">
        <f>-E6*Assumptions!$F$61</f>
        <v/>
      </c>
      <c r="F13" s="17">
        <f>-F6*Assumptions!$G$61</f>
        <v/>
      </c>
    </row>
    <row r="14">
      <c r="A14" s="16" t="inlineStr">
        <is>
          <t>FCFF</t>
        </is>
      </c>
      <c r="B14" s="20">
        <f>SUM(B10:B13)</f>
        <v/>
      </c>
      <c r="C14" s="20">
        <f>SUM(C10:C13)</f>
        <v/>
      </c>
      <c r="D14" s="20">
        <f>SUM(D10:D13)</f>
        <v/>
      </c>
      <c r="E14" s="20">
        <f>SUM(E10:E13)</f>
        <v/>
      </c>
      <c r="F14" s="20">
        <f>SUM(F10:F13)</f>
        <v/>
      </c>
    </row>
    <row r="15">
      <c r="A15" s="6" t="inlineStr">
        <is>
          <t>Discount factor</t>
        </is>
      </c>
      <c r="B15" s="21">
        <f>1/(1+Assumptions!$B$17)^1</f>
        <v/>
      </c>
      <c r="C15" s="21">
        <f>1/(1+Assumptions!$B$17)^2</f>
        <v/>
      </c>
      <c r="D15" s="21">
        <f>1/(1+Assumptions!$B$17)^3</f>
        <v/>
      </c>
      <c r="E15" s="21">
        <f>1/(1+Assumptions!$B$17)^4</f>
        <v/>
      </c>
      <c r="F15" s="21">
        <f>1/(1+Assumptions!$B$17)^5</f>
        <v/>
      </c>
    </row>
    <row r="16">
      <c r="A16" s="16" t="inlineStr">
        <is>
          <t>PV of FCFF</t>
        </is>
      </c>
      <c r="B16" s="20">
        <f>B14*B15</f>
        <v/>
      </c>
      <c r="C16" s="20">
        <f>C14*C15</f>
        <v/>
      </c>
      <c r="D16" s="20">
        <f>D14*D15</f>
        <v/>
      </c>
      <c r="E16" s="20">
        <f>E14*E15</f>
        <v/>
      </c>
      <c r="F16" s="20">
        <f>F14*F15</f>
        <v/>
      </c>
    </row>
    <row r="18">
      <c r="A18" s="16" t="inlineStr">
        <is>
          <t>Σ PV of explicit FCFF (FY26–30E)</t>
        </is>
      </c>
      <c r="B18" s="20">
        <f>SUM(B16:F16)</f>
        <v/>
      </c>
    </row>
    <row r="19">
      <c r="A19" s="6" t="inlineStr">
        <is>
          <t>Terminal NOPAT</t>
        </is>
      </c>
      <c r="B19" s="17" t="n">
        <v>15445.66512484251</v>
      </c>
    </row>
    <row r="20">
      <c r="A20" s="6" t="inlineStr">
        <is>
          <t>+ book depreciation added back</t>
        </is>
      </c>
      <c r="B20" s="17" t="n">
        <v>11436.60312602409</v>
      </c>
    </row>
    <row r="21">
      <c r="A21" s="6" t="inlineStr">
        <is>
          <t>- maintenance at current cost (disclosed life 15.23 years)</t>
        </is>
      </c>
      <c r="B21" s="17" t="n">
        <v>-15461.02067352931</v>
      </c>
    </row>
    <row r="22">
      <c r="A22" s="6" t="inlineStr">
        <is>
          <t>- capital that real growth needs</t>
        </is>
      </c>
      <c r="B22" s="17" t="n">
        <v>0</v>
      </c>
    </row>
    <row r="23">
      <c r="A23" s="6" t="inlineStr">
        <is>
          <t>- inflation on working capital</t>
        </is>
      </c>
      <c r="B23" s="17" t="n">
        <v>-271.10088</v>
      </c>
    </row>
    <row r="24">
      <c r="A24" s="16" t="inlineStr">
        <is>
          <t>Terminal free cash flow</t>
        </is>
      </c>
      <c r="B24" s="20">
        <f>SUM(B19:B23)</f>
        <v/>
      </c>
    </row>
    <row r="25">
      <c r="A25" s="6" t="inlineStr">
        <is>
          <t>Terminal value</t>
        </is>
      </c>
      <c r="B25" s="17">
        <f>B24*(1+Assumptions!$B$18)/(Assumptions!$B$17-Assumptions!$B$18)</f>
        <v/>
      </c>
    </row>
    <row r="26">
      <c r="A26" s="6" t="inlineStr">
        <is>
          <t>PV of terminal value</t>
        </is>
      </c>
      <c r="B26" s="17">
        <f>B25*F15</f>
        <v/>
      </c>
    </row>
    <row r="27">
      <c r="A27" s="16" t="inlineStr">
        <is>
          <t>Enterprise value — core operations</t>
        </is>
      </c>
      <c r="B27" s="20">
        <f>B18+B26</f>
        <v/>
      </c>
    </row>
    <row r="28">
      <c r="A28" s="16" t="inlineStr">
        <is>
          <t>% terminal of EV (device A-7)</t>
        </is>
      </c>
      <c r="B28" s="22">
        <f>B26/B27</f>
        <v/>
      </c>
    </row>
    <row r="29">
      <c r="A29" s="6" t="inlineStr">
        <is>
          <t>+ Investments in associates (DIIC/TAWAL 43.06%)</t>
        </is>
      </c>
      <c r="B29" s="17">
        <f>Assumptions!$B$20</f>
        <v/>
      </c>
    </row>
    <row r="30">
      <c r="A30" s="6" t="inlineStr">
        <is>
          <t>+ Telefónica 9.97% (market mark)</t>
        </is>
      </c>
      <c r="B30" s="17">
        <f>Assumptions!$B$21</f>
        <v/>
      </c>
    </row>
    <row r="31">
      <c r="A31" s="6" t="inlineStr">
        <is>
          <t>− Net debt (IR basis, Q1-26)</t>
        </is>
      </c>
      <c r="B31" s="17">
        <f>-Assumptions!$B$23</f>
        <v/>
      </c>
    </row>
    <row r="32">
      <c r="A32" s="6" t="inlineStr">
        <is>
          <t>− Non-controlling interests</t>
        </is>
      </c>
      <c r="B32" s="17">
        <f>-Assumptions!$B$24</f>
        <v/>
      </c>
    </row>
    <row r="33">
      <c r="A33" s="6" t="inlineStr">
        <is>
          <t>+ Investment funds and unlisted equity investments</t>
        </is>
      </c>
      <c r="B33" s="17">
        <f>Assumptions!$B$22</f>
        <v/>
      </c>
    </row>
    <row r="34">
      <c r="A34" s="16" t="inlineStr">
        <is>
          <t>Equity value</t>
        </is>
      </c>
      <c r="B34" s="20">
        <f>B27+Assumptions!$B$20+Assumptions!$B$21+Assumptions!$B$22-Assumptions!$B$23-Assumptions!$B$24</f>
        <v/>
      </c>
    </row>
    <row r="35">
      <c r="A35" s="16" t="inlineStr">
        <is>
          <t>DCF fair value per share (SAR)</t>
        </is>
      </c>
      <c r="B35" s="23">
        <f>B34/Assumptions!$B$6</f>
        <v/>
      </c>
    </row>
    <row r="36">
      <c r="A36" s="6" t="inlineStr">
        <is>
          <t>Upside / (downside) vs spot</t>
        </is>
      </c>
      <c r="B36" s="18">
        <f>B35/Assumptions!$B$5-1</f>
        <v/>
      </c>
    </row>
    <row r="38">
      <c r="A38" s="8" t="inlineStr">
        <is>
          <t>WACC is built on Assumptions as Ke = rf + β×ERP blended with after-tax Kd (§3.5-G); the alternative CDS-based WACC is on Assumptions row 88. Terminal value is disclosed as % of EV above rather than blended away (device A-7).</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(SAR mn, consolidated, continuing operations)</t>
        </is>
      </c>
      <c r="B1" s="2" t="n"/>
      <c r="C1" s="2" t="n"/>
      <c r="D1" s="2" t="n"/>
      <c r="E1" s="2" t="n"/>
      <c r="F1" s="2" t="n"/>
      <c r="G1" s="2" t="n"/>
      <c r="H1" s="2" t="n"/>
      <c r="I1" s="2" t="n"/>
      <c r="J1" s="2" t="n"/>
    </row>
    <row r="2">
      <c r="A2" s="4" t="inlineStr">
        <is>
          <t>FY23–FY25 as disclosed in stc IR releases, restated continuing-ops basis (blue); FY26E–FY30E formulas linked to Segments and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6" t="inlineStr">
        <is>
          <t>Total revenue</t>
        </is>
      </c>
      <c r="B6" s="24" t="n">
        <v>71777</v>
      </c>
      <c r="C6" s="24" t="n">
        <v>75893</v>
      </c>
      <c r="D6" s="24" t="n">
        <v>77819</v>
      </c>
      <c r="E6" s="25">
        <f>Segments!E20</f>
        <v/>
      </c>
      <c r="F6" s="25">
        <f>Segments!F20</f>
        <v/>
      </c>
      <c r="G6" s="25">
        <f>Segments!G20</f>
        <v/>
      </c>
      <c r="H6" s="25">
        <f>Segments!H20</f>
        <v/>
      </c>
      <c r="I6" s="25">
        <f>Segments!I20</f>
        <v/>
      </c>
    </row>
    <row r="7">
      <c r="A7" s="6" t="inlineStr">
        <is>
          <t>Gross profit</t>
        </is>
      </c>
      <c r="B7" s="9" t="n">
        <v>34740</v>
      </c>
      <c r="C7" s="9" t="n">
        <v>37326</v>
      </c>
      <c r="D7" s="9" t="n">
        <v>37700</v>
      </c>
      <c r="E7" s="17">
        <f>E6*Assumptions!$C$55</f>
        <v/>
      </c>
      <c r="F7" s="17">
        <f>F6*Assumptions!$D$55</f>
        <v/>
      </c>
      <c r="G7" s="17">
        <f>G6*Assumptions!$E$55</f>
        <v/>
      </c>
      <c r="H7" s="17">
        <f>H6*Assumptions!$F$55</f>
        <v/>
      </c>
      <c r="I7" s="17">
        <f>I6*Assumptions!$G$55</f>
        <v/>
      </c>
    </row>
    <row r="8">
      <c r="A8" s="6" t="inlineStr">
        <is>
          <t>Gross margin</t>
        </is>
      </c>
      <c r="B8" s="18">
        <f>B7/B6</f>
        <v/>
      </c>
      <c r="C8" s="18">
        <f>C7/C6</f>
        <v/>
      </c>
      <c r="D8" s="18">
        <f>D7/D6</f>
        <v/>
      </c>
      <c r="E8" s="18">
        <f>E7/E6</f>
        <v/>
      </c>
      <c r="F8" s="18">
        <f>F7/F6</f>
        <v/>
      </c>
      <c r="G8" s="18">
        <f>G7/G6</f>
        <v/>
      </c>
      <c r="H8" s="18">
        <f>H7/H6</f>
        <v/>
      </c>
      <c r="I8" s="18">
        <f>I7/I6</f>
        <v/>
      </c>
    </row>
    <row r="9">
      <c r="A9" s="16" t="inlineStr">
        <is>
          <t>EBITDA</t>
        </is>
      </c>
      <c r="B9" s="24" t="n">
        <v>22445</v>
      </c>
      <c r="C9" s="24" t="n">
        <v>23951</v>
      </c>
      <c r="D9" s="24" t="n">
        <v>24469</v>
      </c>
      <c r="E9" s="25">
        <f>Segments!E22</f>
        <v/>
      </c>
      <c r="F9" s="25">
        <f>Segments!F22</f>
        <v/>
      </c>
      <c r="G9" s="25">
        <f>Segments!G22</f>
        <v/>
      </c>
      <c r="H9" s="25">
        <f>Segments!H22</f>
        <v/>
      </c>
      <c r="I9" s="25">
        <f>Segments!I22</f>
        <v/>
      </c>
    </row>
    <row r="10">
      <c r="A10" s="6" t="inlineStr">
        <is>
          <t>EBITDA margin</t>
        </is>
      </c>
      <c r="B10" s="18">
        <f>B9/B6</f>
        <v/>
      </c>
      <c r="C10" s="18">
        <f>C9/C6</f>
        <v/>
      </c>
      <c r="D10" s="18">
        <f>D9/D6</f>
        <v/>
      </c>
      <c r="E10" s="18">
        <f>E9/E6</f>
        <v/>
      </c>
      <c r="F10" s="18">
        <f>F9/F6</f>
        <v/>
      </c>
      <c r="G10" s="18">
        <f>G9/G6</f>
        <v/>
      </c>
      <c r="H10" s="18">
        <f>H9/H6</f>
        <v/>
      </c>
      <c r="I10" s="18">
        <f>I9/I6</f>
        <v/>
      </c>
    </row>
    <row r="11">
      <c r="A11" s="6" t="inlineStr">
        <is>
          <t>Depreciation, amortisation &amp; impairment</t>
        </is>
      </c>
      <c r="B11" s="9" t="n">
        <v>-9284</v>
      </c>
      <c r="C11" s="9" t="n">
        <v>-9525</v>
      </c>
      <c r="D11" s="9" t="n">
        <v>-10031</v>
      </c>
      <c r="E11" s="17">
        <f>-E6*Assumptions!$C$59</f>
        <v/>
      </c>
      <c r="F11" s="17">
        <f>-F6*Assumptions!$D$59</f>
        <v/>
      </c>
      <c r="G11" s="17">
        <f>-G6*Assumptions!$E$59</f>
        <v/>
      </c>
      <c r="H11" s="17">
        <f>-H6*Assumptions!$F$59</f>
        <v/>
      </c>
      <c r="I11" s="17">
        <f>-I6*Assumptions!$G$59</f>
        <v/>
      </c>
    </row>
    <row r="12">
      <c r="A12" s="16" t="inlineStr">
        <is>
          <t>Operating profit (EBIT)</t>
        </is>
      </c>
      <c r="B12" s="24" t="n">
        <v>13161</v>
      </c>
      <c r="C12" s="24" t="n">
        <v>14426</v>
      </c>
      <c r="D12" s="24" t="n">
        <v>14438</v>
      </c>
      <c r="E12" s="20">
        <f>E9+E11</f>
        <v/>
      </c>
      <c r="F12" s="20">
        <f>F9+F11</f>
        <v/>
      </c>
      <c r="G12" s="20">
        <f>G9+G11</f>
        <v/>
      </c>
      <c r="H12" s="20">
        <f>H9+H11</f>
        <v/>
      </c>
      <c r="I12" s="20">
        <f>I9+I11</f>
        <v/>
      </c>
    </row>
    <row r="13">
      <c r="A13" s="6" t="inlineStr">
        <is>
          <t>Associates, net finance, impairments &amp; other</t>
        </is>
      </c>
      <c r="B13" s="9" t="n">
        <v>826</v>
      </c>
      <c r="C13" s="9" t="n">
        <v>-2292</v>
      </c>
      <c r="D13" s="9" t="n">
        <v>285</v>
      </c>
      <c r="E13" s="17">
        <f>Assumptions!$C$62+Assumptions!$C$63+Assumptions!$C$64</f>
        <v/>
      </c>
      <c r="F13" s="17">
        <f>Assumptions!$D$62+Assumptions!$D$63+Assumptions!$D$64</f>
        <v/>
      </c>
      <c r="G13" s="17">
        <f>Assumptions!$E$62+Assumptions!$E$63+Assumptions!$E$64</f>
        <v/>
      </c>
      <c r="H13" s="17">
        <f>Assumptions!$F$62+Assumptions!$F$63+Assumptions!$F$64</f>
        <v/>
      </c>
      <c r="I13" s="17">
        <f>Assumptions!$G$62+Assumptions!$G$63+Assumptions!$G$64</f>
        <v/>
      </c>
    </row>
    <row r="14">
      <c r="A14" s="16" t="inlineStr">
        <is>
          <t>Profit before zakat &amp; income tax</t>
        </is>
      </c>
      <c r="B14" s="9" t="n">
        <v>13987</v>
      </c>
      <c r="C14" s="9" t="n">
        <v>12134</v>
      </c>
      <c r="D14" s="9" t="n">
        <v>14723</v>
      </c>
      <c r="E14" s="20">
        <f>E12+E13</f>
        <v/>
      </c>
      <c r="F14" s="20">
        <f>F12+F13</f>
        <v/>
      </c>
      <c r="G14" s="20">
        <f>G12+G13</f>
        <v/>
      </c>
      <c r="H14" s="20">
        <f>H12+H13</f>
        <v/>
      </c>
      <c r="I14" s="20">
        <f>I12+I13</f>
        <v/>
      </c>
    </row>
    <row r="15">
      <c r="A15" s="6" t="inlineStr">
        <is>
          <t>Zakat &amp; income tax</t>
        </is>
      </c>
      <c r="B15" s="9" t="n">
        <v>-1327</v>
      </c>
      <c r="C15" s="9" t="n">
        <v>-1192</v>
      </c>
      <c r="D15" s="9" t="n">
        <v>466</v>
      </c>
      <c r="E15" s="17">
        <f>-E14*Assumptions!$B$7</f>
        <v/>
      </c>
      <c r="F15" s="17">
        <f>-F14*Assumptions!$B$7</f>
        <v/>
      </c>
      <c r="G15" s="17">
        <f>-G14*Assumptions!$B$7</f>
        <v/>
      </c>
      <c r="H15" s="17">
        <f>-H14*Assumptions!$B$7</f>
        <v/>
      </c>
      <c r="I15" s="17">
        <f>-I14*Assumptions!$B$7</f>
        <v/>
      </c>
    </row>
    <row r="16">
      <c r="A16" s="16" t="inlineStr">
        <is>
          <t>Profit from continuing operations</t>
        </is>
      </c>
      <c r="B16" s="20" t="n">
        <v>12660</v>
      </c>
      <c r="C16" s="20" t="n">
        <v>10942</v>
      </c>
      <c r="D16" s="20" t="n">
        <v>15189</v>
      </c>
      <c r="E16" s="20">
        <f>E14+E15</f>
        <v/>
      </c>
      <c r="F16" s="20">
        <f>F14+F15</f>
        <v/>
      </c>
      <c r="G16" s="20">
        <f>G14+G15</f>
        <v/>
      </c>
      <c r="H16" s="20">
        <f>H14+H15</f>
        <v/>
      </c>
      <c r="I16" s="20">
        <f>I14+I15</f>
        <v/>
      </c>
    </row>
    <row r="17">
      <c r="A17" s="6" t="inlineStr">
        <is>
          <t>Profit from discontinued operations</t>
        </is>
      </c>
      <c r="B17" s="9" t="n">
        <v>759</v>
      </c>
      <c r="C17" s="9" t="n">
        <v>13973</v>
      </c>
      <c r="D17" s="9" t="n">
        <v>0</v>
      </c>
      <c r="E17" s="17">
        <f>0</f>
        <v/>
      </c>
      <c r="F17" s="17">
        <f>0</f>
        <v/>
      </c>
      <c r="G17" s="17">
        <f>0</f>
        <v/>
      </c>
      <c r="H17" s="17">
        <f>0</f>
        <v/>
      </c>
      <c r="I17" s="17">
        <f>0</f>
        <v/>
      </c>
    </row>
    <row r="18">
      <c r="A18" s="6" t="inlineStr">
        <is>
          <t>Non-controlling interests</t>
        </is>
      </c>
      <c r="B18" s="9" t="n">
        <v>-124</v>
      </c>
      <c r="C18" s="9" t="n">
        <v>-226</v>
      </c>
      <c r="D18" s="9" t="n">
        <v>-361</v>
      </c>
      <c r="E18" s="17">
        <f>-(E16)*0.020206295602669237</f>
        <v/>
      </c>
      <c r="F18" s="17">
        <f>-(F16)*0.020206295602669237</f>
        <v/>
      </c>
      <c r="G18" s="17">
        <f>-(G16)*0.020206295602669237</f>
        <v/>
      </c>
      <c r="H18" s="17">
        <f>-(H16)*0.020206295602669237</f>
        <v/>
      </c>
      <c r="I18" s="17">
        <f>-(I16)*0.020206295602669237</f>
        <v/>
      </c>
    </row>
    <row r="19">
      <c r="A19" s="16" t="inlineStr">
        <is>
          <t>Net profit (attributable)</t>
        </is>
      </c>
      <c r="B19" s="24" t="n">
        <v>13295</v>
      </c>
      <c r="C19" s="24" t="n">
        <v>24689</v>
      </c>
      <c r="D19" s="24" t="n">
        <v>14828</v>
      </c>
      <c r="E19" s="20">
        <f>E16+E17+E18</f>
        <v/>
      </c>
      <c r="F19" s="20">
        <f>F16+F17+F18</f>
        <v/>
      </c>
      <c r="G19" s="20">
        <f>G16+G17+G18</f>
        <v/>
      </c>
      <c r="H19" s="20">
        <f>H16+H17+H18</f>
        <v/>
      </c>
      <c r="I19" s="20">
        <f>I16+I17+I18</f>
        <v/>
      </c>
    </row>
    <row r="20">
      <c r="A20" s="6" t="inlineStr">
        <is>
          <t>Net margin (attributable)</t>
        </is>
      </c>
      <c r="B20" s="18">
        <f>B19/B6</f>
        <v/>
      </c>
      <c r="C20" s="18">
        <f>C19/C6</f>
        <v/>
      </c>
      <c r="D20" s="18">
        <f>D19/D6</f>
        <v/>
      </c>
      <c r="E20" s="18">
        <f>E19/E6</f>
        <v/>
      </c>
      <c r="F20" s="18">
        <f>F19/F6</f>
        <v/>
      </c>
      <c r="G20" s="18">
        <f>G19/G6</f>
        <v/>
      </c>
      <c r="H20" s="18">
        <f>H19/H6</f>
        <v/>
      </c>
      <c r="I20" s="18">
        <f>I19/I6</f>
        <v/>
      </c>
    </row>
    <row r="21">
      <c r="A21" s="6" t="inlineStr">
        <is>
          <t>EPS (SAR)</t>
        </is>
      </c>
      <c r="B21" s="26">
        <f>B19/Assumptions!$B$6</f>
        <v/>
      </c>
      <c r="C21" s="26">
        <f>C19/Assumptions!$B$6</f>
        <v/>
      </c>
      <c r="D21" s="26">
        <f>D19/Assumptions!$B$6</f>
        <v/>
      </c>
      <c r="E21" s="26">
        <f>E19/Assumptions!$B$6</f>
        <v/>
      </c>
      <c r="F21" s="26">
        <f>F19/Assumptions!$B$6</f>
        <v/>
      </c>
      <c r="G21" s="26">
        <f>G19/Assumptions!$B$6</f>
        <v/>
      </c>
      <c r="H21" s="26">
        <f>H19/Assumptions!$B$6</f>
        <v/>
      </c>
      <c r="I21" s="26">
        <f>I19/Assumptions!$B$6</f>
        <v/>
      </c>
    </row>
    <row r="23">
      <c r="A23" s="8" t="inlineStr">
        <is>
          <t>Sources: stc FY2024/FY2025 IR releases + Q1-2026 interim FS (all stc.com). FY23/FY24 restated to continuing operations (TAWAL + Digital Infrastructure Co reclassified as discontinued; FY24 discontinued profit 13,973 incl. the SAR 12,885mn disposal gain). One-offs: FY23 AlKhobar land gain +1,296, WHT reversal +724, ERP −863; FY24 WHT reversal +1,500, ERP −2,577, BGSM impairment −764; FY25 zakat credit +466, ERP ≈ −824. "Share of associates + net finance &amp; other" is the residual bridging disclosed EBIT to disclosed profit before zakat — stc does not publish those lines separately in the IR release layout; the FY25 annual FS carries the full 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(SAR mn, consolidated)</t>
        </is>
      </c>
      <c r="B1" s="2" t="n"/>
      <c r="C1" s="2" t="n"/>
      <c r="D1" s="2" t="n"/>
      <c r="E1" s="2" t="n"/>
      <c r="F1" s="2" t="n"/>
      <c r="G1" s="2" t="n"/>
      <c r="H1" s="2" t="n"/>
      <c r="I1" s="2" t="n"/>
      <c r="J1" s="2" t="n"/>
    </row>
    <row r="2">
      <c r="A2" s="4" t="inlineStr">
        <is>
          <t>FY23–FY25 grouped from stc disclosure to a house layout (blue; FY25 detail from the Q1-2026 FS comparatives). Forecast rolls forward clean-surplus; the check row is zero by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Net fixed &amp; intangible assets (PP&amp;E, ROU, intangibles, inv. prop.)</t>
        </is>
      </c>
      <c r="B6" s="17">
        <f>B12-B7-B8-B9-B10-B11</f>
        <v/>
      </c>
      <c r="C6" s="17">
        <f>C12-C7-C8-C9-C10-C11</f>
        <v/>
      </c>
      <c r="D6" s="17">
        <f>D12-D7-D8-D9-D10-D11</f>
        <v/>
      </c>
      <c r="E6" s="19">
        <f>D6+Segments!E20*Assumptions!$C$60+'Income Statement'!E11</f>
        <v/>
      </c>
      <c r="F6" s="19">
        <f>E6+Segments!F20*Assumptions!$D$60+'Income Statement'!F11</f>
        <v/>
      </c>
      <c r="G6" s="19">
        <f>F6+Segments!G20*Assumptions!$E$60+'Income Statement'!G11</f>
        <v/>
      </c>
      <c r="H6" s="19">
        <f>G6+Segments!H20*Assumptions!$F$60+'Income Statement'!H11</f>
        <v/>
      </c>
      <c r="I6" s="19">
        <f>H6+Segments!I20*Assumptions!$G$60+'Income Statement'!I11</f>
        <v/>
      </c>
    </row>
    <row r="7">
      <c r="A7" s="6" t="inlineStr">
        <is>
          <t>Investments in associates &amp; JVs</t>
        </is>
      </c>
      <c r="B7" s="9" t="n">
        <v>3800</v>
      </c>
      <c r="C7" s="9" t="n">
        <v>4200</v>
      </c>
      <c r="D7" s="9" t="n">
        <v>4641</v>
      </c>
      <c r="E7" s="17">
        <f>D7</f>
        <v/>
      </c>
      <c r="F7" s="17">
        <f>E7</f>
        <v/>
      </c>
      <c r="G7" s="17">
        <f>F7</f>
        <v/>
      </c>
      <c r="H7" s="17">
        <f>G7</f>
        <v/>
      </c>
      <c r="I7" s="17">
        <f>H7</f>
        <v/>
      </c>
    </row>
    <row r="8">
      <c r="A8" s="6" t="inlineStr">
        <is>
          <t>Financial assets (incl. Telefónica 9.97%)</t>
        </is>
      </c>
      <c r="B8" s="9" t="n">
        <v>22000</v>
      </c>
      <c r="C8" s="9" t="n">
        <v>23500</v>
      </c>
      <c r="D8" s="9" t="n">
        <v>24893</v>
      </c>
      <c r="E8" s="17">
        <f>D8</f>
        <v/>
      </c>
      <c r="F8" s="17">
        <f>E8</f>
        <v/>
      </c>
      <c r="G8" s="17">
        <f>F8</f>
        <v/>
      </c>
      <c r="H8" s="17">
        <f>G8</f>
        <v/>
      </c>
      <c r="I8" s="17">
        <f>H8</f>
        <v/>
      </c>
    </row>
    <row r="9">
      <c r="A9" s="6" t="inlineStr">
        <is>
          <t>Trade receivables, net</t>
        </is>
      </c>
      <c r="B9" s="9" t="n">
        <v>24500</v>
      </c>
      <c r="C9" s="9" t="n">
        <v>25800</v>
      </c>
      <c r="D9" s="9" t="n">
        <v>26727</v>
      </c>
      <c r="E9" s="19">
        <f>D9+Segments!E20*Assumptions!$C$61</f>
        <v/>
      </c>
      <c r="F9" s="19">
        <f>E9+Segments!F20*Assumptions!$D$61</f>
        <v/>
      </c>
      <c r="G9" s="19">
        <f>F9+Segments!G20*Assumptions!$E$61</f>
        <v/>
      </c>
      <c r="H9" s="19">
        <f>G9+Segments!H20*Assumptions!$F$61</f>
        <v/>
      </c>
      <c r="I9" s="19">
        <f>H9+Segments!I20*Assumptions!$G$61</f>
        <v/>
      </c>
    </row>
    <row r="10">
      <c r="A10" s="6" t="inlineStr">
        <is>
          <t>Cash, equivalents &amp; short-term murabahas</t>
        </is>
      </c>
      <c r="B10" s="9" t="n">
        <v>28138</v>
      </c>
      <c r="C10" s="9" t="n">
        <v>30755</v>
      </c>
      <c r="D10" s="9" t="n">
        <v>15080</v>
      </c>
      <c r="E10" s="19">
        <f>'Cash Flow'!E16</f>
        <v/>
      </c>
      <c r="F10" s="19">
        <f>'Cash Flow'!F16</f>
        <v/>
      </c>
      <c r="G10" s="19">
        <f>'Cash Flow'!G16</f>
        <v/>
      </c>
      <c r="H10" s="19">
        <f>'Cash Flow'!H16</f>
        <v/>
      </c>
      <c r="I10" s="19">
        <f>'Cash Flow'!I16</f>
        <v/>
      </c>
    </row>
    <row r="11">
      <c r="A11" s="6" t="inlineStr">
        <is>
          <t>Other assets</t>
        </is>
      </c>
      <c r="B11" s="9" t="n">
        <v>2600</v>
      </c>
      <c r="C11" s="9" t="n">
        <v>2600</v>
      </c>
      <c r="D11" s="9" t="n">
        <v>2952</v>
      </c>
      <c r="E11" s="17">
        <f>D11</f>
        <v/>
      </c>
      <c r="F11" s="17">
        <f>E11</f>
        <v/>
      </c>
      <c r="G11" s="17">
        <f>F11</f>
        <v/>
      </c>
      <c r="H11" s="17">
        <f>G11</f>
        <v/>
      </c>
      <c r="I11" s="17">
        <f>H11</f>
        <v/>
      </c>
    </row>
    <row r="12">
      <c r="A12" s="16" t="inlineStr">
        <is>
          <t>TOTAL ASSETS</t>
        </is>
      </c>
      <c r="B12" s="24" t="n">
        <v>159646</v>
      </c>
      <c r="C12" s="24" t="n">
        <v>160638</v>
      </c>
      <c r="D12" s="24" t="n">
        <v>157477</v>
      </c>
      <c r="E12" s="27">
        <f>SUM(E6:E11)</f>
        <v/>
      </c>
      <c r="F12" s="27">
        <f>SUM(F6:F11)</f>
        <v/>
      </c>
      <c r="G12" s="27">
        <f>SUM(G6:G11)</f>
        <v/>
      </c>
      <c r="H12" s="27">
        <f>SUM(H6:H11)</f>
        <v/>
      </c>
      <c r="I12" s="27">
        <f>SUM(I6:I11)</f>
        <v/>
      </c>
    </row>
    <row r="14">
      <c r="A14" s="6" t="inlineStr">
        <is>
          <t>Equity attributable to shareholders</t>
        </is>
      </c>
      <c r="B14" s="9" t="n">
        <v>78985</v>
      </c>
      <c r="C14" s="9" t="n">
        <v>89417</v>
      </c>
      <c r="D14" s="9" t="n">
        <v>83414</v>
      </c>
      <c r="E14" s="19">
        <f>D14+'Income Statement'!E19-Assumptions!$C$66*Assumptions!$B$6</f>
        <v/>
      </c>
      <c r="F14" s="19">
        <f>E14+'Income Statement'!F19-Assumptions!$D$66*Assumptions!$B$6</f>
        <v/>
      </c>
      <c r="G14" s="19">
        <f>F14+'Income Statement'!G19-Assumptions!$E$66*Assumptions!$B$6</f>
        <v/>
      </c>
      <c r="H14" s="19">
        <f>G14+'Income Statement'!H19-Assumptions!$F$66*Assumptions!$B$6</f>
        <v/>
      </c>
      <c r="I14" s="19">
        <f>H14+'Income Statement'!I19-Assumptions!$G$66*Assumptions!$B$6</f>
        <v/>
      </c>
    </row>
    <row r="15">
      <c r="A15" s="6" t="inlineStr">
        <is>
          <t>Non-controlling interests</t>
        </is>
      </c>
      <c r="B15" s="9" t="n">
        <v>2530</v>
      </c>
      <c r="C15" s="9" t="n">
        <v>3069</v>
      </c>
      <c r="D15" s="9" t="n">
        <v>3482</v>
      </c>
      <c r="E15" s="19">
        <f>D15-'Income Statement'!E18</f>
        <v/>
      </c>
      <c r="F15" s="19">
        <f>E15-'Income Statement'!F18</f>
        <v/>
      </c>
      <c r="G15" s="19">
        <f>F15-'Income Statement'!G18</f>
        <v/>
      </c>
      <c r="H15" s="19">
        <f>G15-'Income Statement'!H18</f>
        <v/>
      </c>
      <c r="I15" s="19">
        <f>H15-'Income Statement'!I18</f>
        <v/>
      </c>
    </row>
    <row r="16">
      <c r="A16" s="16" t="inlineStr">
        <is>
          <t>Total equity</t>
        </is>
      </c>
      <c r="B16" s="27">
        <f>B14+B15</f>
        <v/>
      </c>
      <c r="C16" s="27">
        <f>C14+C15</f>
        <v/>
      </c>
      <c r="D16" s="27">
        <f>D14+D15</f>
        <v/>
      </c>
      <c r="E16" s="20">
        <f>E14+E15</f>
        <v/>
      </c>
      <c r="F16" s="20">
        <f>F14+F15</f>
        <v/>
      </c>
      <c r="G16" s="20">
        <f>G14+G15</f>
        <v/>
      </c>
      <c r="H16" s="20">
        <f>H14+H15</f>
        <v/>
      </c>
      <c r="I16" s="20">
        <f>I14+I15</f>
        <v/>
      </c>
    </row>
    <row r="17">
      <c r="A17" s="6" t="inlineStr">
        <is>
          <t>Borrowings &amp; sukuk (excl. leases)</t>
        </is>
      </c>
      <c r="B17" s="9" t="n">
        <v>21958</v>
      </c>
      <c r="C17" s="9" t="n">
        <v>15132</v>
      </c>
      <c r="D17" s="9" t="n">
        <v>15191</v>
      </c>
      <c r="E17" s="17">
        <f>D17+7284</f>
        <v/>
      </c>
      <c r="F17" s="17">
        <f>E17</f>
        <v/>
      </c>
      <c r="G17" s="17">
        <f>F17</f>
        <v/>
      </c>
      <c r="H17" s="17">
        <f>G17</f>
        <v/>
      </c>
      <c r="I17" s="17">
        <f>H17</f>
        <v/>
      </c>
    </row>
    <row r="18">
      <c r="A18" s="6" t="inlineStr">
        <is>
          <t>Lease liabilities</t>
        </is>
      </c>
      <c r="B18" s="9" t="n">
        <v>6985</v>
      </c>
      <c r="C18" s="9" t="n">
        <v>4580</v>
      </c>
      <c r="D18" s="9" t="n">
        <v>2253</v>
      </c>
      <c r="E18" s="17">
        <f>D18</f>
        <v/>
      </c>
      <c r="F18" s="17">
        <f>E18</f>
        <v/>
      </c>
      <c r="G18" s="17">
        <f>F18</f>
        <v/>
      </c>
      <c r="H18" s="17">
        <f>G18</f>
        <v/>
      </c>
      <c r="I18" s="17">
        <f>H18</f>
        <v/>
      </c>
    </row>
    <row r="19">
      <c r="A19" s="6" t="inlineStr">
        <is>
          <t>Trade payables &amp; financial liabilities</t>
        </is>
      </c>
      <c r="B19" s="9" t="n">
        <v>25000</v>
      </c>
      <c r="C19" s="9" t="n">
        <v>26500</v>
      </c>
      <c r="D19" s="9" t="n">
        <v>29610</v>
      </c>
      <c r="E19" s="17">
        <f>D19</f>
        <v/>
      </c>
      <c r="F19" s="17">
        <f>E19</f>
        <v/>
      </c>
      <c r="G19" s="17">
        <f>F19</f>
        <v/>
      </c>
      <c r="H19" s="17">
        <f>G19</f>
        <v/>
      </c>
      <c r="I19" s="17">
        <f>H19</f>
        <v/>
      </c>
    </row>
    <row r="20">
      <c r="A20" s="6" t="inlineStr">
        <is>
          <t>Zakat payable, provisions &amp; other liabilities</t>
        </is>
      </c>
      <c r="B20" s="17">
        <f>B12-B16-B17-B18-B19</f>
        <v/>
      </c>
      <c r="C20" s="17">
        <f>C12-C16-C17-C18-C19</f>
        <v/>
      </c>
      <c r="D20" s="17">
        <f>D12-D16-D17-D18-D19</f>
        <v/>
      </c>
      <c r="E20" s="17">
        <f>D20</f>
        <v/>
      </c>
      <c r="F20" s="17">
        <f>E20</f>
        <v/>
      </c>
      <c r="G20" s="17">
        <f>F20</f>
        <v/>
      </c>
      <c r="H20" s="17">
        <f>G20</f>
        <v/>
      </c>
      <c r="I20" s="17">
        <f>H20</f>
        <v/>
      </c>
    </row>
    <row r="21">
      <c r="A21" s="16" t="inlineStr">
        <is>
          <t>TOTAL EQUITY &amp; LIABILITIES</t>
        </is>
      </c>
      <c r="B21" s="27">
        <f>B16+B17+B18+B19+B20</f>
        <v/>
      </c>
      <c r="C21" s="27">
        <f>C16+C17+C18+C19+C20</f>
        <v/>
      </c>
      <c r="D21" s="27">
        <f>D16+D17+D18+D19+D20</f>
        <v/>
      </c>
      <c r="E21" s="20">
        <f>E16+E17+E18+E19+E20</f>
        <v/>
      </c>
      <c r="F21" s="20">
        <f>F16+F17+F18+F19+F20</f>
        <v/>
      </c>
      <c r="G21" s="20">
        <f>G16+G17+G18+G19+G20</f>
        <v/>
      </c>
      <c r="H21" s="20">
        <f>H16+H17+H18+H19+H20</f>
        <v/>
      </c>
      <c r="I21" s="20">
        <f>I16+I17+I18+I19+I20</f>
        <v/>
      </c>
    </row>
    <row r="23">
      <c r="A23" s="16" t="inlineStr">
        <is>
          <t>Balance check (assets − L&amp;E)</t>
        </is>
      </c>
      <c r="B23" s="28">
        <f>B12-B21</f>
        <v/>
      </c>
      <c r="C23" s="28">
        <f>C12-C21</f>
        <v/>
      </c>
      <c r="D23" s="28">
        <f>D12-D21</f>
        <v/>
      </c>
      <c r="E23" s="20">
        <f>E12-E21</f>
        <v/>
      </c>
      <c r="F23" s="20">
        <f>F12-F21</f>
        <v/>
      </c>
      <c r="G23" s="20">
        <f>G12-G21</f>
        <v/>
      </c>
      <c r="H23" s="20">
        <f>H12-H21</f>
        <v/>
      </c>
      <c r="I23" s="20">
        <f>I12-I21</f>
        <v/>
      </c>
    </row>
    <row r="24">
      <c r="A24" s="6" t="inlineStr">
        <is>
          <t>Net debt — IR basis (borrowings − cash, group def.)</t>
        </is>
      </c>
      <c r="B24" s="28">
        <f>B17-B10</f>
        <v/>
      </c>
      <c r="C24" s="28">
        <f>C17-C10</f>
        <v/>
      </c>
      <c r="D24" s="28">
        <f>D17-D10</f>
        <v/>
      </c>
      <c r="E24" s="17">
        <f>E17-E10</f>
        <v/>
      </c>
      <c r="F24" s="17">
        <f>F17-F10</f>
        <v/>
      </c>
      <c r="G24" s="17">
        <f>G17-G10</f>
        <v/>
      </c>
      <c r="H24" s="17">
        <f>H17-H10</f>
        <v/>
      </c>
      <c r="I24" s="17">
        <f>I17-I10</f>
        <v/>
      </c>
    </row>
    <row r="25">
      <c r="A25" s="4" t="inlineStr">
        <is>
          <t>Historic mapping: disclosed IR anchors (total assets, cash+murabaha, total debt, attributable equity) are blue as reported; FY25 line detail (associates 4,641 · financial assets 24,893 · receivables 26,727 · leases 2,253 · payables+financial liabilities 29,610 · NCI 3,482) is from the Q1-2026 FS 31-Dec-25 comparatives; FY23/FY24 line detail is estimated to tie to the disclosed totals (flagged). "Net fixed &amp; intangible assets" and "Zakat payable, provisions &amp; other liabilities" are the balancing lines — shown as formulas off the disclosed totals, so the balance check is exact in every column. FY26E borrowings step up SAR +7,284mn (the completed Jan-2026 $2bn sukuk net of amortisation); gross debt flat thereafter. Two cash framings: FS cash incl. stc bank (21,442 at Q1-26) vs IR core-group cash (15,412) — the model rolls the IR-basis series (FY25: 15,080).</t>
        </is>
      </c>
    </row>
    <row r="26">
      <c r="A26" s="8" t="inlineStr">
        <is>
          <t>Historic mapping: FY25 line detail from the Q1-2026 FS 31-Dec-25 comparatives (PP&amp;E 95,313 + ROU 2,635 + intangibles 28,139 + inv. property 350 grouped; cash 13,376 + murabaha 1,732). FY23/FY24 detail lines are grouped estimates reconciling to the disclosed IR totals (blue totals are as-disclosed); "Other" lines are the disclosed-total balancing items, shown as formulas. FY26E borrowings step up SAR +7,284mn = the Jan-2026 $2bn sukuk (net of FY26 amortisation) — thereafter gross debt held flat. Two cash framings exist (FS 21,442 incl. stc bank vs IR 15,412 core): the model rolls the FS-basis cash from FY25’s 15,108 (cash + murabaha) and states the IR basis in the net-debt memo.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(SAR mn, forecast)</t>
        </is>
      </c>
      <c r="B1" s="2" t="n"/>
      <c r="C1" s="2" t="n"/>
      <c r="D1" s="2" t="n"/>
      <c r="E1" s="2" t="n"/>
      <c r="F1" s="2" t="n"/>
      <c r="G1" s="2" t="n"/>
      <c r="H1" s="2" t="n"/>
      <c r="I1" s="2" t="n"/>
      <c r="J1" s="2" t="n"/>
    </row>
    <row r="2">
      <c r="A2" s="4" t="inlineStr">
        <is>
          <t>Derived from the Income Statement and Balance Sheet; closing cash ties to the Balance Sheet, so the check row is zero.</t>
        </is>
      </c>
    </row>
    <row r="4">
      <c r="D4" s="5" t="inlineStr"/>
      <c r="E4" s="5" t="inlineStr">
        <is>
          <t>FY26E</t>
        </is>
      </c>
      <c r="F4" s="5" t="inlineStr">
        <is>
          <t>FY27E</t>
        </is>
      </c>
      <c r="G4" s="5" t="inlineStr">
        <is>
          <t>FY28E</t>
        </is>
      </c>
      <c r="H4" s="5" t="inlineStr">
        <is>
          <t>FY29E</t>
        </is>
      </c>
      <c r="I4" s="5" t="inlineStr">
        <is>
          <t>FY30E</t>
        </is>
      </c>
    </row>
    <row r="6">
      <c r="A6" s="6" t="inlineStr">
        <is>
          <t>Profit for the period (incl. NCI)</t>
        </is>
      </c>
      <c r="E6" s="19">
        <f>'Income Statement'!E16</f>
        <v/>
      </c>
      <c r="F6" s="19">
        <f>'Income Statement'!F16</f>
        <v/>
      </c>
      <c r="G6" s="19">
        <f>'Income Statement'!G16</f>
        <v/>
      </c>
      <c r="H6" s="19">
        <f>'Income Statement'!H16</f>
        <v/>
      </c>
      <c r="I6" s="19">
        <f>'Income Statement'!I16</f>
        <v/>
      </c>
    </row>
    <row r="7">
      <c r="A7" s="6" t="inlineStr">
        <is>
          <t>+ D&amp;A</t>
        </is>
      </c>
      <c r="E7" s="19">
        <f>-'Income Statement'!E11</f>
        <v/>
      </c>
      <c r="F7" s="19">
        <f>-'Income Statement'!F11</f>
        <v/>
      </c>
      <c r="G7" s="19">
        <f>-'Income Statement'!G11</f>
        <v/>
      </c>
      <c r="H7" s="19">
        <f>-'Income Statement'!H11</f>
        <v/>
      </c>
      <c r="I7" s="19">
        <f>-'Income Statement'!I11</f>
        <v/>
      </c>
    </row>
    <row r="8">
      <c r="A8" s="6" t="inlineStr">
        <is>
          <t>− Increase in trade receivables (ΔWC)</t>
        </is>
      </c>
      <c r="E8" s="19">
        <f>-(('Balance Sheet'!E9)-('Balance Sheet'!D9))</f>
        <v/>
      </c>
      <c r="F8" s="19">
        <f>-(('Balance Sheet'!F9)-('Balance Sheet'!E9))</f>
        <v/>
      </c>
      <c r="G8" s="19">
        <f>-(('Balance Sheet'!G9)-('Balance Sheet'!F9))</f>
        <v/>
      </c>
      <c r="H8" s="19">
        <f>-(('Balance Sheet'!H9)-('Balance Sheet'!G9))</f>
        <v/>
      </c>
      <c r="I8" s="19">
        <f>-(('Balance Sheet'!I9)-('Balance Sheet'!H9))</f>
        <v/>
      </c>
    </row>
    <row r="9">
      <c r="A9" s="16" t="inlineStr">
        <is>
          <t>Operating cash flow</t>
        </is>
      </c>
      <c r="E9" s="20">
        <f>SUM(E6:E8)</f>
        <v/>
      </c>
      <c r="F9" s="20">
        <f>SUM(F6:F8)</f>
        <v/>
      </c>
      <c r="G9" s="20">
        <f>SUM(G6:G8)</f>
        <v/>
      </c>
      <c r="H9" s="20">
        <f>SUM(H6:H8)</f>
        <v/>
      </c>
      <c r="I9" s="20">
        <f>SUM(I6:I8)</f>
        <v/>
      </c>
    </row>
    <row r="10">
      <c r="A10" s="6" t="inlineStr">
        <is>
          <t>− Capex</t>
        </is>
      </c>
      <c r="E10" s="19">
        <f>-Segments!E20*Assumptions!$C$60</f>
        <v/>
      </c>
      <c r="F10" s="19">
        <f>-Segments!F20*Assumptions!$D$60</f>
        <v/>
      </c>
      <c r="G10" s="19">
        <f>-Segments!G20*Assumptions!$E$60</f>
        <v/>
      </c>
      <c r="H10" s="19">
        <f>-Segments!H20*Assumptions!$F$60</f>
        <v/>
      </c>
      <c r="I10" s="19">
        <f>-Segments!I20*Assumptions!$G$60</f>
        <v/>
      </c>
    </row>
    <row r="11">
      <c r="A11" s="16" t="inlineStr">
        <is>
          <t>Free cash flow</t>
        </is>
      </c>
      <c r="E11" s="20">
        <f>E9+E10</f>
        <v/>
      </c>
      <c r="F11" s="20">
        <f>F9+F10</f>
        <v/>
      </c>
      <c r="G11" s="20">
        <f>G9+G10</f>
        <v/>
      </c>
      <c r="H11" s="20">
        <f>H9+H10</f>
        <v/>
      </c>
      <c r="I11" s="20">
        <f>I9+I10</f>
        <v/>
      </c>
    </row>
    <row r="12">
      <c r="A12" s="6" t="inlineStr">
        <is>
          <t>+ Increase in borrowings (net)</t>
        </is>
      </c>
      <c r="E12" s="17">
        <f>7284</f>
        <v/>
      </c>
      <c r="F12" s="17">
        <f>0</f>
        <v/>
      </c>
      <c r="G12" s="17">
        <f>0</f>
        <v/>
      </c>
      <c r="H12" s="17">
        <f>0</f>
        <v/>
      </c>
      <c r="I12" s="17">
        <f>0</f>
        <v/>
      </c>
    </row>
    <row r="13">
      <c r="A13" s="6" t="inlineStr">
        <is>
          <t>− Dividends paid (attributable)</t>
        </is>
      </c>
      <c r="E13" s="19">
        <f>-Assumptions!$C$66*Assumptions!$B$6</f>
        <v/>
      </c>
      <c r="F13" s="19">
        <f>-Assumptions!$D$66*Assumptions!$B$6</f>
        <v/>
      </c>
      <c r="G13" s="19">
        <f>-Assumptions!$E$66*Assumptions!$B$6</f>
        <v/>
      </c>
      <c r="H13" s="19">
        <f>-Assumptions!$F$66*Assumptions!$B$6</f>
        <v/>
      </c>
      <c r="I13" s="19">
        <f>-Assumptions!$G$66*Assumptions!$B$6</f>
        <v/>
      </c>
    </row>
    <row r="14">
      <c r="A14" s="16" t="inlineStr">
        <is>
          <t>Net change in cash</t>
        </is>
      </c>
      <c r="E14" s="20">
        <f>E11+E12+E13</f>
        <v/>
      </c>
      <c r="F14" s="20">
        <f>F11+F12+F13</f>
        <v/>
      </c>
      <c r="G14" s="20">
        <f>G11+G12+G13</f>
        <v/>
      </c>
      <c r="H14" s="20">
        <f>H11+H12+H13</f>
        <v/>
      </c>
      <c r="I14" s="20">
        <f>I11+I12+I13</f>
        <v/>
      </c>
    </row>
    <row r="15">
      <c r="A15" s="6" t="inlineStr">
        <is>
          <t>Opening cash</t>
        </is>
      </c>
      <c r="E15" s="19">
        <f>'Balance Sheet'!D10</f>
        <v/>
      </c>
      <c r="F15" s="17">
        <f>E16</f>
        <v/>
      </c>
      <c r="G15" s="17">
        <f>F16</f>
        <v/>
      </c>
      <c r="H15" s="17">
        <f>G16</f>
        <v/>
      </c>
      <c r="I15" s="17">
        <f>H16</f>
        <v/>
      </c>
    </row>
    <row r="16">
      <c r="A16" s="16" t="inlineStr">
        <is>
          <t>Closing cash</t>
        </is>
      </c>
      <c r="E16" s="20">
        <f>E15+E14</f>
        <v/>
      </c>
      <c r="F16" s="20">
        <f>F15+F14</f>
        <v/>
      </c>
      <c r="G16" s="20">
        <f>G15+G14</f>
        <v/>
      </c>
      <c r="H16" s="20">
        <f>H15+H14</f>
        <v/>
      </c>
      <c r="I16" s="20">
        <f>I15+I14</f>
        <v/>
      </c>
    </row>
    <row r="18">
      <c r="A18" s="8" t="inlineStr">
        <is>
          <t>NCI profit is retained (no NCI dividend modelled — solutions’ minority dividend leakage is inside "net finance &amp; other"). Historical group cash flows: OCF 22,418 / 19,885 / 18,283 and FCF 12,628 / 7,959 / 6,488 (FY23/24/25, stc IR releases; restated). The FY26E borrowings line is the Jan-2026 sukuk already completed.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(SAR mn)</t>
        </is>
      </c>
      <c r="B1" s="2" t="n"/>
      <c r="C1" s="2" t="n"/>
      <c r="D1" s="2" t="n"/>
      <c r="E1" s="2" t="n"/>
      <c r="F1" s="2" t="n"/>
      <c r="G1" s="2" t="n"/>
      <c r="H1" s="2" t="n"/>
      <c r="I1" s="2" t="n"/>
      <c r="J1" s="2" t="n"/>
    </row>
    <row r="2">
      <c r="A2" s="4" t="inlineStr">
        <is>
          <t>Every cell links to the statement sheets.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Revenue</t>
        </is>
      </c>
      <c r="B6" s="19">
        <f>'Income Statement'!B6</f>
        <v/>
      </c>
      <c r="C6" s="19">
        <f>'Income Statement'!C6</f>
        <v/>
      </c>
      <c r="D6" s="19">
        <f>'Income Statement'!D6</f>
        <v/>
      </c>
      <c r="E6" s="19">
        <f>'Income Statement'!E6</f>
        <v/>
      </c>
      <c r="F6" s="19">
        <f>'Income Statement'!F6</f>
        <v/>
      </c>
      <c r="G6" s="19">
        <f>'Income Statement'!G6</f>
        <v/>
      </c>
      <c r="H6" s="19">
        <f>'Income Statement'!H6</f>
        <v/>
      </c>
      <c r="I6" s="19">
        <f>'Income Statement'!I6</f>
        <v/>
      </c>
    </row>
    <row r="7">
      <c r="A7" s="17" t="inlineStr">
        <is>
          <t>EBITDA</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17" t="inlineStr">
        <is>
          <t>EBIT</t>
        </is>
      </c>
      <c r="B8" s="19">
        <f>'Income Statement'!B12</f>
        <v/>
      </c>
      <c r="C8" s="19">
        <f>'Income Statement'!C12</f>
        <v/>
      </c>
      <c r="D8" s="19">
        <f>'Income Statement'!D12</f>
        <v/>
      </c>
      <c r="E8" s="19">
        <f>'Income Statement'!E12</f>
        <v/>
      </c>
      <c r="F8" s="19">
        <f>'Income Statement'!F12</f>
        <v/>
      </c>
      <c r="G8" s="19">
        <f>'Income Statement'!G12</f>
        <v/>
      </c>
      <c r="H8" s="19">
        <f>'Income Statement'!H12</f>
        <v/>
      </c>
      <c r="I8" s="19">
        <f>'Income Statement'!I12</f>
        <v/>
      </c>
    </row>
    <row r="9">
      <c r="A9" s="17" t="inlineStr">
        <is>
          <t>Net profit (attributable)</t>
        </is>
      </c>
      <c r="B9" s="19">
        <f>'Income Statement'!B19</f>
        <v/>
      </c>
      <c r="C9" s="19">
        <f>'Income Statement'!C19</f>
        <v/>
      </c>
      <c r="D9" s="19">
        <f>'Income Statement'!D19</f>
        <v/>
      </c>
      <c r="E9" s="19">
        <f>'Income Statement'!E19</f>
        <v/>
      </c>
      <c r="F9" s="19">
        <f>'Income Statement'!F19</f>
        <v/>
      </c>
      <c r="G9" s="19">
        <f>'Income Statement'!G19</f>
        <v/>
      </c>
      <c r="H9" s="19">
        <f>'Income Statement'!H19</f>
        <v/>
      </c>
      <c r="I9" s="19">
        <f>'Income Statement'!I19</f>
        <v/>
      </c>
    </row>
    <row r="10">
      <c r="A10" s="17" t="inlineStr">
        <is>
          <t>Total assets</t>
        </is>
      </c>
      <c r="B10" s="19">
        <f>'Balance Sheet'!B12</f>
        <v/>
      </c>
      <c r="C10" s="19">
        <f>'Balance Sheet'!C12</f>
        <v/>
      </c>
      <c r="D10" s="19">
        <f>'Balance Sheet'!D12</f>
        <v/>
      </c>
      <c r="E10" s="19">
        <f>'Balance Sheet'!E12</f>
        <v/>
      </c>
      <c r="F10" s="19">
        <f>'Balance Sheet'!F12</f>
        <v/>
      </c>
      <c r="G10" s="19">
        <f>'Balance Sheet'!G12</f>
        <v/>
      </c>
      <c r="H10" s="19">
        <f>'Balance Sheet'!H12</f>
        <v/>
      </c>
      <c r="I10" s="19">
        <f>'Balance Sheet'!I12</f>
        <v/>
      </c>
    </row>
    <row r="11">
      <c r="A11" s="17" t="inlineStr">
        <is>
          <t>Total equity</t>
        </is>
      </c>
      <c r="B11" s="19">
        <f>'Balance Sheet'!B16</f>
        <v/>
      </c>
      <c r="C11" s="19">
        <f>'Balance Sheet'!C16</f>
        <v/>
      </c>
      <c r="D11" s="19">
        <f>'Balance Sheet'!D16</f>
        <v/>
      </c>
      <c r="E11" s="19">
        <f>'Balance Sheet'!E16</f>
        <v/>
      </c>
      <c r="F11" s="19">
        <f>'Balance Sheet'!F16</f>
        <v/>
      </c>
      <c r="G11" s="19">
        <f>'Balance Sheet'!G16</f>
        <v/>
      </c>
      <c r="H11" s="19">
        <f>'Balance Sheet'!H16</f>
        <v/>
      </c>
      <c r="I11" s="19">
        <f>'Balance Sheet'!I16</f>
        <v/>
      </c>
    </row>
    <row r="12">
      <c r="A12" s="17" t="inlineStr">
        <is>
          <t>Net debt (IR basis)</t>
        </is>
      </c>
      <c r="B12" s="19">
        <f>'Balance Sheet'!B24</f>
        <v/>
      </c>
      <c r="C12" s="19">
        <f>'Balance Sheet'!C24</f>
        <v/>
      </c>
      <c r="D12" s="19">
        <f>'Balance Sheet'!D24</f>
        <v/>
      </c>
      <c r="E12" s="19">
        <f>'Balance Sheet'!E24</f>
        <v/>
      </c>
      <c r="F12" s="19">
        <f>'Balance Sheet'!F24</f>
        <v/>
      </c>
      <c r="G12" s="19">
        <f>'Balance Sheet'!G24</f>
        <v/>
      </c>
      <c r="H12" s="19">
        <f>'Balance Sheet'!H24</f>
        <v/>
      </c>
      <c r="I12" s="19">
        <f>'Balance Sheet'!I24</f>
        <v/>
      </c>
    </row>
    <row r="13">
      <c r="A13" s="17" t="inlineStr">
        <is>
          <t>Free cash flow (forecast)</t>
        </is>
      </c>
      <c r="E13" s="19">
        <f>'Cash Flow'!E11</f>
        <v/>
      </c>
      <c r="F13" s="19">
        <f>'Cash Flow'!F11</f>
        <v/>
      </c>
      <c r="G13" s="19">
        <f>'Cash Flow'!G11</f>
        <v/>
      </c>
      <c r="H13" s="19">
        <f>'Cash Flow'!H11</f>
        <v/>
      </c>
      <c r="I13" s="19">
        <f>'Cash Flow'!I11</f>
        <v/>
      </c>
    </row>
    <row r="14">
      <c r="A14" s="6" t="inlineStr">
        <is>
          <t>Free cash flow (historical, disclosed)</t>
        </is>
      </c>
      <c r="B14" s="9" t="n">
        <v>12628</v>
      </c>
      <c r="C14" s="9" t="n">
        <v>7959</v>
      </c>
      <c r="D14" s="9" t="n">
        <v>6488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Monte Carlo — engine outputs (YZ-HAR v2)</t>
        </is>
      </c>
      <c r="B1" s="2" t="n"/>
      <c r="C1" s="2" t="n"/>
      <c r="D1" s="2" t="n"/>
      <c r="E1" s="2" t="n"/>
      <c r="F1" s="2" t="n"/>
      <c r="G1" s="2" t="n"/>
      <c r="H1" s="2" t="n"/>
    </row>
    <row r="2">
      <c r="A2" s="4" t="inlineStr">
        <is>
          <t>50,000 paths · 16 factors · seed 42 · computed by the Testahil MC engine (values, not a sheet simulation). Zero drift — the Step 0-passed configuration for this name.</t>
        </is>
      </c>
    </row>
    <row r="5">
      <c r="A5" s="34" t="inlineStr">
        <is>
          <t>The probability read (3 months)</t>
        </is>
      </c>
    </row>
    <row r="6">
      <c r="A6" s="17" t="inlineStr">
        <is>
          <t>P(price above spot)</t>
        </is>
      </c>
      <c r="B6" s="18" t="n">
        <v>0.56274</v>
      </c>
    </row>
    <row r="7">
      <c r="A7" s="17" t="inlineStr">
        <is>
          <t>P(+10%) vs P(−10%) — odds</t>
        </is>
      </c>
      <c r="B7" s="35" t="inlineStr">
        <is>
          <t>16% vs 8% · 2.0:1</t>
        </is>
      </c>
    </row>
    <row r="8">
      <c r="A8" s="17" t="inlineStr">
        <is>
          <t>Median level (SAR) and % move</t>
        </is>
      </c>
      <c r="B8" s="35" t="inlineStr">
        <is>
          <t>45.30 (+1.3%)</t>
        </is>
      </c>
    </row>
    <row r="9">
      <c r="A9" s="17" t="inlineStr">
        <is>
          <t>50% band (25th–75th)</t>
        </is>
      </c>
      <c r="B9" s="35" t="inlineStr">
        <is>
          <t>42.9 – 47.9  (-4.2% / +7.0%)</t>
        </is>
      </c>
    </row>
    <row r="10">
      <c r="A10" s="17" t="inlineStr">
        <is>
          <t>Touch(+10%) / touch(−10%)</t>
        </is>
      </c>
      <c r="B10" s="35" t="inlineStr">
        <is>
          <t>27% / 16%</t>
        </is>
      </c>
    </row>
    <row r="12">
      <c r="A12" s="5" t="inlineStr">
        <is>
          <t>Percentile map (SAR/share)</t>
        </is>
      </c>
    </row>
    <row r="13">
      <c r="A13" s="5" t="inlineStr">
        <is>
          <t>Horizon</t>
        </is>
      </c>
      <c r="B13" s="5" t="inlineStr">
        <is>
          <t>p5</t>
        </is>
      </c>
      <c r="C13" s="5" t="inlineStr">
        <is>
          <t>p25</t>
        </is>
      </c>
      <c r="D13" s="5" t="inlineStr">
        <is>
          <t>p50</t>
        </is>
      </c>
      <c r="E13" s="5" t="inlineStr">
        <is>
          <t>p75</t>
        </is>
      </c>
      <c r="F13" s="5" t="inlineStr">
        <is>
          <t>p95</t>
        </is>
      </c>
    </row>
    <row r="14">
      <c r="A14" s="17" t="inlineStr">
        <is>
          <t>1 month</t>
        </is>
      </c>
      <c r="B14" s="26" t="n">
        <v>41.7</v>
      </c>
      <c r="C14" s="26" t="n">
        <v>43.6</v>
      </c>
      <c r="D14" s="26" t="n">
        <v>44.9</v>
      </c>
      <c r="E14" s="26" t="n">
        <v>46.3</v>
      </c>
      <c r="F14" s="26" t="n">
        <v>48.5</v>
      </c>
    </row>
    <row r="15">
      <c r="A15" s="17" t="inlineStr">
        <is>
          <t>3 months</t>
        </is>
      </c>
      <c r="B15" s="26" t="n">
        <v>39.3</v>
      </c>
      <c r="C15" s="26" t="n">
        <v>42.9</v>
      </c>
      <c r="D15" s="26" t="n">
        <v>45.3</v>
      </c>
      <c r="E15" s="26" t="n">
        <v>47.9</v>
      </c>
      <c r="F15" s="26" t="n">
        <v>52.2</v>
      </c>
    </row>
    <row r="17">
      <c r="A17" s="5" t="inlineStr">
        <is>
          <t>Engine inputs (from Assumptions)</t>
        </is>
      </c>
    </row>
    <row r="18">
      <c r="A18" s="17" t="inlineStr">
        <is>
          <t>Forward volatility over three months (annualised)</t>
        </is>
      </c>
      <c r="B18" s="31">
        <f>Assumptions!$B$37</f>
        <v/>
      </c>
    </row>
    <row r="19">
      <c r="A19" s="17" t="inlineStr">
        <is>
          <t>Momentum lean applied over three months</t>
        </is>
      </c>
      <c r="B19" s="31">
        <f>Assumptions!$B$39</f>
        <v/>
      </c>
    </row>
    <row r="21">
      <c r="A21" s="5" t="inlineStr">
        <is>
          <t>Level-touch ladder (probability of touching by horizon)</t>
        </is>
      </c>
    </row>
    <row r="22">
      <c r="A22" s="5" t="inlineStr">
        <is>
          <t>Level (SAR)</t>
        </is>
      </c>
      <c r="B22" s="5" t="inlineStr">
        <is>
          <t>1 month</t>
        </is>
      </c>
      <c r="C22" s="5" t="inlineStr">
        <is>
          <t>3 months</t>
        </is>
      </c>
    </row>
    <row r="23">
      <c r="A23" s="26" t="n">
        <v>50</v>
      </c>
      <c r="B23" s="18" t="n">
        <v>0.01846</v>
      </c>
      <c r="C23" s="18" t="n">
        <v>0.20038</v>
      </c>
    </row>
    <row r="24">
      <c r="A24" s="26" t="n">
        <v>48</v>
      </c>
      <c r="B24" s="18" t="n">
        <v>0.11476</v>
      </c>
      <c r="C24" s="18" t="n">
        <v>0.40734</v>
      </c>
    </row>
    <row r="25">
      <c r="A25" s="26" t="n">
        <v>46</v>
      </c>
      <c r="B25" s="18" t="n">
        <v>0.48074</v>
      </c>
      <c r="C25" s="18" t="n">
        <v>0.72196</v>
      </c>
    </row>
    <row r="26">
      <c r="A26" s="26" t="n">
        <v>44</v>
      </c>
      <c r="B26" s="18" t="n">
        <v>0.59512</v>
      </c>
      <c r="C26" s="18" t="n">
        <v>0.7541600000000001</v>
      </c>
    </row>
    <row r="27">
      <c r="A27" s="26" t="n">
        <v>42</v>
      </c>
      <c r="B27" s="18" t="n">
        <v>0.11542</v>
      </c>
      <c r="C27" s="18" t="n">
        <v>0.35908</v>
      </c>
    </row>
    <row r="28">
      <c r="A28" s="26" t="n">
        <v>40</v>
      </c>
      <c r="B28" s="18" t="n">
        <v>0.01328</v>
      </c>
      <c r="C28" s="18" t="n">
        <v>0.13696</v>
      </c>
    </row>
    <row r="29">
      <c r="A29" s="26" t="n">
        <v>38</v>
      </c>
      <c r="B29" s="18" t="n">
        <v>0.00128</v>
      </c>
      <c r="C29" s="18" t="n">
        <v>0.04186</v>
      </c>
    </row>
    <row r="30">
      <c r="A30" s="26" t="n">
        <v>36</v>
      </c>
      <c r="B30" s="18" t="n">
        <v>0.00018</v>
      </c>
      <c r="C30" s="18" t="n">
        <v>0.01182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DCF sensitivity — WACC × terminal growth (live formulas)</t>
        </is>
      </c>
      <c r="B1" s="2" t="n"/>
      <c r="C1" s="2" t="n"/>
      <c r="D1" s="2" t="n"/>
      <c r="E1" s="2" t="n"/>
      <c r="F1" s="2" t="n"/>
      <c r="G1" s="2" t="n"/>
      <c r="H1" s="2" t="n"/>
    </row>
    <row r="2">
      <c r="A2" s="4" t="inlineStr">
        <is>
          <t>Fair value per share (SAR). Recomputes the full FCFF stream off the DCF sheet; the centre cell is the base case.</t>
        </is>
      </c>
    </row>
    <row r="5">
      <c r="A5" s="5" t="inlineStr">
        <is>
          <t>WACC \ terminal g</t>
        </is>
      </c>
      <c r="B5" s="36" t="n">
        <v>0.015</v>
      </c>
      <c r="C5" s="36" t="n">
        <v>0.02</v>
      </c>
      <c r="D5" s="36" t="n">
        <v>0.025</v>
      </c>
      <c r="E5" s="36" t="n">
        <v>0.03</v>
      </c>
      <c r="F5" s="36" t="n">
        <v>0.035</v>
      </c>
    </row>
    <row r="6">
      <c r="A6" s="18" t="n">
        <v>0.07132614912126105</v>
      </c>
      <c r="B6" s="26">
        <f>(SUMPRODUCT(DCF!$B$14:$F$14,1/(1+$A6)^{1,2,3,4,5})+DCF!$F$14*(1+B$5)/($A6-B$5)/(1+$A6)^5+Assumptions!$B$20+Assumptions!$B$21-Assumptions!$B$23-Assumptions!$B$24)/Assumptions!$B$6</f>
        <v/>
      </c>
      <c r="C6" s="26">
        <f>(SUMPRODUCT(DCF!$B$14:$F$14,1/(1+$A6)^{1,2,3,4,5})+DCF!$F$14*(1+C$5)/($A6-C$5)/(1+$A6)^5+Assumptions!$B$20+Assumptions!$B$21-Assumptions!$B$23-Assumptions!$B$24)/Assumptions!$B$6</f>
        <v/>
      </c>
      <c r="D6" s="26">
        <f>(SUMPRODUCT(DCF!$B$14:$F$14,1/(1+$A6)^{1,2,3,4,5})+DCF!$F$14*(1+D$5)/($A6-D$5)/(1+$A6)^5+Assumptions!$B$20+Assumptions!$B$21-Assumptions!$B$23-Assumptions!$B$24)/Assumptions!$B$6</f>
        <v/>
      </c>
      <c r="E6" s="26">
        <f>(SUMPRODUCT(DCF!$B$14:$F$14,1/(1+$A6)^{1,2,3,4,5})+DCF!$F$14*(1+E$5)/($A6-E$5)/(1+$A6)^5+Assumptions!$B$20+Assumptions!$B$21-Assumptions!$B$23-Assumptions!$B$24)/Assumptions!$B$6</f>
        <v/>
      </c>
      <c r="F6" s="26">
        <f>(SUMPRODUCT(DCF!$B$14:$F$14,1/(1+$A6)^{1,2,3,4,5})+DCF!$F$14*(1+F$5)/($A6-F$5)/(1+$A6)^5+Assumptions!$B$20+Assumptions!$B$21-Assumptions!$B$23-Assumptions!$B$24)/Assumptions!$B$6</f>
        <v/>
      </c>
    </row>
    <row r="7">
      <c r="A7" s="18" t="n">
        <v>0.07632614912126104</v>
      </c>
      <c r="B7" s="26">
        <f>(SUMPRODUCT(DCF!$B$14:$F$14,1/(1+$A7)^{1,2,3,4,5})+DCF!$F$14*(1+B$5)/($A7-B$5)/(1+$A7)^5+Assumptions!$B$20+Assumptions!$B$21-Assumptions!$B$23-Assumptions!$B$24)/Assumptions!$B$6</f>
        <v/>
      </c>
      <c r="C7" s="26">
        <f>(SUMPRODUCT(DCF!$B$14:$F$14,1/(1+$A7)^{1,2,3,4,5})+DCF!$F$14*(1+C$5)/($A7-C$5)/(1+$A7)^5+Assumptions!$B$20+Assumptions!$B$21-Assumptions!$B$23-Assumptions!$B$24)/Assumptions!$B$6</f>
        <v/>
      </c>
      <c r="D7" s="26">
        <f>(SUMPRODUCT(DCF!$B$14:$F$14,1/(1+$A7)^{1,2,3,4,5})+DCF!$F$14*(1+D$5)/($A7-D$5)/(1+$A7)^5+Assumptions!$B$20+Assumptions!$B$21-Assumptions!$B$23-Assumptions!$B$24)/Assumptions!$B$6</f>
        <v/>
      </c>
      <c r="E7" s="26">
        <f>(SUMPRODUCT(DCF!$B$14:$F$14,1/(1+$A7)^{1,2,3,4,5})+DCF!$F$14*(1+E$5)/($A7-E$5)/(1+$A7)^5+Assumptions!$B$20+Assumptions!$B$21-Assumptions!$B$23-Assumptions!$B$24)/Assumptions!$B$6</f>
        <v/>
      </c>
      <c r="F7" s="26">
        <f>(SUMPRODUCT(DCF!$B$14:$F$14,1/(1+$A7)^{1,2,3,4,5})+DCF!$F$14*(1+F$5)/($A7-F$5)/(1+$A7)^5+Assumptions!$B$20+Assumptions!$B$21-Assumptions!$B$23-Assumptions!$B$24)/Assumptions!$B$6</f>
        <v/>
      </c>
    </row>
    <row r="8">
      <c r="A8" s="37" t="n">
        <v>0.08132614912126104</v>
      </c>
      <c r="B8" s="26">
        <f>(SUMPRODUCT(DCF!$B$14:$F$14,1/(1+$A8)^{1,2,3,4,5})+DCF!$F$14*(1+B$5)/($A8-B$5)/(1+$A8)^5+Assumptions!$B$20+Assumptions!$B$21-Assumptions!$B$23-Assumptions!$B$24)/Assumptions!$B$6</f>
        <v/>
      </c>
      <c r="C8" s="26">
        <f>(SUMPRODUCT(DCF!$B$14:$F$14,1/(1+$A8)^{1,2,3,4,5})+DCF!$F$14*(1+C$5)/($A8-C$5)/(1+$A8)^5+Assumptions!$B$20+Assumptions!$B$21-Assumptions!$B$23-Assumptions!$B$24)/Assumptions!$B$6</f>
        <v/>
      </c>
      <c r="D8" s="26">
        <f>(SUMPRODUCT(DCF!$B$14:$F$14,1/(1+$A8)^{1,2,3,4,5})+DCF!$F$14*(1+D$5)/($A8-D$5)/(1+$A8)^5+Assumptions!$B$20+Assumptions!$B$21-Assumptions!$B$23-Assumptions!$B$24)/Assumptions!$B$6</f>
        <v/>
      </c>
      <c r="E8" s="26">
        <f>(SUMPRODUCT(DCF!$B$14:$F$14,1/(1+$A8)^{1,2,3,4,5})+DCF!$F$14*(1+E$5)/($A8-E$5)/(1+$A8)^5+Assumptions!$B$20+Assumptions!$B$21-Assumptions!$B$23-Assumptions!$B$24)/Assumptions!$B$6</f>
        <v/>
      </c>
      <c r="F8" s="26">
        <f>(SUMPRODUCT(DCF!$B$14:$F$14,1/(1+$A8)^{1,2,3,4,5})+DCF!$F$14*(1+F$5)/($A8-F$5)/(1+$A8)^5+Assumptions!$B$20+Assumptions!$B$21-Assumptions!$B$23-Assumptions!$B$24)/Assumptions!$B$6</f>
        <v/>
      </c>
    </row>
    <row r="9">
      <c r="A9" s="18" t="n">
        <v>0.08632614912126105</v>
      </c>
      <c r="B9" s="26">
        <f>(SUMPRODUCT(DCF!$B$14:$F$14,1/(1+$A9)^{1,2,3,4,5})+DCF!$F$14*(1+B$5)/($A9-B$5)/(1+$A9)^5+Assumptions!$B$20+Assumptions!$B$21-Assumptions!$B$23-Assumptions!$B$24)/Assumptions!$B$6</f>
        <v/>
      </c>
      <c r="C9" s="26">
        <f>(SUMPRODUCT(DCF!$B$14:$F$14,1/(1+$A9)^{1,2,3,4,5})+DCF!$F$14*(1+C$5)/($A9-C$5)/(1+$A9)^5+Assumptions!$B$20+Assumptions!$B$21-Assumptions!$B$23-Assumptions!$B$24)/Assumptions!$B$6</f>
        <v/>
      </c>
      <c r="D9" s="26">
        <f>(SUMPRODUCT(DCF!$B$14:$F$14,1/(1+$A9)^{1,2,3,4,5})+DCF!$F$14*(1+D$5)/($A9-D$5)/(1+$A9)^5+Assumptions!$B$20+Assumptions!$B$21-Assumptions!$B$23-Assumptions!$B$24)/Assumptions!$B$6</f>
        <v/>
      </c>
      <c r="E9" s="26">
        <f>(SUMPRODUCT(DCF!$B$14:$F$14,1/(1+$A9)^{1,2,3,4,5})+DCF!$F$14*(1+E$5)/($A9-E$5)/(1+$A9)^5+Assumptions!$B$20+Assumptions!$B$21-Assumptions!$B$23-Assumptions!$B$24)/Assumptions!$B$6</f>
        <v/>
      </c>
      <c r="F9" s="26">
        <f>(SUMPRODUCT(DCF!$B$14:$F$14,1/(1+$A9)^{1,2,3,4,5})+DCF!$F$14*(1+F$5)/($A9-F$5)/(1+$A9)^5+Assumptions!$B$20+Assumptions!$B$21-Assumptions!$B$23-Assumptions!$B$24)/Assumptions!$B$6</f>
        <v/>
      </c>
    </row>
    <row r="10">
      <c r="A10" s="18" t="n">
        <v>0.09132614912126104</v>
      </c>
      <c r="B10" s="26">
        <f>(SUMPRODUCT(DCF!$B$14:$F$14,1/(1+$A10)^{1,2,3,4,5})+DCF!$F$14*(1+B$5)/($A10-B$5)/(1+$A10)^5+Assumptions!$B$20+Assumptions!$B$21-Assumptions!$B$23-Assumptions!$B$24)/Assumptions!$B$6</f>
        <v/>
      </c>
      <c r="C10" s="26">
        <f>(SUMPRODUCT(DCF!$B$14:$F$14,1/(1+$A10)^{1,2,3,4,5})+DCF!$F$14*(1+C$5)/($A10-C$5)/(1+$A10)^5+Assumptions!$B$20+Assumptions!$B$21-Assumptions!$B$23-Assumptions!$B$24)/Assumptions!$B$6</f>
        <v/>
      </c>
      <c r="D10" s="26">
        <f>(SUMPRODUCT(DCF!$B$14:$F$14,1/(1+$A10)^{1,2,3,4,5})+DCF!$F$14*(1+D$5)/($A10-D$5)/(1+$A10)^5+Assumptions!$B$20+Assumptions!$B$21-Assumptions!$B$23-Assumptions!$B$24)/Assumptions!$B$6</f>
        <v/>
      </c>
      <c r="E10" s="26">
        <f>(SUMPRODUCT(DCF!$B$14:$F$14,1/(1+$A10)^{1,2,3,4,5})+DCF!$F$14*(1+E$5)/($A10-E$5)/(1+$A10)^5+Assumptions!$B$20+Assumptions!$B$21-Assumptions!$B$23-Assumptions!$B$24)/Assumptions!$B$6</f>
        <v/>
      </c>
      <c r="F10" s="26">
        <f>(SUMPRODUCT(DCF!$B$14:$F$14,1/(1+$A10)^{1,2,3,4,5})+DCF!$F$14*(1+F$5)/($A10-F$5)/(1+$A10)^5+Assumptions!$B$20+Assumptions!$B$21-Assumptions!$B$23-Assumptions!$B$24)/Assumptions!$B$6</f>
        <v/>
      </c>
    </row>
    <row r="12">
      <c r="A12" s="8" t="inlineStr">
        <is>
          <t>The WACC axis centres on the sourced bottom-up build (rf 5.5% + β 0.48 × ERP 5.01%, blended with after-tax Kd 4.5%); the CDS-ERP alternative WACC (7.90%) sits between rows 3 and 4. At β = 1.0 the WACC is 9.90% — off this grid deliberately: see the beta grid below.</t>
        </is>
      </c>
    </row>
    <row r="14">
      <c r="A14" s="5" t="inlineStr">
        <is>
          <t>Beta sensitivity (regressed β = 0.48 on a 9-week window — grid mandatory)</t>
        </is>
      </c>
    </row>
    <row r="15">
      <c r="A15" s="16" t="inlineStr">
        <is>
          <t>beta</t>
        </is>
      </c>
      <c r="B15" s="16" t="inlineStr">
        <is>
          <t>Ke (rating ERP)</t>
        </is>
      </c>
      <c r="C15" s="16" t="inlineStr">
        <is>
          <t>WACC</t>
        </is>
      </c>
      <c r="D15" s="16" t="inlineStr">
        <is>
          <t>DCF value/sh</t>
        </is>
      </c>
    </row>
    <row r="16">
      <c r="A16" s="7" t="n">
        <v>0.3</v>
      </c>
      <c r="B16" s="18">
        <f>Assumptions!$B$10+A16*Assumptions!$B$12</f>
        <v/>
      </c>
      <c r="C16" s="18">
        <f>(1-Assumptions!$B$16)*B16+Assumptions!$B$16*Assumptions!$B$15</f>
        <v/>
      </c>
      <c r="D16" s="26">
        <f>(SUMPRODUCT(DCF!$B$14:$F$14,1/(1+C16)^{1,2,3,4,5})+DCF!$F$14*(1+Assumptions!$B$18)/(C16-Assumptions!$B$18)/(1+C16)^5+Assumptions!$B$20+Assumptions!$B$21-Assumptions!$B$23-Assumptions!$B$24)/Assumptions!$B$6</f>
        <v/>
      </c>
    </row>
    <row r="17">
      <c r="A17" s="7" t="n">
        <v>0.48</v>
      </c>
      <c r="B17" s="18">
        <f>Assumptions!$B$10+A17*Assumptions!$B$12</f>
        <v/>
      </c>
      <c r="C17" s="18">
        <f>(1-Assumptions!$B$16)*B17+Assumptions!$B$16*Assumptions!$B$15</f>
        <v/>
      </c>
      <c r="D17" s="26">
        <f>(SUMPRODUCT(DCF!$B$14:$F$14,1/(1+C17)^{1,2,3,4,5})+DCF!$F$14*(1+Assumptions!$B$18)/(C17-Assumptions!$B$18)/(1+C17)^5+Assumptions!$B$20+Assumptions!$B$21-Assumptions!$B$23-Assumptions!$B$24)/Assumptions!$B$6</f>
        <v/>
      </c>
      <c r="E17" s="8" t="inlineStr">
        <is>
          <t>&lt;- regressed base</t>
        </is>
      </c>
    </row>
    <row r="18">
      <c r="A18" s="7" t="n">
        <v>0.7</v>
      </c>
      <c r="B18" s="18">
        <f>Assumptions!$B$10+A18*Assumptions!$B$12</f>
        <v/>
      </c>
      <c r="C18" s="18">
        <f>(1-Assumptions!$B$16)*B18+Assumptions!$B$16*Assumptions!$B$15</f>
        <v/>
      </c>
      <c r="D18" s="26">
        <f>(SUMPRODUCT(DCF!$B$14:$F$14,1/(1+C18)^{1,2,3,4,5})+DCF!$F$14*(1+Assumptions!$B$18)/(C18-Assumptions!$B$18)/(1+C18)^5+Assumptions!$B$20+Assumptions!$B$21-Assumptions!$B$23-Assumptions!$B$24)/Assumptions!$B$6</f>
        <v/>
      </c>
    </row>
    <row r="19">
      <c r="A19" s="7" t="n">
        <v>0.85</v>
      </c>
      <c r="B19" s="18">
        <f>Assumptions!$B$10+A19*Assumptions!$B$12</f>
        <v/>
      </c>
      <c r="C19" s="18">
        <f>(1-Assumptions!$B$16)*B19+Assumptions!$B$16*Assumptions!$B$15</f>
        <v/>
      </c>
      <c r="D19" s="26">
        <f>(SUMPRODUCT(DCF!$B$14:$F$14,1/(1+C19)^{1,2,3,4,5})+DCF!$F$14*(1+Assumptions!$B$18)/(C19-Assumptions!$B$18)/(1+C19)^5+Assumptions!$B$20+Assumptions!$B$21-Assumptions!$B$23-Assumptions!$B$24)/Assumptions!$B$6</f>
        <v/>
      </c>
    </row>
    <row r="20">
      <c r="A20" s="7" t="n">
        <v>1</v>
      </c>
      <c r="B20" s="18">
        <f>Assumptions!$B$10+A20*Assumptions!$B$12</f>
        <v/>
      </c>
      <c r="C20" s="18">
        <f>(1-Assumptions!$B$16)*B20+Assumptions!$B$16*Assumptions!$B$15</f>
        <v/>
      </c>
      <c r="D20" s="26">
        <f>(SUMPRODUCT(DCF!$B$14:$F$14,1/(1+C20)^{1,2,3,4,5})+DCF!$F$14*(1+Assumptions!$B$18)/(C20-Assumptions!$B$18)/(1+C20)^5+Assumptions!$B$20+Assumptions!$B$21-Assumptions!$B$23-Assumptions!$B$24)/Assumptions!$B$6</f>
        <v/>
      </c>
      <c r="E20" s="8" t="inlineStr">
        <is>
          <t>&lt;- house fallback had the regression failed</t>
        </is>
      </c>
    </row>
    <row r="21">
      <c r="A21" s="7" t="n">
        <v>1.2</v>
      </c>
      <c r="B21" s="18">
        <f>Assumptions!$B$10+A21*Assumptions!$B$12</f>
        <v/>
      </c>
      <c r="C21" s="18">
        <f>(1-Assumptions!$B$16)*B21+Assumptions!$B$16*Assumptions!$B$15</f>
        <v/>
      </c>
      <c r="D21" s="26">
        <f>(SUMPRODUCT(DCF!$B$14:$F$14,1/(1+C21)^{1,2,3,4,5})+DCF!$F$14*(1+Assumptions!$B$18)/(C21-Assumptions!$B$18)/(1+C21)^5+Assumptions!$B$20+Assumptions!$B$21-Assumptions!$B$23-Assumptions!$B$24)/Assumptions!$B$6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&amp; ratios — the standing dashboard (device A-5)</t>
        </is>
      </c>
      <c r="B1" s="2" t="n"/>
      <c r="C1" s="2" t="n"/>
      <c r="D1" s="2" t="n"/>
      <c r="E1" s="2" t="n"/>
      <c r="F1" s="2" t="n"/>
      <c r="G1" s="2" t="n"/>
      <c r="H1" s="2" t="n"/>
      <c r="I1" s="2" t="n"/>
      <c r="J1" s="2" t="n"/>
    </row>
    <row r="2">
      <c r="A2" s="4" t="inlineStr">
        <is>
          <t>Links to statements /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EPS (SAR)</t>
        </is>
      </c>
      <c r="B6" s="26">
        <f>'Income Statement'!B19/Assumptions!$B$6</f>
        <v/>
      </c>
      <c r="C6" s="26">
        <f>'Income Statement'!C19/Assumptions!$B$6</f>
        <v/>
      </c>
      <c r="D6" s="26">
        <f>'Income Statement'!D19/Assumptions!$B$6</f>
        <v/>
      </c>
      <c r="E6" s="26">
        <f>'Income Statement'!E19/Assumptions!$B$6</f>
        <v/>
      </c>
      <c r="F6" s="26">
        <f>'Income Statement'!F19/Assumptions!$B$6</f>
        <v/>
      </c>
      <c r="G6" s="26">
        <f>'Income Statement'!G19/Assumptions!$B$6</f>
        <v/>
      </c>
      <c r="H6" s="26">
        <f>'Income Statement'!H19/Assumptions!$B$6</f>
        <v/>
      </c>
      <c r="I6" s="26">
        <f>'Income Statement'!I19/Assumptions!$B$6</f>
        <v/>
      </c>
    </row>
    <row r="7">
      <c r="A7" s="17" t="inlineStr">
        <is>
          <t>DPS declared (SAR)</t>
        </is>
      </c>
      <c r="B7" s="7" t="n">
        <v>1.6</v>
      </c>
      <c r="C7" s="7" t="n">
        <v>3.75</v>
      </c>
      <c r="D7" s="7" t="n">
        <v>2.2</v>
      </c>
      <c r="E7" s="29">
        <f>Assumptions!C26</f>
        <v/>
      </c>
      <c r="F7" s="29">
        <f>Assumptions!D26</f>
        <v/>
      </c>
      <c r="G7" s="29">
        <f>Assumptions!E26</f>
        <v/>
      </c>
      <c r="H7" s="29">
        <f>Assumptions!F26</f>
        <v/>
      </c>
      <c r="I7" s="29">
        <f>Assumptions!G26</f>
        <v/>
      </c>
    </row>
    <row r="8">
      <c r="A8" s="17" t="inlineStr">
        <is>
          <t>Book value / share (SAR)</t>
        </is>
      </c>
      <c r="B8" s="26">
        <f>'Balance Sheet'!B14/Assumptions!$B$6</f>
        <v/>
      </c>
      <c r="C8" s="26">
        <f>'Balance Sheet'!C14/Assumptions!$B$6</f>
        <v/>
      </c>
      <c r="D8" s="26">
        <f>'Balance Sheet'!D14/Assumptions!$B$6</f>
        <v/>
      </c>
      <c r="E8" s="26">
        <f>'Balance Sheet'!E14/Assumptions!$B$6</f>
        <v/>
      </c>
      <c r="F8" s="26">
        <f>'Balance Sheet'!F14/Assumptions!$B$6</f>
        <v/>
      </c>
      <c r="G8" s="26">
        <f>'Balance Sheet'!G14/Assumptions!$B$6</f>
        <v/>
      </c>
      <c r="H8" s="26">
        <f>'Balance Sheet'!H14/Assumptions!$B$6</f>
        <v/>
      </c>
      <c r="I8" s="26">
        <f>'Balance Sheet'!I14/Assumptions!$B$6</f>
        <v/>
      </c>
    </row>
    <row r="9">
      <c r="A9" s="17" t="inlineStr">
        <is>
          <t>P/E at spot (×)f</t>
        </is>
      </c>
      <c r="B9" s="33">
        <f>Assumptions!$B$5/('Income Statement'!B19/Assumptions!$B$6)</f>
        <v/>
      </c>
      <c r="C9" s="33">
        <f>Assumptions!$B$5/('Income Statement'!C19/Assumptions!$B$6)</f>
        <v/>
      </c>
      <c r="D9" s="33">
        <f>Assumptions!$B$5/('Income Statement'!D19/Assumptions!$B$6)</f>
        <v/>
      </c>
      <c r="E9" s="33">
        <f>Assumptions!$B$5/('Income Statement'!E19/Assumptions!$B$6)</f>
        <v/>
      </c>
      <c r="F9" s="33">
        <f>Assumptions!$B$5/('Income Statement'!F19/Assumptions!$B$6)</f>
        <v/>
      </c>
      <c r="G9" s="33">
        <f>Assumptions!$B$5/('Income Statement'!G19/Assumptions!$B$6)</f>
        <v/>
      </c>
      <c r="H9" s="33">
        <f>Assumptions!$B$5/('Income Statement'!H19/Assumptions!$B$6)</f>
        <v/>
      </c>
      <c r="I9" s="33">
        <f>Assumptions!$B$5/('Income Statement'!I19/Assumptions!$B$6)</f>
        <v/>
      </c>
    </row>
    <row r="10">
      <c r="A10" s="17" t="inlineStr">
        <is>
          <t>P/B at spot (×)f</t>
        </is>
      </c>
      <c r="B10" s="33">
        <f>Assumptions!$B$5/('Balance Sheet'!B14/Assumptions!$B$6)</f>
        <v/>
      </c>
      <c r="C10" s="33">
        <f>Assumptions!$B$5/('Balance Sheet'!C14/Assumptions!$B$6)</f>
        <v/>
      </c>
      <c r="D10" s="33">
        <f>Assumptions!$B$5/('Balance Sheet'!D14/Assumptions!$B$6)</f>
        <v/>
      </c>
      <c r="E10" s="33">
        <f>Assumptions!$B$5/('Balance Sheet'!E14/Assumptions!$B$6)</f>
        <v/>
      </c>
      <c r="F10" s="33">
        <f>Assumptions!$B$5/('Balance Sheet'!F14/Assumptions!$B$6)</f>
        <v/>
      </c>
      <c r="G10" s="33">
        <f>Assumptions!$B$5/('Balance Sheet'!G14/Assumptions!$B$6)</f>
        <v/>
      </c>
      <c r="H10" s="33">
        <f>Assumptions!$B$5/('Balance Sheet'!H14/Assumptions!$B$6)</f>
        <v/>
      </c>
      <c r="I10" s="33">
        <f>Assumptions!$B$5/('Balance Sheet'!I14/Assumptions!$B$6)</f>
        <v/>
      </c>
    </row>
    <row r="11">
      <c r="A11" s="17" t="inlineStr">
        <is>
          <t>Dividend yield at spot (declared)</t>
        </is>
      </c>
      <c r="B11" s="18">
        <f>B7/Assumptions!$B$5</f>
        <v/>
      </c>
      <c r="C11" s="18">
        <f>C7/Assumptions!$B$5</f>
        <v/>
      </c>
      <c r="D11" s="18">
        <f>D7/Assumptions!$B$5</f>
        <v/>
      </c>
      <c r="E11" s="18">
        <f>E7/Assumptions!$B$5</f>
        <v/>
      </c>
      <c r="F11" s="18">
        <f>F7/Assumptions!$B$5</f>
        <v/>
      </c>
      <c r="G11" s="18">
        <f>G7/Assumptions!$B$5</f>
        <v/>
      </c>
      <c r="H11" s="18">
        <f>H7/Assumptions!$B$5</f>
        <v/>
      </c>
      <c r="I11" s="18">
        <f>I7/Assumptions!$B$5</f>
        <v/>
      </c>
    </row>
    <row r="12">
      <c r="A12" s="17" t="inlineStr">
        <is>
          <t>Payout (of attributable NP)f</t>
        </is>
      </c>
      <c r="B12" s="18">
        <f>B7*Assumptions!$B$6/'Income Statement'!B19</f>
        <v/>
      </c>
      <c r="C12" s="18">
        <f>C7*Assumptions!$B$6/'Income Statement'!C19</f>
        <v/>
      </c>
      <c r="D12" s="18">
        <f>D7*Assumptions!$B$6/'Income Statement'!D19</f>
        <v/>
      </c>
      <c r="E12" s="18">
        <f>E7*Assumptions!$B$6/'Income Statement'!E19</f>
        <v/>
      </c>
      <c r="F12" s="18">
        <f>F7*Assumptions!$B$6/'Income Statement'!F19</f>
        <v/>
      </c>
      <c r="G12" s="18">
        <f>G7*Assumptions!$B$6/'Income Statement'!G19</f>
        <v/>
      </c>
      <c r="H12" s="18">
        <f>H7*Assumptions!$B$6/'Income Statement'!H19</f>
        <v/>
      </c>
      <c r="I12" s="18">
        <f>I7*Assumptions!$B$6/'Income Statement'!I19</f>
        <v/>
      </c>
    </row>
    <row r="13">
      <c r="A13" s="17" t="inlineStr">
        <is>
          <t>EBITDA margin</t>
        </is>
      </c>
      <c r="B13" s="18">
        <f>'Income Statement'!B9/'Income Statement'!B6</f>
        <v/>
      </c>
      <c r="C13" s="18">
        <f>'Income Statement'!C9/'Income Statement'!C6</f>
        <v/>
      </c>
      <c r="D13" s="18">
        <f>'Income Statement'!D9/'Income Statement'!D6</f>
        <v/>
      </c>
      <c r="E13" s="18">
        <f>'Income Statement'!E9/'Income Statement'!E6</f>
        <v/>
      </c>
      <c r="F13" s="18">
        <f>'Income Statement'!F9/'Income Statement'!F6</f>
        <v/>
      </c>
      <c r="G13" s="18">
        <f>'Income Statement'!G9/'Income Statement'!G6</f>
        <v/>
      </c>
      <c r="H13" s="18">
        <f>'Income Statement'!H9/'Income Statement'!H6</f>
        <v/>
      </c>
      <c r="I13" s="18">
        <f>'Income Statement'!I9/'Income Statement'!I6</f>
        <v/>
      </c>
    </row>
    <row r="14">
      <c r="A14" s="17" t="inlineStr">
        <is>
          <t>Net margin</t>
        </is>
      </c>
      <c r="B14" s="18">
        <f>'Income Statement'!B19/'Income Statement'!B6</f>
        <v/>
      </c>
      <c r="C14" s="18">
        <f>'Income Statement'!C19/'Income Statement'!C6</f>
        <v/>
      </c>
      <c r="D14" s="18">
        <f>'Income Statement'!D19/'Income Statement'!D6</f>
        <v/>
      </c>
      <c r="E14" s="18">
        <f>'Income Statement'!E19/'Income Statement'!E6</f>
        <v/>
      </c>
      <c r="F14" s="18">
        <f>'Income Statement'!F19/'Income Statement'!F6</f>
        <v/>
      </c>
      <c r="G14" s="18">
        <f>'Income Statement'!G19/'Income Statement'!G6</f>
        <v/>
      </c>
      <c r="H14" s="18">
        <f>'Income Statement'!H19/'Income Statement'!H6</f>
        <v/>
      </c>
      <c r="I14" s="18">
        <f>'Income Statement'!I19/'Income Statement'!I6</f>
        <v/>
      </c>
    </row>
    <row r="15">
      <c r="A15" s="17" t="inlineStr">
        <is>
          <t>ROAE (attributable)</t>
        </is>
      </c>
      <c r="B15" s="18">
        <f>'Income Statement'!B19/'Balance Sheet'!B14</f>
        <v/>
      </c>
      <c r="C15" s="18">
        <f>'Income Statement'!C19/'Balance Sheet'!C14</f>
        <v/>
      </c>
      <c r="D15" s="18">
        <f>'Income Statement'!D19/'Balance Sheet'!D14</f>
        <v/>
      </c>
      <c r="E15" s="18">
        <f>'Income Statement'!E19/'Balance Sheet'!E14</f>
        <v/>
      </c>
      <c r="F15" s="18">
        <f>'Income Statement'!F19/'Balance Sheet'!F14</f>
        <v/>
      </c>
      <c r="G15" s="18">
        <f>'Income Statement'!G19/'Balance Sheet'!G14</f>
        <v/>
      </c>
      <c r="H15" s="18">
        <f>'Income Statement'!H19/'Balance Sheet'!H14</f>
        <v/>
      </c>
      <c r="I15" s="18">
        <f>'Income Statement'!I19/'Balance Sheet'!I14</f>
        <v/>
      </c>
    </row>
    <row r="16">
      <c r="A16" s="17" t="inlineStr">
        <is>
          <t>Net debt (IR) / EBITDA (×)</t>
        </is>
      </c>
      <c r="B16" s="33">
        <f>'Balance Sheet'!B24/'Income Statement'!B9</f>
        <v/>
      </c>
      <c r="C16" s="33">
        <f>'Balance Sheet'!C24/'Income Statement'!C9</f>
        <v/>
      </c>
      <c r="D16" s="33">
        <f>'Balance Sheet'!D24/'Income Statement'!D9</f>
        <v/>
      </c>
      <c r="E16" s="33">
        <f>'Balance Sheet'!E24/'Income Statement'!E9</f>
        <v/>
      </c>
      <c r="F16" s="33">
        <f>'Balance Sheet'!F24/'Income Statement'!F9</f>
        <v/>
      </c>
      <c r="G16" s="33">
        <f>'Balance Sheet'!G24/'Income Statement'!G9</f>
        <v/>
      </c>
      <c r="H16" s="33">
        <f>'Balance Sheet'!H24/'Income Statement'!H9</f>
        <v/>
      </c>
      <c r="I16" s="33">
        <f>'Balance Sheet'!I24/'Income Statement'!I9</f>
        <v/>
      </c>
    </row>
    <row r="17">
      <c r="A17" s="17" t="inlineStr">
        <is>
          <t>Capex intensity (% of revenue)</t>
        </is>
      </c>
      <c r="B17" s="10" t="n">
        <v>0.136</v>
      </c>
      <c r="C17" s="10" t="n">
        <v>0.157</v>
      </c>
      <c r="D17" s="10" t="n">
        <v>0.152</v>
      </c>
      <c r="E17" s="18">
        <f>-'Cash Flow'!E10/'Income Statement'!E6</f>
        <v/>
      </c>
      <c r="F17" s="18">
        <f>-'Cash Flow'!F10/'Income Statement'!F6</f>
        <v/>
      </c>
      <c r="G17" s="18">
        <f>-'Cash Flow'!G10/'Income Statement'!G6</f>
        <v/>
      </c>
      <c r="H17" s="18">
        <f>-'Cash Flow'!H10/'Income Statement'!H6</f>
        <v/>
      </c>
      <c r="I17" s="18">
        <f>-'Cash Flow'!I10/'Income Statement'!I6</f>
        <v/>
      </c>
    </row>
    <row r="18">
      <c r="A18" s="17" t="inlineStr">
        <is>
          <t>FCF yield at spot (forecast)</t>
        </is>
      </c>
      <c r="E18" s="18">
        <f>'Cash Flow'!E11/(Assumptions!$B$5*Assumptions!$B$6)</f>
        <v/>
      </c>
      <c r="F18" s="18">
        <f>'Cash Flow'!F11/(Assumptions!$B$5*Assumptions!$B$6)</f>
        <v/>
      </c>
      <c r="G18" s="18">
        <f>'Cash Flow'!G11/(Assumptions!$B$5*Assumptions!$B$6)</f>
        <v/>
      </c>
      <c r="H18" s="18">
        <f>'Cash Flow'!H11/(Assumptions!$B$5*Assumptions!$B$6)</f>
        <v/>
      </c>
      <c r="I18" s="18">
        <f>'Cash Flow'!I11/(Assumptions!$B$5*Assumptions!$B$6)</f>
        <v/>
      </c>
    </row>
    <row r="19">
      <c r="A19" s="17" t="inlineStr">
        <is>
          <t>Revenue YoY</t>
        </is>
      </c>
      <c r="C19" s="18">
        <f>'Income Statement'!C6/'Income Statement'!B6-1</f>
        <v/>
      </c>
      <c r="D19" s="18">
        <f>'Income Statement'!D6/'Income Statement'!C6-1</f>
        <v/>
      </c>
      <c r="E19" s="18">
        <f>'Income Statement'!E6/'Income Statement'!D6-1</f>
        <v/>
      </c>
      <c r="F19" s="18">
        <f>'Income Statement'!F6/'Income Statement'!E6-1</f>
        <v/>
      </c>
      <c r="G19" s="18">
        <f>'Income Statement'!G6/'Income Statement'!F6-1</f>
        <v/>
      </c>
      <c r="H19" s="18">
        <f>'Income Statement'!H6/'Income Statement'!G6-1</f>
        <v/>
      </c>
      <c r="I19" s="18">
        <f>'Income Statement'!I6/'Income Statement'!H6-1</f>
        <v/>
      </c>
    </row>
    <row r="20">
      <c r="A20" s="17" t="inlineStr">
        <is>
          <t>EPS YoY</t>
        </is>
      </c>
      <c r="C20" s="18">
        <f>('Income Statement'!C19/'Income Statement'!B19)-1</f>
        <v/>
      </c>
      <c r="D20" s="18">
        <f>('Income Statement'!D19/'Income Statement'!C19)-1</f>
        <v/>
      </c>
      <c r="E20" s="18">
        <f>('Income Statement'!E19/'Income Statement'!D19)-1</f>
        <v/>
      </c>
      <c r="F20" s="18">
        <f>('Income Statement'!F19/'Income Statement'!E19)-1</f>
        <v/>
      </c>
      <c r="G20" s="18">
        <f>('Income Statement'!G19/'Income Statement'!F19)-1</f>
        <v/>
      </c>
      <c r="H20" s="18">
        <f>('Income Statement'!H19/'Income Statement'!G19)-1</f>
        <v/>
      </c>
      <c r="I20" s="18">
        <f>('Income Statement'!I19/'Income Statement'!H19)-1</f>
        <v/>
      </c>
    </row>
    <row r="22">
      <c r="A22" s="8" t="inlineStr">
        <is>
          <t>FY24 EPS/DPS carry the TAWAL disposal gain and the SAR 2.00 special dividend — the payout row prints &gt;100% on the cash-paid framing (141% LTM per stc). Declared-regular vs cash-paid framings both stated (house rule).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46" customWidth="1" min="6" max="6"/>
    <col width="12" customWidth="1" min="7" max="7"/>
  </cols>
  <sheetData>
    <row r="1">
      <c r="A1" s="1" t="inlineStr">
        <is>
          <t>Peer set &amp; sector</t>
        </is>
      </c>
      <c r="B1" s="2" t="n"/>
      <c r="C1" s="2" t="n"/>
      <c r="D1" s="2" t="n"/>
      <c r="E1" s="2" t="n"/>
      <c r="F1" s="2" t="n"/>
      <c r="G1" s="2" t="n"/>
    </row>
    <row r="2">
      <c r="A2" s="4" t="inlineStr">
        <is>
          <t>GCC/regional telecoms; multiples approximate, as-of dates flagged (context, not model inputs).</t>
        </is>
      </c>
    </row>
    <row r="5">
      <c r="A5" s="5" t="inlineStr">
        <is>
          <t>Name</t>
        </is>
      </c>
      <c r="B5" s="5" t="inlineStr">
        <is>
          <t>Mkt</t>
        </is>
      </c>
      <c r="C5" s="5" t="inlineStr">
        <is>
          <t>P/E (t)</t>
        </is>
      </c>
      <c r="D5" s="5" t="inlineStr">
        <is>
          <t>EV/EBITDA</t>
        </is>
      </c>
      <c r="E5" s="5" t="inlineStr">
        <is>
          <t>Div yield</t>
        </is>
      </c>
      <c r="F5" s="5" t="inlineStr">
        <is>
          <t>Note</t>
        </is>
      </c>
    </row>
    <row r="6">
      <c r="A6" s="6" t="inlineStr">
        <is>
          <t>stc (7010)</t>
        </is>
      </c>
      <c r="B6" s="6" t="inlineStr">
        <is>
          <t>KSA</t>
        </is>
      </c>
      <c r="C6" s="6" t="inlineStr">
        <is>
          <t>14.7×</t>
        </is>
      </c>
      <c r="D6" s="6" t="inlineStr">
        <is>
          <t>9.5×</t>
        </is>
      </c>
      <c r="E6" s="6" t="inlineStr">
        <is>
          <t>5.0% (9.6% incl. special)</t>
        </is>
      </c>
      <c r="F6" s="6" t="inlineStr">
        <is>
          <t>Incumbent; ~57% mobile share; net debt ~0</t>
        </is>
      </c>
    </row>
    <row r="7">
      <c r="A7" s="6" t="inlineStr">
        <is>
          <t>Mobily (7020)</t>
        </is>
      </c>
      <c r="B7" s="6" t="inlineStr">
        <is>
          <t>KSA</t>
        </is>
      </c>
      <c r="C7" s="6" t="inlineStr">
        <is>
          <t>13.5×</t>
        </is>
      </c>
      <c r="D7" s="6" t="inlineStr">
        <is>
          <t>~7.4×</t>
        </is>
      </c>
      <c r="E7" s="6" t="inlineStr">
        <is>
          <t>4.5%</t>
        </is>
      </c>
      <c r="F7" s="6" t="inlineStr">
        <is>
          <t>No.2; e&amp; anchor shareholder; fastest sub growth</t>
        </is>
      </c>
    </row>
    <row r="8">
      <c r="A8" s="6" t="inlineStr">
        <is>
          <t>Zain KSA (7030)</t>
        </is>
      </c>
      <c r="B8" s="6" t="inlineStr">
        <is>
          <t>KSA</t>
        </is>
      </c>
      <c r="C8" s="6" t="inlineStr">
        <is>
          <t>12.8×</t>
        </is>
      </c>
      <c r="D8" s="6" t="inlineStr">
        <is>
          <t>n/a</t>
        </is>
      </c>
      <c r="E8" s="6" t="inlineStr">
        <is>
          <t>4.9%</t>
        </is>
      </c>
      <c r="F8" s="6" t="inlineStr">
        <is>
          <t>No.3; tower-light; higher leverage</t>
        </is>
      </c>
    </row>
    <row r="9">
      <c r="A9" s="6" t="inlineStr">
        <is>
          <t>e&amp; (EAND)</t>
        </is>
      </c>
      <c r="B9" s="6" t="inlineStr">
        <is>
          <t>UAE</t>
        </is>
      </c>
      <c r="C9" s="6" t="inlineStr">
        <is>
          <t>13.2×</t>
        </is>
      </c>
      <c r="D9" s="6" t="inlineStr">
        <is>
          <t>n/a</t>
        </is>
      </c>
      <c r="E9" s="6" t="inlineStr">
        <is>
          <t>5.1%</t>
        </is>
      </c>
      <c r="F9" s="6" t="inlineStr">
        <is>
          <t>UAE incumbent + international portfolio</t>
        </is>
      </c>
    </row>
    <row r="10">
      <c r="A10" s="6" t="inlineStr">
        <is>
          <t>Ooredoo (ORDS)</t>
        </is>
      </c>
      <c r="B10" s="6" t="inlineStr">
        <is>
          <t>Qatar</t>
        </is>
      </c>
      <c r="C10" s="6" t="inlineStr">
        <is>
          <t>10.7×</t>
        </is>
      </c>
      <c r="D10" s="6" t="inlineStr">
        <is>
          <t>n/a</t>
        </is>
      </c>
      <c r="E10" s="6" t="inlineStr">
        <is>
          <t>5.7%</t>
        </is>
      </c>
      <c r="F10" s="6" t="inlineStr">
        <is>
          <t>Multi-market; data-centre pivot</t>
        </is>
      </c>
    </row>
    <row r="11">
      <c r="A11" s="6" t="inlineStr">
        <is>
          <t>du (DU)</t>
        </is>
      </c>
      <c r="B11" s="6" t="inlineStr">
        <is>
          <t>UAE</t>
        </is>
      </c>
      <c r="C11" s="6" t="inlineStr">
        <is>
          <t>17.6×</t>
        </is>
      </c>
      <c r="D11" s="6" t="inlineStr">
        <is>
          <t>n/a</t>
        </is>
      </c>
      <c r="E11" s="6" t="inlineStr">
        <is>
          <t>5.5%</t>
        </is>
      </c>
      <c r="F11" s="6" t="inlineStr">
        <is>
          <t>No.2 UAE; hyperscale DC momentum</t>
        </is>
      </c>
    </row>
    <row r="12">
      <c r="A12" s="6" t="inlineStr">
        <is>
          <t>Omantel / Beyon / ETEL</t>
        </is>
      </c>
      <c r="B12" s="6" t="inlineStr">
        <is>
          <t>Oman/Bah/Egy</t>
        </is>
      </c>
      <c r="C12" s="6" t="inlineStr">
        <is>
          <t>11.5× / 11.1× / 8.8×</t>
        </is>
      </c>
      <c r="D12" s="6" t="inlineStr">
        <is>
          <t>n/a</t>
        </is>
      </c>
      <c r="E12" s="6" t="inlineStr">
        <is>
          <t>3.9% / 7.1% / 1.5%</t>
        </is>
      </c>
      <c r="F12" s="6" t="inlineStr">
        <is>
          <t>Regional context</t>
        </is>
      </c>
    </row>
    <row r="14">
      <c r="A14" s="8" t="inlineStr">
        <is>
          <t>Sector: KSA mobile ≈ 57/27/16 stc/Mobily/Zain; Nov-2024 CST spectrum auction (stc: 600MHz + 3.8GHz); 10,800+ stc 5G sites, 63% populated coverage; FTTH 3.75mn; FWA one of the highest-adoption markets globally; center3–HUMAIN 1GW AI-DC ambition; SilkLink Syria fibre corridor (SAR 3bn, Feb-2026). Peer P/E band 10.7–17.6×; stc premium tracks its share, balance sheet and yield.</t>
        </is>
      </c>
    </row>
    <row r="15">
      <c r="A15" s="8" t="inlineStr">
        <is>
          <t>Analyst context (not a model input): 17 analysts, 8 Buy / 9 Hold, average 12m TP SAR 47.9 (41.1–55.0), Jul-2026.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2026-09-05T11:20:38Z</dcterms:created>
  <dcterms:modified xmlns:dcterms="http://purl.org/dc/terms/" xmlns:xsi="http://www.w3.org/2001/XMLSchema-instance" xsi:type="dcterms:W3CDTF">2026-09-05T11:20:39Z</dcterms:modified>
</cp:coreProperties>
</file>