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Bridge'!C14</f>
        <v/>
      </c>
      <c r="D6" s="7" t="n">
        <v>39</v>
      </c>
      <c r="E6" s="16" t="inlineStr">
        <is>
          <t>THE CENTRAL</t>
        </is>
      </c>
    </row>
    <row r="7">
      <c r="A7" s="17" t="inlineStr">
        <is>
          <t>Dividend discount</t>
        </is>
      </c>
      <c r="B7" s="7" t="n">
        <v>29.2</v>
      </c>
      <c r="C7" s="29">
        <f>'SOTP Bridge'!C23</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Cash-flow model (the class primary)</t>
        </is>
      </c>
      <c r="B6" s="29">
        <f>Summary!B6</f>
        <v/>
      </c>
      <c r="C6" s="29">
        <f>Summary!C6</f>
        <v/>
      </c>
      <c r="D6" s="29">
        <f>Summary!D6</f>
        <v/>
      </c>
    </row>
    <row r="7">
      <c r="A7" s="6" t="inlineStr">
        <is>
          <t>Dividend discount</t>
        </is>
      </c>
      <c r="B7" s="29">
        <f>Summary!B7</f>
        <v/>
      </c>
      <c r="C7" s="29">
        <f>Summary!C7</f>
        <v/>
      </c>
      <c r="D7" s="29">
        <f>Summary!D7</f>
        <v/>
      </c>
    </row>
    <row r="8">
      <c r="A8" s="6" t="inlineStr">
        <is>
          <t>Enterprise multiple on own history</t>
        </is>
      </c>
      <c r="B8" s="29">
        <f>Summary!B8</f>
        <v/>
      </c>
      <c r="C8" s="29">
        <f>Summary!C8</f>
        <v/>
      </c>
      <c r="D8" s="29">
        <f>Summary!D8</f>
        <v/>
      </c>
    </row>
    <row r="9">
      <c r="A9" s="6" t="inlineStr">
        <is>
          <t>Normalised earnings power</t>
        </is>
      </c>
      <c r="B9" s="29">
        <f>Summary!B9</f>
        <v/>
      </c>
      <c r="C9" s="29">
        <f>Summary!C9</f>
        <v/>
      </c>
      <c r="D9" s="29">
        <f>Summary!D9</f>
        <v/>
      </c>
    </row>
    <row r="10">
      <c r="A10" s="16" t="inlineStr">
        <is>
          <t>Book value — a disclosed floor, never weighted into an answer</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First-year scale onto the reviewed half (annualised)</t>
        </is>
      </c>
      <c r="C55" s="7" t="n">
        <v>1.006082103803541</v>
      </c>
      <c r="D55" s="7" t="n">
        <v>1</v>
      </c>
      <c r="E55" s="7" t="n">
        <v>1</v>
      </c>
      <c r="F55" s="7" t="n">
        <v>1</v>
      </c>
      <c r="G55" s="7" t="n">
        <v>1</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68">
      <c r="A68" t="inlineStr">
        <is>
          <t>Gross margin (% of revenue)</t>
        </is>
      </c>
      <c r="C68" s="10" t="n">
        <v>0.485</v>
      </c>
      <c r="D68" s="10" t="n">
        <v>0.485</v>
      </c>
      <c r="E68" s="10" t="n">
        <v>0.485</v>
      </c>
      <c r="F68" s="10" t="n">
        <v>0.485</v>
      </c>
      <c r="G68" s="10" t="n">
        <v>0.485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t>
        </is>
      </c>
      <c r="B7" s="8" t="inlineStr">
        <is>
          <t>% of core enterprise value</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on the disclosed stake</t>
        </is>
      </c>
      <c r="C9" s="19">
        <f>Assumptions!$B$21</f>
        <v/>
      </c>
    </row>
    <row r="10">
      <c r="A10" s="6" t="inlineStr">
        <is>
          <t>+ Investment funds and unlisted equity investments</t>
        </is>
      </c>
      <c r="B10" s="8" t="inlineStr">
        <is>
          <t>At fair value</t>
        </is>
      </c>
      <c r="C10" s="19">
        <f>Assumptions!$B$22</f>
        <v/>
      </c>
    </row>
    <row r="11">
      <c r="A11" s="6" t="inlineStr">
        <is>
          <t>− Net debt</t>
        </is>
      </c>
      <c r="B11" s="8" t="inlineStr">
        <is>
          <t>Total borrowings less cash, on the 30 June 2026 reviewed sheet</t>
        </is>
      </c>
      <c r="C11" s="19">
        <f>-Assumptions!$B$23</f>
        <v/>
      </c>
    </row>
    <row r="12">
      <c r="A12" s="6" t="inlineStr">
        <is>
          <t>− Non-controlling interests</t>
        </is>
      </c>
      <c r="B12" s="8" t="inlineStr">
        <is>
          <t>At the minority’s share of equity value, not at book</t>
        </is>
      </c>
      <c r="C12" s="19">
        <f>-Assumptions!$B$24</f>
        <v/>
      </c>
    </row>
    <row r="13">
      <c r="A13" s="16" t="inlineStr">
        <is>
          <t>Equity value</t>
        </is>
      </c>
      <c r="B13" s="6" t="inlineStr"/>
      <c r="C13" s="25">
        <f>C6+Assumptions!$B$20+Assumptions!$B$21+Assumptions!$B$22-Assumptions!$B$23-Assumptions!$B$24</f>
        <v/>
      </c>
    </row>
    <row r="14">
      <c r="A14" s="16" t="inlineStr">
        <is>
          <t>DCF fair value per share (SAR)</t>
        </is>
      </c>
      <c r="B14" s="6" t="inlineStr"/>
      <c r="C14" s="30">
        <f>C13/Assumptions!$B$6</f>
        <v/>
      </c>
    </row>
    <row r="15">
      <c r="A15" s="16" t="inlineStr">
        <is>
          <t>Upside / (downside) vs spot</t>
        </is>
      </c>
      <c r="B15" s="6" t="inlineStr"/>
      <c r="C15" s="32">
        <f>C14/Assumptions!$B$5-1</f>
        <v/>
      </c>
    </row>
    <row r="17">
      <c r="A17" s="5" t="inlineStr">
        <is>
          <t>DDM — the locked dividend policy as a lens</t>
        </is>
      </c>
    </row>
    <row r="18">
      <c r="A18" s="16" t="inlineStr">
        <is>
          <t>DPS (SAR)</t>
        </is>
      </c>
      <c r="C18" s="29">
        <f>Assumptions!C26</f>
        <v/>
      </c>
      <c r="D18" s="29">
        <f>Assumptions!D26</f>
        <v/>
      </c>
      <c r="E18" s="29">
        <f>Assumptions!E26</f>
        <v/>
      </c>
      <c r="F18" s="29">
        <f>Assumptions!F26</f>
        <v/>
      </c>
      <c r="G18" s="29">
        <f>Assumptions!G26</f>
        <v/>
      </c>
    </row>
    <row r="19">
      <c r="A19" s="6" t="inlineStr">
        <is>
          <t>PV of DPS @ Ke</t>
        </is>
      </c>
      <c r="C19" s="26">
        <f>C18/(1+Assumptions!$B$13)^1</f>
        <v/>
      </c>
      <c r="D19" s="26">
        <f>D18/(1+Assumptions!$B$13)^2</f>
        <v/>
      </c>
      <c r="E19" s="26">
        <f>E18/(1+Assumptions!$B$13)^3</f>
        <v/>
      </c>
      <c r="F19" s="26">
        <f>F18/(1+Assumptions!$B$13)^4</f>
        <v/>
      </c>
      <c r="G19" s="26">
        <f>G18/(1+Assumptions!$B$13)^5</f>
        <v/>
      </c>
    </row>
    <row r="20">
      <c r="A20" s="17" t="inlineStr">
        <is>
          <t>Σ PV of explicit DPS (FY26–30E)</t>
        </is>
      </c>
      <c r="C20" s="26">
        <f>SUM(C19:G19)</f>
        <v/>
      </c>
    </row>
    <row r="21">
      <c r="A21" s="17" t="inlineStr">
        <is>
          <t>Terminal value = DPS30 × (1+g) / (Ke − g)</t>
        </is>
      </c>
      <c r="C21" s="26">
        <f>G18*(1+Assumptions!$B$27)/(Assumptions!$B$13-Assumptions!$B$27)</f>
        <v/>
      </c>
    </row>
    <row r="22">
      <c r="A22" s="17" t="inlineStr">
        <is>
          <t>PV of terminal value</t>
        </is>
      </c>
      <c r="C22" s="26">
        <f>C21/(1+Assumptions!$B$13)^5</f>
        <v/>
      </c>
    </row>
    <row r="23">
      <c r="A23" s="16" t="inlineStr">
        <is>
          <t>DDM fair value per share (SAR)</t>
        </is>
      </c>
      <c r="C23" s="23">
        <f>C20+C22</f>
        <v/>
      </c>
    </row>
    <row r="24">
      <c r="A24" s="17" t="inlineStr">
        <is>
          <t xml:space="preserve">  terminal as a share of the dividend-model value</t>
        </is>
      </c>
      <c r="C24" s="18">
        <f>C22/C23</f>
        <v/>
      </c>
    </row>
    <row r="26">
      <c r="A26" s="8" t="inlineStr">
        <is>
          <t>What the market is paying, read off this sheet: at the spot price the market values the whole equity above what these lines add to, and the difference is the disagreement section 4 of the study takes apart. The regular dividend is covered 1.05 to 1.24 times by first-year model free cash flow across the range of capital intensity this company own three filed years actually ran — covered throughout that range, so the question is whether the data-centre build takes intensity above anything it has yet run.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enterprise value</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on the 30 June 2026 reviewed sheet</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a share of enterprise value above rather than blended away.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E6*Assumptions!$C$68</f>
        <v/>
      </c>
      <c r="F7" s="17">
        <f>F6*Assumptions!$D$68</f>
        <v/>
      </c>
      <c r="G7" s="17">
        <f>G6*Assumptions!$E$68</f>
        <v/>
      </c>
      <c r="H7" s="17">
        <f>H6*Assumptions!$F$68</f>
        <v/>
      </c>
      <c r="I7" s="17">
        <f>I6*Assumptions!$G$68</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2026-09-05T12:30:18Z</dcterms:created>
  <dcterms:modified xmlns:dcterms="http://purl.org/dc/terms/" xmlns:xsi="http://www.w3.org/2001/XMLSchema-instance" xsi:type="dcterms:W3CDTF">2026-09-05T12:30:19Z</dcterms:modified>
</cp:coreProperties>
</file>