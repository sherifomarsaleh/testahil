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Bridge'!C13</f>
        <v/>
      </c>
      <c r="D6" s="7" t="n">
        <v>39</v>
      </c>
      <c r="E6" s="16" t="inlineStr">
        <is>
          <t>THE CENTRAL</t>
        </is>
      </c>
    </row>
    <row r="7">
      <c r="A7" s="17" t="inlineStr">
        <is>
          <t>Dividend discount</t>
        </is>
      </c>
      <c r="B7" s="7" t="n">
        <v>29.2</v>
      </c>
      <c r="C7" s="29">
        <f>'SOTP Bridge'!C22</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Gross margin (% of revenue)</t>
        </is>
      </c>
      <c r="C55" s="10" t="n">
        <v>0.485</v>
      </c>
      <c r="D55" s="10" t="n">
        <v>0.485</v>
      </c>
      <c r="E55" s="10" t="n">
        <v>0.485</v>
      </c>
      <c r="F55" s="10" t="n">
        <v>0.485</v>
      </c>
      <c r="G55" s="10" t="n">
        <v>0.485</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 (device A-7)</t>
        </is>
      </c>
      <c r="B7" s="8" t="inlineStr">
        <is>
          <t>% of core EV</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561mn sh × €3.50 × 4.40</t>
        </is>
      </c>
      <c r="C9" s="19">
        <f>Assumptions!$B$21</f>
        <v/>
      </c>
    </row>
    <row r="10">
      <c r="A10" s="6" t="inlineStr">
        <is>
          <t>− Net debt (IR basis, Q1-26)</t>
        </is>
      </c>
      <c r="B10" s="8" t="inlineStr">
        <is>
          <t>Total debt 22,475 − core cash 15,412</t>
        </is>
      </c>
      <c r="C10" s="19">
        <f>-Assumptions!$B$23</f>
        <v/>
      </c>
    </row>
    <row r="11">
      <c r="A11" s="6" t="inlineStr">
        <is>
          <t>− Non-controlling interests</t>
        </is>
      </c>
      <c r="B11" s="8" t="inlineStr">
        <is>
          <t>Book, 31-Mar-26</t>
        </is>
      </c>
      <c r="C11" s="19">
        <f>-Assumptions!$B$24</f>
        <v/>
      </c>
    </row>
    <row r="12">
      <c r="A12" s="16" t="inlineStr">
        <is>
          <t>Equity value</t>
        </is>
      </c>
      <c r="B12" s="6" t="inlineStr"/>
      <c r="C12" s="25">
        <f>C6+Assumptions!$B$20+Assumptions!$B$21-Assumptions!$B$23-Assumptions!$B$24</f>
        <v/>
      </c>
    </row>
    <row r="13">
      <c r="A13" s="16" t="inlineStr">
        <is>
          <t>DCF fair value per share (SAR)</t>
        </is>
      </c>
      <c r="B13" s="6" t="inlineStr"/>
      <c r="C13" s="30">
        <f>C12/Assumptions!$B$6</f>
        <v/>
      </c>
    </row>
    <row r="14">
      <c r="A14" s="16" t="inlineStr">
        <is>
          <t>Upside / (downside) vs spot</t>
        </is>
      </c>
      <c r="B14" s="6" t="inlineStr"/>
      <c r="C14" s="32">
        <f>C13/Assumptions!$B$5-1</f>
        <v/>
      </c>
    </row>
    <row r="16">
      <c r="A16" s="5" t="inlineStr">
        <is>
          <t>DDM — the locked dividend policy as a lens</t>
        </is>
      </c>
    </row>
    <row r="17">
      <c r="A17" s="16" t="inlineStr">
        <is>
          <t>DPS (SAR)</t>
        </is>
      </c>
      <c r="C17" s="29">
        <f>Assumptions!C26</f>
        <v/>
      </c>
      <c r="D17" s="29">
        <f>Assumptions!D26</f>
        <v/>
      </c>
      <c r="E17" s="29">
        <f>Assumptions!E26</f>
        <v/>
      </c>
      <c r="F17" s="29">
        <f>Assumptions!F26</f>
        <v/>
      </c>
      <c r="G17" s="29">
        <f>Assumptions!G26</f>
        <v/>
      </c>
    </row>
    <row r="18">
      <c r="A18" s="6" t="inlineStr">
        <is>
          <t>PV of DPS @ Ke</t>
        </is>
      </c>
      <c r="C18" s="26">
        <f>C17/(1+Assumptions!$B$13)^1</f>
        <v/>
      </c>
      <c r="D18" s="26">
        <f>D17/(1+Assumptions!$B$13)^2</f>
        <v/>
      </c>
      <c r="E18" s="26">
        <f>E17/(1+Assumptions!$B$13)^3</f>
        <v/>
      </c>
      <c r="F18" s="26">
        <f>F17/(1+Assumptions!$B$13)^4</f>
        <v/>
      </c>
      <c r="G18" s="26">
        <f>G17/(1+Assumptions!$B$13)^5</f>
        <v/>
      </c>
    </row>
    <row r="19">
      <c r="A19" s="17" t="inlineStr">
        <is>
          <t>Σ PV of explicit DPS (FY26–30E)</t>
        </is>
      </c>
      <c r="C19" s="26">
        <f>SUM(C18:G18)</f>
        <v/>
      </c>
    </row>
    <row r="20">
      <c r="A20" s="17" t="inlineStr">
        <is>
          <t>Terminal value = DPS30 × (1+g) / (Ke − g)</t>
        </is>
      </c>
      <c r="C20" s="26">
        <f>G17*(1+Assumptions!$B$27)/(Assumptions!$B$13-Assumptions!$B$27)</f>
        <v/>
      </c>
    </row>
    <row r="21">
      <c r="A21" s="17" t="inlineStr">
        <is>
          <t>PV of terminal value</t>
        </is>
      </c>
      <c r="C21" s="26">
        <f>C20/(1+Assumptions!$B$13)^5</f>
        <v/>
      </c>
    </row>
    <row r="22">
      <c r="A22" s="16" t="inlineStr">
        <is>
          <t>DDM fair value per share (SAR)</t>
        </is>
      </c>
      <c r="C22" s="23">
        <f>C19+C21</f>
        <v/>
      </c>
    </row>
    <row r="23">
      <c r="A23" s="17" t="inlineStr">
        <is>
          <t xml:space="preserve">  terminal as % of DDM value (device A-7)</t>
        </is>
      </c>
      <c r="C23" s="18">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EV (device A-7)</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(IR basis, Q1-26)</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E6*Assumptions!$C$55</f>
        <v/>
      </c>
      <c r="F7" s="17">
        <f>F6*Assumptions!$D$55</f>
        <v/>
      </c>
      <c r="G7" s="17">
        <f>G6*Assumptions!$E$55</f>
        <v/>
      </c>
      <c r="H7" s="17">
        <f>H6*Assumptions!$F$55</f>
        <v/>
      </c>
      <c r="I7" s="17">
        <f>I6*Assumptions!$G$55</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2026-09-05T11:28:15Z</dcterms:created>
  <dcterms:modified xmlns:dcterms="http://purl.org/dc/terms/" xmlns:xsi="http://www.w3.org/2001/XMLSchema-instance" xsi:type="dcterms:W3CDTF">2026-09-05T11:28:16Z</dcterms:modified>
</cp:coreProperties>
</file>