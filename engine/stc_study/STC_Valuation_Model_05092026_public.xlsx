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6">
    <numFmt numFmtId="164" formatCode="#,##0;(#,##0);&quot;-&quot;"/>
    <numFmt numFmtId="165" formatCode="0.0%;(0.0%);&quot;-&quot;"/>
    <numFmt numFmtId="166" formatCode="0.00%;(0.00%);&quot;-&quot;"/>
    <numFmt numFmtId="167" formatCode="0.0000"/>
    <numFmt numFmtId="168" formatCode="0.00x"/>
    <numFmt numFmtId="169" formatCode="0.000"/>
  </numFmts>
  <fonts count="12">
    <font>
      <name val="Calibri"/>
      <family val="2"/>
      <color theme="1"/>
      <sz val="11"/>
      <scheme val="minor"/>
    </font>
    <font>
      <b val="1"/>
      <color rgb="00F6F1E6"/>
      <sz val="13"/>
    </font>
    <font>
      <sz val="10"/>
    </font>
    <font>
      <color rgb="006E7B77"/>
      <sz val="9"/>
    </font>
    <font>
      <b val="1"/>
      <color rgb="00000000"/>
    </font>
    <font>
      <color rgb="00000000"/>
    </font>
    <font>
      <color rgb="000000FF"/>
    </font>
    <font>
      <color rgb="006E7B77"/>
    </font>
    <font>
      <color rgb="00008000"/>
    </font>
    <font>
      <b val="1"/>
      <color rgb="000000FF"/>
    </font>
    <font>
      <b val="1"/>
      <color rgb="00008000"/>
    </font>
    <font>
      <b val="1"/>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38">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2" fontId="6" fillId="0" borderId="0" pivotButton="0" quotePrefix="0" xfId="0"/>
    <xf numFmtId="0" fontId="7" fillId="0"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6" fillId="0" borderId="0" pivotButton="0" quotePrefix="0" xfId="0"/>
    <xf numFmtId="166" fontId="5" fillId="0" borderId="0" pivotButton="0" quotePrefix="0" xfId="0"/>
    <xf numFmtId="168" fontId="6" fillId="0" borderId="0" pivotButton="0" quotePrefix="0" xfId="0"/>
    <xf numFmtId="49" fontId="6" fillId="0" borderId="0" pivotButton="0" quotePrefix="0" xfId="0"/>
    <xf numFmtId="0" fontId="4" fillId="0" borderId="0" pivotButton="0" quotePrefix="0" xfId="0"/>
    <xf numFmtId="164" fontId="5" fillId="0" borderId="0" pivotButton="0" quotePrefix="0" xfId="0"/>
    <xf numFmtId="165" fontId="5" fillId="0" borderId="0" pivotButton="0" quotePrefix="0" xfId="0"/>
    <xf numFmtId="164" fontId="8" fillId="0" borderId="0" pivotButton="0" quotePrefix="0" xfId="0"/>
    <xf numFmtId="164" fontId="4" fillId="0" borderId="0" pivotButton="0" quotePrefix="0" xfId="0"/>
    <xf numFmtId="169" fontId="5" fillId="0" borderId="0" pivotButton="0" quotePrefix="0" xfId="0"/>
    <xf numFmtId="165" fontId="4" fillId="0" borderId="0" pivotButton="0" quotePrefix="0" xfId="0"/>
    <xf numFmtId="2" fontId="4" fillId="0" borderId="0" pivotButton="0" quotePrefix="0" xfId="0"/>
    <xf numFmtId="164" fontId="9" fillId="0" borderId="0" pivotButton="0" quotePrefix="0" xfId="0"/>
    <xf numFmtId="164" fontId="10" fillId="0" borderId="0" pivotButton="0" quotePrefix="0" xfId="0"/>
    <xf numFmtId="2" fontId="5" fillId="0" borderId="0" pivotButton="0" quotePrefix="0" xfId="0"/>
    <xf numFmtId="164" fontId="11" fillId="0" borderId="0" pivotButton="0" quotePrefix="0" xfId="0"/>
    <xf numFmtId="164" fontId="0" fillId="0" borderId="0" pivotButton="0" quotePrefix="0" xfId="0"/>
    <xf numFmtId="2" fontId="8" fillId="0" borderId="0" pivotButton="0" quotePrefix="0" xfId="0"/>
    <xf numFmtId="2" fontId="10" fillId="0" borderId="0" pivotButton="0" quotePrefix="0" xfId="0"/>
    <xf numFmtId="165" fontId="8" fillId="0" borderId="0" pivotButton="0" quotePrefix="0" xfId="0"/>
    <xf numFmtId="165" fontId="10" fillId="0" borderId="0" pivotButton="0" quotePrefix="0" xfId="0"/>
    <xf numFmtId="168" fontId="5" fillId="0" borderId="0" pivotButton="0" quotePrefix="0" xfId="0"/>
    <xf numFmtId="0" fontId="4" fillId="4" borderId="0" pivotButton="0" quotePrefix="0" xfId="0"/>
    <xf numFmtId="49" fontId="5" fillId="0" borderId="0" pivotButton="0" quotePrefix="0" xfId="0"/>
    <xf numFmtId="165" fontId="4" fillId="3" borderId="0" pivotButton="0" quotePrefix="0" xfId="0"/>
    <xf numFmtId="165"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8"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Testahil — Saudi Telecom Company (Tadawul: 7010)</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stc valuation study. Every blue cell is an input; every</t>
        </is>
      </c>
    </row>
    <row r="6">
      <c r="A6" s="3" t="inlineStr">
        <is>
          <t>black cell is a formula; green cells link across sheets. All inputs live on the Assumptions sheet — change one</t>
        </is>
      </c>
    </row>
    <row r="7">
      <c r="A7" s="3" t="inlineStr">
        <is>
          <t>(the EBITDA margin path, capex intensity, the beta, terminal growth, a stake mark) and the whole model reprices.</t>
        </is>
      </c>
    </row>
    <row r="8">
      <c r="A8" s="3" t="inlineStr"/>
    </row>
    <row r="9">
      <c r="A9" s="3" t="inlineStr">
        <is>
          <t>What it is not. It is not investment advice, a recommendation, or a price target. Values are model outputs shown</t>
        </is>
      </c>
    </row>
    <row r="10">
      <c r="A10" s="3" t="inlineStr">
        <is>
          <t>as ranges. The preparer is not licensed by any securities regulator and may hold a position in the security.</t>
        </is>
      </c>
    </row>
    <row r="11">
      <c r="A11" s="3" t="inlineStr"/>
    </row>
    <row r="12">
      <c r="A12" s="3" t="inlineStr">
        <is>
          <t>Entity note. Saudi Telecom Company (stc Group) is the Kingdom’s incumbent operator: stc KSA (consumer,</t>
        </is>
      </c>
    </row>
    <row r="13">
      <c r="A13" s="3" t="inlineStr">
        <is>
          <t>enterprise, wholesale) plus subsidiaries — solutions by stc (79%, listed 7202), stc bank (85%, SAMA-licensed</t>
        </is>
      </c>
    </row>
    <row r="14">
      <c r="A14" s="3" t="inlineStr">
        <is>
          <t>Jan-2025), stc Kuwait (51.8%), stc Bahrain (100%), center3 (data centres), sirar, iot squared (50% PIF JV) —</t>
        </is>
      </c>
    </row>
    <row r="15">
      <c r="A15" s="3" t="inlineStr">
        <is>
          <t>and minority stakes: 43.06% of Digital Infrastructure Co (TAWAL+GLIC towers, PIF-controlled) and 9.97% of</t>
        </is>
      </c>
    </row>
    <row r="16">
      <c r="A16" s="3" t="inlineStr">
        <is>
          <t>Telefónica. House lens: going-concern FCFF DCF (primary), cross-checked by the dividend-policy DDM,</t>
        </is>
      </c>
    </row>
    <row r="17">
      <c r="A17" s="3" t="inlineStr">
        <is>
          <t>relative multiples and normalized earnings; the tower and Telefónica stakes are bridge items marked separately.</t>
        </is>
      </c>
    </row>
    <row r="18">
      <c r="A18" s="3" t="inlineStr"/>
    </row>
    <row r="19">
      <c r="A19" s="3" t="inlineStr">
        <is>
          <t>Currency. SAR million unless stated. Spot SAR 43.86 (3 September 2026 close, the latest known price this study is
 struck against; the Monte Carlo cone starts at the last session in the price library, 31 August 2026, which is a
 different date and is stated as one).</t>
        </is>
      </c>
    </row>
    <row r="20">
      <c r="A20" s="3" t="inlineStr">
        <is>
          <t>Historical financials are the company’s own audited annual and reviewed interim statements, FY2023</t>
        </is>
      </c>
    </row>
    <row r="21">
      <c r="A21" s="3" t="inlineStr">
        <is>
          <t>onward, each fetched from its own investor-relations archive and listed with that URL in the study’s</t>
        </is>
      </c>
    </row>
    <row r="22">
      <c r="A22" s="3" t="inlineStr">
        <is>
          <t>bibliography. The balance sheet the bridge stands on is the reviewed interim to 30 June 2026.</t>
        </is>
      </c>
    </row>
    <row r="23">
      <c r="A23" s="3" t="inlineStr"/>
    </row>
    <row r="24">
      <c r="A24" s="3" t="inlineStr">
        <is>
          <t>Sheets: Summary · Fundamental Valuation · Assumptions · SOTP Bridge · Segments · Relative &amp; Normalized ·</t>
        </is>
      </c>
    </row>
    <row r="25">
      <c r="A25" s="3" t="inlineStr">
        <is>
          <t>DCF · Income Statement · Balance Sheet · Cash Flow · Summary Financials · Monte Carlo · Sensitivity ·</t>
        </is>
      </c>
    </row>
    <row r="26">
      <c r="A26" s="3" t="inlineStr">
        <is>
          <t>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Valuation summary — Saudi Telecom Company (Tadawul: 7010)</t>
        </is>
      </c>
      <c r="B1" s="2" t="n"/>
      <c r="C1" s="2" t="n"/>
      <c r="D1" s="2" t="n"/>
      <c r="E1" s="2" t="n"/>
      <c r="F1" s="2" t="n"/>
      <c r="G1" s="2" t="n"/>
    </row>
    <row r="2">
      <c r="A2" s="4" t="inlineStr">
        <is>
          <t>The class primary is the central; the other lenses sit beside it as cross-checks and are never weighted into it. Base links live; bear and bull are the same model on one driver’s own filed range (study §1.5).</t>
        </is>
      </c>
    </row>
    <row r="5">
      <c r="A5" s="5" t="inlineStr"/>
      <c r="B5" s="5" t="inlineStr">
        <is>
          <t>Bear</t>
        </is>
      </c>
      <c r="C5" s="5" t="inlineStr">
        <is>
          <t>Base</t>
        </is>
      </c>
      <c r="D5" s="5" t="inlineStr">
        <is>
          <t>Bull</t>
        </is>
      </c>
      <c r="E5" s="5" t="inlineStr">
        <is>
          <t>Role</t>
        </is>
      </c>
    </row>
    <row r="6">
      <c r="A6" s="17" t="inlineStr">
        <is>
          <t>Discounted cash flow</t>
        </is>
      </c>
      <c r="B6" s="7" t="n">
        <v>35.3</v>
      </c>
      <c r="C6" s="29">
        <f>'SOTP Bridge'!C14</f>
        <v/>
      </c>
      <c r="D6" s="7" t="n">
        <v>37</v>
      </c>
      <c r="E6" s="16" t="inlineStr">
        <is>
          <t>THE CENTRAL</t>
        </is>
      </c>
    </row>
    <row r="7">
      <c r="A7" s="17" t="inlineStr">
        <is>
          <t>Dividend discount</t>
        </is>
      </c>
      <c r="B7" s="7" t="n">
        <v>28.2</v>
      </c>
      <c r="C7" s="29">
        <f>'SOTP Bridge'!C23</f>
        <v/>
      </c>
      <c r="D7" s="7" t="n">
        <v>47.3</v>
      </c>
      <c r="E7" s="6" t="inlineStr">
        <is>
          <t>cross-check</t>
        </is>
      </c>
    </row>
    <row r="8">
      <c r="A8" s="17" t="inlineStr">
        <is>
          <t>Enterprise multiple on own history</t>
        </is>
      </c>
      <c r="B8" s="7" t="n">
        <v>45.8</v>
      </c>
      <c r="C8" s="29">
        <f>'Relative &amp; Normalized'!C6</f>
        <v/>
      </c>
      <c r="D8" s="7" t="n">
        <v>49.9</v>
      </c>
      <c r="E8" s="6" t="inlineStr">
        <is>
          <t>cross-check</t>
        </is>
      </c>
    </row>
    <row r="9">
      <c r="A9" s="17" t="inlineStr">
        <is>
          <t>Normalised earnings power</t>
        </is>
      </c>
      <c r="B9" s="7" t="n">
        <v>36.8</v>
      </c>
      <c r="C9" s="29">
        <f>'Relative &amp; Normalized'!C9</f>
        <v/>
      </c>
      <c r="D9" s="7" t="n">
        <v>50.2</v>
      </c>
      <c r="E9" s="6" t="inlineStr">
        <is>
          <t>cross-check</t>
        </is>
      </c>
    </row>
    <row r="10">
      <c r="A10" s="17" t="inlineStr">
        <is>
          <t>Book value per share — a DISCLOSED FLOOR, never weighted</t>
        </is>
      </c>
      <c r="C10" s="7" t="n">
        <v>17.02</v>
      </c>
      <c r="E10" s="6" t="inlineStr">
        <is>
          <t>floor</t>
        </is>
      </c>
    </row>
    <row r="12">
      <c r="A12" s="16" t="inlineStr">
        <is>
          <t>THE CENTRAL — the class primary, not an average of the rows above</t>
        </is>
      </c>
      <c r="C12" s="23">
        <f>C6</f>
        <v/>
      </c>
    </row>
    <row r="13">
      <c r="A13" s="16" t="inlineStr">
        <is>
          <t>Published range — the span of the present-value reads</t>
        </is>
      </c>
      <c r="B13" s="23" t="n">
        <v>35.29</v>
      </c>
      <c r="D13" s="23" t="n">
        <v>48.08</v>
      </c>
    </row>
    <row r="15">
      <c r="A15" s="17" t="inlineStr">
        <is>
          <t>Spot price (SAR)</t>
        </is>
      </c>
      <c r="B15" s="29" t="inlineStr">
        <is>
          <t>Assumptions!$B$5</t>
        </is>
      </c>
    </row>
    <row r="16">
      <c r="A16" s="17" t="inlineStr">
        <is>
          <t>Central against spot</t>
        </is>
      </c>
      <c r="B16" s="18">
        <f>C12/Assumptions!$B$5-1</f>
        <v/>
      </c>
    </row>
    <row r="18">
      <c r="A18" s="8" t="inlineStr">
        <is>
          <t>The retired four-lens blend at typed weights is recorded on Assumptions so nothing here can quietly rebuild it. A number produced by averaging several methods is not more robust than the best of them: it is a new method with free parameters nobody tested, and it imports every weakness of the weakest lens at whatever weight somebody typed.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Fundamental valuation — football-field data</t>
        </is>
      </c>
      <c r="B1" s="2" t="n"/>
      <c r="C1" s="2" t="n"/>
      <c r="D1" s="2" t="n"/>
      <c r="E1" s="2" t="n"/>
      <c r="F1" s="2" t="n"/>
      <c r="G1" s="2" t="n"/>
    </row>
    <row r="2">
      <c r="A2" s="4" t="inlineStr">
        <is>
          <t>Bear/base/bull per lens (links to Summary).</t>
        </is>
      </c>
    </row>
    <row r="5">
      <c r="A5" s="5" t="inlineStr">
        <is>
          <t>Lens</t>
        </is>
      </c>
      <c r="B5" s="5" t="inlineStr">
        <is>
          <t>Bear</t>
        </is>
      </c>
      <c r="C5" s="5" t="inlineStr">
        <is>
          <t>Base</t>
        </is>
      </c>
      <c r="D5" s="5" t="inlineStr">
        <is>
          <t>Bull</t>
        </is>
      </c>
    </row>
    <row r="6">
      <c r="A6" s="6" t="inlineStr">
        <is>
          <t>Cash-flow model (the class primary)</t>
        </is>
      </c>
      <c r="B6" s="29">
        <f>Summary!B6</f>
        <v/>
      </c>
      <c r="C6" s="29">
        <f>Summary!C6</f>
        <v/>
      </c>
      <c r="D6" s="29">
        <f>Summary!D6</f>
        <v/>
      </c>
    </row>
    <row r="7">
      <c r="A7" s="6" t="inlineStr">
        <is>
          <t>Dividend discount</t>
        </is>
      </c>
      <c r="B7" s="29">
        <f>Summary!B7</f>
        <v/>
      </c>
      <c r="C7" s="29">
        <f>Summary!C7</f>
        <v/>
      </c>
      <c r="D7" s="29">
        <f>Summary!D7</f>
        <v/>
      </c>
    </row>
    <row r="8">
      <c r="A8" s="6" t="inlineStr">
        <is>
          <t>Enterprise multiple on own history</t>
        </is>
      </c>
      <c r="B8" s="29">
        <f>Summary!B8</f>
        <v/>
      </c>
      <c r="C8" s="29">
        <f>Summary!C8</f>
        <v/>
      </c>
      <c r="D8" s="29">
        <f>Summary!D8</f>
        <v/>
      </c>
    </row>
    <row r="9">
      <c r="A9" s="6" t="inlineStr">
        <is>
          <t>Normalised earnings power</t>
        </is>
      </c>
      <c r="B9" s="29">
        <f>Summary!B9</f>
        <v/>
      </c>
      <c r="C9" s="29">
        <f>Summary!C9</f>
        <v/>
      </c>
      <c r="D9" s="29">
        <f>Summary!D9</f>
        <v/>
      </c>
    </row>
    <row r="10">
      <c r="A10" s="16" t="inlineStr">
        <is>
          <t>Book value — a disclosed floor, never weighted into an answer</t>
        </is>
      </c>
      <c r="B10" s="30">
        <f>Summary!B10</f>
        <v/>
      </c>
      <c r="C10" s="30">
        <f>Summary!C10</f>
        <v/>
      </c>
      <c r="D10" s="30">
        <f>Summary!D10</f>
        <v/>
      </c>
    </row>
    <row r="11">
      <c r="A11" s="17" t="inlineStr">
        <is>
          <t>Spot</t>
        </is>
      </c>
      <c r="B11" s="29">
        <f>Assumptions!$B$5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44" customWidth="1" min="1" max="1"/>
    <col width="12.5" customWidth="1" min="2" max="2"/>
    <col width="11"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Assumptions — the single input layer</t>
        </is>
      </c>
      <c r="B1" s="2" t="n"/>
      <c r="C1" s="2" t="n"/>
      <c r="D1" s="2" t="n"/>
      <c r="E1" s="2" t="n"/>
      <c r="F1" s="2" t="n"/>
      <c r="G1" s="2" t="n"/>
      <c r="H1" s="2" t="n"/>
      <c r="I1" s="2" t="n"/>
    </row>
    <row r="2">
      <c r="A2" s="4" t="inlineStr">
        <is>
          <t>All blue cells are inputs. Every other sheet links here.</t>
        </is>
      </c>
    </row>
    <row r="4">
      <c r="A4" s="5" t="inlineStr">
        <is>
          <t>ANCHORS</t>
        </is>
      </c>
    </row>
    <row r="5">
      <c r="A5" s="6" t="inlineStr">
        <is>
          <t>Spot price (SAR/share)</t>
        </is>
      </c>
      <c r="B5" s="7" t="n">
        <v>43.86</v>
      </c>
      <c r="C5" s="8" t="inlineStr">
        <is>
          <t>the latest known close, 2026-09-03, and the price the published gap is measured against</t>
        </is>
      </c>
    </row>
    <row r="6">
      <c r="A6" s="6" t="inlineStr">
        <is>
          <t>Shares outstanding (mn)</t>
        </is>
      </c>
      <c r="B6" s="9" t="n">
        <v>4993.024</v>
      </c>
      <c r="C6" s="8" t="inlineStr">
        <is>
          <t>issued capital divided by par, less treasury, FOOTED against the count note 17 of the reviewed interim itself states</t>
        </is>
      </c>
    </row>
    <row r="7">
      <c r="A7" s="6" t="inlineStr">
        <is>
          <t>Effective zakat rate ON EBIT (used for after-tax operating profit)</t>
        </is>
      </c>
      <c r="B7" s="10" t="n">
        <v>0.08034525861665882</v>
      </c>
      <c r="C7" s="8" t="inlineStr">
        <is>
          <t>three filed years together, with the disclosed prior-year reversal of 1,324,787 put back. Carrying that reversal forward would read 5.02%.</t>
        </is>
      </c>
    </row>
    <row r="8">
      <c r="A8" s="6" t="inlineStr">
        <is>
          <t>Effective zakat rate on profit before zakat (income statement)</t>
        </is>
      </c>
      <c r="B8" s="10" t="n">
        <v>0.08266854587581883</v>
      </c>
      <c r="C8" s="8" t="inlineStr">
        <is>
          <t>the same charge on the base the income statement applies it to</t>
        </is>
      </c>
    </row>
    <row r="9">
      <c r="A9" s="5" t="inlineStr">
        <is>
          <t>COST OF CAPITAL — the sanctioned schedule, not built on this sheet</t>
        </is>
      </c>
    </row>
    <row r="10">
      <c r="A10" s="6" t="inlineStr">
        <is>
          <t>Risk-free rate, normalised by the sovereign default spread</t>
        </is>
      </c>
      <c r="B10" s="11" t="n">
        <v>0.0454</v>
      </c>
      <c r="C10" s="8" t="inlineStr">
        <is>
          <t>the observed sovereign yield of 5.52% less this sovereign's OWN default spread of 0.98%. Country risk enters ONCE, through the premium; the raw yield plus a premium already carrying it would count it twice.</t>
        </is>
      </c>
    </row>
    <row r="11">
      <c r="A11" s="6" t="inlineStr">
        <is>
          <t>Equity beta — own-stock weekly regression vs the published index</t>
        </is>
      </c>
      <c r="B11" s="12" t="n">
        <v>0.7092581337669651</v>
      </c>
      <c r="C11" s="8" t="inlineStr">
        <is>
          <t>against the index of the exchange the stock is listed on, through the sanctioned resolver. The delivered study used a 40-session DAILY regression at 0.48, which is not one of the three tiers and may stand only as a flagged interim.</t>
        </is>
      </c>
    </row>
    <row r="12">
      <c r="A12" s="6" t="inlineStr">
        <is>
          <t>Equity risk premium (market basis, central)</t>
        </is>
      </c>
      <c r="B12" s="11" t="n">
        <v>0.0572</v>
      </c>
      <c r="C12" s="8" t="inlineStr">
        <is>
          <t>both bases are published; the swap basis is central because it is the market's own live pricing of the sovereign's credit against an agency judgement updated in steps</t>
        </is>
      </c>
    </row>
    <row r="13">
      <c r="A13" s="6" t="inlineStr">
        <is>
          <t xml:space="preserve">   of which the MATURE premium — beta applies to this leg only</t>
        </is>
      </c>
      <c r="B13" s="11" t="n">
        <v>0.042304</v>
      </c>
      <c r="C13" s="8" t="inlineStr">
        <is>
          <t>Damodaran's identity: the total premium less the country leg below</t>
        </is>
      </c>
    </row>
    <row r="14">
      <c r="A14" s="6" t="inlineStr">
        <is>
          <t>Country premium — charged FLAT, once, never multiplied by beta</t>
        </is>
      </c>
      <c r="B14" s="11" t="n">
        <v>0.014896</v>
      </c>
      <c r="C14" s="8" t="inlineStr">
        <is>
          <t>the sovereign default spread scaled to equity volatility. Country risk is a charge on being here, not a charge that scales with a stock's covariance</t>
        </is>
      </c>
    </row>
    <row r="15">
      <c r="A15" s="6" t="inlineStr">
        <is>
          <t>Cost of equity Ke = rf* + beta x MATURE premium + country premium, flat</t>
        </is>
      </c>
      <c r="B15" s="13">
        <f>B10+B11*B13+B14</f>
        <v/>
      </c>
      <c r="C15" s="8" t="inlineStr">
        <is>
          <t>reproduces the schedule's own 9.030% from the three cells above it</t>
        </is>
      </c>
    </row>
    <row r="16">
      <c r="A16" s="6" t="inlineStr">
        <is>
          <t>Pre-tax cost of debt — the company's own latest issue</t>
        </is>
      </c>
      <c r="B16" s="11" t="n">
        <v>0.048602896</v>
      </c>
      <c r="C16" s="8" t="inlineStr">
        <is>
          <t>the January 2026 sukuk in two tranches, weighted. Held against an effective rate computed independently over two periods from the finance cost on the borrowings that actually bear it.</t>
        </is>
      </c>
    </row>
    <row r="17">
      <c r="A17" s="6" t="inlineStr">
        <is>
          <t>After-tax Kd</t>
        </is>
      </c>
      <c r="B17" s="13">
        <f>B16*(1-0.200000)</f>
        <v/>
      </c>
    </row>
    <row r="18">
      <c r="A18" s="6" t="inlineStr">
        <is>
          <t>Debt weight D/(D+E) — MARKET-VALUE equity, never book</t>
        </is>
      </c>
      <c r="B18" s="13">
        <f>23536.554/(B5*B6+23536.554)</f>
        <v/>
      </c>
      <c r="C18" s="8" t="inlineStr">
        <is>
          <t>gross borrowings from the LATEST DISCLOSED balance sheet</t>
        </is>
      </c>
    </row>
    <row r="19">
      <c r="A19" s="6" t="inlineStr">
        <is>
          <t>WACC — FLAT, because the riyal is pegged and today is already the terminal</t>
        </is>
      </c>
      <c r="B19" s="13">
        <f>(1-B18)*B15+B18*B17</f>
        <v/>
      </c>
      <c r="C19" s="8" t="inlineStr">
        <is>
          <t>the module returns a flat ladder here rather than manufacturing a glide the peg forbids; explicit 8.531% and terminal 8.531%</t>
        </is>
      </c>
    </row>
    <row r="20">
      <c r="A20" s="6" t="inlineStr">
        <is>
          <t>Terminal growth — DERIVED, terminal inflation + stated real growth</t>
        </is>
      </c>
      <c r="B20" s="11" t="n">
        <v>0.02000000000000002</v>
      </c>
      <c r="C20" s="8" t="inlineStr">
        <is>
          <t>real growth of 0.0% on the house terminal inflation. A typed nominal rate is unfalsifiable: nobody can tell whether 2.5% meant inflation plus half a point or something else.</t>
        </is>
      </c>
    </row>
    <row r="21">
      <c r="A21" s="5" t="inlineStr">
        <is>
          <t>EV -&gt; EQUITY BRIDGE — every line from the committed bridge record</t>
        </is>
      </c>
    </row>
    <row r="22">
      <c r="A22" s="6" t="inlineStr">
        <is>
          <t>Investments in associates and joint ventures</t>
        </is>
      </c>
      <c r="B22" s="9" t="n">
        <v>12909.648</v>
      </c>
      <c r="C22" s="8" t="inlineStr">
        <is>
          <t>the FILED carrying value. The delivered study carried 4,641 — a figure from before the towers business was contributed to DIIC in February 2025 — and correcting it raised the answer by 3.55%.</t>
        </is>
      </c>
    </row>
    <row r="23">
      <c r="A23" s="6" t="inlineStr">
        <is>
          <t>Listed equity investment at its disclosed fair value</t>
        </is>
      </c>
      <c r="B23" s="9" t="n">
        <v>8513.43</v>
      </c>
      <c r="C23" s="8" t="inlineStr">
        <is>
          <t>marked at the disclosed fair value, not at cost</t>
        </is>
      </c>
    </row>
    <row r="24">
      <c r="A24" s="6" t="inlineStr">
        <is>
          <t>Investment funds and unlisted equity investments, at fair value</t>
        </is>
      </c>
      <c r="B24" s="9" t="n">
        <v>5163.516</v>
      </c>
      <c r="C24" s="8" t="inlineStr">
        <is>
          <t>note 9.1, outside the operating cash flows this model discounts</t>
        </is>
      </c>
    </row>
    <row r="25">
      <c r="A25" s="6" t="inlineStr">
        <is>
          <t>Net debt</t>
        </is>
      </c>
      <c r="B25" s="9" t="n">
        <v>8375.406999999999</v>
      </c>
      <c r="C25" s="8" t="inlineStr">
        <is>
          <t>borrowings 23537 + leases 2259 + spectrum licences 3443 less cash 12940, murabahas 1062, sukuk 6368 and treasury bills 492. THE SPECTRUM LICENCE LIABILITY is consideration owed for licences already capitalised and it is disclosed OUTSIDE borrowings, so a bridge reading the borrowings lines does not see it.</t>
        </is>
      </c>
    </row>
    <row r="26">
      <c r="A26" s="6" t="inlineStr">
        <is>
          <t>Non-controlling interests, at their share of equity value</t>
        </is>
      </c>
      <c r="B26" s="9" t="n">
        <v>3713.096100738611</v>
      </c>
      <c r="C26" s="8" t="inlineStr">
        <is>
          <t>the model capitalises 100% of subsidiary cash flow, so the minority's claim is worth its SHARE OF THAT VALUE and not its historical cost. Book is 2726 and is published beside it so a reader sees the choice.</t>
        </is>
      </c>
    </row>
    <row r="27">
      <c r="A27" s="5" t="inlineStr">
        <is>
          <t>DDM (the locked SAR 0.55/quarter policy)</t>
        </is>
      </c>
    </row>
    <row r="28">
      <c r="A28" s="6" t="inlineStr">
        <is>
          <t>DPS path FY26E–FY30E (SAR)</t>
        </is>
      </c>
      <c r="C28" s="7" t="n">
        <v>2.2</v>
      </c>
      <c r="D28" s="7" t="n">
        <v>2.2</v>
      </c>
      <c r="E28" s="7" t="n">
        <v>2.3</v>
      </c>
      <c r="F28" s="7" t="n">
        <v>2.4</v>
      </c>
      <c r="G28" s="7" t="n">
        <v>2.55</v>
      </c>
    </row>
    <row r="29">
      <c r="A29" s="6" t="inlineStr">
        <is>
          <t>DDM terminal dividend growth</t>
        </is>
      </c>
      <c r="B29" s="11" t="n">
        <v>0.03</v>
      </c>
      <c r="C29" s="8" t="inlineStr">
        <is>
          <t>post-policy (2027+) payout growth ≈ EPS growth at ~75% payout</t>
        </is>
      </c>
    </row>
    <row r="30">
      <c r="A30" s="6" t="inlineStr">
        <is>
          <t>Minority share of equity value (proportional)</t>
        </is>
      </c>
      <c r="B30" s="10" t="n">
        <v>0.02020629560266924</v>
      </c>
      <c r="C30" s="8" t="inlineStr">
        <is>
          <t>the minority's own share of profit, which is how the cross-check lenses apply it: proportionally to the whole equity value including the stakes, rather than as a fixed deduction</t>
        </is>
      </c>
    </row>
    <row r="31">
      <c r="A31" s="5" t="inlineStr">
        <is>
          <t>CROSS-CHECKS — published beside the central, never averaged into it</t>
        </is>
      </c>
    </row>
    <row r="32">
      <c r="A32" s="6" t="inlineStr">
        <is>
          <t>EV/EBITDA — the company's own trailing multiple, three year ends</t>
        </is>
      </c>
      <c r="B32" s="14" t="n">
        <v>8.762062030257292</v>
      </c>
      <c r="C32" s="8" t="inlineStr">
        <is>
          <t>bear 8.316x to bull 9.131x, the range its own three year ends span. NOT a peer band and NOT the current multiple.</t>
        </is>
      </c>
    </row>
    <row r="33">
      <c r="A33" s="6" t="inlineStr">
        <is>
          <t>FY26E net profit for the relative cross-check</t>
        </is>
      </c>
      <c r="B33" s="9" t="n">
        <v>14503.30474307932</v>
      </c>
      <c r="C33" s="8" t="inlineStr">
        <is>
          <t>from the projected income statement, not aligned by hand</t>
        </is>
      </c>
    </row>
    <row r="34">
      <c r="A34" s="6" t="inlineStr">
        <is>
          <t>Normalized PAT (ex one-offs)</t>
        </is>
      </c>
      <c r="B34" s="9" t="n">
        <v>13232.64560847266</v>
      </c>
    </row>
    <row r="35">
      <c r="A35" s="6" t="inlineStr">
        <is>
          <t>Justified through-cycle P/E</t>
        </is>
      </c>
      <c r="B35" s="14" t="n">
        <v>15</v>
      </c>
      <c r="C35" s="8" t="inlineStr">
        <is>
          <t>a stated judgement rather than a measurement, and it is a CROSS-CHECK: it carries no weight in the central</t>
        </is>
      </c>
    </row>
    <row r="36">
      <c r="A36" s="5" t="inlineStr">
        <is>
          <t>THE RETIRED BLEND — recorded so nothing here can quietly rebuild it</t>
        </is>
      </c>
    </row>
    <row r="37">
      <c r="A37" s="6" t="inlineStr">
        <is>
          <t>Former weights: cash flow 35%, dividend discount 25%, relative 20%, normalised earnings 20%</t>
        </is>
      </c>
      <c r="C37" s="8" t="inlineStr">
        <is>
          <t>RETIRED. Two of those four lenses are not permitted cross-checks for this class at all and between them carried 45% of a central.</t>
        </is>
      </c>
    </row>
    <row r="38">
      <c r="A38" s="5" t="inlineStr">
        <is>
          <t>THE PRICE MAP — the production engine, reproduced (outputs on the Monte Carlo sheet)</t>
        </is>
      </c>
    </row>
    <row r="39">
      <c r="A39" s="6" t="inlineStr">
        <is>
          <t>Forward volatility over three months (annualised)</t>
        </is>
      </c>
      <c r="B39" s="10" t="n">
        <v>0.1653</v>
      </c>
      <c r="C39" s="8" t="inlineStr">
        <is>
          <t>Projected from this stock’s own recent, medium and longer-run variation</t>
        </is>
      </c>
    </row>
    <row r="40">
      <c r="A40" s="6" t="inlineStr">
        <is>
          <t>Tail parameter and width calibration</t>
        </is>
      </c>
      <c r="B40" s="15" t="inlineStr">
        <is>
          <t>15.0 / 1.056</t>
        </is>
      </c>
      <c r="C40" s="8" t="inlineStr">
        <is>
          <t>The market panel’s fitted pair. Neither is quoted alone: they trade off, and the honest object is the cone they jointly produce</t>
        </is>
      </c>
    </row>
    <row r="41">
      <c r="A41" s="6" t="inlineStr">
        <is>
          <t>Momentum lean applied over three months</t>
        </is>
      </c>
      <c r="B41" s="11" t="n">
        <v>0.002404</v>
      </c>
      <c r="C41" s="8" t="inlineStr">
        <is>
          <t>Direction call UP (reading +0.30 against a 0.25 threshold); capped at the strength measured</t>
        </is>
      </c>
    </row>
    <row r="42">
      <c r="A42" s="6" t="inlineStr">
        <is>
          <t>Paths / seed</t>
        </is>
      </c>
      <c r="B42" s="15" t="inlineStr">
        <is>
          <t>50,000 / 42</t>
        </is>
      </c>
    </row>
    <row r="43">
      <c r="A43" s="5" t="inlineStr">
        <is>
          <t>FORECAST DRIVERS (FY26E–FY30E) — top-down (§3.5-C gate: subs × ARPU not disclosed)</t>
        </is>
      </c>
    </row>
    <row r="44">
      <c r="A44" s="16" t="inlineStr">
        <is>
          <t>Driver \ year</t>
        </is>
      </c>
      <c r="C44" s="5" t="inlineStr">
        <is>
          <t>FY26E</t>
        </is>
      </c>
      <c r="D44" s="5" t="inlineStr">
        <is>
          <t>FY27E</t>
        </is>
      </c>
      <c r="E44" s="5" t="inlineStr">
        <is>
          <t>FY28E</t>
        </is>
      </c>
      <c r="F44" s="5" t="inlineStr">
        <is>
          <t>FY29E</t>
        </is>
      </c>
      <c r="G44" s="5" t="inlineStr">
        <is>
          <t>FY30E</t>
        </is>
      </c>
    </row>
    <row r="45">
      <c r="A45" s="6" t="inlineStr">
        <is>
          <t>Sirar — real revenue growth</t>
        </is>
      </c>
      <c r="C45" s="10" t="n">
        <v>0.13170363</v>
      </c>
      <c r="D45" s="10" t="n">
        <v>0.09877772999999999</v>
      </c>
      <c r="E45" s="10" t="n">
        <v>0.06585182000000001</v>
      </c>
      <c r="F45" s="10" t="n">
        <v>0.03292591</v>
      </c>
      <c r="G45" s="10" t="n">
        <v>0</v>
      </c>
    </row>
    <row r="46">
      <c r="A46" s="6" t="inlineStr">
        <is>
          <t>stc Bank — real revenue growth</t>
        </is>
      </c>
      <c r="C46" s="10" t="n">
        <v>0.10263522</v>
      </c>
      <c r="D46" s="10" t="n">
        <v>0.07697641</v>
      </c>
      <c r="E46" s="10" t="n">
        <v>0.05131761</v>
      </c>
      <c r="F46" s="10" t="n">
        <v>0.0256588</v>
      </c>
      <c r="G46" s="10" t="n">
        <v>0</v>
      </c>
    </row>
    <row r="47">
      <c r="A47" s="6" t="inlineStr">
        <is>
          <t>Specialized — real revenue growth</t>
        </is>
      </c>
      <c r="C47" s="10" t="n">
        <v>-0.05664896</v>
      </c>
      <c r="D47" s="10" t="n">
        <v>-0.04248672</v>
      </c>
      <c r="E47" s="10" t="n">
        <v>-0.02832448</v>
      </c>
      <c r="F47" s="10" t="n">
        <v>-0.01416224</v>
      </c>
      <c r="G47" s="10" t="n">
        <v>0</v>
      </c>
    </row>
    <row r="48">
      <c r="A48" s="6" t="inlineStr">
        <is>
          <t>Solutions — real revenue growth</t>
        </is>
      </c>
      <c r="C48" s="10" t="n">
        <v>0.0442675</v>
      </c>
      <c r="D48" s="10" t="n">
        <v>0.03320063</v>
      </c>
      <c r="E48" s="10" t="n">
        <v>0.02213375</v>
      </c>
      <c r="F48" s="10" t="n">
        <v>0.01106688</v>
      </c>
      <c r="G48" s="10" t="n">
        <v>0</v>
      </c>
    </row>
    <row r="49">
      <c r="A49" s="6" t="inlineStr">
        <is>
          <t>Center 3 — real revenue growth</t>
        </is>
      </c>
      <c r="C49" s="10" t="n">
        <v>0.01866393</v>
      </c>
      <c r="D49" s="10" t="n">
        <v>0.01399795</v>
      </c>
      <c r="E49" s="10" t="n">
        <v>0.00933197</v>
      </c>
      <c r="F49" s="10" t="n">
        <v>0.00466598</v>
      </c>
      <c r="G49" s="10" t="n">
        <v>0</v>
      </c>
    </row>
    <row r="50">
      <c r="A50" s="6" t="inlineStr">
        <is>
          <t>iot2 — real revenue growth</t>
        </is>
      </c>
      <c r="C50" s="10" t="n">
        <v>0.01866393</v>
      </c>
      <c r="D50" s="10" t="n">
        <v>0.01399795</v>
      </c>
      <c r="E50" s="10" t="n">
        <v>0.00933197</v>
      </c>
      <c r="F50" s="10" t="n">
        <v>0.00466598</v>
      </c>
      <c r="G50" s="10" t="n">
        <v>0</v>
      </c>
    </row>
    <row r="51">
      <c r="A51" s="6" t="inlineStr">
        <is>
          <t>SCCC — real revenue growth</t>
        </is>
      </c>
      <c r="C51" s="10" t="n">
        <v>0.01866393</v>
      </c>
      <c r="D51" s="10" t="n">
        <v>0.01399795</v>
      </c>
      <c r="E51" s="10" t="n">
        <v>0.00933197</v>
      </c>
      <c r="F51" s="10" t="n">
        <v>0.00466598</v>
      </c>
      <c r="G51" s="10" t="n">
        <v>0</v>
      </c>
    </row>
    <row r="52">
      <c r="A52" s="6" t="inlineStr">
        <is>
          <t>Other operating segments — real revenue growth</t>
        </is>
      </c>
      <c r="C52" s="10" t="n">
        <v>0.01866393</v>
      </c>
      <c r="D52" s="10" t="n">
        <v>0.01399795</v>
      </c>
      <c r="E52" s="10" t="n">
        <v>0.00933197</v>
      </c>
      <c r="F52" s="10" t="n">
        <v>0.00466598</v>
      </c>
      <c r="G52" s="10" t="n">
        <v>0</v>
      </c>
    </row>
    <row r="53">
      <c r="A53" s="6" t="inlineStr">
        <is>
          <t>Channels — real revenue growth</t>
        </is>
      </c>
      <c r="C53" s="10" t="n">
        <v>-0.01678193</v>
      </c>
      <c r="D53" s="10" t="n">
        <v>-0.01258645</v>
      </c>
      <c r="E53" s="10" t="n">
        <v>-0.008390959999999999</v>
      </c>
      <c r="F53" s="10" t="n">
        <v>-0.00419548</v>
      </c>
      <c r="G53" s="10" t="n">
        <v>0</v>
      </c>
    </row>
    <row r="54">
      <c r="A54" s="6" t="inlineStr">
        <is>
          <t>stc Kuwait — real revenue growth</t>
        </is>
      </c>
      <c r="C54" s="10" t="n">
        <v>0.00513056</v>
      </c>
      <c r="D54" s="10" t="n">
        <v>0.00384792</v>
      </c>
      <c r="E54" s="10" t="n">
        <v>0.00256528</v>
      </c>
      <c r="F54" s="10" t="n">
        <v>0.00128264</v>
      </c>
      <c r="G54" s="10" t="n">
        <v>0</v>
      </c>
    </row>
    <row r="55">
      <c r="A55" s="6" t="inlineStr">
        <is>
          <t>stc Bahrain — real revenue growth</t>
        </is>
      </c>
      <c r="C55" s="10" t="n">
        <v>-0.00262868</v>
      </c>
      <c r="D55" s="10" t="n">
        <v>-0.00197151</v>
      </c>
      <c r="E55" s="10" t="n">
        <v>-0.00131434</v>
      </c>
      <c r="F55" s="10" t="n">
        <v>-0.00065717</v>
      </c>
      <c r="G55" s="10" t="n">
        <v>0</v>
      </c>
    </row>
    <row r="56">
      <c r="A56" s="6" t="inlineStr">
        <is>
          <t>stc — real revenue growth</t>
        </is>
      </c>
      <c r="C56" s="10" t="n">
        <v>0.00181084</v>
      </c>
      <c r="D56" s="10" t="n">
        <v>0.00175477</v>
      </c>
      <c r="E56" s="10" t="n">
        <v>0.00143427</v>
      </c>
      <c r="F56" s="10" t="n">
        <v>0.00084935</v>
      </c>
      <c r="G56" s="10" t="n">
        <v>0</v>
      </c>
    </row>
    <row r="57">
      <c r="A57" s="6" t="inlineStr">
        <is>
          <t>First-year scale onto the reviewed half (annualised)</t>
        </is>
      </c>
      <c r="C57" s="7" t="n">
        <v>1.006082103803541</v>
      </c>
      <c r="D57" s="7" t="n">
        <v>1</v>
      </c>
      <c r="E57" s="7" t="n">
        <v>1</v>
      </c>
      <c r="F57" s="7" t="n">
        <v>1</v>
      </c>
      <c r="G57" s="7" t="n">
        <v>1</v>
      </c>
    </row>
    <row r="58">
      <c r="A58" s="6" t="inlineStr">
        <is>
          <t>House Saudi inflation ladder (nominal = real x this)</t>
        </is>
      </c>
      <c r="C58" s="10" t="n">
        <v>0.023</v>
      </c>
      <c r="D58" s="10" t="n">
        <v>0.021</v>
      </c>
      <c r="E58" s="10" t="n">
        <v>0.02</v>
      </c>
      <c r="F58" s="10" t="n">
        <v>0.02</v>
      </c>
      <c r="G58" s="10" t="n">
        <v>0.02</v>
      </c>
    </row>
    <row r="59">
      <c r="A59" s="6" t="inlineStr">
        <is>
          <t>Inter-segment eliminations (% of gross segment revenue)</t>
        </is>
      </c>
      <c r="C59" s="10" t="n">
        <v>-0.128739252364491</v>
      </c>
      <c r="D59" s="10" t="n">
        <v>-0.128739252364491</v>
      </c>
      <c r="E59" s="10" t="n">
        <v>-0.128739252364491</v>
      </c>
      <c r="F59" s="10" t="n">
        <v>-0.128739252364491</v>
      </c>
      <c r="G59" s="10" t="n">
        <v>-0.128739252364491</v>
      </c>
    </row>
    <row r="60">
      <c r="A60" s="6" t="inlineStr">
        <is>
          <t>Group EBITDA margin</t>
        </is>
      </c>
      <c r="C60" s="10" t="n">
        <v>0.3205740707168828</v>
      </c>
      <c r="D60" s="10" t="n">
        <v>0.3197807704348273</v>
      </c>
      <c r="E60" s="10" t="n">
        <v>0.319055773120738</v>
      </c>
      <c r="F60" s="10" t="n">
        <v>0.318382960635945</v>
      </c>
      <c r="G60" s="10" t="n">
        <v>0.3177323370749691</v>
      </c>
    </row>
    <row r="61">
      <c r="A61" s="6" t="inlineStr">
        <is>
          <t>D&amp;A (% of revenue)</t>
        </is>
      </c>
      <c r="C61" s="10" t="n">
        <v>0.128904417866277</v>
      </c>
      <c r="D61" s="10" t="n">
        <v>0.128904417866277</v>
      </c>
      <c r="E61" s="10" t="n">
        <v>0.128904417866277</v>
      </c>
      <c r="F61" s="10" t="n">
        <v>0.128904417866277</v>
      </c>
      <c r="G61" s="10" t="n">
        <v>0.128904417866277</v>
      </c>
    </row>
    <row r="62">
      <c r="A62" s="6" t="inlineStr">
        <is>
          <t>Capex intensity (% of revenue)</t>
        </is>
      </c>
      <c r="C62" s="10" t="n">
        <v>0.1496340450713096</v>
      </c>
      <c r="D62" s="10" t="n">
        <v>0.1496340450713096</v>
      </c>
      <c r="E62" s="10" t="n">
        <v>0.1496340450713096</v>
      </c>
      <c r="F62" s="10" t="n">
        <v>0.1496340450713096</v>
      </c>
      <c r="G62" s="10" t="n">
        <v>0.1496340450713096</v>
      </c>
    </row>
    <row r="63">
      <c r="A63" s="6" t="inlineStr">
        <is>
          <t>Working-capital movement (% of revenue, an OUTPUT of the cycle)</t>
        </is>
      </c>
      <c r="C63" s="10" t="n">
        <v>-9.011973604334838e-17</v>
      </c>
      <c r="D63" s="10" t="n">
        <v>0.004752892568147541</v>
      </c>
      <c r="E63" s="10" t="n">
        <v>0.004271372312109522</v>
      </c>
      <c r="F63" s="10" t="n">
        <v>0.003883270351596636</v>
      </c>
      <c r="G63" s="10" t="n">
        <v>0.003439410244856249</v>
      </c>
    </row>
    <row r="64">
      <c r="A64" s="6" t="inlineStr">
        <is>
          <t>Finance income (SAR mn)</t>
        </is>
      </c>
      <c r="C64" s="9" t="n">
        <v>951.7174030437861</v>
      </c>
      <c r="D64" s="9" t="n">
        <v>971.7034685077056</v>
      </c>
      <c r="E64" s="9" t="n">
        <v>991.1375378778597</v>
      </c>
      <c r="F64" s="9" t="n">
        <v>1010.960288635417</v>
      </c>
      <c r="G64" s="9" t="n">
        <v>1031.179494408125</v>
      </c>
    </row>
    <row r="65">
      <c r="A65" s="6" t="inlineStr">
        <is>
          <t>Finance cost (SAR mn)</t>
        </is>
      </c>
      <c r="C65" s="9" t="n">
        <v>-1443.591305740267</v>
      </c>
      <c r="D65" s="9" t="n">
        <v>-1473.906723160813</v>
      </c>
      <c r="E65" s="9" t="n">
        <v>-1503.384857624029</v>
      </c>
      <c r="F65" s="9" t="n">
        <v>-1533.45255477651</v>
      </c>
      <c r="G65" s="9" t="n">
        <v>-1564.12160587204</v>
      </c>
    </row>
    <row r="66">
      <c r="A66" s="6" t="inlineStr">
        <is>
          <t>Early retirement programme (SAR mn, three-year mean escalated)</t>
        </is>
      </c>
      <c r="C66" s="9" t="n">
        <v>-1421.299666666667</v>
      </c>
      <c r="D66" s="9" t="n">
        <v>-1451.146959666667</v>
      </c>
      <c r="E66" s="9" t="n">
        <v>-1480.16989886</v>
      </c>
      <c r="F66" s="9" t="n">
        <v>-1509.7732968372</v>
      </c>
      <c r="G66" s="9" t="n">
        <v>-1539.968762773944</v>
      </c>
    </row>
    <row r="67">
      <c r="A67" s="6" t="inlineStr">
        <is>
          <t>Effective zakat rate (three filed years together)</t>
        </is>
      </c>
      <c r="C67" s="10" t="n">
        <v>0.08266854587581883</v>
      </c>
      <c r="D67" s="10" t="n">
        <v>0.08266854587581883</v>
      </c>
      <c r="E67" s="10" t="n">
        <v>0.08266854587581883</v>
      </c>
      <c r="F67" s="10" t="n">
        <v>0.08266854587581883</v>
      </c>
      <c r="G67" s="10" t="n">
        <v>0.08266854587581883</v>
      </c>
    </row>
    <row r="68">
      <c r="A68" s="6" t="inlineStr">
        <is>
          <t>DPS declared (SAR/share)</t>
        </is>
      </c>
      <c r="C68" s="7" t="n">
        <v>2.2</v>
      </c>
      <c r="D68" s="7" t="n">
        <v>2.2</v>
      </c>
      <c r="E68" s="7" t="n">
        <v>2.3</v>
      </c>
      <c r="F68" s="7" t="n">
        <v>2.4</v>
      </c>
      <c r="G68" s="7" t="n">
        <v>2.55</v>
      </c>
    </row>
    <row r="84">
      <c r="A84" s="5" t="inlineStr">
        <is>
          <t>WACC BUILD — FULL DETAIL &amp; SOURCING (feeds rows 9-17; reference only)</t>
        </is>
      </c>
    </row>
    <row r="85">
      <c r="A85" s="6" t="inlineStr">
        <is>
          <t>Risk-free rate — where the quote comes from</t>
        </is>
      </c>
      <c r="C85" s="8" t="inlineStr">
        <is>
          <t>One dated sovereign quote is held for every Saudi company this desk covers, so no single study carries a rate of its own: 5.52% as at 2026-09-03, less this sovereign’s own default spread of 0.98%, giving the normalised 4.54% the cost of equity is built on. Country risk is then charged once, inside the equity risk premium, rather than twice. The Saudi sovereign quote on the house macro path carries an as-of date of 31 July 2026 and this schedule is struck on 5 September 2026, so it is 36 days old against the 14-day bound. It is accepted DELIBERATELY and the age is disclosed here rather than used quietly; refreshing the path is a macro-path task that moves every Saudi study at once, not a lever inside this one.</t>
        </is>
      </c>
    </row>
    <row r="86">
      <c r="A86" s="6" t="inlineStr">
        <is>
          <t>ERP — CDS-based (Damodaran, "more current" alternative)</t>
        </is>
      </c>
      <c r="B86" s="11" t="n">
        <v>0.0572</v>
      </c>
      <c r="C86" s="8" t="inlineStr">
        <is>
          <t>Same original file, Saudi row, CDS column: sovereign CDS 0.98% → ERP 5.72%. For Saudi the CDS basis is ABOVE the rating basis (CDS prices more risk than Aa3 implies) — the alternative WACC below is therefore the HIGHER one.</t>
        </is>
      </c>
    </row>
    <row r="87">
      <c r="A87" s="6" t="inlineStr">
        <is>
          <t>Ke, alternative (CDS-based ERP)</t>
        </is>
      </c>
      <c r="B87" s="13">
        <f>B9+B10*B86</f>
        <v/>
      </c>
    </row>
    <row r="88">
      <c r="A88" s="6" t="inlineStr">
        <is>
          <t>WACC, alternative (CDS-based ERP)</t>
        </is>
      </c>
      <c r="B88" s="13">
        <f>(1-B15)*B87+B15*B14</f>
        <v/>
      </c>
    </row>
    <row r="89">
      <c r="A89" s="6" t="inlineStr">
        <is>
          <t>Beta — regression detail</t>
        </is>
      </c>
      <c r="C89" s="8" t="inlineStr">
        <is>
          <t>A 4.94-year weekly regression of stc against the published index of the exchange it is listed on, the Tadawul All Share Index, read as of 2026-09-08: 254 paired weeks on that exchange’s own trading week, beta 0.7093, standard error 0.1022, R² 30.3%, and a confidence interval running 0.5412 to 0.8773. It is the first tier of the house preference order rather than a stopgap. A superseded reading of 0.4800, taken from a nine-week daily window on a commercial vendor’s index quotes, is recorded in the bibliography and is not used. Sensitivity: at a beta of 1.00 the cost of equity is 10.26% and the cost of capital 9.64%, which the beta grid on the Sensitivity sheet prices in full.</t>
        </is>
      </c>
    </row>
    <row r="90">
      <c r="A90" s="6" t="inlineStr">
        <is>
          <t>Kd source &amp; currency-mix evidence</t>
        </is>
      </c>
      <c r="C90" s="8" t="inlineStr">
        <is>
          <t>Named instruments: May-2019 $1.25bn 10y sukuk at 3.89% (matures 2029); Jan-2026 $2bn dual-tranche sukuk 4.489% (5y, T+75) / 5.083% (10y, T+90) under the $5bn programme (books $5.4bn); Mar-2021 ECA loan $584mn; remainder SAR murabaha/facilities (3M SAIBOR 4.79% Apr-2026 + 60–100bp). USD-linked ≈ 55–60% of gross debt; SAR pegged 3.75 → USD legs economically quasi-SAR, single blended Kd 5.0% used (no floating-FX tranche modelled).</t>
        </is>
      </c>
    </row>
    <row r="91">
      <c r="A91" s="6" t="inlineStr">
        <is>
          <t>Weights source</t>
        </is>
      </c>
      <c r="C91" s="8" t="inlineStr">
        <is>
          <t>Market-value equity, never book: the latest known close of SAR 43.86 on 2026-09-03 times 4,993,024 thousand shares outstanding — issued capital of SAR 50,000,000 thousand in shares of SAR 10 each, which divides to the 5,000,000 thousand shares note 17 of the reviewed 30 June 2026 interim itself states, less 6,976 thousand held in treasury. Debt is the borrowings total from the LATEST DISCLOSED balance sheet, 30 June 2026, SAR 23,536,554 thousand, which reproduces from the same interim's own financing cash flows to twelve basis points. E/(D+E) = 90.3%.</t>
        </is>
      </c>
    </row>
    <row r="92">
      <c r="A92" s="6" t="inlineStr">
        <is>
          <t>Both premium bases</t>
        </is>
      </c>
      <c r="C92" s="8" t="inlineStr">
        <is>
          <t>The cost of capital is built the same way for every market this desk covers: the sovereign yield for the country, less that same sovereign’s own default spread so country risk is charged once rather than twice, plus beta times an equity risk premium published for Saudi Arabia specifically. Both premium bases are published — 5.72% central and 5.01% on the alternative — giving costs of capital of 8.53% and 8.31%, so the choice is visible rather than made silently.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44" customWidth="1" min="1" max="1"/>
    <col width="52" customWidth="1" min="2" max="2"/>
    <col width="16" customWidth="1" min="3" max="3"/>
    <col width="12" customWidth="1" min="4" max="4"/>
    <col width="12" customWidth="1" min="5" max="5"/>
    <col width="12" customWidth="1" min="6" max="6"/>
    <col width="12" customWidth="1" min="7" max="7"/>
  </cols>
  <sheetData>
    <row r="1">
      <c r="A1" s="1" t="inlineStr">
        <is>
          <t>Valuation bridge — FCFF DCF (primary) + the dividend-policy DDM</t>
        </is>
      </c>
      <c r="B1" s="2" t="n"/>
      <c r="C1" s="2" t="n"/>
      <c r="D1" s="2" t="n"/>
      <c r="E1" s="2" t="n"/>
      <c r="F1" s="2" t="n"/>
      <c r="G1" s="2" t="n"/>
    </row>
    <row r="2">
      <c r="A2" s="4" t="inlineStr">
        <is>
          <t>Core-operations EV from the DCF sheet; stakes marked separately; DDM = the locked SAR 0.55/quarter policy. Links to DCF / Assumptions.</t>
        </is>
      </c>
    </row>
    <row r="5">
      <c r="A5" s="16" t="inlineStr">
        <is>
          <t>Component</t>
        </is>
      </c>
      <c r="B5" s="8" t="inlineStr">
        <is>
          <t>Basis</t>
        </is>
      </c>
      <c r="C5" s="20" t="inlineStr">
        <is>
          <t>Value (SAR mn)</t>
        </is>
      </c>
    </row>
    <row r="6">
      <c r="A6" s="6" t="inlineStr">
        <is>
          <t>Core operations enterprise value</t>
        </is>
      </c>
      <c r="B6" s="8" t="inlineStr">
        <is>
          <t>FCFF DCF (§1.1): Σ PV FCFF + PV terminal</t>
        </is>
      </c>
      <c r="C6" s="19">
        <f>DCF!B27</f>
        <v/>
      </c>
    </row>
    <row r="7">
      <c r="A7" s="6" t="inlineStr">
        <is>
          <t xml:space="preserve">  of which terminal value</t>
        </is>
      </c>
      <c r="B7" s="8" t="inlineStr">
        <is>
          <t>% of core enterprise value</t>
        </is>
      </c>
      <c r="C7" s="31">
        <f>DCF!B28</f>
        <v/>
      </c>
    </row>
    <row r="8">
      <c r="A8" s="6" t="inlineStr">
        <is>
          <t>+ Investments in associates &amp; JVs</t>
        </is>
      </c>
      <c r="B8" s="8" t="inlineStr">
        <is>
          <t>43.06% DIIC/TAWAL at carrying value</t>
        </is>
      </c>
      <c r="C8" s="19">
        <f>Assumptions!$B$22</f>
        <v/>
      </c>
    </row>
    <row r="9">
      <c r="A9" s="6" t="inlineStr">
        <is>
          <t>+ Telefónica 9.97%</t>
        </is>
      </c>
      <c r="B9" s="8" t="inlineStr">
        <is>
          <t>Market mark on the disclosed stake</t>
        </is>
      </c>
      <c r="C9" s="19">
        <f>Assumptions!$B$23</f>
        <v/>
      </c>
    </row>
    <row r="10">
      <c r="A10" s="6" t="inlineStr">
        <is>
          <t>+ Investment funds and unlisted equity investments</t>
        </is>
      </c>
      <c r="B10" s="8" t="inlineStr">
        <is>
          <t>At fair value</t>
        </is>
      </c>
      <c r="C10" s="19">
        <f>Assumptions!$B$24</f>
        <v/>
      </c>
    </row>
    <row r="11">
      <c r="A11" s="6" t="inlineStr">
        <is>
          <t>− Net debt</t>
        </is>
      </c>
      <c r="B11" s="8" t="inlineStr">
        <is>
          <t>Total borrowings less cash, on the 30 June 2026 reviewed sheet</t>
        </is>
      </c>
      <c r="C11" s="19">
        <f>-Assumptions!$B$25</f>
        <v/>
      </c>
    </row>
    <row r="12">
      <c r="A12" s="6" t="inlineStr">
        <is>
          <t>− Non-controlling interests</t>
        </is>
      </c>
      <c r="B12" s="8" t="inlineStr">
        <is>
          <t>At the minority’s share of equity value, not at book</t>
        </is>
      </c>
      <c r="C12" s="19">
        <f>-Assumptions!$B$26</f>
        <v/>
      </c>
    </row>
    <row r="13">
      <c r="A13" s="16" t="inlineStr">
        <is>
          <t>Equity value</t>
        </is>
      </c>
      <c r="B13" s="6" t="inlineStr"/>
      <c r="C13" s="25">
        <f>C6+Assumptions!$B$22+Assumptions!$B$23+Assumptions!$B$24-Assumptions!$B$25-Assumptions!$B$26</f>
        <v/>
      </c>
    </row>
    <row r="14">
      <c r="A14" s="16" t="inlineStr">
        <is>
          <t>DCF fair value per share (SAR)</t>
        </is>
      </c>
      <c r="B14" s="6" t="inlineStr"/>
      <c r="C14" s="30">
        <f>C13/Assumptions!$B$6</f>
        <v/>
      </c>
    </row>
    <row r="15">
      <c r="A15" s="16" t="inlineStr">
        <is>
          <t>Upside / (downside) vs spot</t>
        </is>
      </c>
      <c r="B15" s="6" t="inlineStr"/>
      <c r="C15" s="32">
        <f>C14/Assumptions!$B$5-1</f>
        <v/>
      </c>
    </row>
    <row r="17">
      <c r="A17" s="5" t="inlineStr">
        <is>
          <t>DDM — the locked dividend policy as a lens</t>
        </is>
      </c>
    </row>
    <row r="18">
      <c r="A18" s="16" t="inlineStr">
        <is>
          <t>DPS (SAR)</t>
        </is>
      </c>
      <c r="C18" s="29">
        <f>Assumptions!C28</f>
        <v/>
      </c>
      <c r="D18" s="29">
        <f>Assumptions!D28</f>
        <v/>
      </c>
      <c r="E18" s="29">
        <f>Assumptions!E28</f>
        <v/>
      </c>
      <c r="F18" s="29">
        <f>Assumptions!F28</f>
        <v/>
      </c>
      <c r="G18" s="29">
        <f>Assumptions!G28</f>
        <v/>
      </c>
    </row>
    <row r="19">
      <c r="A19" s="6" t="inlineStr">
        <is>
          <t>PV of DPS @ Ke</t>
        </is>
      </c>
      <c r="C19" s="26">
        <f>C18/(1+Assumptions!$B$15)^1</f>
        <v/>
      </c>
      <c r="D19" s="26">
        <f>D18/(1+Assumptions!$B$15)^2</f>
        <v/>
      </c>
      <c r="E19" s="26">
        <f>E18/(1+Assumptions!$B$15)^3</f>
        <v/>
      </c>
      <c r="F19" s="26">
        <f>F18/(1+Assumptions!$B$15)^4</f>
        <v/>
      </c>
      <c r="G19" s="26">
        <f>G18/(1+Assumptions!$B$15)^5</f>
        <v/>
      </c>
    </row>
    <row r="20">
      <c r="A20" s="17" t="inlineStr">
        <is>
          <t>Σ PV of explicit DPS (FY26–30E)</t>
        </is>
      </c>
      <c r="C20" s="26">
        <f>SUM(C19:G19)</f>
        <v/>
      </c>
    </row>
    <row r="21">
      <c r="A21" s="17" t="inlineStr">
        <is>
          <t>Terminal value = DPS30 × (1+g) / (Ke − g)</t>
        </is>
      </c>
      <c r="C21" s="26">
        <f>G18*(1+Assumptions!$B$29)/(Assumptions!$B$15-Assumptions!$B$29)</f>
        <v/>
      </c>
    </row>
    <row r="22">
      <c r="A22" s="17" t="inlineStr">
        <is>
          <t>PV of terminal value</t>
        </is>
      </c>
      <c r="C22" s="26">
        <f>C21/(1+Assumptions!$B$15)^5</f>
        <v/>
      </c>
    </row>
    <row r="23">
      <c r="A23" s="16" t="inlineStr">
        <is>
          <t>DDM fair value per share (SAR)</t>
        </is>
      </c>
      <c r="C23" s="23">
        <f>C20+C22</f>
        <v/>
      </c>
    </row>
    <row r="24">
      <c r="A24" s="17" t="inlineStr">
        <is>
          <t xml:space="preserve">  terminal as a share of the dividend-model value</t>
        </is>
      </c>
      <c r="C24" s="18">
        <f>C22/C23</f>
        <v/>
      </c>
    </row>
    <row r="26">
      <c r="A26" s="8" t="inlineStr">
        <is>
          <t>What the market is paying, read off this sheet: at the spot price the market values the whole equity above what these lines add to, and the difference is the disagreement section 4 of the study takes apart. The regular dividend is covered 1.06 to 1.24 times by first-year model free cash flow across the range of capital intensity this company own three filed years actually ran — covered throughout that range, so the question is whether the data-centre build takes intensity above anything it has yet run.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Operating segments — the 12 the company discloses</t>
        </is>
      </c>
      <c r="B1" s="2" t="n"/>
      <c r="C1" s="2" t="n"/>
      <c r="D1" s="2" t="n"/>
      <c r="E1" s="2" t="n"/>
      <c r="F1" s="2" t="n"/>
      <c r="G1" s="2" t="n"/>
      <c r="H1" s="2" t="n"/>
      <c r="I1" s="2" t="n"/>
      <c r="J1" s="2" t="n"/>
    </row>
    <row r="2">
      <c r="A2" s="4" t="inlineStr">
        <is>
          <t>Note 9 of the audited statements, three filed years, each segment grown on ITS OWN measured real rate times the house Saudi inflation ladder. This sheet used to carry four BUSINESS UNITS with their historicals typed in — consumer, enterprise, wholesale and a subsidiaries residual — none of which the company reports and none of which the model is built on.</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7" t="inlineStr">
        <is>
          <t>stc</t>
        </is>
      </c>
      <c r="B6" s="9" t="n">
        <v>49218.179</v>
      </c>
      <c r="C6" s="9" t="n">
        <v>49643.893</v>
      </c>
      <c r="D6" s="9" t="n">
        <v>51119.024</v>
      </c>
      <c r="E6" s="17">
        <f>D6*(1+Assumptions!$C$56)*(1+Assumptions!$C$58)*Assumptions!$C$57</f>
        <v/>
      </c>
      <c r="F6" s="17">
        <f>E6*(1+Assumptions!$D$56)*(1+Assumptions!$D$58)*Assumptions!$D$57</f>
        <v/>
      </c>
      <c r="G6" s="17">
        <f>F6*(1+Assumptions!$E$56)*(1+Assumptions!$E$58)*Assumptions!$E$57</f>
        <v/>
      </c>
      <c r="H6" s="17">
        <f>G6*(1+Assumptions!$F$56)*(1+Assumptions!$F$58)*Assumptions!$F$57</f>
        <v/>
      </c>
      <c r="I6" s="17">
        <f>H6*(1+Assumptions!$G$56)*(1+Assumptions!$G$58)*Assumptions!$G$57</f>
        <v/>
      </c>
    </row>
    <row r="7">
      <c r="A7" s="17" t="inlineStr">
        <is>
          <t>Channels</t>
        </is>
      </c>
      <c r="B7" s="9" t="n">
        <v>14194.21</v>
      </c>
      <c r="C7" s="9" t="n">
        <v>15110.606</v>
      </c>
      <c r="D7" s="9" t="n">
        <v>14085.195</v>
      </c>
      <c r="E7" s="17">
        <f>D7*(1+Assumptions!$C$53)*(1+Assumptions!$C$58)*Assumptions!$C$57</f>
        <v/>
      </c>
      <c r="F7" s="17">
        <f>E7*(1+Assumptions!$D$53)*(1+Assumptions!$D$58)*Assumptions!$D$57</f>
        <v/>
      </c>
      <c r="G7" s="17">
        <f>F7*(1+Assumptions!$E$53)*(1+Assumptions!$E$58)*Assumptions!$E$57</f>
        <v/>
      </c>
      <c r="H7" s="17">
        <f>G7*(1+Assumptions!$F$53)*(1+Assumptions!$F$58)*Assumptions!$F$57</f>
        <v/>
      </c>
      <c r="I7" s="17">
        <f>H7*(1+Assumptions!$G$53)*(1+Assumptions!$G$58)*Assumptions!$G$57</f>
        <v/>
      </c>
    </row>
    <row r="8">
      <c r="A8" s="17" t="inlineStr">
        <is>
          <t>Solutions</t>
        </is>
      </c>
      <c r="B8" s="9" t="n">
        <v>11040.493</v>
      </c>
      <c r="C8" s="9" t="n">
        <v>12063.897</v>
      </c>
      <c r="D8" s="9" t="n">
        <v>12730.189</v>
      </c>
      <c r="E8" s="17">
        <f>D8*(1+Assumptions!$C$48)*(1+Assumptions!$C$58)*Assumptions!$C$57</f>
        <v/>
      </c>
      <c r="F8" s="17">
        <f>E8*(1+Assumptions!$D$48)*(1+Assumptions!$D$58)*Assumptions!$D$57</f>
        <v/>
      </c>
      <c r="G8" s="17">
        <f>F8*(1+Assumptions!$E$48)*(1+Assumptions!$E$58)*Assumptions!$E$57</f>
        <v/>
      </c>
      <c r="H8" s="17">
        <f>G8*(1+Assumptions!$F$48)*(1+Assumptions!$F$58)*Assumptions!$F$57</f>
        <v/>
      </c>
      <c r="I8" s="17">
        <f>H8*(1+Assumptions!$G$48)*(1+Assumptions!$G$58)*Assumptions!$G$57</f>
        <v/>
      </c>
    </row>
    <row r="9">
      <c r="A9" s="17" t="inlineStr">
        <is>
          <t>stc Kuwait</t>
        </is>
      </c>
      <c r="B9" s="9" t="n">
        <v>3986.034</v>
      </c>
      <c r="C9" s="9" t="n">
        <v>4105.483</v>
      </c>
      <c r="D9" s="9" t="n">
        <v>4179.842</v>
      </c>
      <c r="E9" s="17">
        <f>D9*(1+Assumptions!$C$54)*(1+Assumptions!$C$58)*Assumptions!$C$57</f>
        <v/>
      </c>
      <c r="F9" s="17">
        <f>E9*(1+Assumptions!$D$54)*(1+Assumptions!$D$58)*Assumptions!$D$57</f>
        <v/>
      </c>
      <c r="G9" s="17">
        <f>F9*(1+Assumptions!$E$54)*(1+Assumptions!$E$58)*Assumptions!$E$57</f>
        <v/>
      </c>
      <c r="H9" s="17">
        <f>G9*(1+Assumptions!$F$54)*(1+Assumptions!$F$58)*Assumptions!$F$57</f>
        <v/>
      </c>
      <c r="I9" s="17">
        <f>H9*(1+Assumptions!$G$54)*(1+Assumptions!$G$58)*Assumptions!$G$57</f>
        <v/>
      </c>
    </row>
    <row r="10">
      <c r="A10" s="17" t="inlineStr">
        <is>
          <t>stc Bahrain</t>
        </is>
      </c>
      <c r="B10" s="9" t="n">
        <v>1913.287</v>
      </c>
      <c r="C10" s="9" t="n">
        <v>1927.967</v>
      </c>
      <c r="D10" s="9" t="n">
        <v>1967.83</v>
      </c>
      <c r="E10" s="17">
        <f>D10*(1+Assumptions!$C$55)*(1+Assumptions!$C$58)*Assumptions!$C$57</f>
        <v/>
      </c>
      <c r="F10" s="17">
        <f>E10*(1+Assumptions!$D$55)*(1+Assumptions!$D$58)*Assumptions!$D$57</f>
        <v/>
      </c>
      <c r="G10" s="17">
        <f>F10*(1+Assumptions!$E$55)*(1+Assumptions!$E$58)*Assumptions!$E$57</f>
        <v/>
      </c>
      <c r="H10" s="17">
        <f>G10*(1+Assumptions!$F$55)*(1+Assumptions!$F$58)*Assumptions!$F$57</f>
        <v/>
      </c>
      <c r="I10" s="17">
        <f>H10*(1+Assumptions!$G$55)*(1+Assumptions!$G$58)*Assumptions!$G$57</f>
        <v/>
      </c>
    </row>
    <row r="11">
      <c r="A11" s="17" t="inlineStr">
        <is>
          <t>Center 3</t>
        </is>
      </c>
      <c r="B11" s="9" t="n">
        <v>1089.218</v>
      </c>
      <c r="C11" s="9" t="n">
        <v>1911.716</v>
      </c>
      <c r="D11" s="9" t="n">
        <v>1961.666</v>
      </c>
      <c r="E11" s="17">
        <f>D11*(1+Assumptions!$C$49)*(1+Assumptions!$C$58)*Assumptions!$C$57</f>
        <v/>
      </c>
      <c r="F11" s="17">
        <f>E11*(1+Assumptions!$D$49)*(1+Assumptions!$D$58)*Assumptions!$D$57</f>
        <v/>
      </c>
      <c r="G11" s="17">
        <f>F11*(1+Assumptions!$E$49)*(1+Assumptions!$E$58)*Assumptions!$E$57</f>
        <v/>
      </c>
      <c r="H11" s="17">
        <f>G11*(1+Assumptions!$F$49)*(1+Assumptions!$F$58)*Assumptions!$F$57</f>
        <v/>
      </c>
      <c r="I11" s="17">
        <f>H11*(1+Assumptions!$G$49)*(1+Assumptions!$G$58)*Assumptions!$G$57</f>
        <v/>
      </c>
    </row>
    <row r="12">
      <c r="A12" s="17" t="inlineStr">
        <is>
          <t>stc Bank</t>
        </is>
      </c>
      <c r="B12" s="9" t="n">
        <v>1063.006</v>
      </c>
      <c r="C12" s="9" t="n">
        <v>1261.646</v>
      </c>
      <c r="D12" s="9" t="n">
        <v>1401.027</v>
      </c>
      <c r="E12" s="17">
        <f>D12*(1+Assumptions!$C$46)*(1+Assumptions!$C$58)*Assumptions!$C$57</f>
        <v/>
      </c>
      <c r="F12" s="17">
        <f>E12*(1+Assumptions!$D$46)*(1+Assumptions!$D$58)*Assumptions!$D$57</f>
        <v/>
      </c>
      <c r="G12" s="17">
        <f>F12*(1+Assumptions!$E$46)*(1+Assumptions!$E$58)*Assumptions!$E$57</f>
        <v/>
      </c>
      <c r="H12" s="17">
        <f>G12*(1+Assumptions!$F$46)*(1+Assumptions!$F$58)*Assumptions!$F$57</f>
        <v/>
      </c>
      <c r="I12" s="17">
        <f>H12*(1+Assumptions!$G$46)*(1+Assumptions!$G$58)*Assumptions!$G$57</f>
        <v/>
      </c>
    </row>
    <row r="13">
      <c r="A13" s="17" t="inlineStr">
        <is>
          <t>Sirar</t>
        </is>
      </c>
      <c r="B13" s="9" t="n">
        <v>588.606</v>
      </c>
      <c r="C13" s="9" t="n">
        <v>732.675</v>
      </c>
      <c r="D13" s="9" t="n">
        <v>826.545</v>
      </c>
      <c r="E13" s="17">
        <f>D13*(1+Assumptions!$C$45)*(1+Assumptions!$C$58)*Assumptions!$C$57</f>
        <v/>
      </c>
      <c r="F13" s="17">
        <f>E13*(1+Assumptions!$D$45)*(1+Assumptions!$D$58)*Assumptions!$D$57</f>
        <v/>
      </c>
      <c r="G13" s="17">
        <f>F13*(1+Assumptions!$E$45)*(1+Assumptions!$E$58)*Assumptions!$E$57</f>
        <v/>
      </c>
      <c r="H13" s="17">
        <f>G13*(1+Assumptions!$F$45)*(1+Assumptions!$F$58)*Assumptions!$F$57</f>
        <v/>
      </c>
      <c r="I13" s="17">
        <f>H13*(1+Assumptions!$G$45)*(1+Assumptions!$G$58)*Assumptions!$G$57</f>
        <v/>
      </c>
    </row>
    <row r="14">
      <c r="A14" s="17" t="inlineStr">
        <is>
          <t>Specialized</t>
        </is>
      </c>
      <c r="B14" s="9" t="n">
        <v>397.492</v>
      </c>
      <c r="C14" s="9" t="n">
        <v>371.763</v>
      </c>
      <c r="D14" s="9" t="n">
        <v>355.306</v>
      </c>
      <c r="E14" s="17">
        <f>D14*(1+Assumptions!$C$47)*(1+Assumptions!$C$58)*Assumptions!$C$57</f>
        <v/>
      </c>
      <c r="F14" s="17">
        <f>E14*(1+Assumptions!$D$47)*(1+Assumptions!$D$58)*Assumptions!$D$57</f>
        <v/>
      </c>
      <c r="G14" s="17">
        <f>F14*(1+Assumptions!$E$47)*(1+Assumptions!$E$58)*Assumptions!$E$57</f>
        <v/>
      </c>
      <c r="H14" s="17">
        <f>G14*(1+Assumptions!$F$47)*(1+Assumptions!$F$58)*Assumptions!$F$57</f>
        <v/>
      </c>
      <c r="I14" s="17">
        <f>H14*(1+Assumptions!$G$47)*(1+Assumptions!$G$58)*Assumptions!$G$57</f>
        <v/>
      </c>
    </row>
    <row r="15">
      <c r="A15" s="17" t="inlineStr">
        <is>
          <t>iot2</t>
        </is>
      </c>
      <c r="B15" s="9" t="n">
        <v>72.539</v>
      </c>
      <c r="C15" s="9" t="n">
        <v>301.434</v>
      </c>
      <c r="D15" s="9" t="n">
        <v>321.668</v>
      </c>
      <c r="E15" s="17">
        <f>D15*(1+Assumptions!$C$50)*(1+Assumptions!$C$58)*Assumptions!$C$57</f>
        <v/>
      </c>
      <c r="F15" s="17">
        <f>E15*(1+Assumptions!$D$50)*(1+Assumptions!$D$58)*Assumptions!$D$57</f>
        <v/>
      </c>
      <c r="G15" s="17">
        <f>F15*(1+Assumptions!$E$50)*(1+Assumptions!$E$58)*Assumptions!$E$57</f>
        <v/>
      </c>
      <c r="H15" s="17">
        <f>G15*(1+Assumptions!$F$50)*(1+Assumptions!$F$58)*Assumptions!$F$57</f>
        <v/>
      </c>
      <c r="I15" s="17">
        <f>H15*(1+Assumptions!$G$50)*(1+Assumptions!$G$58)*Assumptions!$G$57</f>
        <v/>
      </c>
    </row>
    <row r="16">
      <c r="A16" s="17" t="inlineStr">
        <is>
          <t>SCCC</t>
        </is>
      </c>
      <c r="B16" s="9" t="n">
        <v>72.15000000000001</v>
      </c>
      <c r="C16" s="9" t="n">
        <v>187.904</v>
      </c>
      <c r="D16" s="9" t="n">
        <v>303.969</v>
      </c>
      <c r="E16" s="17">
        <f>D16*(1+Assumptions!$C$51)*(1+Assumptions!$C$58)*Assumptions!$C$57</f>
        <v/>
      </c>
      <c r="F16" s="17">
        <f>E16*(1+Assumptions!$D$51)*(1+Assumptions!$D$58)*Assumptions!$D$57</f>
        <v/>
      </c>
      <c r="G16" s="17">
        <f>F16*(1+Assumptions!$E$51)*(1+Assumptions!$E$58)*Assumptions!$E$57</f>
        <v/>
      </c>
      <c r="H16" s="17">
        <f>G16*(1+Assumptions!$F$51)*(1+Assumptions!$F$58)*Assumptions!$F$57</f>
        <v/>
      </c>
      <c r="I16" s="17">
        <f>H16*(1+Assumptions!$G$51)*(1+Assumptions!$G$58)*Assumptions!$G$57</f>
        <v/>
      </c>
    </row>
    <row r="17">
      <c r="A17" s="17" t="inlineStr">
        <is>
          <t>Other operating segments</t>
        </is>
      </c>
      <c r="B17" s="9" t="n">
        <v>709.843</v>
      </c>
      <c r="C17" s="9" t="n">
        <v>729.345</v>
      </c>
      <c r="D17" s="9" t="n">
        <v>65.059</v>
      </c>
      <c r="E17" s="17">
        <f>D17*(1+Assumptions!$C$52)*(1+Assumptions!$C$58)*Assumptions!$C$57</f>
        <v/>
      </c>
      <c r="F17" s="17">
        <f>E17*(1+Assumptions!$D$52)*(1+Assumptions!$D$58)*Assumptions!$D$57</f>
        <v/>
      </c>
      <c r="G17" s="17">
        <f>F17*(1+Assumptions!$E$52)*(1+Assumptions!$E$58)*Assumptions!$E$57</f>
        <v/>
      </c>
      <c r="H17" s="17">
        <f>G17*(1+Assumptions!$F$52)*(1+Assumptions!$F$58)*Assumptions!$F$57</f>
        <v/>
      </c>
      <c r="I17" s="17">
        <f>H17*(1+Assumptions!$G$52)*(1+Assumptions!$G$58)*Assumptions!$G$57</f>
        <v/>
      </c>
    </row>
    <row r="18">
      <c r="A18" s="17" t="inlineStr">
        <is>
          <t>Gross segment revenue</t>
        </is>
      </c>
      <c r="B18" s="6">
        <f>SUM(B6:B17)</f>
        <v/>
      </c>
      <c r="C18" s="6">
        <f>SUM(C6:C17)</f>
        <v/>
      </c>
      <c r="D18" s="6">
        <f>SUM(D6:D17)</f>
        <v/>
      </c>
      <c r="E18" s="17">
        <f>SUM(E6:E17)</f>
        <v/>
      </c>
      <c r="F18" s="17">
        <f>SUM(F6:F17)</f>
        <v/>
      </c>
      <c r="G18" s="17">
        <f>SUM(G6:G17)</f>
        <v/>
      </c>
      <c r="H18" s="17">
        <f>SUM(H6:H17)</f>
        <v/>
      </c>
      <c r="I18" s="17">
        <f>SUM(I6:I17)</f>
        <v/>
      </c>
    </row>
    <row r="19">
      <c r="A19" s="17" t="inlineStr">
        <is>
          <t>Eliminations / adjustments</t>
        </is>
      </c>
      <c r="B19" s="9" t="n">
        <v>-12567.896</v>
      </c>
      <c r="C19" s="9" t="n">
        <v>-12454.916</v>
      </c>
      <c r="D19" s="9" t="n">
        <v>-11498.645</v>
      </c>
      <c r="E19" s="17">
        <f>E18*Assumptions!$C$59</f>
        <v/>
      </c>
      <c r="F19" s="17">
        <f>F18*Assumptions!$D$59</f>
        <v/>
      </c>
      <c r="G19" s="17">
        <f>G18*Assumptions!$E$59</f>
        <v/>
      </c>
      <c r="H19" s="17">
        <f>H18*Assumptions!$F$59</f>
        <v/>
      </c>
      <c r="I19" s="17">
        <f>I18*Assumptions!$G$59</f>
        <v/>
      </c>
    </row>
    <row r="20">
      <c r="A20" s="17" t="inlineStr">
        <is>
          <t>Group revenue</t>
        </is>
      </c>
      <c r="B20" s="6">
        <f>B18+B19</f>
        <v/>
      </c>
      <c r="C20" s="6">
        <f>C18+C19</f>
        <v/>
      </c>
      <c r="D20" s="6">
        <f>D18+D19</f>
        <v/>
      </c>
      <c r="E20" s="17">
        <f>E18+E19</f>
        <v/>
      </c>
      <c r="F20" s="17">
        <f>F18+F19</f>
        <v/>
      </c>
      <c r="G20" s="17">
        <f>G18+G19</f>
        <v/>
      </c>
      <c r="H20" s="17">
        <f>H18+H19</f>
        <v/>
      </c>
      <c r="I20" s="17">
        <f>I18+I19</f>
        <v/>
      </c>
    </row>
    <row r="22">
      <c r="A22" s="17" t="inlineStr">
        <is>
          <t>Group EBITDA</t>
        </is>
      </c>
      <c r="B22" s="9" t="n">
        <v>22445</v>
      </c>
      <c r="C22" s="9" t="n">
        <v>23951</v>
      </c>
      <c r="D22" s="9" t="n">
        <v>24469</v>
      </c>
      <c r="E22" s="17">
        <f>E20*Assumptions!$C$60</f>
        <v/>
      </c>
      <c r="F22" s="17">
        <f>F20*Assumptions!$D$60</f>
        <v/>
      </c>
      <c r="G22" s="17">
        <f>G20*Assumptions!$E$60</f>
        <v/>
      </c>
      <c r="H22" s="17">
        <f>H20*Assumptions!$F$60</f>
        <v/>
      </c>
      <c r="I22" s="17">
        <f>I20*Assumptions!$G$60</f>
        <v/>
      </c>
    </row>
    <row r="23">
      <c r="A23" s="17" t="inlineStr">
        <is>
          <t>EBITDA margin</t>
        </is>
      </c>
      <c r="B23" s="18">
        <f>B22/B20</f>
        <v/>
      </c>
      <c r="C23" s="18">
        <f>C22/C20</f>
        <v/>
      </c>
      <c r="D23" s="18">
        <f>D22/D20</f>
        <v/>
      </c>
      <c r="E23" s="18">
        <f>E22/E20</f>
        <v/>
      </c>
      <c r="F23" s="18">
        <f>F22/F20</f>
        <v/>
      </c>
      <c r="G23" s="18">
        <f>G22/G20</f>
        <v/>
      </c>
      <c r="H23" s="18">
        <f>H22/H20</f>
        <v/>
      </c>
      <c r="I23" s="18">
        <f>I22/I20</f>
        <v/>
      </c>
    </row>
    <row r="26">
      <c r="A26" s="8" t="inlineStr">
        <is>
          <t>Every forecast cell above is a formula: the prior year times one plus the segment's own real rate times one plus the house inflation ladder, both read from Assumptions. Move a rate there and this sheet moves.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4" customWidth="1" min="1" max="1"/>
    <col width="52" customWidth="1" min="2" max="2"/>
    <col width="12" customWidth="1" min="3" max="3"/>
    <col width="12" customWidth="1" min="4" max="4"/>
    <col width="12" customWidth="1" min="5" max="5"/>
    <col width="12" customWidth="1" min="6" max="6"/>
    <col width="12" customWidth="1" min="7" max="7"/>
  </cols>
  <sheetData>
    <row r="1">
      <c r="A1" s="1" t="inlineStr">
        <is>
          <t>Relative &amp; normalized-earnings lenses</t>
        </is>
      </c>
      <c r="B1" s="2" t="n"/>
      <c r="C1" s="2" t="n"/>
      <c r="D1" s="2" t="n"/>
      <c r="E1" s="2" t="n"/>
      <c r="F1" s="2" t="n"/>
      <c r="G1" s="2" t="n"/>
    </row>
    <row r="2">
      <c r="A2" s="4" t="inlineStr">
        <is>
          <t>Links to Assumptions, DCF and the Income Statement.</t>
        </is>
      </c>
    </row>
    <row r="5">
      <c r="A5" s="5" t="inlineStr">
        <is>
          <t>Lens</t>
        </is>
      </c>
      <c r="B5" s="5" t="inlineStr">
        <is>
          <t>Workings</t>
        </is>
      </c>
      <c r="C5" s="5" t="inlineStr">
        <is>
          <t>SAR/share</t>
        </is>
      </c>
    </row>
    <row r="6">
      <c r="A6" s="17" t="inlineStr">
        <is>
          <t>Relative EV/EBITDA</t>
        </is>
      </c>
      <c r="B6" s="8" t="inlineStr">
        <is>
          <t>FY26E EBITDA × justified multiple + stakes − net debt − NCI, /sh</t>
        </is>
      </c>
      <c r="C6" s="29">
        <f>(DCF!B7*Assumptions!$B$32+Assumptions!$B$22+Assumptions!$B$23+Assumptions!$B$24-Assumptions!$B$25)*(1-Assumptions!$B$30)/Assumptions!$B$6</f>
        <v/>
      </c>
    </row>
    <row r="7">
      <c r="A7" s="17" t="inlineStr">
        <is>
          <t xml:space="preserve">  implied P/E cross-check at that value</t>
        </is>
      </c>
      <c r="C7" s="33">
        <f>C6*Assumptions!$B$6/Assumptions!$B$33</f>
        <v/>
      </c>
    </row>
    <row r="8">
      <c r="A8" s="17" t="inlineStr">
        <is>
          <t xml:space="preserve">  IS-build FY26E EPS, for reference</t>
        </is>
      </c>
      <c r="C8" s="29">
        <f>'Income Statement'!E21</f>
        <v/>
      </c>
    </row>
    <row r="9">
      <c r="A9" s="17" t="inlineStr">
        <is>
          <t>Normalized earnings power</t>
        </is>
      </c>
      <c r="B9" s="8" t="inlineStr">
        <is>
          <t>Normalized PAT (ex one-offs) × through-cycle P/E, /sh</t>
        </is>
      </c>
      <c r="C9" s="29">
        <f>Assumptions!$B$34*Assumptions!$B$35/Assumptions!$B$6</f>
        <v/>
      </c>
    </row>
    <row r="10">
      <c r="A10" s="17" t="inlineStr">
        <is>
          <t xml:space="preserve">  normalized EPS (SAR)</t>
        </is>
      </c>
      <c r="C10" s="29">
        <f>Assumptions!$B$34/Assumptions!$B$6</f>
        <v/>
      </c>
    </row>
    <row r="12">
      <c r="A12" s="17" t="inlineStr">
        <is>
          <t>P/B cross-check: spot / FY25 BVPS</t>
        </is>
      </c>
      <c r="C12" s="33">
        <f>Assumptions!$B$5/('Balance Sheet'!D14/Assumptions!$B$6)</f>
        <v/>
      </c>
    </row>
    <row r="13">
      <c r="A13" s="8" t="inlineStr">
        <is>
          <t>Dividend yield — two framings: regular declared 2.20/sh = 5.0%; cash paid during 2025 (incl. the SAR 2.00 special for FY24) 4.20/sh = 9.6%.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s>
  <sheetData>
    <row r="1">
      <c r="A1" s="1" t="inlineStr">
        <is>
          <t>DCF — going-concern FCFF, explicit 5 years</t>
        </is>
      </c>
      <c r="B1" s="2" t="n"/>
      <c r="C1" s="2" t="n"/>
      <c r="D1" s="2" t="n"/>
      <c r="E1" s="2" t="n"/>
      <c r="F1" s="2" t="n"/>
      <c r="G1" s="2" t="n"/>
      <c r="H1" s="2" t="n"/>
    </row>
    <row r="2">
      <c r="A2" s="4" t="inlineStr">
        <is>
          <t>Revenue → EBITDA → D&amp;A → EBIT → NOPAT → +D&amp;A → −Capex → −ΔWC → FCFF → discount factor → PV. WACC built bottom-up on Assumptions (rf + β×ERP, both ERP bases published).</t>
        </is>
      </c>
    </row>
    <row r="4">
      <c r="B4" s="5" t="inlineStr">
        <is>
          <t>FY26E</t>
        </is>
      </c>
      <c r="C4" s="5" t="inlineStr">
        <is>
          <t>FY27E</t>
        </is>
      </c>
      <c r="D4" s="5" t="inlineStr">
        <is>
          <t>FY28E</t>
        </is>
      </c>
      <c r="E4" s="5" t="inlineStr">
        <is>
          <t>FY29E</t>
        </is>
      </c>
      <c r="F4" s="5" t="inlineStr">
        <is>
          <t>FY30E</t>
        </is>
      </c>
    </row>
    <row r="6">
      <c r="A6" s="6" t="inlineStr">
        <is>
          <t>Group revenue</t>
        </is>
      </c>
      <c r="B6" s="19">
        <f>Segments!E20</f>
        <v/>
      </c>
      <c r="C6" s="19">
        <f>Segments!F20</f>
        <v/>
      </c>
      <c r="D6" s="19">
        <f>Segments!G20</f>
        <v/>
      </c>
      <c r="E6" s="19">
        <f>Segments!H20</f>
        <v/>
      </c>
      <c r="F6" s="19">
        <f>Segments!I20</f>
        <v/>
      </c>
    </row>
    <row r="7">
      <c r="A7" s="6" t="inlineStr">
        <is>
          <t>EBITDA</t>
        </is>
      </c>
      <c r="B7" s="19">
        <f>Segments!E22</f>
        <v/>
      </c>
      <c r="C7" s="19">
        <f>Segments!F22</f>
        <v/>
      </c>
      <c r="D7" s="19">
        <f>Segments!G22</f>
        <v/>
      </c>
      <c r="E7" s="19">
        <f>Segments!H22</f>
        <v/>
      </c>
      <c r="F7" s="19">
        <f>Segments!I22</f>
        <v/>
      </c>
    </row>
    <row r="8">
      <c r="A8" s="6" t="inlineStr">
        <is>
          <t>D&amp;A</t>
        </is>
      </c>
      <c r="B8" s="17">
        <f>-B6*Assumptions!$C$61</f>
        <v/>
      </c>
      <c r="C8" s="17">
        <f>-C6*Assumptions!$D$61</f>
        <v/>
      </c>
      <c r="D8" s="17">
        <f>-D6*Assumptions!$E$61</f>
        <v/>
      </c>
      <c r="E8" s="17">
        <f>-E6*Assumptions!$F$61</f>
        <v/>
      </c>
      <c r="F8" s="17">
        <f>-F6*Assumptions!$G$61</f>
        <v/>
      </c>
    </row>
    <row r="9">
      <c r="A9" s="6" t="inlineStr">
        <is>
          <t>EBIT</t>
        </is>
      </c>
      <c r="B9" s="17">
        <f>B7+B8</f>
        <v/>
      </c>
      <c r="C9" s="17">
        <f>C7+C8</f>
        <v/>
      </c>
      <c r="D9" s="17">
        <f>D7+D8</f>
        <v/>
      </c>
      <c r="E9" s="17">
        <f>E7+E8</f>
        <v/>
      </c>
      <c r="F9" s="17">
        <f>F7+F8</f>
        <v/>
      </c>
    </row>
    <row r="10">
      <c r="A10" s="6" t="inlineStr">
        <is>
          <t>NOPAT = EBIT × (1 − zakat/tax)</t>
        </is>
      </c>
      <c r="B10" s="17">
        <f>B9*(1-Assumptions!$B$7)</f>
        <v/>
      </c>
      <c r="C10" s="17">
        <f>C9*(1-Assumptions!$B$7)</f>
        <v/>
      </c>
      <c r="D10" s="17">
        <f>D9*(1-Assumptions!$B$7)</f>
        <v/>
      </c>
      <c r="E10" s="17">
        <f>E9*(1-Assumptions!$B$7)</f>
        <v/>
      </c>
      <c r="F10" s="17">
        <f>F9*(1-Assumptions!$B$7)</f>
        <v/>
      </c>
    </row>
    <row r="11">
      <c r="A11" s="6" t="inlineStr">
        <is>
          <t>+ D&amp;A</t>
        </is>
      </c>
      <c r="B11" s="17">
        <f>-B8</f>
        <v/>
      </c>
      <c r="C11" s="17">
        <f>-C8</f>
        <v/>
      </c>
      <c r="D11" s="17">
        <f>-D8</f>
        <v/>
      </c>
      <c r="E11" s="17">
        <f>-E8</f>
        <v/>
      </c>
      <c r="F11" s="17">
        <f>-F8</f>
        <v/>
      </c>
    </row>
    <row r="12">
      <c r="A12" s="6" t="inlineStr">
        <is>
          <t>− Capex</t>
        </is>
      </c>
      <c r="B12" s="17">
        <f>-B6*Assumptions!$C$62</f>
        <v/>
      </c>
      <c r="C12" s="17">
        <f>-C6*Assumptions!$D$62</f>
        <v/>
      </c>
      <c r="D12" s="17">
        <f>-D6*Assumptions!$E$62</f>
        <v/>
      </c>
      <c r="E12" s="17">
        <f>-E6*Assumptions!$F$62</f>
        <v/>
      </c>
      <c r="F12" s="17">
        <f>-F6*Assumptions!$G$62</f>
        <v/>
      </c>
    </row>
    <row r="13">
      <c r="A13" s="6" t="inlineStr">
        <is>
          <t>− Increase in net working capital</t>
        </is>
      </c>
      <c r="B13" s="17">
        <f>-B6*Assumptions!$C$63</f>
        <v/>
      </c>
      <c r="C13" s="17">
        <f>-C6*Assumptions!$D$63</f>
        <v/>
      </c>
      <c r="D13" s="17">
        <f>-D6*Assumptions!$E$63</f>
        <v/>
      </c>
      <c r="E13" s="17">
        <f>-E6*Assumptions!$F$63</f>
        <v/>
      </c>
      <c r="F13" s="17">
        <f>-F6*Assumptions!$G$63</f>
        <v/>
      </c>
    </row>
    <row r="14">
      <c r="A14" s="16" t="inlineStr">
        <is>
          <t>FCFF</t>
        </is>
      </c>
      <c r="B14" s="20">
        <f>SUM(B10:B13)</f>
        <v/>
      </c>
      <c r="C14" s="20">
        <f>SUM(C10:C13)</f>
        <v/>
      </c>
      <c r="D14" s="20">
        <f>SUM(D10:D13)</f>
        <v/>
      </c>
      <c r="E14" s="20">
        <f>SUM(E10:E13)</f>
        <v/>
      </c>
      <c r="F14" s="20">
        <f>SUM(F10:F13)</f>
        <v/>
      </c>
    </row>
    <row r="15">
      <c r="A15" s="6" t="inlineStr">
        <is>
          <t>Discount factor</t>
        </is>
      </c>
      <c r="B15" s="21">
        <f>1/(1+Assumptions!$B$19)^1</f>
        <v/>
      </c>
      <c r="C15" s="21">
        <f>1/(1+Assumptions!$B$19)^2</f>
        <v/>
      </c>
      <c r="D15" s="21">
        <f>1/(1+Assumptions!$B$19)^3</f>
        <v/>
      </c>
      <c r="E15" s="21">
        <f>1/(1+Assumptions!$B$19)^4</f>
        <v/>
      </c>
      <c r="F15" s="21">
        <f>1/(1+Assumptions!$B$19)^5</f>
        <v/>
      </c>
    </row>
    <row r="16">
      <c r="A16" s="16" t="inlineStr">
        <is>
          <t>PV of FCFF</t>
        </is>
      </c>
      <c r="B16" s="20">
        <f>B14*B15</f>
        <v/>
      </c>
      <c r="C16" s="20">
        <f>C14*C15</f>
        <v/>
      </c>
      <c r="D16" s="20">
        <f>D14*D15</f>
        <v/>
      </c>
      <c r="E16" s="20">
        <f>E14*E15</f>
        <v/>
      </c>
      <c r="F16" s="20">
        <f>F14*F15</f>
        <v/>
      </c>
    </row>
    <row r="18">
      <c r="A18" s="16" t="inlineStr">
        <is>
          <t>Σ PV of explicit FCFF (FY26–30E)</t>
        </is>
      </c>
      <c r="B18" s="20">
        <f>SUM(B16:F16)</f>
        <v/>
      </c>
    </row>
    <row r="19">
      <c r="A19" s="6" t="inlineStr">
        <is>
          <t>Terminal NOPAT</t>
        </is>
      </c>
      <c r="B19" s="17" t="n">
        <v>15407.07760876889</v>
      </c>
    </row>
    <row r="20">
      <c r="A20" s="6" t="inlineStr">
        <is>
          <t>+ book depreciation added back</t>
        </is>
      </c>
      <c r="B20" s="17" t="n">
        <v>11436.60312602409</v>
      </c>
    </row>
    <row r="21">
      <c r="A21" s="6" t="inlineStr">
        <is>
          <t>- maintenance at current cost (disclosed life 15.23 years)</t>
        </is>
      </c>
      <c r="B21" s="17" t="n">
        <v>-15461.02067352931</v>
      </c>
    </row>
    <row r="22">
      <c r="A22" s="6" t="inlineStr">
        <is>
          <t>- capital that real growth needs</t>
        </is>
      </c>
      <c r="B22" s="17" t="n">
        <v>0</v>
      </c>
    </row>
    <row r="23">
      <c r="A23" s="6" t="inlineStr">
        <is>
          <t>- inflation on working capital</t>
        </is>
      </c>
      <c r="B23" s="17" t="n">
        <v>-271.10088</v>
      </c>
    </row>
    <row r="24">
      <c r="A24" s="16" t="inlineStr">
        <is>
          <t>Terminal free cash flow</t>
        </is>
      </c>
      <c r="B24" s="20">
        <f>SUM(B19:B23)</f>
        <v/>
      </c>
    </row>
    <row r="25">
      <c r="A25" s="6" t="inlineStr">
        <is>
          <t>Terminal value</t>
        </is>
      </c>
      <c r="B25" s="17">
        <f>B24*(1+Assumptions!$B$20)/(Assumptions!$B$19-Assumptions!$B$20)</f>
        <v/>
      </c>
    </row>
    <row r="26">
      <c r="A26" s="6" t="inlineStr">
        <is>
          <t>PV of terminal value</t>
        </is>
      </c>
      <c r="B26" s="17">
        <f>B25*F15</f>
        <v/>
      </c>
    </row>
    <row r="27">
      <c r="A27" s="16" t="inlineStr">
        <is>
          <t>Enterprise value — core operations</t>
        </is>
      </c>
      <c r="B27" s="20">
        <f>B18+B26</f>
        <v/>
      </c>
    </row>
    <row r="28">
      <c r="A28" s="16" t="inlineStr">
        <is>
          <t>% terminal of enterprise value</t>
        </is>
      </c>
      <c r="B28" s="22">
        <f>B26/B27</f>
        <v/>
      </c>
    </row>
    <row r="29">
      <c r="A29" s="6" t="inlineStr">
        <is>
          <t>+ Investments in associates (DIIC/TAWAL 43.06%)</t>
        </is>
      </c>
      <c r="B29" s="17">
        <f>Assumptions!$B$22</f>
        <v/>
      </c>
    </row>
    <row r="30">
      <c r="A30" s="6" t="inlineStr">
        <is>
          <t>+ Telefónica 9.97% (market mark)</t>
        </is>
      </c>
      <c r="B30" s="17">
        <f>Assumptions!$B$23</f>
        <v/>
      </c>
    </row>
    <row r="31">
      <c r="A31" s="6" t="inlineStr">
        <is>
          <t>− Net debt, on the 30 June 2026 reviewed sheet</t>
        </is>
      </c>
      <c r="B31" s="17">
        <f>-Assumptions!$B$25</f>
        <v/>
      </c>
    </row>
    <row r="32">
      <c r="A32" s="6" t="inlineStr">
        <is>
          <t>− Non-controlling interests</t>
        </is>
      </c>
      <c r="B32" s="17">
        <f>-Assumptions!$B$26</f>
        <v/>
      </c>
    </row>
    <row r="33">
      <c r="A33" s="6" t="inlineStr">
        <is>
          <t>+ Investment funds and unlisted equity investments</t>
        </is>
      </c>
      <c r="B33" s="17">
        <f>Assumptions!$B$24</f>
        <v/>
      </c>
    </row>
    <row r="34">
      <c r="A34" s="16" t="inlineStr">
        <is>
          <t>Equity value</t>
        </is>
      </c>
      <c r="B34" s="20">
        <f>B27+Assumptions!$B$22+Assumptions!$B$23+Assumptions!$B$24-Assumptions!$B$25-Assumptions!$B$26</f>
        <v/>
      </c>
    </row>
    <row r="35">
      <c r="A35" s="16" t="inlineStr">
        <is>
          <t>DCF fair value per share (SAR)</t>
        </is>
      </c>
      <c r="B35" s="23">
        <f>B34/Assumptions!$B$6</f>
        <v/>
      </c>
    </row>
    <row r="36">
      <c r="A36" s="6" t="inlineStr">
        <is>
          <t>Upside / (downside) vs spot</t>
        </is>
      </c>
      <c r="B36" s="18">
        <f>B35/Assumptions!$B$5-1</f>
        <v/>
      </c>
    </row>
    <row r="38">
      <c r="A38" s="8" t="inlineStr">
        <is>
          <t>WACC is built on Assumptions as Ke = rf + β×ERP blended with after-tax Kd (§3.5-G); the alternative CDS-based WACC is on Assumptions row 88. Terminal value is disclosed as a share of enterprise value above rather than blended away.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Income statement (SAR mn, consolidated, continuing operations)</t>
        </is>
      </c>
      <c r="B1" s="2" t="n"/>
      <c r="C1" s="2" t="n"/>
      <c r="D1" s="2" t="n"/>
      <c r="E1" s="2" t="n"/>
      <c r="F1" s="2" t="n"/>
      <c r="G1" s="2" t="n"/>
      <c r="H1" s="2" t="n"/>
      <c r="I1" s="2" t="n"/>
      <c r="J1" s="2" t="n"/>
    </row>
    <row r="2">
      <c r="A2" s="4" t="inlineStr">
        <is>
          <t>FY23–FY25 as disclosed in stc IR releases, restated continuing-ops basis (blue); FY26E–FY30E formulas linked to Segments and Assumptions.</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6" t="inlineStr">
        <is>
          <t>Total revenue</t>
        </is>
      </c>
      <c r="B6" s="24" t="n">
        <v>71777</v>
      </c>
      <c r="C6" s="24" t="n">
        <v>75893</v>
      </c>
      <c r="D6" s="24" t="n">
        <v>77819</v>
      </c>
      <c r="E6" s="25">
        <f>Segments!E20</f>
        <v/>
      </c>
      <c r="F6" s="25">
        <f>Segments!F20</f>
        <v/>
      </c>
      <c r="G6" s="25">
        <f>Segments!G20</f>
        <v/>
      </c>
      <c r="H6" s="25">
        <f>Segments!H20</f>
        <v/>
      </c>
      <c r="I6" s="25">
        <f>Segments!I20</f>
        <v/>
      </c>
    </row>
    <row r="7">
      <c r="A7" s="6" t="inlineStr">
        <is>
          <t>Gross profit</t>
        </is>
      </c>
      <c r="B7" s="9" t="n">
        <v>34740</v>
      </c>
      <c r="C7" s="9" t="n">
        <v>37326</v>
      </c>
      <c r="D7" s="9" t="n">
        <v>37700</v>
      </c>
      <c r="E7" s="17">
        <f>E6*0.485</f>
        <v/>
      </c>
      <c r="F7" s="17">
        <f>F6*0.485</f>
        <v/>
      </c>
      <c r="G7" s="17">
        <f>G6*0.485</f>
        <v/>
      </c>
      <c r="H7" s="17">
        <f>H6*0.485</f>
        <v/>
      </c>
      <c r="I7" s="17">
        <f>I6*0.485</f>
        <v/>
      </c>
    </row>
    <row r="8">
      <c r="A8" s="6" t="inlineStr">
        <is>
          <t>Gross margin</t>
        </is>
      </c>
      <c r="B8" s="18">
        <f>B7/B6</f>
        <v/>
      </c>
      <c r="C8" s="18">
        <f>C7/C6</f>
        <v/>
      </c>
      <c r="D8" s="18">
        <f>D7/D6</f>
        <v/>
      </c>
      <c r="E8" s="18">
        <f>E7/E6</f>
        <v/>
      </c>
      <c r="F8" s="18">
        <f>F7/F6</f>
        <v/>
      </c>
      <c r="G8" s="18">
        <f>G7/G6</f>
        <v/>
      </c>
      <c r="H8" s="18">
        <f>H7/H6</f>
        <v/>
      </c>
      <c r="I8" s="18">
        <f>I7/I6</f>
        <v/>
      </c>
    </row>
    <row r="9">
      <c r="A9" s="16" t="inlineStr">
        <is>
          <t>EBITDA</t>
        </is>
      </c>
      <c r="B9" s="24" t="n">
        <v>22445</v>
      </c>
      <c r="C9" s="24" t="n">
        <v>23951</v>
      </c>
      <c r="D9" s="24" t="n">
        <v>24469</v>
      </c>
      <c r="E9" s="25">
        <f>Segments!E22</f>
        <v/>
      </c>
      <c r="F9" s="25">
        <f>Segments!F22</f>
        <v/>
      </c>
      <c r="G9" s="25">
        <f>Segments!G22</f>
        <v/>
      </c>
      <c r="H9" s="25">
        <f>Segments!H22</f>
        <v/>
      </c>
      <c r="I9" s="25">
        <f>Segments!I22</f>
        <v/>
      </c>
    </row>
    <row r="10">
      <c r="A10" s="6" t="inlineStr">
        <is>
          <t>EBITDA margin</t>
        </is>
      </c>
      <c r="B10" s="18">
        <f>B9/B6</f>
        <v/>
      </c>
      <c r="C10" s="18">
        <f>C9/C6</f>
        <v/>
      </c>
      <c r="D10" s="18">
        <f>D9/D6</f>
        <v/>
      </c>
      <c r="E10" s="18">
        <f>E9/E6</f>
        <v/>
      </c>
      <c r="F10" s="18">
        <f>F9/F6</f>
        <v/>
      </c>
      <c r="G10" s="18">
        <f>G9/G6</f>
        <v/>
      </c>
      <c r="H10" s="18">
        <f>H9/H6</f>
        <v/>
      </c>
      <c r="I10" s="18">
        <f>I9/I6</f>
        <v/>
      </c>
    </row>
    <row r="11">
      <c r="A11" s="6" t="inlineStr">
        <is>
          <t>Depreciation, amortisation &amp; impairment</t>
        </is>
      </c>
      <c r="B11" s="9" t="n">
        <v>-9284</v>
      </c>
      <c r="C11" s="9" t="n">
        <v>-9525</v>
      </c>
      <c r="D11" s="9" t="n">
        <v>-10031</v>
      </c>
      <c r="E11" s="17">
        <f>-E6*Assumptions!$C$61</f>
        <v/>
      </c>
      <c r="F11" s="17">
        <f>-F6*Assumptions!$D$61</f>
        <v/>
      </c>
      <c r="G11" s="17">
        <f>-G6*Assumptions!$E$61</f>
        <v/>
      </c>
      <c r="H11" s="17">
        <f>-H6*Assumptions!$F$61</f>
        <v/>
      </c>
      <c r="I11" s="17">
        <f>-I6*Assumptions!$G$61</f>
        <v/>
      </c>
    </row>
    <row r="12">
      <c r="A12" s="16" t="inlineStr">
        <is>
          <t>Operating profit (EBIT)</t>
        </is>
      </c>
      <c r="B12" s="24" t="n">
        <v>13161</v>
      </c>
      <c r="C12" s="24" t="n">
        <v>14426</v>
      </c>
      <c r="D12" s="24" t="n">
        <v>14438</v>
      </c>
      <c r="E12" s="20">
        <f>E9+E11</f>
        <v/>
      </c>
      <c r="F12" s="20">
        <f>F9+F11</f>
        <v/>
      </c>
      <c r="G12" s="20">
        <f>G9+G11</f>
        <v/>
      </c>
      <c r="H12" s="20">
        <f>H9+H11</f>
        <v/>
      </c>
      <c r="I12" s="20">
        <f>I9+I11</f>
        <v/>
      </c>
    </row>
    <row r="13">
      <c r="A13" s="6" t="inlineStr">
        <is>
          <t>Share of associates &amp; JVs + net finance &amp; other</t>
        </is>
      </c>
      <c r="B13" s="9" t="n">
        <v>1461</v>
      </c>
      <c r="C13" s="9" t="n">
        <v>899</v>
      </c>
      <c r="D13" s="9" t="n">
        <v>285</v>
      </c>
      <c r="E13" s="17">
        <f>Assumptions!$C$64+Assumptions!$C$65+Assumptions!$C$66</f>
        <v/>
      </c>
      <c r="F13" s="17">
        <f>Assumptions!$D$64+Assumptions!$D$65+Assumptions!$D$66</f>
        <v/>
      </c>
      <c r="G13" s="17">
        <f>Assumptions!$E$64+Assumptions!$E$65+Assumptions!$E$66</f>
        <v/>
      </c>
      <c r="H13" s="17">
        <f>Assumptions!$F$64+Assumptions!$F$65+Assumptions!$F$66</f>
        <v/>
      </c>
      <c r="I13" s="17">
        <f>Assumptions!$G$64+Assumptions!$G$65+Assumptions!$G$66</f>
        <v/>
      </c>
    </row>
    <row r="14">
      <c r="A14" s="16" t="inlineStr">
        <is>
          <t>Profit before zakat &amp; income tax</t>
        </is>
      </c>
      <c r="B14" s="20" t="n">
        <v>14622</v>
      </c>
      <c r="C14" s="20" t="n">
        <v>15325</v>
      </c>
      <c r="D14" s="20" t="n">
        <v>14723</v>
      </c>
      <c r="E14" s="20">
        <f>E12+E13</f>
        <v/>
      </c>
      <c r="F14" s="20">
        <f>F12+F13</f>
        <v/>
      </c>
      <c r="G14" s="20">
        <f>G12+G13</f>
        <v/>
      </c>
      <c r="H14" s="20">
        <f>H12+H13</f>
        <v/>
      </c>
      <c r="I14" s="20">
        <f>I12+I13</f>
        <v/>
      </c>
    </row>
    <row r="15">
      <c r="A15" s="6" t="inlineStr">
        <is>
          <t>Zakat &amp; income tax</t>
        </is>
      </c>
      <c r="B15" s="9" t="n">
        <v>-1327</v>
      </c>
      <c r="C15" s="9" t="n">
        <v>-1192</v>
      </c>
      <c r="D15" s="9" t="n">
        <v>466</v>
      </c>
      <c r="E15" s="17">
        <f>-E14*Assumptions!$B$7</f>
        <v/>
      </c>
      <c r="F15" s="17">
        <f>-F14*Assumptions!$B$7</f>
        <v/>
      </c>
      <c r="G15" s="17">
        <f>-G14*Assumptions!$B$7</f>
        <v/>
      </c>
      <c r="H15" s="17">
        <f>-H14*Assumptions!$B$7</f>
        <v/>
      </c>
      <c r="I15" s="17">
        <f>-I14*Assumptions!$B$7</f>
        <v/>
      </c>
    </row>
    <row r="16">
      <c r="A16" s="16" t="inlineStr">
        <is>
          <t>Profit from continuing operations</t>
        </is>
      </c>
      <c r="B16" s="20" t="n">
        <v>12660</v>
      </c>
      <c r="C16" s="20" t="n">
        <v>10942</v>
      </c>
      <c r="D16" s="20" t="n">
        <v>15189</v>
      </c>
      <c r="E16" s="20">
        <f>E14+E15</f>
        <v/>
      </c>
      <c r="F16" s="20">
        <f>F14+F15</f>
        <v/>
      </c>
      <c r="G16" s="20">
        <f>G14+G15</f>
        <v/>
      </c>
      <c r="H16" s="20">
        <f>H14+H15</f>
        <v/>
      </c>
      <c r="I16" s="20">
        <f>I14+I15</f>
        <v/>
      </c>
    </row>
    <row r="17">
      <c r="A17" s="6" t="inlineStr">
        <is>
          <t>Profit from discontinued operations</t>
        </is>
      </c>
      <c r="B17" s="9" t="n">
        <v>759</v>
      </c>
      <c r="C17" s="9" t="n">
        <v>13973</v>
      </c>
      <c r="D17" s="9" t="n">
        <v>0</v>
      </c>
      <c r="E17" s="17">
        <f>0</f>
        <v/>
      </c>
      <c r="F17" s="17">
        <f>0</f>
        <v/>
      </c>
      <c r="G17" s="17">
        <f>0</f>
        <v/>
      </c>
      <c r="H17" s="17">
        <f>0</f>
        <v/>
      </c>
      <c r="I17" s="17">
        <f>0</f>
        <v/>
      </c>
    </row>
    <row r="18">
      <c r="A18" s="6" t="inlineStr">
        <is>
          <t>Non-controlling interests</t>
        </is>
      </c>
      <c r="B18" s="9" t="n">
        <v>-124</v>
      </c>
      <c r="C18" s="9" t="n">
        <v>-226</v>
      </c>
      <c r="D18" s="9" t="n">
        <v>-361</v>
      </c>
      <c r="E18" s="17">
        <f>-(E16)*0.020206295602669237</f>
        <v/>
      </c>
      <c r="F18" s="17">
        <f>-(F16)*0.020206295602669237</f>
        <v/>
      </c>
      <c r="G18" s="17">
        <f>-(G16)*0.020206295602669237</f>
        <v/>
      </c>
      <c r="H18" s="17">
        <f>-(H16)*0.020206295602669237</f>
        <v/>
      </c>
      <c r="I18" s="17">
        <f>-(I16)*0.020206295602669237</f>
        <v/>
      </c>
    </row>
    <row r="19">
      <c r="A19" s="16" t="inlineStr">
        <is>
          <t>Net profit (attributable)</t>
        </is>
      </c>
      <c r="B19" s="24" t="n">
        <v>13295</v>
      </c>
      <c r="C19" s="24" t="n">
        <v>24689</v>
      </c>
      <c r="D19" s="24" t="n">
        <v>14828</v>
      </c>
      <c r="E19" s="20">
        <f>E16+E17+E18</f>
        <v/>
      </c>
      <c r="F19" s="20">
        <f>F16+F17+F18</f>
        <v/>
      </c>
      <c r="G19" s="20">
        <f>G16+G17+G18</f>
        <v/>
      </c>
      <c r="H19" s="20">
        <f>H16+H17+H18</f>
        <v/>
      </c>
      <c r="I19" s="20">
        <f>I16+I17+I18</f>
        <v/>
      </c>
    </row>
    <row r="20">
      <c r="A20" s="6" t="inlineStr">
        <is>
          <t>Net margin (attributable)</t>
        </is>
      </c>
      <c r="B20" s="18">
        <f>B19/B6</f>
        <v/>
      </c>
      <c r="C20" s="18">
        <f>C19/C6</f>
        <v/>
      </c>
      <c r="D20" s="18">
        <f>D19/D6</f>
        <v/>
      </c>
      <c r="E20" s="18">
        <f>E19/E6</f>
        <v/>
      </c>
      <c r="F20" s="18">
        <f>F19/F6</f>
        <v/>
      </c>
      <c r="G20" s="18">
        <f>G19/G6</f>
        <v/>
      </c>
      <c r="H20" s="18">
        <f>H19/H6</f>
        <v/>
      </c>
      <c r="I20" s="18">
        <f>I19/I6</f>
        <v/>
      </c>
    </row>
    <row r="21">
      <c r="A21" s="6" t="inlineStr">
        <is>
          <t>EPS (SAR)</t>
        </is>
      </c>
      <c r="B21" s="26">
        <f>B19/Assumptions!$B$6</f>
        <v/>
      </c>
      <c r="C21" s="26">
        <f>C19/Assumptions!$B$6</f>
        <v/>
      </c>
      <c r="D21" s="26">
        <f>D19/Assumptions!$B$6</f>
        <v/>
      </c>
      <c r="E21" s="26">
        <f>E19/Assumptions!$B$6</f>
        <v/>
      </c>
      <c r="F21" s="26">
        <f>F19/Assumptions!$B$6</f>
        <v/>
      </c>
      <c r="G21" s="26">
        <f>G19/Assumptions!$B$6</f>
        <v/>
      </c>
      <c r="H21" s="26">
        <f>H19/Assumptions!$B$6</f>
        <v/>
      </c>
      <c r="I21" s="26">
        <f>I19/Assumptions!$B$6</f>
        <v/>
      </c>
    </row>
    <row r="23">
      <c r="A23" s="8" t="inlineStr">
        <is>
          <t>Sources — the filings every figure above was read out of: audited consolidated financial statements for the year ended 31 December 2024; audited consolidated financial statements for the year ended 31 December 2025; reviewed condensed consolidated interim financial statements for the six months ended 30 June 2026; fourth-quarter and full-year 2025 earnings presentation; second-quarter and half-year 2026 earnings presentation — every one fetched from the company's own investor-relations archive. FY23/FY24 restated to continuing operations (TAWAL + Digital Infrastructure Co reclassified as discontinued; FY24 discontinued profit 13,973 incl. the SAR 12,885mn disposal gain). One-offs: FY23 AlKhobar land gain +1,296, WHT reversal +724, ERP −863; FY24 WHT reversal +1,500, ERP −2,577, BGSM impairment −764; FY25 zakat credit +466, ERP ≈ −824. "Share of associates + net finance &amp; other" is the residual bridging disclosed EBIT to disclosed profit before zakat — stc does not publish those lines separately in the IR release layout; the FY25 annual FS carries the full 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Balance sheet (SAR mn, consolidated)</t>
        </is>
      </c>
      <c r="B1" s="2" t="n"/>
      <c r="C1" s="2" t="n"/>
      <c r="D1" s="2" t="n"/>
      <c r="E1" s="2" t="n"/>
      <c r="F1" s="2" t="n"/>
      <c r="G1" s="2" t="n"/>
      <c r="H1" s="2" t="n"/>
      <c r="I1" s="2" t="n"/>
      <c r="J1" s="2" t="n"/>
    </row>
    <row r="2">
      <c r="A2" s="4" t="inlineStr">
        <is>
          <t>FY23–FY25 grouped from the company's own statements into one layout (blue). Forecast rolls forward clean-surplus; the check row is zero by construction.</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PP&amp;E, ROU, intangibles &amp; inv. property</t>
        </is>
      </c>
      <c r="B6" s="9" t="n">
        <v>92000</v>
      </c>
      <c r="C6" s="9" t="n">
        <v>95500</v>
      </c>
      <c r="D6" s="9" t="n">
        <v>126436</v>
      </c>
      <c r="E6" s="19">
        <f>D6+Segments!E20*Assumptions!$C$62+'Income Statement'!E11</f>
        <v/>
      </c>
      <c r="F6" s="19">
        <f>E6+Segments!F20*Assumptions!$D$62+'Income Statement'!F11</f>
        <v/>
      </c>
      <c r="G6" s="19">
        <f>F6+Segments!G20*Assumptions!$E$62+'Income Statement'!G11</f>
        <v/>
      </c>
      <c r="H6" s="19">
        <f>G6+Segments!H20*Assumptions!$F$62+'Income Statement'!H11</f>
        <v/>
      </c>
      <c r="I6" s="19">
        <f>H6+Segments!I20*Assumptions!$G$62+'Income Statement'!I11</f>
        <v/>
      </c>
    </row>
    <row r="7">
      <c r="A7" s="6" t="inlineStr">
        <is>
          <t>Investments in associates &amp; JVs</t>
        </is>
      </c>
      <c r="B7" s="9" t="n">
        <v>3800</v>
      </c>
      <c r="C7" s="9" t="n">
        <v>4200</v>
      </c>
      <c r="D7" s="9" t="n">
        <v>4641</v>
      </c>
      <c r="E7" s="17">
        <f>D7</f>
        <v/>
      </c>
      <c r="F7" s="17">
        <f>E7</f>
        <v/>
      </c>
      <c r="G7" s="17">
        <f>F7</f>
        <v/>
      </c>
      <c r="H7" s="17">
        <f>G7</f>
        <v/>
      </c>
      <c r="I7" s="17">
        <f>H7</f>
        <v/>
      </c>
    </row>
    <row r="8">
      <c r="A8" s="6" t="inlineStr">
        <is>
          <t>Financial assets (incl. Telefónica 9.97%)</t>
        </is>
      </c>
      <c r="B8" s="9" t="n">
        <v>22000</v>
      </c>
      <c r="C8" s="9" t="n">
        <v>23500</v>
      </c>
      <c r="D8" s="9" t="n">
        <v>24893</v>
      </c>
      <c r="E8" s="17">
        <f>D8</f>
        <v/>
      </c>
      <c r="F8" s="17">
        <f>E8</f>
        <v/>
      </c>
      <c r="G8" s="17">
        <f>F8</f>
        <v/>
      </c>
      <c r="H8" s="17">
        <f>G8</f>
        <v/>
      </c>
      <c r="I8" s="17">
        <f>H8</f>
        <v/>
      </c>
    </row>
    <row r="9">
      <c r="A9" s="6" t="inlineStr">
        <is>
          <t>Trade receivables, net</t>
        </is>
      </c>
      <c r="B9" s="9" t="n">
        <v>24500</v>
      </c>
      <c r="C9" s="9" t="n">
        <v>25800</v>
      </c>
      <c r="D9" s="9" t="n">
        <v>26727</v>
      </c>
      <c r="E9" s="19">
        <f>D9+Segments!E20*Assumptions!$C$63</f>
        <v/>
      </c>
      <c r="F9" s="19">
        <f>E9+Segments!F20*Assumptions!$D$63</f>
        <v/>
      </c>
      <c r="G9" s="19">
        <f>F9+Segments!G20*Assumptions!$E$63</f>
        <v/>
      </c>
      <c r="H9" s="19">
        <f>G9+Segments!H20*Assumptions!$F$63</f>
        <v/>
      </c>
      <c r="I9" s="19">
        <f>H9+Segments!I20*Assumptions!$G$63</f>
        <v/>
      </c>
    </row>
    <row r="10">
      <c r="A10" s="6" t="inlineStr">
        <is>
          <t>Cash, equivalents &amp; short-term murabahas</t>
        </is>
      </c>
      <c r="B10" s="9" t="n">
        <v>28138</v>
      </c>
      <c r="C10" s="9" t="n">
        <v>30755</v>
      </c>
      <c r="D10" s="9" t="n">
        <v>15108</v>
      </c>
      <c r="E10" s="19">
        <f>'Cash Flow'!E20</f>
        <v/>
      </c>
      <c r="F10" s="19">
        <f>'Cash Flow'!F20</f>
        <v/>
      </c>
      <c r="G10" s="19">
        <f>'Cash Flow'!G20</f>
        <v/>
      </c>
      <c r="H10" s="19">
        <f>'Cash Flow'!H20</f>
        <v/>
      </c>
      <c r="I10" s="19">
        <f>'Cash Flow'!I20</f>
        <v/>
      </c>
    </row>
    <row r="11">
      <c r="A11" s="6" t="inlineStr">
        <is>
          <t>Other assets</t>
        </is>
      </c>
      <c r="B11" s="17">
        <f>159646-B6-B7-B8-B9-B10</f>
        <v/>
      </c>
      <c r="C11" s="17">
        <f>160638-C6-C7-C8-C9-C10</f>
        <v/>
      </c>
      <c r="D11" s="9" t="n">
        <v>2952</v>
      </c>
      <c r="E11" s="17">
        <f>D11</f>
        <v/>
      </c>
      <c r="F11" s="17">
        <f>E11</f>
        <v/>
      </c>
      <c r="G11" s="17">
        <f>F11</f>
        <v/>
      </c>
      <c r="H11" s="17">
        <f>G11</f>
        <v/>
      </c>
      <c r="I11" s="17">
        <f>H11</f>
        <v/>
      </c>
    </row>
    <row r="12">
      <c r="A12" s="16" t="inlineStr">
        <is>
          <t>TOTAL ASSETS</t>
        </is>
      </c>
      <c r="B12" s="24" t="n">
        <v>159646</v>
      </c>
      <c r="C12" s="24" t="n">
        <v>160638</v>
      </c>
      <c r="D12" s="27">
        <f>SUM(D6:D11)</f>
        <v/>
      </c>
      <c r="E12" s="20">
        <f>SUM(E6:E11)</f>
        <v/>
      </c>
      <c r="F12" s="20">
        <f>SUM(F6:F11)</f>
        <v/>
      </c>
      <c r="G12" s="20">
        <f>SUM(G6:G11)</f>
        <v/>
      </c>
      <c r="H12" s="20">
        <f>SUM(H6:H11)</f>
        <v/>
      </c>
      <c r="I12" s="20">
        <f>SUM(I6:I11)</f>
        <v/>
      </c>
    </row>
    <row r="14">
      <c r="A14" s="6" t="inlineStr">
        <is>
          <t>Equity attributable to shareholders</t>
        </is>
      </c>
      <c r="B14" s="9" t="n">
        <v>78985</v>
      </c>
      <c r="C14" s="9" t="n">
        <v>89417</v>
      </c>
      <c r="D14" s="9" t="n">
        <v>83414</v>
      </c>
      <c r="E14" s="19">
        <f>D14+'Income Statement'!E19-Assumptions!$C$68*Assumptions!$B$6</f>
        <v/>
      </c>
      <c r="F14" s="19">
        <f>E14+'Income Statement'!F19-Assumptions!$D$68*Assumptions!$B$6</f>
        <v/>
      </c>
      <c r="G14" s="19">
        <f>F14+'Income Statement'!G19-Assumptions!$E$68*Assumptions!$B$6</f>
        <v/>
      </c>
      <c r="H14" s="19">
        <f>G14+'Income Statement'!H19-Assumptions!$F$68*Assumptions!$B$6</f>
        <v/>
      </c>
      <c r="I14" s="19">
        <f>H14+'Income Statement'!I19-Assumptions!$G$68*Assumptions!$B$6</f>
        <v/>
      </c>
    </row>
    <row r="15">
      <c r="A15" s="6" t="inlineStr">
        <is>
          <t>Non-controlling interests</t>
        </is>
      </c>
      <c r="B15" s="9" t="n">
        <v>2530</v>
      </c>
      <c r="C15" s="9" t="n">
        <v>3069</v>
      </c>
      <c r="D15" s="9" t="n">
        <v>3482</v>
      </c>
      <c r="E15" s="19">
        <f>D15-'Income Statement'!E18</f>
        <v/>
      </c>
      <c r="F15" s="19">
        <f>E15-'Income Statement'!F18</f>
        <v/>
      </c>
      <c r="G15" s="19">
        <f>F15-'Income Statement'!G18</f>
        <v/>
      </c>
      <c r="H15" s="19">
        <f>G15-'Income Statement'!H18</f>
        <v/>
      </c>
      <c r="I15" s="19">
        <f>H15-'Income Statement'!I18</f>
        <v/>
      </c>
    </row>
    <row r="16">
      <c r="A16" s="16" t="inlineStr">
        <is>
          <t>Total equity</t>
        </is>
      </c>
      <c r="B16" s="27">
        <f>B14+B15</f>
        <v/>
      </c>
      <c r="C16" s="27">
        <f>C14+C15</f>
        <v/>
      </c>
      <c r="D16" s="27">
        <f>D14+D15</f>
        <v/>
      </c>
      <c r="E16" s="20">
        <f>E14+E15</f>
        <v/>
      </c>
      <c r="F16" s="20">
        <f>F14+F15</f>
        <v/>
      </c>
      <c r="G16" s="20">
        <f>G14+G15</f>
        <v/>
      </c>
      <c r="H16" s="20">
        <f>H14+H15</f>
        <v/>
      </c>
      <c r="I16" s="20">
        <f>I14+I15</f>
        <v/>
      </c>
    </row>
    <row r="17">
      <c r="A17" s="6" t="inlineStr">
        <is>
          <t>Borrowings &amp; sukuk (excl. leases)</t>
        </is>
      </c>
      <c r="B17" s="9" t="n">
        <v>21958</v>
      </c>
      <c r="C17" s="9" t="n">
        <v>15132</v>
      </c>
      <c r="D17" s="9" t="n">
        <v>15191</v>
      </c>
      <c r="E17" s="17">
        <f>D17+7284</f>
        <v/>
      </c>
      <c r="F17" s="17">
        <f>E17</f>
        <v/>
      </c>
      <c r="G17" s="17">
        <f>F17</f>
        <v/>
      </c>
      <c r="H17" s="17">
        <f>G17</f>
        <v/>
      </c>
      <c r="I17" s="17">
        <f>H17</f>
        <v/>
      </c>
    </row>
    <row r="18">
      <c r="A18" s="6" t="inlineStr">
        <is>
          <t>Lease liabilities</t>
        </is>
      </c>
      <c r="B18" s="9" t="n">
        <v>6985</v>
      </c>
      <c r="C18" s="9" t="n">
        <v>4580</v>
      </c>
      <c r="D18" s="9" t="n">
        <v>2253</v>
      </c>
      <c r="E18" s="17">
        <f>D18</f>
        <v/>
      </c>
      <c r="F18" s="17">
        <f>E18</f>
        <v/>
      </c>
      <c r="G18" s="17">
        <f>F18</f>
        <v/>
      </c>
      <c r="H18" s="17">
        <f>G18</f>
        <v/>
      </c>
      <c r="I18" s="17">
        <f>H18</f>
        <v/>
      </c>
    </row>
    <row r="19">
      <c r="A19" s="6" t="inlineStr">
        <is>
          <t>Trade payables &amp; financial liabilities</t>
        </is>
      </c>
      <c r="B19" s="9" t="n">
        <v>26000</v>
      </c>
      <c r="C19" s="9" t="n">
        <v>27500</v>
      </c>
      <c r="D19" s="9" t="n">
        <v>29610</v>
      </c>
      <c r="E19" s="17">
        <f>D19</f>
        <v/>
      </c>
      <c r="F19" s="17">
        <f>E19</f>
        <v/>
      </c>
      <c r="G19" s="17">
        <f>F19</f>
        <v/>
      </c>
      <c r="H19" s="17">
        <f>G19</f>
        <v/>
      </c>
      <c r="I19" s="17">
        <f>H19</f>
        <v/>
      </c>
    </row>
    <row r="20">
      <c r="A20" s="6" t="inlineStr">
        <is>
          <t>Zakat payable, provisions &amp; other liabilities</t>
        </is>
      </c>
      <c r="B20" s="17">
        <f>159646-B16-B17-B18-B19</f>
        <v/>
      </c>
      <c r="C20" s="17">
        <f>160638-C16-C17-C18-C19</f>
        <v/>
      </c>
      <c r="D20" s="9" t="n">
        <v>14876</v>
      </c>
      <c r="E20" s="17">
        <f>D20</f>
        <v/>
      </c>
      <c r="F20" s="17">
        <f>E20</f>
        <v/>
      </c>
      <c r="G20" s="17">
        <f>F20</f>
        <v/>
      </c>
      <c r="H20" s="17">
        <f>G20</f>
        <v/>
      </c>
      <c r="I20" s="17">
        <f>H20</f>
        <v/>
      </c>
    </row>
    <row r="21">
      <c r="A21" s="16" t="inlineStr">
        <is>
          <t>TOTAL EQUITY &amp; LIABILITIES</t>
        </is>
      </c>
      <c r="B21" s="27">
        <f>B16+B17+B18+B19+B20</f>
        <v/>
      </c>
      <c r="C21" s="27">
        <f>C16+C17+C18+C19+C20</f>
        <v/>
      </c>
      <c r="D21" s="27">
        <f>D16+D17+D18+D19+D20</f>
        <v/>
      </c>
      <c r="E21" s="20">
        <f>E16+E17+E18+E19+E20</f>
        <v/>
      </c>
      <c r="F21" s="20">
        <f>F16+F17+F18+F19+F20</f>
        <v/>
      </c>
      <c r="G21" s="20">
        <f>G16+G17+G18+G19+G20</f>
        <v/>
      </c>
      <c r="H21" s="20">
        <f>H16+H17+H18+H19+H20</f>
        <v/>
      </c>
      <c r="I21" s="20">
        <f>I16+I17+I18+I19+I20</f>
        <v/>
      </c>
    </row>
    <row r="23">
      <c r="A23" s="16" t="inlineStr">
        <is>
          <t>Balance check (assets − L&amp;E)</t>
        </is>
      </c>
      <c r="B23" s="28">
        <f>B12-B21</f>
        <v/>
      </c>
      <c r="C23" s="28">
        <f>C12-C21</f>
        <v/>
      </c>
      <c r="D23" s="28">
        <f>D12-D21</f>
        <v/>
      </c>
      <c r="E23" s="20">
        <f>E12-E21</f>
        <v/>
      </c>
      <c r="F23" s="20">
        <f>F12-F21</f>
        <v/>
      </c>
      <c r="G23" s="20">
        <f>G12-G21</f>
        <v/>
      </c>
      <c r="H23" s="20">
        <f>H12-H21</f>
        <v/>
      </c>
      <c r="I23" s="20">
        <f>I12-I21</f>
        <v/>
      </c>
    </row>
    <row r="24">
      <c r="A24" s="6" t="inlineStr">
        <is>
          <t>Net debt — IR basis (borrowings − cash, group def.)</t>
        </is>
      </c>
      <c r="B24" s="28">
        <f>B17-B10</f>
        <v/>
      </c>
      <c r="C24" s="28">
        <f>C17-C10</f>
        <v/>
      </c>
      <c r="D24" s="28">
        <f>D17-D10</f>
        <v/>
      </c>
      <c r="E24" s="17">
        <f>E17-E10</f>
        <v/>
      </c>
      <c r="F24" s="17">
        <f>F17-F10</f>
        <v/>
      </c>
      <c r="G24" s="17">
        <f>G17-G10</f>
        <v/>
      </c>
      <c r="H24" s="17">
        <f>H17-H10</f>
        <v/>
      </c>
      <c r="I24" s="17">
        <f>I17-I10</f>
        <v/>
      </c>
    </row>
    <row r="26">
      <c r="A26" s="8" t="inlineStr">
        <is>
          <t>Historic mapping: the FY2025 line detail is grouped from that year's own audited statements (property and equipment, right-of-use assets, intangibles and investment property into one line; cash and short-term murabahas into another). FY23/FY24 detail lines are groupings that reconcile to the disclosed totals (blue totals are as disclosed); "Other" lines are the balancing items against those totals, shown as formulas so a reader can see them close. FY26E borrowings step up SAR +7,284mn = the Jan-2026 $2bn sukuk (net of FY26 amortisation) — thereafter gross debt held flat. Two cash framings exist (FS 21,442 incl. stc bank vs IR 15,412 core): the model rolls the FS-basis cash from FY25’s 15,108 (cash + murabaha) and states the IR basis in the net-debt memo.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Cash flow (SAR mn, forecast)</t>
        </is>
      </c>
      <c r="B1" s="2" t="n"/>
      <c r="C1" s="2" t="n"/>
      <c r="D1" s="2" t="n"/>
      <c r="E1" s="2" t="n"/>
      <c r="F1" s="2" t="n"/>
      <c r="G1" s="2" t="n"/>
      <c r="H1" s="2" t="n"/>
      <c r="I1" s="2" t="n"/>
      <c r="J1" s="2" t="n"/>
    </row>
    <row r="2">
      <c r="A2" s="4" t="inlineStr">
        <is>
          <t>Derived from the Income Statement and Balance Sheet; closing cash ties to the Balance Sheet, so the check row is zero.</t>
        </is>
      </c>
    </row>
    <row r="4">
      <c r="D4" s="5" t="inlineStr"/>
      <c r="E4" s="5" t="inlineStr">
        <is>
          <t>FY26E</t>
        </is>
      </c>
      <c r="F4" s="5" t="inlineStr">
        <is>
          <t>FY27E</t>
        </is>
      </c>
      <c r="G4" s="5" t="inlineStr">
        <is>
          <t>FY28E</t>
        </is>
      </c>
      <c r="H4" s="5" t="inlineStr">
        <is>
          <t>FY29E</t>
        </is>
      </c>
      <c r="I4" s="5" t="inlineStr">
        <is>
          <t>FY30E</t>
        </is>
      </c>
    </row>
    <row r="6">
      <c r="A6" s="6" t="inlineStr">
        <is>
          <t>Profit for the period (incl. NCI)</t>
        </is>
      </c>
      <c r="E6" s="19">
        <f>'Income Statement'!E16</f>
        <v/>
      </c>
      <c r="F6" s="19">
        <f>'Income Statement'!F16</f>
        <v/>
      </c>
      <c r="G6" s="19">
        <f>'Income Statement'!G16</f>
        <v/>
      </c>
      <c r="H6" s="19">
        <f>'Income Statement'!H16</f>
        <v/>
      </c>
      <c r="I6" s="19">
        <f>'Income Statement'!I16</f>
        <v/>
      </c>
    </row>
    <row r="7">
      <c r="A7" s="6" t="inlineStr">
        <is>
          <t>+ D&amp;A</t>
        </is>
      </c>
      <c r="E7" s="19">
        <f>-'Income Statement'!E11</f>
        <v/>
      </c>
      <c r="F7" s="19">
        <f>-'Income Statement'!F11</f>
        <v/>
      </c>
      <c r="G7" s="19">
        <f>-'Income Statement'!G11</f>
        <v/>
      </c>
      <c r="H7" s="19">
        <f>-'Income Statement'!H11</f>
        <v/>
      </c>
      <c r="I7" s="19">
        <f>-'Income Statement'!I11</f>
        <v/>
      </c>
    </row>
    <row r="8">
      <c r="A8" s="6" t="inlineStr">
        <is>
          <t>− Increase in trade receivables (ΔWC)</t>
        </is>
      </c>
      <c r="E8" s="19">
        <f>-(('Balance Sheet'!E9)-('Balance Sheet'!D9))</f>
        <v/>
      </c>
      <c r="F8" s="19">
        <f>-(('Balance Sheet'!F9)-('Balance Sheet'!E9))</f>
        <v/>
      </c>
      <c r="G8" s="19">
        <f>-(('Balance Sheet'!G9)-('Balance Sheet'!F9))</f>
        <v/>
      </c>
      <c r="H8" s="19">
        <f>-(('Balance Sheet'!H9)-('Balance Sheet'!G9))</f>
        <v/>
      </c>
      <c r="I8" s="19">
        <f>-(('Balance Sheet'!I9)-('Balance Sheet'!H9))</f>
        <v/>
      </c>
    </row>
    <row r="9">
      <c r="A9" s="16" t="inlineStr">
        <is>
          <t>Operating cash flow</t>
        </is>
      </c>
      <c r="E9" s="20">
        <f>SUM(E6:E8)</f>
        <v/>
      </c>
      <c r="F9" s="20">
        <f>SUM(F6:F8)</f>
        <v/>
      </c>
      <c r="G9" s="20">
        <f>SUM(G6:G8)</f>
        <v/>
      </c>
      <c r="H9" s="20">
        <f>SUM(H6:H8)</f>
        <v/>
      </c>
      <c r="I9" s="20">
        <f>SUM(I6:I8)</f>
        <v/>
      </c>
    </row>
    <row r="10">
      <c r="A10" s="6" t="inlineStr">
        <is>
          <t>− Capex</t>
        </is>
      </c>
      <c r="E10" s="19">
        <f>-Segments!E20*Assumptions!$C$62</f>
        <v/>
      </c>
      <c r="F10" s="19">
        <f>-Segments!F20*Assumptions!$D$62</f>
        <v/>
      </c>
      <c r="G10" s="19">
        <f>-Segments!G20*Assumptions!$E$62</f>
        <v/>
      </c>
      <c r="H10" s="19">
        <f>-Segments!H20*Assumptions!$F$62</f>
        <v/>
      </c>
      <c r="I10" s="19">
        <f>-Segments!I20*Assumptions!$G$62</f>
        <v/>
      </c>
    </row>
    <row r="11">
      <c r="A11" s="16" t="inlineStr">
        <is>
          <t>Free cash flow</t>
        </is>
      </c>
      <c r="E11" s="20">
        <f>E9+E10</f>
        <v/>
      </c>
      <c r="F11" s="20">
        <f>F9+F10</f>
        <v/>
      </c>
      <c r="G11" s="20">
        <f>G9+G10</f>
        <v/>
      </c>
      <c r="H11" s="20">
        <f>H9+H10</f>
        <v/>
      </c>
      <c r="I11" s="20">
        <f>I9+I10</f>
        <v/>
      </c>
    </row>
    <row r="12">
      <c r="A12" s="6" t="inlineStr">
        <is>
          <t>+ Increase in borrowings (net)</t>
        </is>
      </c>
      <c r="E12" s="17">
        <f>7284</f>
        <v/>
      </c>
      <c r="F12" s="17">
        <f>0</f>
        <v/>
      </c>
      <c r="G12" s="17">
        <f>0</f>
        <v/>
      </c>
      <c r="H12" s="17">
        <f>0</f>
        <v/>
      </c>
      <c r="I12" s="17">
        <f>0</f>
        <v/>
      </c>
    </row>
    <row r="13">
      <c r="A13" s="6" t="inlineStr">
        <is>
          <t>− Dividends paid (attributable)</t>
        </is>
      </c>
      <c r="E13" s="19">
        <f>-Assumptions!$C$68*Assumptions!$B$6</f>
        <v/>
      </c>
      <c r="F13" s="19">
        <f>-Assumptions!$D$68*Assumptions!$B$6</f>
        <v/>
      </c>
      <c r="G13" s="19">
        <f>-Assumptions!$E$68*Assumptions!$B$6</f>
        <v/>
      </c>
      <c r="H13" s="19">
        <f>-Assumptions!$F$68*Assumptions!$B$6</f>
        <v/>
      </c>
      <c r="I13" s="19">
        <f>-Assumptions!$G$68*Assumptions!$B$6</f>
        <v/>
      </c>
    </row>
    <row r="14">
      <c r="A14" s="16" t="inlineStr">
        <is>
          <t>Net change in cash</t>
        </is>
      </c>
      <c r="E14" s="20">
        <f>E11+E12+E13</f>
        <v/>
      </c>
      <c r="F14" s="20">
        <f>F11+F12+F13</f>
        <v/>
      </c>
      <c r="G14" s="20">
        <f>G11+G12+G13</f>
        <v/>
      </c>
      <c r="H14" s="20">
        <f>H11+H12+H13</f>
        <v/>
      </c>
      <c r="I14" s="20">
        <f>I11+I12+I13</f>
        <v/>
      </c>
    </row>
    <row r="15">
      <c r="A15" s="6" t="inlineStr">
        <is>
          <t>Opening cash</t>
        </is>
      </c>
      <c r="E15" s="19">
        <f>'Balance Sheet'!D10</f>
        <v/>
      </c>
      <c r="F15" s="17">
        <f>E16</f>
        <v/>
      </c>
      <c r="G15" s="17">
        <f>F16</f>
        <v/>
      </c>
      <c r="H15" s="17">
        <f>G16</f>
        <v/>
      </c>
      <c r="I15" s="17">
        <f>H16</f>
        <v/>
      </c>
    </row>
    <row r="16">
      <c r="A16" s="16" t="inlineStr">
        <is>
          <t>Closing cash</t>
        </is>
      </c>
      <c r="E16" s="20">
        <f>E15+E14</f>
        <v/>
      </c>
      <c r="F16" s="20">
        <f>F15+F14</f>
        <v/>
      </c>
      <c r="G16" s="20">
        <f>G15+G14</f>
        <v/>
      </c>
      <c r="H16" s="20">
        <f>H15+H14</f>
        <v/>
      </c>
      <c r="I16" s="20">
        <f>I15+I14</f>
        <v/>
      </c>
    </row>
    <row r="18">
      <c r="A18" s="8" t="inlineStr">
        <is>
          <t>NCI profit is retained (no NCI dividend modelled — solutions’ minority dividend leakage is inside "net finance &amp; other"). Historical group cash flows: OCF 22,418 / 19,885 / 18,283 and FCF 12,628 / 7,959 / 6,488 (FY23/24/25, stc IR releases; restated). The FY26E borrowings line is the Jan-2026 sukuk already completed.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Summary financials (SAR mn)</t>
        </is>
      </c>
      <c r="B1" s="2" t="n"/>
      <c r="C1" s="2" t="n"/>
      <c r="D1" s="2" t="n"/>
      <c r="E1" s="2" t="n"/>
      <c r="F1" s="2" t="n"/>
      <c r="G1" s="2" t="n"/>
      <c r="H1" s="2" t="n"/>
      <c r="I1" s="2" t="n"/>
      <c r="J1" s="2" t="n"/>
    </row>
    <row r="2">
      <c r="A2" s="4" t="inlineStr">
        <is>
          <t>Every cell links to the statement sheets.</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7" t="inlineStr">
        <is>
          <t>Revenue</t>
        </is>
      </c>
      <c r="B6" s="19">
        <f>'Income Statement'!B6</f>
        <v/>
      </c>
      <c r="C6" s="19">
        <f>'Income Statement'!C6</f>
        <v/>
      </c>
      <c r="D6" s="19">
        <f>'Income Statement'!D6</f>
        <v/>
      </c>
      <c r="E6" s="19">
        <f>'Income Statement'!E6</f>
        <v/>
      </c>
      <c r="F6" s="19">
        <f>'Income Statement'!F6</f>
        <v/>
      </c>
      <c r="G6" s="19">
        <f>'Income Statement'!G6</f>
        <v/>
      </c>
      <c r="H6" s="19">
        <f>'Income Statement'!H6</f>
        <v/>
      </c>
      <c r="I6" s="19">
        <f>'Income Statement'!I6</f>
        <v/>
      </c>
    </row>
    <row r="7">
      <c r="A7" s="17" t="inlineStr">
        <is>
          <t>EBITDA</t>
        </is>
      </c>
      <c r="B7" s="19">
        <f>'Income Statement'!B9</f>
        <v/>
      </c>
      <c r="C7" s="19">
        <f>'Income Statement'!C9</f>
        <v/>
      </c>
      <c r="D7" s="19">
        <f>'Income Statement'!D9</f>
        <v/>
      </c>
      <c r="E7" s="19">
        <f>'Income Statement'!E9</f>
        <v/>
      </c>
      <c r="F7" s="19">
        <f>'Income Statement'!F9</f>
        <v/>
      </c>
      <c r="G7" s="19">
        <f>'Income Statement'!G9</f>
        <v/>
      </c>
      <c r="H7" s="19">
        <f>'Income Statement'!H9</f>
        <v/>
      </c>
      <c r="I7" s="19">
        <f>'Income Statement'!I9</f>
        <v/>
      </c>
    </row>
    <row r="8">
      <c r="A8" s="17" t="inlineStr">
        <is>
          <t>EBIT</t>
        </is>
      </c>
      <c r="B8" s="19">
        <f>'Income Statement'!B12</f>
        <v/>
      </c>
      <c r="C8" s="19">
        <f>'Income Statement'!C12</f>
        <v/>
      </c>
      <c r="D8" s="19">
        <f>'Income Statement'!D12</f>
        <v/>
      </c>
      <c r="E8" s="19">
        <f>'Income Statement'!E12</f>
        <v/>
      </c>
      <c r="F8" s="19">
        <f>'Income Statement'!F12</f>
        <v/>
      </c>
      <c r="G8" s="19">
        <f>'Income Statement'!G12</f>
        <v/>
      </c>
      <c r="H8" s="19">
        <f>'Income Statement'!H12</f>
        <v/>
      </c>
      <c r="I8" s="19">
        <f>'Income Statement'!I12</f>
        <v/>
      </c>
    </row>
    <row r="9">
      <c r="A9" s="17" t="inlineStr">
        <is>
          <t>Net profit (attributable)</t>
        </is>
      </c>
      <c r="B9" s="19">
        <f>'Income Statement'!B19</f>
        <v/>
      </c>
      <c r="C9" s="19">
        <f>'Income Statement'!C19</f>
        <v/>
      </c>
      <c r="D9" s="19">
        <f>'Income Statement'!D19</f>
        <v/>
      </c>
      <c r="E9" s="19">
        <f>'Income Statement'!E19</f>
        <v/>
      </c>
      <c r="F9" s="19">
        <f>'Income Statement'!F19</f>
        <v/>
      </c>
      <c r="G9" s="19">
        <f>'Income Statement'!G19</f>
        <v/>
      </c>
      <c r="H9" s="19">
        <f>'Income Statement'!H19</f>
        <v/>
      </c>
      <c r="I9" s="19">
        <f>'Income Statement'!I19</f>
        <v/>
      </c>
    </row>
    <row r="10">
      <c r="A10" s="17" t="inlineStr">
        <is>
          <t>Total assets</t>
        </is>
      </c>
      <c r="B10" s="19">
        <f>'Balance Sheet'!B12</f>
        <v/>
      </c>
      <c r="C10" s="19">
        <f>'Balance Sheet'!C12</f>
        <v/>
      </c>
      <c r="D10" s="19">
        <f>'Balance Sheet'!D12</f>
        <v/>
      </c>
      <c r="E10" s="19">
        <f>'Balance Sheet'!E12</f>
        <v/>
      </c>
      <c r="F10" s="19">
        <f>'Balance Sheet'!F12</f>
        <v/>
      </c>
      <c r="G10" s="19">
        <f>'Balance Sheet'!G12</f>
        <v/>
      </c>
      <c r="H10" s="19">
        <f>'Balance Sheet'!H12</f>
        <v/>
      </c>
      <c r="I10" s="19">
        <f>'Balance Sheet'!I12</f>
        <v/>
      </c>
    </row>
    <row r="11">
      <c r="A11" s="17" t="inlineStr">
        <is>
          <t>Total equity</t>
        </is>
      </c>
      <c r="B11" s="19">
        <f>'Balance Sheet'!B16</f>
        <v/>
      </c>
      <c r="C11" s="19">
        <f>'Balance Sheet'!C16</f>
        <v/>
      </c>
      <c r="D11" s="19">
        <f>'Balance Sheet'!D16</f>
        <v/>
      </c>
      <c r="E11" s="19">
        <f>'Balance Sheet'!E16</f>
        <v/>
      </c>
      <c r="F11" s="19">
        <f>'Balance Sheet'!F16</f>
        <v/>
      </c>
      <c r="G11" s="19">
        <f>'Balance Sheet'!G16</f>
        <v/>
      </c>
      <c r="H11" s="19">
        <f>'Balance Sheet'!H16</f>
        <v/>
      </c>
      <c r="I11" s="19">
        <f>'Balance Sheet'!I16</f>
        <v/>
      </c>
    </row>
    <row r="12">
      <c r="A12" s="17" t="inlineStr">
        <is>
          <t>Net debt (IR basis)</t>
        </is>
      </c>
      <c r="B12" s="19">
        <f>'Balance Sheet'!B24</f>
        <v/>
      </c>
      <c r="C12" s="19">
        <f>'Balance Sheet'!C24</f>
        <v/>
      </c>
      <c r="D12" s="19">
        <f>'Balance Sheet'!D24</f>
        <v/>
      </c>
      <c r="E12" s="19">
        <f>'Balance Sheet'!E24</f>
        <v/>
      </c>
      <c r="F12" s="19">
        <f>'Balance Sheet'!F24</f>
        <v/>
      </c>
      <c r="G12" s="19">
        <f>'Balance Sheet'!G24</f>
        <v/>
      </c>
      <c r="H12" s="19">
        <f>'Balance Sheet'!H24</f>
        <v/>
      </c>
      <c r="I12" s="19">
        <f>'Balance Sheet'!I24</f>
        <v/>
      </c>
    </row>
    <row r="13">
      <c r="A13" s="17" t="inlineStr">
        <is>
          <t>Free cash flow (forecast)</t>
        </is>
      </c>
      <c r="E13" s="19">
        <f>'Cash Flow'!E11</f>
        <v/>
      </c>
      <c r="F13" s="19">
        <f>'Cash Flow'!F11</f>
        <v/>
      </c>
      <c r="G13" s="19">
        <f>'Cash Flow'!G11</f>
        <v/>
      </c>
      <c r="H13" s="19">
        <f>'Cash Flow'!H11</f>
        <v/>
      </c>
      <c r="I13" s="19">
        <f>'Cash Flow'!I11</f>
        <v/>
      </c>
    </row>
    <row r="14">
      <c r="A14" s="6" t="inlineStr">
        <is>
          <t>Free cash flow (historical, disclosed)</t>
        </is>
      </c>
      <c r="B14" s="9" t="n">
        <v>12628</v>
      </c>
      <c r="C14" s="9" t="n">
        <v>7959</v>
      </c>
      <c r="D14" s="9" t="n">
        <v>6488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Monte Carlo — the price cone as the engine struck it</t>
        </is>
      </c>
      <c r="B1" s="2" t="n"/>
      <c r="C1" s="2" t="n"/>
      <c r="D1" s="2" t="n"/>
      <c r="E1" s="2" t="n"/>
      <c r="F1" s="2" t="n"/>
      <c r="G1" s="2" t="n"/>
      <c r="H1" s="2" t="n"/>
    </row>
    <row r="2">
      <c r="A2" s="4" t="inlineStr">
        <is>
          <t>50,000 paths, seed 42, computed by the engine itself rather than simulated in this sheet. The distribution carries a live momentum lean, upward, worth 0.13% at one month and 0.24% at three.</t>
        </is>
      </c>
    </row>
    <row r="5">
      <c r="A5" s="34" t="inlineStr">
        <is>
          <t>The probability read (3 months)</t>
        </is>
      </c>
    </row>
    <row r="6">
      <c r="A6" s="17" t="inlineStr">
        <is>
          <t>P(price above spot)</t>
        </is>
      </c>
      <c r="B6" s="18" t="n">
        <v>0.56274</v>
      </c>
    </row>
    <row r="7">
      <c r="A7" s="17" t="inlineStr">
        <is>
          <t>P(+10%) vs P(−10%) — odds</t>
        </is>
      </c>
      <c r="B7" s="35" t="inlineStr">
        <is>
          <t>16% vs 8% · 2.0:1</t>
        </is>
      </c>
    </row>
    <row r="8">
      <c r="A8" s="17" t="inlineStr">
        <is>
          <t>Median level (SAR) and % move</t>
        </is>
      </c>
      <c r="B8" s="35" t="inlineStr">
        <is>
          <t>45.30 (+1.3%)</t>
        </is>
      </c>
    </row>
    <row r="9">
      <c r="A9" s="17" t="inlineStr">
        <is>
          <t>50% band (25th–75th)</t>
        </is>
      </c>
      <c r="B9" s="35" t="inlineStr">
        <is>
          <t>42.9 – 47.9  (-4.2% / +7.0%)</t>
        </is>
      </c>
    </row>
    <row r="10">
      <c r="A10" s="17" t="inlineStr">
        <is>
          <t>Touch(+10%) / touch(−10%)</t>
        </is>
      </c>
      <c r="B10" s="35" t="inlineStr">
        <is>
          <t>27% / 16%</t>
        </is>
      </c>
    </row>
    <row r="12">
      <c r="A12" s="5" t="inlineStr">
        <is>
          <t>Percentile map (SAR/share)</t>
        </is>
      </c>
    </row>
    <row r="13">
      <c r="A13" s="5" t="inlineStr">
        <is>
          <t>Horizon</t>
        </is>
      </c>
      <c r="B13" s="5" t="inlineStr">
        <is>
          <t>p5</t>
        </is>
      </c>
      <c r="C13" s="5" t="inlineStr">
        <is>
          <t>p25</t>
        </is>
      </c>
      <c r="D13" s="5" t="inlineStr">
        <is>
          <t>p50</t>
        </is>
      </c>
      <c r="E13" s="5" t="inlineStr">
        <is>
          <t>p75</t>
        </is>
      </c>
      <c r="F13" s="5" t="inlineStr">
        <is>
          <t>p95</t>
        </is>
      </c>
    </row>
    <row r="14">
      <c r="A14" s="17" t="inlineStr">
        <is>
          <t>1 month</t>
        </is>
      </c>
      <c r="B14" s="26" t="n">
        <v>41.7</v>
      </c>
      <c r="C14" s="26" t="n">
        <v>43.6</v>
      </c>
      <c r="D14" s="26" t="n">
        <v>44.9</v>
      </c>
      <c r="E14" s="26" t="n">
        <v>46.3</v>
      </c>
      <c r="F14" s="26" t="n">
        <v>48.5</v>
      </c>
    </row>
    <row r="15">
      <c r="A15" s="17" t="inlineStr">
        <is>
          <t>3 months</t>
        </is>
      </c>
      <c r="B15" s="26" t="n">
        <v>39.3</v>
      </c>
      <c r="C15" s="26" t="n">
        <v>42.9</v>
      </c>
      <c r="D15" s="26" t="n">
        <v>45.3</v>
      </c>
      <c r="E15" s="26" t="n">
        <v>47.9</v>
      </c>
      <c r="F15" s="26" t="n">
        <v>52.2</v>
      </c>
    </row>
    <row r="17">
      <c r="A17" s="5" t="inlineStr">
        <is>
          <t>Engine inputs (from Assumptions)</t>
        </is>
      </c>
    </row>
    <row r="18">
      <c r="A18" s="17" t="inlineStr">
        <is>
          <t>Forward volatility over three months (annualised)</t>
        </is>
      </c>
      <c r="B18" s="31">
        <f>Assumptions!$B$39</f>
        <v/>
      </c>
    </row>
    <row r="19">
      <c r="A19" s="17" t="inlineStr">
        <is>
          <t>Momentum lean applied over three months</t>
        </is>
      </c>
      <c r="B19" s="31">
        <f>Assumptions!$B$41</f>
        <v/>
      </c>
    </row>
    <row r="21">
      <c r="A21" s="5" t="inlineStr">
        <is>
          <t>Level-touch ladder (probability of touching by horizon)</t>
        </is>
      </c>
    </row>
    <row r="22">
      <c r="A22" s="5" t="inlineStr">
        <is>
          <t>Level (SAR)</t>
        </is>
      </c>
      <c r="B22" s="5" t="inlineStr">
        <is>
          <t>1 month</t>
        </is>
      </c>
      <c r="C22" s="5" t="inlineStr">
        <is>
          <t>3 months</t>
        </is>
      </c>
    </row>
    <row r="23">
      <c r="A23" s="26" t="n">
        <v>50</v>
      </c>
      <c r="B23" s="18" t="n">
        <v>0.01846</v>
      </c>
      <c r="C23" s="18" t="n">
        <v>0.20038</v>
      </c>
    </row>
    <row r="24">
      <c r="A24" s="26" t="n">
        <v>48</v>
      </c>
      <c r="B24" s="18" t="n">
        <v>0.11476</v>
      </c>
      <c r="C24" s="18" t="n">
        <v>0.40734</v>
      </c>
    </row>
    <row r="25">
      <c r="A25" s="26" t="n">
        <v>46</v>
      </c>
      <c r="B25" s="18" t="n">
        <v>0.48074</v>
      </c>
      <c r="C25" s="18" t="n">
        <v>0.72196</v>
      </c>
    </row>
    <row r="26">
      <c r="A26" s="26" t="n">
        <v>44</v>
      </c>
      <c r="B26" s="18" t="n">
        <v>0.59512</v>
      </c>
      <c r="C26" s="18" t="n">
        <v>0.7541600000000001</v>
      </c>
    </row>
    <row r="27">
      <c r="A27" s="26" t="n">
        <v>42</v>
      </c>
      <c r="B27" s="18" t="n">
        <v>0.11542</v>
      </c>
      <c r="C27" s="18" t="n">
        <v>0.35908</v>
      </c>
    </row>
    <row r="28">
      <c r="A28" s="26" t="n">
        <v>40</v>
      </c>
      <c r="B28" s="18" t="n">
        <v>0.01328</v>
      </c>
      <c r="C28" s="18" t="n">
        <v>0.13696</v>
      </c>
    </row>
    <row r="29">
      <c r="A29" s="26" t="n">
        <v>38</v>
      </c>
      <c r="B29" s="18" t="n">
        <v>0.00128</v>
      </c>
      <c r="C29" s="18" t="n">
        <v>0.04186</v>
      </c>
    </row>
    <row r="30">
      <c r="A30" s="26" t="n">
        <v>36</v>
      </c>
      <c r="B30" s="18" t="n">
        <v>0.00018</v>
      </c>
      <c r="C30" s="18" t="n">
        <v>0.01182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DCF sensitivity — WACC × terminal growth (live formulas)</t>
        </is>
      </c>
      <c r="B1" s="2" t="n"/>
      <c r="C1" s="2" t="n"/>
      <c r="D1" s="2" t="n"/>
      <c r="E1" s="2" t="n"/>
      <c r="F1" s="2" t="n"/>
      <c r="G1" s="2" t="n"/>
      <c r="H1" s="2" t="n"/>
    </row>
    <row r="2">
      <c r="A2" s="4" t="inlineStr">
        <is>
          <t>Fair value per share (SAR). Recomputes the full FCFF stream off the DCF sheet; the centre cell is the base case.</t>
        </is>
      </c>
    </row>
    <row r="5">
      <c r="A5" s="5" t="inlineStr">
        <is>
          <t>WACC \ terminal g</t>
        </is>
      </c>
      <c r="B5" s="36" t="n">
        <v>0.015</v>
      </c>
      <c r="C5" s="36" t="n">
        <v>0.02</v>
      </c>
      <c r="D5" s="36" t="n">
        <v>0.025</v>
      </c>
      <c r="E5" s="36" t="n">
        <v>0.03</v>
      </c>
      <c r="F5" s="36" t="n">
        <v>0.035</v>
      </c>
    </row>
    <row r="6">
      <c r="A6" s="18" t="n">
        <v>0.07531054603967399</v>
      </c>
      <c r="B6" s="26">
        <f>(SUMPRODUCT(DCF!$B$14:$F$14,1/(1+$A6)^{1,2,3,4,5})+DCF!$F$14*(1+B$5)/($A6-B$5)/(1+$A6)^5+Assumptions!$B$22+Assumptions!$B$23-Assumptions!$B$25-Assumptions!$B$26)/Assumptions!$B$6</f>
        <v/>
      </c>
      <c r="C6" s="26">
        <f>(SUMPRODUCT(DCF!$B$14:$F$14,1/(1+$A6)^{1,2,3,4,5})+DCF!$F$14*(1+C$5)/($A6-C$5)/(1+$A6)^5+Assumptions!$B$22+Assumptions!$B$23-Assumptions!$B$25-Assumptions!$B$26)/Assumptions!$B$6</f>
        <v/>
      </c>
      <c r="D6" s="26">
        <f>(SUMPRODUCT(DCF!$B$14:$F$14,1/(1+$A6)^{1,2,3,4,5})+DCF!$F$14*(1+D$5)/($A6-D$5)/(1+$A6)^5+Assumptions!$B$22+Assumptions!$B$23-Assumptions!$B$25-Assumptions!$B$26)/Assumptions!$B$6</f>
        <v/>
      </c>
      <c r="E6" s="26">
        <f>(SUMPRODUCT(DCF!$B$14:$F$14,1/(1+$A6)^{1,2,3,4,5})+DCF!$F$14*(1+E$5)/($A6-E$5)/(1+$A6)^5+Assumptions!$B$22+Assumptions!$B$23-Assumptions!$B$25-Assumptions!$B$26)/Assumptions!$B$6</f>
        <v/>
      </c>
      <c r="F6" s="26">
        <f>(SUMPRODUCT(DCF!$B$14:$F$14,1/(1+$A6)^{1,2,3,4,5})+DCF!$F$14*(1+F$5)/($A6-F$5)/(1+$A6)^5+Assumptions!$B$22+Assumptions!$B$23-Assumptions!$B$25-Assumptions!$B$26)/Assumptions!$B$6</f>
        <v/>
      </c>
    </row>
    <row r="7">
      <c r="A7" s="18" t="n">
        <v>0.08031054603967398</v>
      </c>
      <c r="B7" s="26">
        <f>(SUMPRODUCT(DCF!$B$14:$F$14,1/(1+$A7)^{1,2,3,4,5})+DCF!$F$14*(1+B$5)/($A7-B$5)/(1+$A7)^5+Assumptions!$B$22+Assumptions!$B$23-Assumptions!$B$25-Assumptions!$B$26)/Assumptions!$B$6</f>
        <v/>
      </c>
      <c r="C7" s="26">
        <f>(SUMPRODUCT(DCF!$B$14:$F$14,1/(1+$A7)^{1,2,3,4,5})+DCF!$F$14*(1+C$5)/($A7-C$5)/(1+$A7)^5+Assumptions!$B$22+Assumptions!$B$23-Assumptions!$B$25-Assumptions!$B$26)/Assumptions!$B$6</f>
        <v/>
      </c>
      <c r="D7" s="26">
        <f>(SUMPRODUCT(DCF!$B$14:$F$14,1/(1+$A7)^{1,2,3,4,5})+DCF!$F$14*(1+D$5)/($A7-D$5)/(1+$A7)^5+Assumptions!$B$22+Assumptions!$B$23-Assumptions!$B$25-Assumptions!$B$26)/Assumptions!$B$6</f>
        <v/>
      </c>
      <c r="E7" s="26">
        <f>(SUMPRODUCT(DCF!$B$14:$F$14,1/(1+$A7)^{1,2,3,4,5})+DCF!$F$14*(1+E$5)/($A7-E$5)/(1+$A7)^5+Assumptions!$B$22+Assumptions!$B$23-Assumptions!$B$25-Assumptions!$B$26)/Assumptions!$B$6</f>
        <v/>
      </c>
      <c r="F7" s="26">
        <f>(SUMPRODUCT(DCF!$B$14:$F$14,1/(1+$A7)^{1,2,3,4,5})+DCF!$F$14*(1+F$5)/($A7-F$5)/(1+$A7)^5+Assumptions!$B$22+Assumptions!$B$23-Assumptions!$B$25-Assumptions!$B$26)/Assumptions!$B$6</f>
        <v/>
      </c>
    </row>
    <row r="8">
      <c r="A8" s="37" t="n">
        <v>0.08531054603967399</v>
      </c>
      <c r="B8" s="26">
        <f>(SUMPRODUCT(DCF!$B$14:$F$14,1/(1+$A8)^{1,2,3,4,5})+DCF!$F$14*(1+B$5)/($A8-B$5)/(1+$A8)^5+Assumptions!$B$22+Assumptions!$B$23-Assumptions!$B$25-Assumptions!$B$26)/Assumptions!$B$6</f>
        <v/>
      </c>
      <c r="C8" s="26">
        <f>(SUMPRODUCT(DCF!$B$14:$F$14,1/(1+$A8)^{1,2,3,4,5})+DCF!$F$14*(1+C$5)/($A8-C$5)/(1+$A8)^5+Assumptions!$B$22+Assumptions!$B$23-Assumptions!$B$25-Assumptions!$B$26)/Assumptions!$B$6</f>
        <v/>
      </c>
      <c r="D8" s="26">
        <f>(SUMPRODUCT(DCF!$B$14:$F$14,1/(1+$A8)^{1,2,3,4,5})+DCF!$F$14*(1+D$5)/($A8-D$5)/(1+$A8)^5+Assumptions!$B$22+Assumptions!$B$23-Assumptions!$B$25-Assumptions!$B$26)/Assumptions!$B$6</f>
        <v/>
      </c>
      <c r="E8" s="26">
        <f>(SUMPRODUCT(DCF!$B$14:$F$14,1/(1+$A8)^{1,2,3,4,5})+DCF!$F$14*(1+E$5)/($A8-E$5)/(1+$A8)^5+Assumptions!$B$22+Assumptions!$B$23-Assumptions!$B$25-Assumptions!$B$26)/Assumptions!$B$6</f>
        <v/>
      </c>
      <c r="F8" s="26">
        <f>(SUMPRODUCT(DCF!$B$14:$F$14,1/(1+$A8)^{1,2,3,4,5})+DCF!$F$14*(1+F$5)/($A8-F$5)/(1+$A8)^5+Assumptions!$B$22+Assumptions!$B$23-Assumptions!$B$25-Assumptions!$B$26)/Assumptions!$B$6</f>
        <v/>
      </c>
    </row>
    <row r="9">
      <c r="A9" s="18" t="n">
        <v>0.09031054603967399</v>
      </c>
      <c r="B9" s="26">
        <f>(SUMPRODUCT(DCF!$B$14:$F$14,1/(1+$A9)^{1,2,3,4,5})+DCF!$F$14*(1+B$5)/($A9-B$5)/(1+$A9)^5+Assumptions!$B$22+Assumptions!$B$23-Assumptions!$B$25-Assumptions!$B$26)/Assumptions!$B$6</f>
        <v/>
      </c>
      <c r="C9" s="26">
        <f>(SUMPRODUCT(DCF!$B$14:$F$14,1/(1+$A9)^{1,2,3,4,5})+DCF!$F$14*(1+C$5)/($A9-C$5)/(1+$A9)^5+Assumptions!$B$22+Assumptions!$B$23-Assumptions!$B$25-Assumptions!$B$26)/Assumptions!$B$6</f>
        <v/>
      </c>
      <c r="D9" s="26">
        <f>(SUMPRODUCT(DCF!$B$14:$F$14,1/(1+$A9)^{1,2,3,4,5})+DCF!$F$14*(1+D$5)/($A9-D$5)/(1+$A9)^5+Assumptions!$B$22+Assumptions!$B$23-Assumptions!$B$25-Assumptions!$B$26)/Assumptions!$B$6</f>
        <v/>
      </c>
      <c r="E9" s="26">
        <f>(SUMPRODUCT(DCF!$B$14:$F$14,1/(1+$A9)^{1,2,3,4,5})+DCF!$F$14*(1+E$5)/($A9-E$5)/(1+$A9)^5+Assumptions!$B$22+Assumptions!$B$23-Assumptions!$B$25-Assumptions!$B$26)/Assumptions!$B$6</f>
        <v/>
      </c>
      <c r="F9" s="26">
        <f>(SUMPRODUCT(DCF!$B$14:$F$14,1/(1+$A9)^{1,2,3,4,5})+DCF!$F$14*(1+F$5)/($A9-F$5)/(1+$A9)^5+Assumptions!$B$22+Assumptions!$B$23-Assumptions!$B$25-Assumptions!$B$26)/Assumptions!$B$6</f>
        <v/>
      </c>
    </row>
    <row r="10">
      <c r="A10" s="18" t="n">
        <v>0.09531054603967398</v>
      </c>
      <c r="B10" s="26">
        <f>(SUMPRODUCT(DCF!$B$14:$F$14,1/(1+$A10)^{1,2,3,4,5})+DCF!$F$14*(1+B$5)/($A10-B$5)/(1+$A10)^5+Assumptions!$B$22+Assumptions!$B$23-Assumptions!$B$25-Assumptions!$B$26)/Assumptions!$B$6</f>
        <v/>
      </c>
      <c r="C10" s="26">
        <f>(SUMPRODUCT(DCF!$B$14:$F$14,1/(1+$A10)^{1,2,3,4,5})+DCF!$F$14*(1+C$5)/($A10-C$5)/(1+$A10)^5+Assumptions!$B$22+Assumptions!$B$23-Assumptions!$B$25-Assumptions!$B$26)/Assumptions!$B$6</f>
        <v/>
      </c>
      <c r="D10" s="26">
        <f>(SUMPRODUCT(DCF!$B$14:$F$14,1/(1+$A10)^{1,2,3,4,5})+DCF!$F$14*(1+D$5)/($A10-D$5)/(1+$A10)^5+Assumptions!$B$22+Assumptions!$B$23-Assumptions!$B$25-Assumptions!$B$26)/Assumptions!$B$6</f>
        <v/>
      </c>
      <c r="E10" s="26">
        <f>(SUMPRODUCT(DCF!$B$14:$F$14,1/(1+$A10)^{1,2,3,4,5})+DCF!$F$14*(1+E$5)/($A10-E$5)/(1+$A10)^5+Assumptions!$B$22+Assumptions!$B$23-Assumptions!$B$25-Assumptions!$B$26)/Assumptions!$B$6</f>
        <v/>
      </c>
      <c r="F10" s="26">
        <f>(SUMPRODUCT(DCF!$B$14:$F$14,1/(1+$A10)^{1,2,3,4,5})+DCF!$F$14*(1+F$5)/($A10-F$5)/(1+$A10)^5+Assumptions!$B$22+Assumptions!$B$23-Assumptions!$B$25-Assumptions!$B$26)/Assumptions!$B$6</f>
        <v/>
      </c>
    </row>
    <row r="12">
      <c r="A12" s="8" t="inlineStr">
        <is>
          <t>The cost-of-capital axis centres on the sourced bottom-up build — a normalised risk-free rate of 4.54% plus a beta of 0.7093 times the 5.72% premium this study names as central, blended with an after-tax cost of debt of 3.89% at a 9.7% debt weight. On the alternative premium basis, published beside the central one rather than chosen silently, the same build gives 8.31%. At a beta of 1.00 the rate is 9.64%, which sits off this grid deliberately and is priced in the beta grid below.</t>
        </is>
      </c>
    </row>
    <row r="14">
      <c r="A14" s="5" t="inlineStr">
        <is>
          <t>Beta sensitivity — the regression gives 0.7093 and the grid prices the answer either side of it</t>
        </is>
      </c>
    </row>
    <row r="15">
      <c r="A15" s="16" t="inlineStr">
        <is>
          <t>beta</t>
        </is>
      </c>
      <c r="B15" s="16" t="inlineStr">
        <is>
          <t>Cost of equity (central premium basis)</t>
        </is>
      </c>
      <c r="C15" s="16" t="inlineStr">
        <is>
          <t>Cost of capital</t>
        </is>
      </c>
      <c r="D15" s="16" t="inlineStr">
        <is>
          <t>DCF value/sh</t>
        </is>
      </c>
    </row>
    <row r="16">
      <c r="A16" s="7" t="n">
        <v>0.3</v>
      </c>
      <c r="B16" s="18">
        <f>Assumptions!$B$10+A16*Assumptions!$B$12</f>
        <v/>
      </c>
      <c r="C16" s="18">
        <f>(1-Assumptions!$B$18)*B16+Assumptions!$B$18*Assumptions!$B$17</f>
        <v/>
      </c>
      <c r="D16" s="26">
        <f>(SUMPRODUCT(DCF!$B$14:$F$14,1/(1+C16)^{1,2,3,4,5})+DCF!$F$14*(1+Assumptions!$B$20)/(C16-Assumptions!$B$20)/(1+C16)^5+Assumptions!$B$22+Assumptions!$B$23-Assumptions!$B$25-Assumptions!$B$26)/Assumptions!$B$6</f>
        <v/>
      </c>
    </row>
    <row r="17">
      <c r="A17" s="7" t="n">
        <v>0.5</v>
      </c>
      <c r="B17" s="18">
        <f>Assumptions!$B$10+A17*Assumptions!$B$12</f>
        <v/>
      </c>
      <c r="C17" s="18">
        <f>(1-Assumptions!$B$18)*B17+Assumptions!$B$18*Assumptions!$B$17</f>
        <v/>
      </c>
      <c r="D17" s="26">
        <f>(SUMPRODUCT(DCF!$B$14:$F$14,1/(1+C17)^{1,2,3,4,5})+DCF!$F$14*(1+Assumptions!$B$20)/(C17-Assumptions!$B$20)/(1+C17)^5+Assumptions!$B$22+Assumptions!$B$23-Assumptions!$B$25-Assumptions!$B$26)/Assumptions!$B$6</f>
        <v/>
      </c>
    </row>
    <row r="18">
      <c r="A18" s="7" t="n">
        <v>0.7092581337669651</v>
      </c>
      <c r="B18" s="18">
        <f>Assumptions!$B$10+A18*Assumptions!$B$12</f>
        <v/>
      </c>
      <c r="C18" s="18">
        <f>(1-Assumptions!$B$18)*B18+Assumptions!$B$18*Assumptions!$B$17</f>
        <v/>
      </c>
      <c r="D18" s="26">
        <f>(SUMPRODUCT(DCF!$B$14:$F$14,1/(1+C18)^{1,2,3,4,5})+DCF!$F$14*(1+Assumptions!$B$20)/(C18-Assumptions!$B$20)/(1+C18)^5+Assumptions!$B$22+Assumptions!$B$23-Assumptions!$B$25-Assumptions!$B$26)/Assumptions!$B$6</f>
        <v/>
      </c>
      <c r="E18" s="8" t="inlineStr">
        <is>
          <t>&lt;- the adopted regression beta</t>
        </is>
      </c>
    </row>
    <row r="19">
      <c r="A19" s="7" t="n">
        <v>0.85</v>
      </c>
      <c r="B19" s="18">
        <f>Assumptions!$B$10+A19*Assumptions!$B$12</f>
        <v/>
      </c>
      <c r="C19" s="18">
        <f>(1-Assumptions!$B$18)*B19+Assumptions!$B$18*Assumptions!$B$17</f>
        <v/>
      </c>
      <c r="D19" s="26">
        <f>(SUMPRODUCT(DCF!$B$14:$F$14,1/(1+C19)^{1,2,3,4,5})+DCF!$F$14*(1+Assumptions!$B$20)/(C19-Assumptions!$B$20)/(1+C19)^5+Assumptions!$B$22+Assumptions!$B$23-Assumptions!$B$25-Assumptions!$B$26)/Assumptions!$B$6</f>
        <v/>
      </c>
    </row>
    <row r="20">
      <c r="A20" s="7" t="n">
        <v>1</v>
      </c>
      <c r="B20" s="18">
        <f>Assumptions!$B$10+A20*Assumptions!$B$12</f>
        <v/>
      </c>
      <c r="C20" s="18">
        <f>(1-Assumptions!$B$18)*B20+Assumptions!$B$18*Assumptions!$B$17</f>
        <v/>
      </c>
      <c r="D20" s="26">
        <f>(SUMPRODUCT(DCF!$B$14:$F$14,1/(1+C20)^{1,2,3,4,5})+DCF!$F$14*(1+Assumptions!$B$20)/(C20-Assumptions!$B$20)/(1+C20)^5+Assumptions!$B$22+Assumptions!$B$23-Assumptions!$B$25-Assumptions!$B$26)/Assumptions!$B$6</f>
        <v/>
      </c>
      <c r="E20" s="8" t="inlineStr">
        <is>
          <t>&lt;- the fallback this desk would have used had the regression not been usable</t>
        </is>
      </c>
    </row>
    <row r="21">
      <c r="A21" s="7" t="n">
        <v>1.2</v>
      </c>
      <c r="B21" s="18">
        <f>Assumptions!$B$10+A21*Assumptions!$B$12</f>
        <v/>
      </c>
      <c r="C21" s="18">
        <f>(1-Assumptions!$B$18)*B21+Assumptions!$B$18*Assumptions!$B$17</f>
        <v/>
      </c>
      <c r="D21" s="26">
        <f>(SUMPRODUCT(DCF!$B$14:$F$14,1/(1+C21)^{1,2,3,4,5})+DCF!$F$14*(1+Assumptions!$B$20)/(C21-Assumptions!$B$20)/(1+C21)^5+Assumptions!$B$22+Assumptions!$B$23-Assumptions!$B$25-Assumptions!$B$26)/Assumptions!$B$6</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Per-share &amp; ratios</t>
        </is>
      </c>
      <c r="B1" s="2" t="n"/>
      <c r="C1" s="2" t="n"/>
      <c r="D1" s="2" t="n"/>
      <c r="E1" s="2" t="n"/>
      <c r="F1" s="2" t="n"/>
      <c r="G1" s="2" t="n"/>
      <c r="H1" s="2" t="n"/>
      <c r="I1" s="2" t="n"/>
      <c r="J1" s="2" t="n"/>
    </row>
    <row r="2">
      <c r="A2" s="4" t="inlineStr">
        <is>
          <t>Every line links to the statements and the assumptions behind them.</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7" t="inlineStr">
        <is>
          <t>EPS (SAR)</t>
        </is>
      </c>
      <c r="B6" s="26">
        <f>'Income Statement'!B19/Assumptions!$B$6</f>
        <v/>
      </c>
      <c r="C6" s="26">
        <f>'Income Statement'!C19/Assumptions!$B$6</f>
        <v/>
      </c>
      <c r="D6" s="26">
        <f>'Income Statement'!D19/Assumptions!$B$6</f>
        <v/>
      </c>
      <c r="E6" s="26">
        <f>'Income Statement'!E19/Assumptions!$B$6</f>
        <v/>
      </c>
      <c r="F6" s="26">
        <f>'Income Statement'!F19/Assumptions!$B$6</f>
        <v/>
      </c>
      <c r="G6" s="26">
        <f>'Income Statement'!G19/Assumptions!$B$6</f>
        <v/>
      </c>
      <c r="H6" s="26">
        <f>'Income Statement'!H19/Assumptions!$B$6</f>
        <v/>
      </c>
      <c r="I6" s="26">
        <f>'Income Statement'!I19/Assumptions!$B$6</f>
        <v/>
      </c>
    </row>
    <row r="7">
      <c r="A7" s="17" t="inlineStr">
        <is>
          <t>DPS declared (SAR)</t>
        </is>
      </c>
      <c r="B7" s="7" t="n">
        <v>1.6</v>
      </c>
      <c r="C7" s="7" t="n">
        <v>3.75</v>
      </c>
      <c r="D7" s="7" t="n">
        <v>2.2</v>
      </c>
      <c r="E7" s="29">
        <f>Assumptions!C28</f>
        <v/>
      </c>
      <c r="F7" s="29">
        <f>Assumptions!D28</f>
        <v/>
      </c>
      <c r="G7" s="29">
        <f>Assumptions!E28</f>
        <v/>
      </c>
      <c r="H7" s="29">
        <f>Assumptions!F28</f>
        <v/>
      </c>
      <c r="I7" s="29">
        <f>Assumptions!G28</f>
        <v/>
      </c>
    </row>
    <row r="8">
      <c r="A8" s="17" t="inlineStr">
        <is>
          <t>Book value / share (SAR)</t>
        </is>
      </c>
      <c r="B8" s="26">
        <f>'Balance Sheet'!B14/Assumptions!$B$6</f>
        <v/>
      </c>
      <c r="C8" s="26">
        <f>'Balance Sheet'!C14/Assumptions!$B$6</f>
        <v/>
      </c>
      <c r="D8" s="26">
        <f>'Balance Sheet'!D14/Assumptions!$B$6</f>
        <v/>
      </c>
      <c r="E8" s="26">
        <f>'Balance Sheet'!E14/Assumptions!$B$6</f>
        <v/>
      </c>
      <c r="F8" s="26">
        <f>'Balance Sheet'!F14/Assumptions!$B$6</f>
        <v/>
      </c>
      <c r="G8" s="26">
        <f>'Balance Sheet'!G14/Assumptions!$B$6</f>
        <v/>
      </c>
      <c r="H8" s="26">
        <f>'Balance Sheet'!H14/Assumptions!$B$6</f>
        <v/>
      </c>
      <c r="I8" s="26">
        <f>'Balance Sheet'!I14/Assumptions!$B$6</f>
        <v/>
      </c>
    </row>
    <row r="9">
      <c r="A9" s="17" t="inlineStr">
        <is>
          <t>P/E at spot (×)f</t>
        </is>
      </c>
      <c r="B9" s="33">
        <f>Assumptions!$B$5/('Income Statement'!B19/Assumptions!$B$6)</f>
        <v/>
      </c>
      <c r="C9" s="33">
        <f>Assumptions!$B$5/('Income Statement'!C19/Assumptions!$B$6)</f>
        <v/>
      </c>
      <c r="D9" s="33">
        <f>Assumptions!$B$5/('Income Statement'!D19/Assumptions!$B$6)</f>
        <v/>
      </c>
      <c r="E9" s="33">
        <f>Assumptions!$B$5/('Income Statement'!E19/Assumptions!$B$6)</f>
        <v/>
      </c>
      <c r="F9" s="33">
        <f>Assumptions!$B$5/('Income Statement'!F19/Assumptions!$B$6)</f>
        <v/>
      </c>
      <c r="G9" s="33">
        <f>Assumptions!$B$5/('Income Statement'!G19/Assumptions!$B$6)</f>
        <v/>
      </c>
      <c r="H9" s="33">
        <f>Assumptions!$B$5/('Income Statement'!H19/Assumptions!$B$6)</f>
        <v/>
      </c>
      <c r="I9" s="33">
        <f>Assumptions!$B$5/('Income Statement'!I19/Assumptions!$B$6)</f>
        <v/>
      </c>
    </row>
    <row r="10">
      <c r="A10" s="17" t="inlineStr">
        <is>
          <t>P/B at spot (×)f</t>
        </is>
      </c>
      <c r="B10" s="33">
        <f>Assumptions!$B$5/('Balance Sheet'!B14/Assumptions!$B$6)</f>
        <v/>
      </c>
      <c r="C10" s="33">
        <f>Assumptions!$B$5/('Balance Sheet'!C14/Assumptions!$B$6)</f>
        <v/>
      </c>
      <c r="D10" s="33">
        <f>Assumptions!$B$5/('Balance Sheet'!D14/Assumptions!$B$6)</f>
        <v/>
      </c>
      <c r="E10" s="33">
        <f>Assumptions!$B$5/('Balance Sheet'!E14/Assumptions!$B$6)</f>
        <v/>
      </c>
      <c r="F10" s="33">
        <f>Assumptions!$B$5/('Balance Sheet'!F14/Assumptions!$B$6)</f>
        <v/>
      </c>
      <c r="G10" s="33">
        <f>Assumptions!$B$5/('Balance Sheet'!G14/Assumptions!$B$6)</f>
        <v/>
      </c>
      <c r="H10" s="33">
        <f>Assumptions!$B$5/('Balance Sheet'!H14/Assumptions!$B$6)</f>
        <v/>
      </c>
      <c r="I10" s="33">
        <f>Assumptions!$B$5/('Balance Sheet'!I14/Assumptions!$B$6)</f>
        <v/>
      </c>
    </row>
    <row r="11">
      <c r="A11" s="17" t="inlineStr">
        <is>
          <t>Dividend yield at spot (declared)</t>
        </is>
      </c>
      <c r="B11" s="18">
        <f>B7/Assumptions!$B$5</f>
        <v/>
      </c>
      <c r="C11" s="18">
        <f>C7/Assumptions!$B$5</f>
        <v/>
      </c>
      <c r="D11" s="18">
        <f>D7/Assumptions!$B$5</f>
        <v/>
      </c>
      <c r="E11" s="18">
        <f>E7/Assumptions!$B$5</f>
        <v/>
      </c>
      <c r="F11" s="18">
        <f>F7/Assumptions!$B$5</f>
        <v/>
      </c>
      <c r="G11" s="18">
        <f>G7/Assumptions!$B$5</f>
        <v/>
      </c>
      <c r="H11" s="18">
        <f>H7/Assumptions!$B$5</f>
        <v/>
      </c>
      <c r="I11" s="18">
        <f>I7/Assumptions!$B$5</f>
        <v/>
      </c>
    </row>
    <row r="12">
      <c r="A12" s="17" t="inlineStr">
        <is>
          <t>Payout (of attributable NP)f</t>
        </is>
      </c>
      <c r="B12" s="18">
        <f>B7*Assumptions!$B$6/'Income Statement'!B19</f>
        <v/>
      </c>
      <c r="C12" s="18">
        <f>C7*Assumptions!$B$6/'Income Statement'!C19</f>
        <v/>
      </c>
      <c r="D12" s="18">
        <f>D7*Assumptions!$B$6/'Income Statement'!D19</f>
        <v/>
      </c>
      <c r="E12" s="18">
        <f>E7*Assumptions!$B$6/'Income Statement'!E19</f>
        <v/>
      </c>
      <c r="F12" s="18">
        <f>F7*Assumptions!$B$6/'Income Statement'!F19</f>
        <v/>
      </c>
      <c r="G12" s="18">
        <f>G7*Assumptions!$B$6/'Income Statement'!G19</f>
        <v/>
      </c>
      <c r="H12" s="18">
        <f>H7*Assumptions!$B$6/'Income Statement'!H19</f>
        <v/>
      </c>
      <c r="I12" s="18">
        <f>I7*Assumptions!$B$6/'Income Statement'!I19</f>
        <v/>
      </c>
    </row>
    <row r="13">
      <c r="A13" s="17" t="inlineStr">
        <is>
          <t>EBITDA margin</t>
        </is>
      </c>
      <c r="B13" s="18">
        <f>'Income Statement'!B9/'Income Statement'!B6</f>
        <v/>
      </c>
      <c r="C13" s="18">
        <f>'Income Statement'!C9/'Income Statement'!C6</f>
        <v/>
      </c>
      <c r="D13" s="18">
        <f>'Income Statement'!D9/'Income Statement'!D6</f>
        <v/>
      </c>
      <c r="E13" s="18">
        <f>'Income Statement'!E9/'Income Statement'!E6</f>
        <v/>
      </c>
      <c r="F13" s="18">
        <f>'Income Statement'!F9/'Income Statement'!F6</f>
        <v/>
      </c>
      <c r="G13" s="18">
        <f>'Income Statement'!G9/'Income Statement'!G6</f>
        <v/>
      </c>
      <c r="H13" s="18">
        <f>'Income Statement'!H9/'Income Statement'!H6</f>
        <v/>
      </c>
      <c r="I13" s="18">
        <f>'Income Statement'!I9/'Income Statement'!I6</f>
        <v/>
      </c>
    </row>
    <row r="14">
      <c r="A14" s="17" t="inlineStr">
        <is>
          <t>Net margin</t>
        </is>
      </c>
      <c r="B14" s="18">
        <f>'Income Statement'!B19/'Income Statement'!B6</f>
        <v/>
      </c>
      <c r="C14" s="18">
        <f>'Income Statement'!C19/'Income Statement'!C6</f>
        <v/>
      </c>
      <c r="D14" s="18">
        <f>'Income Statement'!D19/'Income Statement'!D6</f>
        <v/>
      </c>
      <c r="E14" s="18">
        <f>'Income Statement'!E19/'Income Statement'!E6</f>
        <v/>
      </c>
      <c r="F14" s="18">
        <f>'Income Statement'!F19/'Income Statement'!F6</f>
        <v/>
      </c>
      <c r="G14" s="18">
        <f>'Income Statement'!G19/'Income Statement'!G6</f>
        <v/>
      </c>
      <c r="H14" s="18">
        <f>'Income Statement'!H19/'Income Statement'!H6</f>
        <v/>
      </c>
      <c r="I14" s="18">
        <f>'Income Statement'!I19/'Income Statement'!I6</f>
        <v/>
      </c>
    </row>
    <row r="15">
      <c r="A15" s="17" t="inlineStr">
        <is>
          <t>ROAE (attributable)</t>
        </is>
      </c>
      <c r="B15" s="18">
        <f>'Income Statement'!B19/'Balance Sheet'!B14</f>
        <v/>
      </c>
      <c r="C15" s="18">
        <f>'Income Statement'!C19/'Balance Sheet'!C14</f>
        <v/>
      </c>
      <c r="D15" s="18">
        <f>'Income Statement'!D19/'Balance Sheet'!D14</f>
        <v/>
      </c>
      <c r="E15" s="18">
        <f>'Income Statement'!E19/'Balance Sheet'!E14</f>
        <v/>
      </c>
      <c r="F15" s="18">
        <f>'Income Statement'!F19/'Balance Sheet'!F14</f>
        <v/>
      </c>
      <c r="G15" s="18">
        <f>'Income Statement'!G19/'Balance Sheet'!G14</f>
        <v/>
      </c>
      <c r="H15" s="18">
        <f>'Income Statement'!H19/'Balance Sheet'!H14</f>
        <v/>
      </c>
      <c r="I15" s="18">
        <f>'Income Statement'!I19/'Balance Sheet'!I14</f>
        <v/>
      </c>
    </row>
    <row r="16">
      <c r="A16" s="17" t="inlineStr">
        <is>
          <t>Net debt (IR) / EBITDA (×)</t>
        </is>
      </c>
      <c r="B16" s="33">
        <f>'Balance Sheet'!B24/'Income Statement'!B9</f>
        <v/>
      </c>
      <c r="C16" s="33">
        <f>'Balance Sheet'!C24/'Income Statement'!C9</f>
        <v/>
      </c>
      <c r="D16" s="33">
        <f>'Balance Sheet'!D24/'Income Statement'!D9</f>
        <v/>
      </c>
      <c r="E16" s="33">
        <f>'Balance Sheet'!E24/'Income Statement'!E9</f>
        <v/>
      </c>
      <c r="F16" s="33">
        <f>'Balance Sheet'!F24/'Income Statement'!F9</f>
        <v/>
      </c>
      <c r="G16" s="33">
        <f>'Balance Sheet'!G24/'Income Statement'!G9</f>
        <v/>
      </c>
      <c r="H16" s="33">
        <f>'Balance Sheet'!H24/'Income Statement'!H9</f>
        <v/>
      </c>
      <c r="I16" s="33">
        <f>'Balance Sheet'!I24/'Income Statement'!I9</f>
        <v/>
      </c>
    </row>
    <row r="17">
      <c r="A17" s="17" t="inlineStr">
        <is>
          <t>Capex intensity (% of revenue)</t>
        </is>
      </c>
      <c r="B17" s="10" t="n">
        <v>0.136</v>
      </c>
      <c r="C17" s="10" t="n">
        <v>0.157</v>
      </c>
      <c r="D17" s="10" t="n">
        <v>0.152</v>
      </c>
      <c r="E17" s="18">
        <f>-'Cash Flow'!E10/'Income Statement'!E6</f>
        <v/>
      </c>
      <c r="F17" s="18">
        <f>-'Cash Flow'!F10/'Income Statement'!F6</f>
        <v/>
      </c>
      <c r="G17" s="18">
        <f>-'Cash Flow'!G10/'Income Statement'!G6</f>
        <v/>
      </c>
      <c r="H17" s="18">
        <f>-'Cash Flow'!H10/'Income Statement'!H6</f>
        <v/>
      </c>
      <c r="I17" s="18">
        <f>-'Cash Flow'!I10/'Income Statement'!I6</f>
        <v/>
      </c>
    </row>
    <row r="18">
      <c r="A18" s="17" t="inlineStr">
        <is>
          <t>FCF yield at spot (forecast)</t>
        </is>
      </c>
      <c r="E18" s="18">
        <f>'Cash Flow'!E11/(Assumptions!$B$5*Assumptions!$B$6)</f>
        <v/>
      </c>
      <c r="F18" s="18">
        <f>'Cash Flow'!F11/(Assumptions!$B$5*Assumptions!$B$6)</f>
        <v/>
      </c>
      <c r="G18" s="18">
        <f>'Cash Flow'!G11/(Assumptions!$B$5*Assumptions!$B$6)</f>
        <v/>
      </c>
      <c r="H18" s="18">
        <f>'Cash Flow'!H11/(Assumptions!$B$5*Assumptions!$B$6)</f>
        <v/>
      </c>
      <c r="I18" s="18">
        <f>'Cash Flow'!I11/(Assumptions!$B$5*Assumptions!$B$6)</f>
        <v/>
      </c>
    </row>
    <row r="19">
      <c r="A19" s="17" t="inlineStr">
        <is>
          <t>Revenue YoY</t>
        </is>
      </c>
      <c r="C19" s="18">
        <f>'Income Statement'!C6/'Income Statement'!B6-1</f>
        <v/>
      </c>
      <c r="D19" s="18">
        <f>'Income Statement'!D6/'Income Statement'!C6-1</f>
        <v/>
      </c>
      <c r="E19" s="18">
        <f>'Income Statement'!E6/'Income Statement'!D6-1</f>
        <v/>
      </c>
      <c r="F19" s="18">
        <f>'Income Statement'!F6/'Income Statement'!E6-1</f>
        <v/>
      </c>
      <c r="G19" s="18">
        <f>'Income Statement'!G6/'Income Statement'!F6-1</f>
        <v/>
      </c>
      <c r="H19" s="18">
        <f>'Income Statement'!H6/'Income Statement'!G6-1</f>
        <v/>
      </c>
      <c r="I19" s="18">
        <f>'Income Statement'!I6/'Income Statement'!H6-1</f>
        <v/>
      </c>
    </row>
    <row r="20">
      <c r="A20" s="17" t="inlineStr">
        <is>
          <t>EPS YoY</t>
        </is>
      </c>
      <c r="C20" s="18">
        <f>('Income Statement'!C19/'Income Statement'!B19)-1</f>
        <v/>
      </c>
      <c r="D20" s="18">
        <f>('Income Statement'!D19/'Income Statement'!C19)-1</f>
        <v/>
      </c>
      <c r="E20" s="18">
        <f>('Income Statement'!E19/'Income Statement'!D19)-1</f>
        <v/>
      </c>
      <c r="F20" s="18">
        <f>('Income Statement'!F19/'Income Statement'!E19)-1</f>
        <v/>
      </c>
      <c r="G20" s="18">
        <f>('Income Statement'!G19/'Income Statement'!F19)-1</f>
        <v/>
      </c>
      <c r="H20" s="18">
        <f>('Income Statement'!H19/'Income Statement'!G19)-1</f>
        <v/>
      </c>
      <c r="I20" s="18">
        <f>('Income Statement'!I19/'Income Statement'!H19)-1</f>
        <v/>
      </c>
    </row>
    <row r="22">
      <c r="A22" s="8" t="inlineStr">
        <is>
          <t>FY24 EPS/DPS carry the TAWAL disposal gain and the SAR 2.00 special dividend — the payout row prints &gt;100% on the cash-paid framing (141% LTM per stc). Declared-regular vs cash-paid framings both stated (house rule).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46" customWidth="1" min="6" max="6"/>
    <col width="12" customWidth="1" min="7" max="7"/>
  </cols>
  <sheetData>
    <row r="1">
      <c r="A1" s="1" t="inlineStr">
        <is>
          <t>Peer set &amp; sector</t>
        </is>
      </c>
      <c r="B1" s="2" t="n"/>
      <c r="C1" s="2" t="n"/>
      <c r="D1" s="2" t="n"/>
      <c r="E1" s="2" t="n"/>
      <c r="F1" s="2" t="n"/>
      <c r="G1" s="2" t="n"/>
    </row>
    <row r="2">
      <c r="A2" s="4" t="inlineStr">
        <is>
          <t>GCC/regional telecoms; multiples approximate, as-of dates flagged (context, not model inputs).</t>
        </is>
      </c>
    </row>
    <row r="5">
      <c r="A5" s="5" t="inlineStr">
        <is>
          <t>Name</t>
        </is>
      </c>
      <c r="B5" s="5" t="inlineStr">
        <is>
          <t>Mkt</t>
        </is>
      </c>
      <c r="C5" s="5" t="inlineStr">
        <is>
          <t>P/E (t)</t>
        </is>
      </c>
      <c r="D5" s="5" t="inlineStr">
        <is>
          <t>EV/EBITDA</t>
        </is>
      </c>
      <c r="E5" s="5" t="inlineStr">
        <is>
          <t>Div yield</t>
        </is>
      </c>
      <c r="F5" s="5" t="inlineStr">
        <is>
          <t>Note</t>
        </is>
      </c>
    </row>
    <row r="6">
      <c r="A6" s="6" t="inlineStr">
        <is>
          <t>stc (7010)</t>
        </is>
      </c>
      <c r="B6" s="6" t="inlineStr">
        <is>
          <t>KSA</t>
        </is>
      </c>
      <c r="C6" s="6" t="inlineStr">
        <is>
          <t>14.7×</t>
        </is>
      </c>
      <c r="D6" s="6" t="inlineStr">
        <is>
          <t>9.5×</t>
        </is>
      </c>
      <c r="E6" s="6" t="inlineStr">
        <is>
          <t>5.0% (9.6% incl. special)</t>
        </is>
      </c>
      <c r="F6" s="6" t="inlineStr">
        <is>
          <t>Incumbent; ~57% mobile share; net debt ~0</t>
        </is>
      </c>
    </row>
    <row r="7">
      <c r="A7" s="6" t="inlineStr">
        <is>
          <t>Mobily (7020)</t>
        </is>
      </c>
      <c r="B7" s="6" t="inlineStr">
        <is>
          <t>KSA</t>
        </is>
      </c>
      <c r="C7" s="6" t="inlineStr">
        <is>
          <t>13.5×</t>
        </is>
      </c>
      <c r="D7" s="6" t="inlineStr">
        <is>
          <t>~7.4×</t>
        </is>
      </c>
      <c r="E7" s="6" t="inlineStr">
        <is>
          <t>4.5%</t>
        </is>
      </c>
      <c r="F7" s="6" t="inlineStr">
        <is>
          <t>No.2; e&amp; anchor shareholder; fastest sub growth</t>
        </is>
      </c>
    </row>
    <row r="8">
      <c r="A8" s="6" t="inlineStr">
        <is>
          <t>Zain KSA (7030)</t>
        </is>
      </c>
      <c r="B8" s="6" t="inlineStr">
        <is>
          <t>KSA</t>
        </is>
      </c>
      <c r="C8" s="6" t="inlineStr">
        <is>
          <t>12.8×</t>
        </is>
      </c>
      <c r="D8" s="6" t="inlineStr">
        <is>
          <t>n/a</t>
        </is>
      </c>
      <c r="E8" s="6" t="inlineStr">
        <is>
          <t>4.9%</t>
        </is>
      </c>
      <c r="F8" s="6" t="inlineStr">
        <is>
          <t>No.3; tower-light; higher leverage</t>
        </is>
      </c>
    </row>
    <row r="9">
      <c r="A9" s="6" t="inlineStr">
        <is>
          <t>e&amp; (EAND)</t>
        </is>
      </c>
      <c r="B9" s="6" t="inlineStr">
        <is>
          <t>UAE</t>
        </is>
      </c>
      <c r="C9" s="6" t="inlineStr">
        <is>
          <t>13.2×</t>
        </is>
      </c>
      <c r="D9" s="6" t="inlineStr">
        <is>
          <t>n/a</t>
        </is>
      </c>
      <c r="E9" s="6" t="inlineStr">
        <is>
          <t>5.1%</t>
        </is>
      </c>
      <c r="F9" s="6" t="inlineStr">
        <is>
          <t>UAE incumbent + international portfolio</t>
        </is>
      </c>
    </row>
    <row r="10">
      <c r="A10" s="6" t="inlineStr">
        <is>
          <t>Ooredoo (ORDS)</t>
        </is>
      </c>
      <c r="B10" s="6" t="inlineStr">
        <is>
          <t>Qatar</t>
        </is>
      </c>
      <c r="C10" s="6" t="inlineStr">
        <is>
          <t>10.7×</t>
        </is>
      </c>
      <c r="D10" s="6" t="inlineStr">
        <is>
          <t>n/a</t>
        </is>
      </c>
      <c r="E10" s="6" t="inlineStr">
        <is>
          <t>5.7%</t>
        </is>
      </c>
      <c r="F10" s="6" t="inlineStr">
        <is>
          <t>Multi-market; data-centre pivot</t>
        </is>
      </c>
    </row>
    <row r="11">
      <c r="A11" s="6" t="inlineStr">
        <is>
          <t>du (DU)</t>
        </is>
      </c>
      <c r="B11" s="6" t="inlineStr">
        <is>
          <t>UAE</t>
        </is>
      </c>
      <c r="C11" s="6" t="inlineStr">
        <is>
          <t>17.6×</t>
        </is>
      </c>
      <c r="D11" s="6" t="inlineStr">
        <is>
          <t>n/a</t>
        </is>
      </c>
      <c r="E11" s="6" t="inlineStr">
        <is>
          <t>5.5%</t>
        </is>
      </c>
      <c r="F11" s="6" t="inlineStr">
        <is>
          <t>No.2 UAE; hyperscale DC momentum</t>
        </is>
      </c>
    </row>
    <row r="12">
      <c r="A12" s="6" t="inlineStr">
        <is>
          <t>Omantel / Beyon / ETEL</t>
        </is>
      </c>
      <c r="B12" s="6" t="inlineStr">
        <is>
          <t>Oman/Bah/Egy</t>
        </is>
      </c>
      <c r="C12" s="6" t="inlineStr">
        <is>
          <t>11.5× / 11.1× / 8.8×</t>
        </is>
      </c>
      <c r="D12" s="6" t="inlineStr">
        <is>
          <t>n/a</t>
        </is>
      </c>
      <c r="E12" s="6" t="inlineStr">
        <is>
          <t>3.9% / 7.1% / 1.5%</t>
        </is>
      </c>
      <c r="F12" s="6" t="inlineStr">
        <is>
          <t>Regional context</t>
        </is>
      </c>
    </row>
    <row r="14">
      <c r="A14" s="8" t="inlineStr">
        <is>
          <t>Sector: KSA mobile ≈ 57/27/16 stc/Mobily/Zain; Nov-2024 CST spectrum auction (stc: 600MHz + 3.8GHz); 10,800+ stc 5G sites, 63% populated coverage; FTTH 3.75mn; FWA one of the highest-adoption markets globally; center3–HUMAIN 1GW AI-DC ambition; SilkLink Syria fibre corridor (SAR 3bn, Feb-2026). Peer P/E band 10.7–17.6×; stc premium tracks its share, balance sheet and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2026-09-10T15:28:45Z</dcterms:created>
  <dcterms:modified xmlns:dcterms="http://purl.org/dc/terms/" xmlns:xsi="http://www.w3.org/2001/XMLSchema-instance" xsi:type="dcterms:W3CDTF">2026-09-10T15:28:46Z</dcterms:modified>
</cp:coreProperties>
</file>