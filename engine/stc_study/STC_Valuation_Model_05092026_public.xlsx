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quot;-&quot;"/>
    <numFmt numFmtId="165" formatCode="0.0%;(0.0%);&quot;-&quot;"/>
    <numFmt numFmtId="166" formatCode="0.00%;(0.00%);&quot;-&quot;"/>
    <numFmt numFmtId="167" formatCode="0.0000"/>
    <numFmt numFmtId="168" formatCode="0.00x"/>
    <numFmt numFmtId="169" formatCode="0.0000%"/>
    <numFmt numFmtId="170"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169"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70"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43.58 (7 Jul 2026 close, from the attached daily history).</t>
        </is>
      </c>
    </row>
    <row r="20">
      <c r="A20" s="3" t="inlineStr">
        <is>
          <t>Historical financials are stc’s own IR disclosure (FY23–FY25 releases, restated continuing-ops basis;</t>
        </is>
      </c>
    </row>
    <row r="21">
      <c r="A21" s="3" t="inlineStr">
        <is>
          <t>Q1-26 release 28 Apr 2026); balance-sheet detail from the Q1-2026 interim FS (31-Dec-25 comparatives).</t>
        </is>
      </c>
    </row>
    <row r="22">
      <c r="A22" s="3" t="inlineStr"/>
    </row>
    <row r="23">
      <c r="A23" s="3" t="inlineStr">
        <is>
          <t>Sheets: Summary · Fundamental Valuation · Assumptions · SOTP Bridge · Segments · Relative &amp; Normalized ·</t>
        </is>
      </c>
    </row>
    <row r="24">
      <c r="A24" s="3" t="inlineStr">
        <is>
          <t>DCF · Income Statement · Balance Sheet · Cash Flow · Summary Financials · Monte Carlo · Sensitivity ·</t>
        </is>
      </c>
    </row>
    <row r="25">
      <c r="A25"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Four-lens fair value vs spot. Base links live; bear/bull are scenario outputs (study §1.5).</t>
        </is>
      </c>
    </row>
    <row r="5">
      <c r="A5" s="5" t="inlineStr"/>
      <c r="B5" s="5" t="inlineStr">
        <is>
          <t>Bear</t>
        </is>
      </c>
      <c r="C5" s="5" t="inlineStr">
        <is>
          <t>Base</t>
        </is>
      </c>
      <c r="D5" s="5" t="inlineStr">
        <is>
          <t>Bull</t>
        </is>
      </c>
      <c r="E5" s="5" t="inlineStr">
        <is>
          <t>Role</t>
        </is>
      </c>
    </row>
    <row r="6">
      <c r="A6" s="18" t="inlineStr">
        <is>
          <t>Discounted cash flow</t>
        </is>
      </c>
      <c r="B6" s="7" t="n">
        <v>37.4</v>
      </c>
      <c r="C6" s="30">
        <f>'SOTP Bridge'!C13</f>
        <v/>
      </c>
      <c r="D6" s="7" t="n">
        <v>39</v>
      </c>
      <c r="E6" s="17" t="inlineStr">
        <is>
          <t>THE CENTRAL</t>
        </is>
      </c>
    </row>
    <row r="7">
      <c r="A7" s="18" t="inlineStr">
        <is>
          <t>Dividend discount</t>
        </is>
      </c>
      <c r="B7" s="7" t="n">
        <v>29.2</v>
      </c>
      <c r="C7" s="30">
        <f>'SOTP Bridge'!C22</f>
        <v/>
      </c>
      <c r="D7" s="7" t="n">
        <v>49.6</v>
      </c>
      <c r="E7" s="6" t="inlineStr">
        <is>
          <t>cross-check</t>
        </is>
      </c>
    </row>
    <row r="8">
      <c r="A8" s="18" t="inlineStr">
        <is>
          <t>Enterprise multiple on own history</t>
        </is>
      </c>
      <c r="B8" s="7" t="n">
        <v>45.7</v>
      </c>
      <c r="C8" s="30">
        <f>'Relative &amp; Normalized'!C6</f>
        <v/>
      </c>
      <c r="D8" s="7" t="n">
        <v>49.8</v>
      </c>
      <c r="E8" s="6" t="inlineStr">
        <is>
          <t>cross-check</t>
        </is>
      </c>
    </row>
    <row r="9">
      <c r="A9" s="18" t="inlineStr">
        <is>
          <t>Normalised earnings power</t>
        </is>
      </c>
      <c r="B9" s="7" t="n">
        <v>36.8</v>
      </c>
      <c r="C9" s="30">
        <f>'Relative &amp; Normalized'!C9</f>
        <v/>
      </c>
      <c r="D9" s="7" t="n">
        <v>50.2</v>
      </c>
      <c r="E9" s="6" t="inlineStr">
        <is>
          <t>cross-check</t>
        </is>
      </c>
    </row>
    <row r="10">
      <c r="A10" s="18" t="inlineStr">
        <is>
          <t>Book value per share — a DISCLOSED FLOOR, never weighted</t>
        </is>
      </c>
      <c r="C10" s="7" t="n">
        <v>17.02</v>
      </c>
      <c r="E10" s="6" t="inlineStr">
        <is>
          <t>floor</t>
        </is>
      </c>
    </row>
    <row r="12">
      <c r="A12" s="17" t="inlineStr">
        <is>
          <t>THE CENTRAL — the class primary, not an average of the rows above</t>
        </is>
      </c>
      <c r="C12" s="24">
        <f>C6</f>
        <v/>
      </c>
    </row>
    <row r="13">
      <c r="A13" s="17" t="inlineStr">
        <is>
          <t>Published range — the span of the present-value reads</t>
        </is>
      </c>
      <c r="B13" s="24" t="n">
        <v>37.37</v>
      </c>
      <c r="D13" s="24" t="n">
        <v>47.97</v>
      </c>
    </row>
    <row r="15">
      <c r="A15" s="18" t="inlineStr">
        <is>
          <t>Spot price (SAR)</t>
        </is>
      </c>
      <c r="B15" s="30" t="inlineStr">
        <is>
          <t>Assumptions!$B$5</t>
        </is>
      </c>
    </row>
    <row r="16">
      <c r="A16" s="18" t="inlineStr">
        <is>
          <t>Central against spot</t>
        </is>
      </c>
      <c r="B16" s="19">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FCFF DCF (primary)</t>
        </is>
      </c>
      <c r="B6" s="30">
        <f>Summary!B6</f>
        <v/>
      </c>
      <c r="C6" s="30">
        <f>Summary!C6</f>
        <v/>
      </c>
      <c r="D6" s="30">
        <f>Summary!D6</f>
        <v/>
      </c>
    </row>
    <row r="7">
      <c r="A7" s="6" t="inlineStr">
        <is>
          <t>Dividend discount (policy lens)</t>
        </is>
      </c>
      <c r="B7" s="30">
        <f>Summary!B7</f>
        <v/>
      </c>
      <c r="C7" s="30">
        <f>Summary!C7</f>
        <v/>
      </c>
      <c r="D7" s="30">
        <f>Summary!D7</f>
        <v/>
      </c>
    </row>
    <row r="8">
      <c r="A8" s="6" t="inlineStr">
        <is>
          <t>Relative (EV/EBITDA)</t>
        </is>
      </c>
      <c r="B8" s="30">
        <f>Summary!B8</f>
        <v/>
      </c>
      <c r="C8" s="30">
        <f>Summary!C8</f>
        <v/>
      </c>
      <c r="D8" s="30">
        <f>Summary!D8</f>
        <v/>
      </c>
    </row>
    <row r="9">
      <c r="A9" s="6" t="inlineStr">
        <is>
          <t>Normalized earnings</t>
        </is>
      </c>
      <c r="B9" s="30">
        <f>Summary!B9</f>
        <v/>
      </c>
      <c r="C9" s="30">
        <f>Summary!C9</f>
        <v/>
      </c>
      <c r="D9" s="30">
        <f>Summary!D9</f>
        <v/>
      </c>
    </row>
    <row r="10">
      <c r="A10" s="17" t="inlineStr">
        <is>
          <t>Weighted central</t>
        </is>
      </c>
      <c r="B10" s="31">
        <f>Summary!B10</f>
        <v/>
      </c>
      <c r="C10" s="31">
        <f>Summary!C10</f>
        <v/>
      </c>
      <c r="D10" s="31">
        <f>Summary!D10</f>
        <v/>
      </c>
    </row>
    <row r="11">
      <c r="A11" s="18" t="inlineStr">
        <is>
          <t>Spot</t>
        </is>
      </c>
      <c r="B11" s="30">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3927.589835802536</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14450.68811216044</v>
      </c>
      <c r="C31" s="8" t="inlineStr">
        <is>
          <t>from the projected income statement, not aligned by hand</t>
        </is>
      </c>
    </row>
    <row r="32">
      <c r="A32" s="6" t="inlineStr">
        <is>
          <t>Normalized PAT (ex one-offs)</t>
        </is>
      </c>
      <c r="B32" s="9" t="n">
        <v>14400</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MONTE CARLO (YZ-HAR v2 — engine outputs on the Monte Carlo sheet)</t>
        </is>
      </c>
    </row>
    <row r="37">
      <c r="A37" s="6" t="inlineStr">
        <is>
          <t>Anchor volatility (HAR forecast, annualized)</t>
        </is>
      </c>
      <c r="B37" s="10" t="n">
        <v>0.1617</v>
      </c>
    </row>
    <row r="38">
      <c r="A38" s="6" t="inlineStr">
        <is>
          <t>Secular drift (daily) — zero-drift class</t>
        </is>
      </c>
      <c r="B38" s="15" t="n">
        <v>0</v>
      </c>
      <c r="C38" s="8" t="inlineStr">
        <is>
          <t>International/GCC name: zero drift passed Step 0; secular drift failed (−4.8%)</t>
        </is>
      </c>
    </row>
    <row r="39">
      <c r="A39" s="6" t="inlineStr">
        <is>
          <t>Net factor drift per quarter (16-factor stack)</t>
        </is>
      </c>
      <c r="B39" s="10" t="n">
        <v>0.0072</v>
      </c>
    </row>
    <row r="40">
      <c r="A40" s="6" t="inlineStr">
        <is>
          <t>Paths / seed</t>
        </is>
      </c>
      <c r="B40" s="16" t="inlineStr">
        <is>
          <t>50,000 / 42</t>
        </is>
      </c>
    </row>
    <row r="41">
      <c r="A41" s="5" t="inlineStr">
        <is>
          <t>FORECAST DRIVERS (FY26E–FY30E) — top-down (§3.5-C gate: subs × ARPU not disclosed)</t>
        </is>
      </c>
    </row>
    <row r="42">
      <c r="A42" s="17"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First-year scale onto the reviewed half (annualised)</t>
        </is>
      </c>
      <c r="C55" s="7" t="n">
        <v>1.006082103803541</v>
      </c>
      <c r="D55" s="7" t="n">
        <v>1</v>
      </c>
      <c r="E55" s="7" t="n">
        <v>1</v>
      </c>
      <c r="F55" s="7" t="n">
        <v>1</v>
      </c>
      <c r="G55" s="7" t="n">
        <v>1</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0.319847256594818</v>
      </c>
      <c r="D58" s="10" t="n">
        <v>0.3190366010783908</v>
      </c>
      <c r="E58" s="10" t="n">
        <v>0.3184831288736253</v>
      </c>
      <c r="F58" s="10" t="n">
        <v>0.3182052626065098</v>
      </c>
      <c r="G58" s="10" t="n">
        <v>0.3182052626065097</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84">
      <c r="A84" s="5" t="inlineStr">
        <is>
          <t>WACC BUILD — FULL DETAIL &amp; SOURCING (feeds rows 9-17; reference only)</t>
        </is>
      </c>
    </row>
    <row r="85">
      <c r="A85" s="6" t="inlineStr">
        <is>
          <t>rf source</t>
        </is>
      </c>
      <c r="C85" s="8" t="inlineStr">
        <is>
          <t>Derived SAR 10Y sovereign: SRC (govt-guaranteed) $1.5bn 10y sukuk priced UST+95bp on 8-Jul-2026; UST 10Y 4.45% → 5.40% USD basis; the Saudi Exchange "KSA Sovereign Local Currency Debt Primer Update" (21-May-2026) documents SAR sovereign yields sitting ABOVE the USD curve through 10Y → 5.4–5.6% band, 5.5% point. Cross-check: FAB Securities stc note (27-Feb-2026) uses 5.5%. Per house rule the SAR-USD peg does NOT make UST a substitute — this is a documented named mistake in professional practice.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Daily stc-vs-TASI OLS, n=40 paired sessions 5-May→7-Jul-2026 (TASI closes: investing.com historical table; stc: the attached price history): beta 0.475 (SE 0.189), R² 14.3%, alpha ≈ 0. Ex-Eid-gap robustness: 0.494. Passes RegressionBetaAttempt.is_usable() (n≥24, R²≥5%, SE&lt;|β|, β&gt;0). Honest flag: a 9-week daily window is the best obtainable (Yahoo/stooq/WSJ TASI history all blocked programmatically; Saudi Exchange login-gated); a 2–5yr weekly regression should replace it when accessible. Sensitivity: at β=1.0, Ke 10.51%, WACC 9.90% (rating basis) — the DCF grid in §1.9 spans this.</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 cap = 43.58 × 4,989.8mn = SAR 217,455mn; total debt = SAR 22,475mn (Q1-2026 IR release, post the Jan-2026 $2bn sukuk; excludes lease liabilities 2,296). E/(D+E) = 90.6%.</t>
        </is>
      </c>
    </row>
    <row r="92">
      <c r="A92" s="6" t="inlineStr">
        <is>
          <t>Full reference &amp; cache</t>
        </is>
      </c>
      <c r="C92" s="8" t="inlineStr">
        <is>
          <t>See Cost_of_Capital_Reference.md (Saudi Arabia row, filled 09-07-2026) and wacc_builder.py for the standing method. Both ERP-basis WACCs are published per protocol.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7" t="inlineStr">
        <is>
          <t>Component</t>
        </is>
      </c>
      <c r="B5" s="8" t="inlineStr">
        <is>
          <t>Basis</t>
        </is>
      </c>
      <c r="C5" s="21" t="inlineStr">
        <is>
          <t>Value (SAR mn)</t>
        </is>
      </c>
    </row>
    <row r="6">
      <c r="A6" s="6" t="inlineStr">
        <is>
          <t>Core operations enterprise value</t>
        </is>
      </c>
      <c r="B6" s="8" t="inlineStr">
        <is>
          <t>FCFF DCF (§1.1): Σ PV FCFF + PV terminal</t>
        </is>
      </c>
      <c r="C6" s="20">
        <f>DCF!B27</f>
        <v/>
      </c>
    </row>
    <row r="7">
      <c r="A7" s="6" t="inlineStr">
        <is>
          <t xml:space="preserve">  of which terminal value (device A-7)</t>
        </is>
      </c>
      <c r="B7" s="8" t="inlineStr">
        <is>
          <t>% of core EV</t>
        </is>
      </c>
      <c r="C7" s="32">
        <f>DCF!B28</f>
        <v/>
      </c>
    </row>
    <row r="8">
      <c r="A8" s="6" t="inlineStr">
        <is>
          <t>+ Investments in associates &amp; JVs</t>
        </is>
      </c>
      <c r="B8" s="8" t="inlineStr">
        <is>
          <t>43.06% DIIC/TAWAL at carrying value</t>
        </is>
      </c>
      <c r="C8" s="20">
        <f>Assumptions!$B$20</f>
        <v/>
      </c>
    </row>
    <row r="9">
      <c r="A9" s="6" t="inlineStr">
        <is>
          <t>+ Telefónica 9.97%</t>
        </is>
      </c>
      <c r="B9" s="8" t="inlineStr">
        <is>
          <t>Market mark: 561mn sh × €3.50 × 4.40</t>
        </is>
      </c>
      <c r="C9" s="20">
        <f>Assumptions!$B$21</f>
        <v/>
      </c>
    </row>
    <row r="10">
      <c r="A10" s="6" t="inlineStr">
        <is>
          <t>− Net debt (IR basis, Q1-26)</t>
        </is>
      </c>
      <c r="B10" s="8" t="inlineStr">
        <is>
          <t>Total debt 22,475 − core cash 15,412</t>
        </is>
      </c>
      <c r="C10" s="20">
        <f>-Assumptions!$B$23</f>
        <v/>
      </c>
    </row>
    <row r="11">
      <c r="A11" s="6" t="inlineStr">
        <is>
          <t>− Non-controlling interests</t>
        </is>
      </c>
      <c r="B11" s="8" t="inlineStr">
        <is>
          <t>Book, 31-Mar-26</t>
        </is>
      </c>
      <c r="C11" s="20">
        <f>-Assumptions!$B$24</f>
        <v/>
      </c>
    </row>
    <row r="12">
      <c r="A12" s="17" t="inlineStr">
        <is>
          <t>Equity value</t>
        </is>
      </c>
      <c r="B12" s="6" t="inlineStr"/>
      <c r="C12" s="26">
        <f>C6+Assumptions!$B$20+Assumptions!$B$21-Assumptions!$B$23-Assumptions!$B$24</f>
        <v/>
      </c>
    </row>
    <row r="13">
      <c r="A13" s="17" t="inlineStr">
        <is>
          <t>DCF fair value per share (SAR)</t>
        </is>
      </c>
      <c r="B13" s="6" t="inlineStr"/>
      <c r="C13" s="31">
        <f>C12/Assumptions!$B$6</f>
        <v/>
      </c>
    </row>
    <row r="14">
      <c r="A14" s="17" t="inlineStr">
        <is>
          <t>Upside / (downside) vs spot</t>
        </is>
      </c>
      <c r="B14" s="6" t="inlineStr"/>
      <c r="C14" s="33">
        <f>C13/Assumptions!$B$5-1</f>
        <v/>
      </c>
    </row>
    <row r="16">
      <c r="A16" s="5" t="inlineStr">
        <is>
          <t>DDM — the locked dividend policy as a lens</t>
        </is>
      </c>
    </row>
    <row r="17">
      <c r="A17" s="17" t="inlineStr">
        <is>
          <t>DPS (SAR)</t>
        </is>
      </c>
      <c r="C17" s="30">
        <f>Assumptions!C26</f>
        <v/>
      </c>
      <c r="D17" s="30">
        <f>Assumptions!D26</f>
        <v/>
      </c>
      <c r="E17" s="30">
        <f>Assumptions!E26</f>
        <v/>
      </c>
      <c r="F17" s="30">
        <f>Assumptions!F26</f>
        <v/>
      </c>
      <c r="G17" s="30">
        <f>Assumptions!G26</f>
        <v/>
      </c>
    </row>
    <row r="18">
      <c r="A18" s="6" t="inlineStr">
        <is>
          <t>PV of DPS @ Ke</t>
        </is>
      </c>
      <c r="C18" s="27">
        <f>C17/(1+Assumptions!$B$13)^1</f>
        <v/>
      </c>
      <c r="D18" s="27">
        <f>D17/(1+Assumptions!$B$13)^2</f>
        <v/>
      </c>
      <c r="E18" s="27">
        <f>E17/(1+Assumptions!$B$13)^3</f>
        <v/>
      </c>
      <c r="F18" s="27">
        <f>F17/(1+Assumptions!$B$13)^4</f>
        <v/>
      </c>
      <c r="G18" s="27">
        <f>G17/(1+Assumptions!$B$13)^5</f>
        <v/>
      </c>
    </row>
    <row r="19">
      <c r="A19" s="18" t="inlineStr">
        <is>
          <t>Σ PV of explicit DPS (FY26–30E)</t>
        </is>
      </c>
      <c r="C19" s="27">
        <f>SUM(C18:G18)</f>
        <v/>
      </c>
    </row>
    <row r="20">
      <c r="A20" s="18" t="inlineStr">
        <is>
          <t>Terminal value = DPS30 × (1+g) / (Ke − g)</t>
        </is>
      </c>
      <c r="C20" s="27">
        <f>G17*(1+Assumptions!$B$27)/(Assumptions!$B$13-Assumptions!$B$27)</f>
        <v/>
      </c>
    </row>
    <row r="21">
      <c r="A21" s="18" t="inlineStr">
        <is>
          <t>PV of terminal value</t>
        </is>
      </c>
      <c r="C21" s="27">
        <f>C20/(1+Assumptions!$B$13)^5</f>
        <v/>
      </c>
    </row>
    <row r="22">
      <c r="A22" s="17" t="inlineStr">
        <is>
          <t>DDM fair value per share (SAR)</t>
        </is>
      </c>
      <c r="C22" s="24">
        <f>C19+C21</f>
        <v/>
      </c>
    </row>
    <row r="23">
      <c r="A23" s="18" t="inlineStr">
        <is>
          <t xml:space="preserve">  terminal as % of DDM value (device A-7)</t>
        </is>
      </c>
      <c r="C23" s="19">
        <f>C21/C22</f>
        <v/>
      </c>
    </row>
    <row r="25">
      <c r="A25" s="8" t="inlineStr">
        <is>
          <t>Market-implied read: at spot, the market pays ≈ core EV of SAR 209bn for operations that produce ~SAR 10–11bn of model FCFF — an implied core FCFF yield of ~5% against a 7.6% WACC, i.e. the market already prices a large share of the terminal growth. The regular dividend (SAR 2.20 ≈ 5.0% yield) is ~0.9–1.0× covered by model FY26E FCF at the guided capex band — the balance sheet (SAR 15.4bn core cash) carries the difference; §1.7 of the study sensitizes this in real units.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eleven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8" t="inlineStr">
        <is>
          <t>stc</t>
        </is>
      </c>
      <c r="B6" s="9" t="n">
        <v>49218.179</v>
      </c>
      <c r="C6" s="9" t="n">
        <v>49643.893</v>
      </c>
      <c r="D6" s="9" t="n">
        <v>51119.024</v>
      </c>
      <c r="E6" s="18">
        <f>D6*(1+Assumptions!$C$54)*(1+Assumptions!$C$56)*Assumptions!$C$55</f>
        <v/>
      </c>
      <c r="F6" s="18">
        <f>E6*(1+Assumptions!$D$54)*(1+Assumptions!$D$56)*Assumptions!$D$55</f>
        <v/>
      </c>
      <c r="G6" s="18">
        <f>F6*(1+Assumptions!$E$54)*(1+Assumptions!$E$56)*Assumptions!$E$55</f>
        <v/>
      </c>
      <c r="H6" s="18">
        <f>G6*(1+Assumptions!$F$54)*(1+Assumptions!$F$56)*Assumptions!$F$55</f>
        <v/>
      </c>
      <c r="I6" s="18">
        <f>H6*(1+Assumptions!$G$54)*(1+Assumptions!$G$56)*Assumptions!$G$55</f>
        <v/>
      </c>
    </row>
    <row r="7">
      <c r="A7" s="18" t="inlineStr">
        <is>
          <t>Channels</t>
        </is>
      </c>
      <c r="B7" s="9" t="n">
        <v>14194.21</v>
      </c>
      <c r="C7" s="9" t="n">
        <v>15110.606</v>
      </c>
      <c r="D7" s="9" t="n">
        <v>14085.195</v>
      </c>
      <c r="E7" s="18">
        <f>D7*(1+Assumptions!$C$51)*(1+Assumptions!$C$56)*Assumptions!$C$55</f>
        <v/>
      </c>
      <c r="F7" s="18">
        <f>E7*(1+Assumptions!$D$51)*(1+Assumptions!$D$56)*Assumptions!$D$55</f>
        <v/>
      </c>
      <c r="G7" s="18">
        <f>F7*(1+Assumptions!$E$51)*(1+Assumptions!$E$56)*Assumptions!$E$55</f>
        <v/>
      </c>
      <c r="H7" s="18">
        <f>G7*(1+Assumptions!$F$51)*(1+Assumptions!$F$56)*Assumptions!$F$55</f>
        <v/>
      </c>
      <c r="I7" s="18">
        <f>H7*(1+Assumptions!$G$51)*(1+Assumptions!$G$56)*Assumptions!$G$55</f>
        <v/>
      </c>
    </row>
    <row r="8">
      <c r="A8" s="18" t="inlineStr">
        <is>
          <t>Solutions</t>
        </is>
      </c>
      <c r="B8" s="9" t="n">
        <v>11040.493</v>
      </c>
      <c r="C8" s="9" t="n">
        <v>12063.897</v>
      </c>
      <c r="D8" s="9" t="n">
        <v>12730.189</v>
      </c>
      <c r="E8" s="18">
        <f>D8*(1+Assumptions!$C$46)*(1+Assumptions!$C$56)*Assumptions!$C$55</f>
        <v/>
      </c>
      <c r="F8" s="18">
        <f>E8*(1+Assumptions!$D$46)*(1+Assumptions!$D$56)*Assumptions!$D$55</f>
        <v/>
      </c>
      <c r="G8" s="18">
        <f>F8*(1+Assumptions!$E$46)*(1+Assumptions!$E$56)*Assumptions!$E$55</f>
        <v/>
      </c>
      <c r="H8" s="18">
        <f>G8*(1+Assumptions!$F$46)*(1+Assumptions!$F$56)*Assumptions!$F$55</f>
        <v/>
      </c>
      <c r="I8" s="18">
        <f>H8*(1+Assumptions!$G$46)*(1+Assumptions!$G$56)*Assumptions!$G$55</f>
        <v/>
      </c>
    </row>
    <row r="9">
      <c r="A9" s="18" t="inlineStr">
        <is>
          <t>stc Kuwait</t>
        </is>
      </c>
      <c r="B9" s="9" t="n">
        <v>3986.034</v>
      </c>
      <c r="C9" s="9" t="n">
        <v>4105.483</v>
      </c>
      <c r="D9" s="9" t="n">
        <v>4179.842</v>
      </c>
      <c r="E9" s="18">
        <f>D9*(1+Assumptions!$C$52)*(1+Assumptions!$C$56)*Assumptions!$C$55</f>
        <v/>
      </c>
      <c r="F9" s="18">
        <f>E9*(1+Assumptions!$D$52)*(1+Assumptions!$D$56)*Assumptions!$D$55</f>
        <v/>
      </c>
      <c r="G9" s="18">
        <f>F9*(1+Assumptions!$E$52)*(1+Assumptions!$E$56)*Assumptions!$E$55</f>
        <v/>
      </c>
      <c r="H9" s="18">
        <f>G9*(1+Assumptions!$F$52)*(1+Assumptions!$F$56)*Assumptions!$F$55</f>
        <v/>
      </c>
      <c r="I9" s="18">
        <f>H9*(1+Assumptions!$G$52)*(1+Assumptions!$G$56)*Assumptions!$G$55</f>
        <v/>
      </c>
    </row>
    <row r="10">
      <c r="A10" s="18" t="inlineStr">
        <is>
          <t>stc Bahrain</t>
        </is>
      </c>
      <c r="B10" s="9" t="n">
        <v>1913.287</v>
      </c>
      <c r="C10" s="9" t="n">
        <v>1927.967</v>
      </c>
      <c r="D10" s="9" t="n">
        <v>1967.83</v>
      </c>
      <c r="E10" s="18">
        <f>D10*(1+Assumptions!$C$53)*(1+Assumptions!$C$56)*Assumptions!$C$55</f>
        <v/>
      </c>
      <c r="F10" s="18">
        <f>E10*(1+Assumptions!$D$53)*(1+Assumptions!$D$56)*Assumptions!$D$55</f>
        <v/>
      </c>
      <c r="G10" s="18">
        <f>F10*(1+Assumptions!$E$53)*(1+Assumptions!$E$56)*Assumptions!$E$55</f>
        <v/>
      </c>
      <c r="H10" s="18">
        <f>G10*(1+Assumptions!$F$53)*(1+Assumptions!$F$56)*Assumptions!$F$55</f>
        <v/>
      </c>
      <c r="I10" s="18">
        <f>H10*(1+Assumptions!$G$53)*(1+Assumptions!$G$56)*Assumptions!$G$55</f>
        <v/>
      </c>
    </row>
    <row r="11">
      <c r="A11" s="18" t="inlineStr">
        <is>
          <t>Center 3</t>
        </is>
      </c>
      <c r="B11" s="9" t="n">
        <v>1089.218</v>
      </c>
      <c r="C11" s="9" t="n">
        <v>1911.716</v>
      </c>
      <c r="D11" s="9" t="n">
        <v>1961.666</v>
      </c>
      <c r="E11" s="18">
        <f>D11*(1+Assumptions!$C$47)*(1+Assumptions!$C$56)*Assumptions!$C$55</f>
        <v/>
      </c>
      <c r="F11" s="18">
        <f>E11*(1+Assumptions!$D$47)*(1+Assumptions!$D$56)*Assumptions!$D$55</f>
        <v/>
      </c>
      <c r="G11" s="18">
        <f>F11*(1+Assumptions!$E$47)*(1+Assumptions!$E$56)*Assumptions!$E$55</f>
        <v/>
      </c>
      <c r="H11" s="18">
        <f>G11*(1+Assumptions!$F$47)*(1+Assumptions!$F$56)*Assumptions!$F$55</f>
        <v/>
      </c>
      <c r="I11" s="18">
        <f>H11*(1+Assumptions!$G$47)*(1+Assumptions!$G$56)*Assumptions!$G$55</f>
        <v/>
      </c>
    </row>
    <row r="12">
      <c r="A12" s="18" t="inlineStr">
        <is>
          <t>stc Bank</t>
        </is>
      </c>
      <c r="B12" s="9" t="n">
        <v>1063.006</v>
      </c>
      <c r="C12" s="9" t="n">
        <v>1261.646</v>
      </c>
      <c r="D12" s="9" t="n">
        <v>1401.027</v>
      </c>
      <c r="E12" s="18">
        <f>D12*(1+Assumptions!$C$44)*(1+Assumptions!$C$56)*Assumptions!$C$55</f>
        <v/>
      </c>
      <c r="F12" s="18">
        <f>E12*(1+Assumptions!$D$44)*(1+Assumptions!$D$56)*Assumptions!$D$55</f>
        <v/>
      </c>
      <c r="G12" s="18">
        <f>F12*(1+Assumptions!$E$44)*(1+Assumptions!$E$56)*Assumptions!$E$55</f>
        <v/>
      </c>
      <c r="H12" s="18">
        <f>G12*(1+Assumptions!$F$44)*(1+Assumptions!$F$56)*Assumptions!$F$55</f>
        <v/>
      </c>
      <c r="I12" s="18">
        <f>H12*(1+Assumptions!$G$44)*(1+Assumptions!$G$56)*Assumptions!$G$55</f>
        <v/>
      </c>
    </row>
    <row r="13">
      <c r="A13" s="18" t="inlineStr">
        <is>
          <t>Sirar</t>
        </is>
      </c>
      <c r="B13" s="9" t="n">
        <v>588.606</v>
      </c>
      <c r="C13" s="9" t="n">
        <v>732.675</v>
      </c>
      <c r="D13" s="9" t="n">
        <v>826.545</v>
      </c>
      <c r="E13" s="18">
        <f>D13*(1+Assumptions!$C$43)*(1+Assumptions!$C$56)*Assumptions!$C$55</f>
        <v/>
      </c>
      <c r="F13" s="18">
        <f>E13*(1+Assumptions!$D$43)*(1+Assumptions!$D$56)*Assumptions!$D$55</f>
        <v/>
      </c>
      <c r="G13" s="18">
        <f>F13*(1+Assumptions!$E$43)*(1+Assumptions!$E$56)*Assumptions!$E$55</f>
        <v/>
      </c>
      <c r="H13" s="18">
        <f>G13*(1+Assumptions!$F$43)*(1+Assumptions!$F$56)*Assumptions!$F$55</f>
        <v/>
      </c>
      <c r="I13" s="18">
        <f>H13*(1+Assumptions!$G$43)*(1+Assumptions!$G$56)*Assumptions!$G$55</f>
        <v/>
      </c>
    </row>
    <row r="14">
      <c r="A14" s="18" t="inlineStr">
        <is>
          <t>Specialized</t>
        </is>
      </c>
      <c r="B14" s="9" t="n">
        <v>397.492</v>
      </c>
      <c r="C14" s="9" t="n">
        <v>371.763</v>
      </c>
      <c r="D14" s="9" t="n">
        <v>355.306</v>
      </c>
      <c r="E14" s="18">
        <f>D14*(1+Assumptions!$C$45)*(1+Assumptions!$C$56)*Assumptions!$C$55</f>
        <v/>
      </c>
      <c r="F14" s="18">
        <f>E14*(1+Assumptions!$D$45)*(1+Assumptions!$D$56)*Assumptions!$D$55</f>
        <v/>
      </c>
      <c r="G14" s="18">
        <f>F14*(1+Assumptions!$E$45)*(1+Assumptions!$E$56)*Assumptions!$E$55</f>
        <v/>
      </c>
      <c r="H14" s="18">
        <f>G14*(1+Assumptions!$F$45)*(1+Assumptions!$F$56)*Assumptions!$F$55</f>
        <v/>
      </c>
      <c r="I14" s="18">
        <f>H14*(1+Assumptions!$G$45)*(1+Assumptions!$G$56)*Assumptions!$G$55</f>
        <v/>
      </c>
    </row>
    <row r="15">
      <c r="A15" s="18" t="inlineStr">
        <is>
          <t>iot2</t>
        </is>
      </c>
      <c r="B15" s="9" t="n">
        <v>72.539</v>
      </c>
      <c r="C15" s="9" t="n">
        <v>301.434</v>
      </c>
      <c r="D15" s="9" t="n">
        <v>321.668</v>
      </c>
      <c r="E15" s="18">
        <f>D15*(1+Assumptions!$C$48)*(1+Assumptions!$C$56)*Assumptions!$C$55</f>
        <v/>
      </c>
      <c r="F15" s="18">
        <f>E15*(1+Assumptions!$D$48)*(1+Assumptions!$D$56)*Assumptions!$D$55</f>
        <v/>
      </c>
      <c r="G15" s="18">
        <f>F15*(1+Assumptions!$E$48)*(1+Assumptions!$E$56)*Assumptions!$E$55</f>
        <v/>
      </c>
      <c r="H15" s="18">
        <f>G15*(1+Assumptions!$F$48)*(1+Assumptions!$F$56)*Assumptions!$F$55</f>
        <v/>
      </c>
      <c r="I15" s="18">
        <f>H15*(1+Assumptions!$G$48)*(1+Assumptions!$G$56)*Assumptions!$G$55</f>
        <v/>
      </c>
    </row>
    <row r="16">
      <c r="A16" s="18" t="inlineStr">
        <is>
          <t>SCCC</t>
        </is>
      </c>
      <c r="B16" s="9" t="n">
        <v>72.15000000000001</v>
      </c>
      <c r="C16" s="9" t="n">
        <v>187.904</v>
      </c>
      <c r="D16" s="9" t="n">
        <v>303.969</v>
      </c>
      <c r="E16" s="18">
        <f>D16*(1+Assumptions!$C$49)*(1+Assumptions!$C$56)*Assumptions!$C$55</f>
        <v/>
      </c>
      <c r="F16" s="18">
        <f>E16*(1+Assumptions!$D$49)*(1+Assumptions!$D$56)*Assumptions!$D$55</f>
        <v/>
      </c>
      <c r="G16" s="18">
        <f>F16*(1+Assumptions!$E$49)*(1+Assumptions!$E$56)*Assumptions!$E$55</f>
        <v/>
      </c>
      <c r="H16" s="18">
        <f>G16*(1+Assumptions!$F$49)*(1+Assumptions!$F$56)*Assumptions!$F$55</f>
        <v/>
      </c>
      <c r="I16" s="18">
        <f>H16*(1+Assumptions!$G$49)*(1+Assumptions!$G$56)*Assumptions!$G$55</f>
        <v/>
      </c>
    </row>
    <row r="17">
      <c r="A17" s="18" t="inlineStr">
        <is>
          <t>Other operating segments</t>
        </is>
      </c>
      <c r="B17" s="9" t="n">
        <v>709.843</v>
      </c>
      <c r="C17" s="9" t="n">
        <v>729.345</v>
      </c>
      <c r="D17" s="9" t="n">
        <v>65.059</v>
      </c>
      <c r="E17" s="18">
        <f>D17*(1+Assumptions!$C$50)*(1+Assumptions!$C$56)*Assumptions!$C$55</f>
        <v/>
      </c>
      <c r="F17" s="18">
        <f>E17*(1+Assumptions!$D$50)*(1+Assumptions!$D$56)*Assumptions!$D$55</f>
        <v/>
      </c>
      <c r="G17" s="18">
        <f>F17*(1+Assumptions!$E$50)*(1+Assumptions!$E$56)*Assumptions!$E$55</f>
        <v/>
      </c>
      <c r="H17" s="18">
        <f>G17*(1+Assumptions!$F$50)*(1+Assumptions!$F$56)*Assumptions!$F$55</f>
        <v/>
      </c>
      <c r="I17" s="18">
        <f>H17*(1+Assumptions!$G$50)*(1+Assumptions!$G$56)*Assumptions!$G$55</f>
        <v/>
      </c>
    </row>
    <row r="18">
      <c r="A18" s="18" t="inlineStr">
        <is>
          <t>Gross segment revenue</t>
        </is>
      </c>
      <c r="B18" s="6">
        <f>SUM(B6:B17)</f>
        <v/>
      </c>
      <c r="C18" s="6">
        <f>SUM(C6:C17)</f>
        <v/>
      </c>
      <c r="D18" s="6">
        <f>SUM(D6:D17)</f>
        <v/>
      </c>
      <c r="E18" s="18">
        <f>SUM(E6:E17)</f>
        <v/>
      </c>
      <c r="F18" s="18">
        <f>SUM(F6:F17)</f>
        <v/>
      </c>
      <c r="G18" s="18">
        <f>SUM(G6:G17)</f>
        <v/>
      </c>
      <c r="H18" s="18">
        <f>SUM(H6:H17)</f>
        <v/>
      </c>
      <c r="I18" s="18">
        <f>SUM(I6:I17)</f>
        <v/>
      </c>
    </row>
    <row r="19">
      <c r="A19" s="18" t="inlineStr">
        <is>
          <t>Eliminations / adjustments</t>
        </is>
      </c>
      <c r="B19" s="9" t="n">
        <v>-12567.896</v>
      </c>
      <c r="C19" s="9" t="n">
        <v>-12454.916</v>
      </c>
      <c r="D19" s="9" t="n">
        <v>-11498.645</v>
      </c>
      <c r="E19" s="18">
        <f>E18*Assumptions!$C$57</f>
        <v/>
      </c>
      <c r="F19" s="18">
        <f>F18*Assumptions!$D$57</f>
        <v/>
      </c>
      <c r="G19" s="18">
        <f>G18*Assumptions!$E$57</f>
        <v/>
      </c>
      <c r="H19" s="18">
        <f>H18*Assumptions!$F$57</f>
        <v/>
      </c>
      <c r="I19" s="18">
        <f>I18*Assumptions!$G$57</f>
        <v/>
      </c>
    </row>
    <row r="20">
      <c r="A20" s="18" t="inlineStr">
        <is>
          <t>Group revenue</t>
        </is>
      </c>
      <c r="B20" s="6">
        <f>B18+B19</f>
        <v/>
      </c>
      <c r="C20" s="6">
        <f>C18+C19</f>
        <v/>
      </c>
      <c r="D20" s="6">
        <f>D18+D19</f>
        <v/>
      </c>
      <c r="E20" s="18">
        <f>E18+E19</f>
        <v/>
      </c>
      <c r="F20" s="18">
        <f>F18+F19</f>
        <v/>
      </c>
      <c r="G20" s="18">
        <f>G18+G19</f>
        <v/>
      </c>
      <c r="H20" s="18">
        <f>H18+H19</f>
        <v/>
      </c>
      <c r="I20" s="18">
        <f>I18+I19</f>
        <v/>
      </c>
    </row>
    <row r="22">
      <c r="A22" s="18" t="inlineStr">
        <is>
          <t>Group EBITDA</t>
        </is>
      </c>
      <c r="B22" s="9" t="n">
        <v>22445</v>
      </c>
      <c r="C22" s="9" t="n">
        <v>23951</v>
      </c>
      <c r="D22" s="9" t="n">
        <v>24469</v>
      </c>
      <c r="E22" s="18">
        <f>E20*Assumptions!$C$58</f>
        <v/>
      </c>
      <c r="F22" s="18">
        <f>F20*Assumptions!$D$58</f>
        <v/>
      </c>
      <c r="G22" s="18">
        <f>G20*Assumptions!$E$58</f>
        <v/>
      </c>
      <c r="H22" s="18">
        <f>H20*Assumptions!$F$58</f>
        <v/>
      </c>
      <c r="I22" s="18">
        <f>I20*Assumptions!$G$58</f>
        <v/>
      </c>
    </row>
    <row r="23">
      <c r="A23" s="18" t="inlineStr">
        <is>
          <t>EBITDA margin</t>
        </is>
      </c>
      <c r="B23" s="19">
        <f>B22/B20</f>
        <v/>
      </c>
      <c r="C23" s="19">
        <f>C22/C20</f>
        <v/>
      </c>
      <c r="D23" s="19">
        <f>D22/D20</f>
        <v/>
      </c>
      <c r="E23" s="19">
        <f>E22/E20</f>
        <v/>
      </c>
      <c r="F23" s="19">
        <f>F22/F20</f>
        <v/>
      </c>
      <c r="G23" s="19">
        <f>G22/G20</f>
        <v/>
      </c>
      <c r="H23" s="19">
        <f>H22/H20</f>
        <v/>
      </c>
      <c r="I23" s="19">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8" t="inlineStr">
        <is>
          <t>Relative EV/EBITDA</t>
        </is>
      </c>
      <c r="B6" s="8" t="inlineStr">
        <is>
          <t>FY26E EBITDA × justified multiple + stakes − net debt − NCI, /sh</t>
        </is>
      </c>
      <c r="C6" s="30">
        <f>(DCF!B7*Assumptions!$B$30+Assumptions!$B$20+Assumptions!$B$21+Assumptions!$B$22-Assumptions!$B$23)*(1-Assumptions!$B$28)/Assumptions!$B$6</f>
        <v/>
      </c>
    </row>
    <row r="7">
      <c r="A7" s="18" t="inlineStr">
        <is>
          <t xml:space="preserve">  implied P/E cross-check at that value</t>
        </is>
      </c>
      <c r="C7" s="34">
        <f>C6*Assumptions!$B$6/Assumptions!$B$31</f>
        <v/>
      </c>
    </row>
    <row r="8">
      <c r="A8" s="18" t="inlineStr">
        <is>
          <t xml:space="preserve">  IS-build FY26E EPS, for reference</t>
        </is>
      </c>
      <c r="C8" s="30">
        <f>'Income Statement'!E21</f>
        <v/>
      </c>
    </row>
    <row r="9">
      <c r="A9" s="18" t="inlineStr">
        <is>
          <t>Normalized earnings power</t>
        </is>
      </c>
      <c r="B9" s="8" t="inlineStr">
        <is>
          <t>Normalized PAT (ex one-offs) × through-cycle P/E, /sh</t>
        </is>
      </c>
      <c r="C9" s="30">
        <f>Assumptions!$B$32*Assumptions!$B$33/Assumptions!$B$6</f>
        <v/>
      </c>
    </row>
    <row r="10">
      <c r="A10" s="18" t="inlineStr">
        <is>
          <t xml:space="preserve">  normalized EPS (SAR)</t>
        </is>
      </c>
      <c r="C10" s="30">
        <f>Assumptions!$B$32/Assumptions!$B$6</f>
        <v/>
      </c>
    </row>
    <row r="12">
      <c r="A12" s="18" t="inlineStr">
        <is>
          <t>P/B cross-check: spot / FY25 BVPS</t>
        </is>
      </c>
      <c r="C12" s="34">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20">
        <f>Segments!E20</f>
        <v/>
      </c>
      <c r="C6" s="20">
        <f>Segments!F20</f>
        <v/>
      </c>
      <c r="D6" s="20">
        <f>Segments!G20</f>
        <v/>
      </c>
      <c r="E6" s="20">
        <f>Segments!H20</f>
        <v/>
      </c>
      <c r="F6" s="20">
        <f>Segments!I20</f>
        <v/>
      </c>
    </row>
    <row r="7">
      <c r="A7" s="6" t="inlineStr">
        <is>
          <t>EBITDA</t>
        </is>
      </c>
      <c r="B7" s="20">
        <f>Segments!E22</f>
        <v/>
      </c>
      <c r="C7" s="20">
        <f>Segments!F22</f>
        <v/>
      </c>
      <c r="D7" s="20">
        <f>Segments!G22</f>
        <v/>
      </c>
      <c r="E7" s="20">
        <f>Segments!H22</f>
        <v/>
      </c>
      <c r="F7" s="20">
        <f>Segments!I22</f>
        <v/>
      </c>
    </row>
    <row r="8">
      <c r="A8" s="6" t="inlineStr">
        <is>
          <t>D&amp;A</t>
        </is>
      </c>
      <c r="B8" s="18">
        <f>-B6*Assumptions!$C$59</f>
        <v/>
      </c>
      <c r="C8" s="18">
        <f>-C6*Assumptions!$D$59</f>
        <v/>
      </c>
      <c r="D8" s="18">
        <f>-D6*Assumptions!$E$59</f>
        <v/>
      </c>
      <c r="E8" s="18">
        <f>-E6*Assumptions!$F$59</f>
        <v/>
      </c>
      <c r="F8" s="18">
        <f>-F6*Assumptions!$G$59</f>
        <v/>
      </c>
    </row>
    <row r="9">
      <c r="A9" s="6" t="inlineStr">
        <is>
          <t>EBIT</t>
        </is>
      </c>
      <c r="B9" s="18">
        <f>B7+B8</f>
        <v/>
      </c>
      <c r="C9" s="18">
        <f>C7+C8</f>
        <v/>
      </c>
      <c r="D9" s="18">
        <f>D7+D8</f>
        <v/>
      </c>
      <c r="E9" s="18">
        <f>E7+E8</f>
        <v/>
      </c>
      <c r="F9" s="18">
        <f>F7+F8</f>
        <v/>
      </c>
    </row>
    <row r="10">
      <c r="A10" s="6" t="inlineStr">
        <is>
          <t>NOPAT = EBIT × (1 − zakat/tax)</t>
        </is>
      </c>
      <c r="B10" s="18">
        <f>B9*(1-Assumptions!$B$7)</f>
        <v/>
      </c>
      <c r="C10" s="18">
        <f>C9*(1-Assumptions!$B$7)</f>
        <v/>
      </c>
      <c r="D10" s="18">
        <f>D9*(1-Assumptions!$B$7)</f>
        <v/>
      </c>
      <c r="E10" s="18">
        <f>E9*(1-Assumptions!$B$7)</f>
        <v/>
      </c>
      <c r="F10" s="18">
        <f>F9*(1-Assumptions!$B$7)</f>
        <v/>
      </c>
    </row>
    <row r="11">
      <c r="A11" s="6" t="inlineStr">
        <is>
          <t>+ D&amp;A</t>
        </is>
      </c>
      <c r="B11" s="18">
        <f>-B8</f>
        <v/>
      </c>
      <c r="C11" s="18">
        <f>-C8</f>
        <v/>
      </c>
      <c r="D11" s="18">
        <f>-D8</f>
        <v/>
      </c>
      <c r="E11" s="18">
        <f>-E8</f>
        <v/>
      </c>
      <c r="F11" s="18">
        <f>-F8</f>
        <v/>
      </c>
    </row>
    <row r="12">
      <c r="A12" s="6" t="inlineStr">
        <is>
          <t>− Capex</t>
        </is>
      </c>
      <c r="B12" s="18">
        <f>-B6*Assumptions!$C$60</f>
        <v/>
      </c>
      <c r="C12" s="18">
        <f>-C6*Assumptions!$D$60</f>
        <v/>
      </c>
      <c r="D12" s="18">
        <f>-D6*Assumptions!$E$60</f>
        <v/>
      </c>
      <c r="E12" s="18">
        <f>-E6*Assumptions!$F$60</f>
        <v/>
      </c>
      <c r="F12" s="18">
        <f>-F6*Assumptions!$G$60</f>
        <v/>
      </c>
    </row>
    <row r="13">
      <c r="A13" s="6" t="inlineStr">
        <is>
          <t>− Increase in net working capital</t>
        </is>
      </c>
      <c r="B13" s="18">
        <f>-B6*Assumptions!$C$61</f>
        <v/>
      </c>
      <c r="C13" s="18">
        <f>-C6*Assumptions!$D$61</f>
        <v/>
      </c>
      <c r="D13" s="18">
        <f>-D6*Assumptions!$E$61</f>
        <v/>
      </c>
      <c r="E13" s="18">
        <f>-E6*Assumptions!$F$61</f>
        <v/>
      </c>
      <c r="F13" s="18">
        <f>-F6*Assumptions!$G$61</f>
        <v/>
      </c>
    </row>
    <row r="14">
      <c r="A14" s="17" t="inlineStr">
        <is>
          <t>FCFF</t>
        </is>
      </c>
      <c r="B14" s="21">
        <f>SUM(B10:B13)</f>
        <v/>
      </c>
      <c r="C14" s="21">
        <f>SUM(C10:C13)</f>
        <v/>
      </c>
      <c r="D14" s="21">
        <f>SUM(D10:D13)</f>
        <v/>
      </c>
      <c r="E14" s="21">
        <f>SUM(E10:E13)</f>
        <v/>
      </c>
      <c r="F14" s="21">
        <f>SUM(F10:F13)</f>
        <v/>
      </c>
    </row>
    <row r="15">
      <c r="A15" s="6" t="inlineStr">
        <is>
          <t>Discount factor</t>
        </is>
      </c>
      <c r="B15" s="22">
        <f>1/(1+Assumptions!$B$17)^1</f>
        <v/>
      </c>
      <c r="C15" s="22">
        <f>1/(1+Assumptions!$B$17)^2</f>
        <v/>
      </c>
      <c r="D15" s="22">
        <f>1/(1+Assumptions!$B$17)^3</f>
        <v/>
      </c>
      <c r="E15" s="22">
        <f>1/(1+Assumptions!$B$17)^4</f>
        <v/>
      </c>
      <c r="F15" s="22">
        <f>1/(1+Assumptions!$B$17)^5</f>
        <v/>
      </c>
    </row>
    <row r="16">
      <c r="A16" s="17" t="inlineStr">
        <is>
          <t>PV of FCFF</t>
        </is>
      </c>
      <c r="B16" s="21">
        <f>B14*B15</f>
        <v/>
      </c>
      <c r="C16" s="21">
        <f>C14*C15</f>
        <v/>
      </c>
      <c r="D16" s="21">
        <f>D14*D15</f>
        <v/>
      </c>
      <c r="E16" s="21">
        <f>E14*E15</f>
        <v/>
      </c>
      <c r="F16" s="21">
        <f>F14*F15</f>
        <v/>
      </c>
    </row>
    <row r="18">
      <c r="A18" s="17" t="inlineStr">
        <is>
          <t>Σ PV of explicit FCFF (FY26–30E)</t>
        </is>
      </c>
      <c r="B18" s="21">
        <f>SUM(B16:F16)</f>
        <v/>
      </c>
    </row>
    <row r="19">
      <c r="A19" s="6" t="inlineStr">
        <is>
          <t>Terminal NOPAT</t>
        </is>
      </c>
      <c r="B19" s="18" t="n">
        <v>15445.66512484251</v>
      </c>
    </row>
    <row r="20">
      <c r="A20" s="6" t="inlineStr">
        <is>
          <t>+ book depreciation added back</t>
        </is>
      </c>
      <c r="B20" s="18" t="n">
        <v>11436.60312602409</v>
      </c>
    </row>
    <row r="21">
      <c r="A21" s="6" t="inlineStr">
        <is>
          <t>- maintenance at current cost (disclosed life 15.23 years)</t>
        </is>
      </c>
      <c r="B21" s="18" t="n">
        <v>-15461.02067352931</v>
      </c>
    </row>
    <row r="22">
      <c r="A22" s="6" t="inlineStr">
        <is>
          <t>- capital that real growth needs</t>
        </is>
      </c>
      <c r="B22" s="18" t="n">
        <v>0</v>
      </c>
    </row>
    <row r="23">
      <c r="A23" s="6" t="inlineStr">
        <is>
          <t>- inflation on working capital</t>
        </is>
      </c>
      <c r="B23" s="18" t="n">
        <v>-271.10088</v>
      </c>
    </row>
    <row r="24">
      <c r="A24" s="17" t="inlineStr">
        <is>
          <t>Terminal free cash flow</t>
        </is>
      </c>
      <c r="B24" s="21">
        <f>SUM(B19:B23)</f>
        <v/>
      </c>
    </row>
    <row r="25">
      <c r="A25" s="6" t="inlineStr">
        <is>
          <t>Terminal value</t>
        </is>
      </c>
      <c r="B25" s="18">
        <f>B24*(1+Assumptions!$B$18)/(Assumptions!$B$17-Assumptions!$B$18)</f>
        <v/>
      </c>
    </row>
    <row r="26">
      <c r="A26" s="6" t="inlineStr">
        <is>
          <t>PV of terminal value</t>
        </is>
      </c>
      <c r="B26" s="18">
        <f>B25*F15</f>
        <v/>
      </c>
    </row>
    <row r="27">
      <c r="A27" s="17" t="inlineStr">
        <is>
          <t>Enterprise value — core operations</t>
        </is>
      </c>
      <c r="B27" s="21">
        <f>B18+B26</f>
        <v/>
      </c>
    </row>
    <row r="28">
      <c r="A28" s="17" t="inlineStr">
        <is>
          <t>% terminal of EV (device A-7)</t>
        </is>
      </c>
      <c r="B28" s="23">
        <f>B26/B27</f>
        <v/>
      </c>
    </row>
    <row r="29">
      <c r="A29" s="6" t="inlineStr">
        <is>
          <t>+ Investments in associates (DIIC/TAWAL 43.06%)</t>
        </is>
      </c>
      <c r="B29" s="18">
        <f>Assumptions!$B$20</f>
        <v/>
      </c>
    </row>
    <row r="30">
      <c r="A30" s="6" t="inlineStr">
        <is>
          <t>+ Telefónica 9.97% (market mark)</t>
        </is>
      </c>
      <c r="B30" s="18">
        <f>Assumptions!$B$21</f>
        <v/>
      </c>
    </row>
    <row r="31">
      <c r="A31" s="6" t="inlineStr">
        <is>
          <t>− Net debt (IR basis, Q1-26)</t>
        </is>
      </c>
      <c r="B31" s="18">
        <f>-Assumptions!$B$23</f>
        <v/>
      </c>
    </row>
    <row r="32">
      <c r="A32" s="6" t="inlineStr">
        <is>
          <t>− Non-controlling interests</t>
        </is>
      </c>
      <c r="B32" s="18">
        <f>-Assumptions!$B$24</f>
        <v/>
      </c>
    </row>
    <row r="33">
      <c r="A33" s="6" t="inlineStr">
        <is>
          <t>+ Investment funds and unlisted equity investments</t>
        </is>
      </c>
      <c r="B33" s="18">
        <f>Assumptions!$B$22</f>
        <v/>
      </c>
    </row>
    <row r="34">
      <c r="A34" s="17" t="inlineStr">
        <is>
          <t>Equity value</t>
        </is>
      </c>
      <c r="B34" s="21">
        <f>B27+Assumptions!$B$20+Assumptions!$B$21+Assumptions!$B$22-Assumptions!$B$23-Assumptions!$B$24</f>
        <v/>
      </c>
    </row>
    <row r="35">
      <c r="A35" s="17" t="inlineStr">
        <is>
          <t>DCF fair value per share (SAR)</t>
        </is>
      </c>
      <c r="B35" s="24">
        <f>B34/Assumptions!$B$6</f>
        <v/>
      </c>
    </row>
    <row r="36">
      <c r="A36" s="6" t="inlineStr">
        <is>
          <t>Upside / (downside) vs spot</t>
        </is>
      </c>
      <c r="B36" s="19">
        <f>B35/Assumptions!$B$5-1</f>
        <v/>
      </c>
    </row>
    <row r="38">
      <c r="A38" s="8" t="inlineStr">
        <is>
          <t>WACC is built on Assumptions as Ke = rf + β×ERP blended with after-tax Kd (§3.5-G); the alternative CDS-based WACC is on Assumptions row 88. Terminal value is disclosed as % of EV above rather than blended away (device A-7).</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Total revenue</t>
        </is>
      </c>
      <c r="B6" s="25" t="n">
        <v>71777</v>
      </c>
      <c r="C6" s="25" t="n">
        <v>75893</v>
      </c>
      <c r="D6" s="25" t="n">
        <v>77819</v>
      </c>
      <c r="E6" s="26">
        <f>Segments!E20</f>
        <v/>
      </c>
      <c r="F6" s="26">
        <f>Segments!F20</f>
        <v/>
      </c>
      <c r="G6" s="26">
        <f>Segments!G20</f>
        <v/>
      </c>
      <c r="H6" s="26">
        <f>Segments!H20</f>
        <v/>
      </c>
      <c r="I6" s="26">
        <f>Segments!I20</f>
        <v/>
      </c>
    </row>
    <row r="7">
      <c r="A7" s="6" t="inlineStr">
        <is>
          <t>Gross profit</t>
        </is>
      </c>
      <c r="B7" s="9" t="n">
        <v>34740</v>
      </c>
      <c r="C7" s="9" t="n">
        <v>37326</v>
      </c>
      <c r="D7" s="9" t="n">
        <v>37700</v>
      </c>
      <c r="E7" s="18">
        <f>E6*0.485</f>
        <v/>
      </c>
      <c r="F7" s="18">
        <f>F6*0.485</f>
        <v/>
      </c>
      <c r="G7" s="18">
        <f>G6*0.485</f>
        <v/>
      </c>
      <c r="H7" s="18">
        <f>H6*0.485</f>
        <v/>
      </c>
      <c r="I7" s="18">
        <f>I6*0.485</f>
        <v/>
      </c>
    </row>
    <row r="8">
      <c r="A8" s="6" t="inlineStr">
        <is>
          <t>Gross margin</t>
        </is>
      </c>
      <c r="B8" s="19">
        <f>B7/B6</f>
        <v/>
      </c>
      <c r="C8" s="19">
        <f>C7/C6</f>
        <v/>
      </c>
      <c r="D8" s="19">
        <f>D7/D6</f>
        <v/>
      </c>
      <c r="E8" s="19">
        <f>E7/E6</f>
        <v/>
      </c>
      <c r="F8" s="19">
        <f>F7/F6</f>
        <v/>
      </c>
      <c r="G8" s="19">
        <f>G7/G6</f>
        <v/>
      </c>
      <c r="H8" s="19">
        <f>H7/H6</f>
        <v/>
      </c>
      <c r="I8" s="19">
        <f>I7/I6</f>
        <v/>
      </c>
    </row>
    <row r="9">
      <c r="A9" s="17" t="inlineStr">
        <is>
          <t>EBITDA</t>
        </is>
      </c>
      <c r="B9" s="25" t="n">
        <v>22445</v>
      </c>
      <c r="C9" s="25" t="n">
        <v>23951</v>
      </c>
      <c r="D9" s="25" t="n">
        <v>24469</v>
      </c>
      <c r="E9" s="26">
        <f>Segments!E22</f>
        <v/>
      </c>
      <c r="F9" s="26">
        <f>Segments!F22</f>
        <v/>
      </c>
      <c r="G9" s="26">
        <f>Segments!G22</f>
        <v/>
      </c>
      <c r="H9" s="26">
        <f>Segments!H22</f>
        <v/>
      </c>
      <c r="I9" s="26">
        <f>Segments!I22</f>
        <v/>
      </c>
    </row>
    <row r="10">
      <c r="A10" s="6" t="inlineStr">
        <is>
          <t>EBITDA margin</t>
        </is>
      </c>
      <c r="B10" s="19">
        <f>B9/B6</f>
        <v/>
      </c>
      <c r="C10" s="19">
        <f>C9/C6</f>
        <v/>
      </c>
      <c r="D10" s="19">
        <f>D9/D6</f>
        <v/>
      </c>
      <c r="E10" s="19">
        <f>E9/E6</f>
        <v/>
      </c>
      <c r="F10" s="19">
        <f>F9/F6</f>
        <v/>
      </c>
      <c r="G10" s="19">
        <f>G9/G6</f>
        <v/>
      </c>
      <c r="H10" s="19">
        <f>H9/H6</f>
        <v/>
      </c>
      <c r="I10" s="19">
        <f>I9/I6</f>
        <v/>
      </c>
    </row>
    <row r="11">
      <c r="A11" s="6" t="inlineStr">
        <is>
          <t>Depreciation, amortisation &amp; impairment</t>
        </is>
      </c>
      <c r="B11" s="9" t="n">
        <v>-9284</v>
      </c>
      <c r="C11" s="9" t="n">
        <v>-9525</v>
      </c>
      <c r="D11" s="9" t="n">
        <v>-10031</v>
      </c>
      <c r="E11" s="18">
        <f>-E6*Assumptions!$C$59</f>
        <v/>
      </c>
      <c r="F11" s="18">
        <f>-F6*Assumptions!$D$59</f>
        <v/>
      </c>
      <c r="G11" s="18">
        <f>-G6*Assumptions!$E$59</f>
        <v/>
      </c>
      <c r="H11" s="18">
        <f>-H6*Assumptions!$F$59</f>
        <v/>
      </c>
      <c r="I11" s="18">
        <f>-I6*Assumptions!$G$59</f>
        <v/>
      </c>
    </row>
    <row r="12">
      <c r="A12" s="17" t="inlineStr">
        <is>
          <t>Operating profit (EBIT)</t>
        </is>
      </c>
      <c r="B12" s="25" t="n">
        <v>13161</v>
      </c>
      <c r="C12" s="25" t="n">
        <v>14426</v>
      </c>
      <c r="D12" s="25" t="n">
        <v>14438</v>
      </c>
      <c r="E12" s="21">
        <f>E9+E11</f>
        <v/>
      </c>
      <c r="F12" s="21">
        <f>F9+F11</f>
        <v/>
      </c>
      <c r="G12" s="21">
        <f>G9+G11</f>
        <v/>
      </c>
      <c r="H12" s="21">
        <f>H9+H11</f>
        <v/>
      </c>
      <c r="I12" s="21">
        <f>I9+I11</f>
        <v/>
      </c>
    </row>
    <row r="13">
      <c r="A13" s="6" t="inlineStr">
        <is>
          <t>Share of associates &amp; JVs + net finance &amp; other</t>
        </is>
      </c>
      <c r="B13" s="9" t="n">
        <v>1461</v>
      </c>
      <c r="C13" s="9" t="n">
        <v>899</v>
      </c>
      <c r="D13" s="9" t="n">
        <v>285</v>
      </c>
      <c r="E13" s="18">
        <f>Assumptions!$C$62+Assumptions!$C$63+Assumptions!$C$64</f>
        <v/>
      </c>
      <c r="F13" s="18">
        <f>Assumptions!$D$62+Assumptions!$D$63+Assumptions!$D$64</f>
        <v/>
      </c>
      <c r="G13" s="18">
        <f>Assumptions!$E$62+Assumptions!$E$63+Assumptions!$E$64</f>
        <v/>
      </c>
      <c r="H13" s="18">
        <f>Assumptions!$F$62+Assumptions!$F$63+Assumptions!$F$64</f>
        <v/>
      </c>
      <c r="I13" s="18">
        <f>Assumptions!$G$62+Assumptions!$G$63+Assumptions!$G$64</f>
        <v/>
      </c>
    </row>
    <row r="14">
      <c r="A14" s="17" t="inlineStr">
        <is>
          <t>Profit before zakat &amp; income tax</t>
        </is>
      </c>
      <c r="B14" s="21" t="n">
        <v>14622</v>
      </c>
      <c r="C14" s="21" t="n">
        <v>15325</v>
      </c>
      <c r="D14" s="21" t="n">
        <v>14723</v>
      </c>
      <c r="E14" s="21">
        <f>E12+E13</f>
        <v/>
      </c>
      <c r="F14" s="21">
        <f>F12+F13</f>
        <v/>
      </c>
      <c r="G14" s="21">
        <f>G12+G13</f>
        <v/>
      </c>
      <c r="H14" s="21">
        <f>H12+H13</f>
        <v/>
      </c>
      <c r="I14" s="21">
        <f>I12+I13</f>
        <v/>
      </c>
    </row>
    <row r="15">
      <c r="A15" s="6" t="inlineStr">
        <is>
          <t>Zakat &amp; income tax</t>
        </is>
      </c>
      <c r="B15" s="9" t="n">
        <v>-1327</v>
      </c>
      <c r="C15" s="9" t="n">
        <v>-1192</v>
      </c>
      <c r="D15" s="9" t="n">
        <v>466</v>
      </c>
      <c r="E15" s="18">
        <f>-E14*Assumptions!$B$7</f>
        <v/>
      </c>
      <c r="F15" s="18">
        <f>-F14*Assumptions!$B$7</f>
        <v/>
      </c>
      <c r="G15" s="18">
        <f>-G14*Assumptions!$B$7</f>
        <v/>
      </c>
      <c r="H15" s="18">
        <f>-H14*Assumptions!$B$7</f>
        <v/>
      </c>
      <c r="I15" s="18">
        <f>-I14*Assumptions!$B$7</f>
        <v/>
      </c>
    </row>
    <row r="16">
      <c r="A16" s="17" t="inlineStr">
        <is>
          <t>Profit from continuing operations</t>
        </is>
      </c>
      <c r="B16" s="21" t="n">
        <v>12660</v>
      </c>
      <c r="C16" s="21" t="n">
        <v>10942</v>
      </c>
      <c r="D16" s="21" t="n">
        <v>15189</v>
      </c>
      <c r="E16" s="21">
        <f>E14+E15</f>
        <v/>
      </c>
      <c r="F16" s="21">
        <f>F14+F15</f>
        <v/>
      </c>
      <c r="G16" s="21">
        <f>G14+G15</f>
        <v/>
      </c>
      <c r="H16" s="21">
        <f>H14+H15</f>
        <v/>
      </c>
      <c r="I16" s="21">
        <f>I14+I15</f>
        <v/>
      </c>
    </row>
    <row r="17">
      <c r="A17" s="6" t="inlineStr">
        <is>
          <t>Profit from discontinued operations</t>
        </is>
      </c>
      <c r="B17" s="9" t="n">
        <v>759</v>
      </c>
      <c r="C17" s="9" t="n">
        <v>13973</v>
      </c>
      <c r="D17" s="9" t="n">
        <v>0</v>
      </c>
      <c r="E17" s="18">
        <f>0</f>
        <v/>
      </c>
      <c r="F17" s="18">
        <f>0</f>
        <v/>
      </c>
      <c r="G17" s="18">
        <f>0</f>
        <v/>
      </c>
      <c r="H17" s="18">
        <f>0</f>
        <v/>
      </c>
      <c r="I17" s="18">
        <f>0</f>
        <v/>
      </c>
    </row>
    <row r="18">
      <c r="A18" s="6" t="inlineStr">
        <is>
          <t>Non-controlling interests</t>
        </is>
      </c>
      <c r="B18" s="9" t="n">
        <v>-124</v>
      </c>
      <c r="C18" s="9" t="n">
        <v>-226</v>
      </c>
      <c r="D18" s="9" t="n">
        <v>-361</v>
      </c>
      <c r="E18" s="18">
        <f>-(E16)*0.020206295602669237</f>
        <v/>
      </c>
      <c r="F18" s="18">
        <f>-(F16)*0.020206295602669237</f>
        <v/>
      </c>
      <c r="G18" s="18">
        <f>-(G16)*0.020206295602669237</f>
        <v/>
      </c>
      <c r="H18" s="18">
        <f>-(H16)*0.020206295602669237</f>
        <v/>
      </c>
      <c r="I18" s="18">
        <f>-(I16)*0.020206295602669237</f>
        <v/>
      </c>
    </row>
    <row r="19">
      <c r="A19" s="17" t="inlineStr">
        <is>
          <t>Net profit (attributable)</t>
        </is>
      </c>
      <c r="B19" s="25" t="n">
        <v>13295</v>
      </c>
      <c r="C19" s="25" t="n">
        <v>24689</v>
      </c>
      <c r="D19" s="25" t="n">
        <v>14828</v>
      </c>
      <c r="E19" s="21">
        <f>E16+E17+E18</f>
        <v/>
      </c>
      <c r="F19" s="21">
        <f>F16+F17+F18</f>
        <v/>
      </c>
      <c r="G19" s="21">
        <f>G16+G17+G18</f>
        <v/>
      </c>
      <c r="H19" s="21">
        <f>H16+H17+H18</f>
        <v/>
      </c>
      <c r="I19" s="21">
        <f>I16+I17+I18</f>
        <v/>
      </c>
    </row>
    <row r="20">
      <c r="A20" s="6" t="inlineStr">
        <is>
          <t>Net margin (attributable)</t>
        </is>
      </c>
      <c r="B20" s="19">
        <f>B19/B6</f>
        <v/>
      </c>
      <c r="C20" s="19">
        <f>C19/C6</f>
        <v/>
      </c>
      <c r="D20" s="19">
        <f>D19/D6</f>
        <v/>
      </c>
      <c r="E20" s="19">
        <f>E19/E6</f>
        <v/>
      </c>
      <c r="F20" s="19">
        <f>F19/F6</f>
        <v/>
      </c>
      <c r="G20" s="19">
        <f>G19/G6</f>
        <v/>
      </c>
      <c r="H20" s="19">
        <f>H19/H6</f>
        <v/>
      </c>
      <c r="I20" s="19">
        <f>I19/I6</f>
        <v/>
      </c>
    </row>
    <row r="21">
      <c r="A21" s="6" t="inlineStr">
        <is>
          <t>EPS (SAR)</t>
        </is>
      </c>
      <c r="B21" s="27">
        <f>B19/Assumptions!$B$6</f>
        <v/>
      </c>
      <c r="C21" s="27">
        <f>C19/Assumptions!$B$6</f>
        <v/>
      </c>
      <c r="D21" s="27">
        <f>D19/Assumptions!$B$6</f>
        <v/>
      </c>
      <c r="E21" s="27">
        <f>E19/Assumptions!$B$6</f>
        <v/>
      </c>
      <c r="F21" s="27">
        <f>F19/Assumptions!$B$6</f>
        <v/>
      </c>
      <c r="G21" s="27">
        <f>G19/Assumptions!$B$6</f>
        <v/>
      </c>
      <c r="H21" s="27">
        <f>H19/Assumptions!$B$6</f>
        <v/>
      </c>
      <c r="I21" s="27">
        <f>I19/Assumptions!$B$6</f>
        <v/>
      </c>
    </row>
    <row r="23">
      <c r="A23" s="8" t="inlineStr">
        <is>
          <t>Sources: stc FY2024/FY2025 IR releases + Q1-2026 interim FS (all stc.com).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stc disclosure to a house layout (blue; FY25 detail from the Q1-2026 FS comparatives).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PP&amp;E, ROU, intangibles &amp; inv. property</t>
        </is>
      </c>
      <c r="B6" s="9" t="n">
        <v>92000</v>
      </c>
      <c r="C6" s="9" t="n">
        <v>95500</v>
      </c>
      <c r="D6" s="9" t="n">
        <v>126436</v>
      </c>
      <c r="E6" s="20">
        <f>D6+Segments!E20*Assumptions!$C$60+'Income Statement'!E11</f>
        <v/>
      </c>
      <c r="F6" s="20">
        <f>E6+Segments!F20*Assumptions!$D$60+'Income Statement'!F11</f>
        <v/>
      </c>
      <c r="G6" s="20">
        <f>F6+Segments!G20*Assumptions!$E$60+'Income Statement'!G11</f>
        <v/>
      </c>
      <c r="H6" s="20">
        <f>G6+Segments!H20*Assumptions!$F$60+'Income Statement'!H11</f>
        <v/>
      </c>
      <c r="I6" s="20">
        <f>H6+Segments!I20*Assumptions!$G$60+'Income Statement'!I11</f>
        <v/>
      </c>
    </row>
    <row r="7">
      <c r="A7" s="6" t="inlineStr">
        <is>
          <t>Investments in associates &amp; JVs</t>
        </is>
      </c>
      <c r="B7" s="9" t="n">
        <v>3800</v>
      </c>
      <c r="C7" s="9" t="n">
        <v>4200</v>
      </c>
      <c r="D7" s="9" t="n">
        <v>4641</v>
      </c>
      <c r="E7" s="18">
        <f>D7</f>
        <v/>
      </c>
      <c r="F7" s="18">
        <f>E7</f>
        <v/>
      </c>
      <c r="G7" s="18">
        <f>F7</f>
        <v/>
      </c>
      <c r="H7" s="18">
        <f>G7</f>
        <v/>
      </c>
      <c r="I7" s="18">
        <f>H7</f>
        <v/>
      </c>
    </row>
    <row r="8">
      <c r="A8" s="6" t="inlineStr">
        <is>
          <t>Financial assets (incl. Telefónica 9.97%)</t>
        </is>
      </c>
      <c r="B8" s="9" t="n">
        <v>22000</v>
      </c>
      <c r="C8" s="9" t="n">
        <v>23500</v>
      </c>
      <c r="D8" s="9" t="n">
        <v>24893</v>
      </c>
      <c r="E8" s="18">
        <f>D8</f>
        <v/>
      </c>
      <c r="F8" s="18">
        <f>E8</f>
        <v/>
      </c>
      <c r="G8" s="18">
        <f>F8</f>
        <v/>
      </c>
      <c r="H8" s="18">
        <f>G8</f>
        <v/>
      </c>
      <c r="I8" s="18">
        <f>H8</f>
        <v/>
      </c>
    </row>
    <row r="9">
      <c r="A9" s="6" t="inlineStr">
        <is>
          <t>Trade receivables, net</t>
        </is>
      </c>
      <c r="B9" s="9" t="n">
        <v>24500</v>
      </c>
      <c r="C9" s="9" t="n">
        <v>25800</v>
      </c>
      <c r="D9" s="9" t="n">
        <v>26727</v>
      </c>
      <c r="E9" s="20">
        <f>D9+Segments!E20*Assumptions!$C$61</f>
        <v/>
      </c>
      <c r="F9" s="20">
        <f>E9+Segments!F20*Assumptions!$D$61</f>
        <v/>
      </c>
      <c r="G9" s="20">
        <f>F9+Segments!G20*Assumptions!$E$61</f>
        <v/>
      </c>
      <c r="H9" s="20">
        <f>G9+Segments!H20*Assumptions!$F$61</f>
        <v/>
      </c>
      <c r="I9" s="20">
        <f>H9+Segments!I20*Assumptions!$G$61</f>
        <v/>
      </c>
    </row>
    <row r="10">
      <c r="A10" s="6" t="inlineStr">
        <is>
          <t>Cash, equivalents &amp; short-term murabahas</t>
        </is>
      </c>
      <c r="B10" s="9" t="n">
        <v>28138</v>
      </c>
      <c r="C10" s="9" t="n">
        <v>30755</v>
      </c>
      <c r="D10" s="9" t="n">
        <v>15108</v>
      </c>
      <c r="E10" s="20">
        <f>'Cash Flow'!E20</f>
        <v/>
      </c>
      <c r="F10" s="20">
        <f>'Cash Flow'!F20</f>
        <v/>
      </c>
      <c r="G10" s="20">
        <f>'Cash Flow'!G20</f>
        <v/>
      </c>
      <c r="H10" s="20">
        <f>'Cash Flow'!H20</f>
        <v/>
      </c>
      <c r="I10" s="20">
        <f>'Cash Flow'!I20</f>
        <v/>
      </c>
    </row>
    <row r="11">
      <c r="A11" s="6" t="inlineStr">
        <is>
          <t>Other assets</t>
        </is>
      </c>
      <c r="B11" s="18">
        <f>159646-B6-B7-B8-B9-B10</f>
        <v/>
      </c>
      <c r="C11" s="18">
        <f>160638-C6-C7-C8-C9-C10</f>
        <v/>
      </c>
      <c r="D11" s="9" t="n">
        <v>2952</v>
      </c>
      <c r="E11" s="18">
        <f>D11</f>
        <v/>
      </c>
      <c r="F11" s="18">
        <f>E11</f>
        <v/>
      </c>
      <c r="G11" s="18">
        <f>F11</f>
        <v/>
      </c>
      <c r="H11" s="18">
        <f>G11</f>
        <v/>
      </c>
      <c r="I11" s="18">
        <f>H11</f>
        <v/>
      </c>
    </row>
    <row r="12">
      <c r="A12" s="17" t="inlineStr">
        <is>
          <t>TOTAL ASSETS</t>
        </is>
      </c>
      <c r="B12" s="25" t="n">
        <v>159646</v>
      </c>
      <c r="C12" s="25" t="n">
        <v>160638</v>
      </c>
      <c r="D12" s="28">
        <f>SUM(D6:D11)</f>
        <v/>
      </c>
      <c r="E12" s="21">
        <f>SUM(E6:E11)</f>
        <v/>
      </c>
      <c r="F12" s="21">
        <f>SUM(F6:F11)</f>
        <v/>
      </c>
      <c r="G12" s="21">
        <f>SUM(G6:G11)</f>
        <v/>
      </c>
      <c r="H12" s="21">
        <f>SUM(H6:H11)</f>
        <v/>
      </c>
      <c r="I12" s="21">
        <f>SUM(I6:I11)</f>
        <v/>
      </c>
    </row>
    <row r="14">
      <c r="A14" s="6" t="inlineStr">
        <is>
          <t>Equity attributable to shareholders</t>
        </is>
      </c>
      <c r="B14" s="9" t="n">
        <v>78985</v>
      </c>
      <c r="C14" s="9" t="n">
        <v>89417</v>
      </c>
      <c r="D14" s="9" t="n">
        <v>83414</v>
      </c>
      <c r="E14" s="20">
        <f>D14+'Income Statement'!E19-Assumptions!$C$66*Assumptions!$B$6</f>
        <v/>
      </c>
      <c r="F14" s="20">
        <f>E14+'Income Statement'!F19-Assumptions!$D$66*Assumptions!$B$6</f>
        <v/>
      </c>
      <c r="G14" s="20">
        <f>F14+'Income Statement'!G19-Assumptions!$E$66*Assumptions!$B$6</f>
        <v/>
      </c>
      <c r="H14" s="20">
        <f>G14+'Income Statement'!H19-Assumptions!$F$66*Assumptions!$B$6</f>
        <v/>
      </c>
      <c r="I14" s="20">
        <f>H14+'Income Statement'!I19-Assumptions!$G$66*Assumptions!$B$6</f>
        <v/>
      </c>
    </row>
    <row r="15">
      <c r="A15" s="6" t="inlineStr">
        <is>
          <t>Non-controlling interests</t>
        </is>
      </c>
      <c r="B15" s="9" t="n">
        <v>2530</v>
      </c>
      <c r="C15" s="9" t="n">
        <v>3069</v>
      </c>
      <c r="D15" s="9" t="n">
        <v>3482</v>
      </c>
      <c r="E15" s="20">
        <f>D15-'Income Statement'!E18</f>
        <v/>
      </c>
      <c r="F15" s="20">
        <f>E15-'Income Statement'!F18</f>
        <v/>
      </c>
      <c r="G15" s="20">
        <f>F15-'Income Statement'!G18</f>
        <v/>
      </c>
      <c r="H15" s="20">
        <f>G15-'Income Statement'!H18</f>
        <v/>
      </c>
      <c r="I15" s="20">
        <f>H15-'Income Statement'!I18</f>
        <v/>
      </c>
    </row>
    <row r="16">
      <c r="A16" s="17" t="inlineStr">
        <is>
          <t>Total equity</t>
        </is>
      </c>
      <c r="B16" s="28">
        <f>B14+B15</f>
        <v/>
      </c>
      <c r="C16" s="28">
        <f>C14+C15</f>
        <v/>
      </c>
      <c r="D16" s="28">
        <f>D14+D15</f>
        <v/>
      </c>
      <c r="E16" s="21">
        <f>E14+E15</f>
        <v/>
      </c>
      <c r="F16" s="21">
        <f>F14+F15</f>
        <v/>
      </c>
      <c r="G16" s="21">
        <f>G14+G15</f>
        <v/>
      </c>
      <c r="H16" s="21">
        <f>H14+H15</f>
        <v/>
      </c>
      <c r="I16" s="21">
        <f>I14+I15</f>
        <v/>
      </c>
    </row>
    <row r="17">
      <c r="A17" s="6" t="inlineStr">
        <is>
          <t>Borrowings &amp; sukuk (excl. leases)</t>
        </is>
      </c>
      <c r="B17" s="9" t="n">
        <v>21958</v>
      </c>
      <c r="C17" s="9" t="n">
        <v>15132</v>
      </c>
      <c r="D17" s="9" t="n">
        <v>15191</v>
      </c>
      <c r="E17" s="18">
        <f>D17+7284</f>
        <v/>
      </c>
      <c r="F17" s="18">
        <f>E17</f>
        <v/>
      </c>
      <c r="G17" s="18">
        <f>F17</f>
        <v/>
      </c>
      <c r="H17" s="18">
        <f>G17</f>
        <v/>
      </c>
      <c r="I17" s="18">
        <f>H17</f>
        <v/>
      </c>
    </row>
    <row r="18">
      <c r="A18" s="6" t="inlineStr">
        <is>
          <t>Lease liabilities</t>
        </is>
      </c>
      <c r="B18" s="9" t="n">
        <v>6985</v>
      </c>
      <c r="C18" s="9" t="n">
        <v>4580</v>
      </c>
      <c r="D18" s="9" t="n">
        <v>2253</v>
      </c>
      <c r="E18" s="18">
        <f>D18</f>
        <v/>
      </c>
      <c r="F18" s="18">
        <f>E18</f>
        <v/>
      </c>
      <c r="G18" s="18">
        <f>F18</f>
        <v/>
      </c>
      <c r="H18" s="18">
        <f>G18</f>
        <v/>
      </c>
      <c r="I18" s="18">
        <f>H18</f>
        <v/>
      </c>
    </row>
    <row r="19">
      <c r="A19" s="6" t="inlineStr">
        <is>
          <t>Trade payables &amp; financial liabilities</t>
        </is>
      </c>
      <c r="B19" s="9" t="n">
        <v>26000</v>
      </c>
      <c r="C19" s="9" t="n">
        <v>27500</v>
      </c>
      <c r="D19" s="9" t="n">
        <v>29610</v>
      </c>
      <c r="E19" s="18">
        <f>D19</f>
        <v/>
      </c>
      <c r="F19" s="18">
        <f>E19</f>
        <v/>
      </c>
      <c r="G19" s="18">
        <f>F19</f>
        <v/>
      </c>
      <c r="H19" s="18">
        <f>G19</f>
        <v/>
      </c>
      <c r="I19" s="18">
        <f>H19</f>
        <v/>
      </c>
    </row>
    <row r="20">
      <c r="A20" s="6" t="inlineStr">
        <is>
          <t>Zakat payable, provisions &amp; other liabilities</t>
        </is>
      </c>
      <c r="B20" s="18">
        <f>159646-B16-B17-B18-B19</f>
        <v/>
      </c>
      <c r="C20" s="18">
        <f>160638-C16-C17-C18-C19</f>
        <v/>
      </c>
      <c r="D20" s="9" t="n">
        <v>14876</v>
      </c>
      <c r="E20" s="18">
        <f>D20</f>
        <v/>
      </c>
      <c r="F20" s="18">
        <f>E20</f>
        <v/>
      </c>
      <c r="G20" s="18">
        <f>F20</f>
        <v/>
      </c>
      <c r="H20" s="18">
        <f>G20</f>
        <v/>
      </c>
      <c r="I20" s="18">
        <f>H20</f>
        <v/>
      </c>
    </row>
    <row r="21">
      <c r="A21" s="17" t="inlineStr">
        <is>
          <t>TOTAL EQUITY &amp; LIABILITIES</t>
        </is>
      </c>
      <c r="B21" s="28">
        <f>B16+B17+B18+B19+B20</f>
        <v/>
      </c>
      <c r="C21" s="28">
        <f>C16+C17+C18+C19+C20</f>
        <v/>
      </c>
      <c r="D21" s="28">
        <f>D16+D17+D18+D19+D20</f>
        <v/>
      </c>
      <c r="E21" s="21">
        <f>E16+E17+E18+E19+E20</f>
        <v/>
      </c>
      <c r="F21" s="21">
        <f>F16+F17+F18+F19+F20</f>
        <v/>
      </c>
      <c r="G21" s="21">
        <f>G16+G17+G18+G19+G20</f>
        <v/>
      </c>
      <c r="H21" s="21">
        <f>H16+H17+H18+H19+H20</f>
        <v/>
      </c>
      <c r="I21" s="21">
        <f>I16+I17+I18+I19+I20</f>
        <v/>
      </c>
    </row>
    <row r="23">
      <c r="A23" s="17" t="inlineStr">
        <is>
          <t>Balance check (assets − L&amp;E)</t>
        </is>
      </c>
      <c r="B23" s="29">
        <f>B12-B21</f>
        <v/>
      </c>
      <c r="C23" s="29">
        <f>C12-C21</f>
        <v/>
      </c>
      <c r="D23" s="29">
        <f>D12-D21</f>
        <v/>
      </c>
      <c r="E23" s="21">
        <f>E12-E21</f>
        <v/>
      </c>
      <c r="F23" s="21">
        <f>F12-F21</f>
        <v/>
      </c>
      <c r="G23" s="21">
        <f>G12-G21</f>
        <v/>
      </c>
      <c r="H23" s="21">
        <f>H12-H21</f>
        <v/>
      </c>
      <c r="I23" s="21">
        <f>I12-I21</f>
        <v/>
      </c>
    </row>
    <row r="24">
      <c r="A24" s="6" t="inlineStr">
        <is>
          <t>Net debt — IR basis (borrowings − cash, group def.)</t>
        </is>
      </c>
      <c r="B24" s="29">
        <f>B17-B10</f>
        <v/>
      </c>
      <c r="C24" s="29">
        <f>C17-C10</f>
        <v/>
      </c>
      <c r="D24" s="29">
        <f>D17-D10</f>
        <v/>
      </c>
      <c r="E24" s="18">
        <f>E17-E10</f>
        <v/>
      </c>
      <c r="F24" s="18">
        <f>F17-F10</f>
        <v/>
      </c>
      <c r="G24" s="18">
        <f>G17-G10</f>
        <v/>
      </c>
      <c r="H24" s="18">
        <f>H17-H10</f>
        <v/>
      </c>
      <c r="I24" s="18">
        <f>I17-I10</f>
        <v/>
      </c>
    </row>
    <row r="26">
      <c r="A26" s="8" t="inlineStr">
        <is>
          <t>Historic mapping: FY25 line detail from the Q1-2026 FS 31-Dec-25 comparatives (PP&amp;E 95,313 + ROU 2,635 + intangibles 28,139 + inv. property 350 grouped; cash 13,376 + murabaha 1,732). FY23/FY24 detail lines are grouped estimates reconciling to the disclosed IR totals (blue totals are as-disclosed); "Other" lines are the disclosed-total balancing items, shown as formulas.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20">
        <f>'Income Statement'!E16</f>
        <v/>
      </c>
      <c r="F6" s="20">
        <f>'Income Statement'!F16</f>
        <v/>
      </c>
      <c r="G6" s="20">
        <f>'Income Statement'!G16</f>
        <v/>
      </c>
      <c r="H6" s="20">
        <f>'Income Statement'!H16</f>
        <v/>
      </c>
      <c r="I6" s="20">
        <f>'Income Statement'!I16</f>
        <v/>
      </c>
    </row>
    <row r="7">
      <c r="A7" s="6" t="inlineStr">
        <is>
          <t>+ D&amp;A</t>
        </is>
      </c>
      <c r="E7" s="20">
        <f>-'Income Statement'!E11</f>
        <v/>
      </c>
      <c r="F7" s="20">
        <f>-'Income Statement'!F11</f>
        <v/>
      </c>
      <c r="G7" s="20">
        <f>-'Income Statement'!G11</f>
        <v/>
      </c>
      <c r="H7" s="20">
        <f>-'Income Statement'!H11</f>
        <v/>
      </c>
      <c r="I7" s="20">
        <f>-'Income Statement'!I11</f>
        <v/>
      </c>
    </row>
    <row r="8">
      <c r="A8" s="6" t="inlineStr">
        <is>
          <t>− Increase in trade receivables (ΔWC)</t>
        </is>
      </c>
      <c r="E8" s="20">
        <f>-(('Balance Sheet'!E9)-('Balance Sheet'!D9))</f>
        <v/>
      </c>
      <c r="F8" s="20">
        <f>-(('Balance Sheet'!F9)-('Balance Sheet'!E9))</f>
        <v/>
      </c>
      <c r="G8" s="20">
        <f>-(('Balance Sheet'!G9)-('Balance Sheet'!F9))</f>
        <v/>
      </c>
      <c r="H8" s="20">
        <f>-(('Balance Sheet'!H9)-('Balance Sheet'!G9))</f>
        <v/>
      </c>
      <c r="I8" s="20">
        <f>-(('Balance Sheet'!I9)-('Balance Sheet'!H9))</f>
        <v/>
      </c>
    </row>
    <row r="9">
      <c r="A9" s="17" t="inlineStr">
        <is>
          <t>Operating cash flow</t>
        </is>
      </c>
      <c r="E9" s="21">
        <f>SUM(E6:E8)</f>
        <v/>
      </c>
      <c r="F9" s="21">
        <f>SUM(F6:F8)</f>
        <v/>
      </c>
      <c r="G9" s="21">
        <f>SUM(G6:G8)</f>
        <v/>
      </c>
      <c r="H9" s="21">
        <f>SUM(H6:H8)</f>
        <v/>
      </c>
      <c r="I9" s="21">
        <f>SUM(I6:I8)</f>
        <v/>
      </c>
    </row>
    <row r="10">
      <c r="A10" s="6" t="inlineStr">
        <is>
          <t>− Capex</t>
        </is>
      </c>
      <c r="E10" s="20">
        <f>-Segments!E20*Assumptions!$C$60</f>
        <v/>
      </c>
      <c r="F10" s="20">
        <f>-Segments!F20*Assumptions!$D$60</f>
        <v/>
      </c>
      <c r="G10" s="20">
        <f>-Segments!G20*Assumptions!$E$60</f>
        <v/>
      </c>
      <c r="H10" s="20">
        <f>-Segments!H20*Assumptions!$F$60</f>
        <v/>
      </c>
      <c r="I10" s="20">
        <f>-Segments!I20*Assumptions!$G$60</f>
        <v/>
      </c>
    </row>
    <row r="11">
      <c r="A11" s="17" t="inlineStr">
        <is>
          <t>Free cash flow</t>
        </is>
      </c>
      <c r="E11" s="21">
        <f>E9+E10</f>
        <v/>
      </c>
      <c r="F11" s="21">
        <f>F9+F10</f>
        <v/>
      </c>
      <c r="G11" s="21">
        <f>G9+G10</f>
        <v/>
      </c>
      <c r="H11" s="21">
        <f>H9+H10</f>
        <v/>
      </c>
      <c r="I11" s="21">
        <f>I9+I10</f>
        <v/>
      </c>
    </row>
    <row r="12">
      <c r="A12" s="6" t="inlineStr">
        <is>
          <t>+ Increase in borrowings (net)</t>
        </is>
      </c>
      <c r="E12" s="18">
        <f>7284</f>
        <v/>
      </c>
      <c r="F12" s="18">
        <f>0</f>
        <v/>
      </c>
      <c r="G12" s="18">
        <f>0</f>
        <v/>
      </c>
      <c r="H12" s="18">
        <f>0</f>
        <v/>
      </c>
      <c r="I12" s="18">
        <f>0</f>
        <v/>
      </c>
    </row>
    <row r="13">
      <c r="A13" s="6" t="inlineStr">
        <is>
          <t>− Dividends paid (attributable)</t>
        </is>
      </c>
      <c r="E13" s="20">
        <f>-Assumptions!$C$66*Assumptions!$B$6</f>
        <v/>
      </c>
      <c r="F13" s="20">
        <f>-Assumptions!$D$66*Assumptions!$B$6</f>
        <v/>
      </c>
      <c r="G13" s="20">
        <f>-Assumptions!$E$66*Assumptions!$B$6</f>
        <v/>
      </c>
      <c r="H13" s="20">
        <f>-Assumptions!$F$66*Assumptions!$B$6</f>
        <v/>
      </c>
      <c r="I13" s="20">
        <f>-Assumptions!$G$66*Assumptions!$B$6</f>
        <v/>
      </c>
    </row>
    <row r="14">
      <c r="A14" s="17" t="inlineStr">
        <is>
          <t>Net change in cash</t>
        </is>
      </c>
      <c r="E14" s="21">
        <f>E11+E12+E13</f>
        <v/>
      </c>
      <c r="F14" s="21">
        <f>F11+F12+F13</f>
        <v/>
      </c>
      <c r="G14" s="21">
        <f>G11+G12+G13</f>
        <v/>
      </c>
      <c r="H14" s="21">
        <f>H11+H12+H13</f>
        <v/>
      </c>
      <c r="I14" s="21">
        <f>I11+I12+I13</f>
        <v/>
      </c>
    </row>
    <row r="15">
      <c r="A15" s="6" t="inlineStr">
        <is>
          <t>Opening cash</t>
        </is>
      </c>
      <c r="E15" s="20">
        <f>'Balance Sheet'!D10</f>
        <v/>
      </c>
      <c r="F15" s="18">
        <f>E16</f>
        <v/>
      </c>
      <c r="G15" s="18">
        <f>F16</f>
        <v/>
      </c>
      <c r="H15" s="18">
        <f>G16</f>
        <v/>
      </c>
      <c r="I15" s="18">
        <f>H16</f>
        <v/>
      </c>
    </row>
    <row r="16">
      <c r="A16" s="17" t="inlineStr">
        <is>
          <t>Closing cash</t>
        </is>
      </c>
      <c r="E16" s="21">
        <f>E15+E14</f>
        <v/>
      </c>
      <c r="F16" s="21">
        <f>F15+F14</f>
        <v/>
      </c>
      <c r="G16" s="21">
        <f>G15+G14</f>
        <v/>
      </c>
      <c r="H16" s="21">
        <f>H15+H14</f>
        <v/>
      </c>
      <c r="I16" s="21">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8" t="inlineStr">
        <is>
          <t>Revenue</t>
        </is>
      </c>
      <c r="B6" s="20">
        <f>'Income Statement'!B6</f>
        <v/>
      </c>
      <c r="C6" s="20">
        <f>'Income Statement'!C6</f>
        <v/>
      </c>
      <c r="D6" s="20">
        <f>'Income Statement'!D6</f>
        <v/>
      </c>
      <c r="E6" s="20">
        <f>'Income Statement'!E6</f>
        <v/>
      </c>
      <c r="F6" s="20">
        <f>'Income Statement'!F6</f>
        <v/>
      </c>
      <c r="G6" s="20">
        <f>'Income Statement'!G6</f>
        <v/>
      </c>
      <c r="H6" s="20">
        <f>'Income Statement'!H6</f>
        <v/>
      </c>
      <c r="I6" s="20">
        <f>'Income Statement'!I6</f>
        <v/>
      </c>
    </row>
    <row r="7">
      <c r="A7" s="18" t="inlineStr">
        <is>
          <t>EBITDA</t>
        </is>
      </c>
      <c r="B7" s="20">
        <f>'Income Statement'!B9</f>
        <v/>
      </c>
      <c r="C7" s="20">
        <f>'Income Statement'!C9</f>
        <v/>
      </c>
      <c r="D7" s="20">
        <f>'Income Statement'!D9</f>
        <v/>
      </c>
      <c r="E7" s="20">
        <f>'Income Statement'!E9</f>
        <v/>
      </c>
      <c r="F7" s="20">
        <f>'Income Statement'!F9</f>
        <v/>
      </c>
      <c r="G7" s="20">
        <f>'Income Statement'!G9</f>
        <v/>
      </c>
      <c r="H7" s="20">
        <f>'Income Statement'!H9</f>
        <v/>
      </c>
      <c r="I7" s="20">
        <f>'Income Statement'!I9</f>
        <v/>
      </c>
    </row>
    <row r="8">
      <c r="A8" s="18" t="inlineStr">
        <is>
          <t>EBIT</t>
        </is>
      </c>
      <c r="B8" s="20">
        <f>'Income Statement'!B12</f>
        <v/>
      </c>
      <c r="C8" s="20">
        <f>'Income Statement'!C12</f>
        <v/>
      </c>
      <c r="D8" s="20">
        <f>'Income Statement'!D12</f>
        <v/>
      </c>
      <c r="E8" s="20">
        <f>'Income Statement'!E12</f>
        <v/>
      </c>
      <c r="F8" s="20">
        <f>'Income Statement'!F12</f>
        <v/>
      </c>
      <c r="G8" s="20">
        <f>'Income Statement'!G12</f>
        <v/>
      </c>
      <c r="H8" s="20">
        <f>'Income Statement'!H12</f>
        <v/>
      </c>
      <c r="I8" s="20">
        <f>'Income Statement'!I12</f>
        <v/>
      </c>
    </row>
    <row r="9">
      <c r="A9" s="18" t="inlineStr">
        <is>
          <t>Net profit (attributable)</t>
        </is>
      </c>
      <c r="B9" s="20">
        <f>'Income Statement'!B19</f>
        <v/>
      </c>
      <c r="C9" s="20">
        <f>'Income Statement'!C19</f>
        <v/>
      </c>
      <c r="D9" s="20">
        <f>'Income Statement'!D19</f>
        <v/>
      </c>
      <c r="E9" s="20">
        <f>'Income Statement'!E19</f>
        <v/>
      </c>
      <c r="F9" s="20">
        <f>'Income Statement'!F19</f>
        <v/>
      </c>
      <c r="G9" s="20">
        <f>'Income Statement'!G19</f>
        <v/>
      </c>
      <c r="H9" s="20">
        <f>'Income Statement'!H19</f>
        <v/>
      </c>
      <c r="I9" s="20">
        <f>'Income Statement'!I19</f>
        <v/>
      </c>
    </row>
    <row r="10">
      <c r="A10" s="18" t="inlineStr">
        <is>
          <t>Total assets</t>
        </is>
      </c>
      <c r="B10" s="20">
        <f>'Balance Sheet'!B12</f>
        <v/>
      </c>
      <c r="C10" s="20">
        <f>'Balance Sheet'!C12</f>
        <v/>
      </c>
      <c r="D10" s="20">
        <f>'Balance Sheet'!D12</f>
        <v/>
      </c>
      <c r="E10" s="20">
        <f>'Balance Sheet'!E12</f>
        <v/>
      </c>
      <c r="F10" s="20">
        <f>'Balance Sheet'!F12</f>
        <v/>
      </c>
      <c r="G10" s="20">
        <f>'Balance Sheet'!G12</f>
        <v/>
      </c>
      <c r="H10" s="20">
        <f>'Balance Sheet'!H12</f>
        <v/>
      </c>
      <c r="I10" s="20">
        <f>'Balance Sheet'!I12</f>
        <v/>
      </c>
    </row>
    <row r="11">
      <c r="A11" s="18" t="inlineStr">
        <is>
          <t>Total equity</t>
        </is>
      </c>
      <c r="B11" s="20">
        <f>'Balance Sheet'!B16</f>
        <v/>
      </c>
      <c r="C11" s="20">
        <f>'Balance Sheet'!C16</f>
        <v/>
      </c>
      <c r="D11" s="20">
        <f>'Balance Sheet'!D16</f>
        <v/>
      </c>
      <c r="E11" s="20">
        <f>'Balance Sheet'!E16</f>
        <v/>
      </c>
      <c r="F11" s="20">
        <f>'Balance Sheet'!F16</f>
        <v/>
      </c>
      <c r="G11" s="20">
        <f>'Balance Sheet'!G16</f>
        <v/>
      </c>
      <c r="H11" s="20">
        <f>'Balance Sheet'!H16</f>
        <v/>
      </c>
      <c r="I11" s="20">
        <f>'Balance Sheet'!I16</f>
        <v/>
      </c>
    </row>
    <row r="12">
      <c r="A12" s="18" t="inlineStr">
        <is>
          <t>Net debt (IR basis)</t>
        </is>
      </c>
      <c r="B12" s="20">
        <f>'Balance Sheet'!B24</f>
        <v/>
      </c>
      <c r="C12" s="20">
        <f>'Balance Sheet'!C24</f>
        <v/>
      </c>
      <c r="D12" s="20">
        <f>'Balance Sheet'!D24</f>
        <v/>
      </c>
      <c r="E12" s="20">
        <f>'Balance Sheet'!E24</f>
        <v/>
      </c>
      <c r="F12" s="20">
        <f>'Balance Sheet'!F24</f>
        <v/>
      </c>
      <c r="G12" s="20">
        <f>'Balance Sheet'!G24</f>
        <v/>
      </c>
      <c r="H12" s="20">
        <f>'Balance Sheet'!H24</f>
        <v/>
      </c>
      <c r="I12" s="20">
        <f>'Balance Sheet'!I24</f>
        <v/>
      </c>
    </row>
    <row r="13">
      <c r="A13" s="18" t="inlineStr">
        <is>
          <t>Free cash flow (forecast)</t>
        </is>
      </c>
      <c r="E13" s="20">
        <f>'Cash Flow'!E11</f>
        <v/>
      </c>
      <c r="F13" s="20">
        <f>'Cash Flow'!F11</f>
        <v/>
      </c>
      <c r="G13" s="20">
        <f>'Cash Flow'!G11</f>
        <v/>
      </c>
      <c r="H13" s="20">
        <f>'Cash Flow'!H11</f>
        <v/>
      </c>
      <c r="I13" s="20">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engine outputs (YZ-HAR v2)</t>
        </is>
      </c>
      <c r="B1" s="2" t="n"/>
      <c r="C1" s="2" t="n"/>
      <c r="D1" s="2" t="n"/>
      <c r="E1" s="2" t="n"/>
      <c r="F1" s="2" t="n"/>
      <c r="G1" s="2" t="n"/>
      <c r="H1" s="2" t="n"/>
    </row>
    <row r="2">
      <c r="A2" s="4" t="inlineStr">
        <is>
          <t>50,000 paths · 16 factors · seed 42 · computed by the Testahil MC engine (values, not a sheet simulation). Zero drift — the Step 0-passed configuration for this name.</t>
        </is>
      </c>
    </row>
    <row r="5">
      <c r="A5" s="35" t="inlineStr">
        <is>
          <t>The probability read (T+60)</t>
        </is>
      </c>
    </row>
    <row r="6">
      <c r="A6" s="18" t="inlineStr">
        <is>
          <t>P(price above spot)</t>
        </is>
      </c>
      <c r="B6" s="19" t="n">
        <v>0.54426</v>
      </c>
    </row>
    <row r="7">
      <c r="A7" s="18" t="inlineStr">
        <is>
          <t>P(+10%) vs P(−10%) — odds</t>
        </is>
      </c>
      <c r="B7" s="36" t="inlineStr">
        <is>
          <t>11% vs 7% · 1.7:1</t>
        </is>
      </c>
    </row>
    <row r="8">
      <c r="A8" s="18" t="inlineStr">
        <is>
          <t>Median level (SAR) and % move</t>
        </is>
      </c>
      <c r="B8" s="36" t="inlineStr">
        <is>
          <t>45.06 (+0.8%)</t>
        </is>
      </c>
    </row>
    <row r="9">
      <c r="A9" s="18" t="inlineStr">
        <is>
          <t>50% band (25th–75th)</t>
        </is>
      </c>
      <c r="B9" s="36" t="inlineStr">
        <is>
          <t>43.0 – 47.2  (-3.8% / +5.5%)</t>
        </is>
      </c>
    </row>
    <row r="10">
      <c r="A10" s="18" t="inlineStr">
        <is>
          <t>Touch(+10%) / touch(−10%)</t>
        </is>
      </c>
      <c r="B10" s="36" t="inlineStr">
        <is>
          <t>19% / 12%</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8" t="inlineStr">
        <is>
          <t>T+20 sessions</t>
        </is>
      </c>
      <c r="B14" s="27" t="n">
        <v>41.7</v>
      </c>
      <c r="C14" s="27" t="n">
        <v>43.7</v>
      </c>
      <c r="D14" s="27" t="n">
        <v>44.8</v>
      </c>
      <c r="E14" s="27" t="n">
        <v>46.1</v>
      </c>
      <c r="F14" s="27" t="n">
        <v>48.2</v>
      </c>
    </row>
    <row r="15">
      <c r="A15" s="18" t="inlineStr">
        <is>
          <t>T+60 sessions</t>
        </is>
      </c>
      <c r="B15" s="27" t="n">
        <v>39.7</v>
      </c>
      <c r="C15" s="27" t="n">
        <v>43</v>
      </c>
      <c r="D15" s="27" t="n">
        <v>45.1</v>
      </c>
      <c r="E15" s="27" t="n">
        <v>47.2</v>
      </c>
      <c r="F15" s="27" t="n">
        <v>51.2</v>
      </c>
    </row>
    <row r="17">
      <c r="A17" s="5" t="inlineStr">
        <is>
          <t>Engine inputs (from Assumptions)</t>
        </is>
      </c>
    </row>
    <row r="18">
      <c r="A18" s="18" t="inlineStr">
        <is>
          <t>Anchor volatility (HAR, annualized)</t>
        </is>
      </c>
      <c r="B18" s="32">
        <f>Assumptions!$B$37</f>
        <v/>
      </c>
    </row>
    <row r="19">
      <c r="A19" s="18" t="inlineStr">
        <is>
          <t>Secular drift (daily) — zero-drift class</t>
        </is>
      </c>
      <c r="B19" s="32">
        <f>Assumptions!$B$38</f>
        <v/>
      </c>
    </row>
    <row r="20">
      <c r="A20" s="18" t="inlineStr">
        <is>
          <t>Net factor drift / quarter</t>
        </is>
      </c>
      <c r="B20" s="32">
        <f>Assumptions!$B$39</f>
        <v/>
      </c>
    </row>
    <row r="22">
      <c r="A22" s="5" t="inlineStr">
        <is>
          <t>Level-touch ladder (probability of touching by horizon)</t>
        </is>
      </c>
    </row>
    <row r="23">
      <c r="A23" s="5" t="inlineStr">
        <is>
          <t>Level (SAR)</t>
        </is>
      </c>
      <c r="B23" s="5" t="inlineStr">
        <is>
          <t>T+20</t>
        </is>
      </c>
      <c r="C23" s="5" t="inlineStr">
        <is>
          <t>T+60</t>
        </is>
      </c>
    </row>
    <row r="24">
      <c r="A24" s="27" t="n">
        <v>50</v>
      </c>
      <c r="B24" s="19" t="n">
        <v>0.02346</v>
      </c>
      <c r="C24" s="19" t="n">
        <v>0.13418</v>
      </c>
    </row>
    <row r="25">
      <c r="A25" s="27" t="n">
        <v>48</v>
      </c>
      <c r="B25" s="19" t="n">
        <v>0.09494</v>
      </c>
      <c r="C25" s="19" t="n">
        <v>0.3138</v>
      </c>
    </row>
    <row r="26">
      <c r="A26" s="27" t="n">
        <v>46</v>
      </c>
      <c r="B26" s="19" t="n">
        <v>0.42702</v>
      </c>
      <c r="C26" s="19" t="n">
        <v>0.65984</v>
      </c>
    </row>
    <row r="27">
      <c r="A27" s="27" t="n">
        <v>44</v>
      </c>
      <c r="B27" s="19" t="n">
        <v>0.5667</v>
      </c>
      <c r="C27" s="19" t="n">
        <v>0.72556</v>
      </c>
    </row>
    <row r="28">
      <c r="A28" s="27" t="n">
        <v>42</v>
      </c>
      <c r="B28" s="19" t="n">
        <v>0.11068</v>
      </c>
      <c r="C28" s="19" t="n">
        <v>0.30474</v>
      </c>
    </row>
    <row r="29">
      <c r="A29" s="27" t="n">
        <v>40</v>
      </c>
      <c r="B29" s="19" t="n">
        <v>0.02038</v>
      </c>
      <c r="C29" s="19" t="n">
        <v>0.10814</v>
      </c>
    </row>
    <row r="30">
      <c r="A30" s="27" t="n">
        <v>38</v>
      </c>
      <c r="B30" s="19" t="n">
        <v>0.00476</v>
      </c>
      <c r="C30" s="19" t="n">
        <v>0.03742</v>
      </c>
    </row>
    <row r="31">
      <c r="A31" s="27" t="n">
        <v>36</v>
      </c>
      <c r="B31" s="19" t="n">
        <v>0.00112</v>
      </c>
      <c r="C31" s="19" t="n">
        <v>0.01378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7" t="n">
        <v>0.015</v>
      </c>
      <c r="C5" s="37" t="n">
        <v>0.02</v>
      </c>
      <c r="D5" s="37" t="n">
        <v>0.025</v>
      </c>
      <c r="E5" s="37" t="n">
        <v>0.03</v>
      </c>
      <c r="F5" s="37" t="n">
        <v>0.035</v>
      </c>
    </row>
    <row r="6">
      <c r="A6" s="19" t="n">
        <v>0.07132614912126105</v>
      </c>
      <c r="B6" s="27">
        <f>(SUMPRODUCT(DCF!$B$14:$F$14,1/(1+$A6)^{1,2,3,4,5})+DCF!$F$14*(1+B$5)/($A6-B$5)/(1+$A6)^5+Assumptions!$B$20+Assumptions!$B$21-Assumptions!$B$23-Assumptions!$B$24)/Assumptions!$B$6</f>
        <v/>
      </c>
      <c r="C6" s="27">
        <f>(SUMPRODUCT(DCF!$B$14:$F$14,1/(1+$A6)^{1,2,3,4,5})+DCF!$F$14*(1+C$5)/($A6-C$5)/(1+$A6)^5+Assumptions!$B$20+Assumptions!$B$21-Assumptions!$B$23-Assumptions!$B$24)/Assumptions!$B$6</f>
        <v/>
      </c>
      <c r="D6" s="27">
        <f>(SUMPRODUCT(DCF!$B$14:$F$14,1/(1+$A6)^{1,2,3,4,5})+DCF!$F$14*(1+D$5)/($A6-D$5)/(1+$A6)^5+Assumptions!$B$20+Assumptions!$B$21-Assumptions!$B$23-Assumptions!$B$24)/Assumptions!$B$6</f>
        <v/>
      </c>
      <c r="E6" s="27">
        <f>(SUMPRODUCT(DCF!$B$14:$F$14,1/(1+$A6)^{1,2,3,4,5})+DCF!$F$14*(1+E$5)/($A6-E$5)/(1+$A6)^5+Assumptions!$B$20+Assumptions!$B$21-Assumptions!$B$23-Assumptions!$B$24)/Assumptions!$B$6</f>
        <v/>
      </c>
      <c r="F6" s="27">
        <f>(SUMPRODUCT(DCF!$B$14:$F$14,1/(1+$A6)^{1,2,3,4,5})+DCF!$F$14*(1+F$5)/($A6-F$5)/(1+$A6)^5+Assumptions!$B$20+Assumptions!$B$21-Assumptions!$B$23-Assumptions!$B$24)/Assumptions!$B$6</f>
        <v/>
      </c>
    </row>
    <row r="7">
      <c r="A7" s="19" t="n">
        <v>0.07632614912126104</v>
      </c>
      <c r="B7" s="27">
        <f>(SUMPRODUCT(DCF!$B$14:$F$14,1/(1+$A7)^{1,2,3,4,5})+DCF!$F$14*(1+B$5)/($A7-B$5)/(1+$A7)^5+Assumptions!$B$20+Assumptions!$B$21-Assumptions!$B$23-Assumptions!$B$24)/Assumptions!$B$6</f>
        <v/>
      </c>
      <c r="C7" s="27">
        <f>(SUMPRODUCT(DCF!$B$14:$F$14,1/(1+$A7)^{1,2,3,4,5})+DCF!$F$14*(1+C$5)/($A7-C$5)/(1+$A7)^5+Assumptions!$B$20+Assumptions!$B$21-Assumptions!$B$23-Assumptions!$B$24)/Assumptions!$B$6</f>
        <v/>
      </c>
      <c r="D7" s="27">
        <f>(SUMPRODUCT(DCF!$B$14:$F$14,1/(1+$A7)^{1,2,3,4,5})+DCF!$F$14*(1+D$5)/($A7-D$5)/(1+$A7)^5+Assumptions!$B$20+Assumptions!$B$21-Assumptions!$B$23-Assumptions!$B$24)/Assumptions!$B$6</f>
        <v/>
      </c>
      <c r="E7" s="27">
        <f>(SUMPRODUCT(DCF!$B$14:$F$14,1/(1+$A7)^{1,2,3,4,5})+DCF!$F$14*(1+E$5)/($A7-E$5)/(1+$A7)^5+Assumptions!$B$20+Assumptions!$B$21-Assumptions!$B$23-Assumptions!$B$24)/Assumptions!$B$6</f>
        <v/>
      </c>
      <c r="F7" s="27">
        <f>(SUMPRODUCT(DCF!$B$14:$F$14,1/(1+$A7)^{1,2,3,4,5})+DCF!$F$14*(1+F$5)/($A7-F$5)/(1+$A7)^5+Assumptions!$B$20+Assumptions!$B$21-Assumptions!$B$23-Assumptions!$B$24)/Assumptions!$B$6</f>
        <v/>
      </c>
    </row>
    <row r="8">
      <c r="A8" s="38" t="n">
        <v>0.08132614912126104</v>
      </c>
      <c r="B8" s="27">
        <f>(SUMPRODUCT(DCF!$B$14:$F$14,1/(1+$A8)^{1,2,3,4,5})+DCF!$F$14*(1+B$5)/($A8-B$5)/(1+$A8)^5+Assumptions!$B$20+Assumptions!$B$21-Assumptions!$B$23-Assumptions!$B$24)/Assumptions!$B$6</f>
        <v/>
      </c>
      <c r="C8" s="27">
        <f>(SUMPRODUCT(DCF!$B$14:$F$14,1/(1+$A8)^{1,2,3,4,5})+DCF!$F$14*(1+C$5)/($A8-C$5)/(1+$A8)^5+Assumptions!$B$20+Assumptions!$B$21-Assumptions!$B$23-Assumptions!$B$24)/Assumptions!$B$6</f>
        <v/>
      </c>
      <c r="D8" s="27">
        <f>(SUMPRODUCT(DCF!$B$14:$F$14,1/(1+$A8)^{1,2,3,4,5})+DCF!$F$14*(1+D$5)/($A8-D$5)/(1+$A8)^5+Assumptions!$B$20+Assumptions!$B$21-Assumptions!$B$23-Assumptions!$B$24)/Assumptions!$B$6</f>
        <v/>
      </c>
      <c r="E8" s="27">
        <f>(SUMPRODUCT(DCF!$B$14:$F$14,1/(1+$A8)^{1,2,3,4,5})+DCF!$F$14*(1+E$5)/($A8-E$5)/(1+$A8)^5+Assumptions!$B$20+Assumptions!$B$21-Assumptions!$B$23-Assumptions!$B$24)/Assumptions!$B$6</f>
        <v/>
      </c>
      <c r="F8" s="27">
        <f>(SUMPRODUCT(DCF!$B$14:$F$14,1/(1+$A8)^{1,2,3,4,5})+DCF!$F$14*(1+F$5)/($A8-F$5)/(1+$A8)^5+Assumptions!$B$20+Assumptions!$B$21-Assumptions!$B$23-Assumptions!$B$24)/Assumptions!$B$6</f>
        <v/>
      </c>
    </row>
    <row r="9">
      <c r="A9" s="19" t="n">
        <v>0.08632614912126105</v>
      </c>
      <c r="B9" s="27">
        <f>(SUMPRODUCT(DCF!$B$14:$F$14,1/(1+$A9)^{1,2,3,4,5})+DCF!$F$14*(1+B$5)/($A9-B$5)/(1+$A9)^5+Assumptions!$B$20+Assumptions!$B$21-Assumptions!$B$23-Assumptions!$B$24)/Assumptions!$B$6</f>
        <v/>
      </c>
      <c r="C9" s="27">
        <f>(SUMPRODUCT(DCF!$B$14:$F$14,1/(1+$A9)^{1,2,3,4,5})+DCF!$F$14*(1+C$5)/($A9-C$5)/(1+$A9)^5+Assumptions!$B$20+Assumptions!$B$21-Assumptions!$B$23-Assumptions!$B$24)/Assumptions!$B$6</f>
        <v/>
      </c>
      <c r="D9" s="27">
        <f>(SUMPRODUCT(DCF!$B$14:$F$14,1/(1+$A9)^{1,2,3,4,5})+DCF!$F$14*(1+D$5)/($A9-D$5)/(1+$A9)^5+Assumptions!$B$20+Assumptions!$B$21-Assumptions!$B$23-Assumptions!$B$24)/Assumptions!$B$6</f>
        <v/>
      </c>
      <c r="E9" s="27">
        <f>(SUMPRODUCT(DCF!$B$14:$F$14,1/(1+$A9)^{1,2,3,4,5})+DCF!$F$14*(1+E$5)/($A9-E$5)/(1+$A9)^5+Assumptions!$B$20+Assumptions!$B$21-Assumptions!$B$23-Assumptions!$B$24)/Assumptions!$B$6</f>
        <v/>
      </c>
      <c r="F9" s="27">
        <f>(SUMPRODUCT(DCF!$B$14:$F$14,1/(1+$A9)^{1,2,3,4,5})+DCF!$F$14*(1+F$5)/($A9-F$5)/(1+$A9)^5+Assumptions!$B$20+Assumptions!$B$21-Assumptions!$B$23-Assumptions!$B$24)/Assumptions!$B$6</f>
        <v/>
      </c>
    </row>
    <row r="10">
      <c r="A10" s="19" t="n">
        <v>0.09132614912126104</v>
      </c>
      <c r="B10" s="27">
        <f>(SUMPRODUCT(DCF!$B$14:$F$14,1/(1+$A10)^{1,2,3,4,5})+DCF!$F$14*(1+B$5)/($A10-B$5)/(1+$A10)^5+Assumptions!$B$20+Assumptions!$B$21-Assumptions!$B$23-Assumptions!$B$24)/Assumptions!$B$6</f>
        <v/>
      </c>
      <c r="C10" s="27">
        <f>(SUMPRODUCT(DCF!$B$14:$F$14,1/(1+$A10)^{1,2,3,4,5})+DCF!$F$14*(1+C$5)/($A10-C$5)/(1+$A10)^5+Assumptions!$B$20+Assumptions!$B$21-Assumptions!$B$23-Assumptions!$B$24)/Assumptions!$B$6</f>
        <v/>
      </c>
      <c r="D10" s="27">
        <f>(SUMPRODUCT(DCF!$B$14:$F$14,1/(1+$A10)^{1,2,3,4,5})+DCF!$F$14*(1+D$5)/($A10-D$5)/(1+$A10)^5+Assumptions!$B$20+Assumptions!$B$21-Assumptions!$B$23-Assumptions!$B$24)/Assumptions!$B$6</f>
        <v/>
      </c>
      <c r="E10" s="27">
        <f>(SUMPRODUCT(DCF!$B$14:$F$14,1/(1+$A10)^{1,2,3,4,5})+DCF!$F$14*(1+E$5)/($A10-E$5)/(1+$A10)^5+Assumptions!$B$20+Assumptions!$B$21-Assumptions!$B$23-Assumptions!$B$24)/Assumptions!$B$6</f>
        <v/>
      </c>
      <c r="F10" s="27">
        <f>(SUMPRODUCT(DCF!$B$14:$F$14,1/(1+$A10)^{1,2,3,4,5})+DCF!$F$14*(1+F$5)/($A10-F$5)/(1+$A10)^5+Assumptions!$B$20+Assumptions!$B$21-Assumptions!$B$23-Assumptions!$B$24)/Assumptions!$B$6</f>
        <v/>
      </c>
    </row>
    <row r="12">
      <c r="A12" s="8" t="inlineStr">
        <is>
          <t>The WACC axis centres on the sourced bottom-up build (rf 5.5% + β 0.48 × ERP 5.01%, blended with after-tax Kd 4.5%); the CDS-ERP alternative WACC (7.90%) sits between rows 3 and 4. At β = 1.0 the WACC is 9.90% — off this grid deliberately: see the beta grid below.</t>
        </is>
      </c>
    </row>
    <row r="14">
      <c r="A14" s="5" t="inlineStr">
        <is>
          <t>Beta sensitivity (regressed β = 0.48 on a 9-week window — grid mandatory)</t>
        </is>
      </c>
    </row>
    <row r="15">
      <c r="A15" s="17" t="inlineStr">
        <is>
          <t>beta</t>
        </is>
      </c>
      <c r="B15" s="17" t="inlineStr">
        <is>
          <t>Ke (rating ERP)</t>
        </is>
      </c>
      <c r="C15" s="17" t="inlineStr">
        <is>
          <t>WACC</t>
        </is>
      </c>
      <c r="D15" s="17" t="inlineStr">
        <is>
          <t>DCF value/sh</t>
        </is>
      </c>
    </row>
    <row r="16">
      <c r="A16" s="7" t="n">
        <v>0.3</v>
      </c>
      <c r="B16" s="19">
        <f>Assumptions!$B$10+A16*Assumptions!$B$12</f>
        <v/>
      </c>
      <c r="C16" s="19">
        <f>(1-Assumptions!$B$16)*B16+Assumptions!$B$16*Assumptions!$B$15</f>
        <v/>
      </c>
      <c r="D16" s="27">
        <f>(SUMPRODUCT(DCF!$B$14:$F$14,1/(1+C16)^{1,2,3,4,5})+DCF!$F$14*(1+Assumptions!$B$18)/(C16-Assumptions!$B$18)/(1+C16)^5+Assumptions!$B$20+Assumptions!$B$21-Assumptions!$B$23-Assumptions!$B$24)/Assumptions!$B$6</f>
        <v/>
      </c>
    </row>
    <row r="17">
      <c r="A17" s="7" t="n">
        <v>0.48</v>
      </c>
      <c r="B17" s="19">
        <f>Assumptions!$B$10+A17*Assumptions!$B$12</f>
        <v/>
      </c>
      <c r="C17" s="19">
        <f>(1-Assumptions!$B$16)*B17+Assumptions!$B$16*Assumptions!$B$15</f>
        <v/>
      </c>
      <c r="D17" s="27">
        <f>(SUMPRODUCT(DCF!$B$14:$F$14,1/(1+C17)^{1,2,3,4,5})+DCF!$F$14*(1+Assumptions!$B$18)/(C17-Assumptions!$B$18)/(1+C17)^5+Assumptions!$B$20+Assumptions!$B$21-Assumptions!$B$23-Assumptions!$B$24)/Assumptions!$B$6</f>
        <v/>
      </c>
      <c r="E17" s="8" t="inlineStr">
        <is>
          <t>&lt;- regressed base</t>
        </is>
      </c>
    </row>
    <row r="18">
      <c r="A18" s="7" t="n">
        <v>0.7</v>
      </c>
      <c r="B18" s="19">
        <f>Assumptions!$B$10+A18*Assumptions!$B$12</f>
        <v/>
      </c>
      <c r="C18" s="19">
        <f>(1-Assumptions!$B$16)*B18+Assumptions!$B$16*Assumptions!$B$15</f>
        <v/>
      </c>
      <c r="D18" s="27">
        <f>(SUMPRODUCT(DCF!$B$14:$F$14,1/(1+C18)^{1,2,3,4,5})+DCF!$F$14*(1+Assumptions!$B$18)/(C18-Assumptions!$B$18)/(1+C18)^5+Assumptions!$B$20+Assumptions!$B$21-Assumptions!$B$23-Assumptions!$B$24)/Assumptions!$B$6</f>
        <v/>
      </c>
    </row>
    <row r="19">
      <c r="A19" s="7" t="n">
        <v>0.85</v>
      </c>
      <c r="B19" s="19">
        <f>Assumptions!$B$10+A19*Assumptions!$B$12</f>
        <v/>
      </c>
      <c r="C19" s="19">
        <f>(1-Assumptions!$B$16)*B19+Assumptions!$B$16*Assumptions!$B$15</f>
        <v/>
      </c>
      <c r="D19" s="27">
        <f>(SUMPRODUCT(DCF!$B$14:$F$14,1/(1+C19)^{1,2,3,4,5})+DCF!$F$14*(1+Assumptions!$B$18)/(C19-Assumptions!$B$18)/(1+C19)^5+Assumptions!$B$20+Assumptions!$B$21-Assumptions!$B$23-Assumptions!$B$24)/Assumptions!$B$6</f>
        <v/>
      </c>
    </row>
    <row r="20">
      <c r="A20" s="7" t="n">
        <v>1</v>
      </c>
      <c r="B20" s="19">
        <f>Assumptions!$B$10+A20*Assumptions!$B$12</f>
        <v/>
      </c>
      <c r="C20" s="19">
        <f>(1-Assumptions!$B$16)*B20+Assumptions!$B$16*Assumptions!$B$15</f>
        <v/>
      </c>
      <c r="D20" s="27">
        <f>(SUMPRODUCT(DCF!$B$14:$F$14,1/(1+C20)^{1,2,3,4,5})+DCF!$F$14*(1+Assumptions!$B$18)/(C20-Assumptions!$B$18)/(1+C20)^5+Assumptions!$B$20+Assumptions!$B$21-Assumptions!$B$23-Assumptions!$B$24)/Assumptions!$B$6</f>
        <v/>
      </c>
      <c r="E20" s="8" t="inlineStr">
        <is>
          <t>&lt;- house fallback had the regression failed</t>
        </is>
      </c>
    </row>
    <row r="21">
      <c r="A21" s="7" t="n">
        <v>1.2</v>
      </c>
      <c r="B21" s="19">
        <f>Assumptions!$B$10+A21*Assumptions!$B$12</f>
        <v/>
      </c>
      <c r="C21" s="19">
        <f>(1-Assumptions!$B$16)*B21+Assumptions!$B$16*Assumptions!$B$15</f>
        <v/>
      </c>
      <c r="D21" s="27">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 — the standing dashboard (device A-5)</t>
        </is>
      </c>
      <c r="B1" s="2" t="n"/>
      <c r="C1" s="2" t="n"/>
      <c r="D1" s="2" t="n"/>
      <c r="E1" s="2" t="n"/>
      <c r="F1" s="2" t="n"/>
      <c r="G1" s="2" t="n"/>
      <c r="H1" s="2" t="n"/>
      <c r="I1" s="2" t="n"/>
      <c r="J1" s="2" t="n"/>
    </row>
    <row r="2">
      <c r="A2" s="4" t="inlineStr">
        <is>
          <t>Links to statements /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8" t="inlineStr">
        <is>
          <t>EPS (SAR)</t>
        </is>
      </c>
      <c r="B6" s="27">
        <f>'Income Statement'!B19/Assumptions!$B$6</f>
        <v/>
      </c>
      <c r="C6" s="27">
        <f>'Income Statement'!C19/Assumptions!$B$6</f>
        <v/>
      </c>
      <c r="D6" s="27">
        <f>'Income Statement'!D19/Assumptions!$B$6</f>
        <v/>
      </c>
      <c r="E6" s="27">
        <f>'Income Statement'!E19/Assumptions!$B$6</f>
        <v/>
      </c>
      <c r="F6" s="27">
        <f>'Income Statement'!F19/Assumptions!$B$6</f>
        <v/>
      </c>
      <c r="G6" s="27">
        <f>'Income Statement'!G19/Assumptions!$B$6</f>
        <v/>
      </c>
      <c r="H6" s="27">
        <f>'Income Statement'!H19/Assumptions!$B$6</f>
        <v/>
      </c>
      <c r="I6" s="27">
        <f>'Income Statement'!I19/Assumptions!$B$6</f>
        <v/>
      </c>
    </row>
    <row r="7">
      <c r="A7" s="18" t="inlineStr">
        <is>
          <t>DPS declared (SAR)</t>
        </is>
      </c>
      <c r="B7" s="7" t="n">
        <v>1.6</v>
      </c>
      <c r="C7" s="7" t="n">
        <v>3.75</v>
      </c>
      <c r="D7" s="7" t="n">
        <v>2.2</v>
      </c>
      <c r="E7" s="30">
        <f>Assumptions!C26</f>
        <v/>
      </c>
      <c r="F7" s="30">
        <f>Assumptions!D26</f>
        <v/>
      </c>
      <c r="G7" s="30">
        <f>Assumptions!E26</f>
        <v/>
      </c>
      <c r="H7" s="30">
        <f>Assumptions!F26</f>
        <v/>
      </c>
      <c r="I7" s="30">
        <f>Assumptions!G26</f>
        <v/>
      </c>
    </row>
    <row r="8">
      <c r="A8" s="18" t="inlineStr">
        <is>
          <t>Book value / share (SAR)</t>
        </is>
      </c>
      <c r="B8" s="27">
        <f>'Balance Sheet'!B14/Assumptions!$B$6</f>
        <v/>
      </c>
      <c r="C8" s="27">
        <f>'Balance Sheet'!C14/Assumptions!$B$6</f>
        <v/>
      </c>
      <c r="D8" s="27">
        <f>'Balance Sheet'!D14/Assumptions!$B$6</f>
        <v/>
      </c>
      <c r="E8" s="27">
        <f>'Balance Sheet'!E14/Assumptions!$B$6</f>
        <v/>
      </c>
      <c r="F8" s="27">
        <f>'Balance Sheet'!F14/Assumptions!$B$6</f>
        <v/>
      </c>
      <c r="G8" s="27">
        <f>'Balance Sheet'!G14/Assumptions!$B$6</f>
        <v/>
      </c>
      <c r="H8" s="27">
        <f>'Balance Sheet'!H14/Assumptions!$B$6</f>
        <v/>
      </c>
      <c r="I8" s="27">
        <f>'Balance Sheet'!I14/Assumptions!$B$6</f>
        <v/>
      </c>
    </row>
    <row r="9">
      <c r="A9" s="18" t="inlineStr">
        <is>
          <t>P/E at spot (×)f</t>
        </is>
      </c>
      <c r="B9" s="34">
        <f>Assumptions!$B$5/('Income Statement'!B19/Assumptions!$B$6)</f>
        <v/>
      </c>
      <c r="C9" s="34">
        <f>Assumptions!$B$5/('Income Statement'!C19/Assumptions!$B$6)</f>
        <v/>
      </c>
      <c r="D9" s="34">
        <f>Assumptions!$B$5/('Income Statement'!D19/Assumptions!$B$6)</f>
        <v/>
      </c>
      <c r="E9" s="34">
        <f>Assumptions!$B$5/('Income Statement'!E19/Assumptions!$B$6)</f>
        <v/>
      </c>
      <c r="F9" s="34">
        <f>Assumptions!$B$5/('Income Statement'!F19/Assumptions!$B$6)</f>
        <v/>
      </c>
      <c r="G9" s="34">
        <f>Assumptions!$B$5/('Income Statement'!G19/Assumptions!$B$6)</f>
        <v/>
      </c>
      <c r="H9" s="34">
        <f>Assumptions!$B$5/('Income Statement'!H19/Assumptions!$B$6)</f>
        <v/>
      </c>
      <c r="I9" s="34">
        <f>Assumptions!$B$5/('Income Statement'!I19/Assumptions!$B$6)</f>
        <v/>
      </c>
    </row>
    <row r="10">
      <c r="A10" s="18" t="inlineStr">
        <is>
          <t>P/B at spot (×)f</t>
        </is>
      </c>
      <c r="B10" s="34">
        <f>Assumptions!$B$5/('Balance Sheet'!B14/Assumptions!$B$6)</f>
        <v/>
      </c>
      <c r="C10" s="34">
        <f>Assumptions!$B$5/('Balance Sheet'!C14/Assumptions!$B$6)</f>
        <v/>
      </c>
      <c r="D10" s="34">
        <f>Assumptions!$B$5/('Balance Sheet'!D14/Assumptions!$B$6)</f>
        <v/>
      </c>
      <c r="E10" s="34">
        <f>Assumptions!$B$5/('Balance Sheet'!E14/Assumptions!$B$6)</f>
        <v/>
      </c>
      <c r="F10" s="34">
        <f>Assumptions!$B$5/('Balance Sheet'!F14/Assumptions!$B$6)</f>
        <v/>
      </c>
      <c r="G10" s="34">
        <f>Assumptions!$B$5/('Balance Sheet'!G14/Assumptions!$B$6)</f>
        <v/>
      </c>
      <c r="H10" s="34">
        <f>Assumptions!$B$5/('Balance Sheet'!H14/Assumptions!$B$6)</f>
        <v/>
      </c>
      <c r="I10" s="34">
        <f>Assumptions!$B$5/('Balance Sheet'!I14/Assumptions!$B$6)</f>
        <v/>
      </c>
    </row>
    <row r="11">
      <c r="A11" s="18" t="inlineStr">
        <is>
          <t>Dividend yield at spot (declared)</t>
        </is>
      </c>
      <c r="B11" s="19">
        <f>B7/Assumptions!$B$5</f>
        <v/>
      </c>
      <c r="C11" s="19">
        <f>C7/Assumptions!$B$5</f>
        <v/>
      </c>
      <c r="D11" s="19">
        <f>D7/Assumptions!$B$5</f>
        <v/>
      </c>
      <c r="E11" s="19">
        <f>E7/Assumptions!$B$5</f>
        <v/>
      </c>
      <c r="F11" s="19">
        <f>F7/Assumptions!$B$5</f>
        <v/>
      </c>
      <c r="G11" s="19">
        <f>G7/Assumptions!$B$5</f>
        <v/>
      </c>
      <c r="H11" s="19">
        <f>H7/Assumptions!$B$5</f>
        <v/>
      </c>
      <c r="I11" s="19">
        <f>I7/Assumptions!$B$5</f>
        <v/>
      </c>
    </row>
    <row r="12">
      <c r="A12" s="18" t="inlineStr">
        <is>
          <t>Payout (of attributable NP)f</t>
        </is>
      </c>
      <c r="B12" s="19">
        <f>B7*Assumptions!$B$6/'Income Statement'!B19</f>
        <v/>
      </c>
      <c r="C12" s="19">
        <f>C7*Assumptions!$B$6/'Income Statement'!C19</f>
        <v/>
      </c>
      <c r="D12" s="19">
        <f>D7*Assumptions!$B$6/'Income Statement'!D19</f>
        <v/>
      </c>
      <c r="E12" s="19">
        <f>E7*Assumptions!$B$6/'Income Statement'!E19</f>
        <v/>
      </c>
      <c r="F12" s="19">
        <f>F7*Assumptions!$B$6/'Income Statement'!F19</f>
        <v/>
      </c>
      <c r="G12" s="19">
        <f>G7*Assumptions!$B$6/'Income Statement'!G19</f>
        <v/>
      </c>
      <c r="H12" s="19">
        <f>H7*Assumptions!$B$6/'Income Statement'!H19</f>
        <v/>
      </c>
      <c r="I12" s="19">
        <f>I7*Assumptions!$B$6/'Income Statement'!I19</f>
        <v/>
      </c>
    </row>
    <row r="13">
      <c r="A13" s="18" t="inlineStr">
        <is>
          <t>EBITDA margin</t>
        </is>
      </c>
      <c r="B13" s="19">
        <f>'Income Statement'!B9/'Income Statement'!B6</f>
        <v/>
      </c>
      <c r="C13" s="19">
        <f>'Income Statement'!C9/'Income Statement'!C6</f>
        <v/>
      </c>
      <c r="D13" s="19">
        <f>'Income Statement'!D9/'Income Statement'!D6</f>
        <v/>
      </c>
      <c r="E13" s="19">
        <f>'Income Statement'!E9/'Income Statement'!E6</f>
        <v/>
      </c>
      <c r="F13" s="19">
        <f>'Income Statement'!F9/'Income Statement'!F6</f>
        <v/>
      </c>
      <c r="G13" s="19">
        <f>'Income Statement'!G9/'Income Statement'!G6</f>
        <v/>
      </c>
      <c r="H13" s="19">
        <f>'Income Statement'!H9/'Income Statement'!H6</f>
        <v/>
      </c>
      <c r="I13" s="19">
        <f>'Income Statement'!I9/'Income Statement'!I6</f>
        <v/>
      </c>
    </row>
    <row r="14">
      <c r="A14" s="18" t="inlineStr">
        <is>
          <t>Net margin</t>
        </is>
      </c>
      <c r="B14" s="19">
        <f>'Income Statement'!B19/'Income Statement'!B6</f>
        <v/>
      </c>
      <c r="C14" s="19">
        <f>'Income Statement'!C19/'Income Statement'!C6</f>
        <v/>
      </c>
      <c r="D14" s="19">
        <f>'Income Statement'!D19/'Income Statement'!D6</f>
        <v/>
      </c>
      <c r="E14" s="19">
        <f>'Income Statement'!E19/'Income Statement'!E6</f>
        <v/>
      </c>
      <c r="F14" s="19">
        <f>'Income Statement'!F19/'Income Statement'!F6</f>
        <v/>
      </c>
      <c r="G14" s="19">
        <f>'Income Statement'!G19/'Income Statement'!G6</f>
        <v/>
      </c>
      <c r="H14" s="19">
        <f>'Income Statement'!H19/'Income Statement'!H6</f>
        <v/>
      </c>
      <c r="I14" s="19">
        <f>'Income Statement'!I19/'Income Statement'!I6</f>
        <v/>
      </c>
    </row>
    <row r="15">
      <c r="A15" s="18" t="inlineStr">
        <is>
          <t>ROAE (attributable)</t>
        </is>
      </c>
      <c r="B15" s="19">
        <f>'Income Statement'!B19/'Balance Sheet'!B14</f>
        <v/>
      </c>
      <c r="C15" s="19">
        <f>'Income Statement'!C19/'Balance Sheet'!C14</f>
        <v/>
      </c>
      <c r="D15" s="19">
        <f>'Income Statement'!D19/'Balance Sheet'!D14</f>
        <v/>
      </c>
      <c r="E15" s="19">
        <f>'Income Statement'!E19/'Balance Sheet'!E14</f>
        <v/>
      </c>
      <c r="F15" s="19">
        <f>'Income Statement'!F19/'Balance Sheet'!F14</f>
        <v/>
      </c>
      <c r="G15" s="19">
        <f>'Income Statement'!G19/'Balance Sheet'!G14</f>
        <v/>
      </c>
      <c r="H15" s="19">
        <f>'Income Statement'!H19/'Balance Sheet'!H14</f>
        <v/>
      </c>
      <c r="I15" s="19">
        <f>'Income Statement'!I19/'Balance Sheet'!I14</f>
        <v/>
      </c>
    </row>
    <row r="16">
      <c r="A16" s="18" t="inlineStr">
        <is>
          <t>Net debt (IR) / EBITDA (×)</t>
        </is>
      </c>
      <c r="B16" s="34">
        <f>'Balance Sheet'!B24/'Income Statement'!B9</f>
        <v/>
      </c>
      <c r="C16" s="34">
        <f>'Balance Sheet'!C24/'Income Statement'!C9</f>
        <v/>
      </c>
      <c r="D16" s="34">
        <f>'Balance Sheet'!D24/'Income Statement'!D9</f>
        <v/>
      </c>
      <c r="E16" s="34">
        <f>'Balance Sheet'!E24/'Income Statement'!E9</f>
        <v/>
      </c>
      <c r="F16" s="34">
        <f>'Balance Sheet'!F24/'Income Statement'!F9</f>
        <v/>
      </c>
      <c r="G16" s="34">
        <f>'Balance Sheet'!G24/'Income Statement'!G9</f>
        <v/>
      </c>
      <c r="H16" s="34">
        <f>'Balance Sheet'!H24/'Income Statement'!H9</f>
        <v/>
      </c>
      <c r="I16" s="34">
        <f>'Balance Sheet'!I24/'Income Statement'!I9</f>
        <v/>
      </c>
    </row>
    <row r="17">
      <c r="A17" s="18" t="inlineStr">
        <is>
          <t>Capex intensity (% of revenue)</t>
        </is>
      </c>
      <c r="B17" s="10" t="n">
        <v>0.136</v>
      </c>
      <c r="C17" s="10" t="n">
        <v>0.157</v>
      </c>
      <c r="D17" s="10" t="n">
        <v>0.152</v>
      </c>
      <c r="E17" s="19">
        <f>-'Cash Flow'!E10/'Income Statement'!E6</f>
        <v/>
      </c>
      <c r="F17" s="19">
        <f>-'Cash Flow'!F10/'Income Statement'!F6</f>
        <v/>
      </c>
      <c r="G17" s="19">
        <f>-'Cash Flow'!G10/'Income Statement'!G6</f>
        <v/>
      </c>
      <c r="H17" s="19">
        <f>-'Cash Flow'!H10/'Income Statement'!H6</f>
        <v/>
      </c>
      <c r="I17" s="19">
        <f>-'Cash Flow'!I10/'Income Statement'!I6</f>
        <v/>
      </c>
    </row>
    <row r="18">
      <c r="A18" s="18" t="inlineStr">
        <is>
          <t>FCF yield at spot (forecast)</t>
        </is>
      </c>
      <c r="E18" s="19">
        <f>'Cash Flow'!E11/(Assumptions!$B$5*Assumptions!$B$6)</f>
        <v/>
      </c>
      <c r="F18" s="19">
        <f>'Cash Flow'!F11/(Assumptions!$B$5*Assumptions!$B$6)</f>
        <v/>
      </c>
      <c r="G18" s="19">
        <f>'Cash Flow'!G11/(Assumptions!$B$5*Assumptions!$B$6)</f>
        <v/>
      </c>
      <c r="H18" s="19">
        <f>'Cash Flow'!H11/(Assumptions!$B$5*Assumptions!$B$6)</f>
        <v/>
      </c>
      <c r="I18" s="19">
        <f>'Cash Flow'!I11/(Assumptions!$B$5*Assumptions!$B$6)</f>
        <v/>
      </c>
    </row>
    <row r="19">
      <c r="A19" s="18" t="inlineStr">
        <is>
          <t>Revenue YoY</t>
        </is>
      </c>
      <c r="C19" s="19">
        <f>'Income Statement'!C6/'Income Statement'!B6-1</f>
        <v/>
      </c>
      <c r="D19" s="19">
        <f>'Income Statement'!D6/'Income Statement'!C6-1</f>
        <v/>
      </c>
      <c r="E19" s="19">
        <f>'Income Statement'!E6/'Income Statement'!D6-1</f>
        <v/>
      </c>
      <c r="F19" s="19">
        <f>'Income Statement'!F6/'Income Statement'!E6-1</f>
        <v/>
      </c>
      <c r="G19" s="19">
        <f>'Income Statement'!G6/'Income Statement'!F6-1</f>
        <v/>
      </c>
      <c r="H19" s="19">
        <f>'Income Statement'!H6/'Income Statement'!G6-1</f>
        <v/>
      </c>
      <c r="I19" s="19">
        <f>'Income Statement'!I6/'Income Statement'!H6-1</f>
        <v/>
      </c>
    </row>
    <row r="20">
      <c r="A20" s="18" t="inlineStr">
        <is>
          <t>EPS YoY</t>
        </is>
      </c>
      <c r="C20" s="19">
        <f>('Income Statement'!C19/'Income Statement'!B19)-1</f>
        <v/>
      </c>
      <c r="D20" s="19">
        <f>('Income Statement'!D19/'Income Statement'!C19)-1</f>
        <v/>
      </c>
      <c r="E20" s="19">
        <f>('Income Statement'!E19/'Income Statement'!D19)-1</f>
        <v/>
      </c>
      <c r="F20" s="19">
        <f>('Income Statement'!F19/'Income Statement'!E19)-1</f>
        <v/>
      </c>
      <c r="G20" s="19">
        <f>('Income Statement'!G19/'Income Statement'!F19)-1</f>
        <v/>
      </c>
      <c r="H20" s="19">
        <f>('Income Statement'!H19/'Income Statement'!G19)-1</f>
        <v/>
      </c>
      <c r="I20" s="19">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row r="15">
      <c r="A15" s="8" t="inlineStr">
        <is>
          <t>Analyst context (not a model input): 17 analysts, 8 Buy / 9 Hold, average 12m TP SAR 47.9 (41.1–55.0), Jul-2026.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2026-09-05T10:12:09Z</dcterms:created>
  <dcterms:modified xmlns:dcterms="http://purl.org/dc/terms/" xmlns:xsi="http://www.w3.org/2001/XMLSchema-instance" xsi:type="dcterms:W3CDTF">2026-09-05T10:12:10Z</dcterms:modified>
</cp:coreProperties>
</file>