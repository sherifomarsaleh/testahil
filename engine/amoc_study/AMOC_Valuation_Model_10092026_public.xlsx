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1.663882692390205</v>
      </c>
      <c r="C6" s="9">
        <f>'Fundamental Valuation'!B10</f>
        <v/>
      </c>
      <c r="D6" s="8" t="n">
        <v>27.51811494973379</v>
      </c>
      <c r="E6" s="10">
        <f>Assumptions!$B$189</f>
        <v/>
      </c>
    </row>
    <row r="7">
      <c r="A7" s="7" t="inlineStr">
        <is>
          <t>Relative multiples</t>
        </is>
      </c>
      <c r="B7" s="8" t="n">
        <v>9.877494674318957</v>
      </c>
      <c r="C7" s="9">
        <f>'Fundamental Valuation'!C11</f>
        <v/>
      </c>
      <c r="D7" s="8" t="n">
        <v>15.29989754395273</v>
      </c>
      <c r="E7" s="10">
        <f>Assumptions!$B$190</f>
        <v/>
      </c>
    </row>
    <row r="8">
      <c r="A8" s="7" t="inlineStr">
        <is>
          <t>Normalised earnings power</t>
        </is>
      </c>
      <c r="B8" s="8" t="n">
        <v>9.882803105057718</v>
      </c>
      <c r="C8" s="9">
        <f>'Fundamental Valuation'!D12</f>
        <v/>
      </c>
      <c r="D8" s="8" t="n">
        <v>16.08686742388758</v>
      </c>
      <c r="E8" s="10">
        <f>Assumptions!$B$191</f>
        <v/>
      </c>
    </row>
    <row r="9">
      <c r="A9" s="7" t="inlineStr">
        <is>
          <t>Book value and sustainable return</t>
        </is>
      </c>
      <c r="B9" s="8" t="n">
        <v>5.026420658497639</v>
      </c>
      <c r="C9" s="9">
        <f>'Fundamental Valuation'!E13</f>
        <v/>
      </c>
      <c r="D9" s="8" t="n">
        <v>7.672753838280063</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central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0.2170207072</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14" customHeight="1">
      <c r="A7" s="7" t="inlineStr">
        <is>
          <t>Spot price, EGP</t>
        </is>
      </c>
      <c r="B7" s="8" t="n">
        <v>13.5</v>
      </c>
      <c r="C7" s="7" t="inlineStr">
        <is>
          <t>Company</t>
        </is>
      </c>
      <c r="D7" s="7" t="inlineStr">
        <is>
          <t>2026-09-03</t>
        </is>
      </c>
      <c r="E7" s="4" t="inlineStr">
        <is>
          <t>AMOC closing price on the Egyptian Exchange, 3 September 2026</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0.131707</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0.092683</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0.063415</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0.04878</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0.043902</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7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28" ht="17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29" ht="17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0" ht="17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1" ht="17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2" ht="17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3" ht="17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4" ht="17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5" ht="17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6" ht="17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7" ht="17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8" ht="17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9" ht="17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0" ht="17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1" ht="17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2" ht="17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3" ht="17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4" ht="17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5" ht="17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6" ht="17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7" ht="17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8" ht="17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9" ht="17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0" ht="17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1" ht="17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2" ht="17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3" ht="17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4" ht="17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5" ht="17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6" ht="17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7" ht="17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8" ht="17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9" ht="17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0" ht="17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1" ht="17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2" ht="17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3" ht="17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4" ht="17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5" ht="17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6" ht="17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7" ht="70" customHeight="1">
      <c r="A167" s="7" t="inlineStr">
        <is>
          <t>Egyptian inflation factor, 2026E</t>
        </is>
      </c>
      <c r="B167" s="28" t="n">
        <v>1.16</v>
      </c>
      <c r="C167" s="7" t="inlineStr">
        <is>
          <t>Country</t>
        </is>
      </c>
      <c r="D167" s="7" t="inlineStr">
        <is>
          <t>2026-09-02</t>
        </is>
      </c>
      <c r="E167"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8" ht="70" customHeight="1">
      <c r="A168" s="7" t="inlineStr">
        <is>
          <t>Egyptian inflation factor, 2027E</t>
        </is>
      </c>
      <c r="B168" s="28" t="n">
        <v>1.12</v>
      </c>
      <c r="C168" s="7" t="inlineStr">
        <is>
          <t>Country</t>
        </is>
      </c>
      <c r="D168" s="7" t="inlineStr">
        <is>
          <t>2026-09-02</t>
        </is>
      </c>
      <c r="E168"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9" ht="70" customHeight="1">
      <c r="A169" s="7" t="inlineStr">
        <is>
          <t>Egyptian inflation factor, 2028E</t>
        </is>
      </c>
      <c r="B169" s="28" t="n">
        <v>1.09</v>
      </c>
      <c r="C169" s="7" t="inlineStr">
        <is>
          <t>Country</t>
        </is>
      </c>
      <c r="D169" s="7" t="inlineStr">
        <is>
          <t>2026-09-02</t>
        </is>
      </c>
      <c r="E169"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0" ht="70" customHeight="1">
      <c r="A170" s="7" t="inlineStr">
        <is>
          <t>Egyptian inflation factor, 2029E</t>
        </is>
      </c>
      <c r="B170" s="28" t="n">
        <v>1.075</v>
      </c>
      <c r="C170" s="7" t="inlineStr">
        <is>
          <t>Country</t>
        </is>
      </c>
      <c r="D170" s="7" t="inlineStr">
        <is>
          <t>2026-09-02</t>
        </is>
      </c>
      <c r="E170"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1" ht="70" customHeight="1">
      <c r="A171" s="7" t="inlineStr">
        <is>
          <t>Egyptian inflation factor, 2030E</t>
        </is>
      </c>
      <c r="B171" s="28" t="n">
        <v>1.07</v>
      </c>
      <c r="C171" s="7" t="inlineStr">
        <is>
          <t>Country</t>
        </is>
      </c>
      <c r="D171" s="7" t="inlineStr">
        <is>
          <t>2026-09-02</t>
        </is>
      </c>
      <c r="E171"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0.9063464869078695</v>
      </c>
      <c r="C176" s="7" t="inlineStr">
        <is>
          <t>Company</t>
        </is>
      </c>
      <c r="D176" s="7" t="inlineStr">
        <is>
          <t>2026-09-08</t>
        </is>
      </c>
      <c r="E176" s="4" t="inlineStr">
        <is>
          <t>Own-stock tier-1 regression, AMOC weekly log-returns against raw_indices/EG/EGX30.csv — the published index of the exchange AMOC is listed on, series as of 2026-09-08, resolved by beta_regression.own_stock_beta() rather than hand-rolled. R-squared 0.236, n = 256, standard error 0.175, 90% confidence interval [0.619, 1.193].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and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110" customHeight="1">
      <c r="A180" s="7" t="inlineStr">
        <is>
          <t>Terminal real risk-free rate</t>
        </is>
      </c>
      <c r="B180" s="29" t="n">
        <v>0.035</v>
      </c>
      <c r="C180" s="7" t="inlineStr">
        <is>
          <t>House</t>
        </is>
      </c>
      <c r="D180" s="7" t="inlineStr">
        <is>
          <t>2026-09-10</t>
        </is>
      </c>
      <c r="E180" s="4" t="inlineStr">
        <is>
          <t>Terminal real risk-free rate. It is NOT set by this study: it is read from the single long-run view of the Egyptian economy that every study in this book discounts on, so one company cannot quietly hold a different one. The terminal NOMINAL risk-free rate is not an input either — it is that same shared view's own figure, this real rate plus the central bank's inflation target in force for the terminal horizon — so the single most terminal-value-sensitive number in the model can be set neither by hand nor by this study alone. TWO EDITIONS OF THIS LINE ARE RETIRED. The first hardcoded 10.50% by adding 5.5pp to the 5% target dated Q4-2028 while describing it as 'the' medium-term target. The second, adopted 06-Aug-2026, derived the rate correctly but from a real convention typed into this file, so when the house convention moved from 5.5% to 3.5% — the retired figure being a restrictive policy stance rather than a long-run real rate — this study went on discounting at 12.50% while every conformed study discounted at 10.50%. Two readers of one economy must not disagree</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neutral except the adopted base-period correction on row 7</t>
        </is>
      </c>
      <c r="B5" s="13" t="n"/>
      <c r="C5" s="13" t="n"/>
      <c r="D5" s="13" t="n"/>
      <c r="E5" s="13" t="n"/>
      <c r="F5" s="13" t="n"/>
      <c r="G5" s="13" t="n"/>
      <c r="H5" s="13" t="n"/>
      <c r="I5" s="13" t="n"/>
    </row>
    <row r="6">
      <c r="A6" s="7" t="inlineStr">
        <is>
          <t>Volume growth added a year</t>
        </is>
      </c>
      <c r="B6" s="29" t="n">
        <v>0</v>
      </c>
    </row>
    <row r="7">
      <c r="A7" s="7" t="inlineStr">
        <is>
          <t>Gross-margin shift — the adopted base-period correction</t>
        </is>
      </c>
      <c r="B7" s="29" t="n">
        <v>0.02743858990883105</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21+0.4357405005*C21+0.0330936548*C21+0.0328406739))+C23*('Segments'!$D$28*C21*Assumptions!$B$109+'Segments'!$B$28*(0.4983251709*C21+0.4357405005*C21+0.0330936548*C21+0.0328406739))+C24*('Segments'!$D$29*C21*Assumptions!$B$109+'Segments'!$B$29*(0.4983251709*C21+0.4357405005*C21+0.0330936548*C21+0.0328406739))+C25*('Segments'!$D$30*C21*Assumptions!$B$109+'Segments'!$B$30*(0.4983251709*C21+0.4357405005*C21+0.0330936548*C21+0.0328406739))+C26*('Segments'!$D$31*C21*Assumptions!$B$109+'Segments'!$B$31*(0.4983251709*C21+0.4357405005*C21+0.0330936548*C21+0.0328406739))+C27*('Segments'!$D$32*C21*Assumptions!$B$109+'Segments'!$B$32*(0.4983251709*C21+0.4357405005*C21+0.0330936548*C21+0.0328406739))+C28*('Segments'!$D$33*C21*Assumptions!$B$109+'Segments'!$B$33*(0.4983251709*C21+0.4357405005*C21+0.0330936548*C21+0.0328406739))+C29*('Segments'!$D$34*C21*Assumptions!$B$109+'Segments'!$B$34*(0.4983251709*C21+0.4357405005*C21+0.0330936548*C21+0.0328406739))</f>
        <v/>
      </c>
      <c r="D32" s="18">
        <f>D22*('Segments'!$D$27*D21*Assumptions!$B$109+'Segments'!$B$27*(0.4983251709*D21+0.4357405005*D21+0.0330936548*D21+0.0328406739))+D23*('Segments'!$D$28*D21*Assumptions!$B$109+'Segments'!$B$28*(0.4983251709*D21+0.4357405005*D21+0.0330936548*D21+0.0328406739))+D24*('Segments'!$D$29*D21*Assumptions!$B$109+'Segments'!$B$29*(0.4983251709*D21+0.4357405005*D21+0.0330936548*D21+0.0328406739))+D25*('Segments'!$D$30*D21*Assumptions!$B$109+'Segments'!$B$30*(0.4983251709*D21+0.4357405005*D21+0.0330936548*D21+0.0328406739))+D26*('Segments'!$D$31*D21*Assumptions!$B$109+'Segments'!$B$31*(0.4983251709*D21+0.4357405005*D21+0.0330936548*D21+0.0328406739))+D27*('Segments'!$D$32*D21*Assumptions!$B$109+'Segments'!$B$32*(0.4983251709*D21+0.4357405005*D21+0.0330936548*D21+0.0328406739))+D28*('Segments'!$D$33*D21*Assumptions!$B$109+'Segments'!$B$33*(0.4983251709*D21+0.4357405005*D21+0.0330936548*D21+0.0328406739))+D29*('Segments'!$D$34*D21*Assumptions!$B$109+'Segments'!$B$34*(0.4983251709*D21+0.4357405005*D21+0.0330936548*D21+0.0328406739))</f>
        <v/>
      </c>
      <c r="E32" s="18">
        <f>E22*('Segments'!$D$27*E21*Assumptions!$B$109+'Segments'!$B$27*(0.4983251709*E21+0.4357405005*E21+0.0330936548*E21+0.0328406739))+E23*('Segments'!$D$28*E21*Assumptions!$B$109+'Segments'!$B$28*(0.4983251709*E21+0.4357405005*E21+0.0330936548*E21+0.0328406739))+E24*('Segments'!$D$29*E21*Assumptions!$B$109+'Segments'!$B$29*(0.4983251709*E21+0.4357405005*E21+0.0330936548*E21+0.0328406739))+E25*('Segments'!$D$30*E21*Assumptions!$B$109+'Segments'!$B$30*(0.4983251709*E21+0.4357405005*E21+0.0330936548*E21+0.0328406739))+E26*('Segments'!$D$31*E21*Assumptions!$B$109+'Segments'!$B$31*(0.4983251709*E21+0.4357405005*E21+0.0330936548*E21+0.0328406739))+E27*('Segments'!$D$32*E21*Assumptions!$B$109+'Segments'!$B$32*(0.4983251709*E21+0.4357405005*E21+0.0330936548*E21+0.0328406739))+E28*('Segments'!$D$33*E21*Assumptions!$B$109+'Segments'!$B$33*(0.4983251709*E21+0.4357405005*E21+0.0330936548*E21+0.0328406739))+E29*('Segments'!$D$34*E21*Assumptions!$B$109+'Segments'!$B$34*(0.4983251709*E21+0.4357405005*E21+0.0330936548*E21+0.0328406739))</f>
        <v/>
      </c>
      <c r="F32" s="18">
        <f>F22*('Segments'!$D$27*F21*Assumptions!$B$109+'Segments'!$B$27*(0.4983251709*F21+0.4357405005*F21+0.0330936548*F21+0.0328406739))+F23*('Segments'!$D$28*F21*Assumptions!$B$109+'Segments'!$B$28*(0.4983251709*F21+0.4357405005*F21+0.0330936548*F21+0.0328406739))+F24*('Segments'!$D$29*F21*Assumptions!$B$109+'Segments'!$B$29*(0.4983251709*F21+0.4357405005*F21+0.0330936548*F21+0.0328406739))+F25*('Segments'!$D$30*F21*Assumptions!$B$109+'Segments'!$B$30*(0.4983251709*F21+0.4357405005*F21+0.0330936548*F21+0.0328406739))+F26*('Segments'!$D$31*F21*Assumptions!$B$109+'Segments'!$B$31*(0.4983251709*F21+0.4357405005*F21+0.0330936548*F21+0.0328406739))+F27*('Segments'!$D$32*F21*Assumptions!$B$109+'Segments'!$B$32*(0.4983251709*F21+0.4357405005*F21+0.0330936548*F21+0.0328406739))+F28*('Segments'!$D$33*F21*Assumptions!$B$109+'Segments'!$B$33*(0.4983251709*F21+0.4357405005*F21+0.0330936548*F21+0.0328406739))+F29*('Segments'!$D$34*F21*Assumptions!$B$109+'Segments'!$B$34*(0.4983251709*F21+0.4357405005*F21+0.0330936548*F21+0.0328406739))</f>
        <v/>
      </c>
      <c r="G32" s="18">
        <f>G22*('Segments'!$D$27*G21*Assumptions!$B$109+'Segments'!$B$27*(0.4983251709*G21+0.4357405005*G21+0.0330936548*G21+0.0328406739))+G23*('Segments'!$D$28*G21*Assumptions!$B$109+'Segments'!$B$28*(0.4983251709*G21+0.4357405005*G21+0.0330936548*G21+0.0328406739))+G24*('Segments'!$D$29*G21*Assumptions!$B$109+'Segments'!$B$29*(0.4983251709*G21+0.4357405005*G21+0.0330936548*G21+0.0328406739))+G25*('Segments'!$D$30*G21*Assumptions!$B$109+'Segments'!$B$30*(0.4983251709*G21+0.4357405005*G21+0.0330936548*G21+0.0328406739))+G26*('Segments'!$D$31*G21*Assumptions!$B$109+'Segments'!$B$31*(0.4983251709*G21+0.4357405005*G21+0.0330936548*G21+0.0328406739))+G27*('Segments'!$D$32*G21*Assumptions!$B$109+'Segments'!$B$32*(0.4983251709*G21+0.4357405005*G21+0.0330936548*G21+0.0328406739))+G28*('Segments'!$D$33*G21*Assumptions!$B$109+'Segments'!$B$33*(0.4983251709*G21+0.4357405005*G21+0.0330936548*G21+0.0328406739))+G29*('Segments'!$D$34*G21*Assumptions!$B$109+'Segments'!$B$34*(0.4983251709*G21+0.4357405005*G21+0.0330936548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5</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7.725762121511933</v>
      </c>
      <c r="C14" s="8" t="n">
        <v>8.622147295622389</v>
      </c>
      <c r="D14" s="8" t="n">
        <v>9.17108007035451</v>
      </c>
      <c r="E14" s="8" t="n">
        <v>9.755276306169151</v>
      </c>
      <c r="F14" s="8" t="n">
        <v>10.8842084723336</v>
      </c>
    </row>
    <row r="15">
      <c r="A15" s="7" t="inlineStr">
        <is>
          <t>3M — grade date 2026-11-08</t>
        </is>
      </c>
      <c r="B15" s="8" t="n">
        <v>6.937402104405309</v>
      </c>
      <c r="C15" s="8" t="n">
        <v>8.385426149926493</v>
      </c>
      <c r="D15" s="8" t="n">
        <v>9.328271049604574</v>
      </c>
      <c r="E15" s="8" t="n">
        <v>10.37679624330905</v>
      </c>
      <c r="F15" s="8" t="n">
        <v>12.52442131892482</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0.8235294117647058</v>
      </c>
    </row>
    <row r="23">
      <c r="A23" s="7" t="inlineStr">
        <is>
          <t>Inside the 90 per cent band</t>
        </is>
      </c>
      <c r="B23" s="31" t="n">
        <v>0.9411764705882353</v>
      </c>
    </row>
    <row r="24">
      <c r="A24" s="7" t="inlineStr">
        <is>
          <t>Mean probability-integral transform (0.5 is centred)</t>
        </is>
      </c>
      <c r="B24" s="28" t="n">
        <v>0.4516500000000001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0.01743858990883105</v>
      </c>
      <c r="I6" s="22">
        <f>B95</f>
        <v/>
      </c>
    </row>
    <row r="7">
      <c r="A7" s="7" t="inlineStr">
        <is>
          <t xml:space="preserve">   grid point 2: -0.5%</t>
        </is>
      </c>
      <c r="C7" s="29" t="n">
        <v>0.02243858990883105</v>
      </c>
      <c r="I7" s="22">
        <f>B144</f>
        <v/>
      </c>
    </row>
    <row r="8">
      <c r="A8" s="7" t="inlineStr">
        <is>
          <t xml:space="preserve">   grid point 3: +0.0%</t>
        </is>
      </c>
      <c r="C8" s="29" t="n">
        <v>0.02743858990883105</v>
      </c>
      <c r="I8" s="22">
        <f>B193</f>
        <v/>
      </c>
      <c r="J8" s="43">
        <f>B193-DCF!B65</f>
        <v/>
      </c>
    </row>
    <row r="9">
      <c r="A9" s="7" t="inlineStr">
        <is>
          <t xml:space="preserve">   grid point 4: +0.5%</t>
        </is>
      </c>
      <c r="C9" s="29" t="n">
        <v>0.03243858990883105</v>
      </c>
      <c r="I9" s="22">
        <f>B242</f>
        <v/>
      </c>
    </row>
    <row r="10">
      <c r="A10" s="7" t="inlineStr">
        <is>
          <t xml:space="preserve">   grid point 5: +1.0%</t>
        </is>
      </c>
      <c r="C10" s="29" t="n">
        <v>0.03743858990883105</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0.143982185805472</v>
      </c>
      <c r="I27" s="22">
        <f>B830</f>
        <v/>
      </c>
    </row>
    <row r="28">
      <c r="A28" s="7" t="inlineStr">
        <is>
          <t xml:space="preserve">   grid point 2: 0.8000</t>
        </is>
      </c>
      <c r="F28" s="29" t="n">
        <v>0.26438</v>
      </c>
      <c r="G28" s="29" t="n">
        <v>0.156582185805472</v>
      </c>
      <c r="I28" s="22">
        <f>B879</f>
        <v/>
      </c>
    </row>
    <row r="29">
      <c r="A29" s="7" t="inlineStr">
        <is>
          <t xml:space="preserve">   grid point 3: 0.9063</t>
        </is>
      </c>
      <c r="F29" s="29" t="n">
        <v>0.2743872044180305</v>
      </c>
      <c r="G29" s="29" t="n">
        <v>0.1632820144806677</v>
      </c>
      <c r="I29" s="22">
        <f>B928</f>
        <v/>
      </c>
      <c r="J29" s="43">
        <f>B928-DCF!B65</f>
        <v/>
      </c>
    </row>
    <row r="30">
      <c r="A30" s="7" t="inlineStr">
        <is>
          <t xml:space="preserve">   grid point 4: 1.1500</t>
        </is>
      </c>
      <c r="F30" s="29" t="n">
        <v>0.297315</v>
      </c>
      <c r="G30" s="29" t="n">
        <v>0.178632185805472</v>
      </c>
      <c r="I30" s="22">
        <f>B977</f>
        <v/>
      </c>
    </row>
    <row r="31">
      <c r="A31" s="7" t="inlineStr">
        <is>
          <t xml:space="preserve">   grid point 5: 1.3000</t>
        </is>
      </c>
      <c r="F31" s="29" t="n">
        <v>0.31143</v>
      </c>
      <c r="G31" s="29" t="n">
        <v>0.188082185805472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51+0.4357405005*C51+0.0330936548*C51+0.0328406739))+C53*('Segments'!$D$28*C51*Assumptions!$B$109+'Segments'!$B$28*(0.4983251709*C51+0.4357405005*C51+0.0330936548*C51+0.0328406739))+C54*('Segments'!$D$29*C51*Assumptions!$B$109+'Segments'!$B$29*(0.4983251709*C51+0.4357405005*C51+0.0330936548*C51+0.0328406739))+C55*('Segments'!$D$30*C51*Assumptions!$B$109+'Segments'!$B$30*(0.4983251709*C51+0.4357405005*C51+0.0330936548*C51+0.0328406739))+C56*('Segments'!$D$31*C51*Assumptions!$B$109+'Segments'!$B$31*(0.4983251709*C51+0.4357405005*C51+0.0330936548*C51+0.0328406739))+C57*('Segments'!$D$32*C51*Assumptions!$B$109+'Segments'!$B$32*(0.4983251709*C51+0.4357405005*C51+0.0330936548*C51+0.0328406739))+C58*('Segments'!$D$33*C51*Assumptions!$B$109+'Segments'!$B$33*(0.4983251709*C51+0.4357405005*C51+0.0330936548*C51+0.0328406739))+C59*('Segments'!$D$34*C51*Assumptions!$B$109+'Segments'!$B$34*(0.4983251709*C51+0.4357405005*C51+0.0330936548*C51+0.0328406739))</f>
        <v/>
      </c>
      <c r="D62" s="18">
        <f>D52*('Segments'!$D$27*D51*Assumptions!$B$109+'Segments'!$B$27*(0.4983251709*D51+0.4357405005*D51+0.0330936548*D51+0.0328406739))+D53*('Segments'!$D$28*D51*Assumptions!$B$109+'Segments'!$B$28*(0.4983251709*D51+0.4357405005*D51+0.0330936548*D51+0.0328406739))+D54*('Segments'!$D$29*D51*Assumptions!$B$109+'Segments'!$B$29*(0.4983251709*D51+0.4357405005*D51+0.0330936548*D51+0.0328406739))+D55*('Segments'!$D$30*D51*Assumptions!$B$109+'Segments'!$B$30*(0.4983251709*D51+0.4357405005*D51+0.0330936548*D51+0.0328406739))+D56*('Segments'!$D$31*D51*Assumptions!$B$109+'Segments'!$B$31*(0.4983251709*D51+0.4357405005*D51+0.0330936548*D51+0.0328406739))+D57*('Segments'!$D$32*D51*Assumptions!$B$109+'Segments'!$B$32*(0.4983251709*D51+0.4357405005*D51+0.0330936548*D51+0.0328406739))+D58*('Segments'!$D$33*D51*Assumptions!$B$109+'Segments'!$B$33*(0.4983251709*D51+0.4357405005*D51+0.0330936548*D51+0.0328406739))+D59*('Segments'!$D$34*D51*Assumptions!$B$109+'Segments'!$B$34*(0.4983251709*D51+0.4357405005*D51+0.0330936548*D51+0.0328406739))</f>
        <v/>
      </c>
      <c r="E62" s="18">
        <f>E52*('Segments'!$D$27*E51*Assumptions!$B$109+'Segments'!$B$27*(0.4983251709*E51+0.4357405005*E51+0.0330936548*E51+0.0328406739))+E53*('Segments'!$D$28*E51*Assumptions!$B$109+'Segments'!$B$28*(0.4983251709*E51+0.4357405005*E51+0.0330936548*E51+0.0328406739))+E54*('Segments'!$D$29*E51*Assumptions!$B$109+'Segments'!$B$29*(0.4983251709*E51+0.4357405005*E51+0.0330936548*E51+0.0328406739))+E55*('Segments'!$D$30*E51*Assumptions!$B$109+'Segments'!$B$30*(0.4983251709*E51+0.4357405005*E51+0.0330936548*E51+0.0328406739))+E56*('Segments'!$D$31*E51*Assumptions!$B$109+'Segments'!$B$31*(0.4983251709*E51+0.4357405005*E51+0.0330936548*E51+0.0328406739))+E57*('Segments'!$D$32*E51*Assumptions!$B$109+'Segments'!$B$32*(0.4983251709*E51+0.4357405005*E51+0.0330936548*E51+0.0328406739))+E58*('Segments'!$D$33*E51*Assumptions!$B$109+'Segments'!$B$33*(0.4983251709*E51+0.4357405005*E51+0.0330936548*E51+0.0328406739))+E59*('Segments'!$D$34*E51*Assumptions!$B$109+'Segments'!$B$34*(0.4983251709*E51+0.4357405005*E51+0.0330936548*E51+0.0328406739))</f>
        <v/>
      </c>
      <c r="F62" s="18">
        <f>F52*('Segments'!$D$27*F51*Assumptions!$B$109+'Segments'!$B$27*(0.4983251709*F51+0.4357405005*F51+0.0330936548*F51+0.0328406739))+F53*('Segments'!$D$28*F51*Assumptions!$B$109+'Segments'!$B$28*(0.4983251709*F51+0.4357405005*F51+0.0330936548*F51+0.0328406739))+F54*('Segments'!$D$29*F51*Assumptions!$B$109+'Segments'!$B$29*(0.4983251709*F51+0.4357405005*F51+0.0330936548*F51+0.0328406739))+F55*('Segments'!$D$30*F51*Assumptions!$B$109+'Segments'!$B$30*(0.4983251709*F51+0.4357405005*F51+0.0330936548*F51+0.0328406739))+F56*('Segments'!$D$31*F51*Assumptions!$B$109+'Segments'!$B$31*(0.4983251709*F51+0.4357405005*F51+0.0330936548*F51+0.0328406739))+F57*('Segments'!$D$32*F51*Assumptions!$B$109+'Segments'!$B$32*(0.4983251709*F51+0.4357405005*F51+0.0330936548*F51+0.0328406739))+F58*('Segments'!$D$33*F51*Assumptions!$B$109+'Segments'!$B$33*(0.4983251709*F51+0.4357405005*F51+0.0330936548*F51+0.0328406739))+F59*('Segments'!$D$34*F51*Assumptions!$B$109+'Segments'!$B$34*(0.4983251709*F51+0.4357405005*F51+0.0330936548*F51+0.0328406739))</f>
        <v/>
      </c>
      <c r="G62" s="18">
        <f>G52*('Segments'!$D$27*G51*Assumptions!$B$109+'Segments'!$B$27*(0.4983251709*G51+0.4357405005*G51+0.0330936548*G51+0.0328406739))+G53*('Segments'!$D$28*G51*Assumptions!$B$109+'Segments'!$B$28*(0.4983251709*G51+0.4357405005*G51+0.0330936548*G51+0.0328406739))+G54*('Segments'!$D$29*G51*Assumptions!$B$109+'Segments'!$B$29*(0.4983251709*G51+0.4357405005*G51+0.0330936548*G51+0.0328406739))+G55*('Segments'!$D$30*G51*Assumptions!$B$109+'Segments'!$B$30*(0.4983251709*G51+0.4357405005*G51+0.0330936548*G51+0.0328406739))+G56*('Segments'!$D$31*G51*Assumptions!$B$109+'Segments'!$B$31*(0.4983251709*G51+0.4357405005*G51+0.0330936548*G51+0.0328406739))+G57*('Segments'!$D$32*G51*Assumptions!$B$109+'Segments'!$B$32*(0.4983251709*G51+0.4357405005*G51+0.0330936548*G51+0.0328406739))+G58*('Segments'!$D$33*G51*Assumptions!$B$109+'Segments'!$B$33*(0.4983251709*G51+0.4357405005*G51+0.0330936548*G51+0.0328406739))+G59*('Segments'!$D$34*G51*Assumptions!$B$109+'Segments'!$B$34*(0.4983251709*G51+0.4357405005*G51+0.0330936548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100+0.4357405005*C100+0.0330936548*C100+0.0328406739))+C102*('Segments'!$D$28*C100*Assumptions!$B$109+'Segments'!$B$28*(0.4983251709*C100+0.4357405005*C100+0.0330936548*C100+0.0328406739))+C103*('Segments'!$D$29*C100*Assumptions!$B$109+'Segments'!$B$29*(0.4983251709*C100+0.4357405005*C100+0.0330936548*C100+0.0328406739))+C104*('Segments'!$D$30*C100*Assumptions!$B$109+'Segments'!$B$30*(0.4983251709*C100+0.4357405005*C100+0.0330936548*C100+0.0328406739))+C105*('Segments'!$D$31*C100*Assumptions!$B$109+'Segments'!$B$31*(0.4983251709*C100+0.4357405005*C100+0.0330936548*C100+0.0328406739))+C106*('Segments'!$D$32*C100*Assumptions!$B$109+'Segments'!$B$32*(0.4983251709*C100+0.4357405005*C100+0.0330936548*C100+0.0328406739))+C107*('Segments'!$D$33*C100*Assumptions!$B$109+'Segments'!$B$33*(0.4983251709*C100+0.4357405005*C100+0.0330936548*C100+0.0328406739))+C108*('Segments'!$D$34*C100*Assumptions!$B$109+'Segments'!$B$34*(0.4983251709*C100+0.4357405005*C100+0.0330936548*C100+0.0328406739))</f>
        <v/>
      </c>
      <c r="D111" s="18">
        <f>D101*('Segments'!$D$27*D100*Assumptions!$B$109+'Segments'!$B$27*(0.4983251709*D100+0.4357405005*D100+0.0330936548*D100+0.0328406739))+D102*('Segments'!$D$28*D100*Assumptions!$B$109+'Segments'!$B$28*(0.4983251709*D100+0.4357405005*D100+0.0330936548*D100+0.0328406739))+D103*('Segments'!$D$29*D100*Assumptions!$B$109+'Segments'!$B$29*(0.4983251709*D100+0.4357405005*D100+0.0330936548*D100+0.0328406739))+D104*('Segments'!$D$30*D100*Assumptions!$B$109+'Segments'!$B$30*(0.4983251709*D100+0.4357405005*D100+0.0330936548*D100+0.0328406739))+D105*('Segments'!$D$31*D100*Assumptions!$B$109+'Segments'!$B$31*(0.4983251709*D100+0.4357405005*D100+0.0330936548*D100+0.0328406739))+D106*('Segments'!$D$32*D100*Assumptions!$B$109+'Segments'!$B$32*(0.4983251709*D100+0.4357405005*D100+0.0330936548*D100+0.0328406739))+D107*('Segments'!$D$33*D100*Assumptions!$B$109+'Segments'!$B$33*(0.4983251709*D100+0.4357405005*D100+0.0330936548*D100+0.0328406739))+D108*('Segments'!$D$34*D100*Assumptions!$B$109+'Segments'!$B$34*(0.4983251709*D100+0.4357405005*D100+0.0330936548*D100+0.0328406739))</f>
        <v/>
      </c>
      <c r="E111" s="18">
        <f>E101*('Segments'!$D$27*E100*Assumptions!$B$109+'Segments'!$B$27*(0.4983251709*E100+0.4357405005*E100+0.0330936548*E100+0.0328406739))+E102*('Segments'!$D$28*E100*Assumptions!$B$109+'Segments'!$B$28*(0.4983251709*E100+0.4357405005*E100+0.0330936548*E100+0.0328406739))+E103*('Segments'!$D$29*E100*Assumptions!$B$109+'Segments'!$B$29*(0.4983251709*E100+0.4357405005*E100+0.0330936548*E100+0.0328406739))+E104*('Segments'!$D$30*E100*Assumptions!$B$109+'Segments'!$B$30*(0.4983251709*E100+0.4357405005*E100+0.0330936548*E100+0.0328406739))+E105*('Segments'!$D$31*E100*Assumptions!$B$109+'Segments'!$B$31*(0.4983251709*E100+0.4357405005*E100+0.0330936548*E100+0.0328406739))+E106*('Segments'!$D$32*E100*Assumptions!$B$109+'Segments'!$B$32*(0.4983251709*E100+0.4357405005*E100+0.0330936548*E100+0.0328406739))+E107*('Segments'!$D$33*E100*Assumptions!$B$109+'Segments'!$B$33*(0.4983251709*E100+0.4357405005*E100+0.0330936548*E100+0.0328406739))+E108*('Segments'!$D$34*E100*Assumptions!$B$109+'Segments'!$B$34*(0.4983251709*E100+0.4357405005*E100+0.0330936548*E100+0.0328406739))</f>
        <v/>
      </c>
      <c r="F111" s="18">
        <f>F101*('Segments'!$D$27*F100*Assumptions!$B$109+'Segments'!$B$27*(0.4983251709*F100+0.4357405005*F100+0.0330936548*F100+0.0328406739))+F102*('Segments'!$D$28*F100*Assumptions!$B$109+'Segments'!$B$28*(0.4983251709*F100+0.4357405005*F100+0.0330936548*F100+0.0328406739))+F103*('Segments'!$D$29*F100*Assumptions!$B$109+'Segments'!$B$29*(0.4983251709*F100+0.4357405005*F100+0.0330936548*F100+0.0328406739))+F104*('Segments'!$D$30*F100*Assumptions!$B$109+'Segments'!$B$30*(0.4983251709*F100+0.4357405005*F100+0.0330936548*F100+0.0328406739))+F105*('Segments'!$D$31*F100*Assumptions!$B$109+'Segments'!$B$31*(0.4983251709*F100+0.4357405005*F100+0.0330936548*F100+0.0328406739))+F106*('Segments'!$D$32*F100*Assumptions!$B$109+'Segments'!$B$32*(0.4983251709*F100+0.4357405005*F100+0.0330936548*F100+0.0328406739))+F107*('Segments'!$D$33*F100*Assumptions!$B$109+'Segments'!$B$33*(0.4983251709*F100+0.4357405005*F100+0.0330936548*F100+0.0328406739))+F108*('Segments'!$D$34*F100*Assumptions!$B$109+'Segments'!$B$34*(0.4983251709*F100+0.4357405005*F100+0.0330936548*F100+0.0328406739))</f>
        <v/>
      </c>
      <c r="G111" s="18">
        <f>G101*('Segments'!$D$27*G100*Assumptions!$B$109+'Segments'!$B$27*(0.4983251709*G100+0.4357405005*G100+0.0330936548*G100+0.0328406739))+G102*('Segments'!$D$28*G100*Assumptions!$B$109+'Segments'!$B$28*(0.4983251709*G100+0.4357405005*G100+0.0330936548*G100+0.0328406739))+G103*('Segments'!$D$29*G100*Assumptions!$B$109+'Segments'!$B$29*(0.4983251709*G100+0.4357405005*G100+0.0330936548*G100+0.0328406739))+G104*('Segments'!$D$30*G100*Assumptions!$B$109+'Segments'!$B$30*(0.4983251709*G100+0.4357405005*G100+0.0330936548*G100+0.0328406739))+G105*('Segments'!$D$31*G100*Assumptions!$B$109+'Segments'!$B$31*(0.4983251709*G100+0.4357405005*G100+0.0330936548*G100+0.0328406739))+G106*('Segments'!$D$32*G100*Assumptions!$B$109+'Segments'!$B$32*(0.4983251709*G100+0.4357405005*G100+0.0330936548*G100+0.0328406739))+G107*('Segments'!$D$33*G100*Assumptions!$B$109+'Segments'!$B$33*(0.4983251709*G100+0.4357405005*G100+0.0330936548*G100+0.0328406739))+G108*('Segments'!$D$34*G100*Assumptions!$B$109+'Segments'!$B$34*(0.4983251709*G100+0.4357405005*G100+0.0330936548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149+0.4357405005*C149+0.0330936548*C149+0.0328406739))+C151*('Segments'!$D$28*C149*Assumptions!$B$109+'Segments'!$B$28*(0.4983251709*C149+0.4357405005*C149+0.0330936548*C149+0.0328406739))+C152*('Segments'!$D$29*C149*Assumptions!$B$109+'Segments'!$B$29*(0.4983251709*C149+0.4357405005*C149+0.0330936548*C149+0.0328406739))+C153*('Segments'!$D$30*C149*Assumptions!$B$109+'Segments'!$B$30*(0.4983251709*C149+0.4357405005*C149+0.0330936548*C149+0.0328406739))+C154*('Segments'!$D$31*C149*Assumptions!$B$109+'Segments'!$B$31*(0.4983251709*C149+0.4357405005*C149+0.0330936548*C149+0.0328406739))+C155*('Segments'!$D$32*C149*Assumptions!$B$109+'Segments'!$B$32*(0.4983251709*C149+0.4357405005*C149+0.0330936548*C149+0.0328406739))+C156*('Segments'!$D$33*C149*Assumptions!$B$109+'Segments'!$B$33*(0.4983251709*C149+0.4357405005*C149+0.0330936548*C149+0.0328406739))+C157*('Segments'!$D$34*C149*Assumptions!$B$109+'Segments'!$B$34*(0.4983251709*C149+0.4357405005*C149+0.0330936548*C149+0.0328406739))</f>
        <v/>
      </c>
      <c r="D160" s="18">
        <f>D150*('Segments'!$D$27*D149*Assumptions!$B$109+'Segments'!$B$27*(0.4983251709*D149+0.4357405005*D149+0.0330936548*D149+0.0328406739))+D151*('Segments'!$D$28*D149*Assumptions!$B$109+'Segments'!$B$28*(0.4983251709*D149+0.4357405005*D149+0.0330936548*D149+0.0328406739))+D152*('Segments'!$D$29*D149*Assumptions!$B$109+'Segments'!$B$29*(0.4983251709*D149+0.4357405005*D149+0.0330936548*D149+0.0328406739))+D153*('Segments'!$D$30*D149*Assumptions!$B$109+'Segments'!$B$30*(0.4983251709*D149+0.4357405005*D149+0.0330936548*D149+0.0328406739))+D154*('Segments'!$D$31*D149*Assumptions!$B$109+'Segments'!$B$31*(0.4983251709*D149+0.4357405005*D149+0.0330936548*D149+0.0328406739))+D155*('Segments'!$D$32*D149*Assumptions!$B$109+'Segments'!$B$32*(0.4983251709*D149+0.4357405005*D149+0.0330936548*D149+0.0328406739))+D156*('Segments'!$D$33*D149*Assumptions!$B$109+'Segments'!$B$33*(0.4983251709*D149+0.4357405005*D149+0.0330936548*D149+0.0328406739))+D157*('Segments'!$D$34*D149*Assumptions!$B$109+'Segments'!$B$34*(0.4983251709*D149+0.4357405005*D149+0.0330936548*D149+0.0328406739))</f>
        <v/>
      </c>
      <c r="E160" s="18">
        <f>E150*('Segments'!$D$27*E149*Assumptions!$B$109+'Segments'!$B$27*(0.4983251709*E149+0.4357405005*E149+0.0330936548*E149+0.0328406739))+E151*('Segments'!$D$28*E149*Assumptions!$B$109+'Segments'!$B$28*(0.4983251709*E149+0.4357405005*E149+0.0330936548*E149+0.0328406739))+E152*('Segments'!$D$29*E149*Assumptions!$B$109+'Segments'!$B$29*(0.4983251709*E149+0.4357405005*E149+0.0330936548*E149+0.0328406739))+E153*('Segments'!$D$30*E149*Assumptions!$B$109+'Segments'!$B$30*(0.4983251709*E149+0.4357405005*E149+0.0330936548*E149+0.0328406739))+E154*('Segments'!$D$31*E149*Assumptions!$B$109+'Segments'!$B$31*(0.4983251709*E149+0.4357405005*E149+0.0330936548*E149+0.0328406739))+E155*('Segments'!$D$32*E149*Assumptions!$B$109+'Segments'!$B$32*(0.4983251709*E149+0.4357405005*E149+0.0330936548*E149+0.0328406739))+E156*('Segments'!$D$33*E149*Assumptions!$B$109+'Segments'!$B$33*(0.4983251709*E149+0.4357405005*E149+0.0330936548*E149+0.0328406739))+E157*('Segments'!$D$34*E149*Assumptions!$B$109+'Segments'!$B$34*(0.4983251709*E149+0.4357405005*E149+0.0330936548*E149+0.0328406739))</f>
        <v/>
      </c>
      <c r="F160" s="18">
        <f>F150*('Segments'!$D$27*F149*Assumptions!$B$109+'Segments'!$B$27*(0.4983251709*F149+0.4357405005*F149+0.0330936548*F149+0.0328406739))+F151*('Segments'!$D$28*F149*Assumptions!$B$109+'Segments'!$B$28*(0.4983251709*F149+0.4357405005*F149+0.0330936548*F149+0.0328406739))+F152*('Segments'!$D$29*F149*Assumptions!$B$109+'Segments'!$B$29*(0.4983251709*F149+0.4357405005*F149+0.0330936548*F149+0.0328406739))+F153*('Segments'!$D$30*F149*Assumptions!$B$109+'Segments'!$B$30*(0.4983251709*F149+0.4357405005*F149+0.0330936548*F149+0.0328406739))+F154*('Segments'!$D$31*F149*Assumptions!$B$109+'Segments'!$B$31*(0.4983251709*F149+0.4357405005*F149+0.0330936548*F149+0.0328406739))+F155*('Segments'!$D$32*F149*Assumptions!$B$109+'Segments'!$B$32*(0.4983251709*F149+0.4357405005*F149+0.0330936548*F149+0.0328406739))+F156*('Segments'!$D$33*F149*Assumptions!$B$109+'Segments'!$B$33*(0.4983251709*F149+0.4357405005*F149+0.0330936548*F149+0.0328406739))+F157*('Segments'!$D$34*F149*Assumptions!$B$109+'Segments'!$B$34*(0.4983251709*F149+0.4357405005*F149+0.0330936548*F149+0.0328406739))</f>
        <v/>
      </c>
      <c r="G160" s="18">
        <f>G150*('Segments'!$D$27*G149*Assumptions!$B$109+'Segments'!$B$27*(0.4983251709*G149+0.4357405005*G149+0.0330936548*G149+0.0328406739))+G151*('Segments'!$D$28*G149*Assumptions!$B$109+'Segments'!$B$28*(0.4983251709*G149+0.4357405005*G149+0.0330936548*G149+0.0328406739))+G152*('Segments'!$D$29*G149*Assumptions!$B$109+'Segments'!$B$29*(0.4983251709*G149+0.4357405005*G149+0.0330936548*G149+0.0328406739))+G153*('Segments'!$D$30*G149*Assumptions!$B$109+'Segments'!$B$30*(0.4983251709*G149+0.4357405005*G149+0.0330936548*G149+0.0328406739))+G154*('Segments'!$D$31*G149*Assumptions!$B$109+'Segments'!$B$31*(0.4983251709*G149+0.4357405005*G149+0.0330936548*G149+0.0328406739))+G155*('Segments'!$D$32*G149*Assumptions!$B$109+'Segments'!$B$32*(0.4983251709*G149+0.4357405005*G149+0.0330936548*G149+0.0328406739))+G156*('Segments'!$D$33*G149*Assumptions!$B$109+'Segments'!$B$33*(0.4983251709*G149+0.4357405005*G149+0.0330936548*G149+0.0328406739))+G157*('Segments'!$D$34*G149*Assumptions!$B$109+'Segments'!$B$34*(0.4983251709*G149+0.4357405005*G149+0.0330936548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198+0.4357405005*C198+0.0330936548*C198+0.0328406739))+C200*('Segments'!$D$28*C198*Assumptions!$B$109+'Segments'!$B$28*(0.4983251709*C198+0.4357405005*C198+0.0330936548*C198+0.0328406739))+C201*('Segments'!$D$29*C198*Assumptions!$B$109+'Segments'!$B$29*(0.4983251709*C198+0.4357405005*C198+0.0330936548*C198+0.0328406739))+C202*('Segments'!$D$30*C198*Assumptions!$B$109+'Segments'!$B$30*(0.4983251709*C198+0.4357405005*C198+0.0330936548*C198+0.0328406739))+C203*('Segments'!$D$31*C198*Assumptions!$B$109+'Segments'!$B$31*(0.4983251709*C198+0.4357405005*C198+0.0330936548*C198+0.0328406739))+C204*('Segments'!$D$32*C198*Assumptions!$B$109+'Segments'!$B$32*(0.4983251709*C198+0.4357405005*C198+0.0330936548*C198+0.0328406739))+C205*('Segments'!$D$33*C198*Assumptions!$B$109+'Segments'!$B$33*(0.4983251709*C198+0.4357405005*C198+0.0330936548*C198+0.0328406739))+C206*('Segments'!$D$34*C198*Assumptions!$B$109+'Segments'!$B$34*(0.4983251709*C198+0.4357405005*C198+0.0330936548*C198+0.0328406739))</f>
        <v/>
      </c>
      <c r="D209" s="18">
        <f>D199*('Segments'!$D$27*D198*Assumptions!$B$109+'Segments'!$B$27*(0.4983251709*D198+0.4357405005*D198+0.0330936548*D198+0.0328406739))+D200*('Segments'!$D$28*D198*Assumptions!$B$109+'Segments'!$B$28*(0.4983251709*D198+0.4357405005*D198+0.0330936548*D198+0.0328406739))+D201*('Segments'!$D$29*D198*Assumptions!$B$109+'Segments'!$B$29*(0.4983251709*D198+0.4357405005*D198+0.0330936548*D198+0.0328406739))+D202*('Segments'!$D$30*D198*Assumptions!$B$109+'Segments'!$B$30*(0.4983251709*D198+0.4357405005*D198+0.0330936548*D198+0.0328406739))+D203*('Segments'!$D$31*D198*Assumptions!$B$109+'Segments'!$B$31*(0.4983251709*D198+0.4357405005*D198+0.0330936548*D198+0.0328406739))+D204*('Segments'!$D$32*D198*Assumptions!$B$109+'Segments'!$B$32*(0.4983251709*D198+0.4357405005*D198+0.0330936548*D198+0.0328406739))+D205*('Segments'!$D$33*D198*Assumptions!$B$109+'Segments'!$B$33*(0.4983251709*D198+0.4357405005*D198+0.0330936548*D198+0.0328406739))+D206*('Segments'!$D$34*D198*Assumptions!$B$109+'Segments'!$B$34*(0.4983251709*D198+0.4357405005*D198+0.0330936548*D198+0.0328406739))</f>
        <v/>
      </c>
      <c r="E209" s="18">
        <f>E199*('Segments'!$D$27*E198*Assumptions!$B$109+'Segments'!$B$27*(0.4983251709*E198+0.4357405005*E198+0.0330936548*E198+0.0328406739))+E200*('Segments'!$D$28*E198*Assumptions!$B$109+'Segments'!$B$28*(0.4983251709*E198+0.4357405005*E198+0.0330936548*E198+0.0328406739))+E201*('Segments'!$D$29*E198*Assumptions!$B$109+'Segments'!$B$29*(0.4983251709*E198+0.4357405005*E198+0.0330936548*E198+0.0328406739))+E202*('Segments'!$D$30*E198*Assumptions!$B$109+'Segments'!$B$30*(0.4983251709*E198+0.4357405005*E198+0.0330936548*E198+0.0328406739))+E203*('Segments'!$D$31*E198*Assumptions!$B$109+'Segments'!$B$31*(0.4983251709*E198+0.4357405005*E198+0.0330936548*E198+0.0328406739))+E204*('Segments'!$D$32*E198*Assumptions!$B$109+'Segments'!$B$32*(0.4983251709*E198+0.4357405005*E198+0.0330936548*E198+0.0328406739))+E205*('Segments'!$D$33*E198*Assumptions!$B$109+'Segments'!$B$33*(0.4983251709*E198+0.4357405005*E198+0.0330936548*E198+0.0328406739))+E206*('Segments'!$D$34*E198*Assumptions!$B$109+'Segments'!$B$34*(0.4983251709*E198+0.4357405005*E198+0.0330936548*E198+0.0328406739))</f>
        <v/>
      </c>
      <c r="F209" s="18">
        <f>F199*('Segments'!$D$27*F198*Assumptions!$B$109+'Segments'!$B$27*(0.4983251709*F198+0.4357405005*F198+0.0330936548*F198+0.0328406739))+F200*('Segments'!$D$28*F198*Assumptions!$B$109+'Segments'!$B$28*(0.4983251709*F198+0.4357405005*F198+0.0330936548*F198+0.0328406739))+F201*('Segments'!$D$29*F198*Assumptions!$B$109+'Segments'!$B$29*(0.4983251709*F198+0.4357405005*F198+0.0330936548*F198+0.0328406739))+F202*('Segments'!$D$30*F198*Assumptions!$B$109+'Segments'!$B$30*(0.4983251709*F198+0.4357405005*F198+0.0330936548*F198+0.0328406739))+F203*('Segments'!$D$31*F198*Assumptions!$B$109+'Segments'!$B$31*(0.4983251709*F198+0.4357405005*F198+0.0330936548*F198+0.0328406739))+F204*('Segments'!$D$32*F198*Assumptions!$B$109+'Segments'!$B$32*(0.4983251709*F198+0.4357405005*F198+0.0330936548*F198+0.0328406739))+F205*('Segments'!$D$33*F198*Assumptions!$B$109+'Segments'!$B$33*(0.4983251709*F198+0.4357405005*F198+0.0330936548*F198+0.0328406739))+F206*('Segments'!$D$34*F198*Assumptions!$B$109+'Segments'!$B$34*(0.4983251709*F198+0.4357405005*F198+0.0330936548*F198+0.0328406739))</f>
        <v/>
      </c>
      <c r="G209" s="18">
        <f>G199*('Segments'!$D$27*G198*Assumptions!$B$109+'Segments'!$B$27*(0.4983251709*G198+0.4357405005*G198+0.0330936548*G198+0.0328406739))+G200*('Segments'!$D$28*G198*Assumptions!$B$109+'Segments'!$B$28*(0.4983251709*G198+0.4357405005*G198+0.0330936548*G198+0.0328406739))+G201*('Segments'!$D$29*G198*Assumptions!$B$109+'Segments'!$B$29*(0.4983251709*G198+0.4357405005*G198+0.0330936548*G198+0.0328406739))+G202*('Segments'!$D$30*G198*Assumptions!$B$109+'Segments'!$B$30*(0.4983251709*G198+0.4357405005*G198+0.0330936548*G198+0.0328406739))+G203*('Segments'!$D$31*G198*Assumptions!$B$109+'Segments'!$B$31*(0.4983251709*G198+0.4357405005*G198+0.0330936548*G198+0.0328406739))+G204*('Segments'!$D$32*G198*Assumptions!$B$109+'Segments'!$B$32*(0.4983251709*G198+0.4357405005*G198+0.0330936548*G198+0.0328406739))+G205*('Segments'!$D$33*G198*Assumptions!$B$109+'Segments'!$B$33*(0.4983251709*G198+0.4357405005*G198+0.0330936548*G198+0.0328406739))+G206*('Segments'!$D$34*G198*Assumptions!$B$109+'Segments'!$B$34*(0.4983251709*G198+0.4357405005*G198+0.0330936548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247+0.4357405005*C247+0.0330936548*C247+0.0328406739))+C249*('Segments'!$D$28*C247*Assumptions!$B$109+'Segments'!$B$28*(0.4983251709*C247+0.4357405005*C247+0.0330936548*C247+0.0328406739))+C250*('Segments'!$D$29*C247*Assumptions!$B$109+'Segments'!$B$29*(0.4983251709*C247+0.4357405005*C247+0.0330936548*C247+0.0328406739))+C251*('Segments'!$D$30*C247*Assumptions!$B$109+'Segments'!$B$30*(0.4983251709*C247+0.4357405005*C247+0.0330936548*C247+0.0328406739))+C252*('Segments'!$D$31*C247*Assumptions!$B$109+'Segments'!$B$31*(0.4983251709*C247+0.4357405005*C247+0.0330936548*C247+0.0328406739))+C253*('Segments'!$D$32*C247*Assumptions!$B$109+'Segments'!$B$32*(0.4983251709*C247+0.4357405005*C247+0.0330936548*C247+0.0328406739))+C254*('Segments'!$D$33*C247*Assumptions!$B$109+'Segments'!$B$33*(0.4983251709*C247+0.4357405005*C247+0.0330936548*C247+0.0328406739))+C255*('Segments'!$D$34*C247*Assumptions!$B$109+'Segments'!$B$34*(0.4983251709*C247+0.4357405005*C247+0.0330936548*C247+0.0328406739))</f>
        <v/>
      </c>
      <c r="D258" s="18">
        <f>D248*('Segments'!$D$27*D247*Assumptions!$B$109+'Segments'!$B$27*(0.4983251709*D247+0.4357405005*D247+0.0330936548*D247+0.0328406739))+D249*('Segments'!$D$28*D247*Assumptions!$B$109+'Segments'!$B$28*(0.4983251709*D247+0.4357405005*D247+0.0330936548*D247+0.0328406739))+D250*('Segments'!$D$29*D247*Assumptions!$B$109+'Segments'!$B$29*(0.4983251709*D247+0.4357405005*D247+0.0330936548*D247+0.0328406739))+D251*('Segments'!$D$30*D247*Assumptions!$B$109+'Segments'!$B$30*(0.4983251709*D247+0.4357405005*D247+0.0330936548*D247+0.0328406739))+D252*('Segments'!$D$31*D247*Assumptions!$B$109+'Segments'!$B$31*(0.4983251709*D247+0.4357405005*D247+0.0330936548*D247+0.0328406739))+D253*('Segments'!$D$32*D247*Assumptions!$B$109+'Segments'!$B$32*(0.4983251709*D247+0.4357405005*D247+0.0330936548*D247+0.0328406739))+D254*('Segments'!$D$33*D247*Assumptions!$B$109+'Segments'!$B$33*(0.4983251709*D247+0.4357405005*D247+0.0330936548*D247+0.0328406739))+D255*('Segments'!$D$34*D247*Assumptions!$B$109+'Segments'!$B$34*(0.4983251709*D247+0.4357405005*D247+0.0330936548*D247+0.0328406739))</f>
        <v/>
      </c>
      <c r="E258" s="18">
        <f>E248*('Segments'!$D$27*E247*Assumptions!$B$109+'Segments'!$B$27*(0.4983251709*E247+0.4357405005*E247+0.0330936548*E247+0.0328406739))+E249*('Segments'!$D$28*E247*Assumptions!$B$109+'Segments'!$B$28*(0.4983251709*E247+0.4357405005*E247+0.0330936548*E247+0.0328406739))+E250*('Segments'!$D$29*E247*Assumptions!$B$109+'Segments'!$B$29*(0.4983251709*E247+0.4357405005*E247+0.0330936548*E247+0.0328406739))+E251*('Segments'!$D$30*E247*Assumptions!$B$109+'Segments'!$B$30*(0.4983251709*E247+0.4357405005*E247+0.0330936548*E247+0.0328406739))+E252*('Segments'!$D$31*E247*Assumptions!$B$109+'Segments'!$B$31*(0.4983251709*E247+0.4357405005*E247+0.0330936548*E247+0.0328406739))+E253*('Segments'!$D$32*E247*Assumptions!$B$109+'Segments'!$B$32*(0.4983251709*E247+0.4357405005*E247+0.0330936548*E247+0.0328406739))+E254*('Segments'!$D$33*E247*Assumptions!$B$109+'Segments'!$B$33*(0.4983251709*E247+0.4357405005*E247+0.0330936548*E247+0.0328406739))+E255*('Segments'!$D$34*E247*Assumptions!$B$109+'Segments'!$B$34*(0.4983251709*E247+0.4357405005*E247+0.0330936548*E247+0.0328406739))</f>
        <v/>
      </c>
      <c r="F258" s="18">
        <f>F248*('Segments'!$D$27*F247*Assumptions!$B$109+'Segments'!$B$27*(0.4983251709*F247+0.4357405005*F247+0.0330936548*F247+0.0328406739))+F249*('Segments'!$D$28*F247*Assumptions!$B$109+'Segments'!$B$28*(0.4983251709*F247+0.4357405005*F247+0.0330936548*F247+0.0328406739))+F250*('Segments'!$D$29*F247*Assumptions!$B$109+'Segments'!$B$29*(0.4983251709*F247+0.4357405005*F247+0.0330936548*F247+0.0328406739))+F251*('Segments'!$D$30*F247*Assumptions!$B$109+'Segments'!$B$30*(0.4983251709*F247+0.4357405005*F247+0.0330936548*F247+0.0328406739))+F252*('Segments'!$D$31*F247*Assumptions!$B$109+'Segments'!$B$31*(0.4983251709*F247+0.4357405005*F247+0.0330936548*F247+0.0328406739))+F253*('Segments'!$D$32*F247*Assumptions!$B$109+'Segments'!$B$32*(0.4983251709*F247+0.4357405005*F247+0.0330936548*F247+0.0328406739))+F254*('Segments'!$D$33*F247*Assumptions!$B$109+'Segments'!$B$33*(0.4983251709*F247+0.4357405005*F247+0.0330936548*F247+0.0328406739))+F255*('Segments'!$D$34*F247*Assumptions!$B$109+'Segments'!$B$34*(0.4983251709*F247+0.4357405005*F247+0.0330936548*F247+0.0328406739))</f>
        <v/>
      </c>
      <c r="G258" s="18">
        <f>G248*('Segments'!$D$27*G247*Assumptions!$B$109+'Segments'!$B$27*(0.4983251709*G247+0.4357405005*G247+0.0330936548*G247+0.0328406739))+G249*('Segments'!$D$28*G247*Assumptions!$B$109+'Segments'!$B$28*(0.4983251709*G247+0.4357405005*G247+0.0330936548*G247+0.0328406739))+G250*('Segments'!$D$29*G247*Assumptions!$B$109+'Segments'!$B$29*(0.4983251709*G247+0.4357405005*G247+0.0330936548*G247+0.0328406739))+G251*('Segments'!$D$30*G247*Assumptions!$B$109+'Segments'!$B$30*(0.4983251709*G247+0.4357405005*G247+0.0330936548*G247+0.0328406739))+G252*('Segments'!$D$31*G247*Assumptions!$B$109+'Segments'!$B$31*(0.4983251709*G247+0.4357405005*G247+0.0330936548*G247+0.0328406739))+G253*('Segments'!$D$32*G247*Assumptions!$B$109+'Segments'!$B$32*(0.4983251709*G247+0.4357405005*G247+0.0330936548*G247+0.0328406739))+G254*('Segments'!$D$33*G247*Assumptions!$B$109+'Segments'!$B$33*(0.4983251709*G247+0.4357405005*G247+0.0330936548*G247+0.0328406739))+G255*('Segments'!$D$34*G247*Assumptions!$B$109+'Segments'!$B$34*(0.4983251709*G247+0.4357405005*G247+0.0330936548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296+0.4357405005*C296+0.0330936548*C296+0.0328406739))+C298*('Segments'!$D$28*C296*Assumptions!$B$109+'Segments'!$B$28*(0.4983251709*C296+0.4357405005*C296+0.0330936548*C296+0.0328406739))+C299*('Segments'!$D$29*C296*Assumptions!$B$109+'Segments'!$B$29*(0.4983251709*C296+0.4357405005*C296+0.0330936548*C296+0.0328406739))+C300*('Segments'!$D$30*C296*Assumptions!$B$109+'Segments'!$B$30*(0.4983251709*C296+0.4357405005*C296+0.0330936548*C296+0.0328406739))+C301*('Segments'!$D$31*C296*Assumptions!$B$109+'Segments'!$B$31*(0.4983251709*C296+0.4357405005*C296+0.0330936548*C296+0.0328406739))+C302*('Segments'!$D$32*C296*Assumptions!$B$109+'Segments'!$B$32*(0.4983251709*C296+0.4357405005*C296+0.0330936548*C296+0.0328406739))+C303*('Segments'!$D$33*C296*Assumptions!$B$109+'Segments'!$B$33*(0.4983251709*C296+0.4357405005*C296+0.0330936548*C296+0.0328406739))+C304*('Segments'!$D$34*C296*Assumptions!$B$109+'Segments'!$B$34*(0.4983251709*C296+0.4357405005*C296+0.0330936548*C296+0.0328406739))</f>
        <v/>
      </c>
      <c r="D307" s="18">
        <f>D297*('Segments'!$D$27*D296*Assumptions!$B$109+'Segments'!$B$27*(0.4983251709*D296+0.4357405005*D296+0.0330936548*D296+0.0328406739))+D298*('Segments'!$D$28*D296*Assumptions!$B$109+'Segments'!$B$28*(0.4983251709*D296+0.4357405005*D296+0.0330936548*D296+0.0328406739))+D299*('Segments'!$D$29*D296*Assumptions!$B$109+'Segments'!$B$29*(0.4983251709*D296+0.4357405005*D296+0.0330936548*D296+0.0328406739))+D300*('Segments'!$D$30*D296*Assumptions!$B$109+'Segments'!$B$30*(0.4983251709*D296+0.4357405005*D296+0.0330936548*D296+0.0328406739))+D301*('Segments'!$D$31*D296*Assumptions!$B$109+'Segments'!$B$31*(0.4983251709*D296+0.4357405005*D296+0.0330936548*D296+0.0328406739))+D302*('Segments'!$D$32*D296*Assumptions!$B$109+'Segments'!$B$32*(0.4983251709*D296+0.4357405005*D296+0.0330936548*D296+0.0328406739))+D303*('Segments'!$D$33*D296*Assumptions!$B$109+'Segments'!$B$33*(0.4983251709*D296+0.4357405005*D296+0.0330936548*D296+0.0328406739))+D304*('Segments'!$D$34*D296*Assumptions!$B$109+'Segments'!$B$34*(0.4983251709*D296+0.4357405005*D296+0.0330936548*D296+0.0328406739))</f>
        <v/>
      </c>
      <c r="E307" s="18">
        <f>E297*('Segments'!$D$27*E296*Assumptions!$B$109+'Segments'!$B$27*(0.4983251709*E296+0.4357405005*E296+0.0330936548*E296+0.0328406739))+E298*('Segments'!$D$28*E296*Assumptions!$B$109+'Segments'!$B$28*(0.4983251709*E296+0.4357405005*E296+0.0330936548*E296+0.0328406739))+E299*('Segments'!$D$29*E296*Assumptions!$B$109+'Segments'!$B$29*(0.4983251709*E296+0.4357405005*E296+0.0330936548*E296+0.0328406739))+E300*('Segments'!$D$30*E296*Assumptions!$B$109+'Segments'!$B$30*(0.4983251709*E296+0.4357405005*E296+0.0330936548*E296+0.0328406739))+E301*('Segments'!$D$31*E296*Assumptions!$B$109+'Segments'!$B$31*(0.4983251709*E296+0.4357405005*E296+0.0330936548*E296+0.0328406739))+E302*('Segments'!$D$32*E296*Assumptions!$B$109+'Segments'!$B$32*(0.4983251709*E296+0.4357405005*E296+0.0330936548*E296+0.0328406739))+E303*('Segments'!$D$33*E296*Assumptions!$B$109+'Segments'!$B$33*(0.4983251709*E296+0.4357405005*E296+0.0330936548*E296+0.0328406739))+E304*('Segments'!$D$34*E296*Assumptions!$B$109+'Segments'!$B$34*(0.4983251709*E296+0.4357405005*E296+0.0330936548*E296+0.0328406739))</f>
        <v/>
      </c>
      <c r="F307" s="18">
        <f>F297*('Segments'!$D$27*F296*Assumptions!$B$109+'Segments'!$B$27*(0.4983251709*F296+0.4357405005*F296+0.0330936548*F296+0.0328406739))+F298*('Segments'!$D$28*F296*Assumptions!$B$109+'Segments'!$B$28*(0.4983251709*F296+0.4357405005*F296+0.0330936548*F296+0.0328406739))+F299*('Segments'!$D$29*F296*Assumptions!$B$109+'Segments'!$B$29*(0.4983251709*F296+0.4357405005*F296+0.0330936548*F296+0.0328406739))+F300*('Segments'!$D$30*F296*Assumptions!$B$109+'Segments'!$B$30*(0.4983251709*F296+0.4357405005*F296+0.0330936548*F296+0.0328406739))+F301*('Segments'!$D$31*F296*Assumptions!$B$109+'Segments'!$B$31*(0.4983251709*F296+0.4357405005*F296+0.0330936548*F296+0.0328406739))+F302*('Segments'!$D$32*F296*Assumptions!$B$109+'Segments'!$B$32*(0.4983251709*F296+0.4357405005*F296+0.0330936548*F296+0.0328406739))+F303*('Segments'!$D$33*F296*Assumptions!$B$109+'Segments'!$B$33*(0.4983251709*F296+0.4357405005*F296+0.0330936548*F296+0.0328406739))+F304*('Segments'!$D$34*F296*Assumptions!$B$109+'Segments'!$B$34*(0.4983251709*F296+0.4357405005*F296+0.0330936548*F296+0.0328406739))</f>
        <v/>
      </c>
      <c r="G307" s="18">
        <f>G297*('Segments'!$D$27*G296*Assumptions!$B$109+'Segments'!$B$27*(0.4983251709*G296+0.4357405005*G296+0.0330936548*G296+0.0328406739))+G298*('Segments'!$D$28*G296*Assumptions!$B$109+'Segments'!$B$28*(0.4983251709*G296+0.4357405005*G296+0.0330936548*G296+0.0328406739))+G299*('Segments'!$D$29*G296*Assumptions!$B$109+'Segments'!$B$29*(0.4983251709*G296+0.4357405005*G296+0.0330936548*G296+0.0328406739))+G300*('Segments'!$D$30*G296*Assumptions!$B$109+'Segments'!$B$30*(0.4983251709*G296+0.4357405005*G296+0.0330936548*G296+0.0328406739))+G301*('Segments'!$D$31*G296*Assumptions!$B$109+'Segments'!$B$31*(0.4983251709*G296+0.4357405005*G296+0.0330936548*G296+0.0328406739))+G302*('Segments'!$D$32*G296*Assumptions!$B$109+'Segments'!$B$32*(0.4983251709*G296+0.4357405005*G296+0.0330936548*G296+0.0328406739))+G303*('Segments'!$D$33*G296*Assumptions!$B$109+'Segments'!$B$33*(0.4983251709*G296+0.4357405005*G296+0.0330936548*G296+0.0328406739))+G304*('Segments'!$D$34*G296*Assumptions!$B$109+'Segments'!$B$34*(0.4983251709*G296+0.4357405005*G296+0.0330936548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345+0.4357405005*C345+0.0330936548*C345+0.0328406739))+C347*('Segments'!$D$28*C345*Assumptions!$B$109+'Segments'!$B$28*(0.4983251709*C345+0.4357405005*C345+0.0330936548*C345+0.0328406739))+C348*('Segments'!$D$29*C345*Assumptions!$B$109+'Segments'!$B$29*(0.4983251709*C345+0.4357405005*C345+0.0330936548*C345+0.0328406739))+C349*('Segments'!$D$30*C345*Assumptions!$B$109+'Segments'!$B$30*(0.4983251709*C345+0.4357405005*C345+0.0330936548*C345+0.0328406739))+C350*('Segments'!$D$31*C345*Assumptions!$B$109+'Segments'!$B$31*(0.4983251709*C345+0.4357405005*C345+0.0330936548*C345+0.0328406739))+C351*('Segments'!$D$32*C345*Assumptions!$B$109+'Segments'!$B$32*(0.4983251709*C345+0.4357405005*C345+0.0330936548*C345+0.0328406739))+C352*('Segments'!$D$33*C345*Assumptions!$B$109+'Segments'!$B$33*(0.4983251709*C345+0.4357405005*C345+0.0330936548*C345+0.0328406739))+C353*('Segments'!$D$34*C345*Assumptions!$B$109+'Segments'!$B$34*(0.4983251709*C345+0.4357405005*C345+0.0330936548*C345+0.0328406739))</f>
        <v/>
      </c>
      <c r="D356" s="18">
        <f>D346*('Segments'!$D$27*D345*Assumptions!$B$109+'Segments'!$B$27*(0.4983251709*D345+0.4357405005*D345+0.0330936548*D345+0.0328406739))+D347*('Segments'!$D$28*D345*Assumptions!$B$109+'Segments'!$B$28*(0.4983251709*D345+0.4357405005*D345+0.0330936548*D345+0.0328406739))+D348*('Segments'!$D$29*D345*Assumptions!$B$109+'Segments'!$B$29*(0.4983251709*D345+0.4357405005*D345+0.0330936548*D345+0.0328406739))+D349*('Segments'!$D$30*D345*Assumptions!$B$109+'Segments'!$B$30*(0.4983251709*D345+0.4357405005*D345+0.0330936548*D345+0.0328406739))+D350*('Segments'!$D$31*D345*Assumptions!$B$109+'Segments'!$B$31*(0.4983251709*D345+0.4357405005*D345+0.0330936548*D345+0.0328406739))+D351*('Segments'!$D$32*D345*Assumptions!$B$109+'Segments'!$B$32*(0.4983251709*D345+0.4357405005*D345+0.0330936548*D345+0.0328406739))+D352*('Segments'!$D$33*D345*Assumptions!$B$109+'Segments'!$B$33*(0.4983251709*D345+0.4357405005*D345+0.0330936548*D345+0.0328406739))+D353*('Segments'!$D$34*D345*Assumptions!$B$109+'Segments'!$B$34*(0.4983251709*D345+0.4357405005*D345+0.0330936548*D345+0.0328406739))</f>
        <v/>
      </c>
      <c r="E356" s="18">
        <f>E346*('Segments'!$D$27*E345*Assumptions!$B$109+'Segments'!$B$27*(0.4983251709*E345+0.4357405005*E345+0.0330936548*E345+0.0328406739))+E347*('Segments'!$D$28*E345*Assumptions!$B$109+'Segments'!$B$28*(0.4983251709*E345+0.4357405005*E345+0.0330936548*E345+0.0328406739))+E348*('Segments'!$D$29*E345*Assumptions!$B$109+'Segments'!$B$29*(0.4983251709*E345+0.4357405005*E345+0.0330936548*E345+0.0328406739))+E349*('Segments'!$D$30*E345*Assumptions!$B$109+'Segments'!$B$30*(0.4983251709*E345+0.4357405005*E345+0.0330936548*E345+0.0328406739))+E350*('Segments'!$D$31*E345*Assumptions!$B$109+'Segments'!$B$31*(0.4983251709*E345+0.4357405005*E345+0.0330936548*E345+0.0328406739))+E351*('Segments'!$D$32*E345*Assumptions!$B$109+'Segments'!$B$32*(0.4983251709*E345+0.4357405005*E345+0.0330936548*E345+0.0328406739))+E352*('Segments'!$D$33*E345*Assumptions!$B$109+'Segments'!$B$33*(0.4983251709*E345+0.4357405005*E345+0.0330936548*E345+0.0328406739))+E353*('Segments'!$D$34*E345*Assumptions!$B$109+'Segments'!$B$34*(0.4983251709*E345+0.4357405005*E345+0.0330936548*E345+0.0328406739))</f>
        <v/>
      </c>
      <c r="F356" s="18">
        <f>F346*('Segments'!$D$27*F345*Assumptions!$B$109+'Segments'!$B$27*(0.4983251709*F345+0.4357405005*F345+0.0330936548*F345+0.0328406739))+F347*('Segments'!$D$28*F345*Assumptions!$B$109+'Segments'!$B$28*(0.4983251709*F345+0.4357405005*F345+0.0330936548*F345+0.0328406739))+F348*('Segments'!$D$29*F345*Assumptions!$B$109+'Segments'!$B$29*(0.4983251709*F345+0.4357405005*F345+0.0330936548*F345+0.0328406739))+F349*('Segments'!$D$30*F345*Assumptions!$B$109+'Segments'!$B$30*(0.4983251709*F345+0.4357405005*F345+0.0330936548*F345+0.0328406739))+F350*('Segments'!$D$31*F345*Assumptions!$B$109+'Segments'!$B$31*(0.4983251709*F345+0.4357405005*F345+0.0330936548*F345+0.0328406739))+F351*('Segments'!$D$32*F345*Assumptions!$B$109+'Segments'!$B$32*(0.4983251709*F345+0.4357405005*F345+0.0330936548*F345+0.0328406739))+F352*('Segments'!$D$33*F345*Assumptions!$B$109+'Segments'!$B$33*(0.4983251709*F345+0.4357405005*F345+0.0330936548*F345+0.0328406739))+F353*('Segments'!$D$34*F345*Assumptions!$B$109+'Segments'!$B$34*(0.4983251709*F345+0.4357405005*F345+0.0330936548*F345+0.0328406739))</f>
        <v/>
      </c>
      <c r="G356" s="18">
        <f>G346*('Segments'!$D$27*G345*Assumptions!$B$109+'Segments'!$B$27*(0.4983251709*G345+0.4357405005*G345+0.0330936548*G345+0.0328406739))+G347*('Segments'!$D$28*G345*Assumptions!$B$109+'Segments'!$B$28*(0.4983251709*G345+0.4357405005*G345+0.0330936548*G345+0.0328406739))+G348*('Segments'!$D$29*G345*Assumptions!$B$109+'Segments'!$B$29*(0.4983251709*G345+0.4357405005*G345+0.0330936548*G345+0.0328406739))+G349*('Segments'!$D$30*G345*Assumptions!$B$109+'Segments'!$B$30*(0.4983251709*G345+0.4357405005*G345+0.0330936548*G345+0.0328406739))+G350*('Segments'!$D$31*G345*Assumptions!$B$109+'Segments'!$B$31*(0.4983251709*G345+0.4357405005*G345+0.0330936548*G345+0.0328406739))+G351*('Segments'!$D$32*G345*Assumptions!$B$109+'Segments'!$B$32*(0.4983251709*G345+0.4357405005*G345+0.0330936548*G345+0.0328406739))+G352*('Segments'!$D$33*G345*Assumptions!$B$109+'Segments'!$B$33*(0.4983251709*G345+0.4357405005*G345+0.0330936548*G345+0.0328406739))+G353*('Segments'!$D$34*G345*Assumptions!$B$109+'Segments'!$B$34*(0.4983251709*G345+0.4357405005*G345+0.0330936548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394+0.4357405005*C394+0.0330936548*C394+0.0328406739))+C396*('Segments'!$D$28*C394*Assumptions!$B$109+'Segments'!$B$28*(0.4983251709*C394+0.4357405005*C394+0.0330936548*C394+0.0328406739))+C397*('Segments'!$D$29*C394*Assumptions!$B$109+'Segments'!$B$29*(0.4983251709*C394+0.4357405005*C394+0.0330936548*C394+0.0328406739))+C398*('Segments'!$D$30*C394*Assumptions!$B$109+'Segments'!$B$30*(0.4983251709*C394+0.4357405005*C394+0.0330936548*C394+0.0328406739))+C399*('Segments'!$D$31*C394*Assumptions!$B$109+'Segments'!$B$31*(0.4983251709*C394+0.4357405005*C394+0.0330936548*C394+0.0328406739))+C400*('Segments'!$D$32*C394*Assumptions!$B$109+'Segments'!$B$32*(0.4983251709*C394+0.4357405005*C394+0.0330936548*C394+0.0328406739))+C401*('Segments'!$D$33*C394*Assumptions!$B$109+'Segments'!$B$33*(0.4983251709*C394+0.4357405005*C394+0.0330936548*C394+0.0328406739))+C402*('Segments'!$D$34*C394*Assumptions!$B$109+'Segments'!$B$34*(0.4983251709*C394+0.4357405005*C394+0.0330936548*C394+0.0328406739))</f>
        <v/>
      </c>
      <c r="D405" s="18">
        <f>D395*('Segments'!$D$27*D394*Assumptions!$B$109+'Segments'!$B$27*(0.4983251709*D394+0.4357405005*D394+0.0330936548*D394+0.0328406739))+D396*('Segments'!$D$28*D394*Assumptions!$B$109+'Segments'!$B$28*(0.4983251709*D394+0.4357405005*D394+0.0330936548*D394+0.0328406739))+D397*('Segments'!$D$29*D394*Assumptions!$B$109+'Segments'!$B$29*(0.4983251709*D394+0.4357405005*D394+0.0330936548*D394+0.0328406739))+D398*('Segments'!$D$30*D394*Assumptions!$B$109+'Segments'!$B$30*(0.4983251709*D394+0.4357405005*D394+0.0330936548*D394+0.0328406739))+D399*('Segments'!$D$31*D394*Assumptions!$B$109+'Segments'!$B$31*(0.4983251709*D394+0.4357405005*D394+0.0330936548*D394+0.0328406739))+D400*('Segments'!$D$32*D394*Assumptions!$B$109+'Segments'!$B$32*(0.4983251709*D394+0.4357405005*D394+0.0330936548*D394+0.0328406739))+D401*('Segments'!$D$33*D394*Assumptions!$B$109+'Segments'!$B$33*(0.4983251709*D394+0.4357405005*D394+0.0330936548*D394+0.0328406739))+D402*('Segments'!$D$34*D394*Assumptions!$B$109+'Segments'!$B$34*(0.4983251709*D394+0.4357405005*D394+0.0330936548*D394+0.0328406739))</f>
        <v/>
      </c>
      <c r="E405" s="18">
        <f>E395*('Segments'!$D$27*E394*Assumptions!$B$109+'Segments'!$B$27*(0.4983251709*E394+0.4357405005*E394+0.0330936548*E394+0.0328406739))+E396*('Segments'!$D$28*E394*Assumptions!$B$109+'Segments'!$B$28*(0.4983251709*E394+0.4357405005*E394+0.0330936548*E394+0.0328406739))+E397*('Segments'!$D$29*E394*Assumptions!$B$109+'Segments'!$B$29*(0.4983251709*E394+0.4357405005*E394+0.0330936548*E394+0.0328406739))+E398*('Segments'!$D$30*E394*Assumptions!$B$109+'Segments'!$B$30*(0.4983251709*E394+0.4357405005*E394+0.0330936548*E394+0.0328406739))+E399*('Segments'!$D$31*E394*Assumptions!$B$109+'Segments'!$B$31*(0.4983251709*E394+0.4357405005*E394+0.0330936548*E394+0.0328406739))+E400*('Segments'!$D$32*E394*Assumptions!$B$109+'Segments'!$B$32*(0.4983251709*E394+0.4357405005*E394+0.0330936548*E394+0.0328406739))+E401*('Segments'!$D$33*E394*Assumptions!$B$109+'Segments'!$B$33*(0.4983251709*E394+0.4357405005*E394+0.0330936548*E394+0.0328406739))+E402*('Segments'!$D$34*E394*Assumptions!$B$109+'Segments'!$B$34*(0.4983251709*E394+0.4357405005*E394+0.0330936548*E394+0.0328406739))</f>
        <v/>
      </c>
      <c r="F405" s="18">
        <f>F395*('Segments'!$D$27*F394*Assumptions!$B$109+'Segments'!$B$27*(0.4983251709*F394+0.4357405005*F394+0.0330936548*F394+0.0328406739))+F396*('Segments'!$D$28*F394*Assumptions!$B$109+'Segments'!$B$28*(0.4983251709*F394+0.4357405005*F394+0.0330936548*F394+0.0328406739))+F397*('Segments'!$D$29*F394*Assumptions!$B$109+'Segments'!$B$29*(0.4983251709*F394+0.4357405005*F394+0.0330936548*F394+0.0328406739))+F398*('Segments'!$D$30*F394*Assumptions!$B$109+'Segments'!$B$30*(0.4983251709*F394+0.4357405005*F394+0.0330936548*F394+0.0328406739))+F399*('Segments'!$D$31*F394*Assumptions!$B$109+'Segments'!$B$31*(0.4983251709*F394+0.4357405005*F394+0.0330936548*F394+0.0328406739))+F400*('Segments'!$D$32*F394*Assumptions!$B$109+'Segments'!$B$32*(0.4983251709*F394+0.4357405005*F394+0.0330936548*F394+0.0328406739))+F401*('Segments'!$D$33*F394*Assumptions!$B$109+'Segments'!$B$33*(0.4983251709*F394+0.4357405005*F394+0.0330936548*F394+0.0328406739))+F402*('Segments'!$D$34*F394*Assumptions!$B$109+'Segments'!$B$34*(0.4983251709*F394+0.4357405005*F394+0.0330936548*F394+0.0328406739))</f>
        <v/>
      </c>
      <c r="G405" s="18">
        <f>G395*('Segments'!$D$27*G394*Assumptions!$B$109+'Segments'!$B$27*(0.4983251709*G394+0.4357405005*G394+0.0330936548*G394+0.0328406739))+G396*('Segments'!$D$28*G394*Assumptions!$B$109+'Segments'!$B$28*(0.4983251709*G394+0.4357405005*G394+0.0330936548*G394+0.0328406739))+G397*('Segments'!$D$29*G394*Assumptions!$B$109+'Segments'!$B$29*(0.4983251709*G394+0.4357405005*G394+0.0330936548*G394+0.0328406739))+G398*('Segments'!$D$30*G394*Assumptions!$B$109+'Segments'!$B$30*(0.4983251709*G394+0.4357405005*G394+0.0330936548*G394+0.0328406739))+G399*('Segments'!$D$31*G394*Assumptions!$B$109+'Segments'!$B$31*(0.4983251709*G394+0.4357405005*G394+0.0330936548*G394+0.0328406739))+G400*('Segments'!$D$32*G394*Assumptions!$B$109+'Segments'!$B$32*(0.4983251709*G394+0.4357405005*G394+0.0330936548*G394+0.0328406739))+G401*('Segments'!$D$33*G394*Assumptions!$B$109+'Segments'!$B$33*(0.4983251709*G394+0.4357405005*G394+0.0330936548*G394+0.0328406739))+G402*('Segments'!$D$34*G394*Assumptions!$B$109+'Segments'!$B$34*(0.4983251709*G394+0.4357405005*G394+0.0330936548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443+0.4357405005*C443+0.0330936548*C443+0.0328406739))+C445*('Segments'!$D$28*C443*Assumptions!$B$109+'Segments'!$B$28*(0.4983251709*C443+0.4357405005*C443+0.0330936548*C443+0.0328406739))+C446*('Segments'!$D$29*C443*Assumptions!$B$109+'Segments'!$B$29*(0.4983251709*C443+0.4357405005*C443+0.0330936548*C443+0.0328406739))+C447*('Segments'!$D$30*C443*Assumptions!$B$109+'Segments'!$B$30*(0.4983251709*C443+0.4357405005*C443+0.0330936548*C443+0.0328406739))+C448*('Segments'!$D$31*C443*Assumptions!$B$109+'Segments'!$B$31*(0.4983251709*C443+0.4357405005*C443+0.0330936548*C443+0.0328406739))+C449*('Segments'!$D$32*C443*Assumptions!$B$109+'Segments'!$B$32*(0.4983251709*C443+0.4357405005*C443+0.0330936548*C443+0.0328406739))+C450*('Segments'!$D$33*C443*Assumptions!$B$109+'Segments'!$B$33*(0.4983251709*C443+0.4357405005*C443+0.0330936548*C443+0.0328406739))+C451*('Segments'!$D$34*C443*Assumptions!$B$109+'Segments'!$B$34*(0.4983251709*C443+0.4357405005*C443+0.0330936548*C443+0.0328406739))</f>
        <v/>
      </c>
      <c r="D454" s="18">
        <f>D444*('Segments'!$D$27*D443*Assumptions!$B$109+'Segments'!$B$27*(0.4983251709*D443+0.4357405005*D443+0.0330936548*D443+0.0328406739))+D445*('Segments'!$D$28*D443*Assumptions!$B$109+'Segments'!$B$28*(0.4983251709*D443+0.4357405005*D443+0.0330936548*D443+0.0328406739))+D446*('Segments'!$D$29*D443*Assumptions!$B$109+'Segments'!$B$29*(0.4983251709*D443+0.4357405005*D443+0.0330936548*D443+0.0328406739))+D447*('Segments'!$D$30*D443*Assumptions!$B$109+'Segments'!$B$30*(0.4983251709*D443+0.4357405005*D443+0.0330936548*D443+0.0328406739))+D448*('Segments'!$D$31*D443*Assumptions!$B$109+'Segments'!$B$31*(0.4983251709*D443+0.4357405005*D443+0.0330936548*D443+0.0328406739))+D449*('Segments'!$D$32*D443*Assumptions!$B$109+'Segments'!$B$32*(0.4983251709*D443+0.4357405005*D443+0.0330936548*D443+0.0328406739))+D450*('Segments'!$D$33*D443*Assumptions!$B$109+'Segments'!$B$33*(0.4983251709*D443+0.4357405005*D443+0.0330936548*D443+0.0328406739))+D451*('Segments'!$D$34*D443*Assumptions!$B$109+'Segments'!$B$34*(0.4983251709*D443+0.4357405005*D443+0.0330936548*D443+0.0328406739))</f>
        <v/>
      </c>
      <c r="E454" s="18">
        <f>E444*('Segments'!$D$27*E443*Assumptions!$B$109+'Segments'!$B$27*(0.4983251709*E443+0.4357405005*E443+0.0330936548*E443+0.0328406739))+E445*('Segments'!$D$28*E443*Assumptions!$B$109+'Segments'!$B$28*(0.4983251709*E443+0.4357405005*E443+0.0330936548*E443+0.0328406739))+E446*('Segments'!$D$29*E443*Assumptions!$B$109+'Segments'!$B$29*(0.4983251709*E443+0.4357405005*E443+0.0330936548*E443+0.0328406739))+E447*('Segments'!$D$30*E443*Assumptions!$B$109+'Segments'!$B$30*(0.4983251709*E443+0.4357405005*E443+0.0330936548*E443+0.0328406739))+E448*('Segments'!$D$31*E443*Assumptions!$B$109+'Segments'!$B$31*(0.4983251709*E443+0.4357405005*E443+0.0330936548*E443+0.0328406739))+E449*('Segments'!$D$32*E443*Assumptions!$B$109+'Segments'!$B$32*(0.4983251709*E443+0.4357405005*E443+0.0330936548*E443+0.0328406739))+E450*('Segments'!$D$33*E443*Assumptions!$B$109+'Segments'!$B$33*(0.4983251709*E443+0.4357405005*E443+0.0330936548*E443+0.0328406739))+E451*('Segments'!$D$34*E443*Assumptions!$B$109+'Segments'!$B$34*(0.4983251709*E443+0.4357405005*E443+0.0330936548*E443+0.0328406739))</f>
        <v/>
      </c>
      <c r="F454" s="18">
        <f>F444*('Segments'!$D$27*F443*Assumptions!$B$109+'Segments'!$B$27*(0.4983251709*F443+0.4357405005*F443+0.0330936548*F443+0.0328406739))+F445*('Segments'!$D$28*F443*Assumptions!$B$109+'Segments'!$B$28*(0.4983251709*F443+0.4357405005*F443+0.0330936548*F443+0.0328406739))+F446*('Segments'!$D$29*F443*Assumptions!$B$109+'Segments'!$B$29*(0.4983251709*F443+0.4357405005*F443+0.0330936548*F443+0.0328406739))+F447*('Segments'!$D$30*F443*Assumptions!$B$109+'Segments'!$B$30*(0.4983251709*F443+0.4357405005*F443+0.0330936548*F443+0.0328406739))+F448*('Segments'!$D$31*F443*Assumptions!$B$109+'Segments'!$B$31*(0.4983251709*F443+0.4357405005*F443+0.0330936548*F443+0.0328406739))+F449*('Segments'!$D$32*F443*Assumptions!$B$109+'Segments'!$B$32*(0.4983251709*F443+0.4357405005*F443+0.0330936548*F443+0.0328406739))+F450*('Segments'!$D$33*F443*Assumptions!$B$109+'Segments'!$B$33*(0.4983251709*F443+0.4357405005*F443+0.0330936548*F443+0.0328406739))+F451*('Segments'!$D$34*F443*Assumptions!$B$109+'Segments'!$B$34*(0.4983251709*F443+0.4357405005*F443+0.0330936548*F443+0.0328406739))</f>
        <v/>
      </c>
      <c r="G454" s="18">
        <f>G444*('Segments'!$D$27*G443*Assumptions!$B$109+'Segments'!$B$27*(0.4983251709*G443+0.4357405005*G443+0.0330936548*G443+0.0328406739))+G445*('Segments'!$D$28*G443*Assumptions!$B$109+'Segments'!$B$28*(0.4983251709*G443+0.4357405005*G443+0.0330936548*G443+0.0328406739))+G446*('Segments'!$D$29*G443*Assumptions!$B$109+'Segments'!$B$29*(0.4983251709*G443+0.4357405005*G443+0.0330936548*G443+0.0328406739))+G447*('Segments'!$D$30*G443*Assumptions!$B$109+'Segments'!$B$30*(0.4983251709*G443+0.4357405005*G443+0.0330936548*G443+0.0328406739))+G448*('Segments'!$D$31*G443*Assumptions!$B$109+'Segments'!$B$31*(0.4983251709*G443+0.4357405005*G443+0.0330936548*G443+0.0328406739))+G449*('Segments'!$D$32*G443*Assumptions!$B$109+'Segments'!$B$32*(0.4983251709*G443+0.4357405005*G443+0.0330936548*G443+0.0328406739))+G450*('Segments'!$D$33*G443*Assumptions!$B$109+'Segments'!$B$33*(0.4983251709*G443+0.4357405005*G443+0.0330936548*G443+0.0328406739))+G451*('Segments'!$D$34*G443*Assumptions!$B$109+'Segments'!$B$34*(0.4983251709*G443+0.4357405005*G443+0.0330936548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492+0.4357405005*C492+0.0330936548*C492+0.0328406739))+C494*('Segments'!$D$28*C492*Assumptions!$B$109+'Segments'!$B$28*(0.4983251709*C492+0.4357405005*C492+0.0330936548*C492+0.0328406739))+C495*('Segments'!$D$29*C492*Assumptions!$B$109+'Segments'!$B$29*(0.4983251709*C492+0.4357405005*C492+0.0330936548*C492+0.0328406739))+C496*('Segments'!$D$30*C492*Assumptions!$B$109+'Segments'!$B$30*(0.4983251709*C492+0.4357405005*C492+0.0330936548*C492+0.0328406739))+C497*('Segments'!$D$31*C492*Assumptions!$B$109+'Segments'!$B$31*(0.4983251709*C492+0.4357405005*C492+0.0330936548*C492+0.0328406739))+C498*('Segments'!$D$32*C492*Assumptions!$B$109+'Segments'!$B$32*(0.4983251709*C492+0.4357405005*C492+0.0330936548*C492+0.0328406739))+C499*('Segments'!$D$33*C492*Assumptions!$B$109+'Segments'!$B$33*(0.4983251709*C492+0.4357405005*C492+0.0330936548*C492+0.0328406739))+C500*('Segments'!$D$34*C492*Assumptions!$B$109+'Segments'!$B$34*(0.4983251709*C492+0.4357405005*C492+0.0330936548*C492+0.0328406739))</f>
        <v/>
      </c>
      <c r="D503" s="18">
        <f>D493*('Segments'!$D$27*D492*Assumptions!$B$109+'Segments'!$B$27*(0.4983251709*D492+0.4357405005*D492+0.0330936548*D492+0.0328406739))+D494*('Segments'!$D$28*D492*Assumptions!$B$109+'Segments'!$B$28*(0.4983251709*D492+0.4357405005*D492+0.0330936548*D492+0.0328406739))+D495*('Segments'!$D$29*D492*Assumptions!$B$109+'Segments'!$B$29*(0.4983251709*D492+0.4357405005*D492+0.0330936548*D492+0.0328406739))+D496*('Segments'!$D$30*D492*Assumptions!$B$109+'Segments'!$B$30*(0.4983251709*D492+0.4357405005*D492+0.0330936548*D492+0.0328406739))+D497*('Segments'!$D$31*D492*Assumptions!$B$109+'Segments'!$B$31*(0.4983251709*D492+0.4357405005*D492+0.0330936548*D492+0.0328406739))+D498*('Segments'!$D$32*D492*Assumptions!$B$109+'Segments'!$B$32*(0.4983251709*D492+0.4357405005*D492+0.0330936548*D492+0.0328406739))+D499*('Segments'!$D$33*D492*Assumptions!$B$109+'Segments'!$B$33*(0.4983251709*D492+0.4357405005*D492+0.0330936548*D492+0.0328406739))+D500*('Segments'!$D$34*D492*Assumptions!$B$109+'Segments'!$B$34*(0.4983251709*D492+0.4357405005*D492+0.0330936548*D492+0.0328406739))</f>
        <v/>
      </c>
      <c r="E503" s="18">
        <f>E493*('Segments'!$D$27*E492*Assumptions!$B$109+'Segments'!$B$27*(0.4983251709*E492+0.4357405005*E492+0.0330936548*E492+0.0328406739))+E494*('Segments'!$D$28*E492*Assumptions!$B$109+'Segments'!$B$28*(0.4983251709*E492+0.4357405005*E492+0.0330936548*E492+0.0328406739))+E495*('Segments'!$D$29*E492*Assumptions!$B$109+'Segments'!$B$29*(0.4983251709*E492+0.4357405005*E492+0.0330936548*E492+0.0328406739))+E496*('Segments'!$D$30*E492*Assumptions!$B$109+'Segments'!$B$30*(0.4983251709*E492+0.4357405005*E492+0.0330936548*E492+0.0328406739))+E497*('Segments'!$D$31*E492*Assumptions!$B$109+'Segments'!$B$31*(0.4983251709*E492+0.4357405005*E492+0.0330936548*E492+0.0328406739))+E498*('Segments'!$D$32*E492*Assumptions!$B$109+'Segments'!$B$32*(0.4983251709*E492+0.4357405005*E492+0.0330936548*E492+0.0328406739))+E499*('Segments'!$D$33*E492*Assumptions!$B$109+'Segments'!$B$33*(0.4983251709*E492+0.4357405005*E492+0.0330936548*E492+0.0328406739))+E500*('Segments'!$D$34*E492*Assumptions!$B$109+'Segments'!$B$34*(0.4983251709*E492+0.4357405005*E492+0.0330936548*E492+0.0328406739))</f>
        <v/>
      </c>
      <c r="F503" s="18">
        <f>F493*('Segments'!$D$27*F492*Assumptions!$B$109+'Segments'!$B$27*(0.4983251709*F492+0.4357405005*F492+0.0330936548*F492+0.0328406739))+F494*('Segments'!$D$28*F492*Assumptions!$B$109+'Segments'!$B$28*(0.4983251709*F492+0.4357405005*F492+0.0330936548*F492+0.0328406739))+F495*('Segments'!$D$29*F492*Assumptions!$B$109+'Segments'!$B$29*(0.4983251709*F492+0.4357405005*F492+0.0330936548*F492+0.0328406739))+F496*('Segments'!$D$30*F492*Assumptions!$B$109+'Segments'!$B$30*(0.4983251709*F492+0.4357405005*F492+0.0330936548*F492+0.0328406739))+F497*('Segments'!$D$31*F492*Assumptions!$B$109+'Segments'!$B$31*(0.4983251709*F492+0.4357405005*F492+0.0330936548*F492+0.0328406739))+F498*('Segments'!$D$32*F492*Assumptions!$B$109+'Segments'!$B$32*(0.4983251709*F492+0.4357405005*F492+0.0330936548*F492+0.0328406739))+F499*('Segments'!$D$33*F492*Assumptions!$B$109+'Segments'!$B$33*(0.4983251709*F492+0.4357405005*F492+0.0330936548*F492+0.0328406739))+F500*('Segments'!$D$34*F492*Assumptions!$B$109+'Segments'!$B$34*(0.4983251709*F492+0.4357405005*F492+0.0330936548*F492+0.0328406739))</f>
        <v/>
      </c>
      <c r="G503" s="18">
        <f>G493*('Segments'!$D$27*G492*Assumptions!$B$109+'Segments'!$B$27*(0.4983251709*G492+0.4357405005*G492+0.0330936548*G492+0.0328406739))+G494*('Segments'!$D$28*G492*Assumptions!$B$109+'Segments'!$B$28*(0.4983251709*G492+0.4357405005*G492+0.0330936548*G492+0.0328406739))+G495*('Segments'!$D$29*G492*Assumptions!$B$109+'Segments'!$B$29*(0.4983251709*G492+0.4357405005*G492+0.0330936548*G492+0.0328406739))+G496*('Segments'!$D$30*G492*Assumptions!$B$109+'Segments'!$B$30*(0.4983251709*G492+0.4357405005*G492+0.0330936548*G492+0.0328406739))+G497*('Segments'!$D$31*G492*Assumptions!$B$109+'Segments'!$B$31*(0.4983251709*G492+0.4357405005*G492+0.0330936548*G492+0.0328406739))+G498*('Segments'!$D$32*G492*Assumptions!$B$109+'Segments'!$B$32*(0.4983251709*G492+0.4357405005*G492+0.0330936548*G492+0.0328406739))+G499*('Segments'!$D$33*G492*Assumptions!$B$109+'Segments'!$B$33*(0.4983251709*G492+0.4357405005*G492+0.0330936548*G492+0.0328406739))+G500*('Segments'!$D$34*G492*Assumptions!$B$109+'Segments'!$B$34*(0.4983251709*G492+0.4357405005*G492+0.0330936548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541+0.4357405005*C541+0.0330936548*C541+0.0328406739))+C543*('Segments'!$D$28*C541*Assumptions!$B$109+'Segments'!$B$28*(0.4983251709*C541+0.4357405005*C541+0.0330936548*C541+0.0328406739))+C544*('Segments'!$D$29*C541*Assumptions!$B$109+'Segments'!$B$29*(0.4983251709*C541+0.4357405005*C541+0.0330936548*C541+0.0328406739))+C545*('Segments'!$D$30*C541*Assumptions!$B$109+'Segments'!$B$30*(0.4983251709*C541+0.4357405005*C541+0.0330936548*C541+0.0328406739))+C546*('Segments'!$D$31*C541*Assumptions!$B$109+'Segments'!$B$31*(0.4983251709*C541+0.4357405005*C541+0.0330936548*C541+0.0328406739))+C547*('Segments'!$D$32*C541*Assumptions!$B$109+'Segments'!$B$32*(0.4983251709*C541+0.4357405005*C541+0.0330936548*C541+0.0328406739))+C548*('Segments'!$D$33*C541*Assumptions!$B$109+'Segments'!$B$33*(0.4983251709*C541+0.4357405005*C541+0.0330936548*C541+0.0328406739))+C549*('Segments'!$D$34*C541*Assumptions!$B$109+'Segments'!$B$34*(0.4983251709*C541+0.4357405005*C541+0.0330936548*C541+0.0328406739))</f>
        <v/>
      </c>
      <c r="D552" s="18">
        <f>D542*('Segments'!$D$27*D541*Assumptions!$B$109+'Segments'!$B$27*(0.4983251709*D541+0.4357405005*D541+0.0330936548*D541+0.0328406739))+D543*('Segments'!$D$28*D541*Assumptions!$B$109+'Segments'!$B$28*(0.4983251709*D541+0.4357405005*D541+0.0330936548*D541+0.0328406739))+D544*('Segments'!$D$29*D541*Assumptions!$B$109+'Segments'!$B$29*(0.4983251709*D541+0.4357405005*D541+0.0330936548*D541+0.0328406739))+D545*('Segments'!$D$30*D541*Assumptions!$B$109+'Segments'!$B$30*(0.4983251709*D541+0.4357405005*D541+0.0330936548*D541+0.0328406739))+D546*('Segments'!$D$31*D541*Assumptions!$B$109+'Segments'!$B$31*(0.4983251709*D541+0.4357405005*D541+0.0330936548*D541+0.0328406739))+D547*('Segments'!$D$32*D541*Assumptions!$B$109+'Segments'!$B$32*(0.4983251709*D541+0.4357405005*D541+0.0330936548*D541+0.0328406739))+D548*('Segments'!$D$33*D541*Assumptions!$B$109+'Segments'!$B$33*(0.4983251709*D541+0.4357405005*D541+0.0330936548*D541+0.0328406739))+D549*('Segments'!$D$34*D541*Assumptions!$B$109+'Segments'!$B$34*(0.4983251709*D541+0.4357405005*D541+0.0330936548*D541+0.0328406739))</f>
        <v/>
      </c>
      <c r="E552" s="18">
        <f>E542*('Segments'!$D$27*E541*Assumptions!$B$109+'Segments'!$B$27*(0.4983251709*E541+0.4357405005*E541+0.0330936548*E541+0.0328406739))+E543*('Segments'!$D$28*E541*Assumptions!$B$109+'Segments'!$B$28*(0.4983251709*E541+0.4357405005*E541+0.0330936548*E541+0.0328406739))+E544*('Segments'!$D$29*E541*Assumptions!$B$109+'Segments'!$B$29*(0.4983251709*E541+0.4357405005*E541+0.0330936548*E541+0.0328406739))+E545*('Segments'!$D$30*E541*Assumptions!$B$109+'Segments'!$B$30*(0.4983251709*E541+0.4357405005*E541+0.0330936548*E541+0.0328406739))+E546*('Segments'!$D$31*E541*Assumptions!$B$109+'Segments'!$B$31*(0.4983251709*E541+0.4357405005*E541+0.0330936548*E541+0.0328406739))+E547*('Segments'!$D$32*E541*Assumptions!$B$109+'Segments'!$B$32*(0.4983251709*E541+0.4357405005*E541+0.0330936548*E541+0.0328406739))+E548*('Segments'!$D$33*E541*Assumptions!$B$109+'Segments'!$B$33*(0.4983251709*E541+0.4357405005*E541+0.0330936548*E541+0.0328406739))+E549*('Segments'!$D$34*E541*Assumptions!$B$109+'Segments'!$B$34*(0.4983251709*E541+0.4357405005*E541+0.0330936548*E541+0.0328406739))</f>
        <v/>
      </c>
      <c r="F552" s="18">
        <f>F542*('Segments'!$D$27*F541*Assumptions!$B$109+'Segments'!$B$27*(0.4983251709*F541+0.4357405005*F541+0.0330936548*F541+0.0328406739))+F543*('Segments'!$D$28*F541*Assumptions!$B$109+'Segments'!$B$28*(0.4983251709*F541+0.4357405005*F541+0.0330936548*F541+0.0328406739))+F544*('Segments'!$D$29*F541*Assumptions!$B$109+'Segments'!$B$29*(0.4983251709*F541+0.4357405005*F541+0.0330936548*F541+0.0328406739))+F545*('Segments'!$D$30*F541*Assumptions!$B$109+'Segments'!$B$30*(0.4983251709*F541+0.4357405005*F541+0.0330936548*F541+0.0328406739))+F546*('Segments'!$D$31*F541*Assumptions!$B$109+'Segments'!$B$31*(0.4983251709*F541+0.4357405005*F541+0.0330936548*F541+0.0328406739))+F547*('Segments'!$D$32*F541*Assumptions!$B$109+'Segments'!$B$32*(0.4983251709*F541+0.4357405005*F541+0.0330936548*F541+0.0328406739))+F548*('Segments'!$D$33*F541*Assumptions!$B$109+'Segments'!$B$33*(0.4983251709*F541+0.4357405005*F541+0.0330936548*F541+0.0328406739))+F549*('Segments'!$D$34*F541*Assumptions!$B$109+'Segments'!$B$34*(0.4983251709*F541+0.4357405005*F541+0.0330936548*F541+0.0328406739))</f>
        <v/>
      </c>
      <c r="G552" s="18">
        <f>G542*('Segments'!$D$27*G541*Assumptions!$B$109+'Segments'!$B$27*(0.4983251709*G541+0.4357405005*G541+0.0330936548*G541+0.0328406739))+G543*('Segments'!$D$28*G541*Assumptions!$B$109+'Segments'!$B$28*(0.4983251709*G541+0.4357405005*G541+0.0330936548*G541+0.0328406739))+G544*('Segments'!$D$29*G541*Assumptions!$B$109+'Segments'!$B$29*(0.4983251709*G541+0.4357405005*G541+0.0330936548*G541+0.0328406739))+G545*('Segments'!$D$30*G541*Assumptions!$B$109+'Segments'!$B$30*(0.4983251709*G541+0.4357405005*G541+0.0330936548*G541+0.0328406739))+G546*('Segments'!$D$31*G541*Assumptions!$B$109+'Segments'!$B$31*(0.4983251709*G541+0.4357405005*G541+0.0330936548*G541+0.0328406739))+G547*('Segments'!$D$32*G541*Assumptions!$B$109+'Segments'!$B$32*(0.4983251709*G541+0.4357405005*G541+0.0330936548*G541+0.0328406739))+G548*('Segments'!$D$33*G541*Assumptions!$B$109+'Segments'!$B$33*(0.4983251709*G541+0.4357405005*G541+0.0330936548*G541+0.0328406739))+G549*('Segments'!$D$34*G541*Assumptions!$B$109+'Segments'!$B$34*(0.4983251709*G541+0.4357405005*G541+0.0330936548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590+0.4357405005*C590+0.0330936548*C590+0.0328406739))+C592*('Segments'!$D$28*C590*Assumptions!$B$109+'Segments'!$B$28*(0.4983251709*C590+0.4357405005*C590+0.0330936548*C590+0.0328406739))+C593*('Segments'!$D$29*C590*Assumptions!$B$109+'Segments'!$B$29*(0.4983251709*C590+0.4357405005*C590+0.0330936548*C590+0.0328406739))+C594*('Segments'!$D$30*C590*Assumptions!$B$109+'Segments'!$B$30*(0.4983251709*C590+0.4357405005*C590+0.0330936548*C590+0.0328406739))+C595*('Segments'!$D$31*C590*Assumptions!$B$109+'Segments'!$B$31*(0.4983251709*C590+0.4357405005*C590+0.0330936548*C590+0.0328406739))+C596*('Segments'!$D$32*C590*Assumptions!$B$109+'Segments'!$B$32*(0.4983251709*C590+0.4357405005*C590+0.0330936548*C590+0.0328406739))+C597*('Segments'!$D$33*C590*Assumptions!$B$109+'Segments'!$B$33*(0.4983251709*C590+0.4357405005*C590+0.0330936548*C590+0.0328406739))+C598*('Segments'!$D$34*C590*Assumptions!$B$109+'Segments'!$B$34*(0.4983251709*C590+0.4357405005*C590+0.0330936548*C590+0.0328406739))</f>
        <v/>
      </c>
      <c r="D601" s="18">
        <f>D591*('Segments'!$D$27*D590*Assumptions!$B$109+'Segments'!$B$27*(0.4983251709*D590+0.4357405005*D590+0.0330936548*D590+0.0328406739))+D592*('Segments'!$D$28*D590*Assumptions!$B$109+'Segments'!$B$28*(0.4983251709*D590+0.4357405005*D590+0.0330936548*D590+0.0328406739))+D593*('Segments'!$D$29*D590*Assumptions!$B$109+'Segments'!$B$29*(0.4983251709*D590+0.4357405005*D590+0.0330936548*D590+0.0328406739))+D594*('Segments'!$D$30*D590*Assumptions!$B$109+'Segments'!$B$30*(0.4983251709*D590+0.4357405005*D590+0.0330936548*D590+0.0328406739))+D595*('Segments'!$D$31*D590*Assumptions!$B$109+'Segments'!$B$31*(0.4983251709*D590+0.4357405005*D590+0.0330936548*D590+0.0328406739))+D596*('Segments'!$D$32*D590*Assumptions!$B$109+'Segments'!$B$32*(0.4983251709*D590+0.4357405005*D590+0.0330936548*D590+0.0328406739))+D597*('Segments'!$D$33*D590*Assumptions!$B$109+'Segments'!$B$33*(0.4983251709*D590+0.4357405005*D590+0.0330936548*D590+0.0328406739))+D598*('Segments'!$D$34*D590*Assumptions!$B$109+'Segments'!$B$34*(0.4983251709*D590+0.4357405005*D590+0.0330936548*D590+0.0328406739))</f>
        <v/>
      </c>
      <c r="E601" s="18">
        <f>E591*('Segments'!$D$27*E590*Assumptions!$B$109+'Segments'!$B$27*(0.4983251709*E590+0.4357405005*E590+0.0330936548*E590+0.0328406739))+E592*('Segments'!$D$28*E590*Assumptions!$B$109+'Segments'!$B$28*(0.4983251709*E590+0.4357405005*E590+0.0330936548*E590+0.0328406739))+E593*('Segments'!$D$29*E590*Assumptions!$B$109+'Segments'!$B$29*(0.4983251709*E590+0.4357405005*E590+0.0330936548*E590+0.0328406739))+E594*('Segments'!$D$30*E590*Assumptions!$B$109+'Segments'!$B$30*(0.4983251709*E590+0.4357405005*E590+0.0330936548*E590+0.0328406739))+E595*('Segments'!$D$31*E590*Assumptions!$B$109+'Segments'!$B$31*(0.4983251709*E590+0.4357405005*E590+0.0330936548*E590+0.0328406739))+E596*('Segments'!$D$32*E590*Assumptions!$B$109+'Segments'!$B$32*(0.4983251709*E590+0.4357405005*E590+0.0330936548*E590+0.0328406739))+E597*('Segments'!$D$33*E590*Assumptions!$B$109+'Segments'!$B$33*(0.4983251709*E590+0.4357405005*E590+0.0330936548*E590+0.0328406739))+E598*('Segments'!$D$34*E590*Assumptions!$B$109+'Segments'!$B$34*(0.4983251709*E590+0.4357405005*E590+0.0330936548*E590+0.0328406739))</f>
        <v/>
      </c>
      <c r="F601" s="18">
        <f>F591*('Segments'!$D$27*F590*Assumptions!$B$109+'Segments'!$B$27*(0.4983251709*F590+0.4357405005*F590+0.0330936548*F590+0.0328406739))+F592*('Segments'!$D$28*F590*Assumptions!$B$109+'Segments'!$B$28*(0.4983251709*F590+0.4357405005*F590+0.0330936548*F590+0.0328406739))+F593*('Segments'!$D$29*F590*Assumptions!$B$109+'Segments'!$B$29*(0.4983251709*F590+0.4357405005*F590+0.0330936548*F590+0.0328406739))+F594*('Segments'!$D$30*F590*Assumptions!$B$109+'Segments'!$B$30*(0.4983251709*F590+0.4357405005*F590+0.0330936548*F590+0.0328406739))+F595*('Segments'!$D$31*F590*Assumptions!$B$109+'Segments'!$B$31*(0.4983251709*F590+0.4357405005*F590+0.0330936548*F590+0.0328406739))+F596*('Segments'!$D$32*F590*Assumptions!$B$109+'Segments'!$B$32*(0.4983251709*F590+0.4357405005*F590+0.0330936548*F590+0.0328406739))+F597*('Segments'!$D$33*F590*Assumptions!$B$109+'Segments'!$B$33*(0.4983251709*F590+0.4357405005*F590+0.0330936548*F590+0.0328406739))+F598*('Segments'!$D$34*F590*Assumptions!$B$109+'Segments'!$B$34*(0.4983251709*F590+0.4357405005*F590+0.0330936548*F590+0.0328406739))</f>
        <v/>
      </c>
      <c r="G601" s="18">
        <f>G591*('Segments'!$D$27*G590*Assumptions!$B$109+'Segments'!$B$27*(0.4983251709*G590+0.4357405005*G590+0.0330936548*G590+0.0328406739))+G592*('Segments'!$D$28*G590*Assumptions!$B$109+'Segments'!$B$28*(0.4983251709*G590+0.4357405005*G590+0.0330936548*G590+0.0328406739))+G593*('Segments'!$D$29*G590*Assumptions!$B$109+'Segments'!$B$29*(0.4983251709*G590+0.4357405005*G590+0.0330936548*G590+0.0328406739))+G594*('Segments'!$D$30*G590*Assumptions!$B$109+'Segments'!$B$30*(0.4983251709*G590+0.4357405005*G590+0.0330936548*G590+0.0328406739))+G595*('Segments'!$D$31*G590*Assumptions!$B$109+'Segments'!$B$31*(0.4983251709*G590+0.4357405005*G590+0.0330936548*G590+0.0328406739))+G596*('Segments'!$D$32*G590*Assumptions!$B$109+'Segments'!$B$32*(0.4983251709*G590+0.4357405005*G590+0.0330936548*G590+0.0328406739))+G597*('Segments'!$D$33*G590*Assumptions!$B$109+'Segments'!$B$33*(0.4983251709*G590+0.4357405005*G590+0.0330936548*G590+0.0328406739))+G598*('Segments'!$D$34*G590*Assumptions!$B$109+'Segments'!$B$34*(0.4983251709*G590+0.4357405005*G590+0.0330936548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639+0.4357405005*C639+0.0330936548*C639+0.0328406739))+C641*('Segments'!$D$28*C639*Assumptions!$B$109+'Segments'!$B$28*(0.4983251709*C639+0.4357405005*C639+0.0330936548*C639+0.0328406739))+C642*('Segments'!$D$29*C639*Assumptions!$B$109+'Segments'!$B$29*(0.4983251709*C639+0.4357405005*C639+0.0330936548*C639+0.0328406739))+C643*('Segments'!$D$30*C639*Assumptions!$B$109+'Segments'!$B$30*(0.4983251709*C639+0.4357405005*C639+0.0330936548*C639+0.0328406739))+C644*('Segments'!$D$31*C639*Assumptions!$B$109+'Segments'!$B$31*(0.4983251709*C639+0.4357405005*C639+0.0330936548*C639+0.0328406739))+C645*('Segments'!$D$32*C639*Assumptions!$B$109+'Segments'!$B$32*(0.4983251709*C639+0.4357405005*C639+0.0330936548*C639+0.0328406739))+C646*('Segments'!$D$33*C639*Assumptions!$B$109+'Segments'!$B$33*(0.4983251709*C639+0.4357405005*C639+0.0330936548*C639+0.0328406739))+C647*('Segments'!$D$34*C639*Assumptions!$B$109+'Segments'!$B$34*(0.4983251709*C639+0.4357405005*C639+0.0330936548*C639+0.0328406739))</f>
        <v/>
      </c>
      <c r="D650" s="18">
        <f>D640*('Segments'!$D$27*D639*Assumptions!$B$109+'Segments'!$B$27*(0.4983251709*D639+0.4357405005*D639+0.0330936548*D639+0.0328406739))+D641*('Segments'!$D$28*D639*Assumptions!$B$109+'Segments'!$B$28*(0.4983251709*D639+0.4357405005*D639+0.0330936548*D639+0.0328406739))+D642*('Segments'!$D$29*D639*Assumptions!$B$109+'Segments'!$B$29*(0.4983251709*D639+0.4357405005*D639+0.0330936548*D639+0.0328406739))+D643*('Segments'!$D$30*D639*Assumptions!$B$109+'Segments'!$B$30*(0.4983251709*D639+0.4357405005*D639+0.0330936548*D639+0.0328406739))+D644*('Segments'!$D$31*D639*Assumptions!$B$109+'Segments'!$B$31*(0.4983251709*D639+0.4357405005*D639+0.0330936548*D639+0.0328406739))+D645*('Segments'!$D$32*D639*Assumptions!$B$109+'Segments'!$B$32*(0.4983251709*D639+0.4357405005*D639+0.0330936548*D639+0.0328406739))+D646*('Segments'!$D$33*D639*Assumptions!$B$109+'Segments'!$B$33*(0.4983251709*D639+0.4357405005*D639+0.0330936548*D639+0.0328406739))+D647*('Segments'!$D$34*D639*Assumptions!$B$109+'Segments'!$B$34*(0.4983251709*D639+0.4357405005*D639+0.0330936548*D639+0.0328406739))</f>
        <v/>
      </c>
      <c r="E650" s="18">
        <f>E640*('Segments'!$D$27*E639*Assumptions!$B$109+'Segments'!$B$27*(0.4983251709*E639+0.4357405005*E639+0.0330936548*E639+0.0328406739))+E641*('Segments'!$D$28*E639*Assumptions!$B$109+'Segments'!$B$28*(0.4983251709*E639+0.4357405005*E639+0.0330936548*E639+0.0328406739))+E642*('Segments'!$D$29*E639*Assumptions!$B$109+'Segments'!$B$29*(0.4983251709*E639+0.4357405005*E639+0.0330936548*E639+0.0328406739))+E643*('Segments'!$D$30*E639*Assumptions!$B$109+'Segments'!$B$30*(0.4983251709*E639+0.4357405005*E639+0.0330936548*E639+0.0328406739))+E644*('Segments'!$D$31*E639*Assumptions!$B$109+'Segments'!$B$31*(0.4983251709*E639+0.4357405005*E639+0.0330936548*E639+0.0328406739))+E645*('Segments'!$D$32*E639*Assumptions!$B$109+'Segments'!$B$32*(0.4983251709*E639+0.4357405005*E639+0.0330936548*E639+0.0328406739))+E646*('Segments'!$D$33*E639*Assumptions!$B$109+'Segments'!$B$33*(0.4983251709*E639+0.4357405005*E639+0.0330936548*E639+0.0328406739))+E647*('Segments'!$D$34*E639*Assumptions!$B$109+'Segments'!$B$34*(0.4983251709*E639+0.4357405005*E639+0.0330936548*E639+0.0328406739))</f>
        <v/>
      </c>
      <c r="F650" s="18">
        <f>F640*('Segments'!$D$27*F639*Assumptions!$B$109+'Segments'!$B$27*(0.4983251709*F639+0.4357405005*F639+0.0330936548*F639+0.0328406739))+F641*('Segments'!$D$28*F639*Assumptions!$B$109+'Segments'!$B$28*(0.4983251709*F639+0.4357405005*F639+0.0330936548*F639+0.0328406739))+F642*('Segments'!$D$29*F639*Assumptions!$B$109+'Segments'!$B$29*(0.4983251709*F639+0.4357405005*F639+0.0330936548*F639+0.0328406739))+F643*('Segments'!$D$30*F639*Assumptions!$B$109+'Segments'!$B$30*(0.4983251709*F639+0.4357405005*F639+0.0330936548*F639+0.0328406739))+F644*('Segments'!$D$31*F639*Assumptions!$B$109+'Segments'!$B$31*(0.4983251709*F639+0.4357405005*F639+0.0330936548*F639+0.0328406739))+F645*('Segments'!$D$32*F639*Assumptions!$B$109+'Segments'!$B$32*(0.4983251709*F639+0.4357405005*F639+0.0330936548*F639+0.0328406739))+F646*('Segments'!$D$33*F639*Assumptions!$B$109+'Segments'!$B$33*(0.4983251709*F639+0.4357405005*F639+0.0330936548*F639+0.0328406739))+F647*('Segments'!$D$34*F639*Assumptions!$B$109+'Segments'!$B$34*(0.4983251709*F639+0.4357405005*F639+0.0330936548*F639+0.0328406739))</f>
        <v/>
      </c>
      <c r="G650" s="18">
        <f>G640*('Segments'!$D$27*G639*Assumptions!$B$109+'Segments'!$B$27*(0.4983251709*G639+0.4357405005*G639+0.0330936548*G639+0.0328406739))+G641*('Segments'!$D$28*G639*Assumptions!$B$109+'Segments'!$B$28*(0.4983251709*G639+0.4357405005*G639+0.0330936548*G639+0.0328406739))+G642*('Segments'!$D$29*G639*Assumptions!$B$109+'Segments'!$B$29*(0.4983251709*G639+0.4357405005*G639+0.0330936548*G639+0.0328406739))+G643*('Segments'!$D$30*G639*Assumptions!$B$109+'Segments'!$B$30*(0.4983251709*G639+0.4357405005*G639+0.0330936548*G639+0.0328406739))+G644*('Segments'!$D$31*G639*Assumptions!$B$109+'Segments'!$B$31*(0.4983251709*G639+0.4357405005*G639+0.0330936548*G639+0.0328406739))+G645*('Segments'!$D$32*G639*Assumptions!$B$109+'Segments'!$B$32*(0.4983251709*G639+0.4357405005*G639+0.0330936548*G639+0.0328406739))+G646*('Segments'!$D$33*G639*Assumptions!$B$109+'Segments'!$B$33*(0.4983251709*G639+0.4357405005*G639+0.0330936548*G639+0.0328406739))+G647*('Segments'!$D$34*G639*Assumptions!$B$109+'Segments'!$B$34*(0.4983251709*G639+0.4357405005*G639+0.0330936548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688+0.4357405005*C688+0.0330936548*C688+0.0328406739))+C690*('Segments'!$D$28*C688*Assumptions!$B$109+'Segments'!$B$28*(0.4983251709*C688+0.4357405005*C688+0.0330936548*C688+0.0328406739))+C691*('Segments'!$D$29*C688*Assumptions!$B$109+'Segments'!$B$29*(0.4983251709*C688+0.4357405005*C688+0.0330936548*C688+0.0328406739))+C692*('Segments'!$D$30*C688*Assumptions!$B$109+'Segments'!$B$30*(0.4983251709*C688+0.4357405005*C688+0.0330936548*C688+0.0328406739))+C693*('Segments'!$D$31*C688*Assumptions!$B$109+'Segments'!$B$31*(0.4983251709*C688+0.4357405005*C688+0.0330936548*C688+0.0328406739))+C694*('Segments'!$D$32*C688*Assumptions!$B$109+'Segments'!$B$32*(0.4983251709*C688+0.4357405005*C688+0.0330936548*C688+0.0328406739))+C695*('Segments'!$D$33*C688*Assumptions!$B$109+'Segments'!$B$33*(0.4983251709*C688+0.4357405005*C688+0.0330936548*C688+0.0328406739))+C696*('Segments'!$D$34*C688*Assumptions!$B$109+'Segments'!$B$34*(0.4983251709*C688+0.4357405005*C688+0.0330936548*C688+0.0328406739))</f>
        <v/>
      </c>
      <c r="D699" s="18">
        <f>D689*('Segments'!$D$27*D688*Assumptions!$B$109+'Segments'!$B$27*(0.4983251709*D688+0.4357405005*D688+0.0330936548*D688+0.0328406739))+D690*('Segments'!$D$28*D688*Assumptions!$B$109+'Segments'!$B$28*(0.4983251709*D688+0.4357405005*D688+0.0330936548*D688+0.0328406739))+D691*('Segments'!$D$29*D688*Assumptions!$B$109+'Segments'!$B$29*(0.4983251709*D688+0.4357405005*D688+0.0330936548*D688+0.0328406739))+D692*('Segments'!$D$30*D688*Assumptions!$B$109+'Segments'!$B$30*(0.4983251709*D688+0.4357405005*D688+0.0330936548*D688+0.0328406739))+D693*('Segments'!$D$31*D688*Assumptions!$B$109+'Segments'!$B$31*(0.4983251709*D688+0.4357405005*D688+0.0330936548*D688+0.0328406739))+D694*('Segments'!$D$32*D688*Assumptions!$B$109+'Segments'!$B$32*(0.4983251709*D688+0.4357405005*D688+0.0330936548*D688+0.0328406739))+D695*('Segments'!$D$33*D688*Assumptions!$B$109+'Segments'!$B$33*(0.4983251709*D688+0.4357405005*D688+0.0330936548*D688+0.0328406739))+D696*('Segments'!$D$34*D688*Assumptions!$B$109+'Segments'!$B$34*(0.4983251709*D688+0.4357405005*D688+0.0330936548*D688+0.0328406739))</f>
        <v/>
      </c>
      <c r="E699" s="18">
        <f>E689*('Segments'!$D$27*E688*Assumptions!$B$109+'Segments'!$B$27*(0.4983251709*E688+0.4357405005*E688+0.0330936548*E688+0.0328406739))+E690*('Segments'!$D$28*E688*Assumptions!$B$109+'Segments'!$B$28*(0.4983251709*E688+0.4357405005*E688+0.0330936548*E688+0.0328406739))+E691*('Segments'!$D$29*E688*Assumptions!$B$109+'Segments'!$B$29*(0.4983251709*E688+0.4357405005*E688+0.0330936548*E688+0.0328406739))+E692*('Segments'!$D$30*E688*Assumptions!$B$109+'Segments'!$B$30*(0.4983251709*E688+0.4357405005*E688+0.0330936548*E688+0.0328406739))+E693*('Segments'!$D$31*E688*Assumptions!$B$109+'Segments'!$B$31*(0.4983251709*E688+0.4357405005*E688+0.0330936548*E688+0.0328406739))+E694*('Segments'!$D$32*E688*Assumptions!$B$109+'Segments'!$B$32*(0.4983251709*E688+0.4357405005*E688+0.0330936548*E688+0.0328406739))+E695*('Segments'!$D$33*E688*Assumptions!$B$109+'Segments'!$B$33*(0.4983251709*E688+0.4357405005*E688+0.0330936548*E688+0.0328406739))+E696*('Segments'!$D$34*E688*Assumptions!$B$109+'Segments'!$B$34*(0.4983251709*E688+0.4357405005*E688+0.0330936548*E688+0.0328406739))</f>
        <v/>
      </c>
      <c r="F699" s="18">
        <f>F689*('Segments'!$D$27*F688*Assumptions!$B$109+'Segments'!$B$27*(0.4983251709*F688+0.4357405005*F688+0.0330936548*F688+0.0328406739))+F690*('Segments'!$D$28*F688*Assumptions!$B$109+'Segments'!$B$28*(0.4983251709*F688+0.4357405005*F688+0.0330936548*F688+0.0328406739))+F691*('Segments'!$D$29*F688*Assumptions!$B$109+'Segments'!$B$29*(0.4983251709*F688+0.4357405005*F688+0.0330936548*F688+0.0328406739))+F692*('Segments'!$D$30*F688*Assumptions!$B$109+'Segments'!$B$30*(0.4983251709*F688+0.4357405005*F688+0.0330936548*F688+0.0328406739))+F693*('Segments'!$D$31*F688*Assumptions!$B$109+'Segments'!$B$31*(0.4983251709*F688+0.4357405005*F688+0.0330936548*F688+0.0328406739))+F694*('Segments'!$D$32*F688*Assumptions!$B$109+'Segments'!$B$32*(0.4983251709*F688+0.4357405005*F688+0.0330936548*F688+0.0328406739))+F695*('Segments'!$D$33*F688*Assumptions!$B$109+'Segments'!$B$33*(0.4983251709*F688+0.4357405005*F688+0.0330936548*F688+0.0328406739))+F696*('Segments'!$D$34*F688*Assumptions!$B$109+'Segments'!$B$34*(0.4983251709*F688+0.4357405005*F688+0.0330936548*F688+0.0328406739))</f>
        <v/>
      </c>
      <c r="G699" s="18">
        <f>G689*('Segments'!$D$27*G688*Assumptions!$B$109+'Segments'!$B$27*(0.4983251709*G688+0.4357405005*G688+0.0330936548*G688+0.0328406739))+G690*('Segments'!$D$28*G688*Assumptions!$B$109+'Segments'!$B$28*(0.4983251709*G688+0.4357405005*G688+0.0330936548*G688+0.0328406739))+G691*('Segments'!$D$29*G688*Assumptions!$B$109+'Segments'!$B$29*(0.4983251709*G688+0.4357405005*G688+0.0330936548*G688+0.0328406739))+G692*('Segments'!$D$30*G688*Assumptions!$B$109+'Segments'!$B$30*(0.4983251709*G688+0.4357405005*G688+0.0330936548*G688+0.0328406739))+G693*('Segments'!$D$31*G688*Assumptions!$B$109+'Segments'!$B$31*(0.4983251709*G688+0.4357405005*G688+0.0330936548*G688+0.0328406739))+G694*('Segments'!$D$32*G688*Assumptions!$B$109+'Segments'!$B$32*(0.4983251709*G688+0.4357405005*G688+0.0330936548*G688+0.0328406739))+G695*('Segments'!$D$33*G688*Assumptions!$B$109+'Segments'!$B$33*(0.4983251709*G688+0.4357405005*G688+0.0330936548*G688+0.0328406739))+G696*('Segments'!$D$34*G688*Assumptions!$B$109+'Segments'!$B$34*(0.4983251709*G688+0.4357405005*G688+0.0330936548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737+0.4357405005*C737+0.0330936548*C737+0.0328406739))+C739*('Segments'!$D$28*C737*Assumptions!$B$109+'Segments'!$B$28*(0.4983251709*C737+0.4357405005*C737+0.0330936548*C737+0.0328406739))+C740*('Segments'!$D$29*C737*Assumptions!$B$109+'Segments'!$B$29*(0.4983251709*C737+0.4357405005*C737+0.0330936548*C737+0.0328406739))+C741*('Segments'!$D$30*C737*Assumptions!$B$109+'Segments'!$B$30*(0.4983251709*C737+0.4357405005*C737+0.0330936548*C737+0.0328406739))+C742*('Segments'!$D$31*C737*Assumptions!$B$109+'Segments'!$B$31*(0.4983251709*C737+0.4357405005*C737+0.0330936548*C737+0.0328406739))+C743*('Segments'!$D$32*C737*Assumptions!$B$109+'Segments'!$B$32*(0.4983251709*C737+0.4357405005*C737+0.0330936548*C737+0.0328406739))+C744*('Segments'!$D$33*C737*Assumptions!$B$109+'Segments'!$B$33*(0.4983251709*C737+0.4357405005*C737+0.0330936548*C737+0.0328406739))+C745*('Segments'!$D$34*C737*Assumptions!$B$109+'Segments'!$B$34*(0.4983251709*C737+0.4357405005*C737+0.0330936548*C737+0.0328406739))</f>
        <v/>
      </c>
      <c r="D748" s="18">
        <f>D738*('Segments'!$D$27*D737*Assumptions!$B$109+'Segments'!$B$27*(0.4983251709*D737+0.4357405005*D737+0.0330936548*D737+0.0328406739))+D739*('Segments'!$D$28*D737*Assumptions!$B$109+'Segments'!$B$28*(0.4983251709*D737+0.4357405005*D737+0.0330936548*D737+0.0328406739))+D740*('Segments'!$D$29*D737*Assumptions!$B$109+'Segments'!$B$29*(0.4983251709*D737+0.4357405005*D737+0.0330936548*D737+0.0328406739))+D741*('Segments'!$D$30*D737*Assumptions!$B$109+'Segments'!$B$30*(0.4983251709*D737+0.4357405005*D737+0.0330936548*D737+0.0328406739))+D742*('Segments'!$D$31*D737*Assumptions!$B$109+'Segments'!$B$31*(0.4983251709*D737+0.4357405005*D737+0.0330936548*D737+0.0328406739))+D743*('Segments'!$D$32*D737*Assumptions!$B$109+'Segments'!$B$32*(0.4983251709*D737+0.4357405005*D737+0.0330936548*D737+0.0328406739))+D744*('Segments'!$D$33*D737*Assumptions!$B$109+'Segments'!$B$33*(0.4983251709*D737+0.4357405005*D737+0.0330936548*D737+0.0328406739))+D745*('Segments'!$D$34*D737*Assumptions!$B$109+'Segments'!$B$34*(0.4983251709*D737+0.4357405005*D737+0.0330936548*D737+0.0328406739))</f>
        <v/>
      </c>
      <c r="E748" s="18">
        <f>E738*('Segments'!$D$27*E737*Assumptions!$B$109+'Segments'!$B$27*(0.4983251709*E737+0.4357405005*E737+0.0330936548*E737+0.0328406739))+E739*('Segments'!$D$28*E737*Assumptions!$B$109+'Segments'!$B$28*(0.4983251709*E737+0.4357405005*E737+0.0330936548*E737+0.0328406739))+E740*('Segments'!$D$29*E737*Assumptions!$B$109+'Segments'!$B$29*(0.4983251709*E737+0.4357405005*E737+0.0330936548*E737+0.0328406739))+E741*('Segments'!$D$30*E737*Assumptions!$B$109+'Segments'!$B$30*(0.4983251709*E737+0.4357405005*E737+0.0330936548*E737+0.0328406739))+E742*('Segments'!$D$31*E737*Assumptions!$B$109+'Segments'!$B$31*(0.4983251709*E737+0.4357405005*E737+0.0330936548*E737+0.0328406739))+E743*('Segments'!$D$32*E737*Assumptions!$B$109+'Segments'!$B$32*(0.4983251709*E737+0.4357405005*E737+0.0330936548*E737+0.0328406739))+E744*('Segments'!$D$33*E737*Assumptions!$B$109+'Segments'!$B$33*(0.4983251709*E737+0.4357405005*E737+0.0330936548*E737+0.0328406739))+E745*('Segments'!$D$34*E737*Assumptions!$B$109+'Segments'!$B$34*(0.4983251709*E737+0.4357405005*E737+0.0330936548*E737+0.0328406739))</f>
        <v/>
      </c>
      <c r="F748" s="18">
        <f>F738*('Segments'!$D$27*F737*Assumptions!$B$109+'Segments'!$B$27*(0.4983251709*F737+0.4357405005*F737+0.0330936548*F737+0.0328406739))+F739*('Segments'!$D$28*F737*Assumptions!$B$109+'Segments'!$B$28*(0.4983251709*F737+0.4357405005*F737+0.0330936548*F737+0.0328406739))+F740*('Segments'!$D$29*F737*Assumptions!$B$109+'Segments'!$B$29*(0.4983251709*F737+0.4357405005*F737+0.0330936548*F737+0.0328406739))+F741*('Segments'!$D$30*F737*Assumptions!$B$109+'Segments'!$B$30*(0.4983251709*F737+0.4357405005*F737+0.0330936548*F737+0.0328406739))+F742*('Segments'!$D$31*F737*Assumptions!$B$109+'Segments'!$B$31*(0.4983251709*F737+0.4357405005*F737+0.0330936548*F737+0.0328406739))+F743*('Segments'!$D$32*F737*Assumptions!$B$109+'Segments'!$B$32*(0.4983251709*F737+0.4357405005*F737+0.0330936548*F737+0.0328406739))+F744*('Segments'!$D$33*F737*Assumptions!$B$109+'Segments'!$B$33*(0.4983251709*F737+0.4357405005*F737+0.0330936548*F737+0.0328406739))+F745*('Segments'!$D$34*F737*Assumptions!$B$109+'Segments'!$B$34*(0.4983251709*F737+0.4357405005*F737+0.0330936548*F737+0.0328406739))</f>
        <v/>
      </c>
      <c r="G748" s="18">
        <f>G738*('Segments'!$D$27*G737*Assumptions!$B$109+'Segments'!$B$27*(0.4983251709*G737+0.4357405005*G737+0.0330936548*G737+0.0328406739))+G739*('Segments'!$D$28*G737*Assumptions!$B$109+'Segments'!$B$28*(0.4983251709*G737+0.4357405005*G737+0.0330936548*G737+0.0328406739))+G740*('Segments'!$D$29*G737*Assumptions!$B$109+'Segments'!$B$29*(0.4983251709*G737+0.4357405005*G737+0.0330936548*G737+0.0328406739))+G741*('Segments'!$D$30*G737*Assumptions!$B$109+'Segments'!$B$30*(0.4983251709*G737+0.4357405005*G737+0.0330936548*G737+0.0328406739))+G742*('Segments'!$D$31*G737*Assumptions!$B$109+'Segments'!$B$31*(0.4983251709*G737+0.4357405005*G737+0.0330936548*G737+0.0328406739))+G743*('Segments'!$D$32*G737*Assumptions!$B$109+'Segments'!$B$32*(0.4983251709*G737+0.4357405005*G737+0.0330936548*G737+0.0328406739))+G744*('Segments'!$D$33*G737*Assumptions!$B$109+'Segments'!$B$33*(0.4983251709*G737+0.4357405005*G737+0.0330936548*G737+0.0328406739))+G745*('Segments'!$D$34*G737*Assumptions!$B$109+'Segments'!$B$34*(0.4983251709*G737+0.4357405005*G737+0.0330936548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786+0.4357405005*C786+0.0330936548*C786+0.0328406739))+C788*('Segments'!$D$28*C786*Assumptions!$B$109+'Segments'!$B$28*(0.4983251709*C786+0.4357405005*C786+0.0330936548*C786+0.0328406739))+C789*('Segments'!$D$29*C786*Assumptions!$B$109+'Segments'!$B$29*(0.4983251709*C786+0.4357405005*C786+0.0330936548*C786+0.0328406739))+C790*('Segments'!$D$30*C786*Assumptions!$B$109+'Segments'!$B$30*(0.4983251709*C786+0.4357405005*C786+0.0330936548*C786+0.0328406739))+C791*('Segments'!$D$31*C786*Assumptions!$B$109+'Segments'!$B$31*(0.4983251709*C786+0.4357405005*C786+0.0330936548*C786+0.0328406739))+C792*('Segments'!$D$32*C786*Assumptions!$B$109+'Segments'!$B$32*(0.4983251709*C786+0.4357405005*C786+0.0330936548*C786+0.0328406739))+C793*('Segments'!$D$33*C786*Assumptions!$B$109+'Segments'!$B$33*(0.4983251709*C786+0.4357405005*C786+0.0330936548*C786+0.0328406739))+C794*('Segments'!$D$34*C786*Assumptions!$B$109+'Segments'!$B$34*(0.4983251709*C786+0.4357405005*C786+0.0330936548*C786+0.0328406739))</f>
        <v/>
      </c>
      <c r="D797" s="18">
        <f>D787*('Segments'!$D$27*D786*Assumptions!$B$109+'Segments'!$B$27*(0.4983251709*D786+0.4357405005*D786+0.0330936548*D786+0.0328406739))+D788*('Segments'!$D$28*D786*Assumptions!$B$109+'Segments'!$B$28*(0.4983251709*D786+0.4357405005*D786+0.0330936548*D786+0.0328406739))+D789*('Segments'!$D$29*D786*Assumptions!$B$109+'Segments'!$B$29*(0.4983251709*D786+0.4357405005*D786+0.0330936548*D786+0.0328406739))+D790*('Segments'!$D$30*D786*Assumptions!$B$109+'Segments'!$B$30*(0.4983251709*D786+0.4357405005*D786+0.0330936548*D786+0.0328406739))+D791*('Segments'!$D$31*D786*Assumptions!$B$109+'Segments'!$B$31*(0.4983251709*D786+0.4357405005*D786+0.0330936548*D786+0.0328406739))+D792*('Segments'!$D$32*D786*Assumptions!$B$109+'Segments'!$B$32*(0.4983251709*D786+0.4357405005*D786+0.0330936548*D786+0.0328406739))+D793*('Segments'!$D$33*D786*Assumptions!$B$109+'Segments'!$B$33*(0.4983251709*D786+0.4357405005*D786+0.0330936548*D786+0.0328406739))+D794*('Segments'!$D$34*D786*Assumptions!$B$109+'Segments'!$B$34*(0.4983251709*D786+0.4357405005*D786+0.0330936548*D786+0.0328406739))</f>
        <v/>
      </c>
      <c r="E797" s="18">
        <f>E787*('Segments'!$D$27*E786*Assumptions!$B$109+'Segments'!$B$27*(0.4983251709*E786+0.4357405005*E786+0.0330936548*E786+0.0328406739))+E788*('Segments'!$D$28*E786*Assumptions!$B$109+'Segments'!$B$28*(0.4983251709*E786+0.4357405005*E786+0.0330936548*E786+0.0328406739))+E789*('Segments'!$D$29*E786*Assumptions!$B$109+'Segments'!$B$29*(0.4983251709*E786+0.4357405005*E786+0.0330936548*E786+0.0328406739))+E790*('Segments'!$D$30*E786*Assumptions!$B$109+'Segments'!$B$30*(0.4983251709*E786+0.4357405005*E786+0.0330936548*E786+0.0328406739))+E791*('Segments'!$D$31*E786*Assumptions!$B$109+'Segments'!$B$31*(0.4983251709*E786+0.4357405005*E786+0.0330936548*E786+0.0328406739))+E792*('Segments'!$D$32*E786*Assumptions!$B$109+'Segments'!$B$32*(0.4983251709*E786+0.4357405005*E786+0.0330936548*E786+0.0328406739))+E793*('Segments'!$D$33*E786*Assumptions!$B$109+'Segments'!$B$33*(0.4983251709*E786+0.4357405005*E786+0.0330936548*E786+0.0328406739))+E794*('Segments'!$D$34*E786*Assumptions!$B$109+'Segments'!$B$34*(0.4983251709*E786+0.4357405005*E786+0.0330936548*E786+0.0328406739))</f>
        <v/>
      </c>
      <c r="F797" s="18">
        <f>F787*('Segments'!$D$27*F786*Assumptions!$B$109+'Segments'!$B$27*(0.4983251709*F786+0.4357405005*F786+0.0330936548*F786+0.0328406739))+F788*('Segments'!$D$28*F786*Assumptions!$B$109+'Segments'!$B$28*(0.4983251709*F786+0.4357405005*F786+0.0330936548*F786+0.0328406739))+F789*('Segments'!$D$29*F786*Assumptions!$B$109+'Segments'!$B$29*(0.4983251709*F786+0.4357405005*F786+0.0330936548*F786+0.0328406739))+F790*('Segments'!$D$30*F786*Assumptions!$B$109+'Segments'!$B$30*(0.4983251709*F786+0.4357405005*F786+0.0330936548*F786+0.0328406739))+F791*('Segments'!$D$31*F786*Assumptions!$B$109+'Segments'!$B$31*(0.4983251709*F786+0.4357405005*F786+0.0330936548*F786+0.0328406739))+F792*('Segments'!$D$32*F786*Assumptions!$B$109+'Segments'!$B$32*(0.4983251709*F786+0.4357405005*F786+0.0330936548*F786+0.0328406739))+F793*('Segments'!$D$33*F786*Assumptions!$B$109+'Segments'!$B$33*(0.4983251709*F786+0.4357405005*F786+0.0330936548*F786+0.0328406739))+F794*('Segments'!$D$34*F786*Assumptions!$B$109+'Segments'!$B$34*(0.4983251709*F786+0.4357405005*F786+0.0330936548*F786+0.0328406739))</f>
        <v/>
      </c>
      <c r="G797" s="18">
        <f>G787*('Segments'!$D$27*G786*Assumptions!$B$109+'Segments'!$B$27*(0.4983251709*G786+0.4357405005*G786+0.0330936548*G786+0.0328406739))+G788*('Segments'!$D$28*G786*Assumptions!$B$109+'Segments'!$B$28*(0.4983251709*G786+0.4357405005*G786+0.0330936548*G786+0.0328406739))+G789*('Segments'!$D$29*G786*Assumptions!$B$109+'Segments'!$B$29*(0.4983251709*G786+0.4357405005*G786+0.0330936548*G786+0.0328406739))+G790*('Segments'!$D$30*G786*Assumptions!$B$109+'Segments'!$B$30*(0.4983251709*G786+0.4357405005*G786+0.0330936548*G786+0.0328406739))+G791*('Segments'!$D$31*G786*Assumptions!$B$109+'Segments'!$B$31*(0.4983251709*G786+0.4357405005*G786+0.0330936548*G786+0.0328406739))+G792*('Segments'!$D$32*G786*Assumptions!$B$109+'Segments'!$B$32*(0.4983251709*G786+0.4357405005*G786+0.0330936548*G786+0.0328406739))+G793*('Segments'!$D$33*G786*Assumptions!$B$109+'Segments'!$B$33*(0.4983251709*G786+0.4357405005*G786+0.0330936548*G786+0.0328406739))+G794*('Segments'!$D$34*G786*Assumptions!$B$109+'Segments'!$B$34*(0.4983251709*G786+0.4357405005*G786+0.0330936548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835+0.4357405005*C835+0.0330936548*C835+0.0328406739))+C837*('Segments'!$D$28*C835*Assumptions!$B$109+'Segments'!$B$28*(0.4983251709*C835+0.4357405005*C835+0.0330936548*C835+0.0328406739))+C838*('Segments'!$D$29*C835*Assumptions!$B$109+'Segments'!$B$29*(0.4983251709*C835+0.4357405005*C835+0.0330936548*C835+0.0328406739))+C839*('Segments'!$D$30*C835*Assumptions!$B$109+'Segments'!$B$30*(0.4983251709*C835+0.4357405005*C835+0.0330936548*C835+0.0328406739))+C840*('Segments'!$D$31*C835*Assumptions!$B$109+'Segments'!$B$31*(0.4983251709*C835+0.4357405005*C835+0.0330936548*C835+0.0328406739))+C841*('Segments'!$D$32*C835*Assumptions!$B$109+'Segments'!$B$32*(0.4983251709*C835+0.4357405005*C835+0.0330936548*C835+0.0328406739))+C842*('Segments'!$D$33*C835*Assumptions!$B$109+'Segments'!$B$33*(0.4983251709*C835+0.4357405005*C835+0.0330936548*C835+0.0328406739))+C843*('Segments'!$D$34*C835*Assumptions!$B$109+'Segments'!$B$34*(0.4983251709*C835+0.4357405005*C835+0.0330936548*C835+0.0328406739))</f>
        <v/>
      </c>
      <c r="D846" s="18">
        <f>D836*('Segments'!$D$27*D835*Assumptions!$B$109+'Segments'!$B$27*(0.4983251709*D835+0.4357405005*D835+0.0330936548*D835+0.0328406739))+D837*('Segments'!$D$28*D835*Assumptions!$B$109+'Segments'!$B$28*(0.4983251709*D835+0.4357405005*D835+0.0330936548*D835+0.0328406739))+D838*('Segments'!$D$29*D835*Assumptions!$B$109+'Segments'!$B$29*(0.4983251709*D835+0.4357405005*D835+0.0330936548*D835+0.0328406739))+D839*('Segments'!$D$30*D835*Assumptions!$B$109+'Segments'!$B$30*(0.4983251709*D835+0.4357405005*D835+0.0330936548*D835+0.0328406739))+D840*('Segments'!$D$31*D835*Assumptions!$B$109+'Segments'!$B$31*(0.4983251709*D835+0.4357405005*D835+0.0330936548*D835+0.0328406739))+D841*('Segments'!$D$32*D835*Assumptions!$B$109+'Segments'!$B$32*(0.4983251709*D835+0.4357405005*D835+0.0330936548*D835+0.0328406739))+D842*('Segments'!$D$33*D835*Assumptions!$B$109+'Segments'!$B$33*(0.4983251709*D835+0.4357405005*D835+0.0330936548*D835+0.0328406739))+D843*('Segments'!$D$34*D835*Assumptions!$B$109+'Segments'!$B$34*(0.4983251709*D835+0.4357405005*D835+0.0330936548*D835+0.0328406739))</f>
        <v/>
      </c>
      <c r="E846" s="18">
        <f>E836*('Segments'!$D$27*E835*Assumptions!$B$109+'Segments'!$B$27*(0.4983251709*E835+0.4357405005*E835+0.0330936548*E835+0.0328406739))+E837*('Segments'!$D$28*E835*Assumptions!$B$109+'Segments'!$B$28*(0.4983251709*E835+0.4357405005*E835+0.0330936548*E835+0.0328406739))+E838*('Segments'!$D$29*E835*Assumptions!$B$109+'Segments'!$B$29*(0.4983251709*E835+0.4357405005*E835+0.0330936548*E835+0.0328406739))+E839*('Segments'!$D$30*E835*Assumptions!$B$109+'Segments'!$B$30*(0.4983251709*E835+0.4357405005*E835+0.0330936548*E835+0.0328406739))+E840*('Segments'!$D$31*E835*Assumptions!$B$109+'Segments'!$B$31*(0.4983251709*E835+0.4357405005*E835+0.0330936548*E835+0.0328406739))+E841*('Segments'!$D$32*E835*Assumptions!$B$109+'Segments'!$B$32*(0.4983251709*E835+0.4357405005*E835+0.0330936548*E835+0.0328406739))+E842*('Segments'!$D$33*E835*Assumptions!$B$109+'Segments'!$B$33*(0.4983251709*E835+0.4357405005*E835+0.0330936548*E835+0.0328406739))+E843*('Segments'!$D$34*E835*Assumptions!$B$109+'Segments'!$B$34*(0.4983251709*E835+0.4357405005*E835+0.0330936548*E835+0.0328406739))</f>
        <v/>
      </c>
      <c r="F846" s="18">
        <f>F836*('Segments'!$D$27*F835*Assumptions!$B$109+'Segments'!$B$27*(0.4983251709*F835+0.4357405005*F835+0.0330936548*F835+0.0328406739))+F837*('Segments'!$D$28*F835*Assumptions!$B$109+'Segments'!$B$28*(0.4983251709*F835+0.4357405005*F835+0.0330936548*F835+0.0328406739))+F838*('Segments'!$D$29*F835*Assumptions!$B$109+'Segments'!$B$29*(0.4983251709*F835+0.4357405005*F835+0.0330936548*F835+0.0328406739))+F839*('Segments'!$D$30*F835*Assumptions!$B$109+'Segments'!$B$30*(0.4983251709*F835+0.4357405005*F835+0.0330936548*F835+0.0328406739))+F840*('Segments'!$D$31*F835*Assumptions!$B$109+'Segments'!$B$31*(0.4983251709*F835+0.4357405005*F835+0.0330936548*F835+0.0328406739))+F841*('Segments'!$D$32*F835*Assumptions!$B$109+'Segments'!$B$32*(0.4983251709*F835+0.4357405005*F835+0.0330936548*F835+0.0328406739))+F842*('Segments'!$D$33*F835*Assumptions!$B$109+'Segments'!$B$33*(0.4983251709*F835+0.4357405005*F835+0.0330936548*F835+0.0328406739))+F843*('Segments'!$D$34*F835*Assumptions!$B$109+'Segments'!$B$34*(0.4983251709*F835+0.4357405005*F835+0.0330936548*F835+0.0328406739))</f>
        <v/>
      </c>
      <c r="G846" s="18">
        <f>G836*('Segments'!$D$27*G835*Assumptions!$B$109+'Segments'!$B$27*(0.4983251709*G835+0.4357405005*G835+0.0330936548*G835+0.0328406739))+G837*('Segments'!$D$28*G835*Assumptions!$B$109+'Segments'!$B$28*(0.4983251709*G835+0.4357405005*G835+0.0330936548*G835+0.0328406739))+G838*('Segments'!$D$29*G835*Assumptions!$B$109+'Segments'!$B$29*(0.4983251709*G835+0.4357405005*G835+0.0330936548*G835+0.0328406739))+G839*('Segments'!$D$30*G835*Assumptions!$B$109+'Segments'!$B$30*(0.4983251709*G835+0.4357405005*G835+0.0330936548*G835+0.0328406739))+G840*('Segments'!$D$31*G835*Assumptions!$B$109+'Segments'!$B$31*(0.4983251709*G835+0.4357405005*G835+0.0330936548*G835+0.0328406739))+G841*('Segments'!$D$32*G835*Assumptions!$B$109+'Segments'!$B$32*(0.4983251709*G835+0.4357405005*G835+0.0330936548*G835+0.0328406739))+G842*('Segments'!$D$33*G835*Assumptions!$B$109+'Segments'!$B$33*(0.4983251709*G835+0.4357405005*G835+0.0330936548*G835+0.0328406739))+G843*('Segments'!$D$34*G835*Assumptions!$B$109+'Segments'!$B$34*(0.4983251709*G835+0.4357405005*G835+0.0330936548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0.9063</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884+0.4357405005*C884+0.0330936548*C884+0.0328406739))+C886*('Segments'!$D$28*C884*Assumptions!$B$109+'Segments'!$B$28*(0.4983251709*C884+0.4357405005*C884+0.0330936548*C884+0.0328406739))+C887*('Segments'!$D$29*C884*Assumptions!$B$109+'Segments'!$B$29*(0.4983251709*C884+0.4357405005*C884+0.0330936548*C884+0.0328406739))+C888*('Segments'!$D$30*C884*Assumptions!$B$109+'Segments'!$B$30*(0.4983251709*C884+0.4357405005*C884+0.0330936548*C884+0.0328406739))+C889*('Segments'!$D$31*C884*Assumptions!$B$109+'Segments'!$B$31*(0.4983251709*C884+0.4357405005*C884+0.0330936548*C884+0.0328406739))+C890*('Segments'!$D$32*C884*Assumptions!$B$109+'Segments'!$B$32*(0.4983251709*C884+0.4357405005*C884+0.0330936548*C884+0.0328406739))+C891*('Segments'!$D$33*C884*Assumptions!$B$109+'Segments'!$B$33*(0.4983251709*C884+0.4357405005*C884+0.0330936548*C884+0.0328406739))+C892*('Segments'!$D$34*C884*Assumptions!$B$109+'Segments'!$B$34*(0.4983251709*C884+0.4357405005*C884+0.0330936548*C884+0.0328406739))</f>
        <v/>
      </c>
      <c r="D895" s="18">
        <f>D885*('Segments'!$D$27*D884*Assumptions!$B$109+'Segments'!$B$27*(0.4983251709*D884+0.4357405005*D884+0.0330936548*D884+0.0328406739))+D886*('Segments'!$D$28*D884*Assumptions!$B$109+'Segments'!$B$28*(0.4983251709*D884+0.4357405005*D884+0.0330936548*D884+0.0328406739))+D887*('Segments'!$D$29*D884*Assumptions!$B$109+'Segments'!$B$29*(0.4983251709*D884+0.4357405005*D884+0.0330936548*D884+0.0328406739))+D888*('Segments'!$D$30*D884*Assumptions!$B$109+'Segments'!$B$30*(0.4983251709*D884+0.4357405005*D884+0.0330936548*D884+0.0328406739))+D889*('Segments'!$D$31*D884*Assumptions!$B$109+'Segments'!$B$31*(0.4983251709*D884+0.4357405005*D884+0.0330936548*D884+0.0328406739))+D890*('Segments'!$D$32*D884*Assumptions!$B$109+'Segments'!$B$32*(0.4983251709*D884+0.4357405005*D884+0.0330936548*D884+0.0328406739))+D891*('Segments'!$D$33*D884*Assumptions!$B$109+'Segments'!$B$33*(0.4983251709*D884+0.4357405005*D884+0.0330936548*D884+0.0328406739))+D892*('Segments'!$D$34*D884*Assumptions!$B$109+'Segments'!$B$34*(0.4983251709*D884+0.4357405005*D884+0.0330936548*D884+0.0328406739))</f>
        <v/>
      </c>
      <c r="E895" s="18">
        <f>E885*('Segments'!$D$27*E884*Assumptions!$B$109+'Segments'!$B$27*(0.4983251709*E884+0.4357405005*E884+0.0330936548*E884+0.0328406739))+E886*('Segments'!$D$28*E884*Assumptions!$B$109+'Segments'!$B$28*(0.4983251709*E884+0.4357405005*E884+0.0330936548*E884+0.0328406739))+E887*('Segments'!$D$29*E884*Assumptions!$B$109+'Segments'!$B$29*(0.4983251709*E884+0.4357405005*E884+0.0330936548*E884+0.0328406739))+E888*('Segments'!$D$30*E884*Assumptions!$B$109+'Segments'!$B$30*(0.4983251709*E884+0.4357405005*E884+0.0330936548*E884+0.0328406739))+E889*('Segments'!$D$31*E884*Assumptions!$B$109+'Segments'!$B$31*(0.4983251709*E884+0.4357405005*E884+0.0330936548*E884+0.0328406739))+E890*('Segments'!$D$32*E884*Assumptions!$B$109+'Segments'!$B$32*(0.4983251709*E884+0.4357405005*E884+0.0330936548*E884+0.0328406739))+E891*('Segments'!$D$33*E884*Assumptions!$B$109+'Segments'!$B$33*(0.4983251709*E884+0.4357405005*E884+0.0330936548*E884+0.0328406739))+E892*('Segments'!$D$34*E884*Assumptions!$B$109+'Segments'!$B$34*(0.4983251709*E884+0.4357405005*E884+0.0330936548*E884+0.0328406739))</f>
        <v/>
      </c>
      <c r="F895" s="18">
        <f>F885*('Segments'!$D$27*F884*Assumptions!$B$109+'Segments'!$B$27*(0.4983251709*F884+0.4357405005*F884+0.0330936548*F884+0.0328406739))+F886*('Segments'!$D$28*F884*Assumptions!$B$109+'Segments'!$B$28*(0.4983251709*F884+0.4357405005*F884+0.0330936548*F884+0.0328406739))+F887*('Segments'!$D$29*F884*Assumptions!$B$109+'Segments'!$B$29*(0.4983251709*F884+0.4357405005*F884+0.0330936548*F884+0.0328406739))+F888*('Segments'!$D$30*F884*Assumptions!$B$109+'Segments'!$B$30*(0.4983251709*F884+0.4357405005*F884+0.0330936548*F884+0.0328406739))+F889*('Segments'!$D$31*F884*Assumptions!$B$109+'Segments'!$B$31*(0.4983251709*F884+0.4357405005*F884+0.0330936548*F884+0.0328406739))+F890*('Segments'!$D$32*F884*Assumptions!$B$109+'Segments'!$B$32*(0.4983251709*F884+0.4357405005*F884+0.0330936548*F884+0.0328406739))+F891*('Segments'!$D$33*F884*Assumptions!$B$109+'Segments'!$B$33*(0.4983251709*F884+0.4357405005*F884+0.0330936548*F884+0.0328406739))+F892*('Segments'!$D$34*F884*Assumptions!$B$109+'Segments'!$B$34*(0.4983251709*F884+0.4357405005*F884+0.0330936548*F884+0.0328406739))</f>
        <v/>
      </c>
      <c r="G895" s="18">
        <f>G885*('Segments'!$D$27*G884*Assumptions!$B$109+'Segments'!$B$27*(0.4983251709*G884+0.4357405005*G884+0.0330936548*G884+0.0328406739))+G886*('Segments'!$D$28*G884*Assumptions!$B$109+'Segments'!$B$28*(0.4983251709*G884+0.4357405005*G884+0.0330936548*G884+0.0328406739))+G887*('Segments'!$D$29*G884*Assumptions!$B$109+'Segments'!$B$29*(0.4983251709*G884+0.4357405005*G884+0.0330936548*G884+0.0328406739))+G888*('Segments'!$D$30*G884*Assumptions!$B$109+'Segments'!$B$30*(0.4983251709*G884+0.4357405005*G884+0.0330936548*G884+0.0328406739))+G889*('Segments'!$D$31*G884*Assumptions!$B$109+'Segments'!$B$31*(0.4983251709*G884+0.4357405005*G884+0.0330936548*G884+0.0328406739))+G890*('Segments'!$D$32*G884*Assumptions!$B$109+'Segments'!$B$32*(0.4983251709*G884+0.4357405005*G884+0.0330936548*G884+0.0328406739))+G891*('Segments'!$D$33*G884*Assumptions!$B$109+'Segments'!$B$33*(0.4983251709*G884+0.4357405005*G884+0.0330936548*G884+0.0328406739))+G892*('Segments'!$D$34*G884*Assumptions!$B$109+'Segments'!$B$34*(0.4983251709*G884+0.4357405005*G884+0.0330936548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933+0.4357405005*C933+0.0330936548*C933+0.0328406739))+C935*('Segments'!$D$28*C933*Assumptions!$B$109+'Segments'!$B$28*(0.4983251709*C933+0.4357405005*C933+0.0330936548*C933+0.0328406739))+C936*('Segments'!$D$29*C933*Assumptions!$B$109+'Segments'!$B$29*(0.4983251709*C933+0.4357405005*C933+0.0330936548*C933+0.0328406739))+C937*('Segments'!$D$30*C933*Assumptions!$B$109+'Segments'!$B$30*(0.4983251709*C933+0.4357405005*C933+0.0330936548*C933+0.0328406739))+C938*('Segments'!$D$31*C933*Assumptions!$B$109+'Segments'!$B$31*(0.4983251709*C933+0.4357405005*C933+0.0330936548*C933+0.0328406739))+C939*('Segments'!$D$32*C933*Assumptions!$B$109+'Segments'!$B$32*(0.4983251709*C933+0.4357405005*C933+0.0330936548*C933+0.0328406739))+C940*('Segments'!$D$33*C933*Assumptions!$B$109+'Segments'!$B$33*(0.4983251709*C933+0.4357405005*C933+0.0330936548*C933+0.0328406739))+C941*('Segments'!$D$34*C933*Assumptions!$B$109+'Segments'!$B$34*(0.4983251709*C933+0.4357405005*C933+0.0330936548*C933+0.0328406739))</f>
        <v/>
      </c>
      <c r="D944" s="18">
        <f>D934*('Segments'!$D$27*D933*Assumptions!$B$109+'Segments'!$B$27*(0.4983251709*D933+0.4357405005*D933+0.0330936548*D933+0.0328406739))+D935*('Segments'!$D$28*D933*Assumptions!$B$109+'Segments'!$B$28*(0.4983251709*D933+0.4357405005*D933+0.0330936548*D933+0.0328406739))+D936*('Segments'!$D$29*D933*Assumptions!$B$109+'Segments'!$B$29*(0.4983251709*D933+0.4357405005*D933+0.0330936548*D933+0.0328406739))+D937*('Segments'!$D$30*D933*Assumptions!$B$109+'Segments'!$B$30*(0.4983251709*D933+0.4357405005*D933+0.0330936548*D933+0.0328406739))+D938*('Segments'!$D$31*D933*Assumptions!$B$109+'Segments'!$B$31*(0.4983251709*D933+0.4357405005*D933+0.0330936548*D933+0.0328406739))+D939*('Segments'!$D$32*D933*Assumptions!$B$109+'Segments'!$B$32*(0.4983251709*D933+0.4357405005*D933+0.0330936548*D933+0.0328406739))+D940*('Segments'!$D$33*D933*Assumptions!$B$109+'Segments'!$B$33*(0.4983251709*D933+0.4357405005*D933+0.0330936548*D933+0.0328406739))+D941*('Segments'!$D$34*D933*Assumptions!$B$109+'Segments'!$B$34*(0.4983251709*D933+0.4357405005*D933+0.0330936548*D933+0.0328406739))</f>
        <v/>
      </c>
      <c r="E944" s="18">
        <f>E934*('Segments'!$D$27*E933*Assumptions!$B$109+'Segments'!$B$27*(0.4983251709*E933+0.4357405005*E933+0.0330936548*E933+0.0328406739))+E935*('Segments'!$D$28*E933*Assumptions!$B$109+'Segments'!$B$28*(0.4983251709*E933+0.4357405005*E933+0.0330936548*E933+0.0328406739))+E936*('Segments'!$D$29*E933*Assumptions!$B$109+'Segments'!$B$29*(0.4983251709*E933+0.4357405005*E933+0.0330936548*E933+0.0328406739))+E937*('Segments'!$D$30*E933*Assumptions!$B$109+'Segments'!$B$30*(0.4983251709*E933+0.4357405005*E933+0.0330936548*E933+0.0328406739))+E938*('Segments'!$D$31*E933*Assumptions!$B$109+'Segments'!$B$31*(0.4983251709*E933+0.4357405005*E933+0.0330936548*E933+0.0328406739))+E939*('Segments'!$D$32*E933*Assumptions!$B$109+'Segments'!$B$32*(0.4983251709*E933+0.4357405005*E933+0.0330936548*E933+0.0328406739))+E940*('Segments'!$D$33*E933*Assumptions!$B$109+'Segments'!$B$33*(0.4983251709*E933+0.4357405005*E933+0.0330936548*E933+0.0328406739))+E941*('Segments'!$D$34*E933*Assumptions!$B$109+'Segments'!$B$34*(0.4983251709*E933+0.4357405005*E933+0.0330936548*E933+0.0328406739))</f>
        <v/>
      </c>
      <c r="F944" s="18">
        <f>F934*('Segments'!$D$27*F933*Assumptions!$B$109+'Segments'!$B$27*(0.4983251709*F933+0.4357405005*F933+0.0330936548*F933+0.0328406739))+F935*('Segments'!$D$28*F933*Assumptions!$B$109+'Segments'!$B$28*(0.4983251709*F933+0.4357405005*F933+0.0330936548*F933+0.0328406739))+F936*('Segments'!$D$29*F933*Assumptions!$B$109+'Segments'!$B$29*(0.4983251709*F933+0.4357405005*F933+0.0330936548*F933+0.0328406739))+F937*('Segments'!$D$30*F933*Assumptions!$B$109+'Segments'!$B$30*(0.4983251709*F933+0.4357405005*F933+0.0330936548*F933+0.0328406739))+F938*('Segments'!$D$31*F933*Assumptions!$B$109+'Segments'!$B$31*(0.4983251709*F933+0.4357405005*F933+0.0330936548*F933+0.0328406739))+F939*('Segments'!$D$32*F933*Assumptions!$B$109+'Segments'!$B$32*(0.4983251709*F933+0.4357405005*F933+0.0330936548*F933+0.0328406739))+F940*('Segments'!$D$33*F933*Assumptions!$B$109+'Segments'!$B$33*(0.4983251709*F933+0.4357405005*F933+0.0330936548*F933+0.0328406739))+F941*('Segments'!$D$34*F933*Assumptions!$B$109+'Segments'!$B$34*(0.4983251709*F933+0.4357405005*F933+0.0330936548*F933+0.0328406739))</f>
        <v/>
      </c>
      <c r="G944" s="18">
        <f>G934*('Segments'!$D$27*G933*Assumptions!$B$109+'Segments'!$B$27*(0.4983251709*G933+0.4357405005*G933+0.0330936548*G933+0.0328406739))+G935*('Segments'!$D$28*G933*Assumptions!$B$109+'Segments'!$B$28*(0.4983251709*G933+0.4357405005*G933+0.0330936548*G933+0.0328406739))+G936*('Segments'!$D$29*G933*Assumptions!$B$109+'Segments'!$B$29*(0.4983251709*G933+0.4357405005*G933+0.0330936548*G933+0.0328406739))+G937*('Segments'!$D$30*G933*Assumptions!$B$109+'Segments'!$B$30*(0.4983251709*G933+0.4357405005*G933+0.0330936548*G933+0.0328406739))+G938*('Segments'!$D$31*G933*Assumptions!$B$109+'Segments'!$B$31*(0.4983251709*G933+0.4357405005*G933+0.0330936548*G933+0.0328406739))+G939*('Segments'!$D$32*G933*Assumptions!$B$109+'Segments'!$B$32*(0.4983251709*G933+0.4357405005*G933+0.0330936548*G933+0.0328406739))+G940*('Segments'!$D$33*G933*Assumptions!$B$109+'Segments'!$B$33*(0.4983251709*G933+0.4357405005*G933+0.0330936548*G933+0.0328406739))+G941*('Segments'!$D$34*G933*Assumptions!$B$109+'Segments'!$B$34*(0.4983251709*G933+0.4357405005*G933+0.0330936548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982+0.4357405005*C982+0.0330936548*C982+0.0328406739))+C984*('Segments'!$D$28*C982*Assumptions!$B$109+'Segments'!$B$28*(0.4983251709*C982+0.4357405005*C982+0.0330936548*C982+0.0328406739))+C985*('Segments'!$D$29*C982*Assumptions!$B$109+'Segments'!$B$29*(0.4983251709*C982+0.4357405005*C982+0.0330936548*C982+0.0328406739))+C986*('Segments'!$D$30*C982*Assumptions!$B$109+'Segments'!$B$30*(0.4983251709*C982+0.4357405005*C982+0.0330936548*C982+0.0328406739))+C987*('Segments'!$D$31*C982*Assumptions!$B$109+'Segments'!$B$31*(0.4983251709*C982+0.4357405005*C982+0.0330936548*C982+0.0328406739))+C988*('Segments'!$D$32*C982*Assumptions!$B$109+'Segments'!$B$32*(0.4983251709*C982+0.4357405005*C982+0.0330936548*C982+0.0328406739))+C989*('Segments'!$D$33*C982*Assumptions!$B$109+'Segments'!$B$33*(0.4983251709*C982+0.4357405005*C982+0.0330936548*C982+0.0328406739))+C990*('Segments'!$D$34*C982*Assumptions!$B$109+'Segments'!$B$34*(0.4983251709*C982+0.4357405005*C982+0.0330936548*C982+0.0328406739))</f>
        <v/>
      </c>
      <c r="D993" s="18">
        <f>D983*('Segments'!$D$27*D982*Assumptions!$B$109+'Segments'!$B$27*(0.4983251709*D982+0.4357405005*D982+0.0330936548*D982+0.0328406739))+D984*('Segments'!$D$28*D982*Assumptions!$B$109+'Segments'!$B$28*(0.4983251709*D982+0.4357405005*D982+0.0330936548*D982+0.0328406739))+D985*('Segments'!$D$29*D982*Assumptions!$B$109+'Segments'!$B$29*(0.4983251709*D982+0.4357405005*D982+0.0330936548*D982+0.0328406739))+D986*('Segments'!$D$30*D982*Assumptions!$B$109+'Segments'!$B$30*(0.4983251709*D982+0.4357405005*D982+0.0330936548*D982+0.0328406739))+D987*('Segments'!$D$31*D982*Assumptions!$B$109+'Segments'!$B$31*(0.4983251709*D982+0.4357405005*D982+0.0330936548*D982+0.0328406739))+D988*('Segments'!$D$32*D982*Assumptions!$B$109+'Segments'!$B$32*(0.4983251709*D982+0.4357405005*D982+0.0330936548*D982+0.0328406739))+D989*('Segments'!$D$33*D982*Assumptions!$B$109+'Segments'!$B$33*(0.4983251709*D982+0.4357405005*D982+0.0330936548*D982+0.0328406739))+D990*('Segments'!$D$34*D982*Assumptions!$B$109+'Segments'!$B$34*(0.4983251709*D982+0.4357405005*D982+0.0330936548*D982+0.0328406739))</f>
        <v/>
      </c>
      <c r="E993" s="18">
        <f>E983*('Segments'!$D$27*E982*Assumptions!$B$109+'Segments'!$B$27*(0.4983251709*E982+0.4357405005*E982+0.0330936548*E982+0.0328406739))+E984*('Segments'!$D$28*E982*Assumptions!$B$109+'Segments'!$B$28*(0.4983251709*E982+0.4357405005*E982+0.0330936548*E982+0.0328406739))+E985*('Segments'!$D$29*E982*Assumptions!$B$109+'Segments'!$B$29*(0.4983251709*E982+0.4357405005*E982+0.0330936548*E982+0.0328406739))+E986*('Segments'!$D$30*E982*Assumptions!$B$109+'Segments'!$B$30*(0.4983251709*E982+0.4357405005*E982+0.0330936548*E982+0.0328406739))+E987*('Segments'!$D$31*E982*Assumptions!$B$109+'Segments'!$B$31*(0.4983251709*E982+0.4357405005*E982+0.0330936548*E982+0.0328406739))+E988*('Segments'!$D$32*E982*Assumptions!$B$109+'Segments'!$B$32*(0.4983251709*E982+0.4357405005*E982+0.0330936548*E982+0.0328406739))+E989*('Segments'!$D$33*E982*Assumptions!$B$109+'Segments'!$B$33*(0.4983251709*E982+0.4357405005*E982+0.0330936548*E982+0.0328406739))+E990*('Segments'!$D$34*E982*Assumptions!$B$109+'Segments'!$B$34*(0.4983251709*E982+0.4357405005*E982+0.0330936548*E982+0.0328406739))</f>
        <v/>
      </c>
      <c r="F993" s="18">
        <f>F983*('Segments'!$D$27*F982*Assumptions!$B$109+'Segments'!$B$27*(0.4983251709*F982+0.4357405005*F982+0.0330936548*F982+0.0328406739))+F984*('Segments'!$D$28*F982*Assumptions!$B$109+'Segments'!$B$28*(0.4983251709*F982+0.4357405005*F982+0.0330936548*F982+0.0328406739))+F985*('Segments'!$D$29*F982*Assumptions!$B$109+'Segments'!$B$29*(0.4983251709*F982+0.4357405005*F982+0.0330936548*F982+0.0328406739))+F986*('Segments'!$D$30*F982*Assumptions!$B$109+'Segments'!$B$30*(0.4983251709*F982+0.4357405005*F982+0.0330936548*F982+0.0328406739))+F987*('Segments'!$D$31*F982*Assumptions!$B$109+'Segments'!$B$31*(0.4983251709*F982+0.4357405005*F982+0.0330936548*F982+0.0328406739))+F988*('Segments'!$D$32*F982*Assumptions!$B$109+'Segments'!$B$32*(0.4983251709*F982+0.4357405005*F982+0.0330936548*F982+0.0328406739))+F989*('Segments'!$D$33*F982*Assumptions!$B$109+'Segments'!$B$33*(0.4983251709*F982+0.4357405005*F982+0.0330936548*F982+0.0328406739))+F990*('Segments'!$D$34*F982*Assumptions!$B$109+'Segments'!$B$34*(0.4983251709*F982+0.4357405005*F982+0.0330936548*F982+0.0328406739))</f>
        <v/>
      </c>
      <c r="G993" s="18">
        <f>G983*('Segments'!$D$27*G982*Assumptions!$B$109+'Segments'!$B$27*(0.4983251709*G982+0.4357405005*G982+0.0330936548*G982+0.0328406739))+G984*('Segments'!$D$28*G982*Assumptions!$B$109+'Segments'!$B$28*(0.4983251709*G982+0.4357405005*G982+0.0330936548*G982+0.0328406739))+G985*('Segments'!$D$29*G982*Assumptions!$B$109+'Segments'!$B$29*(0.4983251709*G982+0.4357405005*G982+0.0330936548*G982+0.0328406739))+G986*('Segments'!$D$30*G982*Assumptions!$B$109+'Segments'!$B$30*(0.4983251709*G982+0.4357405005*G982+0.0330936548*G982+0.0328406739))+G987*('Segments'!$D$31*G982*Assumptions!$B$109+'Segments'!$B$31*(0.4983251709*G982+0.4357405005*G982+0.0330936548*G982+0.0328406739))+G988*('Segments'!$D$32*G982*Assumptions!$B$109+'Segments'!$B$32*(0.4983251709*G982+0.4357405005*G982+0.0330936548*G982+0.0328406739))+G989*('Segments'!$D$33*G982*Assumptions!$B$109+'Segments'!$B$33*(0.4983251709*G982+0.4357405005*G982+0.0330936548*G982+0.0328406739))+G990*('Segments'!$D$34*G982*Assumptions!$B$109+'Segments'!$B$34*(0.4983251709*G982+0.4357405005*G982+0.0330936548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1031+0.4357405005*C1031+0.0330936548*C1031+0.0328406739))+C1033*('Segments'!$D$28*C1031*Assumptions!$B$109+'Segments'!$B$28*(0.4983251709*C1031+0.4357405005*C1031+0.0330936548*C1031+0.0328406739))+C1034*('Segments'!$D$29*C1031*Assumptions!$B$109+'Segments'!$B$29*(0.4983251709*C1031+0.4357405005*C1031+0.0330936548*C1031+0.0328406739))+C1035*('Segments'!$D$30*C1031*Assumptions!$B$109+'Segments'!$B$30*(0.4983251709*C1031+0.4357405005*C1031+0.0330936548*C1031+0.0328406739))+C1036*('Segments'!$D$31*C1031*Assumptions!$B$109+'Segments'!$B$31*(0.4983251709*C1031+0.4357405005*C1031+0.0330936548*C1031+0.0328406739))+C1037*('Segments'!$D$32*C1031*Assumptions!$B$109+'Segments'!$B$32*(0.4983251709*C1031+0.4357405005*C1031+0.0330936548*C1031+0.0328406739))+C1038*('Segments'!$D$33*C1031*Assumptions!$B$109+'Segments'!$B$33*(0.4983251709*C1031+0.4357405005*C1031+0.0330936548*C1031+0.0328406739))+C1039*('Segments'!$D$34*C1031*Assumptions!$B$109+'Segments'!$B$34*(0.4983251709*C1031+0.4357405005*C1031+0.0330936548*C1031+0.0328406739))</f>
        <v/>
      </c>
      <c r="D1042" s="18">
        <f>D1032*('Segments'!$D$27*D1031*Assumptions!$B$109+'Segments'!$B$27*(0.4983251709*D1031+0.4357405005*D1031+0.0330936548*D1031+0.0328406739))+D1033*('Segments'!$D$28*D1031*Assumptions!$B$109+'Segments'!$B$28*(0.4983251709*D1031+0.4357405005*D1031+0.0330936548*D1031+0.0328406739))+D1034*('Segments'!$D$29*D1031*Assumptions!$B$109+'Segments'!$B$29*(0.4983251709*D1031+0.4357405005*D1031+0.0330936548*D1031+0.0328406739))+D1035*('Segments'!$D$30*D1031*Assumptions!$B$109+'Segments'!$B$30*(0.4983251709*D1031+0.4357405005*D1031+0.0330936548*D1031+0.0328406739))+D1036*('Segments'!$D$31*D1031*Assumptions!$B$109+'Segments'!$B$31*(0.4983251709*D1031+0.4357405005*D1031+0.0330936548*D1031+0.0328406739))+D1037*('Segments'!$D$32*D1031*Assumptions!$B$109+'Segments'!$B$32*(0.4983251709*D1031+0.4357405005*D1031+0.0330936548*D1031+0.0328406739))+D1038*('Segments'!$D$33*D1031*Assumptions!$B$109+'Segments'!$B$33*(0.4983251709*D1031+0.4357405005*D1031+0.0330936548*D1031+0.0328406739))+D1039*('Segments'!$D$34*D1031*Assumptions!$B$109+'Segments'!$B$34*(0.4983251709*D1031+0.4357405005*D1031+0.0330936548*D1031+0.0328406739))</f>
        <v/>
      </c>
      <c r="E1042" s="18">
        <f>E1032*('Segments'!$D$27*E1031*Assumptions!$B$109+'Segments'!$B$27*(0.4983251709*E1031+0.4357405005*E1031+0.0330936548*E1031+0.0328406739))+E1033*('Segments'!$D$28*E1031*Assumptions!$B$109+'Segments'!$B$28*(0.4983251709*E1031+0.4357405005*E1031+0.0330936548*E1031+0.0328406739))+E1034*('Segments'!$D$29*E1031*Assumptions!$B$109+'Segments'!$B$29*(0.4983251709*E1031+0.4357405005*E1031+0.0330936548*E1031+0.0328406739))+E1035*('Segments'!$D$30*E1031*Assumptions!$B$109+'Segments'!$B$30*(0.4983251709*E1031+0.4357405005*E1031+0.0330936548*E1031+0.0328406739))+E1036*('Segments'!$D$31*E1031*Assumptions!$B$109+'Segments'!$B$31*(0.4983251709*E1031+0.4357405005*E1031+0.0330936548*E1031+0.0328406739))+E1037*('Segments'!$D$32*E1031*Assumptions!$B$109+'Segments'!$B$32*(0.4983251709*E1031+0.4357405005*E1031+0.0330936548*E1031+0.0328406739))+E1038*('Segments'!$D$33*E1031*Assumptions!$B$109+'Segments'!$B$33*(0.4983251709*E1031+0.4357405005*E1031+0.0330936548*E1031+0.0328406739))+E1039*('Segments'!$D$34*E1031*Assumptions!$B$109+'Segments'!$B$34*(0.4983251709*E1031+0.4357405005*E1031+0.0330936548*E1031+0.0328406739))</f>
        <v/>
      </c>
      <c r="F1042" s="18">
        <f>F1032*('Segments'!$D$27*F1031*Assumptions!$B$109+'Segments'!$B$27*(0.4983251709*F1031+0.4357405005*F1031+0.0330936548*F1031+0.0328406739))+F1033*('Segments'!$D$28*F1031*Assumptions!$B$109+'Segments'!$B$28*(0.4983251709*F1031+0.4357405005*F1031+0.0330936548*F1031+0.0328406739))+F1034*('Segments'!$D$29*F1031*Assumptions!$B$109+'Segments'!$B$29*(0.4983251709*F1031+0.4357405005*F1031+0.0330936548*F1031+0.0328406739))+F1035*('Segments'!$D$30*F1031*Assumptions!$B$109+'Segments'!$B$30*(0.4983251709*F1031+0.4357405005*F1031+0.0330936548*F1031+0.0328406739))+F1036*('Segments'!$D$31*F1031*Assumptions!$B$109+'Segments'!$B$31*(0.4983251709*F1031+0.4357405005*F1031+0.0330936548*F1031+0.0328406739))+F1037*('Segments'!$D$32*F1031*Assumptions!$B$109+'Segments'!$B$32*(0.4983251709*F1031+0.4357405005*F1031+0.0330936548*F1031+0.0328406739))+F1038*('Segments'!$D$33*F1031*Assumptions!$B$109+'Segments'!$B$33*(0.4983251709*F1031+0.4357405005*F1031+0.0330936548*F1031+0.0328406739))+F1039*('Segments'!$D$34*F1031*Assumptions!$B$109+'Segments'!$B$34*(0.4983251709*F1031+0.4357405005*F1031+0.0330936548*F1031+0.0328406739))</f>
        <v/>
      </c>
      <c r="G1042" s="18">
        <f>G1032*('Segments'!$D$27*G1031*Assumptions!$B$109+'Segments'!$B$27*(0.4983251709*G1031+0.4357405005*G1031+0.0330936548*G1031+0.0328406739))+G1033*('Segments'!$D$28*G1031*Assumptions!$B$109+'Segments'!$B$28*(0.4983251709*G1031+0.4357405005*G1031+0.0330936548*G1031+0.0328406739))+G1034*('Segments'!$D$29*G1031*Assumptions!$B$109+'Segments'!$B$29*(0.4983251709*G1031+0.4357405005*G1031+0.0330936548*G1031+0.0328406739))+G1035*('Segments'!$D$30*G1031*Assumptions!$B$109+'Segments'!$B$30*(0.4983251709*G1031+0.4357405005*G1031+0.0330936548*G1031+0.0328406739))+G1036*('Segments'!$D$31*G1031*Assumptions!$B$109+'Segments'!$B$31*(0.4983251709*G1031+0.4357405005*G1031+0.0330936548*G1031+0.0328406739))+G1037*('Segments'!$D$32*G1031*Assumptions!$B$109+'Segments'!$B$32*(0.4983251709*G1031+0.4357405005*G1031+0.0330936548*G1031+0.0328406739))+G1038*('Segments'!$D$33*G1031*Assumptions!$B$109+'Segments'!$B$33*(0.4983251709*G1031+0.4357405005*G1031+0.0330936548*G1031+0.0328406739))+G1039*('Segments'!$D$34*G1031*Assumptions!$B$109+'Segments'!$B$34*(0.4983251709*G1031+0.4357405005*G1031+0.0330936548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1080+0.4357405005*C1080+0.0330936548*C1080+0.0328406739))+C1082*('Segments'!$D$28*C1080*Assumptions!$B$109+'Segments'!$B$28*(0.4983251709*C1080+0.4357405005*C1080+0.0330936548*C1080+0.0328406739))+C1083*('Segments'!$D$29*C1080*Assumptions!$B$109+'Segments'!$B$29*(0.4983251709*C1080+0.4357405005*C1080+0.0330936548*C1080+0.0328406739))+C1084*('Segments'!$D$30*C1080*Assumptions!$B$109+'Segments'!$B$30*(0.4983251709*C1080+0.4357405005*C1080+0.0330936548*C1080+0.0328406739))+C1085*('Segments'!$D$31*C1080*Assumptions!$B$109+'Segments'!$B$31*(0.4983251709*C1080+0.4357405005*C1080+0.0330936548*C1080+0.0328406739))+C1086*('Segments'!$D$32*C1080*Assumptions!$B$109+'Segments'!$B$32*(0.4983251709*C1080+0.4357405005*C1080+0.0330936548*C1080+0.0328406739))+C1087*('Segments'!$D$33*C1080*Assumptions!$B$109+'Segments'!$B$33*(0.4983251709*C1080+0.4357405005*C1080+0.0330936548*C1080+0.0328406739))+C1088*('Segments'!$D$34*C1080*Assumptions!$B$109+'Segments'!$B$34*(0.4983251709*C1080+0.4357405005*C1080+0.0330936548*C1080+0.0328406739))</f>
        <v/>
      </c>
      <c r="D1091" s="18">
        <f>D1081*('Segments'!$D$27*D1080*Assumptions!$B$109+'Segments'!$B$27*(0.4983251709*D1080+0.4357405005*D1080+0.0330936548*D1080+0.0328406739))+D1082*('Segments'!$D$28*D1080*Assumptions!$B$109+'Segments'!$B$28*(0.4983251709*D1080+0.4357405005*D1080+0.0330936548*D1080+0.0328406739))+D1083*('Segments'!$D$29*D1080*Assumptions!$B$109+'Segments'!$B$29*(0.4983251709*D1080+0.4357405005*D1080+0.0330936548*D1080+0.0328406739))+D1084*('Segments'!$D$30*D1080*Assumptions!$B$109+'Segments'!$B$30*(0.4983251709*D1080+0.4357405005*D1080+0.0330936548*D1080+0.0328406739))+D1085*('Segments'!$D$31*D1080*Assumptions!$B$109+'Segments'!$B$31*(0.4983251709*D1080+0.4357405005*D1080+0.0330936548*D1080+0.0328406739))+D1086*('Segments'!$D$32*D1080*Assumptions!$B$109+'Segments'!$B$32*(0.4983251709*D1080+0.4357405005*D1080+0.0330936548*D1080+0.0328406739))+D1087*('Segments'!$D$33*D1080*Assumptions!$B$109+'Segments'!$B$33*(0.4983251709*D1080+0.4357405005*D1080+0.0330936548*D1080+0.0328406739))+D1088*('Segments'!$D$34*D1080*Assumptions!$B$109+'Segments'!$B$34*(0.4983251709*D1080+0.4357405005*D1080+0.0330936548*D1080+0.0328406739))</f>
        <v/>
      </c>
      <c r="E1091" s="18">
        <f>E1081*('Segments'!$D$27*E1080*Assumptions!$B$109+'Segments'!$B$27*(0.4983251709*E1080+0.4357405005*E1080+0.0330936548*E1080+0.0328406739))+E1082*('Segments'!$D$28*E1080*Assumptions!$B$109+'Segments'!$B$28*(0.4983251709*E1080+0.4357405005*E1080+0.0330936548*E1080+0.0328406739))+E1083*('Segments'!$D$29*E1080*Assumptions!$B$109+'Segments'!$B$29*(0.4983251709*E1080+0.4357405005*E1080+0.0330936548*E1080+0.0328406739))+E1084*('Segments'!$D$30*E1080*Assumptions!$B$109+'Segments'!$B$30*(0.4983251709*E1080+0.4357405005*E1080+0.0330936548*E1080+0.0328406739))+E1085*('Segments'!$D$31*E1080*Assumptions!$B$109+'Segments'!$B$31*(0.4983251709*E1080+0.4357405005*E1080+0.0330936548*E1080+0.0328406739))+E1086*('Segments'!$D$32*E1080*Assumptions!$B$109+'Segments'!$B$32*(0.4983251709*E1080+0.4357405005*E1080+0.0330936548*E1080+0.0328406739))+E1087*('Segments'!$D$33*E1080*Assumptions!$B$109+'Segments'!$B$33*(0.4983251709*E1080+0.4357405005*E1080+0.0330936548*E1080+0.0328406739))+E1088*('Segments'!$D$34*E1080*Assumptions!$B$109+'Segments'!$B$34*(0.4983251709*E1080+0.4357405005*E1080+0.0330936548*E1080+0.0328406739))</f>
        <v/>
      </c>
      <c r="F1091" s="18">
        <f>F1081*('Segments'!$D$27*F1080*Assumptions!$B$109+'Segments'!$B$27*(0.4983251709*F1080+0.4357405005*F1080+0.0330936548*F1080+0.0328406739))+F1082*('Segments'!$D$28*F1080*Assumptions!$B$109+'Segments'!$B$28*(0.4983251709*F1080+0.4357405005*F1080+0.0330936548*F1080+0.0328406739))+F1083*('Segments'!$D$29*F1080*Assumptions!$B$109+'Segments'!$B$29*(0.4983251709*F1080+0.4357405005*F1080+0.0330936548*F1080+0.0328406739))+F1084*('Segments'!$D$30*F1080*Assumptions!$B$109+'Segments'!$B$30*(0.4983251709*F1080+0.4357405005*F1080+0.0330936548*F1080+0.0328406739))+F1085*('Segments'!$D$31*F1080*Assumptions!$B$109+'Segments'!$B$31*(0.4983251709*F1080+0.4357405005*F1080+0.0330936548*F1080+0.0328406739))+F1086*('Segments'!$D$32*F1080*Assumptions!$B$109+'Segments'!$B$32*(0.4983251709*F1080+0.4357405005*F1080+0.0330936548*F1080+0.0328406739))+F1087*('Segments'!$D$33*F1080*Assumptions!$B$109+'Segments'!$B$33*(0.4983251709*F1080+0.4357405005*F1080+0.0330936548*F1080+0.0328406739))+F1088*('Segments'!$D$34*F1080*Assumptions!$B$109+'Segments'!$B$34*(0.4983251709*F1080+0.4357405005*F1080+0.0330936548*F1080+0.0328406739))</f>
        <v/>
      </c>
      <c r="G1091" s="18">
        <f>G1081*('Segments'!$D$27*G1080*Assumptions!$B$109+'Segments'!$B$27*(0.4983251709*G1080+0.4357405005*G1080+0.0330936548*G1080+0.0328406739))+G1082*('Segments'!$D$28*G1080*Assumptions!$B$109+'Segments'!$B$28*(0.4983251709*G1080+0.4357405005*G1080+0.0330936548*G1080+0.0328406739))+G1083*('Segments'!$D$29*G1080*Assumptions!$B$109+'Segments'!$B$29*(0.4983251709*G1080+0.4357405005*G1080+0.0330936548*G1080+0.0328406739))+G1084*('Segments'!$D$30*G1080*Assumptions!$B$109+'Segments'!$B$30*(0.4983251709*G1080+0.4357405005*G1080+0.0330936548*G1080+0.0328406739))+G1085*('Segments'!$D$31*G1080*Assumptions!$B$109+'Segments'!$B$31*(0.4983251709*G1080+0.4357405005*G1080+0.0330936548*G1080+0.0328406739))+G1086*('Segments'!$D$32*G1080*Assumptions!$B$109+'Segments'!$B$32*(0.4983251709*G1080+0.4357405005*G1080+0.0330936548*G1080+0.0328406739))+G1087*('Segments'!$D$33*G1080*Assumptions!$B$109+'Segments'!$B$33*(0.4983251709*G1080+0.4357405005*G1080+0.0330936548*G1080+0.0328406739))+G1088*('Segments'!$D$34*G1080*Assumptions!$B$109+'Segments'!$B$34*(0.4983251709*G1080+0.4357405005*G1080+0.0330936548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1129+0.4357405005*C1129+0.0330936548*C1129+0.0328406739))+C1131*('Segments'!$D$28*C1129*Assumptions!$B$109+'Segments'!$B$28*(0.4983251709*C1129+0.4357405005*C1129+0.0330936548*C1129+0.0328406739))+C1132*('Segments'!$D$29*C1129*Assumptions!$B$109+'Segments'!$B$29*(0.4983251709*C1129+0.4357405005*C1129+0.0330936548*C1129+0.0328406739))+C1133*('Segments'!$D$30*C1129*Assumptions!$B$109+'Segments'!$B$30*(0.4983251709*C1129+0.4357405005*C1129+0.0330936548*C1129+0.0328406739))+C1134*('Segments'!$D$31*C1129*Assumptions!$B$109+'Segments'!$B$31*(0.4983251709*C1129+0.4357405005*C1129+0.0330936548*C1129+0.0328406739))+C1135*('Segments'!$D$32*C1129*Assumptions!$B$109+'Segments'!$B$32*(0.4983251709*C1129+0.4357405005*C1129+0.0330936548*C1129+0.0328406739))+C1136*('Segments'!$D$33*C1129*Assumptions!$B$109+'Segments'!$B$33*(0.4983251709*C1129+0.4357405005*C1129+0.0330936548*C1129+0.0328406739))+C1137*('Segments'!$D$34*C1129*Assumptions!$B$109+'Segments'!$B$34*(0.4983251709*C1129+0.4357405005*C1129+0.0330936548*C1129+0.0328406739))</f>
        <v/>
      </c>
      <c r="D1140" s="18">
        <f>D1130*('Segments'!$D$27*D1129*Assumptions!$B$109+'Segments'!$B$27*(0.4983251709*D1129+0.4357405005*D1129+0.0330936548*D1129+0.0328406739))+D1131*('Segments'!$D$28*D1129*Assumptions!$B$109+'Segments'!$B$28*(0.4983251709*D1129+0.4357405005*D1129+0.0330936548*D1129+0.0328406739))+D1132*('Segments'!$D$29*D1129*Assumptions!$B$109+'Segments'!$B$29*(0.4983251709*D1129+0.4357405005*D1129+0.0330936548*D1129+0.0328406739))+D1133*('Segments'!$D$30*D1129*Assumptions!$B$109+'Segments'!$B$30*(0.4983251709*D1129+0.4357405005*D1129+0.0330936548*D1129+0.0328406739))+D1134*('Segments'!$D$31*D1129*Assumptions!$B$109+'Segments'!$B$31*(0.4983251709*D1129+0.4357405005*D1129+0.0330936548*D1129+0.0328406739))+D1135*('Segments'!$D$32*D1129*Assumptions!$B$109+'Segments'!$B$32*(0.4983251709*D1129+0.4357405005*D1129+0.0330936548*D1129+0.0328406739))+D1136*('Segments'!$D$33*D1129*Assumptions!$B$109+'Segments'!$B$33*(0.4983251709*D1129+0.4357405005*D1129+0.0330936548*D1129+0.0328406739))+D1137*('Segments'!$D$34*D1129*Assumptions!$B$109+'Segments'!$B$34*(0.4983251709*D1129+0.4357405005*D1129+0.0330936548*D1129+0.0328406739))</f>
        <v/>
      </c>
      <c r="E1140" s="18">
        <f>E1130*('Segments'!$D$27*E1129*Assumptions!$B$109+'Segments'!$B$27*(0.4983251709*E1129+0.4357405005*E1129+0.0330936548*E1129+0.0328406739))+E1131*('Segments'!$D$28*E1129*Assumptions!$B$109+'Segments'!$B$28*(0.4983251709*E1129+0.4357405005*E1129+0.0330936548*E1129+0.0328406739))+E1132*('Segments'!$D$29*E1129*Assumptions!$B$109+'Segments'!$B$29*(0.4983251709*E1129+0.4357405005*E1129+0.0330936548*E1129+0.0328406739))+E1133*('Segments'!$D$30*E1129*Assumptions!$B$109+'Segments'!$B$30*(0.4983251709*E1129+0.4357405005*E1129+0.0330936548*E1129+0.0328406739))+E1134*('Segments'!$D$31*E1129*Assumptions!$B$109+'Segments'!$B$31*(0.4983251709*E1129+0.4357405005*E1129+0.0330936548*E1129+0.0328406739))+E1135*('Segments'!$D$32*E1129*Assumptions!$B$109+'Segments'!$B$32*(0.4983251709*E1129+0.4357405005*E1129+0.0330936548*E1129+0.0328406739))+E1136*('Segments'!$D$33*E1129*Assumptions!$B$109+'Segments'!$B$33*(0.4983251709*E1129+0.4357405005*E1129+0.0330936548*E1129+0.0328406739))+E1137*('Segments'!$D$34*E1129*Assumptions!$B$109+'Segments'!$B$34*(0.4983251709*E1129+0.4357405005*E1129+0.0330936548*E1129+0.0328406739))</f>
        <v/>
      </c>
      <c r="F1140" s="18">
        <f>F1130*('Segments'!$D$27*F1129*Assumptions!$B$109+'Segments'!$B$27*(0.4983251709*F1129+0.4357405005*F1129+0.0330936548*F1129+0.0328406739))+F1131*('Segments'!$D$28*F1129*Assumptions!$B$109+'Segments'!$B$28*(0.4983251709*F1129+0.4357405005*F1129+0.0330936548*F1129+0.0328406739))+F1132*('Segments'!$D$29*F1129*Assumptions!$B$109+'Segments'!$B$29*(0.4983251709*F1129+0.4357405005*F1129+0.0330936548*F1129+0.0328406739))+F1133*('Segments'!$D$30*F1129*Assumptions!$B$109+'Segments'!$B$30*(0.4983251709*F1129+0.4357405005*F1129+0.0330936548*F1129+0.0328406739))+F1134*('Segments'!$D$31*F1129*Assumptions!$B$109+'Segments'!$B$31*(0.4983251709*F1129+0.4357405005*F1129+0.0330936548*F1129+0.0328406739))+F1135*('Segments'!$D$32*F1129*Assumptions!$B$109+'Segments'!$B$32*(0.4983251709*F1129+0.4357405005*F1129+0.0330936548*F1129+0.0328406739))+F1136*('Segments'!$D$33*F1129*Assumptions!$B$109+'Segments'!$B$33*(0.4983251709*F1129+0.4357405005*F1129+0.0330936548*F1129+0.0328406739))+F1137*('Segments'!$D$34*F1129*Assumptions!$B$109+'Segments'!$B$34*(0.4983251709*F1129+0.4357405005*F1129+0.0330936548*F1129+0.0328406739))</f>
        <v/>
      </c>
      <c r="G1140" s="18">
        <f>G1130*('Segments'!$D$27*G1129*Assumptions!$B$109+'Segments'!$B$27*(0.4983251709*G1129+0.4357405005*G1129+0.0330936548*G1129+0.0328406739))+G1131*('Segments'!$D$28*G1129*Assumptions!$B$109+'Segments'!$B$28*(0.4983251709*G1129+0.4357405005*G1129+0.0330936548*G1129+0.0328406739))+G1132*('Segments'!$D$29*G1129*Assumptions!$B$109+'Segments'!$B$29*(0.4983251709*G1129+0.4357405005*G1129+0.0330936548*G1129+0.0328406739))+G1133*('Segments'!$D$30*G1129*Assumptions!$B$109+'Segments'!$B$30*(0.4983251709*G1129+0.4357405005*G1129+0.0330936548*G1129+0.0328406739))+G1134*('Segments'!$D$31*G1129*Assumptions!$B$109+'Segments'!$B$31*(0.4983251709*G1129+0.4357405005*G1129+0.0330936548*G1129+0.0328406739))+G1135*('Segments'!$D$32*G1129*Assumptions!$B$109+'Segments'!$B$32*(0.4983251709*G1129+0.4357405005*G1129+0.0330936548*G1129+0.0328406739))+G1136*('Segments'!$D$33*G1129*Assumptions!$B$109+'Segments'!$B$33*(0.4983251709*G1129+0.4357405005*G1129+0.0330936548*G1129+0.0328406739))+G1137*('Segments'!$D$34*G1129*Assumptions!$B$109+'Segments'!$B$34*(0.4983251709*G1129+0.4357405005*G1129+0.0330936548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1178+0.4357405005*C1178+0.0330936548*C1178+0.0328406739))+C1180*('Segments'!$D$28*C1178*Assumptions!$B$109+'Segments'!$B$28*(0.4983251709*C1178+0.4357405005*C1178+0.0330936548*C1178+0.0328406739))+C1181*('Segments'!$D$29*C1178*Assumptions!$B$109+'Segments'!$B$29*(0.4983251709*C1178+0.4357405005*C1178+0.0330936548*C1178+0.0328406739))+C1182*('Segments'!$D$30*C1178*Assumptions!$B$109+'Segments'!$B$30*(0.4983251709*C1178+0.4357405005*C1178+0.0330936548*C1178+0.0328406739))+C1183*('Segments'!$D$31*C1178*Assumptions!$B$109+'Segments'!$B$31*(0.4983251709*C1178+0.4357405005*C1178+0.0330936548*C1178+0.0328406739))+C1184*('Segments'!$D$32*C1178*Assumptions!$B$109+'Segments'!$B$32*(0.4983251709*C1178+0.4357405005*C1178+0.0330936548*C1178+0.0328406739))+C1185*('Segments'!$D$33*C1178*Assumptions!$B$109+'Segments'!$B$33*(0.4983251709*C1178+0.4357405005*C1178+0.0330936548*C1178+0.0328406739))+C1186*('Segments'!$D$34*C1178*Assumptions!$B$109+'Segments'!$B$34*(0.4983251709*C1178+0.4357405005*C1178+0.0330936548*C1178+0.0328406739))</f>
        <v/>
      </c>
      <c r="D1189" s="18">
        <f>D1179*('Segments'!$D$27*D1178*Assumptions!$B$109+'Segments'!$B$27*(0.4983251709*D1178+0.4357405005*D1178+0.0330936548*D1178+0.0328406739))+D1180*('Segments'!$D$28*D1178*Assumptions!$B$109+'Segments'!$B$28*(0.4983251709*D1178+0.4357405005*D1178+0.0330936548*D1178+0.0328406739))+D1181*('Segments'!$D$29*D1178*Assumptions!$B$109+'Segments'!$B$29*(0.4983251709*D1178+0.4357405005*D1178+0.0330936548*D1178+0.0328406739))+D1182*('Segments'!$D$30*D1178*Assumptions!$B$109+'Segments'!$B$30*(0.4983251709*D1178+0.4357405005*D1178+0.0330936548*D1178+0.0328406739))+D1183*('Segments'!$D$31*D1178*Assumptions!$B$109+'Segments'!$B$31*(0.4983251709*D1178+0.4357405005*D1178+0.0330936548*D1178+0.0328406739))+D1184*('Segments'!$D$32*D1178*Assumptions!$B$109+'Segments'!$B$32*(0.4983251709*D1178+0.4357405005*D1178+0.0330936548*D1178+0.0328406739))+D1185*('Segments'!$D$33*D1178*Assumptions!$B$109+'Segments'!$B$33*(0.4983251709*D1178+0.4357405005*D1178+0.0330936548*D1178+0.0328406739))+D1186*('Segments'!$D$34*D1178*Assumptions!$B$109+'Segments'!$B$34*(0.4983251709*D1178+0.4357405005*D1178+0.0330936548*D1178+0.0328406739))</f>
        <v/>
      </c>
      <c r="E1189" s="18">
        <f>E1179*('Segments'!$D$27*E1178*Assumptions!$B$109+'Segments'!$B$27*(0.4983251709*E1178+0.4357405005*E1178+0.0330936548*E1178+0.0328406739))+E1180*('Segments'!$D$28*E1178*Assumptions!$B$109+'Segments'!$B$28*(0.4983251709*E1178+0.4357405005*E1178+0.0330936548*E1178+0.0328406739))+E1181*('Segments'!$D$29*E1178*Assumptions!$B$109+'Segments'!$B$29*(0.4983251709*E1178+0.4357405005*E1178+0.0330936548*E1178+0.0328406739))+E1182*('Segments'!$D$30*E1178*Assumptions!$B$109+'Segments'!$B$30*(0.4983251709*E1178+0.4357405005*E1178+0.0330936548*E1178+0.0328406739))+E1183*('Segments'!$D$31*E1178*Assumptions!$B$109+'Segments'!$B$31*(0.4983251709*E1178+0.4357405005*E1178+0.0330936548*E1178+0.0328406739))+E1184*('Segments'!$D$32*E1178*Assumptions!$B$109+'Segments'!$B$32*(0.4983251709*E1178+0.4357405005*E1178+0.0330936548*E1178+0.0328406739))+E1185*('Segments'!$D$33*E1178*Assumptions!$B$109+'Segments'!$B$33*(0.4983251709*E1178+0.4357405005*E1178+0.0330936548*E1178+0.0328406739))+E1186*('Segments'!$D$34*E1178*Assumptions!$B$109+'Segments'!$B$34*(0.4983251709*E1178+0.4357405005*E1178+0.0330936548*E1178+0.0328406739))</f>
        <v/>
      </c>
      <c r="F1189" s="18">
        <f>F1179*('Segments'!$D$27*F1178*Assumptions!$B$109+'Segments'!$B$27*(0.4983251709*F1178+0.4357405005*F1178+0.0330936548*F1178+0.0328406739))+F1180*('Segments'!$D$28*F1178*Assumptions!$B$109+'Segments'!$B$28*(0.4983251709*F1178+0.4357405005*F1178+0.0330936548*F1178+0.0328406739))+F1181*('Segments'!$D$29*F1178*Assumptions!$B$109+'Segments'!$B$29*(0.4983251709*F1178+0.4357405005*F1178+0.0330936548*F1178+0.0328406739))+F1182*('Segments'!$D$30*F1178*Assumptions!$B$109+'Segments'!$B$30*(0.4983251709*F1178+0.4357405005*F1178+0.0330936548*F1178+0.0328406739))+F1183*('Segments'!$D$31*F1178*Assumptions!$B$109+'Segments'!$B$31*(0.4983251709*F1178+0.4357405005*F1178+0.0330936548*F1178+0.0328406739))+F1184*('Segments'!$D$32*F1178*Assumptions!$B$109+'Segments'!$B$32*(0.4983251709*F1178+0.4357405005*F1178+0.0330936548*F1178+0.0328406739))+F1185*('Segments'!$D$33*F1178*Assumptions!$B$109+'Segments'!$B$33*(0.4983251709*F1178+0.4357405005*F1178+0.0330936548*F1178+0.0328406739))+F1186*('Segments'!$D$34*F1178*Assumptions!$B$109+'Segments'!$B$34*(0.4983251709*F1178+0.4357405005*F1178+0.0330936548*F1178+0.0328406739))</f>
        <v/>
      </c>
      <c r="G1189" s="18">
        <f>G1179*('Segments'!$D$27*G1178*Assumptions!$B$109+'Segments'!$B$27*(0.4983251709*G1178+0.4357405005*G1178+0.0330936548*G1178+0.0328406739))+G1180*('Segments'!$D$28*G1178*Assumptions!$B$109+'Segments'!$B$28*(0.4983251709*G1178+0.4357405005*G1178+0.0330936548*G1178+0.0328406739))+G1181*('Segments'!$D$29*G1178*Assumptions!$B$109+'Segments'!$B$29*(0.4983251709*G1178+0.4357405005*G1178+0.0330936548*G1178+0.0328406739))+G1182*('Segments'!$D$30*G1178*Assumptions!$B$109+'Segments'!$B$30*(0.4983251709*G1178+0.4357405005*G1178+0.0330936548*G1178+0.0328406739))+G1183*('Segments'!$D$31*G1178*Assumptions!$B$109+'Segments'!$B$31*(0.4983251709*G1178+0.4357405005*G1178+0.0330936548*G1178+0.0328406739))+G1184*('Segments'!$D$32*G1178*Assumptions!$B$109+'Segments'!$B$32*(0.4983251709*G1178+0.4357405005*G1178+0.0330936548*G1178+0.0328406739))+G1185*('Segments'!$D$33*G1178*Assumptions!$B$109+'Segments'!$B$33*(0.4983251709*G1178+0.4357405005*G1178+0.0330936548*G1178+0.0328406739))+G1186*('Segments'!$D$34*G1178*Assumptions!$B$109+'Segments'!$B$34*(0.4983251709*G1178+0.4357405005*G1178+0.0330936548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1227+0.4357405005*C1227+0.0330936548*C1227+0.0328406739))+C1229*('Segments'!$D$28*C1227*Assumptions!$B$109+'Segments'!$B$28*(0.4983251709*C1227+0.4357405005*C1227+0.0330936548*C1227+0.0328406739))+C1230*('Segments'!$D$29*C1227*Assumptions!$B$109+'Segments'!$B$29*(0.4983251709*C1227+0.4357405005*C1227+0.0330936548*C1227+0.0328406739))+C1231*('Segments'!$D$30*C1227*Assumptions!$B$109+'Segments'!$B$30*(0.4983251709*C1227+0.4357405005*C1227+0.0330936548*C1227+0.0328406739))+C1232*('Segments'!$D$31*C1227*Assumptions!$B$109+'Segments'!$B$31*(0.4983251709*C1227+0.4357405005*C1227+0.0330936548*C1227+0.0328406739))+C1233*('Segments'!$D$32*C1227*Assumptions!$B$109+'Segments'!$B$32*(0.4983251709*C1227+0.4357405005*C1227+0.0330936548*C1227+0.0328406739))+C1234*('Segments'!$D$33*C1227*Assumptions!$B$109+'Segments'!$B$33*(0.4983251709*C1227+0.4357405005*C1227+0.0330936548*C1227+0.0328406739))+C1235*('Segments'!$D$34*C1227*Assumptions!$B$109+'Segments'!$B$34*(0.4983251709*C1227+0.4357405005*C1227+0.0330936548*C1227+0.0328406739))</f>
        <v/>
      </c>
      <c r="D1238" s="18">
        <f>D1228*('Segments'!$D$27*D1227*Assumptions!$B$109+'Segments'!$B$27*(0.4983251709*D1227+0.4357405005*D1227+0.0330936548*D1227+0.0328406739))+D1229*('Segments'!$D$28*D1227*Assumptions!$B$109+'Segments'!$B$28*(0.4983251709*D1227+0.4357405005*D1227+0.0330936548*D1227+0.0328406739))+D1230*('Segments'!$D$29*D1227*Assumptions!$B$109+'Segments'!$B$29*(0.4983251709*D1227+0.4357405005*D1227+0.0330936548*D1227+0.0328406739))+D1231*('Segments'!$D$30*D1227*Assumptions!$B$109+'Segments'!$B$30*(0.4983251709*D1227+0.4357405005*D1227+0.0330936548*D1227+0.0328406739))+D1232*('Segments'!$D$31*D1227*Assumptions!$B$109+'Segments'!$B$31*(0.4983251709*D1227+0.4357405005*D1227+0.0330936548*D1227+0.0328406739))+D1233*('Segments'!$D$32*D1227*Assumptions!$B$109+'Segments'!$B$32*(0.4983251709*D1227+0.4357405005*D1227+0.0330936548*D1227+0.0328406739))+D1234*('Segments'!$D$33*D1227*Assumptions!$B$109+'Segments'!$B$33*(0.4983251709*D1227+0.4357405005*D1227+0.0330936548*D1227+0.0328406739))+D1235*('Segments'!$D$34*D1227*Assumptions!$B$109+'Segments'!$B$34*(0.4983251709*D1227+0.4357405005*D1227+0.0330936548*D1227+0.0328406739))</f>
        <v/>
      </c>
      <c r="E1238" s="18">
        <f>E1228*('Segments'!$D$27*E1227*Assumptions!$B$109+'Segments'!$B$27*(0.4983251709*E1227+0.4357405005*E1227+0.0330936548*E1227+0.0328406739))+E1229*('Segments'!$D$28*E1227*Assumptions!$B$109+'Segments'!$B$28*(0.4983251709*E1227+0.4357405005*E1227+0.0330936548*E1227+0.0328406739))+E1230*('Segments'!$D$29*E1227*Assumptions!$B$109+'Segments'!$B$29*(0.4983251709*E1227+0.4357405005*E1227+0.0330936548*E1227+0.0328406739))+E1231*('Segments'!$D$30*E1227*Assumptions!$B$109+'Segments'!$B$30*(0.4983251709*E1227+0.4357405005*E1227+0.0330936548*E1227+0.0328406739))+E1232*('Segments'!$D$31*E1227*Assumptions!$B$109+'Segments'!$B$31*(0.4983251709*E1227+0.4357405005*E1227+0.0330936548*E1227+0.0328406739))+E1233*('Segments'!$D$32*E1227*Assumptions!$B$109+'Segments'!$B$32*(0.4983251709*E1227+0.4357405005*E1227+0.0330936548*E1227+0.0328406739))+E1234*('Segments'!$D$33*E1227*Assumptions!$B$109+'Segments'!$B$33*(0.4983251709*E1227+0.4357405005*E1227+0.0330936548*E1227+0.0328406739))+E1235*('Segments'!$D$34*E1227*Assumptions!$B$109+'Segments'!$B$34*(0.4983251709*E1227+0.4357405005*E1227+0.0330936548*E1227+0.0328406739))</f>
        <v/>
      </c>
      <c r="F1238" s="18">
        <f>F1228*('Segments'!$D$27*F1227*Assumptions!$B$109+'Segments'!$B$27*(0.4983251709*F1227+0.4357405005*F1227+0.0330936548*F1227+0.0328406739))+F1229*('Segments'!$D$28*F1227*Assumptions!$B$109+'Segments'!$B$28*(0.4983251709*F1227+0.4357405005*F1227+0.0330936548*F1227+0.0328406739))+F1230*('Segments'!$D$29*F1227*Assumptions!$B$109+'Segments'!$B$29*(0.4983251709*F1227+0.4357405005*F1227+0.0330936548*F1227+0.0328406739))+F1231*('Segments'!$D$30*F1227*Assumptions!$B$109+'Segments'!$B$30*(0.4983251709*F1227+0.4357405005*F1227+0.0330936548*F1227+0.0328406739))+F1232*('Segments'!$D$31*F1227*Assumptions!$B$109+'Segments'!$B$31*(0.4983251709*F1227+0.4357405005*F1227+0.0330936548*F1227+0.0328406739))+F1233*('Segments'!$D$32*F1227*Assumptions!$B$109+'Segments'!$B$32*(0.4983251709*F1227+0.4357405005*F1227+0.0330936548*F1227+0.0328406739))+F1234*('Segments'!$D$33*F1227*Assumptions!$B$109+'Segments'!$B$33*(0.4983251709*F1227+0.4357405005*F1227+0.0330936548*F1227+0.0328406739))+F1235*('Segments'!$D$34*F1227*Assumptions!$B$109+'Segments'!$B$34*(0.4983251709*F1227+0.4357405005*F1227+0.0330936548*F1227+0.0328406739))</f>
        <v/>
      </c>
      <c r="G1238" s="18">
        <f>G1228*('Segments'!$D$27*G1227*Assumptions!$B$109+'Segments'!$B$27*(0.4983251709*G1227+0.4357405005*G1227+0.0330936548*G1227+0.0328406739))+G1229*('Segments'!$D$28*G1227*Assumptions!$B$109+'Segments'!$B$28*(0.4983251709*G1227+0.4357405005*G1227+0.0330936548*G1227+0.0328406739))+G1230*('Segments'!$D$29*G1227*Assumptions!$B$109+'Segments'!$B$29*(0.4983251709*G1227+0.4357405005*G1227+0.0330936548*G1227+0.0328406739))+G1231*('Segments'!$D$30*G1227*Assumptions!$B$109+'Segments'!$B$30*(0.4983251709*G1227+0.4357405005*G1227+0.0330936548*G1227+0.0328406739))+G1232*('Segments'!$D$31*G1227*Assumptions!$B$109+'Segments'!$B$31*(0.4983251709*G1227+0.4357405005*G1227+0.0330936548*G1227+0.0328406739))+G1233*('Segments'!$D$32*G1227*Assumptions!$B$109+'Segments'!$B$32*(0.4983251709*G1227+0.4357405005*G1227+0.0330936548*G1227+0.0328406739))+G1234*('Segments'!$D$33*G1227*Assumptions!$B$109+'Segments'!$B$33*(0.4983251709*G1227+0.4357405005*G1227+0.0330936548*G1227+0.0328406739))+G1235*('Segments'!$D$34*G1227*Assumptions!$B$109+'Segments'!$B$34*(0.4983251709*G1227+0.4357405005*G1227+0.0330936548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1276+0.4357405005*C1276+0.0330936548*C1276+0.0328406739))+C1278*('Segments'!$D$28*C1276*Assumptions!$B$109+'Segments'!$B$28*(0.4983251709*C1276+0.4357405005*C1276+0.0330936548*C1276+0.0328406739))+C1279*('Segments'!$D$29*C1276*Assumptions!$B$109+'Segments'!$B$29*(0.4983251709*C1276+0.4357405005*C1276+0.0330936548*C1276+0.0328406739))+C1280*('Segments'!$D$30*C1276*Assumptions!$B$109+'Segments'!$B$30*(0.4983251709*C1276+0.4357405005*C1276+0.0330936548*C1276+0.0328406739))+C1281*('Segments'!$D$31*C1276*Assumptions!$B$109+'Segments'!$B$31*(0.4983251709*C1276+0.4357405005*C1276+0.0330936548*C1276+0.0328406739))+C1282*('Segments'!$D$32*C1276*Assumptions!$B$109+'Segments'!$B$32*(0.4983251709*C1276+0.4357405005*C1276+0.0330936548*C1276+0.0328406739))+C1283*('Segments'!$D$33*C1276*Assumptions!$B$109+'Segments'!$B$33*(0.4983251709*C1276+0.4357405005*C1276+0.0330936548*C1276+0.0328406739))+C1284*('Segments'!$D$34*C1276*Assumptions!$B$109+'Segments'!$B$34*(0.4983251709*C1276+0.4357405005*C1276+0.0330936548*C1276+0.0328406739))</f>
        <v/>
      </c>
      <c r="D1287" s="18">
        <f>D1277*('Segments'!$D$27*D1276*Assumptions!$B$109+'Segments'!$B$27*(0.4983251709*D1276+0.4357405005*D1276+0.0330936548*D1276+0.0328406739))+D1278*('Segments'!$D$28*D1276*Assumptions!$B$109+'Segments'!$B$28*(0.4983251709*D1276+0.4357405005*D1276+0.0330936548*D1276+0.0328406739))+D1279*('Segments'!$D$29*D1276*Assumptions!$B$109+'Segments'!$B$29*(0.4983251709*D1276+0.4357405005*D1276+0.0330936548*D1276+0.0328406739))+D1280*('Segments'!$D$30*D1276*Assumptions!$B$109+'Segments'!$B$30*(0.4983251709*D1276+0.4357405005*D1276+0.0330936548*D1276+0.0328406739))+D1281*('Segments'!$D$31*D1276*Assumptions!$B$109+'Segments'!$B$31*(0.4983251709*D1276+0.4357405005*D1276+0.0330936548*D1276+0.0328406739))+D1282*('Segments'!$D$32*D1276*Assumptions!$B$109+'Segments'!$B$32*(0.4983251709*D1276+0.4357405005*D1276+0.0330936548*D1276+0.0328406739))+D1283*('Segments'!$D$33*D1276*Assumptions!$B$109+'Segments'!$B$33*(0.4983251709*D1276+0.4357405005*D1276+0.0330936548*D1276+0.0328406739))+D1284*('Segments'!$D$34*D1276*Assumptions!$B$109+'Segments'!$B$34*(0.4983251709*D1276+0.4357405005*D1276+0.0330936548*D1276+0.0328406739))</f>
        <v/>
      </c>
      <c r="E1287" s="18">
        <f>E1277*('Segments'!$D$27*E1276*Assumptions!$B$109+'Segments'!$B$27*(0.4983251709*E1276+0.4357405005*E1276+0.0330936548*E1276+0.0328406739))+E1278*('Segments'!$D$28*E1276*Assumptions!$B$109+'Segments'!$B$28*(0.4983251709*E1276+0.4357405005*E1276+0.0330936548*E1276+0.0328406739))+E1279*('Segments'!$D$29*E1276*Assumptions!$B$109+'Segments'!$B$29*(0.4983251709*E1276+0.4357405005*E1276+0.0330936548*E1276+0.0328406739))+E1280*('Segments'!$D$30*E1276*Assumptions!$B$109+'Segments'!$B$30*(0.4983251709*E1276+0.4357405005*E1276+0.0330936548*E1276+0.0328406739))+E1281*('Segments'!$D$31*E1276*Assumptions!$B$109+'Segments'!$B$31*(0.4983251709*E1276+0.4357405005*E1276+0.0330936548*E1276+0.0328406739))+E1282*('Segments'!$D$32*E1276*Assumptions!$B$109+'Segments'!$B$32*(0.4983251709*E1276+0.4357405005*E1276+0.0330936548*E1276+0.0328406739))+E1283*('Segments'!$D$33*E1276*Assumptions!$B$109+'Segments'!$B$33*(0.4983251709*E1276+0.4357405005*E1276+0.0330936548*E1276+0.0328406739))+E1284*('Segments'!$D$34*E1276*Assumptions!$B$109+'Segments'!$B$34*(0.4983251709*E1276+0.4357405005*E1276+0.0330936548*E1276+0.0328406739))</f>
        <v/>
      </c>
      <c r="F1287" s="18">
        <f>F1277*('Segments'!$D$27*F1276*Assumptions!$B$109+'Segments'!$B$27*(0.4983251709*F1276+0.4357405005*F1276+0.0330936548*F1276+0.0328406739))+F1278*('Segments'!$D$28*F1276*Assumptions!$B$109+'Segments'!$B$28*(0.4983251709*F1276+0.4357405005*F1276+0.0330936548*F1276+0.0328406739))+F1279*('Segments'!$D$29*F1276*Assumptions!$B$109+'Segments'!$B$29*(0.4983251709*F1276+0.4357405005*F1276+0.0330936548*F1276+0.0328406739))+F1280*('Segments'!$D$30*F1276*Assumptions!$B$109+'Segments'!$B$30*(0.4983251709*F1276+0.4357405005*F1276+0.0330936548*F1276+0.0328406739))+F1281*('Segments'!$D$31*F1276*Assumptions!$B$109+'Segments'!$B$31*(0.4983251709*F1276+0.4357405005*F1276+0.0330936548*F1276+0.0328406739))+F1282*('Segments'!$D$32*F1276*Assumptions!$B$109+'Segments'!$B$32*(0.4983251709*F1276+0.4357405005*F1276+0.0330936548*F1276+0.0328406739))+F1283*('Segments'!$D$33*F1276*Assumptions!$B$109+'Segments'!$B$33*(0.4983251709*F1276+0.4357405005*F1276+0.0330936548*F1276+0.0328406739))+F1284*('Segments'!$D$34*F1276*Assumptions!$B$109+'Segments'!$B$34*(0.4983251709*F1276+0.4357405005*F1276+0.0330936548*F1276+0.0328406739))</f>
        <v/>
      </c>
      <c r="G1287" s="18">
        <f>G1277*('Segments'!$D$27*G1276*Assumptions!$B$109+'Segments'!$B$27*(0.4983251709*G1276+0.4357405005*G1276+0.0330936548*G1276+0.0328406739))+G1278*('Segments'!$D$28*G1276*Assumptions!$B$109+'Segments'!$B$28*(0.4983251709*G1276+0.4357405005*G1276+0.0330936548*G1276+0.0328406739))+G1279*('Segments'!$D$29*G1276*Assumptions!$B$109+'Segments'!$B$29*(0.4983251709*G1276+0.4357405005*G1276+0.0330936548*G1276+0.0328406739))+G1280*('Segments'!$D$30*G1276*Assumptions!$B$109+'Segments'!$B$30*(0.4983251709*G1276+0.4357405005*G1276+0.0330936548*G1276+0.0328406739))+G1281*('Segments'!$D$31*G1276*Assumptions!$B$109+'Segments'!$B$31*(0.4983251709*G1276+0.4357405005*G1276+0.0330936548*G1276+0.0328406739))+G1282*('Segments'!$D$32*G1276*Assumptions!$B$109+'Segments'!$B$32*(0.4983251709*G1276+0.4357405005*G1276+0.0330936548*G1276+0.0328406739))+G1283*('Segments'!$D$33*G1276*Assumptions!$B$109+'Segments'!$B$33*(0.4983251709*G1276+0.4357405005*G1276+0.0330936548*G1276+0.0328406739))+G1284*('Segments'!$D$34*G1276*Assumptions!$B$109+'Segments'!$B$34*(0.4983251709*G1276+0.4357405005*G1276+0.0330936548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1325+0.4357405005*C1325+0.0330936548*C1325+0.0328406739))+C1327*('Segments'!$D$28*C1325*Assumptions!$B$109+'Segments'!$B$28*(0.4983251709*C1325+0.4357405005*C1325+0.0330936548*C1325+0.0328406739))+C1328*('Segments'!$D$29*C1325*Assumptions!$B$109+'Segments'!$B$29*(0.4983251709*C1325+0.4357405005*C1325+0.0330936548*C1325+0.0328406739))+C1329*('Segments'!$D$30*C1325*Assumptions!$B$109+'Segments'!$B$30*(0.4983251709*C1325+0.4357405005*C1325+0.0330936548*C1325+0.0328406739))+C1330*('Segments'!$D$31*C1325*Assumptions!$B$109+'Segments'!$B$31*(0.4983251709*C1325+0.4357405005*C1325+0.0330936548*C1325+0.0328406739))+C1331*('Segments'!$D$32*C1325*Assumptions!$B$109+'Segments'!$B$32*(0.4983251709*C1325+0.4357405005*C1325+0.0330936548*C1325+0.0328406739))+C1332*('Segments'!$D$33*C1325*Assumptions!$B$109+'Segments'!$B$33*(0.4983251709*C1325+0.4357405005*C1325+0.0330936548*C1325+0.0328406739))+C1333*('Segments'!$D$34*C1325*Assumptions!$B$109+'Segments'!$B$34*(0.4983251709*C1325+0.4357405005*C1325+0.0330936548*C1325+0.0328406739))</f>
        <v/>
      </c>
      <c r="D1336" s="18">
        <f>D1326*('Segments'!$D$27*D1325*Assumptions!$B$109+'Segments'!$B$27*(0.4983251709*D1325+0.4357405005*D1325+0.0330936548*D1325+0.0328406739))+D1327*('Segments'!$D$28*D1325*Assumptions!$B$109+'Segments'!$B$28*(0.4983251709*D1325+0.4357405005*D1325+0.0330936548*D1325+0.0328406739))+D1328*('Segments'!$D$29*D1325*Assumptions!$B$109+'Segments'!$B$29*(0.4983251709*D1325+0.4357405005*D1325+0.0330936548*D1325+0.0328406739))+D1329*('Segments'!$D$30*D1325*Assumptions!$B$109+'Segments'!$B$30*(0.4983251709*D1325+0.4357405005*D1325+0.0330936548*D1325+0.0328406739))+D1330*('Segments'!$D$31*D1325*Assumptions!$B$109+'Segments'!$B$31*(0.4983251709*D1325+0.4357405005*D1325+0.0330936548*D1325+0.0328406739))+D1331*('Segments'!$D$32*D1325*Assumptions!$B$109+'Segments'!$B$32*(0.4983251709*D1325+0.4357405005*D1325+0.0330936548*D1325+0.0328406739))+D1332*('Segments'!$D$33*D1325*Assumptions!$B$109+'Segments'!$B$33*(0.4983251709*D1325+0.4357405005*D1325+0.0330936548*D1325+0.0328406739))+D1333*('Segments'!$D$34*D1325*Assumptions!$B$109+'Segments'!$B$34*(0.4983251709*D1325+0.4357405005*D1325+0.0330936548*D1325+0.0328406739))</f>
        <v/>
      </c>
      <c r="E1336" s="18">
        <f>E1326*('Segments'!$D$27*E1325*Assumptions!$B$109+'Segments'!$B$27*(0.4983251709*E1325+0.4357405005*E1325+0.0330936548*E1325+0.0328406739))+E1327*('Segments'!$D$28*E1325*Assumptions!$B$109+'Segments'!$B$28*(0.4983251709*E1325+0.4357405005*E1325+0.0330936548*E1325+0.0328406739))+E1328*('Segments'!$D$29*E1325*Assumptions!$B$109+'Segments'!$B$29*(0.4983251709*E1325+0.4357405005*E1325+0.0330936548*E1325+0.0328406739))+E1329*('Segments'!$D$30*E1325*Assumptions!$B$109+'Segments'!$B$30*(0.4983251709*E1325+0.4357405005*E1325+0.0330936548*E1325+0.0328406739))+E1330*('Segments'!$D$31*E1325*Assumptions!$B$109+'Segments'!$B$31*(0.4983251709*E1325+0.4357405005*E1325+0.0330936548*E1325+0.0328406739))+E1331*('Segments'!$D$32*E1325*Assumptions!$B$109+'Segments'!$B$32*(0.4983251709*E1325+0.4357405005*E1325+0.0330936548*E1325+0.0328406739))+E1332*('Segments'!$D$33*E1325*Assumptions!$B$109+'Segments'!$B$33*(0.4983251709*E1325+0.4357405005*E1325+0.0330936548*E1325+0.0328406739))+E1333*('Segments'!$D$34*E1325*Assumptions!$B$109+'Segments'!$B$34*(0.4983251709*E1325+0.4357405005*E1325+0.0330936548*E1325+0.0328406739))</f>
        <v/>
      </c>
      <c r="F1336" s="18">
        <f>F1326*('Segments'!$D$27*F1325*Assumptions!$B$109+'Segments'!$B$27*(0.4983251709*F1325+0.4357405005*F1325+0.0330936548*F1325+0.0328406739))+F1327*('Segments'!$D$28*F1325*Assumptions!$B$109+'Segments'!$B$28*(0.4983251709*F1325+0.4357405005*F1325+0.0330936548*F1325+0.0328406739))+F1328*('Segments'!$D$29*F1325*Assumptions!$B$109+'Segments'!$B$29*(0.4983251709*F1325+0.4357405005*F1325+0.0330936548*F1325+0.0328406739))+F1329*('Segments'!$D$30*F1325*Assumptions!$B$109+'Segments'!$B$30*(0.4983251709*F1325+0.4357405005*F1325+0.0330936548*F1325+0.0328406739))+F1330*('Segments'!$D$31*F1325*Assumptions!$B$109+'Segments'!$B$31*(0.4983251709*F1325+0.4357405005*F1325+0.0330936548*F1325+0.0328406739))+F1331*('Segments'!$D$32*F1325*Assumptions!$B$109+'Segments'!$B$32*(0.4983251709*F1325+0.4357405005*F1325+0.0330936548*F1325+0.0328406739))+F1332*('Segments'!$D$33*F1325*Assumptions!$B$109+'Segments'!$B$33*(0.4983251709*F1325+0.4357405005*F1325+0.0330936548*F1325+0.0328406739))+F1333*('Segments'!$D$34*F1325*Assumptions!$B$109+'Segments'!$B$34*(0.4983251709*F1325+0.4357405005*F1325+0.0330936548*F1325+0.0328406739))</f>
        <v/>
      </c>
      <c r="G1336" s="18">
        <f>G1326*('Segments'!$D$27*G1325*Assumptions!$B$109+'Segments'!$B$27*(0.4983251709*G1325+0.4357405005*G1325+0.0330936548*G1325+0.0328406739))+G1327*('Segments'!$D$28*G1325*Assumptions!$B$109+'Segments'!$B$28*(0.4983251709*G1325+0.4357405005*G1325+0.0330936548*G1325+0.0328406739))+G1328*('Segments'!$D$29*G1325*Assumptions!$B$109+'Segments'!$B$29*(0.4983251709*G1325+0.4357405005*G1325+0.0330936548*G1325+0.0328406739))+G1329*('Segments'!$D$30*G1325*Assumptions!$B$109+'Segments'!$B$30*(0.4983251709*G1325+0.4357405005*G1325+0.0330936548*G1325+0.0328406739))+G1330*('Segments'!$D$31*G1325*Assumptions!$B$109+'Segments'!$B$31*(0.4983251709*G1325+0.4357405005*G1325+0.0330936548*G1325+0.0328406739))+G1331*('Segments'!$D$32*G1325*Assumptions!$B$109+'Segments'!$B$32*(0.4983251709*G1325+0.4357405005*G1325+0.0330936548*G1325+0.0328406739))+G1332*('Segments'!$D$33*G1325*Assumptions!$B$109+'Segments'!$B$33*(0.4983251709*G1325+0.4357405005*G1325+0.0330936548*G1325+0.0328406739))+G1333*('Segments'!$D$34*G1325*Assumptions!$B$109+'Segments'!$B$34*(0.4983251709*G1325+0.4357405005*G1325+0.0330936548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1374+0.4357405005*C1374+0.0330936548*C1374+0.0328406739))+C1376*('Segments'!$D$28*C1374*Assumptions!$B$109+'Segments'!$B$28*(0.4983251709*C1374+0.4357405005*C1374+0.0330936548*C1374+0.0328406739))+C1377*('Segments'!$D$29*C1374*Assumptions!$B$109+'Segments'!$B$29*(0.4983251709*C1374+0.4357405005*C1374+0.0330936548*C1374+0.0328406739))+C1378*('Segments'!$D$30*C1374*Assumptions!$B$109+'Segments'!$B$30*(0.4983251709*C1374+0.4357405005*C1374+0.0330936548*C1374+0.0328406739))+C1379*('Segments'!$D$31*C1374*Assumptions!$B$109+'Segments'!$B$31*(0.4983251709*C1374+0.4357405005*C1374+0.0330936548*C1374+0.0328406739))+C1380*('Segments'!$D$32*C1374*Assumptions!$B$109+'Segments'!$B$32*(0.4983251709*C1374+0.4357405005*C1374+0.0330936548*C1374+0.0328406739))+C1381*('Segments'!$D$33*C1374*Assumptions!$B$109+'Segments'!$B$33*(0.4983251709*C1374+0.4357405005*C1374+0.0330936548*C1374+0.0328406739))+C1382*('Segments'!$D$34*C1374*Assumptions!$B$109+'Segments'!$B$34*(0.4983251709*C1374+0.4357405005*C1374+0.0330936548*C1374+0.0328406739))</f>
        <v/>
      </c>
      <c r="D1385" s="18">
        <f>D1375*('Segments'!$D$27*D1374*Assumptions!$B$109+'Segments'!$B$27*(0.4983251709*D1374+0.4357405005*D1374+0.0330936548*D1374+0.0328406739))+D1376*('Segments'!$D$28*D1374*Assumptions!$B$109+'Segments'!$B$28*(0.4983251709*D1374+0.4357405005*D1374+0.0330936548*D1374+0.0328406739))+D1377*('Segments'!$D$29*D1374*Assumptions!$B$109+'Segments'!$B$29*(0.4983251709*D1374+0.4357405005*D1374+0.0330936548*D1374+0.0328406739))+D1378*('Segments'!$D$30*D1374*Assumptions!$B$109+'Segments'!$B$30*(0.4983251709*D1374+0.4357405005*D1374+0.0330936548*D1374+0.0328406739))+D1379*('Segments'!$D$31*D1374*Assumptions!$B$109+'Segments'!$B$31*(0.4983251709*D1374+0.4357405005*D1374+0.0330936548*D1374+0.0328406739))+D1380*('Segments'!$D$32*D1374*Assumptions!$B$109+'Segments'!$B$32*(0.4983251709*D1374+0.4357405005*D1374+0.0330936548*D1374+0.0328406739))+D1381*('Segments'!$D$33*D1374*Assumptions!$B$109+'Segments'!$B$33*(0.4983251709*D1374+0.4357405005*D1374+0.0330936548*D1374+0.0328406739))+D1382*('Segments'!$D$34*D1374*Assumptions!$B$109+'Segments'!$B$34*(0.4983251709*D1374+0.4357405005*D1374+0.0330936548*D1374+0.0328406739))</f>
        <v/>
      </c>
      <c r="E1385" s="18">
        <f>E1375*('Segments'!$D$27*E1374*Assumptions!$B$109+'Segments'!$B$27*(0.4983251709*E1374+0.4357405005*E1374+0.0330936548*E1374+0.0328406739))+E1376*('Segments'!$D$28*E1374*Assumptions!$B$109+'Segments'!$B$28*(0.4983251709*E1374+0.4357405005*E1374+0.0330936548*E1374+0.0328406739))+E1377*('Segments'!$D$29*E1374*Assumptions!$B$109+'Segments'!$B$29*(0.4983251709*E1374+0.4357405005*E1374+0.0330936548*E1374+0.0328406739))+E1378*('Segments'!$D$30*E1374*Assumptions!$B$109+'Segments'!$B$30*(0.4983251709*E1374+0.4357405005*E1374+0.0330936548*E1374+0.0328406739))+E1379*('Segments'!$D$31*E1374*Assumptions!$B$109+'Segments'!$B$31*(0.4983251709*E1374+0.4357405005*E1374+0.0330936548*E1374+0.0328406739))+E1380*('Segments'!$D$32*E1374*Assumptions!$B$109+'Segments'!$B$32*(0.4983251709*E1374+0.4357405005*E1374+0.0330936548*E1374+0.0328406739))+E1381*('Segments'!$D$33*E1374*Assumptions!$B$109+'Segments'!$B$33*(0.4983251709*E1374+0.4357405005*E1374+0.0330936548*E1374+0.0328406739))+E1382*('Segments'!$D$34*E1374*Assumptions!$B$109+'Segments'!$B$34*(0.4983251709*E1374+0.4357405005*E1374+0.0330936548*E1374+0.0328406739))</f>
        <v/>
      </c>
      <c r="F1385" s="18">
        <f>F1375*('Segments'!$D$27*F1374*Assumptions!$B$109+'Segments'!$B$27*(0.4983251709*F1374+0.4357405005*F1374+0.0330936548*F1374+0.0328406739))+F1376*('Segments'!$D$28*F1374*Assumptions!$B$109+'Segments'!$B$28*(0.4983251709*F1374+0.4357405005*F1374+0.0330936548*F1374+0.0328406739))+F1377*('Segments'!$D$29*F1374*Assumptions!$B$109+'Segments'!$B$29*(0.4983251709*F1374+0.4357405005*F1374+0.0330936548*F1374+0.0328406739))+F1378*('Segments'!$D$30*F1374*Assumptions!$B$109+'Segments'!$B$30*(0.4983251709*F1374+0.4357405005*F1374+0.0330936548*F1374+0.0328406739))+F1379*('Segments'!$D$31*F1374*Assumptions!$B$109+'Segments'!$B$31*(0.4983251709*F1374+0.4357405005*F1374+0.0330936548*F1374+0.0328406739))+F1380*('Segments'!$D$32*F1374*Assumptions!$B$109+'Segments'!$B$32*(0.4983251709*F1374+0.4357405005*F1374+0.0330936548*F1374+0.0328406739))+F1381*('Segments'!$D$33*F1374*Assumptions!$B$109+'Segments'!$B$33*(0.4983251709*F1374+0.4357405005*F1374+0.0330936548*F1374+0.0328406739))+F1382*('Segments'!$D$34*F1374*Assumptions!$B$109+'Segments'!$B$34*(0.4983251709*F1374+0.4357405005*F1374+0.0330936548*F1374+0.0328406739))</f>
        <v/>
      </c>
      <c r="G1385" s="18">
        <f>G1375*('Segments'!$D$27*G1374*Assumptions!$B$109+'Segments'!$B$27*(0.4983251709*G1374+0.4357405005*G1374+0.0330936548*G1374+0.0328406739))+G1376*('Segments'!$D$28*G1374*Assumptions!$B$109+'Segments'!$B$28*(0.4983251709*G1374+0.4357405005*G1374+0.0330936548*G1374+0.0328406739))+G1377*('Segments'!$D$29*G1374*Assumptions!$B$109+'Segments'!$B$29*(0.4983251709*G1374+0.4357405005*G1374+0.0330936548*G1374+0.0328406739))+G1378*('Segments'!$D$30*G1374*Assumptions!$B$109+'Segments'!$B$30*(0.4983251709*G1374+0.4357405005*G1374+0.0330936548*G1374+0.0328406739))+G1379*('Segments'!$D$31*G1374*Assumptions!$B$109+'Segments'!$B$31*(0.4983251709*G1374+0.4357405005*G1374+0.0330936548*G1374+0.0328406739))+G1380*('Segments'!$D$32*G1374*Assumptions!$B$109+'Segments'!$B$32*(0.4983251709*G1374+0.4357405005*G1374+0.0330936548*G1374+0.0328406739))+G1381*('Segments'!$D$33*G1374*Assumptions!$B$109+'Segments'!$B$33*(0.4983251709*G1374+0.4357405005*G1374+0.0330936548*G1374+0.0328406739))+G1382*('Segments'!$D$34*G1374*Assumptions!$B$109+'Segments'!$B$34*(0.4983251709*G1374+0.4357405005*G1374+0.0330936548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1423+0.4357405005*C1423+0.0330936548*C1423+0.0328406739))+C1425*('Segments'!$D$28*C1423*Assumptions!$B$109+'Segments'!$B$28*(0.4983251709*C1423+0.4357405005*C1423+0.0330936548*C1423+0.0328406739))+C1426*('Segments'!$D$29*C1423*Assumptions!$B$109+'Segments'!$B$29*(0.4983251709*C1423+0.4357405005*C1423+0.0330936548*C1423+0.0328406739))+C1427*('Segments'!$D$30*C1423*Assumptions!$B$109+'Segments'!$B$30*(0.4983251709*C1423+0.4357405005*C1423+0.0330936548*C1423+0.0328406739))+C1428*('Segments'!$D$31*C1423*Assumptions!$B$109+'Segments'!$B$31*(0.4983251709*C1423+0.4357405005*C1423+0.0330936548*C1423+0.0328406739))+C1429*('Segments'!$D$32*C1423*Assumptions!$B$109+'Segments'!$B$32*(0.4983251709*C1423+0.4357405005*C1423+0.0330936548*C1423+0.0328406739))+C1430*('Segments'!$D$33*C1423*Assumptions!$B$109+'Segments'!$B$33*(0.4983251709*C1423+0.4357405005*C1423+0.0330936548*C1423+0.0328406739))+C1431*('Segments'!$D$34*C1423*Assumptions!$B$109+'Segments'!$B$34*(0.4983251709*C1423+0.4357405005*C1423+0.0330936548*C1423+0.0328406739))</f>
        <v/>
      </c>
      <c r="D1434" s="18">
        <f>D1424*('Segments'!$D$27*D1423*Assumptions!$B$109+'Segments'!$B$27*(0.4983251709*D1423+0.4357405005*D1423+0.0330936548*D1423+0.0328406739))+D1425*('Segments'!$D$28*D1423*Assumptions!$B$109+'Segments'!$B$28*(0.4983251709*D1423+0.4357405005*D1423+0.0330936548*D1423+0.0328406739))+D1426*('Segments'!$D$29*D1423*Assumptions!$B$109+'Segments'!$B$29*(0.4983251709*D1423+0.4357405005*D1423+0.0330936548*D1423+0.0328406739))+D1427*('Segments'!$D$30*D1423*Assumptions!$B$109+'Segments'!$B$30*(0.4983251709*D1423+0.4357405005*D1423+0.0330936548*D1423+0.0328406739))+D1428*('Segments'!$D$31*D1423*Assumptions!$B$109+'Segments'!$B$31*(0.4983251709*D1423+0.4357405005*D1423+0.0330936548*D1423+0.0328406739))+D1429*('Segments'!$D$32*D1423*Assumptions!$B$109+'Segments'!$B$32*(0.4983251709*D1423+0.4357405005*D1423+0.0330936548*D1423+0.0328406739))+D1430*('Segments'!$D$33*D1423*Assumptions!$B$109+'Segments'!$B$33*(0.4983251709*D1423+0.4357405005*D1423+0.0330936548*D1423+0.0328406739))+D1431*('Segments'!$D$34*D1423*Assumptions!$B$109+'Segments'!$B$34*(0.4983251709*D1423+0.4357405005*D1423+0.0330936548*D1423+0.0328406739))</f>
        <v/>
      </c>
      <c r="E1434" s="18">
        <f>E1424*('Segments'!$D$27*E1423*Assumptions!$B$109+'Segments'!$B$27*(0.4983251709*E1423+0.4357405005*E1423+0.0330936548*E1423+0.0328406739))+E1425*('Segments'!$D$28*E1423*Assumptions!$B$109+'Segments'!$B$28*(0.4983251709*E1423+0.4357405005*E1423+0.0330936548*E1423+0.0328406739))+E1426*('Segments'!$D$29*E1423*Assumptions!$B$109+'Segments'!$B$29*(0.4983251709*E1423+0.4357405005*E1423+0.0330936548*E1423+0.0328406739))+E1427*('Segments'!$D$30*E1423*Assumptions!$B$109+'Segments'!$B$30*(0.4983251709*E1423+0.4357405005*E1423+0.0330936548*E1423+0.0328406739))+E1428*('Segments'!$D$31*E1423*Assumptions!$B$109+'Segments'!$B$31*(0.4983251709*E1423+0.4357405005*E1423+0.0330936548*E1423+0.0328406739))+E1429*('Segments'!$D$32*E1423*Assumptions!$B$109+'Segments'!$B$32*(0.4983251709*E1423+0.4357405005*E1423+0.0330936548*E1423+0.0328406739))+E1430*('Segments'!$D$33*E1423*Assumptions!$B$109+'Segments'!$B$33*(0.4983251709*E1423+0.4357405005*E1423+0.0330936548*E1423+0.0328406739))+E1431*('Segments'!$D$34*E1423*Assumptions!$B$109+'Segments'!$B$34*(0.4983251709*E1423+0.4357405005*E1423+0.0330936548*E1423+0.0328406739))</f>
        <v/>
      </c>
      <c r="F1434" s="18">
        <f>F1424*('Segments'!$D$27*F1423*Assumptions!$B$109+'Segments'!$B$27*(0.4983251709*F1423+0.4357405005*F1423+0.0330936548*F1423+0.0328406739))+F1425*('Segments'!$D$28*F1423*Assumptions!$B$109+'Segments'!$B$28*(0.4983251709*F1423+0.4357405005*F1423+0.0330936548*F1423+0.0328406739))+F1426*('Segments'!$D$29*F1423*Assumptions!$B$109+'Segments'!$B$29*(0.4983251709*F1423+0.4357405005*F1423+0.0330936548*F1423+0.0328406739))+F1427*('Segments'!$D$30*F1423*Assumptions!$B$109+'Segments'!$B$30*(0.4983251709*F1423+0.4357405005*F1423+0.0330936548*F1423+0.0328406739))+F1428*('Segments'!$D$31*F1423*Assumptions!$B$109+'Segments'!$B$31*(0.4983251709*F1423+0.4357405005*F1423+0.0330936548*F1423+0.0328406739))+F1429*('Segments'!$D$32*F1423*Assumptions!$B$109+'Segments'!$B$32*(0.4983251709*F1423+0.4357405005*F1423+0.0330936548*F1423+0.0328406739))+F1430*('Segments'!$D$33*F1423*Assumptions!$B$109+'Segments'!$B$33*(0.4983251709*F1423+0.4357405005*F1423+0.0330936548*F1423+0.0328406739))+F1431*('Segments'!$D$34*F1423*Assumptions!$B$109+'Segments'!$B$34*(0.4983251709*F1423+0.4357405005*F1423+0.0330936548*F1423+0.0328406739))</f>
        <v/>
      </c>
      <c r="G1434" s="18">
        <f>G1424*('Segments'!$D$27*G1423*Assumptions!$B$109+'Segments'!$B$27*(0.4983251709*G1423+0.4357405005*G1423+0.0330936548*G1423+0.0328406739))+G1425*('Segments'!$D$28*G1423*Assumptions!$B$109+'Segments'!$B$28*(0.4983251709*G1423+0.4357405005*G1423+0.0330936548*G1423+0.0328406739))+G1426*('Segments'!$D$29*G1423*Assumptions!$B$109+'Segments'!$B$29*(0.4983251709*G1423+0.4357405005*G1423+0.0330936548*G1423+0.0328406739))+G1427*('Segments'!$D$30*G1423*Assumptions!$B$109+'Segments'!$B$30*(0.4983251709*G1423+0.4357405005*G1423+0.0330936548*G1423+0.0328406739))+G1428*('Segments'!$D$31*G1423*Assumptions!$B$109+'Segments'!$B$31*(0.4983251709*G1423+0.4357405005*G1423+0.0330936548*G1423+0.0328406739))+G1429*('Segments'!$D$32*G1423*Assumptions!$B$109+'Segments'!$B$32*(0.4983251709*G1423+0.4357405005*G1423+0.0330936548*G1423+0.0328406739))+G1430*('Segments'!$D$33*G1423*Assumptions!$B$109+'Segments'!$B$33*(0.4983251709*G1423+0.4357405005*G1423+0.0330936548*G1423+0.0328406739))+G1431*('Segments'!$D$34*G1423*Assumptions!$B$109+'Segments'!$B$34*(0.4983251709*G1423+0.4357405005*G1423+0.0330936548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1472+0.4357405005*C1472+0.0330936548*C1472+0.0328406739))+C1474*('Segments'!$D$28*C1472*Assumptions!$B$109+'Segments'!$B$28*(0.4983251709*C1472+0.4357405005*C1472+0.0330936548*C1472+0.0328406739))+C1475*('Segments'!$D$29*C1472*Assumptions!$B$109+'Segments'!$B$29*(0.4983251709*C1472+0.4357405005*C1472+0.0330936548*C1472+0.0328406739))+C1476*('Segments'!$D$30*C1472*Assumptions!$B$109+'Segments'!$B$30*(0.4983251709*C1472+0.4357405005*C1472+0.0330936548*C1472+0.0328406739))+C1477*('Segments'!$D$31*C1472*Assumptions!$B$109+'Segments'!$B$31*(0.4983251709*C1472+0.4357405005*C1472+0.0330936548*C1472+0.0328406739))+C1478*('Segments'!$D$32*C1472*Assumptions!$B$109+'Segments'!$B$32*(0.4983251709*C1472+0.4357405005*C1472+0.0330936548*C1472+0.0328406739))+C1479*('Segments'!$D$33*C1472*Assumptions!$B$109+'Segments'!$B$33*(0.4983251709*C1472+0.4357405005*C1472+0.0330936548*C1472+0.0328406739))+C1480*('Segments'!$D$34*C1472*Assumptions!$B$109+'Segments'!$B$34*(0.4983251709*C1472+0.4357405005*C1472+0.0330936548*C1472+0.0328406739))</f>
        <v/>
      </c>
      <c r="D1483" s="18">
        <f>D1473*('Segments'!$D$27*D1472*Assumptions!$B$109+'Segments'!$B$27*(0.4983251709*D1472+0.4357405005*D1472+0.0330936548*D1472+0.0328406739))+D1474*('Segments'!$D$28*D1472*Assumptions!$B$109+'Segments'!$B$28*(0.4983251709*D1472+0.4357405005*D1472+0.0330936548*D1472+0.0328406739))+D1475*('Segments'!$D$29*D1472*Assumptions!$B$109+'Segments'!$B$29*(0.4983251709*D1472+0.4357405005*D1472+0.0330936548*D1472+0.0328406739))+D1476*('Segments'!$D$30*D1472*Assumptions!$B$109+'Segments'!$B$30*(0.4983251709*D1472+0.4357405005*D1472+0.0330936548*D1472+0.0328406739))+D1477*('Segments'!$D$31*D1472*Assumptions!$B$109+'Segments'!$B$31*(0.4983251709*D1472+0.4357405005*D1472+0.0330936548*D1472+0.0328406739))+D1478*('Segments'!$D$32*D1472*Assumptions!$B$109+'Segments'!$B$32*(0.4983251709*D1472+0.4357405005*D1472+0.0330936548*D1472+0.0328406739))+D1479*('Segments'!$D$33*D1472*Assumptions!$B$109+'Segments'!$B$33*(0.4983251709*D1472+0.4357405005*D1472+0.0330936548*D1472+0.0328406739))+D1480*('Segments'!$D$34*D1472*Assumptions!$B$109+'Segments'!$B$34*(0.4983251709*D1472+0.4357405005*D1472+0.0330936548*D1472+0.0328406739))</f>
        <v/>
      </c>
      <c r="E1483" s="18">
        <f>E1473*('Segments'!$D$27*E1472*Assumptions!$B$109+'Segments'!$B$27*(0.4983251709*E1472+0.4357405005*E1472+0.0330936548*E1472+0.0328406739))+E1474*('Segments'!$D$28*E1472*Assumptions!$B$109+'Segments'!$B$28*(0.4983251709*E1472+0.4357405005*E1472+0.0330936548*E1472+0.0328406739))+E1475*('Segments'!$D$29*E1472*Assumptions!$B$109+'Segments'!$B$29*(0.4983251709*E1472+0.4357405005*E1472+0.0330936548*E1472+0.0328406739))+E1476*('Segments'!$D$30*E1472*Assumptions!$B$109+'Segments'!$B$30*(0.4983251709*E1472+0.4357405005*E1472+0.0330936548*E1472+0.0328406739))+E1477*('Segments'!$D$31*E1472*Assumptions!$B$109+'Segments'!$B$31*(0.4983251709*E1472+0.4357405005*E1472+0.0330936548*E1472+0.0328406739))+E1478*('Segments'!$D$32*E1472*Assumptions!$B$109+'Segments'!$B$32*(0.4983251709*E1472+0.4357405005*E1472+0.0330936548*E1472+0.0328406739))+E1479*('Segments'!$D$33*E1472*Assumptions!$B$109+'Segments'!$B$33*(0.4983251709*E1472+0.4357405005*E1472+0.0330936548*E1472+0.0328406739))+E1480*('Segments'!$D$34*E1472*Assumptions!$B$109+'Segments'!$B$34*(0.4983251709*E1472+0.4357405005*E1472+0.0330936548*E1472+0.0328406739))</f>
        <v/>
      </c>
      <c r="F1483" s="18">
        <f>F1473*('Segments'!$D$27*F1472*Assumptions!$B$109+'Segments'!$B$27*(0.4983251709*F1472+0.4357405005*F1472+0.0330936548*F1472+0.0328406739))+F1474*('Segments'!$D$28*F1472*Assumptions!$B$109+'Segments'!$B$28*(0.4983251709*F1472+0.4357405005*F1472+0.0330936548*F1472+0.0328406739))+F1475*('Segments'!$D$29*F1472*Assumptions!$B$109+'Segments'!$B$29*(0.4983251709*F1472+0.4357405005*F1472+0.0330936548*F1472+0.0328406739))+F1476*('Segments'!$D$30*F1472*Assumptions!$B$109+'Segments'!$B$30*(0.4983251709*F1472+0.4357405005*F1472+0.0330936548*F1472+0.0328406739))+F1477*('Segments'!$D$31*F1472*Assumptions!$B$109+'Segments'!$B$31*(0.4983251709*F1472+0.4357405005*F1472+0.0330936548*F1472+0.0328406739))+F1478*('Segments'!$D$32*F1472*Assumptions!$B$109+'Segments'!$B$32*(0.4983251709*F1472+0.4357405005*F1472+0.0330936548*F1472+0.0328406739))+F1479*('Segments'!$D$33*F1472*Assumptions!$B$109+'Segments'!$B$33*(0.4983251709*F1472+0.4357405005*F1472+0.0330936548*F1472+0.0328406739))+F1480*('Segments'!$D$34*F1472*Assumptions!$B$109+'Segments'!$B$34*(0.4983251709*F1472+0.4357405005*F1472+0.0330936548*F1472+0.0328406739))</f>
        <v/>
      </c>
      <c r="G1483" s="18">
        <f>G1473*('Segments'!$D$27*G1472*Assumptions!$B$109+'Segments'!$B$27*(0.4983251709*G1472+0.4357405005*G1472+0.0330936548*G1472+0.0328406739))+G1474*('Segments'!$D$28*G1472*Assumptions!$B$109+'Segments'!$B$28*(0.4983251709*G1472+0.4357405005*G1472+0.0330936548*G1472+0.0328406739))+G1475*('Segments'!$D$29*G1472*Assumptions!$B$109+'Segments'!$B$29*(0.4983251709*G1472+0.4357405005*G1472+0.0330936548*G1472+0.0328406739))+G1476*('Segments'!$D$30*G1472*Assumptions!$B$109+'Segments'!$B$30*(0.4983251709*G1472+0.4357405005*G1472+0.0330936548*G1472+0.0328406739))+G1477*('Segments'!$D$31*G1472*Assumptions!$B$109+'Segments'!$B$31*(0.4983251709*G1472+0.4357405005*G1472+0.0330936548*G1472+0.0328406739))+G1478*('Segments'!$D$32*G1472*Assumptions!$B$109+'Segments'!$B$32*(0.4983251709*G1472+0.4357405005*G1472+0.0330936548*G1472+0.0328406739))+G1479*('Segments'!$D$33*G1472*Assumptions!$B$109+'Segments'!$B$33*(0.4983251709*G1472+0.4357405005*G1472+0.0330936548*G1472+0.0328406739))+G1480*('Segments'!$D$34*G1472*Assumptions!$B$109+'Segments'!$B$34*(0.4983251709*G1472+0.4357405005*G1472+0.0330936548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2026-09-13T13:40:20Z</dcterms:created>
  <dcterms:modified xmlns:dcterms="http://purl.org/dc/terms/" xmlns:xsi="http://www.w3.org/2001/XMLSchema-instance" xsi:type="dcterms:W3CDTF">2026-09-13T13:40:20Z</dcterms:modified>
</cp:coreProperties>
</file>