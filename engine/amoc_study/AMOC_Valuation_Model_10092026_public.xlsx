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1.663882692390205</v>
      </c>
      <c r="C6" s="9">
        <f>'Fundamental Valuation'!B10</f>
        <v/>
      </c>
      <c r="D6" s="8" t="n">
        <v>27.51811494973379</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9.882803105057718</v>
      </c>
      <c r="C8" s="9">
        <f>'Fundamental Valuation'!D12</f>
        <v/>
      </c>
      <c r="D8" s="8" t="n">
        <v>16.08686742388758</v>
      </c>
      <c r="E8" s="10">
        <f>Assumptions!$B$191</f>
        <v/>
      </c>
    </row>
    <row r="9">
      <c r="A9" s="7" t="inlineStr">
        <is>
          <t>Book value and sustainable return</t>
        </is>
      </c>
      <c r="B9" s="8" t="n">
        <v>5.026420658497639</v>
      </c>
      <c r="C9" s="9">
        <f>'Fundamental Valuation'!E13</f>
        <v/>
      </c>
      <c r="D9" s="8" t="n">
        <v>7.672753838280063</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0.2170207072</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0.131707</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0.092683</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0.063415</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0.04878</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0.043902</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7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8" ht="17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29" ht="17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0" ht="17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1" ht="17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2" ht="17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3" ht="17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4" ht="17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5" ht="17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6" ht="17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7" ht="17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8" ht="17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39" ht="17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0" ht="17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1" ht="17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2" ht="17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3" ht="17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4" ht="17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5" ht="17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6" ht="17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7" ht="17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8" ht="17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49" ht="17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0" ht="17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1" ht="17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2" ht="17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3" ht="17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4" ht="17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5" ht="17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6" ht="17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7" ht="17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8" ht="17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59" ht="17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0" ht="17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1" ht="17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2" ht="17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3" ht="17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4" ht="17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5" ht="17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6" ht="17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while wax and LPG grew. THE PER-LINE COMPOUND RATES ARE NO LONGER PRINTED [08-09-2026]. This note used to give four of them to a decimal place, and NOTHING IN THIS REPOSITORY CARRIES THE SERIES THEY COME FROM: the three committed filings are two December-2025 statements and one June-2025, note 14-A gives one half's tonnage by line with a value-only comparative, and FY2022 to FY2024 per-line tonnage is in filings this study does not hold. The prose check caught one of the four and the other three were unflagged rather than verified. Under SIGCM a figure this desk cannot source is a figure it does not print, so the DIRECTION survives — six lines down, two up, and that is what the argument needs — and the decimals go. The five annual totals above stand on the same footing and are ESCALATED rather than removed, because the bear case is anchored to them.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cuts tonnage harder than that mean requires and the lever is sensitised end to end</t>
        </is>
      </c>
    </row>
    <row r="167" ht="70" customHeight="1">
      <c r="A167" s="7" t="inlineStr">
        <is>
          <t>Egyptian inflation factor, 2026E</t>
        </is>
      </c>
      <c r="B167" s="28" t="n">
        <v>1.16</v>
      </c>
      <c r="C167" s="7" t="inlineStr">
        <is>
          <t>Country</t>
        </is>
      </c>
      <c r="D167" s="7" t="inlineStr">
        <is>
          <t>2026-09-02</t>
        </is>
      </c>
      <c r="E167"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8" ht="70" customHeight="1">
      <c r="A168" s="7" t="inlineStr">
        <is>
          <t>Egyptian inflation factor, 2027E</t>
        </is>
      </c>
      <c r="B168" s="28" t="n">
        <v>1.12</v>
      </c>
      <c r="C168" s="7" t="inlineStr">
        <is>
          <t>Country</t>
        </is>
      </c>
      <c r="D168" s="7" t="inlineStr">
        <is>
          <t>2026-09-02</t>
        </is>
      </c>
      <c r="E168"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69" ht="70" customHeight="1">
      <c r="A169" s="7" t="inlineStr">
        <is>
          <t>Egyptian inflation factor, 2028E</t>
        </is>
      </c>
      <c r="B169" s="28" t="n">
        <v>1.09</v>
      </c>
      <c r="C169" s="7" t="inlineStr">
        <is>
          <t>Country</t>
        </is>
      </c>
      <c r="D169" s="7" t="inlineStr">
        <is>
          <t>2026-09-02</t>
        </is>
      </c>
      <c r="E169"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0" ht="70" customHeight="1">
      <c r="A170" s="7" t="inlineStr">
        <is>
          <t>Egyptian inflation factor, 2029E</t>
        </is>
      </c>
      <c r="B170" s="28" t="n">
        <v>1.075</v>
      </c>
      <c r="C170" s="7" t="inlineStr">
        <is>
          <t>Country</t>
        </is>
      </c>
      <c r="D170" s="7" t="inlineStr">
        <is>
          <t>2026-09-02</t>
        </is>
      </c>
      <c r="E170"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1" ht="70" customHeight="1">
      <c r="A171" s="7" t="inlineStr">
        <is>
          <t>Egyptian inflation factor, 2030E</t>
        </is>
      </c>
      <c r="B171" s="28" t="n">
        <v>1.07</v>
      </c>
      <c r="C171" s="7" t="inlineStr">
        <is>
          <t>Country</t>
        </is>
      </c>
      <c r="D171" s="7" t="inlineStr">
        <is>
          <t>2026-09-02</t>
        </is>
      </c>
      <c r="E171" s="4" t="inlineStr">
        <is>
          <t>Cumulative-year Egyptian inflation factors applied to the pound-denominated cost legs — salaries inside cost of sales, the other line, administrative and marketing expense, and capital expenditure. The three HISTORICAL years are as printed. The five FORECAST years are the single Egyptian inflation path this series uses for every Egyptian company it values, read from that path rather than set for this study: no valuation here sets an inflation rate of its own, because a company cannot be valued in an economy the study beside it does not recognise. The path is the central bank's published disinflation ladder, and the years between published points are labelled as interpolated where they are</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0.9063464869078695</v>
      </c>
      <c r="C176" s="7" t="inlineStr">
        <is>
          <t>Company</t>
        </is>
      </c>
      <c r="D176" s="7" t="inlineStr">
        <is>
          <t>2026-09-08</t>
        </is>
      </c>
      <c r="E176" s="4" t="inlineStr">
        <is>
          <t>Own-stock tier-1 regression, AMOC weekly log-returns against raw_indices/EG/EGX30.csv — the published index of the exchange AMOC is listed on, series as of 2026-09-08, resolved by beta_regression.own_stock_beta() rather than hand-rolled. R-squared 0.236, n = 256, standard error 0.175, 90% confidence interval [0.619, 1.193].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and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100" customHeight="1">
      <c r="A180" s="7" t="inlineStr">
        <is>
          <t>Terminal real risk-free rate</t>
        </is>
      </c>
      <c r="B180" s="29" t="n">
        <v>0.035</v>
      </c>
      <c r="C180" s="7" t="inlineStr">
        <is>
          <t>House</t>
        </is>
      </c>
      <c r="D180" s="7" t="inlineStr">
        <is>
          <t>2026-09-10</t>
        </is>
      </c>
      <c r="E180" s="4" t="inlineStr">
        <is>
          <t>Terminal real risk-free rate, READ LIVE from the house macro path (engine/macro_paths/EG.json) rather than typed here. The terminal NOMINAL risk-free rate is not an input either: it is the house path's own `terminal_rf`, which is this real rate plus the central bank's inflation target in force for the terminal horizon, so the single most terminal-value-sensitive number in the model can be set neither by hand nor by this study alone. TWO EDITIONS OF THIS LINE ARE RETIRED. The first hardcoded 10.50% by adding 5.5pp to the 5% target dated Q4-2028 while describing it as 'the' medium-term target. The second, adopted 06-Aug-2026, derived the rate correctly but from a real convention typed into this file, so when the house convention moved from 5.5% to 3.5% — the retired figure being a restrictive policy stance rather than a long-run real rate — this study went on discounting at 12.50% while every conformed study discounted at 10.50%. Two readers of one economy must not disagree</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0.143982185805472</v>
      </c>
      <c r="I27" s="22">
        <f>B830</f>
        <v/>
      </c>
    </row>
    <row r="28">
      <c r="A28" s="7" t="inlineStr">
        <is>
          <t xml:space="preserve">   grid point 2: 0.8000</t>
        </is>
      </c>
      <c r="F28" s="29" t="n">
        <v>0.26438</v>
      </c>
      <c r="G28" s="29" t="n">
        <v>0.156582185805472</v>
      </c>
      <c r="I28" s="22">
        <f>B879</f>
        <v/>
      </c>
    </row>
    <row r="29">
      <c r="A29" s="7" t="inlineStr">
        <is>
          <t xml:space="preserve">   grid point 3: 0.9063</t>
        </is>
      </c>
      <c r="F29" s="29" t="n">
        <v>0.2743872044180305</v>
      </c>
      <c r="G29" s="29" t="n">
        <v>0.1632820144806677</v>
      </c>
      <c r="I29" s="22">
        <f>B928</f>
        <v/>
      </c>
      <c r="J29" s="43">
        <f>B928-DCF!B65</f>
        <v/>
      </c>
    </row>
    <row r="30">
      <c r="A30" s="7" t="inlineStr">
        <is>
          <t xml:space="preserve">   grid point 4: 1.1500</t>
        </is>
      </c>
      <c r="F30" s="29" t="n">
        <v>0.297315</v>
      </c>
      <c r="G30" s="29" t="n">
        <v>0.178632185805472</v>
      </c>
      <c r="I30" s="22">
        <f>B977</f>
        <v/>
      </c>
    </row>
    <row r="31">
      <c r="A31" s="7" t="inlineStr">
        <is>
          <t xml:space="preserve">   grid point 5: 1.3000</t>
        </is>
      </c>
      <c r="F31" s="29" t="n">
        <v>0.31143</v>
      </c>
      <c r="G31" s="29" t="n">
        <v>0.188082185805472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0.9063</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2026-09-10T11:56:35Z</dcterms:created>
  <dcterms:modified xmlns:dcterms="http://purl.org/dc/terms/" xmlns:xsi="http://www.w3.org/2001/XMLSchema-instance" xsi:type="dcterms:W3CDTF">2026-09-10T11:56:36Z</dcterms:modified>
</cp:coreProperties>
</file>