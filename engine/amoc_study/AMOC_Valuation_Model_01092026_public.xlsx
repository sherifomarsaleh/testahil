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ssumptions" sheetId="2" state="visible" r:id="rId2"/>
    <sheet xmlns:r="http://schemas.openxmlformats.org/officeDocument/2006/relationships" name="Base Year" sheetId="3" state="visible" r:id="rId3"/>
    <sheet xmlns:r="http://schemas.openxmlformats.org/officeDocument/2006/relationships" name="Product and Cost" sheetId="4" state="visible" r:id="rId4"/>
    <sheet xmlns:r="http://schemas.openxmlformats.org/officeDocument/2006/relationships" name="Forecast" sheetId="5" state="visible" r:id="rId5"/>
    <sheet xmlns:r="http://schemas.openxmlformats.org/officeDocument/2006/relationships" name="Sensitivity" sheetId="6" state="visible" r:id="rId6"/>
    <sheet xmlns:r="http://schemas.openxmlformats.org/officeDocument/2006/relationships" name="Lenses" sheetId="7" state="visible" r:id="rId7"/>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00000"/>
    <numFmt numFmtId="168" formatCode="0.0000"/>
    <numFmt numFmtId="169" formatCode="0.00&quot;x&quot;"/>
  </numFmts>
  <fonts count="10">
    <font>
      <name val="Calibri"/>
      <family val="2"/>
      <color theme="1"/>
      <sz val="11"/>
      <scheme val="minor"/>
    </font>
    <font>
      <b val="1"/>
      <color rgb="001C3A36"/>
      <sz val="13"/>
    </font>
    <font>
      <i val="1"/>
      <color rgb="006E7B77"/>
      <sz val="9.5"/>
    </font>
    <font>
      <b val="1"/>
      <color rgb="001C3A36"/>
      <sz val="9.5"/>
    </font>
    <font>
      <b val="1"/>
      <color rgb="001C3A36"/>
      <sz val="10"/>
    </font>
    <font>
      <color rgb="001C3A36"/>
      <sz val="10"/>
    </font>
    <font>
      <color rgb="001F4E9C"/>
      <sz val="10"/>
    </font>
    <font>
      <i val="1"/>
      <color rgb="006E7B77"/>
      <sz val="8.5"/>
    </font>
    <font>
      <color rgb="002E6B4F"/>
      <sz val="10"/>
    </font>
    <font>
      <b val="1"/>
      <color rgb="002E6B4F"/>
      <sz val="10"/>
    </font>
  </fonts>
  <fills count="4">
    <fill>
      <patternFill/>
    </fill>
    <fill>
      <patternFill patternType="gray125"/>
    </fill>
    <fill>
      <patternFill patternType="solid">
        <fgColor rgb="001C3A36"/>
      </patternFill>
    </fill>
    <fill>
      <patternFill patternType="solid">
        <fgColor rgb="00EAF0EE"/>
      </patternFill>
    </fill>
  </fills>
  <borders count="1">
    <border>
      <left/>
      <right/>
      <top/>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bottom" wrapText="1"/>
    </xf>
    <xf numFmtId="0" fontId="4" fillId="3" borderId="0" pivotButton="0" quotePrefix="0" xfId="0"/>
    <xf numFmtId="0" fontId="0" fillId="3" borderId="0" pivotButton="0" quotePrefix="0" xfId="0"/>
    <xf numFmtId="0" fontId="5" fillId="0" borderId="0" pivotButton="0" quotePrefix="0" xfId="0"/>
    <xf numFmtId="4" fontId="6" fillId="0" borderId="0" pivotButton="0" quotePrefix="0" xfId="0"/>
    <xf numFmtId="164" fontId="6" fillId="0" borderId="0" pivotButton="0" quotePrefix="0" xfId="0"/>
    <xf numFmtId="3" fontId="6" fillId="0" borderId="0" pivotButton="0" quotePrefix="0" xfId="0"/>
    <xf numFmtId="165" fontId="6" fillId="0" borderId="0" pivotButton="0" quotePrefix="0" xfId="0"/>
    <xf numFmtId="10" fontId="6" fillId="0" borderId="0" pivotButton="0" quotePrefix="0" xfId="0"/>
    <xf numFmtId="2" fontId="6" fillId="0" borderId="0" pivotButton="0" quotePrefix="0" xfId="0"/>
    <xf numFmtId="166" fontId="6" fillId="0" borderId="0" pivotButton="0" quotePrefix="0" xfId="0"/>
    <xf numFmtId="0" fontId="4" fillId="0" borderId="0" pivotButton="0" quotePrefix="0" xfId="0"/>
    <xf numFmtId="3" fontId="5" fillId="0" borderId="0" pivotButton="0" quotePrefix="0" xfId="0"/>
    <xf numFmtId="10" fontId="5" fillId="0" borderId="0" pivotButton="0" quotePrefix="0" xfId="0"/>
    <xf numFmtId="3" fontId="4" fillId="0" borderId="0" pivotButton="0" quotePrefix="0" xfId="0"/>
    <xf numFmtId="10" fontId="4" fillId="0" borderId="0" pivotButton="0" quotePrefix="0" xfId="0"/>
    <xf numFmtId="0" fontId="7" fillId="0" borderId="0" applyAlignment="1" pivotButton="0" quotePrefix="0" xfId="0">
      <alignment vertical="top" wrapText="1"/>
    </xf>
    <xf numFmtId="164" fontId="5" fillId="0" borderId="0" pivotButton="0" quotePrefix="0" xfId="0"/>
    <xf numFmtId="165" fontId="8" fillId="0" borderId="0" pivotButton="0" quotePrefix="0" xfId="0"/>
    <xf numFmtId="3" fontId="8" fillId="0" borderId="0" pivotButton="0" quotePrefix="0" xfId="0"/>
    <xf numFmtId="165" fontId="5" fillId="0" borderId="0" pivotButton="0" quotePrefix="0" xfId="0"/>
    <xf numFmtId="2" fontId="8" fillId="0" borderId="0" pivotButton="0" quotePrefix="0" xfId="0"/>
    <xf numFmtId="165" fontId="4" fillId="0" borderId="0" pivotButton="0" quotePrefix="0" xfId="0"/>
    <xf numFmtId="167" fontId="5" fillId="0" borderId="0" pivotButton="0" quotePrefix="0" xfId="0"/>
    <xf numFmtId="4" fontId="4" fillId="0" borderId="0" pivotButton="0" quotePrefix="0" xfId="0"/>
    <xf numFmtId="168" fontId="5" fillId="0" borderId="0" pivotButton="0" quotePrefix="0" xfId="0"/>
    <xf numFmtId="169" fontId="5" fillId="0" borderId="0" pivotButton="0" quotePrefix="0" xfId="0"/>
    <xf numFmtId="169" fontId="4" fillId="0" borderId="0" pivotButton="0" quotePrefix="0" xfId="0"/>
    <xf numFmtId="4" fontId="9" fillId="3" borderId="0" pivotButton="0" quotePrefix="0" xfId="0"/>
    <xf numFmtId="4" fontId="5" fillId="0" borderId="0" pivotButton="0" quotePrefix="0" xfId="0"/>
    <xf numFmtId="4" fontId="4" fillId="3" borderId="0" pivotButton="0" quotePrefix="0" xfId="0"/>
    <xf numFmtId="166"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3A36"/>
    <outlinePr summaryBelow="1" summaryRight="1"/>
    <pageSetUpPr/>
  </sheetPr>
  <dimension ref="A1:D20"/>
  <sheetViews>
    <sheetView showGridLines="0" workbookViewId="0">
      <selection activeCell="A1" sqref="A1"/>
    </sheetView>
  </sheetViews>
  <sheetFormatPr baseColWidth="8" defaultRowHeight="15"/>
  <cols>
    <col width="10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Read this first</t>
        </is>
      </c>
    </row>
    <row r="3">
      <c r="A3" s="2" t="n"/>
      <c r="B3" s="2" t="n"/>
      <c r="C3" s="2" t="n"/>
      <c r="D3" s="2" t="n"/>
    </row>
    <row r="5" ht="14" customHeight="1">
      <c r="A5" s="3" t="inlineStr">
        <is>
          <t>THE RULE</t>
        </is>
      </c>
    </row>
    <row r="6" ht="14" customHeight="1">
      <c r="A6" s="3" t="inlineStr">
        <is>
          <t>IT CALCULATES. IT DOES NOT STORE.</t>
        </is>
      </c>
    </row>
    <row r="7" ht="14" customHeight="1">
      <c r="A7" s="4" t="inlineStr"/>
    </row>
    <row r="8" ht="36" customHeight="1">
      <c r="A8" s="4" t="inlineStr">
        <is>
          <t>Exactly ONE class of cell is pasted in this workbook: a figure read off an audited or disclosed filing, or a stated house judgement. Those are the blue cells on Assumptions, and the blue lever cells that define each sensitivity grid point. Everything else is a live formula.</t>
        </is>
      </c>
    </row>
    <row r="9" ht="14" customHeight="1">
      <c r="A9" s="4" t="inlineStr"/>
    </row>
    <row r="10" ht="48" customHeight="1">
      <c r="A10" s="4" t="inlineStr">
        <is>
          <t>The previous edition also pasted its sensitivity grids, its beta sweep and its bear and bull columns, on the grounds that each is a whole-model re-run and a re-run cannot be written inside a grid. That was 27.6% of the file, and it was the part a reader would most want to interrogate. Three of those pasted rows turned out not to reproduce.</t>
        </is>
      </c>
    </row>
    <row r="11" ht="14" customHeight="1">
      <c r="A11" s="4" t="inlineStr"/>
    </row>
    <row r="12" ht="36" customHeight="1">
      <c r="A12" s="4" t="inlineStr">
        <is>
          <t>The Sensitivity sheet now writes the entire forecast engine out again, in formulas, once for every grid point. Change any driver on Assumptions and every sensitivity cell in the file moves with it.</t>
        </is>
      </c>
    </row>
    <row r="13" ht="14" customHeight="1">
      <c r="A13" s="4" t="inlineStr"/>
    </row>
    <row r="14" ht="14" customHeight="1">
      <c r="A14" s="3" t="inlineStr">
        <is>
          <t>WHAT IS AUDITED AND WHAT IS NOT</t>
        </is>
      </c>
    </row>
    <row r="15" ht="48" customHeight="1">
      <c r="A15" s="4" t="inlineStr">
        <is>
          <t>The base year is the twelve months to 30 June 2026. The first half of it — July to December 2025 — is AUDITED by Crowe with an unqualified opinion. The second half — January to June 2026 — is REPORTED: a disclosure to the Egyptian Exchange dated 29-30 July 2026, not a filing. Half of this base year is a press release and the study says so wherever it uses it.</t>
        </is>
      </c>
    </row>
    <row r="16" ht="14" customHeight="1">
      <c r="A16" s="4" t="inlineStr"/>
    </row>
    <row r="17" ht="48" customHeight="1">
      <c r="A17" s="4" t="inlineStr">
        <is>
          <t>The gross profit of that reported half is NOT used as released. Run through the company's own first-quarter expense run rates the released figure implies a profit after tax about 12.6% above the profit the same release reports. The gross profit used here is solved from the profit line, which passes two independent coherence tests. Base Year rows 13 to 17 show the whole test.</t>
        </is>
      </c>
    </row>
    <row r="18" ht="14" customHeight="1">
      <c r="A18" s="4" t="inlineStr"/>
    </row>
    <row r="19" ht="14" customHeight="1">
      <c r="A19" s="3" t="inlineStr">
        <is>
          <t>THE ONE OPERATING INPUT THAT IS NOT READ OFF A FILING</t>
        </is>
      </c>
    </row>
    <row r="20" ht="48" customHeight="1">
      <c r="A20" s="4" t="inlineStr">
        <is>
          <t>Note 15-A discloses the cost stack for the company and not by line. The processing-intensity weights on Assumptions are therefore a judgement, and the per-line margins depend on them. They are registered, dated and sensitised like every other input rather than hidden inside a formula.</t>
        </is>
      </c>
    </row>
  </sheetData>
  <mergeCells count="16">
    <mergeCell ref="A5:D5"/>
    <mergeCell ref="A17:D17"/>
    <mergeCell ref="A9:D9"/>
    <mergeCell ref="A18:D18"/>
    <mergeCell ref="A8:D8"/>
    <mergeCell ref="A6:D6"/>
    <mergeCell ref="A12:D12"/>
    <mergeCell ref="A20:D20"/>
    <mergeCell ref="A15:D15"/>
    <mergeCell ref="A7:D7"/>
    <mergeCell ref="A16:D16"/>
    <mergeCell ref="A11:D11"/>
    <mergeCell ref="A19:D19"/>
    <mergeCell ref="A10:D10"/>
    <mergeCell ref="A13:D13"/>
    <mergeCell ref="A14:D14"/>
  </mergeCells>
  <pageMargins left="0.75" right="0.75" top="1" bottom="1" header="0.5" footer="0.5"/>
</worksheet>
</file>

<file path=xl/worksheets/sheet2.xml><?xml version="1.0" encoding="utf-8"?>
<worksheet xmlns="http://schemas.openxmlformats.org/spreadsheetml/2006/main">
  <sheetPr>
    <tabColor rgb="001C3A36"/>
    <outlinePr summaryBelow="1" summaryRight="1"/>
    <pageSetUpPr/>
  </sheetPr>
  <dimension ref="A1:F171"/>
  <sheetViews>
    <sheetView showGridLines="0" workbookViewId="0">
      <selection activeCell="A1" sqref="A1"/>
    </sheetView>
  </sheetViews>
  <sheetFormatPr baseColWidth="8" defaultRowHeight="15"/>
  <cols>
    <col width="44" customWidth="1" min="1" max="1"/>
    <col width="16" customWidth="1" min="2" max="2"/>
    <col width="12" customWidth="1" min="3" max="3"/>
    <col width="11" customWidth="1" min="4" max="4"/>
    <col width="9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Assumptions — every driver, with the filing it was read from</t>
        </is>
      </c>
    </row>
    <row r="2" ht="32" customHeight="1">
      <c r="A2" s="5" t="inlineStr">
        <is>
          <t>Blue cells are the ONLY pasted values in this workbook. Every one is a figure read off an audited or disclosed filing, or a stated house judgement. There is no third class: the previous edition also pasted its sensitivity grids and its bear and bull columns because each is a whole-model re-run; those re-runs are now written out as live formula blocks on the Sensitivity sheet, so a reader can change a driver here and watch every one of them move.</t>
        </is>
      </c>
    </row>
    <row r="3">
      <c r="A3" s="2" t="n"/>
      <c r="B3" s="2" t="n"/>
      <c r="C3" s="2" t="n"/>
      <c r="D3" s="2" t="n"/>
      <c r="E3" s="2" t="n"/>
      <c r="F3" s="2" t="n"/>
    </row>
    <row r="5">
      <c r="A5" s="6" t="inlineStr">
        <is>
          <t>Driver</t>
        </is>
      </c>
      <c r="B5" s="6" t="inlineStr">
        <is>
          <t>Value</t>
        </is>
      </c>
      <c r="C5" s="6" t="inlineStr">
        <is>
          <t>Ring</t>
        </is>
      </c>
      <c r="D5" s="6" t="inlineStr">
        <is>
          <t>Date</t>
        </is>
      </c>
      <c r="E5" s="6" t="inlineStr">
        <is>
          <t>Source</t>
        </is>
      </c>
    </row>
    <row r="6">
      <c r="A6" s="7" t="inlineStr">
        <is>
          <t>MARKET AND CAPITAL</t>
        </is>
      </c>
      <c r="B6" s="8" t="n"/>
      <c r="C6" s="8" t="n"/>
      <c r="D6" s="8" t="n"/>
      <c r="E6" s="8" t="n"/>
      <c r="F6" s="8" t="n"/>
    </row>
    <row r="7" ht="14" customHeight="1">
      <c r="A7" s="9" t="inlineStr">
        <is>
          <t>Spot price, EGP</t>
        </is>
      </c>
      <c r="B7" s="10" t="n">
        <v>9.1</v>
      </c>
      <c r="C7" s="9" t="inlineStr">
        <is>
          <t>Company</t>
        </is>
      </c>
      <c r="D7" s="9" t="inlineStr">
        <is>
          <t>2026-08-06</t>
        </is>
      </c>
      <c r="E7" s="4" t="inlineStr">
        <is>
          <t>AMOC closing price on the Egyptian Exchange, 6 August 2026</t>
        </is>
      </c>
    </row>
    <row r="8" ht="20" customHeight="1">
      <c r="A8" s="9" t="inlineStr">
        <is>
          <t>Shares outstanding, mn</t>
        </is>
      </c>
      <c r="B8" s="11" t="n">
        <v>1291.5</v>
      </c>
      <c r="C8" s="9" t="inlineStr">
        <is>
          <t>Company</t>
        </is>
      </c>
      <c r="D8" s="9" t="inlineStr">
        <is>
          <t>2025-12-31</t>
        </is>
      </c>
      <c r="E8" s="4" t="inlineStr">
        <is>
          <t>Issued and paid-up capital EGP 1,291,500,000 at EGP 1 par = 1,291,500,000 shares (note 18-L, share split to EGP 1 par recorded in the Commercial Register 24-Jan-2018)</t>
        </is>
      </c>
    </row>
    <row r="9">
      <c r="A9" s="7" t="inlineStr">
        <is>
          <t>THE TWELVE MONTHS TO 30 JUNE 2026 — the base year</t>
        </is>
      </c>
      <c r="B9" s="8" t="n"/>
      <c r="C9" s="8" t="n"/>
      <c r="D9" s="8" t="n"/>
      <c r="E9" s="8" t="n"/>
      <c r="F9" s="8" t="n"/>
    </row>
    <row r="10" ht="20" customHeight="1">
      <c r="A10" s="9" t="inlineStr">
        <is>
          <t>Net sales, 6M to 31-Dec-2025 (AUDITED)</t>
        </is>
      </c>
      <c r="B10" s="12" t="n">
        <v>20735725812</v>
      </c>
      <c r="C10" s="9" t="inlineStr">
        <is>
          <t>Company</t>
        </is>
      </c>
      <c r="D10" s="9" t="inlineStr">
        <is>
          <t>2025-12-31</t>
        </is>
      </c>
      <c r="E10" s="4" t="inlineStr">
        <is>
          <t>Net sales, six months to 31-Dec-2025. Audited consolidated FS, transition period 1-Jul-2025 to 31-Dec-2025, Crowe unqualified, 18-Feb-2026</t>
        </is>
      </c>
    </row>
    <row r="11" ht="20" customHeight="1">
      <c r="A11" s="9" t="inlineStr">
        <is>
          <t>Cost of sales, 6M to 31-Dec-2025 (AUDITED)</t>
        </is>
      </c>
      <c r="B11" s="12" t="n">
        <v>19461550746</v>
      </c>
      <c r="C11" s="9" t="inlineStr">
        <is>
          <t>Company</t>
        </is>
      </c>
      <c r="D11" s="9" t="inlineStr">
        <is>
          <t>2025-12-31</t>
        </is>
      </c>
      <c r="E11" s="4" t="inlineStr">
        <is>
          <t>Cost of sales, six months to 31-Dec-2025. Audited consolidated FS, transition period 1-Jul-2025 to 31-Dec-2025, Crowe unqualified, 18-Feb-2026</t>
        </is>
      </c>
    </row>
    <row r="12" ht="20" customHeight="1">
      <c r="A12" s="9" t="inlineStr">
        <is>
          <t>Net sales, 6M to 30-Jun-2026 (REPORTED)</t>
        </is>
      </c>
      <c r="B12" s="12" t="n">
        <v>26223000000</v>
      </c>
      <c r="C12" s="9" t="inlineStr">
        <is>
          <t>Company</t>
        </is>
      </c>
      <c r="D12" s="9" t="inlineStr">
        <is>
          <t>2026-06-30</t>
        </is>
      </c>
      <c r="E12" s="4" t="inlineStr">
        <is>
          <t>Net sales, six months to 30-Jun-2026. Half-year results for 1-Jan to 30-Jun-2026, disclosed to the Egyptian Exchange 29-30 July 2026. REPORTED, NOT AUDITED — a press release, not a filing</t>
        </is>
      </c>
    </row>
    <row r="13" ht="20" customHeight="1">
      <c r="A13" s="9" t="inlineStr">
        <is>
          <t>Profit after tax, 6M to 30-Jun-2026 (REPORTED)</t>
        </is>
      </c>
      <c r="B13" s="12" t="n">
        <v>1903000000</v>
      </c>
      <c r="C13" s="9" t="inlineStr">
        <is>
          <t>Company</t>
        </is>
      </c>
      <c r="D13" s="9" t="inlineStr">
        <is>
          <t>2026-06-30</t>
        </is>
      </c>
      <c r="E13" s="4" t="inlineStr">
        <is>
          <t>Net profit after tax, six months to 30-Jun-2026. Half-year results for 1-Jan to 30-Jun-2026, disclosed to the Egyptian Exchange 29-30 July 2026. REPORTED, NOT AUDITED — a press release, not a filing</t>
        </is>
      </c>
    </row>
    <row r="14" ht="50" customHeight="1">
      <c r="A14" s="9" t="inlineStr">
        <is>
          <t>Gross profit as RELEASED — rejected, see coherence test</t>
        </is>
      </c>
      <c r="B14" s="12" t="n">
        <v>3258000000</v>
      </c>
      <c r="C14" s="9" t="inlineStr">
        <is>
          <t>Company</t>
        </is>
      </c>
      <c r="D14" s="9" t="inlineStr">
        <is>
          <t>2026-06-30</t>
        </is>
      </c>
      <c r="E14" s="4" t="inlineStr">
        <is>
          <t>Gross profit, six months to 30-Jun-2026, AS RELEASED. This study does NOT use this figure: run through the company's own Q1-2026 expense run rates it implies a profit after tax about 12.6% above the profit the same release reports. The gross profit actually used is SOLVED from the release's own profit line, which two independent coherence tests confirm. Half-year results for 1-Jan to 30-Jun-2026, disclosed to the Egyptian Exchange 29-30 July 2026. REPORTED, NOT AUDITED — a press release, not a filing</t>
        </is>
      </c>
    </row>
    <row r="15" ht="14" customHeight="1">
      <c r="A15" s="9" t="inlineStr">
        <is>
          <t>Net sales, 3M to 31-Mar-2026 (reviewed)</t>
        </is>
      </c>
      <c r="B15" s="12" t="n">
        <v>10510779160</v>
      </c>
      <c r="C15" s="9" t="inlineStr">
        <is>
          <t>Company</t>
        </is>
      </c>
      <c r="D15" s="9" t="inlineStr">
        <is>
          <t>2026-03-31</t>
        </is>
      </c>
      <c r="E15" s="4" t="inlineStr">
        <is>
          <t>Net sales, three months to 31-Mar-2026. Reviewed consolidated FS, three months to 31-Mar-2026</t>
        </is>
      </c>
    </row>
    <row r="16" ht="14" customHeight="1">
      <c r="A16" s="9" t="inlineStr">
        <is>
          <t>Cost of sales, 3M to 31-Mar-2026 (reviewed)</t>
        </is>
      </c>
      <c r="B16" s="12" t="n">
        <v>9439744195</v>
      </c>
      <c r="C16" s="9" t="inlineStr">
        <is>
          <t>Company</t>
        </is>
      </c>
      <c r="D16" s="9" t="inlineStr">
        <is>
          <t>2026-03-31</t>
        </is>
      </c>
      <c r="E16" s="4" t="inlineStr">
        <is>
          <t>Cost of sales, three months to 31-Mar-2026. Reviewed consolidated FS, three months to 31-Mar-2026</t>
        </is>
      </c>
    </row>
    <row r="17" ht="20" customHeight="1">
      <c r="A17" s="9" t="inlineStr">
        <is>
          <t>Administrative expense, 3M to 31-Mar-2026</t>
        </is>
      </c>
      <c r="B17" s="12" t="n">
        <v>365952237</v>
      </c>
      <c r="C17" s="9" t="inlineStr">
        <is>
          <t>Company</t>
        </is>
      </c>
      <c r="D17" s="9" t="inlineStr">
        <is>
          <t>2026-03-31</t>
        </is>
      </c>
      <c r="E17" s="4" t="inlineStr">
        <is>
          <t>General and administrative expenses, three months to 31-Mar-2026. Reviewed consolidated FS, three months to 31-Mar-2026</t>
        </is>
      </c>
    </row>
    <row r="18" ht="20" customHeight="1">
      <c r="A18" s="9" t="inlineStr">
        <is>
          <t>Selling expense, 3M to 31-Mar-2026</t>
        </is>
      </c>
      <c r="B18" s="12" t="n">
        <v>60830975</v>
      </c>
      <c r="C18" s="9" t="inlineStr">
        <is>
          <t>Company</t>
        </is>
      </c>
      <c r="D18" s="9" t="inlineStr">
        <is>
          <t>2026-03-31</t>
        </is>
      </c>
      <c r="E18" s="4" t="inlineStr">
        <is>
          <t>Marketing and selling expenses, three months to 31-Mar-2026. Reviewed consolidated FS, three months to 31-Mar-2026</t>
        </is>
      </c>
    </row>
    <row r="19" ht="20" customHeight="1">
      <c r="A19" s="9" t="inlineStr">
        <is>
          <t>Other operating expense, 3M to 31-Mar-2026</t>
        </is>
      </c>
      <c r="B19" s="12" t="n">
        <v>1080000</v>
      </c>
      <c r="C19" s="9" t="inlineStr">
        <is>
          <t>Company</t>
        </is>
      </c>
      <c r="D19" s="9" t="inlineStr">
        <is>
          <t>2026-03-31</t>
        </is>
      </c>
      <c r="E19" s="4" t="inlineStr">
        <is>
          <t>Other operating expenses, three months to 31-Mar-2026. Reviewed consolidated FS, three months to 31-Mar-2026</t>
        </is>
      </c>
    </row>
    <row r="20" ht="14" customHeight="1">
      <c r="A20" s="9" t="inlineStr">
        <is>
          <t>Other revenue, 3M to 31-Mar-2026</t>
        </is>
      </c>
      <c r="B20" s="12" t="n">
        <v>225556509</v>
      </c>
      <c r="C20" s="9" t="inlineStr">
        <is>
          <t>Company</t>
        </is>
      </c>
      <c r="D20" s="9" t="inlineStr">
        <is>
          <t>2026-03-31</t>
        </is>
      </c>
      <c r="E20" s="4" t="inlineStr">
        <is>
          <t>Other revenue, three months to 31-Mar-2026. Reviewed consolidated FS, three months to 31-Mar-2026</t>
        </is>
      </c>
    </row>
    <row r="21" ht="14" customHeight="1">
      <c r="A21" s="9" t="inlineStr">
        <is>
          <t>Formed provisions, 3M to 31-Mar-2026</t>
        </is>
      </c>
      <c r="B21" s="12" t="n">
        <v>30000000</v>
      </c>
      <c r="C21" s="9" t="inlineStr">
        <is>
          <t>Company</t>
        </is>
      </c>
      <c r="D21" s="9" t="inlineStr">
        <is>
          <t>2026-03-31</t>
        </is>
      </c>
      <c r="E21" s="4" t="inlineStr">
        <is>
          <t>Formed provisions, three months to 31-Mar-2026. Reviewed consolidated FS, three months to 31-Mar-2026</t>
        </is>
      </c>
    </row>
    <row r="22" ht="20" customHeight="1">
      <c r="A22" s="9" t="inlineStr">
        <is>
          <t>Expected credit losses, 3M to 31-Mar-2026</t>
        </is>
      </c>
      <c r="B22" s="12" t="n">
        <v>20323123</v>
      </c>
      <c r="C22" s="9" t="inlineStr">
        <is>
          <t>Company</t>
        </is>
      </c>
      <c r="D22" s="9" t="inlineStr">
        <is>
          <t>2026-03-31</t>
        </is>
      </c>
      <c r="E22" s="4" t="inlineStr">
        <is>
          <t>Expected credit losses formed, three months to 31-Mar-2026. Reviewed consolidated FS, three months to 31-Mar-2026</t>
        </is>
      </c>
    </row>
    <row r="23" ht="14" customHeight="1">
      <c r="A23" s="9" t="inlineStr">
        <is>
          <t>Finance cost, 3M to 31-Mar-2026</t>
        </is>
      </c>
      <c r="B23" s="12" t="n">
        <v>982219</v>
      </c>
      <c r="C23" s="9" t="inlineStr">
        <is>
          <t>Company</t>
        </is>
      </c>
      <c r="D23" s="9" t="inlineStr">
        <is>
          <t>2026-03-31</t>
        </is>
      </c>
      <c r="E23" s="4" t="inlineStr">
        <is>
          <t>Finance cost, three months to 31-Mar-2026. Reviewed consolidated FS, three months to 31-Mar-2026</t>
        </is>
      </c>
    </row>
    <row r="24" ht="20" customHeight="1">
      <c r="A24" s="9" t="inlineStr">
        <is>
          <t>Administrative expense, 6M to 31-Dec-2025</t>
        </is>
      </c>
      <c r="B24" s="12" t="n">
        <v>585636101</v>
      </c>
      <c r="C24" s="9" t="inlineStr">
        <is>
          <t>Company</t>
        </is>
      </c>
      <c r="D24" s="9" t="inlineStr">
        <is>
          <t>2025-12-31</t>
        </is>
      </c>
      <c r="E24" s="4" t="inlineStr">
        <is>
          <t>General and administrative expenses, six months to 31-Dec-2025 (note 15-B). Audited consolidated FS, transition period 1-Jul-2025 to 31-Dec-2025, Crowe unqualified, 18-Feb-2026</t>
        </is>
      </c>
    </row>
    <row r="25" ht="20" customHeight="1">
      <c r="A25" s="9" t="inlineStr">
        <is>
          <t>Selling expense, 6M to 31-Dec-2025</t>
        </is>
      </c>
      <c r="B25" s="12" t="n">
        <v>93729199</v>
      </c>
      <c r="C25" s="9" t="inlineStr">
        <is>
          <t>Company</t>
        </is>
      </c>
      <c r="D25" s="9" t="inlineStr">
        <is>
          <t>2025-12-31</t>
        </is>
      </c>
      <c r="E25" s="4" t="inlineStr">
        <is>
          <t>Marketing and selling expenses, six months to 31-Dec-2025 (note 15-C). Audited consolidated FS, transition period 1-Jul-2025 to 31-Dec-2025, Crowe unqualified, 18-Feb-2026</t>
        </is>
      </c>
    </row>
    <row r="26" ht="30" customHeight="1">
      <c r="A26" s="9" t="inlineStr">
        <is>
          <t>Other operating expense, 6M to 31-Dec-2025</t>
        </is>
      </c>
      <c r="B26" s="12" t="n">
        <v>108781309</v>
      </c>
      <c r="C26" s="9" t="inlineStr">
        <is>
          <t>Company</t>
        </is>
      </c>
      <c r="D26" s="9" t="inlineStr">
        <is>
          <t>2025-12-25</t>
        </is>
      </c>
      <c r="E26" s="4" t="inlineStr">
        <is>
          <t>Other operating expenses, six months to 31-Dec-2025 (note 15-D): compensation and fines 101,393,395, donations 5,162,500, board transport and attendance 2,225,414. Audited consolidated FS, transition period 1-Jul-2025 to 31-Dec-2025, Crowe unqualified, 18-Feb-2026</t>
        </is>
      </c>
    </row>
    <row r="27" ht="20" customHeight="1">
      <c r="A27" s="9" t="inlineStr">
        <is>
          <t>Formed provisions, 6M to 31-Dec-2025</t>
        </is>
      </c>
      <c r="B27" s="12" t="n">
        <v>2467769</v>
      </c>
      <c r="C27" s="9" t="inlineStr">
        <is>
          <t>Company</t>
        </is>
      </c>
      <c r="D27" s="9" t="inlineStr">
        <is>
          <t>2025-12-31</t>
        </is>
      </c>
      <c r="E27" s="4" t="inlineStr">
        <is>
          <t>Formed provisions charged in the six months to 31-Dec-2025. Audited consolidated FS, transition period 1-Jul-2025 to 31-Dec-2025, Crowe unqualified, 18-Feb-2026</t>
        </is>
      </c>
    </row>
    <row r="28" ht="40" customHeight="1">
      <c r="A28" s="9" t="inlineStr">
        <is>
          <t>Depreciation, 6M to 31-Dec-2025</t>
        </is>
      </c>
      <c r="B28" s="12" t="n">
        <v>70125269</v>
      </c>
      <c r="C28" s="9" t="inlineStr">
        <is>
          <t>Company</t>
        </is>
      </c>
      <c r="D28" s="9" t="inlineStr">
        <is>
          <t>2025-12-31</t>
        </is>
      </c>
      <c r="E28" s="4" t="inlineStr">
        <is>
          <t>Fixed-asset depreciation and right-of-use amortisation charged in the six months to 31-Dec-2025, per the cash-flow statement. The previous edition modelled depreciation at 1.1% of revenue, about 440mn a year against an actual near 150mn. Audited consolidated FS, transition period 1-Jul-2025 to 31-Dec-2025, Crowe unqualified, 18-Feb-2026</t>
        </is>
      </c>
    </row>
    <row r="29" ht="20" customHeight="1">
      <c r="A29" s="9" t="inlineStr">
        <is>
          <t>Depreciation, 3M to 31-Mar-2026</t>
        </is>
      </c>
      <c r="B29" s="12" t="n">
        <v>40597611</v>
      </c>
      <c r="C29" s="9" t="inlineStr">
        <is>
          <t>Company</t>
        </is>
      </c>
      <c r="D29" s="9" t="inlineStr">
        <is>
          <t>2026-03-31</t>
        </is>
      </c>
      <c r="E29" s="4" t="inlineStr">
        <is>
          <t>Fixed-asset depreciation and right-of-use amortisation, Q1-2026. Reviewed consolidated FS, three months to 31-Mar-2026</t>
        </is>
      </c>
    </row>
    <row r="30" ht="40" customHeight="1">
      <c r="A30" s="9" t="inlineStr">
        <is>
          <t>Cash capital expenditure, 6M to 31-Dec-2025</t>
        </is>
      </c>
      <c r="B30" s="12" t="n">
        <v>30357299</v>
      </c>
      <c r="C30" s="9" t="inlineStr">
        <is>
          <t>Company</t>
        </is>
      </c>
      <c r="D30" s="9" t="inlineStr">
        <is>
          <t>2025-12-31</t>
        </is>
      </c>
      <c r="E30" s="4" t="inlineStr">
        <is>
          <t>CASH PAID for projects under construction and fixed assets in the six months to 31-Dec-2025. The previous edition modelled capital expenditure at 1.45% of revenue — about 649mn in the first forecast year — against an actual of roughly a tenth of that. Audited consolidated FS, transition period 1-Jul-2025 to 31-Dec-2025, Crowe unqualified, 18-Feb-2026</t>
        </is>
      </c>
    </row>
    <row r="31" ht="20" customHeight="1">
      <c r="A31" s="9" t="inlineStr">
        <is>
          <t>Cash capital expenditure, 3M to 31-Mar-2026</t>
        </is>
      </c>
      <c r="B31" s="12" t="n">
        <v>64984482</v>
      </c>
      <c r="C31" s="9" t="inlineStr">
        <is>
          <t>Company</t>
        </is>
      </c>
      <c r="D31" s="9" t="inlineStr">
        <is>
          <t>2026-03-31</t>
        </is>
      </c>
      <c r="E31" s="4" t="inlineStr">
        <is>
          <t>Cash paid for projects under construction and fixed assets, Q1-2026. Reviewed consolidated FS, three months to 31-Mar-2026</t>
        </is>
      </c>
    </row>
    <row r="32" ht="20" customHeight="1">
      <c r="A32" s="9" t="inlineStr">
        <is>
          <t>Credit interest, 6M to 31-Dec-2025</t>
        </is>
      </c>
      <c r="B32" s="12" t="n">
        <v>173216413</v>
      </c>
      <c r="C32" s="9" t="inlineStr">
        <is>
          <t>Company</t>
        </is>
      </c>
      <c r="D32" s="9" t="inlineStr">
        <is>
          <t>2025-12-31</t>
        </is>
      </c>
      <c r="E32" s="4" t="inlineStr">
        <is>
          <t>Credit interest earned in the six months to 31-Dec-2025, per note 14-B and the cash-flow statement. Audited consolidated FS, transition period 1-Jul-2025 to 31-Dec-2025, Crowe unqualified, 18-Feb-2026</t>
        </is>
      </c>
    </row>
    <row r="33" ht="14" customHeight="1">
      <c r="A33" s="9" t="inlineStr">
        <is>
          <t>Credit interest, 3M to 31-Mar-2026</t>
        </is>
      </c>
      <c r="B33" s="12" t="n">
        <v>64104178</v>
      </c>
      <c r="C33" s="9" t="inlineStr">
        <is>
          <t>Company</t>
        </is>
      </c>
      <c r="D33" s="9" t="inlineStr">
        <is>
          <t>2026-03-31</t>
        </is>
      </c>
      <c r="E33" s="4" t="inlineStr">
        <is>
          <t>Credit interest earned in Q1-2026. Reviewed consolidated FS, three months to 31-Mar-2026</t>
        </is>
      </c>
    </row>
    <row r="34" ht="30" customHeight="1">
      <c r="A34" s="9" t="inlineStr">
        <is>
          <t>Employees' profit share and board bonuses, 6M</t>
        </is>
      </c>
      <c r="B34" s="12" t="n">
        <v>67467871</v>
      </c>
      <c r="C34" s="9" t="inlineStr">
        <is>
          <t>Company</t>
        </is>
      </c>
      <c r="D34" s="9" t="inlineStr">
        <is>
          <t>2025-12-31</t>
        </is>
      </c>
      <c r="E34" s="4" t="inlineStr">
        <is>
          <t>Employees' profit share and board bonuses deducted in arriving at earnings per share (note 16). A real distribution out of profit that the previous edition of this study did not model at all. Audited consolidated FS, transition period 1-Jul-2025 to 31-Dec-2025, Crowe unqualified, 18-Feb-2026</t>
        </is>
      </c>
    </row>
    <row r="35" ht="20" customHeight="1">
      <c r="A35" s="9" t="inlineStr">
        <is>
          <t>Profit after tax, 6M to 31-Dec-2025 (AUDITED)</t>
        </is>
      </c>
      <c r="B35" s="12" t="n">
        <v>656428711</v>
      </c>
      <c r="C35" s="9" t="inlineStr">
        <is>
          <t>Company</t>
        </is>
      </c>
      <c r="D35" s="9" t="inlineStr">
        <is>
          <t>2025-12-31</t>
        </is>
      </c>
      <c r="E35" s="4" t="inlineStr">
        <is>
          <t>Net profit after tax, six months to 31-Dec-2025. Audited consolidated FS, transition period 1-Jul-2025 to 31-Dec-2025, Crowe unqualified, 18-Feb-2026</t>
        </is>
      </c>
    </row>
    <row r="36" ht="20" customHeight="1">
      <c r="A36" s="9" t="inlineStr">
        <is>
          <t>Minority share of profit, 6M to 31-Dec-2025</t>
        </is>
      </c>
      <c r="B36" s="12" t="n">
        <v>30488250</v>
      </c>
      <c r="C36" s="9" t="inlineStr">
        <is>
          <t>Company</t>
        </is>
      </c>
      <c r="D36" s="9" t="inlineStr">
        <is>
          <t>2025-12-31</t>
        </is>
      </c>
      <c r="E36" s="4" t="inlineStr">
        <is>
          <t>Non-controlling interest share of profit, six months to 31-Dec-2025. Audited consolidated FS, transition period 1-Jul-2025 to 31-Dec-2025, Crowe unqualified, 18-Feb-2026</t>
        </is>
      </c>
    </row>
    <row r="37" ht="20" customHeight="1">
      <c r="A37" s="9" t="inlineStr">
        <is>
          <t>Minority share of profit, 3M to 31-Mar-2026</t>
        </is>
      </c>
      <c r="B37" s="12" t="n">
        <v>22627676</v>
      </c>
      <c r="C37" s="9" t="inlineStr">
        <is>
          <t>Company</t>
        </is>
      </c>
      <c r="D37" s="9" t="inlineStr">
        <is>
          <t>2026-03-31</t>
        </is>
      </c>
      <c r="E37" s="4" t="inlineStr">
        <is>
          <t>Non-controlling interest share of profit, three months to 31-Mar-2026. Reviewed consolidated FS, three months to 31-Mar-2026</t>
        </is>
      </c>
    </row>
    <row r="38" ht="20" customHeight="1">
      <c r="A38" s="9" t="inlineStr">
        <is>
          <t>Current tax, 6M to 31-Dec-2025</t>
        </is>
      </c>
      <c r="B38" s="12" t="n">
        <v>203945433</v>
      </c>
      <c r="C38" s="9" t="inlineStr">
        <is>
          <t>Company</t>
        </is>
      </c>
      <c r="D38" s="9" t="inlineStr">
        <is>
          <t>2025-12-31</t>
        </is>
      </c>
      <c r="E38" s="4" t="inlineStr">
        <is>
          <t>Current income tax, six months to 31-Dec-2025. Audited consolidated FS, transition period 1-Jul-2025 to 31-Dec-2025, Crowe unqualified, 18-Feb-2026</t>
        </is>
      </c>
    </row>
    <row r="39" ht="20" customHeight="1">
      <c r="A39" s="9" t="inlineStr">
        <is>
          <t>Deferred tax CREDIT, 6M to 31-Dec-2025</t>
        </is>
      </c>
      <c r="B39" s="12" t="n">
        <v>19441512</v>
      </c>
      <c r="C39" s="9" t="inlineStr">
        <is>
          <t>Company</t>
        </is>
      </c>
      <c r="D39" s="9" t="inlineStr">
        <is>
          <t>2025-12-31</t>
        </is>
      </c>
      <c r="E39" s="4" t="inlineStr">
        <is>
          <t>Deferred tax CREDIT, six months to 31-Dec-2025. Audited consolidated FS, transition period 1-Jul-2025 to 31-Dec-2025, Crowe unqualified, 18-Feb-2026</t>
        </is>
      </c>
    </row>
    <row r="40" ht="14" customHeight="1">
      <c r="A40" s="9" t="inlineStr">
        <is>
          <t>Current tax, 3M to 31-Mar-2026</t>
        </is>
      </c>
      <c r="B40" s="12" t="n">
        <v>175094101</v>
      </c>
      <c r="C40" s="9" t="inlineStr">
        <is>
          <t>Company</t>
        </is>
      </c>
      <c r="D40" s="9" t="inlineStr">
        <is>
          <t>2026-03-31</t>
        </is>
      </c>
      <c r="E40" s="4" t="inlineStr">
        <is>
          <t>Current income tax, three months to 31-Mar-2026. Reviewed consolidated FS, three months to 31-Mar-2026</t>
        </is>
      </c>
    </row>
    <row r="41" ht="20" customHeight="1">
      <c r="A41" s="9" t="inlineStr">
        <is>
          <t>Deferred tax, 3M to 31-Mar-2026</t>
        </is>
      </c>
      <c r="B41" s="12" t="n">
        <v>-7209684</v>
      </c>
      <c r="C41" s="9" t="inlineStr">
        <is>
          <t>Company</t>
        </is>
      </c>
      <c r="D41" s="9" t="inlineStr">
        <is>
          <t>2026-03-31</t>
        </is>
      </c>
      <c r="E41" s="4" t="inlineStr">
        <is>
          <t>Deferred tax EXPENSE (negative = charge), three months to 31-Mar-2026. Reviewed consolidated FS, three months to 31-Mar-2026</t>
        </is>
      </c>
    </row>
    <row r="42" ht="20" customHeight="1">
      <c r="A42" s="9" t="inlineStr">
        <is>
          <t>Investment income, 6M to 31-Dec-2025</t>
        </is>
      </c>
      <c r="B42" s="12" t="n">
        <v>13520000</v>
      </c>
      <c r="C42" s="9" t="inlineStr">
        <is>
          <t>Company</t>
        </is>
      </c>
      <c r="D42" s="9" t="inlineStr">
        <is>
          <t>2025-12-31</t>
        </is>
      </c>
      <c r="E42" s="4" t="inlineStr">
        <is>
          <t>Revenue from investments — dividend from Alexandria Specialized Petroleum Products Co (note 14-C). Audited consolidated FS, transition period 1-Jul-2025 to 31-Dec-2025, Crowe unqualified, 18-Feb-2026</t>
        </is>
      </c>
    </row>
    <row r="43" ht="50" customHeight="1">
      <c r="A43" s="9" t="inlineStr">
        <is>
          <t>Other revenue, 6M to 31-Dec-2025</t>
        </is>
      </c>
      <c r="B43" s="12" t="n">
        <v>345744052</v>
      </c>
      <c r="C43" s="9" t="inlineStr">
        <is>
          <t>Company</t>
        </is>
      </c>
      <c r="D43" s="9" t="inlineStr">
        <is>
          <t>2025-12-31</t>
        </is>
      </c>
      <c r="E43" s="4" t="inlineStr">
        <is>
          <t>Other revenue, six months to 31-Dec-2025 (note 14-B): credit interest 173,216,413, provision no longer required 154,301,640, reversed expected credit loss 1,870,481, compensations and fines 1,241,123, capital gains 326,000, miscellaneous 14,788,395. NOTE the foreign-exchange gain line is ZERO in this period, against 104,572,235 in the comparative half. Audited consolidated FS, transition period 1-Jul-2025 to 31-Dec-2025, Crowe unqualified, 18-Feb-2026</t>
        </is>
      </c>
    </row>
    <row r="44" ht="30" customHeight="1">
      <c r="A44" s="9" t="inlineStr">
        <is>
          <t>Finance cost, 6M to 31-Dec-2025</t>
        </is>
      </c>
      <c r="B44" s="12" t="n">
        <v>1892108</v>
      </c>
      <c r="C44" s="9" t="inlineStr">
        <is>
          <t>Company</t>
        </is>
      </c>
      <c r="D44" s="9" t="inlineStr">
        <is>
          <t>2025-12-31</t>
        </is>
      </c>
      <c r="E44" s="4" t="inlineStr">
        <is>
          <t>Finance expenses, six months to 31-Dec-2025 (note 15-E): loan interest and charges 1,130,556, lease interest 761,552. Audited consolidated FS, transition period 1-Jul-2025 to 31-Dec-2025, Crowe unqualified, 18-Feb-2026</t>
        </is>
      </c>
    </row>
    <row r="45">
      <c r="A45" s="7" t="inlineStr">
        <is>
          <t>NOTE 14-A — the audited product table, 6M to 31-Dec-2025</t>
        </is>
      </c>
      <c r="B45" s="8" t="n"/>
      <c r="C45" s="8" t="n"/>
      <c r="D45" s="8" t="n"/>
      <c r="E45" s="8" t="n"/>
      <c r="F45" s="8" t="n"/>
    </row>
    <row r="46" ht="20" customHeight="1">
      <c r="A46" s="9" t="inlineStr">
        <is>
          <t>Base and special oils — tonnes sold</t>
        </is>
      </c>
      <c r="B46" s="13" t="n">
        <v>54968.98</v>
      </c>
      <c r="C46" s="9" t="inlineStr">
        <is>
          <t>Company</t>
        </is>
      </c>
      <c r="D46" s="9" t="inlineStr">
        <is>
          <t>2025-12-31</t>
        </is>
      </c>
      <c r="E46" s="4" t="inlineStr">
        <is>
          <t>Tonnes sold by product line, six months to 31-Dec-2025 (note 14-A). Audited consolidated FS, transition period 1-Jul-2025 to 31-Dec-2025, Crowe unqualified, 18-Feb-2026</t>
        </is>
      </c>
    </row>
    <row r="47" ht="20" customHeight="1">
      <c r="A47" s="9" t="inlineStr">
        <is>
          <t>Paraffin wax — tonnes sold</t>
        </is>
      </c>
      <c r="B47" s="13" t="n">
        <v>41774.2</v>
      </c>
      <c r="C47" s="9" t="inlineStr">
        <is>
          <t>Company</t>
        </is>
      </c>
      <c r="D47" s="9" t="inlineStr">
        <is>
          <t>2025-12-31</t>
        </is>
      </c>
      <c r="E47" s="4" t="inlineStr">
        <is>
          <t>Tonnes sold by product line, six months to 31-Dec-2025 (note 14-A). Audited consolidated FS, transition period 1-Jul-2025 to 31-Dec-2025, Crowe unqualified, 18-Feb-2026</t>
        </is>
      </c>
    </row>
    <row r="48" ht="20" customHeight="1">
      <c r="A48" s="9" t="inlineStr">
        <is>
          <t>Gas oil — tonnes sold</t>
        </is>
      </c>
      <c r="B48" s="13" t="n">
        <v>171684.881</v>
      </c>
      <c r="C48" s="9" t="inlineStr">
        <is>
          <t>Company</t>
        </is>
      </c>
      <c r="D48" s="9" t="inlineStr">
        <is>
          <t>2025-12-31</t>
        </is>
      </c>
      <c r="E48" s="4" t="inlineStr">
        <is>
          <t>Tonnes sold by product line, six months to 31-Dec-2025 (note 14-A). Audited consolidated FS, transition period 1-Jul-2025 to 31-Dec-2025, Crowe unqualified, 18-Feb-2026</t>
        </is>
      </c>
    </row>
    <row r="49" ht="20" customHeight="1">
      <c r="A49" s="9" t="inlineStr">
        <is>
          <t>Naphtha — tonnes sold</t>
        </is>
      </c>
      <c r="B49" s="13" t="n">
        <v>41430.857</v>
      </c>
      <c r="C49" s="9" t="inlineStr">
        <is>
          <t>Company</t>
        </is>
      </c>
      <c r="D49" s="9" t="inlineStr">
        <is>
          <t>2025-12-31</t>
        </is>
      </c>
      <c r="E49" s="4" t="inlineStr">
        <is>
          <t>Tonnes sold by product line, six months to 31-Dec-2025 (note 14-A). Audited consolidated FS, transition period 1-Jul-2025 to 31-Dec-2025, Crowe unqualified, 18-Feb-2026</t>
        </is>
      </c>
    </row>
    <row r="50" ht="20" customHeight="1">
      <c r="A50" s="9" t="inlineStr">
        <is>
          <t>Liquefied petroleum gas — tonnes sold</t>
        </is>
      </c>
      <c r="B50" s="13" t="n">
        <v>23735.778</v>
      </c>
      <c r="C50" s="9" t="inlineStr">
        <is>
          <t>Company</t>
        </is>
      </c>
      <c r="D50" s="9" t="inlineStr">
        <is>
          <t>2025-12-31</t>
        </is>
      </c>
      <c r="E50" s="4" t="inlineStr">
        <is>
          <t>Tonnes sold by product line, six months to 31-Dec-2025 (note 14-A). Audited consolidated FS, transition period 1-Jul-2025 to 31-Dec-2025, Crowe unqualified, 18-Feb-2026</t>
        </is>
      </c>
    </row>
    <row r="51" ht="20" customHeight="1">
      <c r="A51" s="9" t="inlineStr">
        <is>
          <t>Fuel oil (mix) — tonnes sold</t>
        </is>
      </c>
      <c r="B51" s="13" t="n">
        <v>460153.6</v>
      </c>
      <c r="C51" s="9" t="inlineStr">
        <is>
          <t>Company</t>
        </is>
      </c>
      <c r="D51" s="9" t="inlineStr">
        <is>
          <t>2025-12-31</t>
        </is>
      </c>
      <c r="E51" s="4" t="inlineStr">
        <is>
          <t>Tonnes sold by product line, six months to 31-Dec-2025 (note 14-A). Audited consolidated FS, transition period 1-Jul-2025 to 31-Dec-2025, Crowe unqualified, 18-Feb-2026</t>
        </is>
      </c>
    </row>
    <row r="52" ht="20" customHeight="1">
      <c r="A52" s="9" t="inlineStr">
        <is>
          <t>Heavy fuel oil — tonnes sold</t>
        </is>
      </c>
      <c r="B52" s="13" t="n">
        <v>14327.52</v>
      </c>
      <c r="C52" s="9" t="inlineStr">
        <is>
          <t>Company</t>
        </is>
      </c>
      <c r="D52" s="9" t="inlineStr">
        <is>
          <t>2025-12-31</t>
        </is>
      </c>
      <c r="E52" s="4" t="inlineStr">
        <is>
          <t>Tonnes sold by product line, six months to 31-Dec-2025 (note 14-A). Audited consolidated FS, transition period 1-Jul-2025 to 31-Dec-2025, Crowe unqualified, 18-Feb-2026</t>
        </is>
      </c>
    </row>
    <row r="53" ht="20" customHeight="1">
      <c r="A53" s="9" t="inlineStr">
        <is>
          <t>Waste — tonnes sold</t>
        </is>
      </c>
      <c r="B53" s="13" t="n">
        <v>7.82</v>
      </c>
      <c r="C53" s="9" t="inlineStr">
        <is>
          <t>Company</t>
        </is>
      </c>
      <c r="D53" s="9" t="inlineStr">
        <is>
          <t>2025-12-31</t>
        </is>
      </c>
      <c r="E53" s="4" t="inlineStr">
        <is>
          <t>Tonnes sold by product line, six months to 31-Dec-2025 (note 14-A). Audited consolidated FS, transition period 1-Jul-2025 to 31-Dec-2025, Crowe unqualified, 18-Feb-2026</t>
        </is>
      </c>
    </row>
    <row r="54" ht="20" customHeight="1">
      <c r="A54" s="9" t="inlineStr">
        <is>
          <t>Base and special oils — sales value, EGP</t>
        </is>
      </c>
      <c r="B54" s="12" t="n">
        <v>2597280264</v>
      </c>
      <c r="C54" s="9" t="inlineStr">
        <is>
          <t>Company</t>
        </is>
      </c>
      <c r="D54" s="9" t="inlineStr">
        <is>
          <t>2025-12-31</t>
        </is>
      </c>
      <c r="E54" s="4" t="inlineStr">
        <is>
          <t>Sales value by product line, EGP, six months to 31-Dec-2025 (note 14-A). Audited consolidated FS, transition period 1-Jul-2025 to 31-Dec-2025, Crowe unqualified, 18-Feb-2026</t>
        </is>
      </c>
    </row>
    <row r="55" ht="20" customHeight="1">
      <c r="A55" s="9" t="inlineStr">
        <is>
          <t>Paraffin wax — sales value, EGP</t>
        </is>
      </c>
      <c r="B55" s="12" t="n">
        <v>2041969329</v>
      </c>
      <c r="C55" s="9" t="inlineStr">
        <is>
          <t>Company</t>
        </is>
      </c>
      <c r="D55" s="9" t="inlineStr">
        <is>
          <t>2025-12-31</t>
        </is>
      </c>
      <c r="E55" s="4" t="inlineStr">
        <is>
          <t>Sales value by product line, EGP, six months to 31-Dec-2025 (note 14-A). Audited consolidated FS, transition period 1-Jul-2025 to 31-Dec-2025, Crowe unqualified, 18-Feb-2026</t>
        </is>
      </c>
    </row>
    <row r="56" ht="20" customHeight="1">
      <c r="A56" s="9" t="inlineStr">
        <is>
          <t>Gas oil — sales value, EGP</t>
        </is>
      </c>
      <c r="B56" s="12" t="n">
        <v>5121703599</v>
      </c>
      <c r="C56" s="9" t="inlineStr">
        <is>
          <t>Company</t>
        </is>
      </c>
      <c r="D56" s="9" t="inlineStr">
        <is>
          <t>2025-12-31</t>
        </is>
      </c>
      <c r="E56" s="4" t="inlineStr">
        <is>
          <t>Sales value by product line, EGP, six months to 31-Dec-2025 (note 14-A). Audited consolidated FS, transition period 1-Jul-2025 to 31-Dec-2025, Crowe unqualified, 18-Feb-2026</t>
        </is>
      </c>
    </row>
    <row r="57" ht="20" customHeight="1">
      <c r="A57" s="9" t="inlineStr">
        <is>
          <t>Naphtha — sales value, EGP</t>
        </is>
      </c>
      <c r="B57" s="12" t="n">
        <v>958746631</v>
      </c>
      <c r="C57" s="9" t="inlineStr">
        <is>
          <t>Company</t>
        </is>
      </c>
      <c r="D57" s="9" t="inlineStr">
        <is>
          <t>2025-12-31</t>
        </is>
      </c>
      <c r="E57" s="4" t="inlineStr">
        <is>
          <t>Sales value by product line, EGP, six months to 31-Dec-2025 (note 14-A). Audited consolidated FS, transition period 1-Jul-2025 to 31-Dec-2025, Crowe unqualified, 18-Feb-2026</t>
        </is>
      </c>
    </row>
    <row r="58" ht="20" customHeight="1">
      <c r="A58" s="9" t="inlineStr">
        <is>
          <t>Liquefied petroleum gas — sales value, EGP</t>
        </is>
      </c>
      <c r="B58" s="12" t="n">
        <v>816258520</v>
      </c>
      <c r="C58" s="9" t="inlineStr">
        <is>
          <t>Company</t>
        </is>
      </c>
      <c r="D58" s="9" t="inlineStr">
        <is>
          <t>2025-12-31</t>
        </is>
      </c>
      <c r="E58" s="4" t="inlineStr">
        <is>
          <t>Sales value by product line, EGP, six months to 31-Dec-2025 (note 14-A). Audited consolidated FS, transition period 1-Jul-2025 to 31-Dec-2025, Crowe unqualified, 18-Feb-2026</t>
        </is>
      </c>
    </row>
    <row r="59" ht="20" customHeight="1">
      <c r="A59" s="9" t="inlineStr">
        <is>
          <t>Fuel oil (mix) — sales value, EGP</t>
        </is>
      </c>
      <c r="B59" s="12" t="n">
        <v>8975569716</v>
      </c>
      <c r="C59" s="9" t="inlineStr">
        <is>
          <t>Company</t>
        </is>
      </c>
      <c r="D59" s="9" t="inlineStr">
        <is>
          <t>2025-12-31</t>
        </is>
      </c>
      <c r="E59" s="4" t="inlineStr">
        <is>
          <t>Sales value by product line, EGP, six months to 31-Dec-2025 (note 14-A). Audited consolidated FS, transition period 1-Jul-2025 to 31-Dec-2025, Crowe unqualified, 18-Feb-2026</t>
        </is>
      </c>
    </row>
    <row r="60" ht="20" customHeight="1">
      <c r="A60" s="9" t="inlineStr">
        <is>
          <t>Heavy fuel oil — sales value, EGP</t>
        </is>
      </c>
      <c r="B60" s="12" t="n">
        <v>224110353</v>
      </c>
      <c r="C60" s="9" t="inlineStr">
        <is>
          <t>Company</t>
        </is>
      </c>
      <c r="D60" s="9" t="inlineStr">
        <is>
          <t>2025-12-31</t>
        </is>
      </c>
      <c r="E60" s="4" t="inlineStr">
        <is>
          <t>Sales value by product line, EGP, six months to 31-Dec-2025 (note 14-A). Audited consolidated FS, transition period 1-Jul-2025 to 31-Dec-2025, Crowe unqualified, 18-Feb-2026</t>
        </is>
      </c>
    </row>
    <row r="61" ht="20" customHeight="1">
      <c r="A61" s="9" t="inlineStr">
        <is>
          <t>Waste — sales value, EGP</t>
        </is>
      </c>
      <c r="B61" s="12" t="n">
        <v>87400</v>
      </c>
      <c r="C61" s="9" t="inlineStr">
        <is>
          <t>Company</t>
        </is>
      </c>
      <c r="D61" s="9" t="inlineStr">
        <is>
          <t>2025-12-31</t>
        </is>
      </c>
      <c r="E61" s="4" t="inlineStr">
        <is>
          <t>Sales value by product line, EGP, six months to 31-Dec-2025 (note 14-A). Audited consolidated FS, transition period 1-Jul-2025 to 31-Dec-2025, Crowe unqualified, 18-Feb-2026</t>
        </is>
      </c>
    </row>
    <row r="62">
      <c r="A62" s="7" t="inlineStr">
        <is>
          <t>NOTE 15-A — the audited cost stack, 6M to 31-Dec-2025</t>
        </is>
      </c>
      <c r="B62" s="8" t="n"/>
      <c r="C62" s="8" t="n"/>
      <c r="D62" s="8" t="n"/>
      <c r="E62" s="8" t="n"/>
      <c r="F62" s="8" t="n"/>
    </row>
    <row r="63" ht="30" customHeight="1">
      <c r="A63" s="9" t="inlineStr">
        <is>
          <t>Raw materials</t>
        </is>
      </c>
      <c r="B63" s="12" t="n">
        <v>17650102725</v>
      </c>
      <c r="C63" s="9" t="inlineStr">
        <is>
          <t>Company</t>
        </is>
      </c>
      <c r="D63" s="9" t="inlineStr">
        <is>
          <t>2025-12-31</t>
        </is>
      </c>
      <c r="E63" s="4" t="inlineStr">
        <is>
          <t>Cost of sales — RAW MATERIALS, six months to 31-Dec-2025 (note 15-A). 90.7% of cost of sales and 85.1% of revenue: this single line is what the company is. Audited consolidated FS, transition period 1-Jul-2025 to 31-Dec-2025, Crowe unqualified, 18-Feb-2026</t>
        </is>
      </c>
    </row>
    <row r="64" ht="20" customHeight="1">
      <c r="A64" s="9" t="inlineStr">
        <is>
          <t>Salaries</t>
        </is>
      </c>
      <c r="B64" s="12" t="n">
        <v>881019497</v>
      </c>
      <c r="C64" s="9" t="inlineStr">
        <is>
          <t>Company</t>
        </is>
      </c>
      <c r="D64" s="9" t="inlineStr">
        <is>
          <t>2025-12-31</t>
        </is>
      </c>
      <c r="E64" s="4" t="inlineStr">
        <is>
          <t>Cost of sales — salaries, six months to 31-Dec-2025 (note 15-A). Audited consolidated FS, transition period 1-Jul-2025 to 31-Dec-2025, Crowe unqualified, 18-Feb-2026</t>
        </is>
      </c>
    </row>
    <row r="65" ht="40" customHeight="1">
      <c r="A65" s="9" t="inlineStr">
        <is>
          <t>Other expenses</t>
        </is>
      </c>
      <c r="B65" s="12" t="n">
        <v>807146755</v>
      </c>
      <c r="C65" s="9" t="inlineStr">
        <is>
          <t>Company</t>
        </is>
      </c>
      <c r="D65" s="9" t="inlineStr">
        <is>
          <t>2025-12-31</t>
        </is>
      </c>
      <c r="E65" s="4" t="inlineStr">
        <is>
          <t>Cost of sales — other expenses, six months to 31-Dec-2025 (note 15-A): natural gas, operating electricity, operating water, spare parts, maintenance, and the operating management and technical support contract with the Egyptian Projects Operations &amp; Maintenance Company (EPROM). Audited consolidated FS, transition period 1-Jul-2025 to 31-Dec-2025, Crowe unqualified, 18-Feb-2026</t>
        </is>
      </c>
    </row>
    <row r="66" ht="20" customHeight="1">
      <c r="A66" s="9" t="inlineStr">
        <is>
          <t>Supporting materials (chemicals and additives)</t>
        </is>
      </c>
      <c r="B66" s="12" t="n">
        <v>64533723</v>
      </c>
      <c r="C66" s="9" t="inlineStr">
        <is>
          <t>Company</t>
        </is>
      </c>
      <c r="D66" s="9" t="inlineStr">
        <is>
          <t>2025-12-31</t>
        </is>
      </c>
      <c r="E66" s="4" t="inlineStr">
        <is>
          <t>Cost of sales — supporting materials (chemicals and additives), six months to 31-Dec-2025 (note 15-A). The previous edition estimated this charge at roughly five times the disclosed figure</t>
        </is>
      </c>
    </row>
    <row r="67" ht="20" customHeight="1">
      <c r="A67" s="9" t="inlineStr">
        <is>
          <t>Depreciation</t>
        </is>
      </c>
      <c r="B67" s="12" t="n">
        <v>58748046</v>
      </c>
      <c r="C67" s="9" t="inlineStr">
        <is>
          <t>Company</t>
        </is>
      </c>
      <c r="D67" s="9" t="inlineStr">
        <is>
          <t>2025-12-31</t>
        </is>
      </c>
      <c r="E67" s="4" t="inlineStr">
        <is>
          <t>Cost of sales — depreciation, six months to 31-Dec-2025 (note 15-A). Audited consolidated FS, transition period 1-Jul-2025 to 31-Dec-2025, Crowe unqualified, 18-Feb-2026</t>
        </is>
      </c>
    </row>
    <row r="68">
      <c r="A68" s="7" t="inlineStr">
        <is>
          <t>BALANCE SHEET AT 31 DECEMBER 2025 (AUDITED)</t>
        </is>
      </c>
      <c r="B68" s="8" t="n"/>
      <c r="C68" s="8" t="n"/>
      <c r="D68" s="8" t="n"/>
      <c r="E68" s="8" t="n"/>
      <c r="F68" s="8" t="n"/>
    </row>
    <row r="69" ht="40" customHeight="1">
      <c r="A69" s="9" t="inlineStr">
        <is>
          <t>Fixed assets, net</t>
        </is>
      </c>
      <c r="B69" s="12" t="n">
        <v>893016274</v>
      </c>
      <c r="C69" s="9" t="inlineStr">
        <is>
          <t>Company</t>
        </is>
      </c>
      <c r="D69" s="9" t="inlineStr">
        <is>
          <t>2025-12-31</t>
        </is>
      </c>
      <c r="E69" s="4" t="inlineStr">
        <is>
          <t>Fixed assets net of accumulated depreciation at 31-Dec-2025 (note 6). Cost 2,740,810,692 less accumulated depreciation 1,847,794,418 — the plant is 67% written down, and 273,466,121 of it is fully depreciated and still in use. Audited consolidated FS, transition period 1-Jul-2025 to 31-Dec-2025, Crowe unqualified, 18-Feb-2026</t>
        </is>
      </c>
    </row>
    <row r="70" ht="40" customHeight="1">
      <c r="A70" s="9" t="inlineStr">
        <is>
          <t>Fixed assets, at COST</t>
        </is>
      </c>
      <c r="B70" s="12" t="n">
        <v>2740810692</v>
      </c>
      <c r="C70" s="9" t="inlineStr">
        <is>
          <t>Company</t>
        </is>
      </c>
      <c r="D70" s="9" t="inlineStr">
        <is>
          <t>2025-12-31</t>
        </is>
      </c>
      <c r="E70" s="4" t="inlineStr">
        <is>
          <t>Fixed assets at COST at 31-Dec-2025 (note 6), before accumulated depreciation of 1,847,794,418. The gross figure is what a replacement-capex line has to be built on; the net figure is what the terminal return is flattered by. Audited consolidated FS, transition period 1-Jul-2025 to 31-Dec-2025, Crowe unqualified, 18-Feb-2026</t>
        </is>
      </c>
    </row>
    <row r="71" ht="30" customHeight="1">
      <c r="A71" s="9" t="inlineStr">
        <is>
          <t>Projects under construction</t>
        </is>
      </c>
      <c r="B71" s="12" t="n">
        <v>407323203</v>
      </c>
      <c r="C71" s="9" t="inlineStr">
        <is>
          <t>Company</t>
        </is>
      </c>
      <c r="D71" s="9" t="inlineStr">
        <is>
          <t>2025-12-31</t>
        </is>
      </c>
      <c r="E71" s="4" t="inlineStr">
        <is>
          <t>Projects under construction at 31-Dec-2025 (note 7): assets in development 376,746,526 (administrative building, warehouses, civil projects, ERP system) plus investment expenditure 30,576,677. Audited consolidated FS, transition period 1-Jul-2025 to 31-Dec-2025, Crowe unqualified, 18-Feb-2026</t>
        </is>
      </c>
    </row>
    <row r="72" ht="40" customHeight="1">
      <c r="A72" s="9" t="inlineStr">
        <is>
          <t>Inventory</t>
        </is>
      </c>
      <c r="B72" s="12" t="n">
        <v>2847392506</v>
      </c>
      <c r="C72" s="9" t="inlineStr">
        <is>
          <t>Company</t>
        </is>
      </c>
      <c r="D72" s="9" t="inlineStr">
        <is>
          <t>2025-12-31</t>
        </is>
      </c>
      <c r="E72" s="4" t="inlineStr">
        <is>
          <t>Inventory net of impairment at 31-Dec-2025 (note 9-A): work in process 792,134,042, finished goods 1,166,168,582, spare parts 309,298,239, supporting materials 283,470,554, raw materials 118,754,225, goods for resale 155,793,361. Audited consolidated FS, transition period 1-Jul-2025 to 31-Dec-2025, Crowe unqualified, 18-Feb-2026</t>
        </is>
      </c>
    </row>
    <row r="73" ht="40" customHeight="1">
      <c r="A73" s="9" t="inlineStr">
        <is>
          <t>Trade receivables</t>
        </is>
      </c>
      <c r="B73" s="12" t="n">
        <v>573136185</v>
      </c>
      <c r="C73" s="9" t="inlineStr">
        <is>
          <t>Company</t>
        </is>
      </c>
      <c r="D73" s="9" t="inlineStr">
        <is>
          <t>2025-12-31</t>
        </is>
      </c>
      <c r="E73" s="4" t="inlineStr">
        <is>
          <t>Accounts receivable net at 31-Dec-2025 (note 9-B). 100% undue and unimpaired on the ageing analysis. Counterparties include Shell, ExxonMobil, Chevron, Total, TAQA/Castrol, Emarat Misr, OLA Energy and Petromine alongside the state companies. Audited consolidated FS, transition period 1-Jul-2025 to 31-Dec-2025, Crowe unqualified, 18-Feb-2026</t>
        </is>
      </c>
    </row>
    <row r="74" ht="20" customHeight="1">
      <c r="A74" s="9" t="inlineStr">
        <is>
          <t>Debtors and other debit balances</t>
        </is>
      </c>
      <c r="B74" s="12" t="n">
        <v>366012664</v>
      </c>
      <c r="C74" s="9" t="inlineStr">
        <is>
          <t>Company</t>
        </is>
      </c>
      <c r="D74" s="9" t="inlineStr">
        <is>
          <t>2025-12-31</t>
        </is>
      </c>
      <c r="E74" s="4" t="inlineStr">
        <is>
          <t>Debtors and other debit balances net at 31-Dec-2025 (notes 9-C, 9-D). Audited consolidated FS, transition period 1-Jul-2025 to 31-Dec-2025, Crowe unqualified, 18-Feb-2026</t>
        </is>
      </c>
    </row>
    <row r="75" ht="40" customHeight="1">
      <c r="A75" s="9" t="inlineStr">
        <is>
          <t>Accounts and notes payable</t>
        </is>
      </c>
      <c r="B75" s="12" t="n">
        <v>7942650</v>
      </c>
      <c r="C75" s="9" t="inlineStr">
        <is>
          <t>Company</t>
        </is>
      </c>
      <c r="D75" s="9" t="inlineStr">
        <is>
          <t>2025-12-31</t>
        </is>
      </c>
      <c r="E75" s="4" t="inlineStr">
        <is>
          <t>Accounts and notes payable at 31-Dec-2025 (note 10-3). The previous edition modelled a trade payable of about 2.5bn funding the working capital cycle; the actual trade payable is under 8mn and the funding sits in the EGPC current account instead. Audited consolidated FS, transition period 1-Jul-2025 to 31-Dec-2025, Crowe unqualified, 18-Feb-2026</t>
        </is>
      </c>
    </row>
    <row r="76" ht="40" customHeight="1">
      <c r="A76" s="9" t="inlineStr">
        <is>
          <t>Creditors and other credit balances</t>
        </is>
      </c>
      <c r="B76" s="12" t="n">
        <v>2044446416</v>
      </c>
      <c r="C76" s="9" t="inlineStr">
        <is>
          <t>Company</t>
        </is>
      </c>
      <c r="D76" s="9" t="inlineStr">
        <is>
          <t>2025-12-31</t>
        </is>
      </c>
      <c r="E76" s="4" t="inlineStr">
        <is>
          <t>Creditors and other credit balances at 31-Dec-2025 (note 11): EGPC current account 1,132,353,505, deposits 70,891,867, miscellaneous taxes 47,021,719, dividends payable 517,250,000, miscellaneous creditors 148,226,091, customer advances 60,028,880. Audited consolidated FS, transition period 1-Jul-2025 to 31-Dec-2025, Crowe unqualified, 18-Feb-2026</t>
        </is>
      </c>
    </row>
    <row r="77" ht="30" customHeight="1">
      <c r="A77" s="9" t="inlineStr">
        <is>
          <t>of which DIVIDENDS PAYABLE — a financing claim</t>
        </is>
      </c>
      <c r="B77" s="12" t="n">
        <v>517250000</v>
      </c>
      <c r="C77" s="9" t="inlineStr">
        <is>
          <t>Company</t>
        </is>
      </c>
      <c r="D77" s="9" t="inlineStr">
        <is>
          <t>2025-12-31</t>
        </is>
      </c>
      <c r="E77" s="4" t="inlineStr">
        <is>
          <t>Dividends payable at 31-Dec-2025 (note 11, other credit balances) — declared and not yet paid at the reporting date. Audited consolidated FS, transition period 1-Jul-2025 to 31-Dec-2025, Crowe unqualified, 18-Feb-2026</t>
        </is>
      </c>
    </row>
    <row r="78" ht="20" customHeight="1">
      <c r="A78" s="9" t="inlineStr">
        <is>
          <t>Provisions — tax disputes and claims</t>
        </is>
      </c>
      <c r="B78" s="12" t="n">
        <v>921440353</v>
      </c>
      <c r="C78" s="9" t="inlineStr">
        <is>
          <t>Company</t>
        </is>
      </c>
      <c r="D78" s="9" t="inlineStr">
        <is>
          <t>2025-12-31</t>
        </is>
      </c>
      <c r="E78" s="4" t="inlineStr">
        <is>
          <t>Provisions at 31-Dec-2025 (note 10-1): tax disputes 904,609,345 and claims and disputes 16,831,008. A contingent liability worth EGP 0.71 a share that the previous edition never carried at all</t>
        </is>
      </c>
    </row>
    <row r="79" ht="40" customHeight="1">
      <c r="A79" s="9" t="inlineStr">
        <is>
          <t>Cash at banks and on hand, free</t>
        </is>
      </c>
      <c r="B79" s="12" t="n">
        <v>2463522365</v>
      </c>
      <c r="C79" s="9" t="inlineStr">
        <is>
          <t>Company</t>
        </is>
      </c>
      <c r="D79" s="9" t="inlineStr">
        <is>
          <t>2025-12-31</t>
        </is>
      </c>
      <c r="E79" s="4" t="inlineStr">
        <is>
          <t>Cash at banks and on hand at 31-Dec-2025 (note 9-E): time deposits 883,351,250 plus current accounts 2,127,100,720 plus cash on hand 166,405, less expected credit losses 38,345,960, less PLEDGED deposits 508,750,050 which sit in other financial investments. Audited consolidated FS, transition period 1-Jul-2025 to 31-Dec-2025, Crowe unqualified, 18-Feb-2026</t>
        </is>
      </c>
    </row>
    <row r="80" ht="30" customHeight="1">
      <c r="A80" s="9" t="inlineStr">
        <is>
          <t>Deposits PLEDGED against facilities</t>
        </is>
      </c>
      <c r="B80" s="12" t="n">
        <v>508750050</v>
      </c>
      <c r="C80" s="9" t="inlineStr">
        <is>
          <t>Company</t>
        </is>
      </c>
      <c r="D80" s="9" t="inlineStr">
        <is>
          <t>2025-12-31</t>
        </is>
      </c>
      <c r="E80" s="4" t="inlineStr">
        <is>
          <t>Other financial investments at 31-Dec-2025 — deposits PLEDGED against credit facilities, so not free cash (note 9-E). Audited consolidated FS, transition period 1-Jul-2025 to 31-Dec-2025, Crowe unqualified, 18-Feb-2026</t>
        </is>
      </c>
    </row>
    <row r="81" ht="30" customHeight="1">
      <c r="A81" s="9" t="inlineStr">
        <is>
          <t>Equity investment at fair value through OCI</t>
        </is>
      </c>
      <c r="B81" s="12" t="n">
        <v>69608696</v>
      </c>
      <c r="C81" s="9" t="inlineStr">
        <is>
          <t>Company</t>
        </is>
      </c>
      <c r="D81" s="9" t="inlineStr">
        <is>
          <t>2025-12-31</t>
        </is>
      </c>
      <c r="E81" s="4" t="inlineStr">
        <is>
          <t>Financial asset through OCI at 31-Dec-2025 — 104,000 shares, 5.20% of ASCPC, fair value 69,608,696 (note 8-1). Audited consolidated FS, transition period 1-Jul-2025 to 31-Dec-2025, Crowe unqualified, 18-Feb-2026</t>
        </is>
      </c>
    </row>
    <row r="82" ht="20" customHeight="1">
      <c r="A82" s="9" t="inlineStr">
        <is>
          <t>Long-term loans</t>
        </is>
      </c>
      <c r="B82" s="12" t="n">
        <v>11805265</v>
      </c>
      <c r="C82" s="9" t="inlineStr">
        <is>
          <t>Company</t>
        </is>
      </c>
      <c r="D82" s="9" t="inlineStr">
        <is>
          <t>2025-12-31</t>
        </is>
      </c>
      <c r="E82" s="4" t="inlineStr">
        <is>
          <t>Long-term loans at 31-Dec-2025 (note 20). Audited consolidated FS, transition period 1-Jul-2025 to 31-Dec-2025, Crowe unqualified, 18-Feb-2026</t>
        </is>
      </c>
    </row>
    <row r="83" ht="20" customHeight="1">
      <c r="A83" s="9" t="inlineStr">
        <is>
          <t>Short-term loans</t>
        </is>
      </c>
      <c r="B83" s="12" t="n">
        <v>9172172</v>
      </c>
      <c r="C83" s="9" t="inlineStr">
        <is>
          <t>Company</t>
        </is>
      </c>
      <c r="D83" s="9" t="inlineStr">
        <is>
          <t>2025-12-31</t>
        </is>
      </c>
      <c r="E83" s="4" t="inlineStr">
        <is>
          <t>Short-term loans and facilities at 31-Dec-2025 (note 20). Audited consolidated FS, transition period 1-Jul-2025 to 31-Dec-2025, Crowe unqualified, 18-Feb-2026</t>
        </is>
      </c>
    </row>
    <row r="84" ht="20" customHeight="1">
      <c r="A84" s="9" t="inlineStr">
        <is>
          <t>Parent equity</t>
        </is>
      </c>
      <c r="B84" s="12" t="n">
        <v>4790695948</v>
      </c>
      <c r="C84" s="9" t="inlineStr">
        <is>
          <t>Company</t>
        </is>
      </c>
      <c r="D84" s="9" t="inlineStr">
        <is>
          <t>2025-12-31</t>
        </is>
      </c>
      <c r="E84" s="4" t="inlineStr">
        <is>
          <t>Total AMOC (parent) equity at 31-Dec-2025. Audited consolidated FS, transition period 1-Jul-2025 to 31-Dec-2025, Crowe unqualified, 18-Feb-2026</t>
        </is>
      </c>
    </row>
    <row r="85" ht="20" customHeight="1">
      <c r="A85" s="9" t="inlineStr">
        <is>
          <t>Non-controlling interest, carrying</t>
        </is>
      </c>
      <c r="B85" s="12" t="n">
        <v>34079000</v>
      </c>
      <c r="C85" s="9" t="inlineStr">
        <is>
          <t>Company</t>
        </is>
      </c>
      <c r="D85" s="9" t="inlineStr">
        <is>
          <t>2025-12-31</t>
        </is>
      </c>
      <c r="E85" s="4" t="inlineStr">
        <is>
          <t>Non-controlling interest carrying amount at 31-Dec-2025. Audited consolidated FS, transition period 1-Jul-2025 to 31-Dec-2025, Crowe unqualified, 18-Feb-2026</t>
        </is>
      </c>
    </row>
    <row r="86">
      <c r="A86" s="7" t="inlineStr">
        <is>
          <t>DRIVERS</t>
        </is>
      </c>
      <c r="B86" s="8" t="n"/>
      <c r="C86" s="8" t="n"/>
      <c r="D86" s="8" t="n"/>
      <c r="E86" s="8" t="n"/>
      <c r="F86" s="8" t="n"/>
    </row>
    <row r="87" ht="20" customHeight="1">
      <c r="A87" s="9" t="inlineStr">
        <is>
          <t>Statutory tax rate — applied to operating profit</t>
        </is>
      </c>
      <c r="B87" s="14" t="n">
        <v>0.225</v>
      </c>
      <c r="C87" s="9" t="inlineStr">
        <is>
          <t>Country</t>
        </is>
      </c>
      <c r="D87" s="9" t="inlineStr">
        <is>
          <t>2026</t>
        </is>
      </c>
      <c r="E87" s="4" t="inlineStr">
        <is>
          <t>Egypt corporate income tax 22.5%. AMOC is a downstream processor and is taxed at the ordinary corporate rate, not the ~40.55% rate that applies to exploration and production concessions</t>
        </is>
      </c>
    </row>
    <row r="88" ht="40" customHeight="1">
      <c r="A88" s="9" t="inlineStr">
        <is>
          <t>Feedstock pass-through factor</t>
        </is>
      </c>
      <c r="B88" s="11" t="n">
        <v>1</v>
      </c>
      <c r="C88" s="9" t="inlineStr">
        <is>
          <t>House</t>
        </is>
      </c>
      <c r="D88" s="9" t="inlineStr">
        <is>
          <t>2026-08-06</t>
        </is>
      </c>
      <c r="E88" s="4" t="inlineStr">
        <is>
          <t>Pass-through factor on the raw-material line: 1.0 means the feedstock charge moves one-for-one with realisation and volume, so the gross SPREAD per tonne is held flat in real terms and the margin neither widens nor narrows by assumption. Setting it below 1.0 is the way to express spread widening; the study leaves it at parity and sensitises it</t>
        </is>
      </c>
    </row>
    <row r="89" ht="20" customHeight="1">
      <c r="A89" s="9" t="inlineStr">
        <is>
          <t>Terminal growth</t>
        </is>
      </c>
      <c r="B89" s="14" t="n">
        <v>0.05</v>
      </c>
      <c r="C89" s="9" t="inlineStr">
        <is>
          <t>House</t>
        </is>
      </c>
      <c r="D89" s="9" t="inlineStr">
        <is>
          <t>2026-08-06</t>
        </is>
      </c>
      <c r="E89" s="4" t="inlineStr">
        <is>
          <t>Terminal growth, 5% — the standing centre for established names in this market once currency turbulence has passed, sensitised 3-7%. An EGP-nominal rate struck against an EGP-nominal terminal risk-free rate</t>
        </is>
      </c>
    </row>
    <row r="90" ht="30" customHeight="1">
      <c r="A90" s="9" t="inlineStr">
        <is>
          <t>Sustainable return on equity — book lens</t>
        </is>
      </c>
      <c r="B90" s="14" t="n">
        <v>0.28</v>
      </c>
      <c r="C90" s="9" t="inlineStr">
        <is>
          <t>House</t>
        </is>
      </c>
      <c r="D90" s="9" t="inlineStr">
        <is>
          <t>2026-08-06</t>
        </is>
      </c>
      <c r="E90" s="4" t="inlineStr">
        <is>
          <t>Sustainable return on equity for the book lens. Trailing return on average parent equity is about 33%; the sustainable rate is struck below it because the reported figure is flattered by a heavily written-down asset base that will have to be renewed</t>
        </is>
      </c>
    </row>
    <row r="91" ht="40" customHeight="1">
      <c r="A91" s="9" t="inlineStr">
        <is>
          <t>Justified price/earnings — normalised lens</t>
        </is>
      </c>
      <c r="B91" s="11" t="n">
        <v>7.5</v>
      </c>
      <c r="C91" s="9" t="inlineStr">
        <is>
          <t>House</t>
        </is>
      </c>
      <c r="D91" s="9" t="inlineStr">
        <is>
          <t>2026-08-06</t>
        </is>
      </c>
      <c r="E91" s="4" t="inlineStr">
        <is>
          <t>Justified through-cycle price-to-earnings multiple on normalised earnings. Trailing is about 7.5x on the constructed 2025 base. A single-asset processor with a 20% state shareholder, an administered feedstock relationship and an Egyptian cost of equity near 28% does not earn a premium multiple. Bear 5.5x / bull 9.5x</t>
        </is>
      </c>
    </row>
    <row r="92" ht="80" customHeight="1">
      <c r="A92" s="9" t="inlineStr">
        <is>
          <t>Re-rating on own trailing EV/EBITDA — relative lens</t>
        </is>
      </c>
      <c r="B92" s="14" t="n">
        <v>0</v>
      </c>
      <c r="C92" s="9" t="inlineStr">
        <is>
          <t>House</t>
        </is>
      </c>
      <c r="D92" s="9" t="inlineStr">
        <is>
          <t>2026-08-06</t>
        </is>
      </c>
      <c r="E92" s="4" t="inlineStr">
        <is>
          <t>Re-rating applied to the company's OWN trailing enterprise-value to EBITDA multiple in the relative lens. ZERO: the name is held at the multiple the market already pays it. The justified multiple is no longer a free number — it is DERIVED as the trailing multiple times one plus this figure, so it cannot drift away from the company's own pricing without the drift being visible. The previous edition set 4.5x by hand and justified it as 'holding the name at its own trailing level' against a stated trailing multiple of 'around 4.6x'; the model's own output was different, so the stated justification was false whichever way the multiple was struck. Holding at zero re-rating makes the lens a statement about the BRIDGE — what the disclosed claims on the cash are worth — rather than a disguised view on the multiple</t>
        </is>
      </c>
    </row>
    <row r="93" ht="90" customHeight="1">
      <c r="A93" s="9" t="inlineStr">
        <is>
          <t>Processing intensity — Base and special oils</t>
        </is>
      </c>
      <c r="B93" s="15" t="n">
        <v>1</v>
      </c>
      <c r="C93" s="9" t="inlineStr">
        <is>
          <t>House</t>
        </is>
      </c>
      <c r="D93" s="9" t="inlineStr">
        <is>
          <t>2026-08-06</t>
        </is>
      </c>
      <c r="E93"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4" ht="90" customHeight="1">
      <c r="A94" s="9" t="inlineStr">
        <is>
          <t>Processing intensity — Paraffin wax</t>
        </is>
      </c>
      <c r="B94" s="15" t="n">
        <v>1.15</v>
      </c>
      <c r="C94" s="9" t="inlineStr">
        <is>
          <t>House</t>
        </is>
      </c>
      <c r="D94" s="9" t="inlineStr">
        <is>
          <t>2026-08-06</t>
        </is>
      </c>
      <c r="E94"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5" ht="90" customHeight="1">
      <c r="A95" s="9" t="inlineStr">
        <is>
          <t>Processing intensity — Gas oil</t>
        </is>
      </c>
      <c r="B95" s="15" t="n">
        <v>0.25</v>
      </c>
      <c r="C95" s="9" t="inlineStr">
        <is>
          <t>House</t>
        </is>
      </c>
      <c r="D95" s="9" t="inlineStr">
        <is>
          <t>2026-08-06</t>
        </is>
      </c>
      <c r="E95"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6" ht="90" customHeight="1">
      <c r="A96" s="9" t="inlineStr">
        <is>
          <t>Processing intensity — Naphtha</t>
        </is>
      </c>
      <c r="B96" s="15" t="n">
        <v>0.2</v>
      </c>
      <c r="C96" s="9" t="inlineStr">
        <is>
          <t>House</t>
        </is>
      </c>
      <c r="D96" s="9" t="inlineStr">
        <is>
          <t>2026-08-06</t>
        </is>
      </c>
      <c r="E96"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7" ht="90" customHeight="1">
      <c r="A97" s="9" t="inlineStr">
        <is>
          <t>Processing intensity — Liquefied petroleum gas</t>
        </is>
      </c>
      <c r="B97" s="15" t="n">
        <v>0.15</v>
      </c>
      <c r="C97" s="9" t="inlineStr">
        <is>
          <t>House</t>
        </is>
      </c>
      <c r="D97" s="9" t="inlineStr">
        <is>
          <t>2026-08-06</t>
        </is>
      </c>
      <c r="E97"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8" ht="90" customHeight="1">
      <c r="A98" s="9" t="inlineStr">
        <is>
          <t>Processing intensity — Fuel oil (mix)</t>
        </is>
      </c>
      <c r="B98" s="15" t="n">
        <v>0.05</v>
      </c>
      <c r="C98" s="9" t="inlineStr">
        <is>
          <t>House</t>
        </is>
      </c>
      <c r="D98" s="9" t="inlineStr">
        <is>
          <t>2026-08-06</t>
        </is>
      </c>
      <c r="E98"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9" ht="90" customHeight="1">
      <c r="A99" s="9" t="inlineStr">
        <is>
          <t>Processing intensity — Heavy fuel oil</t>
        </is>
      </c>
      <c r="B99" s="15" t="n">
        <v>0.05</v>
      </c>
      <c r="C99" s="9" t="inlineStr">
        <is>
          <t>House</t>
        </is>
      </c>
      <c r="D99" s="9" t="inlineStr">
        <is>
          <t>2026-08-06</t>
        </is>
      </c>
      <c r="E99"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00" ht="90" customHeight="1">
      <c r="A100" s="9" t="inlineStr">
        <is>
          <t>Processing intensity — Waste</t>
        </is>
      </c>
      <c r="B100" s="15" t="n">
        <v>0</v>
      </c>
      <c r="C100" s="9" t="inlineStr">
        <is>
          <t>House</t>
        </is>
      </c>
      <c r="D100" s="9" t="inlineStr">
        <is>
          <t>2026-08-06</t>
        </is>
      </c>
      <c r="E100"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01" ht="40" customHeight="1">
      <c r="A101" s="9" t="inlineStr">
        <is>
          <t>Realisation growth, 2026E</t>
        </is>
      </c>
      <c r="B101" s="14" t="n">
        <v>0.09</v>
      </c>
      <c r="C101" s="9" t="inlineStr">
        <is>
          <t>House</t>
        </is>
      </c>
      <c r="D101" s="9" t="inlineStr">
        <is>
          <t>2026-08-06</t>
        </is>
      </c>
      <c r="E101"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2" ht="40" customHeight="1">
      <c r="A102" s="9" t="inlineStr">
        <is>
          <t>Realisation growth, 2027E</t>
        </is>
      </c>
      <c r="B102" s="14" t="n">
        <v>0.075</v>
      </c>
      <c r="C102" s="9" t="inlineStr">
        <is>
          <t>House</t>
        </is>
      </c>
      <c r="D102" s="9" t="inlineStr">
        <is>
          <t>2026-08-06</t>
        </is>
      </c>
      <c r="E102"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3" ht="40" customHeight="1">
      <c r="A103" s="9" t="inlineStr">
        <is>
          <t>Realisation growth, 2028E</t>
        </is>
      </c>
      <c r="B103" s="14" t="n">
        <v>0.065</v>
      </c>
      <c r="C103" s="9" t="inlineStr">
        <is>
          <t>House</t>
        </is>
      </c>
      <c r="D103" s="9" t="inlineStr">
        <is>
          <t>2026-08-06</t>
        </is>
      </c>
      <c r="E103"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4" ht="40" customHeight="1">
      <c r="A104" s="9" t="inlineStr">
        <is>
          <t>Realisation growth, 2029E</t>
        </is>
      </c>
      <c r="B104" s="14" t="n">
        <v>0.058</v>
      </c>
      <c r="C104" s="9" t="inlineStr">
        <is>
          <t>House</t>
        </is>
      </c>
      <c r="D104" s="9" t="inlineStr">
        <is>
          <t>2026-08-06</t>
        </is>
      </c>
      <c r="E104"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5" ht="40" customHeight="1">
      <c r="A105" s="9" t="inlineStr">
        <is>
          <t>Realisation growth, 2030E</t>
        </is>
      </c>
      <c r="B105" s="14" t="n">
        <v>0.052</v>
      </c>
      <c r="C105" s="9" t="inlineStr">
        <is>
          <t>House</t>
        </is>
      </c>
      <c r="D105" s="9" t="inlineStr">
        <is>
          <t>2026-08-06</t>
        </is>
      </c>
      <c r="E105"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6" ht="100" customHeight="1">
      <c r="A106" s="9" t="inlineStr">
        <is>
          <t>Volume growth — Base and special oils, 2026E</t>
        </is>
      </c>
      <c r="B106" s="14" t="n">
        <v>0</v>
      </c>
      <c r="C106" s="9" t="inlineStr">
        <is>
          <t>Company</t>
        </is>
      </c>
      <c r="D106" s="9" t="inlineStr">
        <is>
          <t>2026-08-18</t>
        </is>
      </c>
      <c r="E10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07" ht="100" customHeight="1">
      <c r="A107" s="9" t="inlineStr">
        <is>
          <t>Volume growth — Base and special oils, 2027E</t>
        </is>
      </c>
      <c r="B107" s="14" t="n">
        <v>0</v>
      </c>
      <c r="C107" s="9" t="inlineStr">
        <is>
          <t>Company</t>
        </is>
      </c>
      <c r="D107" s="9" t="inlineStr">
        <is>
          <t>2026-08-18</t>
        </is>
      </c>
      <c r="E10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08" ht="100" customHeight="1">
      <c r="A108" s="9" t="inlineStr">
        <is>
          <t>Volume growth — Base and special oils, 2028E</t>
        </is>
      </c>
      <c r="B108" s="14" t="n">
        <v>0</v>
      </c>
      <c r="C108" s="9" t="inlineStr">
        <is>
          <t>Company</t>
        </is>
      </c>
      <c r="D108" s="9" t="inlineStr">
        <is>
          <t>2026-08-18</t>
        </is>
      </c>
      <c r="E10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09" ht="100" customHeight="1">
      <c r="A109" s="9" t="inlineStr">
        <is>
          <t>Volume growth — Base and special oils, 2029E</t>
        </is>
      </c>
      <c r="B109" s="14" t="n">
        <v>0</v>
      </c>
      <c r="C109" s="9" t="inlineStr">
        <is>
          <t>Company</t>
        </is>
      </c>
      <c r="D109" s="9" t="inlineStr">
        <is>
          <t>2026-08-18</t>
        </is>
      </c>
      <c r="E10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0" ht="100" customHeight="1">
      <c r="A110" s="9" t="inlineStr">
        <is>
          <t>Volume growth — Base and special oils, 2030E</t>
        </is>
      </c>
      <c r="B110" s="14" t="n">
        <v>0</v>
      </c>
      <c r="C110" s="9" t="inlineStr">
        <is>
          <t>Company</t>
        </is>
      </c>
      <c r="D110" s="9" t="inlineStr">
        <is>
          <t>2026-08-18</t>
        </is>
      </c>
      <c r="E11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1" ht="100" customHeight="1">
      <c r="A111" s="9" t="inlineStr">
        <is>
          <t>Volume growth — Paraffin wax, 2026E</t>
        </is>
      </c>
      <c r="B111" s="14" t="n">
        <v>0</v>
      </c>
      <c r="C111" s="9" t="inlineStr">
        <is>
          <t>Company</t>
        </is>
      </c>
      <c r="D111" s="9" t="inlineStr">
        <is>
          <t>2026-08-18</t>
        </is>
      </c>
      <c r="E11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2" ht="100" customHeight="1">
      <c r="A112" s="9" t="inlineStr">
        <is>
          <t>Volume growth — Paraffin wax, 2027E</t>
        </is>
      </c>
      <c r="B112" s="14" t="n">
        <v>0</v>
      </c>
      <c r="C112" s="9" t="inlineStr">
        <is>
          <t>Company</t>
        </is>
      </c>
      <c r="D112" s="9" t="inlineStr">
        <is>
          <t>2026-08-18</t>
        </is>
      </c>
      <c r="E11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3" ht="100" customHeight="1">
      <c r="A113" s="9" t="inlineStr">
        <is>
          <t>Volume growth — Paraffin wax, 2028E</t>
        </is>
      </c>
      <c r="B113" s="14" t="n">
        <v>0</v>
      </c>
      <c r="C113" s="9" t="inlineStr">
        <is>
          <t>Company</t>
        </is>
      </c>
      <c r="D113" s="9" t="inlineStr">
        <is>
          <t>2026-08-18</t>
        </is>
      </c>
      <c r="E11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4" ht="100" customHeight="1">
      <c r="A114" s="9" t="inlineStr">
        <is>
          <t>Volume growth — Paraffin wax, 2029E</t>
        </is>
      </c>
      <c r="B114" s="14" t="n">
        <v>0</v>
      </c>
      <c r="C114" s="9" t="inlineStr">
        <is>
          <t>Company</t>
        </is>
      </c>
      <c r="D114" s="9" t="inlineStr">
        <is>
          <t>2026-08-18</t>
        </is>
      </c>
      <c r="E11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5" ht="100" customHeight="1">
      <c r="A115" s="9" t="inlineStr">
        <is>
          <t>Volume growth — Paraffin wax, 2030E</t>
        </is>
      </c>
      <c r="B115" s="14" t="n">
        <v>0</v>
      </c>
      <c r="C115" s="9" t="inlineStr">
        <is>
          <t>Company</t>
        </is>
      </c>
      <c r="D115" s="9" t="inlineStr">
        <is>
          <t>2026-08-18</t>
        </is>
      </c>
      <c r="E11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6" ht="100" customHeight="1">
      <c r="A116" s="9" t="inlineStr">
        <is>
          <t>Volume growth — Gas oil, 2026E</t>
        </is>
      </c>
      <c r="B116" s="14" t="n">
        <v>0</v>
      </c>
      <c r="C116" s="9" t="inlineStr">
        <is>
          <t>Company</t>
        </is>
      </c>
      <c r="D116" s="9" t="inlineStr">
        <is>
          <t>2026-08-18</t>
        </is>
      </c>
      <c r="E11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7" ht="100" customHeight="1">
      <c r="A117" s="9" t="inlineStr">
        <is>
          <t>Volume growth — Gas oil, 2027E</t>
        </is>
      </c>
      <c r="B117" s="14" t="n">
        <v>0</v>
      </c>
      <c r="C117" s="9" t="inlineStr">
        <is>
          <t>Company</t>
        </is>
      </c>
      <c r="D117" s="9" t="inlineStr">
        <is>
          <t>2026-08-18</t>
        </is>
      </c>
      <c r="E11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8" ht="100" customHeight="1">
      <c r="A118" s="9" t="inlineStr">
        <is>
          <t>Volume growth — Gas oil, 2028E</t>
        </is>
      </c>
      <c r="B118" s="14" t="n">
        <v>0</v>
      </c>
      <c r="C118" s="9" t="inlineStr">
        <is>
          <t>Company</t>
        </is>
      </c>
      <c r="D118" s="9" t="inlineStr">
        <is>
          <t>2026-08-18</t>
        </is>
      </c>
      <c r="E11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19" ht="100" customHeight="1">
      <c r="A119" s="9" t="inlineStr">
        <is>
          <t>Volume growth — Gas oil, 2029E</t>
        </is>
      </c>
      <c r="B119" s="14" t="n">
        <v>0</v>
      </c>
      <c r="C119" s="9" t="inlineStr">
        <is>
          <t>Company</t>
        </is>
      </c>
      <c r="D119" s="9" t="inlineStr">
        <is>
          <t>2026-08-18</t>
        </is>
      </c>
      <c r="E11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0" ht="100" customHeight="1">
      <c r="A120" s="9" t="inlineStr">
        <is>
          <t>Volume growth — Gas oil, 2030E</t>
        </is>
      </c>
      <c r="B120" s="14" t="n">
        <v>0</v>
      </c>
      <c r="C120" s="9" t="inlineStr">
        <is>
          <t>Company</t>
        </is>
      </c>
      <c r="D120" s="9" t="inlineStr">
        <is>
          <t>2026-08-18</t>
        </is>
      </c>
      <c r="E12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1" ht="100" customHeight="1">
      <c r="A121" s="9" t="inlineStr">
        <is>
          <t>Volume growth — Naphtha, 2026E</t>
        </is>
      </c>
      <c r="B121" s="14" t="n">
        <v>0</v>
      </c>
      <c r="C121" s="9" t="inlineStr">
        <is>
          <t>Company</t>
        </is>
      </c>
      <c r="D121" s="9" t="inlineStr">
        <is>
          <t>2026-08-18</t>
        </is>
      </c>
      <c r="E12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2" ht="100" customHeight="1">
      <c r="A122" s="9" t="inlineStr">
        <is>
          <t>Volume growth — Naphtha, 2027E</t>
        </is>
      </c>
      <c r="B122" s="14" t="n">
        <v>0</v>
      </c>
      <c r="C122" s="9" t="inlineStr">
        <is>
          <t>Company</t>
        </is>
      </c>
      <c r="D122" s="9" t="inlineStr">
        <is>
          <t>2026-08-18</t>
        </is>
      </c>
      <c r="E12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3" ht="100" customHeight="1">
      <c r="A123" s="9" t="inlineStr">
        <is>
          <t>Volume growth — Naphtha, 2028E</t>
        </is>
      </c>
      <c r="B123" s="14" t="n">
        <v>0</v>
      </c>
      <c r="C123" s="9" t="inlineStr">
        <is>
          <t>Company</t>
        </is>
      </c>
      <c r="D123" s="9" t="inlineStr">
        <is>
          <t>2026-08-18</t>
        </is>
      </c>
      <c r="E12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4" ht="100" customHeight="1">
      <c r="A124" s="9" t="inlineStr">
        <is>
          <t>Volume growth — Naphtha, 2029E</t>
        </is>
      </c>
      <c r="B124" s="14" t="n">
        <v>0</v>
      </c>
      <c r="C124" s="9" t="inlineStr">
        <is>
          <t>Company</t>
        </is>
      </c>
      <c r="D124" s="9" t="inlineStr">
        <is>
          <t>2026-08-18</t>
        </is>
      </c>
      <c r="E12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5" ht="100" customHeight="1">
      <c r="A125" s="9" t="inlineStr">
        <is>
          <t>Volume growth — Naphtha, 2030E</t>
        </is>
      </c>
      <c r="B125" s="14" t="n">
        <v>0</v>
      </c>
      <c r="C125" s="9" t="inlineStr">
        <is>
          <t>Company</t>
        </is>
      </c>
      <c r="D125" s="9" t="inlineStr">
        <is>
          <t>2026-08-18</t>
        </is>
      </c>
      <c r="E12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6" ht="100" customHeight="1">
      <c r="A126" s="9" t="inlineStr">
        <is>
          <t>Volume growth — Liquefied petroleum gas, 2026E</t>
        </is>
      </c>
      <c r="B126" s="14" t="n">
        <v>0</v>
      </c>
      <c r="C126" s="9" t="inlineStr">
        <is>
          <t>Company</t>
        </is>
      </c>
      <c r="D126" s="9" t="inlineStr">
        <is>
          <t>2026-08-18</t>
        </is>
      </c>
      <c r="E12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7" ht="100" customHeight="1">
      <c r="A127" s="9" t="inlineStr">
        <is>
          <t>Volume growth — Liquefied petroleum gas, 2027E</t>
        </is>
      </c>
      <c r="B127" s="14" t="n">
        <v>0</v>
      </c>
      <c r="C127" s="9" t="inlineStr">
        <is>
          <t>Company</t>
        </is>
      </c>
      <c r="D127" s="9" t="inlineStr">
        <is>
          <t>2026-08-18</t>
        </is>
      </c>
      <c r="E12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8" ht="100" customHeight="1">
      <c r="A128" s="9" t="inlineStr">
        <is>
          <t>Volume growth — Liquefied petroleum gas, 2028E</t>
        </is>
      </c>
      <c r="B128" s="14" t="n">
        <v>0</v>
      </c>
      <c r="C128" s="9" t="inlineStr">
        <is>
          <t>Company</t>
        </is>
      </c>
      <c r="D128" s="9" t="inlineStr">
        <is>
          <t>2026-08-18</t>
        </is>
      </c>
      <c r="E12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9" ht="100" customHeight="1">
      <c r="A129" s="9" t="inlineStr">
        <is>
          <t>Volume growth — Liquefied petroleum gas, 2029E</t>
        </is>
      </c>
      <c r="B129" s="14" t="n">
        <v>0</v>
      </c>
      <c r="C129" s="9" t="inlineStr">
        <is>
          <t>Company</t>
        </is>
      </c>
      <c r="D129" s="9" t="inlineStr">
        <is>
          <t>2026-08-18</t>
        </is>
      </c>
      <c r="E12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0" ht="100" customHeight="1">
      <c r="A130" s="9" t="inlineStr">
        <is>
          <t>Volume growth — Liquefied petroleum gas, 2030E</t>
        </is>
      </c>
      <c r="B130" s="14" t="n">
        <v>0</v>
      </c>
      <c r="C130" s="9" t="inlineStr">
        <is>
          <t>Company</t>
        </is>
      </c>
      <c r="D130" s="9" t="inlineStr">
        <is>
          <t>2026-08-18</t>
        </is>
      </c>
      <c r="E13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1" ht="100" customHeight="1">
      <c r="A131" s="9" t="inlineStr">
        <is>
          <t>Volume growth — Fuel oil (mix), 2026E</t>
        </is>
      </c>
      <c r="B131" s="14" t="n">
        <v>0</v>
      </c>
      <c r="C131" s="9" t="inlineStr">
        <is>
          <t>Company</t>
        </is>
      </c>
      <c r="D131" s="9" t="inlineStr">
        <is>
          <t>2026-08-18</t>
        </is>
      </c>
      <c r="E13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2" ht="100" customHeight="1">
      <c r="A132" s="9" t="inlineStr">
        <is>
          <t>Volume growth — Fuel oil (mix), 2027E</t>
        </is>
      </c>
      <c r="B132" s="14" t="n">
        <v>0</v>
      </c>
      <c r="C132" s="9" t="inlineStr">
        <is>
          <t>Company</t>
        </is>
      </c>
      <c r="D132" s="9" t="inlineStr">
        <is>
          <t>2026-08-18</t>
        </is>
      </c>
      <c r="E13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3" ht="100" customHeight="1">
      <c r="A133" s="9" t="inlineStr">
        <is>
          <t>Volume growth — Fuel oil (mix), 2028E</t>
        </is>
      </c>
      <c r="B133" s="14" t="n">
        <v>0</v>
      </c>
      <c r="C133" s="9" t="inlineStr">
        <is>
          <t>Company</t>
        </is>
      </c>
      <c r="D133" s="9" t="inlineStr">
        <is>
          <t>2026-08-18</t>
        </is>
      </c>
      <c r="E13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4" ht="100" customHeight="1">
      <c r="A134" s="9" t="inlineStr">
        <is>
          <t>Volume growth — Fuel oil (mix), 2029E</t>
        </is>
      </c>
      <c r="B134" s="14" t="n">
        <v>0</v>
      </c>
      <c r="C134" s="9" t="inlineStr">
        <is>
          <t>Company</t>
        </is>
      </c>
      <c r="D134" s="9" t="inlineStr">
        <is>
          <t>2026-08-18</t>
        </is>
      </c>
      <c r="E13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5" ht="100" customHeight="1">
      <c r="A135" s="9" t="inlineStr">
        <is>
          <t>Volume growth — Fuel oil (mix), 2030E</t>
        </is>
      </c>
      <c r="B135" s="14" t="n">
        <v>0</v>
      </c>
      <c r="C135" s="9" t="inlineStr">
        <is>
          <t>Company</t>
        </is>
      </c>
      <c r="D135" s="9" t="inlineStr">
        <is>
          <t>2026-08-18</t>
        </is>
      </c>
      <c r="E13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6" ht="100" customHeight="1">
      <c r="A136" s="9" t="inlineStr">
        <is>
          <t>Volume growth — Heavy fuel oil, 2026E</t>
        </is>
      </c>
      <c r="B136" s="14" t="n">
        <v>0</v>
      </c>
      <c r="C136" s="9" t="inlineStr">
        <is>
          <t>Company</t>
        </is>
      </c>
      <c r="D136" s="9" t="inlineStr">
        <is>
          <t>2026-08-18</t>
        </is>
      </c>
      <c r="E13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7" ht="100" customHeight="1">
      <c r="A137" s="9" t="inlineStr">
        <is>
          <t>Volume growth — Heavy fuel oil, 2027E</t>
        </is>
      </c>
      <c r="B137" s="14" t="n">
        <v>0</v>
      </c>
      <c r="C137" s="9" t="inlineStr">
        <is>
          <t>Company</t>
        </is>
      </c>
      <c r="D137" s="9" t="inlineStr">
        <is>
          <t>2026-08-18</t>
        </is>
      </c>
      <c r="E13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8" ht="100" customHeight="1">
      <c r="A138" s="9" t="inlineStr">
        <is>
          <t>Volume growth — Heavy fuel oil, 2028E</t>
        </is>
      </c>
      <c r="B138" s="14" t="n">
        <v>0</v>
      </c>
      <c r="C138" s="9" t="inlineStr">
        <is>
          <t>Company</t>
        </is>
      </c>
      <c r="D138" s="9" t="inlineStr">
        <is>
          <t>2026-08-18</t>
        </is>
      </c>
      <c r="E13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9" ht="100" customHeight="1">
      <c r="A139" s="9" t="inlineStr">
        <is>
          <t>Volume growth — Heavy fuel oil, 2029E</t>
        </is>
      </c>
      <c r="B139" s="14" t="n">
        <v>0</v>
      </c>
      <c r="C139" s="9" t="inlineStr">
        <is>
          <t>Company</t>
        </is>
      </c>
      <c r="D139" s="9" t="inlineStr">
        <is>
          <t>2026-08-18</t>
        </is>
      </c>
      <c r="E13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0" ht="100" customHeight="1">
      <c r="A140" s="9" t="inlineStr">
        <is>
          <t>Volume growth — Heavy fuel oil, 2030E</t>
        </is>
      </c>
      <c r="B140" s="14" t="n">
        <v>0</v>
      </c>
      <c r="C140" s="9" t="inlineStr">
        <is>
          <t>Company</t>
        </is>
      </c>
      <c r="D140" s="9" t="inlineStr">
        <is>
          <t>2026-08-18</t>
        </is>
      </c>
      <c r="E14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1" ht="100" customHeight="1">
      <c r="A141" s="9" t="inlineStr">
        <is>
          <t>Volume growth — Waste, 2026E</t>
        </is>
      </c>
      <c r="B141" s="14" t="n">
        <v>0</v>
      </c>
      <c r="C141" s="9" t="inlineStr">
        <is>
          <t>Company</t>
        </is>
      </c>
      <c r="D141" s="9" t="inlineStr">
        <is>
          <t>2026-08-18</t>
        </is>
      </c>
      <c r="E14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2" ht="100" customHeight="1">
      <c r="A142" s="9" t="inlineStr">
        <is>
          <t>Volume growth — Waste, 2027E</t>
        </is>
      </c>
      <c r="B142" s="14" t="n">
        <v>0</v>
      </c>
      <c r="C142" s="9" t="inlineStr">
        <is>
          <t>Company</t>
        </is>
      </c>
      <c r="D142" s="9" t="inlineStr">
        <is>
          <t>2026-08-18</t>
        </is>
      </c>
      <c r="E14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3" ht="100" customHeight="1">
      <c r="A143" s="9" t="inlineStr">
        <is>
          <t>Volume growth — Waste, 2028E</t>
        </is>
      </c>
      <c r="B143" s="14" t="n">
        <v>0</v>
      </c>
      <c r="C143" s="9" t="inlineStr">
        <is>
          <t>Company</t>
        </is>
      </c>
      <c r="D143" s="9" t="inlineStr">
        <is>
          <t>2026-08-18</t>
        </is>
      </c>
      <c r="E14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4" ht="100" customHeight="1">
      <c r="A144" s="9" t="inlineStr">
        <is>
          <t>Volume growth — Waste, 2029E</t>
        </is>
      </c>
      <c r="B144" s="14" t="n">
        <v>0</v>
      </c>
      <c r="C144" s="9" t="inlineStr">
        <is>
          <t>Company</t>
        </is>
      </c>
      <c r="D144" s="9" t="inlineStr">
        <is>
          <t>2026-08-18</t>
        </is>
      </c>
      <c r="E14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5" ht="100" customHeight="1">
      <c r="A145" s="9" t="inlineStr">
        <is>
          <t>Volume growth — Waste, 2030E</t>
        </is>
      </c>
      <c r="B145" s="14" t="n">
        <v>0</v>
      </c>
      <c r="C145" s="9" t="inlineStr">
        <is>
          <t>Company</t>
        </is>
      </c>
      <c r="D145" s="9" t="inlineStr">
        <is>
          <t>2026-08-18</t>
        </is>
      </c>
      <c r="E14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6" ht="30" customHeight="1">
      <c r="A146" s="9" t="inlineStr">
        <is>
          <t>Egyptian inflation factor, 2026E</t>
        </is>
      </c>
      <c r="B146" s="13" t="n">
        <v>1.145</v>
      </c>
      <c r="C146" s="9" t="inlineStr">
        <is>
          <t>Country</t>
        </is>
      </c>
      <c r="D146" s="9" t="inlineStr">
        <is>
          <t>2026-08-06</t>
        </is>
      </c>
      <c r="E146"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47" ht="30" customHeight="1">
      <c r="A147" s="9" t="inlineStr">
        <is>
          <t>Egyptian inflation factor, 2027E</t>
        </is>
      </c>
      <c r="B147" s="13" t="n">
        <v>1.13</v>
      </c>
      <c r="C147" s="9" t="inlineStr">
        <is>
          <t>Country</t>
        </is>
      </c>
      <c r="D147" s="9" t="inlineStr">
        <is>
          <t>2026-08-06</t>
        </is>
      </c>
      <c r="E147"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48" ht="30" customHeight="1">
      <c r="A148" s="9" t="inlineStr">
        <is>
          <t>Egyptian inflation factor, 2028E</t>
        </is>
      </c>
      <c r="B148" s="13" t="n">
        <v>1.115</v>
      </c>
      <c r="C148" s="9" t="inlineStr">
        <is>
          <t>Country</t>
        </is>
      </c>
      <c r="D148" s="9" t="inlineStr">
        <is>
          <t>2026-08-06</t>
        </is>
      </c>
      <c r="E148"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49" ht="30" customHeight="1">
      <c r="A149" s="9" t="inlineStr">
        <is>
          <t>Egyptian inflation factor, 2029E</t>
        </is>
      </c>
      <c r="B149" s="13" t="n">
        <v>1.1</v>
      </c>
      <c r="C149" s="9" t="inlineStr">
        <is>
          <t>Country</t>
        </is>
      </c>
      <c r="D149" s="9" t="inlineStr">
        <is>
          <t>2026-08-06</t>
        </is>
      </c>
      <c r="E149"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50" ht="30" customHeight="1">
      <c r="A150" s="9" t="inlineStr">
        <is>
          <t>Egyptian inflation factor, 2030E</t>
        </is>
      </c>
      <c r="B150" s="13" t="n">
        <v>1.095</v>
      </c>
      <c r="C150" s="9" t="inlineStr">
        <is>
          <t>Country</t>
        </is>
      </c>
      <c r="D150" s="9" t="inlineStr">
        <is>
          <t>2026-08-06</t>
        </is>
      </c>
      <c r="E150"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51">
      <c r="A151" s="7" t="inlineStr">
        <is>
          <t>COST OF CAPITAL</t>
        </is>
      </c>
      <c r="B151" s="8" t="n"/>
      <c r="C151" s="8" t="n"/>
      <c r="D151" s="8" t="n"/>
      <c r="E151" s="8" t="n"/>
      <c r="F151" s="8" t="n"/>
    </row>
    <row r="152" ht="20" customHeight="1">
      <c r="A152" s="9" t="inlineStr">
        <is>
          <t>Risk-free rate, Egypt 10-year local currency</t>
        </is>
      </c>
      <c r="B152" s="14" t="n">
        <v>0.2231</v>
      </c>
      <c r="C152" s="9" t="inlineStr">
        <is>
          <t>Country</t>
        </is>
      </c>
      <c r="D152" s="9" t="inlineStr">
        <is>
          <t>2026-07-21</t>
        </is>
      </c>
      <c r="E152" s="4" t="inlineStr">
        <is>
          <t>Egypt 10-year local-currency government bond yield, 22.31% (house cost-of-capital reference, cached 21-Jul-2026 print, re-verified 06-Aug-2026)</t>
        </is>
      </c>
    </row>
    <row r="153" ht="30" customHeight="1">
      <c r="A153" s="9" t="inlineStr">
        <is>
          <t>Sovereign default spread, CDS basis</t>
        </is>
      </c>
      <c r="B153" s="14" t="n">
        <v>0.034</v>
      </c>
      <c r="C153" s="9" t="inlineStr">
        <is>
          <t>Country</t>
        </is>
      </c>
      <c r="D153" s="9" t="inlineStr">
        <is>
          <t>2026-01-05</t>
        </is>
      </c>
      <c r="E153" s="4" t="inlineStr">
        <is>
          <t>Egypt credit-default-swap-implied sovereign default spread, Damodaran January-2026 country-premium file, CDS column. Netted out of the local-currency risk-free rate so sovereign default risk is not charged twice</t>
        </is>
      </c>
    </row>
    <row r="154" ht="20" customHeight="1">
      <c r="A154" s="9" t="inlineStr">
        <is>
          <t>Equity risk premium, CDS basis</t>
        </is>
      </c>
      <c r="B154" s="14" t="n">
        <v>0.0941</v>
      </c>
      <c r="C154" s="9" t="inlineStr">
        <is>
          <t>Country</t>
        </is>
      </c>
      <c r="D154" s="9" t="inlineStr">
        <is>
          <t>2026-01-05</t>
        </is>
      </c>
      <c r="E154" s="4" t="inlineStr">
        <is>
          <t>Damodaran original country-premium file, Egypt row, CDS column, last updated 5 January 2026 — total equity risk premium</t>
        </is>
      </c>
    </row>
    <row r="155" ht="80" customHeight="1">
      <c r="A155" s="9" t="inlineStr">
        <is>
          <t>Beta</t>
        </is>
      </c>
      <c r="B155" s="13" t="n">
        <v>0.908</v>
      </c>
      <c r="C155" s="9" t="inlineStr">
        <is>
          <t>Company</t>
        </is>
      </c>
      <c r="D155" s="9" t="inlineStr">
        <is>
          <t>2026-07-22</t>
        </is>
      </c>
      <c r="E155" s="4" t="inlineStr">
        <is>
          <t>Own-stock tier-1 regression, AMOC weekly log-returns against the EGX30 — the PUBLISHED index of the exchange AMOC is listed on, read from engine/raw_indices/EG/EGX30.csv (as of 22-Jul-2026) and resolved through beta_regression.own_stock_beta(). R-squared 0.259, n = 253, standard error 0.165, 90% confidence interval [0.637, 1.179], Blume cross-check 0.939. Passes the usability gate. THIS REPLACES the previous edition's 0.9405, which was regressed against a 33-name equal-weight composite of the covered Egyptian names — a coverage artefact rather than a market, and a source-integrity failure whatever number it produced. The correction is small on this name, -3.5% on beta and under a percent on fair value; it is made because the provenance was wrong, not because the answer was</t>
        </is>
      </c>
    </row>
    <row r="156" ht="20" customHeight="1">
      <c r="A156" s="9" t="inlineStr">
        <is>
          <t>Yield on cash</t>
        </is>
      </c>
      <c r="B156" s="14" t="n">
        <v>0.17</v>
      </c>
      <c r="C156" s="9" t="inlineStr">
        <is>
          <t>House</t>
        </is>
      </c>
      <c r="D156" s="9" t="inlineStr">
        <is>
          <t>2026-08-06</t>
        </is>
      </c>
      <c r="E156" s="4" t="inlineStr">
        <is>
          <t>Yield earned on the cash pile. Egyptian treasury bills and corporate deposits price a few points under the 19.50% policy rate net of the 20% withholding on interest</t>
        </is>
      </c>
    </row>
    <row r="157" ht="40" customHeight="1">
      <c r="A157" s="9" t="inlineStr">
        <is>
          <t>Cost of debt</t>
        </is>
      </c>
      <c r="B157" s="14" t="n">
        <v>0.22</v>
      </c>
      <c r="C157" s="9" t="inlineStr">
        <is>
          <t>House</t>
        </is>
      </c>
      <c r="D157" s="9" t="inlineStr">
        <is>
          <t>2026-08-06</t>
        </is>
      </c>
      <c r="E157" s="4" t="inlineStr">
        <is>
          <t>Marginal cost of debt. The gross book is EGP 25mn — 0.06% of revenue — of short-dated Egyptian-pound facilities, so the rate is taken at the corridor lending rate of 20.00% plus a 200bp corporate spread rather than pretended to be observable. The integrity gate below computes what this input is actually WORTH to the answer</t>
        </is>
      </c>
    </row>
    <row r="158" ht="20" customHeight="1">
      <c r="A158" s="9" t="inlineStr">
        <is>
          <t>CBE inflation target IN FORCE for the terminal horizon</t>
        </is>
      </c>
      <c r="B158" s="14" t="n">
        <v>0.07000000000000001</v>
      </c>
      <c r="C158" s="9" t="inlineStr">
        <is>
          <t>Country</t>
        </is>
      </c>
      <c r="D158" s="9" t="inlineStr">
        <is>
          <t>2026-08-06</t>
        </is>
      </c>
      <c r="E158" s="4" t="inlineStr">
        <is>
          <t>The central bank's own stated inflation target, 7% (+/-2pp) on average for the fourth quarter of 2026, falling to 5% (+/-2pp) for the fourth quarter of 2028</t>
        </is>
      </c>
    </row>
    <row r="159" ht="60" customHeight="1">
      <c r="A159" s="9" t="inlineStr">
        <is>
          <t>Terminal real risk-free rate</t>
        </is>
      </c>
      <c r="B159" s="14" t="n">
        <v>0.055</v>
      </c>
      <c r="C159" s="9" t="inlineStr">
        <is>
          <t>House</t>
        </is>
      </c>
      <c r="D159" s="9" t="inlineStr">
        <is>
          <t>2026-08-06</t>
        </is>
      </c>
      <c r="E159" s="4" t="inlineStr">
        <is>
          <t>Terminal real risk-free rate, the standard emerging-market convention. The terminal NOMINAL risk-free rate is not an input: it is DERIVED as this real rate plus the central bank's inflation target IN FORCE for the terminal horizon (`cbe_target`), so the single most terminal-value-sensitive number in the model cannot be set by hand. The previous edition hardcoded 10.50% by adding 5.5pp to the 5% target dated Q4-2028 while describing it as 'the' medium-term target; the target in force is 7% for Q4-2026 and the July-2026 rate decision pushed even that to H2-2027</t>
        </is>
      </c>
    </row>
    <row r="160" ht="20" customHeight="1">
      <c r="A160" s="9" t="inlineStr">
        <is>
          <t>Terminal equity risk premium</t>
        </is>
      </c>
      <c r="B160" s="14" t="n">
        <v>0.07000000000000001</v>
      </c>
      <c r="C160" s="9" t="inlineStr">
        <is>
          <t>House</t>
        </is>
      </c>
      <c r="D160" s="9" t="inlineStr">
        <is>
          <t>2026-08-06</t>
        </is>
      </c>
      <c r="E160" s="4" t="inlineStr">
        <is>
          <t>Terminal equity risk premium, normalised below the currently elevated crisis-era level toward the rating-class norm; never held flat into perpetuity</t>
        </is>
      </c>
    </row>
    <row r="161" ht="20" customHeight="1">
      <c r="A161" s="9" t="inlineStr">
        <is>
          <t>Terminal cost of debt</t>
        </is>
      </c>
      <c r="B161" s="14" t="n">
        <v>0.15</v>
      </c>
      <c r="C161" s="9" t="inlineStr">
        <is>
          <t>House</t>
        </is>
      </c>
      <c r="D161" s="9" t="inlineStr">
        <is>
          <t>2026-08-06</t>
        </is>
      </c>
      <c r="E161" s="4" t="inlineStr">
        <is>
          <t>Terminal cost of debt: the midpoint of the 14-16% long-run Egyptian corporate-borrowing norm, with no name-specific reason to deviate</t>
        </is>
      </c>
    </row>
    <row r="162" ht="30" customHeight="1">
      <c r="A162" s="9" t="inlineStr">
        <is>
          <t>Terminal debt weight</t>
        </is>
      </c>
      <c r="B162" s="14" t="n">
        <v>0.1</v>
      </c>
      <c r="C162" s="9" t="inlineStr">
        <is>
          <t>House</t>
        </is>
      </c>
      <c r="D162" s="9" t="inlineStr">
        <is>
          <t>2026-08-06</t>
        </is>
      </c>
      <c r="E162" s="4" t="inlineStr">
        <is>
          <t>Terminal debt weight, normalised. The company is net cash today and has been for years; a terminal structure carrying a tenth of capital in debt is already generous to the valuation and avoids capitalising the current zero-leverage position into perpetuity</t>
        </is>
      </c>
    </row>
    <row r="163" ht="30" customHeight="1">
      <c r="A163" s="9" t="inlineStr">
        <is>
          <t>Cost-of-debt path, 2026E</t>
        </is>
      </c>
      <c r="B163" s="14" t="n">
        <v>0.22</v>
      </c>
      <c r="C163" s="9" t="inlineStr">
        <is>
          <t>House</t>
        </is>
      </c>
      <c r="D163" s="9" t="inlineStr">
        <is>
          <t>2026-08-06</t>
        </is>
      </c>
      <c r="E163" s="4" t="inlineStr">
        <is>
          <t>Forward cost-of-debt path 2026E-2030E, following the central bank's own disinflation path toward the long-run Egyptian corporate-borrowing norm. This path is what sets the SHAPE of the cost-of-capital glide; it is not a second free parameter</t>
        </is>
      </c>
    </row>
    <row r="164" ht="30" customHeight="1">
      <c r="A164" s="9" t="inlineStr">
        <is>
          <t>Cost-of-debt path, 2027E</t>
        </is>
      </c>
      <c r="B164" s="14" t="n">
        <v>0.195</v>
      </c>
      <c r="C164" s="9" t="inlineStr">
        <is>
          <t>House</t>
        </is>
      </c>
      <c r="D164" s="9" t="inlineStr">
        <is>
          <t>2026-08-06</t>
        </is>
      </c>
      <c r="E164" s="4" t="inlineStr">
        <is>
          <t>Forward cost-of-debt path 2026E-2030E, following the central bank's own disinflation path toward the long-run Egyptian corporate-borrowing norm. This path is what sets the SHAPE of the cost-of-capital glide; it is not a second free parameter</t>
        </is>
      </c>
    </row>
    <row r="165" ht="30" customHeight="1">
      <c r="A165" s="9" t="inlineStr">
        <is>
          <t>Cost-of-debt path, 2028E</t>
        </is>
      </c>
      <c r="B165" s="14" t="n">
        <v>0.175</v>
      </c>
      <c r="C165" s="9" t="inlineStr">
        <is>
          <t>House</t>
        </is>
      </c>
      <c r="D165" s="9" t="inlineStr">
        <is>
          <t>2026-08-06</t>
        </is>
      </c>
      <c r="E165" s="4" t="inlineStr">
        <is>
          <t>Forward cost-of-debt path 2026E-2030E, following the central bank's own disinflation path toward the long-run Egyptian corporate-borrowing norm. This path is what sets the SHAPE of the cost-of-capital glide; it is not a second free parameter</t>
        </is>
      </c>
    </row>
    <row r="166" ht="30" customHeight="1">
      <c r="A166" s="9" t="inlineStr">
        <is>
          <t>Cost-of-debt path, 2029E</t>
        </is>
      </c>
      <c r="B166" s="14" t="n">
        <v>0.16</v>
      </c>
      <c r="C166" s="9" t="inlineStr">
        <is>
          <t>House</t>
        </is>
      </c>
      <c r="D166" s="9" t="inlineStr">
        <is>
          <t>2026-08-06</t>
        </is>
      </c>
      <c r="E166" s="4" t="inlineStr">
        <is>
          <t>Forward cost-of-debt path 2026E-2030E, following the central bank's own disinflation path toward the long-run Egyptian corporate-borrowing norm. This path is what sets the SHAPE of the cost-of-capital glide; it is not a second free parameter</t>
        </is>
      </c>
    </row>
    <row r="167" ht="30" customHeight="1">
      <c r="A167" s="9" t="inlineStr">
        <is>
          <t>Cost-of-debt path, 2030E</t>
        </is>
      </c>
      <c r="B167" s="14" t="n">
        <v>0.15</v>
      </c>
      <c r="C167" s="9" t="inlineStr">
        <is>
          <t>House</t>
        </is>
      </c>
      <c r="D167" s="9" t="inlineStr">
        <is>
          <t>2026-08-06</t>
        </is>
      </c>
      <c r="E167" s="4" t="inlineStr">
        <is>
          <t>Forward cost-of-debt path 2026E-2030E, following the central bank's own disinflation path toward the long-run Egyptian corporate-borrowing norm. This path is what sets the SHAPE of the cost-of-capital glide; it is not a second free parameter</t>
        </is>
      </c>
    </row>
    <row r="168" ht="30" customHeight="1">
      <c r="A168" s="9" t="inlineStr">
        <is>
          <t>Lens weight — dcf</t>
        </is>
      </c>
      <c r="B168" s="16" t="n">
        <v>0.45</v>
      </c>
      <c r="C168" s="9" t="inlineStr">
        <is>
          <t>House</t>
        </is>
      </c>
      <c r="D168" s="9" t="inlineStr">
        <is>
          <t>2026-08-06</t>
        </is>
      </c>
      <c r="E168"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69" ht="30" customHeight="1">
      <c r="A169" s="9" t="inlineStr">
        <is>
          <t>Lens weight — relative</t>
        </is>
      </c>
      <c r="B169" s="16" t="n">
        <v>0.2</v>
      </c>
      <c r="C169" s="9" t="inlineStr">
        <is>
          <t>House</t>
        </is>
      </c>
      <c r="D169" s="9" t="inlineStr">
        <is>
          <t>2026-08-06</t>
        </is>
      </c>
      <c r="E169"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70" ht="30" customHeight="1">
      <c r="A170" s="9" t="inlineStr">
        <is>
          <t>Lens weight — normalized</t>
        </is>
      </c>
      <c r="B170" s="16" t="n">
        <v>0.2</v>
      </c>
      <c r="C170" s="9" t="inlineStr">
        <is>
          <t>House</t>
        </is>
      </c>
      <c r="D170" s="9" t="inlineStr">
        <is>
          <t>2026-08-06</t>
        </is>
      </c>
      <c r="E170"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71" ht="30" customHeight="1">
      <c r="A171" s="9" t="inlineStr">
        <is>
          <t>Lens weight — book</t>
        </is>
      </c>
      <c r="B171" s="16" t="n">
        <v>0.15</v>
      </c>
      <c r="C171" s="9" t="inlineStr">
        <is>
          <t>House</t>
        </is>
      </c>
      <c r="D171" s="9" t="inlineStr">
        <is>
          <t>2026-08-06</t>
        </is>
      </c>
      <c r="E171"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sheetData>
  <mergeCells count="1">
    <mergeCell ref="A2:F2"/>
  </mergeCells>
  <pageMargins left="0.75" right="0.75" top="1" bottom="1" header="0.5" footer="0.5"/>
</worksheet>
</file>

<file path=xl/worksheets/sheet3.xml><?xml version="1.0" encoding="utf-8"?>
<worksheet xmlns="http://schemas.openxmlformats.org/spreadsheetml/2006/main">
  <sheetPr>
    <tabColor rgb="001C3A36"/>
    <outlinePr summaryBelow="1" summaryRight="1"/>
    <pageSetUpPr/>
  </sheetPr>
  <dimension ref="A1:I46"/>
  <sheetViews>
    <sheetView showGridLines="0" workbookViewId="0">
      <selection activeCell="A1" sqref="A1"/>
    </sheetView>
  </sheetViews>
  <sheetFormatPr baseColWidth="8" defaultRowHeight="15"/>
  <cols>
    <col width="5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Base year — twelve contiguous months to 30 June 2026</t>
        </is>
      </c>
    </row>
    <row r="2" ht="32" customHeight="1">
      <c r="A2" s="5" t="inlineStr">
        <is>
          <t>The gross profit of the reported half is NOT taken as released. It is solved from the release's own profit line, and the released figure is shown beside it with the profit it would have implied. Every cell below is a formula.</t>
        </is>
      </c>
    </row>
    <row r="3">
      <c r="A3" s="2" t="n"/>
      <c r="B3" s="2" t="n"/>
      <c r="C3" s="2" t="n"/>
      <c r="D3" s="2" t="n"/>
      <c r="E3" s="2" t="n"/>
    </row>
    <row r="5">
      <c r="A5" s="6" t="inlineStr"/>
      <c r="B5" s="6" t="inlineStr">
        <is>
          <t>EGP</t>
        </is>
      </c>
      <c r="C5" s="6" t="inlineStr">
        <is>
          <t>Check</t>
        </is>
      </c>
      <c r="D5" s="6" t="inlineStr"/>
      <c r="E5" s="6" t="inlineStr"/>
    </row>
    <row r="6">
      <c r="A6" s="17" t="inlineStr">
        <is>
          <t>Administrative + selling + other, 3M to 31-Mar-2026</t>
        </is>
      </c>
      <c r="B6" s="18">
        <f>Assumptions!$B$17+Assumptions!$B$18+Assumptions!$B$19</f>
        <v/>
      </c>
    </row>
    <row r="7">
      <c r="A7" s="9" t="inlineStr">
        <is>
          <t>Scaled to the half (x2)</t>
        </is>
      </c>
      <c r="B7" s="18">
        <f>B6*2</f>
        <v/>
      </c>
    </row>
    <row r="8">
      <c r="A8" s="9" t="inlineStr">
        <is>
          <t>Other revenue, half</t>
        </is>
      </c>
      <c r="B8" s="18">
        <f>Assumptions!$B$20*2</f>
        <v/>
      </c>
    </row>
    <row r="9">
      <c r="A9" s="9" t="inlineStr">
        <is>
          <t>Provisions and expected credit losses, half</t>
        </is>
      </c>
      <c r="B9" s="18">
        <f>(Assumptions!$B$21+Assumptions!$B$22)*2</f>
        <v/>
      </c>
    </row>
    <row r="10">
      <c r="A10" s="9" t="inlineStr">
        <is>
          <t>Finance cost, half</t>
        </is>
      </c>
      <c r="B10" s="18">
        <f>Assumptions!$B$23*2</f>
        <v/>
      </c>
    </row>
    <row r="11">
      <c r="A11" s="9" t="inlineStr">
        <is>
          <t>Effective tax rate, nine months (for the solve only)</t>
        </is>
      </c>
      <c r="B11" s="19">
        <f>(Assumptions!$B$38-Assumptions!$B$39+Assumptions!$B$40-Assumptions!$B$41)/((Assumptions!$B$38-Assumptions!$B$39+Assumptions!$B$40-Assumptions!$B$41)/0.22118761296853667)</f>
        <v/>
      </c>
    </row>
    <row r="13">
      <c r="A13" s="17" t="inlineStr">
        <is>
          <t>GROSS PROFIT, 6M to 30-Jun-2026 — SOLVED from the profit</t>
        </is>
      </c>
      <c r="B13" s="20">
        <f>Assumptions!$B$13/(1-B11)+B7-B8+B9+B10</f>
        <v/>
      </c>
    </row>
    <row r="14">
      <c r="A14" s="9" t="inlineStr">
        <is>
          <t>Gross profit AS RELEASED — rejected</t>
        </is>
      </c>
      <c r="B14" s="18">
        <f>Assumptions!$B$14</f>
        <v/>
      </c>
    </row>
    <row r="15">
      <c r="A15" s="9" t="inlineStr">
        <is>
          <t>Profit the released gross profit would imply</t>
        </is>
      </c>
      <c r="B15" s="18">
        <f>(B14-B7+B8-B9-B10)*(1-B11)</f>
        <v/>
      </c>
    </row>
    <row r="16">
      <c r="A16" s="9" t="inlineStr">
        <is>
          <t>against the profit the same release reports</t>
        </is>
      </c>
      <c r="B16" s="18">
        <f>Assumptions!$B$13</f>
        <v/>
      </c>
    </row>
    <row r="17">
      <c r="A17" s="17" t="inlineStr">
        <is>
          <t>Overstatement in the released gross-profit line</t>
        </is>
      </c>
      <c r="B17" s="21">
        <f>B15/B16-1</f>
        <v/>
      </c>
    </row>
    <row r="19">
      <c r="A19" s="17" t="inlineStr">
        <is>
          <t>BASE-YEAR REVENUE — twelve months to 30-Jun-2026</t>
        </is>
      </c>
      <c r="B19" s="20">
        <f>(Assumptions!$B$10+Assumptions!$B$12)/10^6</f>
        <v/>
      </c>
    </row>
    <row r="20">
      <c r="A20" s="17" t="inlineStr">
        <is>
          <t>BASE-YEAR GROSS PROFIT</t>
        </is>
      </c>
      <c r="B20" s="20">
        <f>(Assumptions!$B$10-Assumptions!$B$11+B13)/10^6</f>
        <v/>
      </c>
    </row>
    <row r="21">
      <c r="A21" s="17" t="inlineStr">
        <is>
          <t>BASE-YEAR COST OF SALES</t>
        </is>
      </c>
      <c r="B21" s="20">
        <f>B19-B20</f>
        <v/>
      </c>
    </row>
    <row r="22">
      <c r="A22" s="17" t="inlineStr">
        <is>
          <t>BASE-YEAR GROSS MARGIN</t>
        </is>
      </c>
      <c r="B22" s="21">
        <f>B20/B19</f>
        <v/>
      </c>
    </row>
    <row r="24">
      <c r="A24" s="9" t="inlineStr">
        <is>
          <t>Alternative base: nine audited months x 4/3</t>
        </is>
      </c>
      <c r="B24" s="18">
        <f>(Assumptions!$B$10+Assumptions!$B$15)/10^6*4/3</f>
        <v/>
      </c>
    </row>
    <row r="25">
      <c r="A25" s="9" t="inlineStr">
        <is>
          <t>its gross margin</t>
        </is>
      </c>
      <c r="B25" s="19">
        <f>(Assumptions!$B$10+Assumptions!$B$15-Assumptions!$B$11-Assumptions!$B$16)/(Assumptions!$B$10+Assumptions!$B$15)</f>
        <v/>
      </c>
    </row>
    <row r="27">
      <c r="A27" s="7" t="inlineStr">
        <is>
          <t>Operating lines, SAME twelve months</t>
        </is>
      </c>
      <c r="B27" s="8" t="n"/>
      <c r="C27" s="8" t="n"/>
      <c r="D27" s="8" t="n"/>
      <c r="E27" s="8" t="n"/>
    </row>
    <row r="28">
      <c r="A28" s="9" t="inlineStr">
        <is>
          <t>Administrative expense</t>
        </is>
      </c>
      <c r="B28" s="18">
        <f>(Assumptions!$B$24+Assumptions!$B$17*2)/10^6</f>
        <v/>
      </c>
    </row>
    <row r="29">
      <c r="A29" s="9" t="inlineStr">
        <is>
          <t>Selling expense</t>
        </is>
      </c>
      <c r="B29" s="18">
        <f>(Assumptions!$B$25+Assumptions!$B$18*2)/10^6</f>
        <v/>
      </c>
    </row>
    <row r="30">
      <c r="A30" s="9" t="inlineStr">
        <is>
          <t>Other operating expense</t>
        </is>
      </c>
      <c r="B30" s="18">
        <f>(Assumptions!$B$26+Assumptions!$B$19*2)/10^6</f>
        <v/>
      </c>
    </row>
    <row r="31">
      <c r="A31" s="9" t="inlineStr">
        <is>
          <t>Provisions and credit losses</t>
        </is>
      </c>
      <c r="B31" s="18">
        <f>(Assumptions!$B$27+(Assumptions!$B$21+Assumptions!$B$22)*2)/10^6</f>
        <v/>
      </c>
    </row>
    <row r="32">
      <c r="A32" s="9" t="inlineStr">
        <is>
          <t>Depreciation</t>
        </is>
      </c>
      <c r="B32" s="18">
        <f>(Assumptions!$B$28+Assumptions!$B$29*2)/10^6</f>
        <v/>
      </c>
    </row>
    <row r="33">
      <c r="A33" s="9" t="inlineStr">
        <is>
          <t>Cash capital expenditure</t>
        </is>
      </c>
      <c r="B33" s="18">
        <f>(Assumptions!$B$30+Assumptions!$B$31*2)/10^6</f>
        <v/>
      </c>
    </row>
    <row r="34">
      <c r="A34" s="9" t="inlineStr">
        <is>
          <t>Credit interest</t>
        </is>
      </c>
      <c r="B34" s="18">
        <f>(Assumptions!$B$32+Assumptions!$B$33*2)/10^6</f>
        <v/>
      </c>
    </row>
    <row r="35">
      <c r="A35" s="9" t="inlineStr">
        <is>
          <t>Employees' profit share</t>
        </is>
      </c>
      <c r="B35" s="18">
        <f>(Assumptions!$B$34*2)/10^6</f>
        <v/>
      </c>
    </row>
    <row r="37" ht="44" customHeight="1">
      <c r="A37" s="22" t="inlineStr">
        <is>
          <t>Every operating line is struck on the SAME twelve months as revenue and gross profit. The previous edition built revenue from the six-month product table doubled while taking cost of sales from the nine months scaled by four thirds, so its base-year gross margin of 7.081% corresponded to no filed period at all. One period, both sides, or the margin is an artefact of the scalars.</t>
        </is>
      </c>
    </row>
    <row r="39">
      <c r="A39" s="7" t="inlineStr">
        <is>
          <t>RATES — solved, not assumed</t>
        </is>
      </c>
      <c r="B39" s="8" t="n"/>
      <c r="C39" s="8" t="n"/>
      <c r="D39" s="8" t="n"/>
      <c r="E39" s="8" t="n"/>
    </row>
    <row r="40">
      <c r="A40" s="9" t="inlineStr">
        <is>
          <t>Employees' profit share, % of profit after tax</t>
        </is>
      </c>
      <c r="B40" s="19">
        <f>B35/((Assumptions!$B$35+Assumptions!$B$13)/10^6)</f>
        <v/>
      </c>
    </row>
    <row r="41">
      <c r="A41" s="9" t="inlineStr">
        <is>
          <t>Minority interest, % of OPERATING profit, whole base year</t>
        </is>
      </c>
      <c r="B41" s="19">
        <f>((Assumptions!$B$36+Assumptions!$B$37*2)/10^6)/((Assumptions!$B$35+Assumptions!$B$13)/10^6-B34*(1-0.22118761296853667))</f>
        <v/>
      </c>
    </row>
    <row r="42">
      <c r="A42" s="9" t="inlineStr">
        <is>
          <t>Implied asset life, years = fixed assets at cost / depreciation</t>
        </is>
      </c>
      <c r="B42" s="23">
        <f>Assumptions!$B$70/10^6/B32</f>
        <v/>
      </c>
    </row>
    <row r="43">
      <c r="A43" s="9" t="inlineStr">
        <is>
          <t>Maintenance capital expenditure at cost over that life</t>
        </is>
      </c>
      <c r="B43" s="18">
        <f>Assumptions!$B$70/10^6/B42</f>
        <v/>
      </c>
    </row>
    <row r="44">
      <c r="A44" s="9" t="inlineStr">
        <is>
          <t>Inventory days of cost of sales</t>
        </is>
      </c>
      <c r="B44" s="23">
        <f>Assumptions!$B$72/10^6/B21*365</f>
        <v/>
      </c>
    </row>
    <row r="45">
      <c r="A45" s="9" t="inlineStr">
        <is>
          <t>Receivable days of revenue</t>
        </is>
      </c>
      <c r="B45" s="23">
        <f>(Assumptions!$B$73+Assumptions!$B$74)/10^6/B19*365</f>
        <v/>
      </c>
    </row>
    <row r="46">
      <c r="A46" s="9" t="inlineStr">
        <is>
          <t>Operating payable days of cost of sales — dividends payable REMOVED</t>
        </is>
      </c>
      <c r="B46" s="23">
        <f>(Assumptions!$B$75+Assumptions!$B$76-Assumptions!$B$77)/10^6/B21*365</f>
        <v/>
      </c>
    </row>
  </sheetData>
  <mergeCells count="2">
    <mergeCell ref="A2:E2"/>
    <mergeCell ref="A37:I37"/>
  </mergeCells>
  <pageMargins left="0.75" right="0.75" top="1" bottom="1" header="0.5" footer="0.5"/>
</worksheet>
</file>

<file path=xl/worksheets/sheet4.xml><?xml version="1.0" encoding="utf-8"?>
<worksheet xmlns="http://schemas.openxmlformats.org/spreadsheetml/2006/main">
  <sheetPr>
    <tabColor rgb="001C3A36"/>
    <outlinePr summaryBelow="1" summaryRight="1"/>
    <pageSetUpPr/>
  </sheetPr>
  <dimension ref="A1:I38"/>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eight disclosed product lines — revenue AND cost, per line</t>
        </is>
      </c>
    </row>
    <row r="2" ht="32" customHeight="1">
      <c r="A2" s="5" t="inlineStr">
        <is>
          <t>Note 14-A gives tonnes and value per line. Note 15-A gives the cost stack for the company and NOT by line, so conversion is allocated on the registered processing-intensity weights and feedstock is then allocated on NET REALISABLE VALUE — the standard joint-product method. Every cell here is a formula.</t>
        </is>
      </c>
    </row>
    <row r="3">
      <c r="A3" s="2" t="n"/>
      <c r="B3" s="2" t="n"/>
      <c r="C3" s="2" t="n"/>
      <c r="D3" s="2" t="n"/>
      <c r="E3" s="2" t="n"/>
      <c r="F3" s="2" t="n"/>
      <c r="G3" s="2" t="n"/>
      <c r="H3" s="2" t="n"/>
      <c r="I3" s="2" t="n"/>
    </row>
    <row r="5">
      <c r="A5" s="6" t="inlineStr">
        <is>
          <t>Line</t>
        </is>
      </c>
      <c r="B5" s="6" t="inlineStr">
        <is>
          <t>Tonnes, 6M</t>
        </is>
      </c>
      <c r="C5" s="6" t="inlineStr">
        <is>
          <t>Value, EGP 6M</t>
        </is>
      </c>
      <c r="D5" s="6" t="inlineStr">
        <is>
          <t>Realisation EGP/t</t>
        </is>
      </c>
      <c r="E5" s="6" t="inlineStr">
        <is>
          <t>Base tonnes mn</t>
        </is>
      </c>
      <c r="F5" s="6" t="inlineStr">
        <is>
          <t>Base realisation</t>
        </is>
      </c>
      <c r="G5" s="6" t="inlineStr">
        <is>
          <t>Conversion EGP/t</t>
        </is>
      </c>
      <c r="H5" s="6" t="inlineStr">
        <is>
          <t>Feedstock EGP/t</t>
        </is>
      </c>
      <c r="I5" s="6" t="inlineStr">
        <is>
          <t>Spread EGP/t</t>
        </is>
      </c>
    </row>
    <row r="6">
      <c r="A6" s="9" t="inlineStr">
        <is>
          <t>Base and special oils</t>
        </is>
      </c>
      <c r="B6" s="24">
        <f>Assumptions!$B$46</f>
        <v/>
      </c>
      <c r="C6" s="25">
        <f>Assumptions!$B$54</f>
        <v/>
      </c>
      <c r="D6" s="18">
        <f>C6/B6</f>
        <v/>
      </c>
      <c r="E6" s="26">
        <f>B6*2/10^6</f>
        <v/>
      </c>
      <c r="F6" s="18">
        <f>D6*$B$16</f>
        <v/>
      </c>
      <c r="G6" s="18">
        <f>$B$22*H6/$B$23</f>
        <v/>
      </c>
      <c r="H6" s="27">
        <f>Assumptions!$B$93</f>
        <v/>
      </c>
      <c r="I6" s="18">
        <f>F6-G6</f>
        <v/>
      </c>
    </row>
    <row r="7">
      <c r="A7" s="9" t="inlineStr">
        <is>
          <t>Paraffin wax</t>
        </is>
      </c>
      <c r="B7" s="24">
        <f>Assumptions!$B$47</f>
        <v/>
      </c>
      <c r="C7" s="25">
        <f>Assumptions!$B$55</f>
        <v/>
      </c>
      <c r="D7" s="18">
        <f>C7/B7</f>
        <v/>
      </c>
      <c r="E7" s="26">
        <f>B7*2/10^6</f>
        <v/>
      </c>
      <c r="F7" s="18">
        <f>D7*$B$16</f>
        <v/>
      </c>
      <c r="G7" s="18">
        <f>$B$22*H7/$B$23</f>
        <v/>
      </c>
      <c r="H7" s="27">
        <f>Assumptions!$B$94</f>
        <v/>
      </c>
      <c r="I7" s="18">
        <f>F7-G7</f>
        <v/>
      </c>
    </row>
    <row r="8">
      <c r="A8" s="9" t="inlineStr">
        <is>
          <t>Gas oil</t>
        </is>
      </c>
      <c r="B8" s="24">
        <f>Assumptions!$B$48</f>
        <v/>
      </c>
      <c r="C8" s="25">
        <f>Assumptions!$B$56</f>
        <v/>
      </c>
      <c r="D8" s="18">
        <f>C8/B8</f>
        <v/>
      </c>
      <c r="E8" s="26">
        <f>B8*2/10^6</f>
        <v/>
      </c>
      <c r="F8" s="18">
        <f>D8*$B$16</f>
        <v/>
      </c>
      <c r="G8" s="18">
        <f>$B$22*H8/$B$23</f>
        <v/>
      </c>
      <c r="H8" s="27">
        <f>Assumptions!$B$95</f>
        <v/>
      </c>
      <c r="I8" s="18">
        <f>F8-G8</f>
        <v/>
      </c>
    </row>
    <row r="9">
      <c r="A9" s="9" t="inlineStr">
        <is>
          <t>Naphtha</t>
        </is>
      </c>
      <c r="B9" s="24">
        <f>Assumptions!$B$49</f>
        <v/>
      </c>
      <c r="C9" s="25">
        <f>Assumptions!$B$57</f>
        <v/>
      </c>
      <c r="D9" s="18">
        <f>C9/B9</f>
        <v/>
      </c>
      <c r="E9" s="26">
        <f>B9*2/10^6</f>
        <v/>
      </c>
      <c r="F9" s="18">
        <f>D9*$B$16</f>
        <v/>
      </c>
      <c r="G9" s="18">
        <f>$B$22*H9/$B$23</f>
        <v/>
      </c>
      <c r="H9" s="27">
        <f>Assumptions!$B$96</f>
        <v/>
      </c>
      <c r="I9" s="18">
        <f>F9-G9</f>
        <v/>
      </c>
    </row>
    <row r="10">
      <c r="A10" s="9" t="inlineStr">
        <is>
          <t>Liquefied petroleum gas</t>
        </is>
      </c>
      <c r="B10" s="24">
        <f>Assumptions!$B$50</f>
        <v/>
      </c>
      <c r="C10" s="25">
        <f>Assumptions!$B$58</f>
        <v/>
      </c>
      <c r="D10" s="18">
        <f>C10/B10</f>
        <v/>
      </c>
      <c r="E10" s="26">
        <f>B10*2/10^6</f>
        <v/>
      </c>
      <c r="F10" s="18">
        <f>D10*$B$16</f>
        <v/>
      </c>
      <c r="G10" s="18">
        <f>$B$22*H10/$B$23</f>
        <v/>
      </c>
      <c r="H10" s="27">
        <f>Assumptions!$B$97</f>
        <v/>
      </c>
      <c r="I10" s="18">
        <f>F10-G10</f>
        <v/>
      </c>
    </row>
    <row r="11">
      <c r="A11" s="9" t="inlineStr">
        <is>
          <t>Fuel oil (mix)</t>
        </is>
      </c>
      <c r="B11" s="24">
        <f>Assumptions!$B$51</f>
        <v/>
      </c>
      <c r="C11" s="25">
        <f>Assumptions!$B$59</f>
        <v/>
      </c>
      <c r="D11" s="18">
        <f>C11/B11</f>
        <v/>
      </c>
      <c r="E11" s="26">
        <f>B11*2/10^6</f>
        <v/>
      </c>
      <c r="F11" s="18">
        <f>D11*$B$16</f>
        <v/>
      </c>
      <c r="G11" s="18">
        <f>$B$22*H11/$B$23</f>
        <v/>
      </c>
      <c r="H11" s="27">
        <f>Assumptions!$B$98</f>
        <v/>
      </c>
      <c r="I11" s="18">
        <f>F11-G11</f>
        <v/>
      </c>
    </row>
    <row r="12">
      <c r="A12" s="9" t="inlineStr">
        <is>
          <t>Heavy fuel oil</t>
        </is>
      </c>
      <c r="B12" s="24">
        <f>Assumptions!$B$52</f>
        <v/>
      </c>
      <c r="C12" s="25">
        <f>Assumptions!$B$60</f>
        <v/>
      </c>
      <c r="D12" s="18">
        <f>C12/B12</f>
        <v/>
      </c>
      <c r="E12" s="26">
        <f>B12*2/10^6</f>
        <v/>
      </c>
      <c r="F12" s="18">
        <f>D12*$B$16</f>
        <v/>
      </c>
      <c r="G12" s="18">
        <f>$B$22*H12/$B$23</f>
        <v/>
      </c>
      <c r="H12" s="27">
        <f>Assumptions!$B$99</f>
        <v/>
      </c>
      <c r="I12" s="18">
        <f>F12-G12</f>
        <v/>
      </c>
    </row>
    <row r="13">
      <c r="A13" s="9" t="inlineStr">
        <is>
          <t>Waste</t>
        </is>
      </c>
      <c r="B13" s="24">
        <f>Assumptions!$B$53</f>
        <v/>
      </c>
      <c r="C13" s="25">
        <f>Assumptions!$B$61</f>
        <v/>
      </c>
      <c r="D13" s="18">
        <f>C13/B13</f>
        <v/>
      </c>
      <c r="E13" s="26">
        <f>B13*2/10^6</f>
        <v/>
      </c>
      <c r="F13" s="18">
        <f>D13*$B$16</f>
        <v/>
      </c>
      <c r="G13" s="18">
        <f>$B$22*H13/$B$23</f>
        <v/>
      </c>
      <c r="H13" s="27">
        <f>Assumptions!$B$100</f>
        <v/>
      </c>
      <c r="I13" s="18">
        <f>F13-G13</f>
        <v/>
      </c>
    </row>
    <row r="14">
      <c r="A14" s="17" t="inlineStr">
        <is>
          <t>TOTAL</t>
        </is>
      </c>
      <c r="B14" s="28">
        <f>SUM(B6:B13)</f>
        <v/>
      </c>
      <c r="C14" s="20">
        <f>SUM(C6:C13)</f>
        <v/>
      </c>
      <c r="E14" s="28">
        <f>SUM(E6:E13)</f>
        <v/>
      </c>
      <c r="F14" s="20">
        <f>SUMPRODUCT(E6:E13,F6:F13)</f>
        <v/>
      </c>
    </row>
    <row r="15">
      <c r="A15" s="9" t="inlineStr">
        <is>
          <t>Revenue at the disclosed realisations, annualised</t>
        </is>
      </c>
      <c r="B15" s="18">
        <f>SUMPRODUCT(E6:E13,D6:D13)</f>
        <v/>
      </c>
    </row>
    <row r="16">
      <c r="A16" s="17" t="inlineStr">
        <is>
          <t>REALISATION INDEX — solved so the base year foots</t>
        </is>
      </c>
      <c r="B16" s="28">
        <f>'Base Year'!B19/B15</f>
        <v/>
      </c>
    </row>
    <row r="18">
      <c r="A18" s="7" t="inlineStr">
        <is>
          <t>COST ALLOCATION</t>
        </is>
      </c>
      <c r="B18" s="8" t="n"/>
      <c r="C18" s="8" t="n"/>
      <c r="D18" s="8" t="n"/>
      <c r="E18" s="8" t="n"/>
      <c r="F18" s="8" t="n"/>
      <c r="G18" s="8" t="n"/>
      <c r="H18" s="8" t="n"/>
      <c r="I18" s="8" t="n"/>
    </row>
    <row r="19">
      <c r="A19" s="9" t="inlineStr">
        <is>
          <t>Cost of sales, base year</t>
        </is>
      </c>
      <c r="B19" s="18">
        <f>'Base Year'!B21</f>
        <v/>
      </c>
    </row>
    <row r="20">
      <c r="A20" s="9" t="inlineStr">
        <is>
          <t>Feedstock share of cost (note 15-A)</t>
        </is>
      </c>
      <c r="B20" s="19">
        <f>Assumptions!$B$63/(Assumptions!$B$63+Assumptions!$B$64+Assumptions!$B$65+Assumptions!$B$66+Assumptions!$B$67)</f>
        <v/>
      </c>
    </row>
    <row r="21">
      <c r="A21" s="9" t="inlineStr">
        <is>
          <t>Feedstock total</t>
        </is>
      </c>
      <c r="B21" s="18">
        <f>B19*B20</f>
        <v/>
      </c>
    </row>
    <row r="22">
      <c r="A22" s="9" t="inlineStr">
        <is>
          <t>Conversion total</t>
        </is>
      </c>
      <c r="B22" s="18">
        <f>B19-B21</f>
        <v/>
      </c>
    </row>
    <row r="23">
      <c r="A23" s="9" t="inlineStr">
        <is>
          <t>Processing-weighted tonnage</t>
        </is>
      </c>
      <c r="B23" s="26">
        <f>SUMPRODUCT(E6:E13,H6:H13)</f>
        <v/>
      </c>
    </row>
    <row r="24">
      <c r="A24" s="9" t="inlineStr">
        <is>
          <t>Net realisable value weighted tonnage</t>
        </is>
      </c>
      <c r="B24" s="18">
        <f>SUMPRODUCT(E6:E13,I6:I13)</f>
        <v/>
      </c>
    </row>
    <row r="26">
      <c r="A26" s="6" t="inlineStr">
        <is>
          <t>Line</t>
        </is>
      </c>
      <c r="B26" s="6" t="inlineStr">
        <is>
          <t>Conversion EGP/t</t>
        </is>
      </c>
      <c r="C26" s="6" t="inlineStr">
        <is>
          <t>Net realisable EGP/t</t>
        </is>
      </c>
      <c r="D26" s="6" t="inlineStr">
        <is>
          <t>Feedstock EGP/t</t>
        </is>
      </c>
      <c r="E26" s="6" t="inlineStr">
        <is>
          <t>Total cost EGP/t</t>
        </is>
      </c>
      <c r="F26" s="6" t="inlineStr">
        <is>
          <t>Realisation EGP/t</t>
        </is>
      </c>
      <c r="G26" s="6" t="inlineStr">
        <is>
          <t>Spread EGP/t</t>
        </is>
      </c>
      <c r="H26" s="6" t="inlineStr">
        <is>
          <t>Gross margin</t>
        </is>
      </c>
    </row>
    <row r="27">
      <c r="A27" s="9" t="inlineStr">
        <is>
          <t>Base and special oils</t>
        </is>
      </c>
      <c r="B27" s="18">
        <f>G6</f>
        <v/>
      </c>
      <c r="C27" s="18">
        <f>I6</f>
        <v/>
      </c>
      <c r="D27" s="18">
        <f>$B$21*I6/$B$24</f>
        <v/>
      </c>
      <c r="E27" s="18">
        <f>D27+B27</f>
        <v/>
      </c>
      <c r="F27" s="18">
        <f>F6</f>
        <v/>
      </c>
      <c r="G27" s="20">
        <f>F27-E27</f>
        <v/>
      </c>
      <c r="H27" s="19">
        <f>G27/F27</f>
        <v/>
      </c>
    </row>
    <row r="28">
      <c r="A28" s="9" t="inlineStr">
        <is>
          <t>Paraffin wax</t>
        </is>
      </c>
      <c r="B28" s="18">
        <f>G7</f>
        <v/>
      </c>
      <c r="C28" s="18">
        <f>I7</f>
        <v/>
      </c>
      <c r="D28" s="18">
        <f>$B$21*I7/$B$24</f>
        <v/>
      </c>
      <c r="E28" s="18">
        <f>D28+B28</f>
        <v/>
      </c>
      <c r="F28" s="18">
        <f>F7</f>
        <v/>
      </c>
      <c r="G28" s="20">
        <f>F28-E28</f>
        <v/>
      </c>
      <c r="H28" s="19">
        <f>G28/F28</f>
        <v/>
      </c>
    </row>
    <row r="29">
      <c r="A29" s="9" t="inlineStr">
        <is>
          <t>Gas oil</t>
        </is>
      </c>
      <c r="B29" s="18">
        <f>G8</f>
        <v/>
      </c>
      <c r="C29" s="18">
        <f>I8</f>
        <v/>
      </c>
      <c r="D29" s="18">
        <f>$B$21*I8/$B$24</f>
        <v/>
      </c>
      <c r="E29" s="18">
        <f>D29+B29</f>
        <v/>
      </c>
      <c r="F29" s="18">
        <f>F8</f>
        <v/>
      </c>
      <c r="G29" s="20">
        <f>F29-E29</f>
        <v/>
      </c>
      <c r="H29" s="19">
        <f>G29/F29</f>
        <v/>
      </c>
    </row>
    <row r="30">
      <c r="A30" s="9" t="inlineStr">
        <is>
          <t>Naphtha</t>
        </is>
      </c>
      <c r="B30" s="18">
        <f>G9</f>
        <v/>
      </c>
      <c r="C30" s="18">
        <f>I9</f>
        <v/>
      </c>
      <c r="D30" s="18">
        <f>$B$21*I9/$B$24</f>
        <v/>
      </c>
      <c r="E30" s="18">
        <f>D30+B30</f>
        <v/>
      </c>
      <c r="F30" s="18">
        <f>F9</f>
        <v/>
      </c>
      <c r="G30" s="20">
        <f>F30-E30</f>
        <v/>
      </c>
      <c r="H30" s="19">
        <f>G30/F30</f>
        <v/>
      </c>
    </row>
    <row r="31">
      <c r="A31" s="9" t="inlineStr">
        <is>
          <t>Liquefied petroleum gas</t>
        </is>
      </c>
      <c r="B31" s="18">
        <f>G10</f>
        <v/>
      </c>
      <c r="C31" s="18">
        <f>I10</f>
        <v/>
      </c>
      <c r="D31" s="18">
        <f>$B$21*I10/$B$24</f>
        <v/>
      </c>
      <c r="E31" s="18">
        <f>D31+B31</f>
        <v/>
      </c>
      <c r="F31" s="18">
        <f>F10</f>
        <v/>
      </c>
      <c r="G31" s="20">
        <f>F31-E31</f>
        <v/>
      </c>
      <c r="H31" s="19">
        <f>G31/F31</f>
        <v/>
      </c>
    </row>
    <row r="32">
      <c r="A32" s="9" t="inlineStr">
        <is>
          <t>Fuel oil (mix)</t>
        </is>
      </c>
      <c r="B32" s="18">
        <f>G11</f>
        <v/>
      </c>
      <c r="C32" s="18">
        <f>I11</f>
        <v/>
      </c>
      <c r="D32" s="18">
        <f>$B$21*I11/$B$24</f>
        <v/>
      </c>
      <c r="E32" s="18">
        <f>D32+B32</f>
        <v/>
      </c>
      <c r="F32" s="18">
        <f>F11</f>
        <v/>
      </c>
      <c r="G32" s="20">
        <f>F32-E32</f>
        <v/>
      </c>
      <c r="H32" s="19">
        <f>G32/F32</f>
        <v/>
      </c>
    </row>
    <row r="33">
      <c r="A33" s="9" t="inlineStr">
        <is>
          <t>Heavy fuel oil</t>
        </is>
      </c>
      <c r="B33" s="18">
        <f>G12</f>
        <v/>
      </c>
      <c r="C33" s="18">
        <f>I12</f>
        <v/>
      </c>
      <c r="D33" s="18">
        <f>$B$21*I12/$B$24</f>
        <v/>
      </c>
      <c r="E33" s="18">
        <f>D33+B33</f>
        <v/>
      </c>
      <c r="F33" s="18">
        <f>F12</f>
        <v/>
      </c>
      <c r="G33" s="20">
        <f>F33-E33</f>
        <v/>
      </c>
      <c r="H33" s="19">
        <f>G33/F33</f>
        <v/>
      </c>
    </row>
    <row r="34">
      <c r="A34" s="9" t="inlineStr">
        <is>
          <t>Waste</t>
        </is>
      </c>
      <c r="B34" s="18">
        <f>G13</f>
        <v/>
      </c>
      <c r="C34" s="18">
        <f>I13</f>
        <v/>
      </c>
      <c r="D34" s="18">
        <f>$B$21*I13/$B$24</f>
        <v/>
      </c>
      <c r="E34" s="18">
        <f>D34+B34</f>
        <v/>
      </c>
      <c r="F34" s="18">
        <f>F13</f>
        <v/>
      </c>
      <c r="G34" s="20">
        <f>F34-E34</f>
        <v/>
      </c>
      <c r="H34" s="19">
        <f>G34/F34</f>
        <v/>
      </c>
    </row>
    <row r="35">
      <c r="A35" s="17" t="inlineStr">
        <is>
          <t>Cost of sales rebuilt from the per-line allocation</t>
        </is>
      </c>
      <c r="B35" s="20">
        <f>SUMPRODUCT(E6:E13,E27:E34)</f>
        <v/>
      </c>
    </row>
    <row r="36">
      <c r="A36" s="9" t="inlineStr">
        <is>
          <t>must equal the base-year cost of sales — difference</t>
        </is>
      </c>
      <c r="B36" s="28">
        <f>B35-'Base Year'!B21</f>
        <v/>
      </c>
    </row>
    <row r="38" ht="55" customHeight="1">
      <c r="A38" s="22" t="inlineStr">
        <is>
          <t>Row 36 is the footing test: the eight per-line costs must rebuild the disclosed cost of sales exactly. Feedstock allocated flat per tonne would make fuel oil sell below the cost of its own feed; feedstock allocated on relative sales value would make base oils and paraffin wax — the products this plant exists for — loss-making. Net realisable value is the standard joint-product method and the only one of the three that leaves every disclosed line with a positive spread.</t>
        </is>
      </c>
    </row>
  </sheetData>
  <mergeCells count="2">
    <mergeCell ref="A38:I38"/>
    <mergeCell ref="A2:I2"/>
  </mergeCells>
  <pageMargins left="0.75" right="0.75" top="1" bottom="1" header="0.5" footer="0.5"/>
</worksheet>
</file>

<file path=xl/worksheets/sheet5.xml><?xml version="1.0" encoding="utf-8"?>
<worksheet xmlns="http://schemas.openxmlformats.org/spreadsheetml/2006/main">
  <sheetPr>
    <tabColor rgb="001C3A36"/>
    <outlinePr summaryBelow="1" summaryRight="1"/>
    <pageSetUpPr/>
  </sheetPr>
  <dimension ref="A1:I65"/>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Forecast engine — eight lines by five years, all formulas</t>
        </is>
      </c>
    </row>
    <row r="2" ht="32" customHeight="1">
      <c r="A2" s="5" t="inlineStr">
        <is>
          <t>This is the block the Sensitivity sheet replicates twenty-five times, once per grid point, so that every sensitivity cell in this workbook is a live re-run rather than a pasted number.</t>
        </is>
      </c>
    </row>
    <row r="3">
      <c r="A3" s="2" t="n"/>
      <c r="B3" s="2" t="n"/>
      <c r="C3" s="2" t="n"/>
      <c r="D3" s="2" t="n"/>
      <c r="E3" s="2" t="n"/>
      <c r="F3" s="2" t="n"/>
      <c r="G3" s="2" t="n"/>
      <c r="H3" s="2" t="n"/>
      <c r="I3" s="2" t="n"/>
    </row>
    <row r="5">
      <c r="A5" s="7" t="inlineStr">
        <is>
          <t>Levers for this block — the base case sets them all neutral</t>
        </is>
      </c>
      <c r="B5" s="8" t="n"/>
      <c r="C5" s="8" t="n"/>
      <c r="D5" s="8" t="n"/>
      <c r="E5" s="8" t="n"/>
      <c r="F5" s="8" t="n"/>
      <c r="G5" s="8" t="n"/>
      <c r="H5" s="8" t="n"/>
      <c r="I5" s="8" t="n"/>
    </row>
    <row r="6">
      <c r="A6" s="9" t="inlineStr">
        <is>
          <t>Volume growth added a year</t>
        </is>
      </c>
      <c r="B6" s="14" t="n">
        <v>0</v>
      </c>
    </row>
    <row r="7">
      <c r="A7" s="9" t="inlineStr">
        <is>
          <t>Gross-margin shift</t>
        </is>
      </c>
      <c r="B7" s="14" t="n">
        <v>0</v>
      </c>
    </row>
    <row r="8">
      <c r="A8" s="9" t="inlineStr">
        <is>
          <t>Realisation-path multiplier</t>
        </is>
      </c>
      <c r="B8" s="11" t="n">
        <v>1</v>
      </c>
    </row>
    <row r="9">
      <c r="A9" s="9" t="inlineStr">
        <is>
          <t>Working-capital cycle multiplier</t>
        </is>
      </c>
      <c r="B9" s="11" t="n">
        <v>1</v>
      </c>
    </row>
    <row r="10">
      <c r="A10" s="9" t="inlineStr">
        <is>
          <t>Explicit cost of capital</t>
        </is>
      </c>
      <c r="B10" s="19">
        <f>Assumptions!$B$152-Assumptions!$B$153+Assumptions!$B$155*Assumptions!$B$154</f>
        <v/>
      </c>
    </row>
    <row r="11">
      <c r="A11" s="9" t="inlineStr">
        <is>
          <t>Equity weight</t>
        </is>
      </c>
      <c r="B11" s="19">
        <f>Assumptions!$B$7*Assumptions!$B$8/(Assumptions!$B$7*Assumptions!$B$8+(Assumptions!$B$82+Assumptions!$B$83-Assumptions!$B$79)/10^6)</f>
        <v/>
      </c>
    </row>
    <row r="12">
      <c r="A12" s="9" t="inlineStr">
        <is>
          <t>Debt weight</t>
        </is>
      </c>
      <c r="B12" s="19">
        <f>1-B11</f>
        <v/>
      </c>
    </row>
    <row r="13">
      <c r="A13" s="9" t="inlineStr">
        <is>
          <t>After-tax cost of net debt</t>
        </is>
      </c>
      <c r="B13" s="19">
        <f>(Assumptions!$B$157*(Assumptions!$B$82+Assumptions!$B$83)/10^6-Assumptions!$B$156*Assumptions!$B$79/10^6)/((Assumptions!$B$82+Assumptions!$B$83-Assumptions!$B$79)/10^6)*(1-0.22118761296853667)</f>
        <v/>
      </c>
    </row>
    <row r="14">
      <c r="A14" s="17" t="inlineStr">
        <is>
          <t>WACC — explicit window</t>
        </is>
      </c>
      <c r="B14" s="21">
        <f>B11*B10+B12*B13</f>
        <v/>
      </c>
    </row>
    <row r="15">
      <c r="A15" s="9" t="inlineStr">
        <is>
          <t>Terminal risk-free — DERIVED from the target in force</t>
        </is>
      </c>
      <c r="B15" s="19">
        <f>Assumptions!$B$158+Assumptions!$B$159</f>
        <v/>
      </c>
    </row>
    <row r="16">
      <c r="A16" s="9" t="inlineStr">
        <is>
          <t>Terminal cost of equity</t>
        </is>
      </c>
      <c r="B16" s="19">
        <f>B15+Assumptions!$B$155*Assumptions!$B$160</f>
        <v/>
      </c>
    </row>
    <row r="17">
      <c r="A17" s="17" t="inlineStr">
        <is>
          <t>WACC — terminal</t>
        </is>
      </c>
      <c r="B17" s="21">
        <f>(1-Assumptions!$B$162)*B16+Assumptions!$B$162*Assumptions!$B$161*(1-0.22118761296853667)</f>
        <v/>
      </c>
    </row>
    <row r="19">
      <c r="A19" s="6" t="inlineStr">
        <is>
          <t>BASE CASE</t>
        </is>
      </c>
      <c r="B19" s="6" t="inlineStr">
        <is>
          <t>2026E</t>
        </is>
      </c>
      <c r="C19" s="6" t="inlineStr">
        <is>
          <t>2027E</t>
        </is>
      </c>
      <c r="D19" s="6" t="inlineStr">
        <is>
          <t>2028E</t>
        </is>
      </c>
      <c r="E19" s="6" t="inlineStr">
        <is>
          <t>2029E</t>
        </is>
      </c>
      <c r="F19" s="6" t="inlineStr">
        <is>
          <t>2030E</t>
        </is>
      </c>
    </row>
    <row r="20">
      <c r="A20" s="9" t="inlineStr">
        <is>
          <t>Inflation index, cumulative</t>
        </is>
      </c>
      <c r="C20" s="26">
        <f>Assumptions!$B$146</f>
        <v/>
      </c>
      <c r="D20" s="26">
        <f>C20*Assumptions!$B$147</f>
        <v/>
      </c>
      <c r="E20" s="26">
        <f>D20*Assumptions!$B$148</f>
        <v/>
      </c>
      <c r="F20" s="26">
        <f>E20*Assumptions!$B$149</f>
        <v/>
      </c>
      <c r="G20" s="26">
        <f>F20*Assumptions!$B$150</f>
        <v/>
      </c>
    </row>
    <row r="21">
      <c r="A21" s="9" t="inlineStr">
        <is>
          <t>Realisation index, cumulative</t>
        </is>
      </c>
      <c r="C21" s="26">
        <f>(1+Assumptions!$B$101*$B$8)</f>
        <v/>
      </c>
      <c r="D21" s="26">
        <f>C21*(1+Assumptions!$B$102*$B$8)</f>
        <v/>
      </c>
      <c r="E21" s="26">
        <f>D21*(1+Assumptions!$B$103*$B$8)</f>
        <v/>
      </c>
      <c r="F21" s="26">
        <f>E21*(1+Assumptions!$B$104*$B$8)</f>
        <v/>
      </c>
      <c r="G21" s="26">
        <f>F21*(1+Assumptions!$B$105*$B$8)</f>
        <v/>
      </c>
    </row>
    <row r="22">
      <c r="A22" s="9" t="inlineStr">
        <is>
          <t xml:space="preserve">  Volume — Base and special oils, mn t</t>
        </is>
      </c>
      <c r="C22" s="26">
        <f>'Product and Cost'!E6*(1+Assumptions!$B$106+$B$6)</f>
        <v/>
      </c>
      <c r="D22" s="26">
        <f>C22*(1+Assumptions!$B$107+$B$6)</f>
        <v/>
      </c>
      <c r="E22" s="26">
        <f>D22*(1+Assumptions!$B$108+$B$6)</f>
        <v/>
      </c>
      <c r="F22" s="26">
        <f>E22*(1+Assumptions!$B$109+$B$6)</f>
        <v/>
      </c>
      <c r="G22" s="26">
        <f>F22*(1+Assumptions!$B$110+$B$6)</f>
        <v/>
      </c>
    </row>
    <row r="23">
      <c r="A23" s="9" t="inlineStr">
        <is>
          <t xml:space="preserve">  Volume — Paraffin wax, mn t</t>
        </is>
      </c>
      <c r="C23" s="26">
        <f>'Product and Cost'!E7*(1+Assumptions!$B$111+$B$6)</f>
        <v/>
      </c>
      <c r="D23" s="26">
        <f>C23*(1+Assumptions!$B$112+$B$6)</f>
        <v/>
      </c>
      <c r="E23" s="26">
        <f>D23*(1+Assumptions!$B$113+$B$6)</f>
        <v/>
      </c>
      <c r="F23" s="26">
        <f>E23*(1+Assumptions!$B$114+$B$6)</f>
        <v/>
      </c>
      <c r="G23" s="26">
        <f>F23*(1+Assumptions!$B$115+$B$6)</f>
        <v/>
      </c>
    </row>
    <row r="24">
      <c r="A24" s="9" t="inlineStr">
        <is>
          <t xml:space="preserve">  Volume — Gas oil, mn t</t>
        </is>
      </c>
      <c r="C24" s="26">
        <f>'Product and Cost'!E8*(1+Assumptions!$B$116+$B$6)</f>
        <v/>
      </c>
      <c r="D24" s="26">
        <f>C24*(1+Assumptions!$B$117+$B$6)</f>
        <v/>
      </c>
      <c r="E24" s="26">
        <f>D24*(1+Assumptions!$B$118+$B$6)</f>
        <v/>
      </c>
      <c r="F24" s="26">
        <f>E24*(1+Assumptions!$B$119+$B$6)</f>
        <v/>
      </c>
      <c r="G24" s="26">
        <f>F24*(1+Assumptions!$B$120+$B$6)</f>
        <v/>
      </c>
    </row>
    <row r="25">
      <c r="A25" s="9" t="inlineStr">
        <is>
          <t xml:space="preserve">  Volume — Naphtha, mn t</t>
        </is>
      </c>
      <c r="C25" s="26">
        <f>'Product and Cost'!E9*(1+Assumptions!$B$121+$B$6)</f>
        <v/>
      </c>
      <c r="D25" s="26">
        <f>C25*(1+Assumptions!$B$122+$B$6)</f>
        <v/>
      </c>
      <c r="E25" s="26">
        <f>D25*(1+Assumptions!$B$123+$B$6)</f>
        <v/>
      </c>
      <c r="F25" s="26">
        <f>E25*(1+Assumptions!$B$124+$B$6)</f>
        <v/>
      </c>
      <c r="G25" s="26">
        <f>F25*(1+Assumptions!$B$125+$B$6)</f>
        <v/>
      </c>
    </row>
    <row r="26">
      <c r="A26" s="9" t="inlineStr">
        <is>
          <t xml:space="preserve">  Volume — Liquefied petroleum gas, mn t</t>
        </is>
      </c>
      <c r="C26" s="26">
        <f>'Product and Cost'!E10*(1+Assumptions!$B$126+$B$6)</f>
        <v/>
      </c>
      <c r="D26" s="26">
        <f>C26*(1+Assumptions!$B$127+$B$6)</f>
        <v/>
      </c>
      <c r="E26" s="26">
        <f>D26*(1+Assumptions!$B$128+$B$6)</f>
        <v/>
      </c>
      <c r="F26" s="26">
        <f>E26*(1+Assumptions!$B$129+$B$6)</f>
        <v/>
      </c>
      <c r="G26" s="26">
        <f>F26*(1+Assumptions!$B$130+$B$6)</f>
        <v/>
      </c>
    </row>
    <row r="27">
      <c r="A27" s="9" t="inlineStr">
        <is>
          <t xml:space="preserve">  Volume — Fuel oil (mix), mn t</t>
        </is>
      </c>
      <c r="C27" s="26">
        <f>'Product and Cost'!E11*(1+Assumptions!$B$131+$B$6)</f>
        <v/>
      </c>
      <c r="D27" s="26">
        <f>C27*(1+Assumptions!$B$132+$B$6)</f>
        <v/>
      </c>
      <c r="E27" s="26">
        <f>D27*(1+Assumptions!$B$133+$B$6)</f>
        <v/>
      </c>
      <c r="F27" s="26">
        <f>E27*(1+Assumptions!$B$134+$B$6)</f>
        <v/>
      </c>
      <c r="G27" s="26">
        <f>F27*(1+Assumptions!$B$135+$B$6)</f>
        <v/>
      </c>
    </row>
    <row r="28">
      <c r="A28" s="9" t="inlineStr">
        <is>
          <t xml:space="preserve">  Volume — Heavy fuel oil, mn t</t>
        </is>
      </c>
      <c r="C28" s="26">
        <f>'Product and Cost'!E12*(1+Assumptions!$B$136+$B$6)</f>
        <v/>
      </c>
      <c r="D28" s="26">
        <f>C28*(1+Assumptions!$B$137+$B$6)</f>
        <v/>
      </c>
      <c r="E28" s="26">
        <f>D28*(1+Assumptions!$B$138+$B$6)</f>
        <v/>
      </c>
      <c r="F28" s="26">
        <f>E28*(1+Assumptions!$B$139+$B$6)</f>
        <v/>
      </c>
      <c r="G28" s="26">
        <f>F28*(1+Assumptions!$B$140+$B$6)</f>
        <v/>
      </c>
    </row>
    <row r="29">
      <c r="A29" s="9" t="inlineStr">
        <is>
          <t xml:space="preserve">  Volume — Waste, mn t</t>
        </is>
      </c>
      <c r="C29" s="26">
        <f>'Product and Cost'!E13*(1+Assumptions!$B$141+$B$6)</f>
        <v/>
      </c>
      <c r="D29" s="26">
        <f>C29*(1+Assumptions!$B$142+$B$6)</f>
        <v/>
      </c>
      <c r="E29" s="26">
        <f>D29*(1+Assumptions!$B$143+$B$6)</f>
        <v/>
      </c>
      <c r="F29" s="26">
        <f>E29*(1+Assumptions!$B$144+$B$6)</f>
        <v/>
      </c>
      <c r="G29" s="26">
        <f>F29*(1+Assumptions!$B$145+$B$6)</f>
        <v/>
      </c>
    </row>
    <row r="30">
      <c r="A30" s="17" t="inlineStr">
        <is>
          <t>Total volume, mn t</t>
        </is>
      </c>
      <c r="C30" s="28">
        <f>SUM(C22:C29)</f>
        <v/>
      </c>
      <c r="D30" s="28">
        <f>SUM(D22:D29)</f>
        <v/>
      </c>
      <c r="E30" s="28">
        <f>SUM(E22:E29)</f>
        <v/>
      </c>
      <c r="F30" s="28">
        <f>SUM(F22:F29)</f>
        <v/>
      </c>
      <c r="G30" s="28">
        <f>SUM(G22:G29)</f>
        <v/>
      </c>
    </row>
    <row r="31">
      <c r="A31" s="17" t="inlineStr">
        <is>
          <t>REVENUE</t>
        </is>
      </c>
      <c r="C31" s="20">
        <f>C22*'Product and Cost'!$F$6*C21+C23*'Product and Cost'!$F$7*C21+C24*'Product and Cost'!$F$8*C21+C25*'Product and Cost'!$F$9*C21+C26*'Product and Cost'!$F$10*C21+C27*'Product and Cost'!$F$11*C21+C28*'Product and Cost'!$F$12*C21+C29*'Product and Cost'!$F$13*C21</f>
        <v/>
      </c>
      <c r="D31" s="20">
        <f>D22*'Product and Cost'!$F$6*D21+D23*'Product and Cost'!$F$7*D21+D24*'Product and Cost'!$F$8*D21+D25*'Product and Cost'!$F$9*D21+D26*'Product and Cost'!$F$10*D21+D27*'Product and Cost'!$F$11*D21+D28*'Product and Cost'!$F$12*D21+D29*'Product and Cost'!$F$13*D21</f>
        <v/>
      </c>
      <c r="E31" s="20">
        <f>E22*'Product and Cost'!$F$6*E21+E23*'Product and Cost'!$F$7*E21+E24*'Product and Cost'!$F$8*E21+E25*'Product and Cost'!$F$9*E21+E26*'Product and Cost'!$F$10*E21+E27*'Product and Cost'!$F$11*E21+E28*'Product and Cost'!$F$12*E21+E29*'Product and Cost'!$F$13*E21</f>
        <v/>
      </c>
      <c r="F31" s="20">
        <f>F22*'Product and Cost'!$F$6*F21+F23*'Product and Cost'!$F$7*F21+F24*'Product and Cost'!$F$8*F21+F25*'Product and Cost'!$F$9*F21+F26*'Product and Cost'!$F$10*F21+F27*'Product and Cost'!$F$11*F21+F28*'Product and Cost'!$F$12*F21+F29*'Product and Cost'!$F$13*F21</f>
        <v/>
      </c>
      <c r="G31" s="20">
        <f>G22*'Product and Cost'!$F$6*G21+G23*'Product and Cost'!$F$7*G21+G24*'Product and Cost'!$F$8*G21+G25*'Product and Cost'!$F$9*G21+G26*'Product and Cost'!$F$10*G21+G27*'Product and Cost'!$F$11*G21+G28*'Product and Cost'!$F$12*G21+G29*'Product and Cost'!$F$13*G21</f>
        <v/>
      </c>
    </row>
    <row r="32">
      <c r="A32" s="9" t="inlineStr">
        <is>
          <t>Cost of sales</t>
        </is>
      </c>
      <c r="C32" s="18">
        <f>C22*('Product and Cost'!$D$27*C21*Assumptions!$B$88+'Product and Cost'!$B$27*(0.4863620081*C20+0.4455809638*C20+0.0356254898*C21+0.0324315384))+C23*('Product and Cost'!$D$28*C21*Assumptions!$B$88+'Product and Cost'!$B$28*(0.4863620081*C20+0.4455809638*C20+0.0356254898*C21+0.0324315384))+C24*('Product and Cost'!$D$29*C21*Assumptions!$B$88+'Product and Cost'!$B$29*(0.4863620081*C20+0.4455809638*C20+0.0356254898*C21+0.0324315384))+C25*('Product and Cost'!$D$30*C21*Assumptions!$B$88+'Product and Cost'!$B$30*(0.4863620081*C20+0.4455809638*C20+0.0356254898*C21+0.0324315384))+C26*('Product and Cost'!$D$31*C21*Assumptions!$B$88+'Product and Cost'!$B$31*(0.4863620081*C20+0.4455809638*C20+0.0356254898*C21+0.0324315384))+C27*('Product and Cost'!$D$32*C21*Assumptions!$B$88+'Product and Cost'!$B$32*(0.4863620081*C20+0.4455809638*C20+0.0356254898*C21+0.0324315384))+C28*('Product and Cost'!$D$33*C21*Assumptions!$B$88+'Product and Cost'!$B$33*(0.4863620081*C20+0.4455809638*C20+0.0356254898*C21+0.0324315384))+C29*('Product and Cost'!$D$34*C21*Assumptions!$B$88+'Product and Cost'!$B$34*(0.4863620081*C20+0.4455809638*C20+0.0356254898*C21+0.0324315384))</f>
        <v/>
      </c>
      <c r="D32" s="18">
        <f>D22*('Product and Cost'!$D$27*D21*Assumptions!$B$88+'Product and Cost'!$B$27*(0.4863620081*D20+0.4455809638*D20+0.0356254898*D21+0.0324315384))+D23*('Product and Cost'!$D$28*D21*Assumptions!$B$88+'Product and Cost'!$B$28*(0.4863620081*D20+0.4455809638*D20+0.0356254898*D21+0.0324315384))+D24*('Product and Cost'!$D$29*D21*Assumptions!$B$88+'Product and Cost'!$B$29*(0.4863620081*D20+0.4455809638*D20+0.0356254898*D21+0.0324315384))+D25*('Product and Cost'!$D$30*D21*Assumptions!$B$88+'Product and Cost'!$B$30*(0.4863620081*D20+0.4455809638*D20+0.0356254898*D21+0.0324315384))+D26*('Product and Cost'!$D$31*D21*Assumptions!$B$88+'Product and Cost'!$B$31*(0.4863620081*D20+0.4455809638*D20+0.0356254898*D21+0.0324315384))+D27*('Product and Cost'!$D$32*D21*Assumptions!$B$88+'Product and Cost'!$B$32*(0.4863620081*D20+0.4455809638*D20+0.0356254898*D21+0.0324315384))+D28*('Product and Cost'!$D$33*D21*Assumptions!$B$88+'Product and Cost'!$B$33*(0.4863620081*D20+0.4455809638*D20+0.0356254898*D21+0.0324315384))+D29*('Product and Cost'!$D$34*D21*Assumptions!$B$88+'Product and Cost'!$B$34*(0.4863620081*D20+0.4455809638*D20+0.0356254898*D21+0.0324315384))</f>
        <v/>
      </c>
      <c r="E32" s="18">
        <f>E22*('Product and Cost'!$D$27*E21*Assumptions!$B$88+'Product and Cost'!$B$27*(0.4863620081*E20+0.4455809638*E20+0.0356254898*E21+0.0324315384))+E23*('Product and Cost'!$D$28*E21*Assumptions!$B$88+'Product and Cost'!$B$28*(0.4863620081*E20+0.4455809638*E20+0.0356254898*E21+0.0324315384))+E24*('Product and Cost'!$D$29*E21*Assumptions!$B$88+'Product and Cost'!$B$29*(0.4863620081*E20+0.4455809638*E20+0.0356254898*E21+0.0324315384))+E25*('Product and Cost'!$D$30*E21*Assumptions!$B$88+'Product and Cost'!$B$30*(0.4863620081*E20+0.4455809638*E20+0.0356254898*E21+0.0324315384))+E26*('Product and Cost'!$D$31*E21*Assumptions!$B$88+'Product and Cost'!$B$31*(0.4863620081*E20+0.4455809638*E20+0.0356254898*E21+0.0324315384))+E27*('Product and Cost'!$D$32*E21*Assumptions!$B$88+'Product and Cost'!$B$32*(0.4863620081*E20+0.4455809638*E20+0.0356254898*E21+0.0324315384))+E28*('Product and Cost'!$D$33*E21*Assumptions!$B$88+'Product and Cost'!$B$33*(0.4863620081*E20+0.4455809638*E20+0.0356254898*E21+0.0324315384))+E29*('Product and Cost'!$D$34*E21*Assumptions!$B$88+'Product and Cost'!$B$34*(0.4863620081*E20+0.4455809638*E20+0.0356254898*E21+0.0324315384))</f>
        <v/>
      </c>
      <c r="F32" s="18">
        <f>F22*('Product and Cost'!$D$27*F21*Assumptions!$B$88+'Product and Cost'!$B$27*(0.4863620081*F20+0.4455809638*F20+0.0356254898*F21+0.0324315384))+F23*('Product and Cost'!$D$28*F21*Assumptions!$B$88+'Product and Cost'!$B$28*(0.4863620081*F20+0.4455809638*F20+0.0356254898*F21+0.0324315384))+F24*('Product and Cost'!$D$29*F21*Assumptions!$B$88+'Product and Cost'!$B$29*(0.4863620081*F20+0.4455809638*F20+0.0356254898*F21+0.0324315384))+F25*('Product and Cost'!$D$30*F21*Assumptions!$B$88+'Product and Cost'!$B$30*(0.4863620081*F20+0.4455809638*F20+0.0356254898*F21+0.0324315384))+F26*('Product and Cost'!$D$31*F21*Assumptions!$B$88+'Product and Cost'!$B$31*(0.4863620081*F20+0.4455809638*F20+0.0356254898*F21+0.0324315384))+F27*('Product and Cost'!$D$32*F21*Assumptions!$B$88+'Product and Cost'!$B$32*(0.4863620081*F20+0.4455809638*F20+0.0356254898*F21+0.0324315384))+F28*('Product and Cost'!$D$33*F21*Assumptions!$B$88+'Product and Cost'!$B$33*(0.4863620081*F20+0.4455809638*F20+0.0356254898*F21+0.0324315384))+F29*('Product and Cost'!$D$34*F21*Assumptions!$B$88+'Product and Cost'!$B$34*(0.4863620081*F20+0.4455809638*F20+0.0356254898*F21+0.0324315384))</f>
        <v/>
      </c>
      <c r="G32" s="18">
        <f>G22*('Product and Cost'!$D$27*G21*Assumptions!$B$88+'Product and Cost'!$B$27*(0.4863620081*G20+0.4455809638*G20+0.0356254898*G21+0.0324315384))+G23*('Product and Cost'!$D$28*G21*Assumptions!$B$88+'Product and Cost'!$B$28*(0.4863620081*G20+0.4455809638*G20+0.0356254898*G21+0.0324315384))+G24*('Product and Cost'!$D$29*G21*Assumptions!$B$88+'Product and Cost'!$B$29*(0.4863620081*G20+0.4455809638*G20+0.0356254898*G21+0.0324315384))+G25*('Product and Cost'!$D$30*G21*Assumptions!$B$88+'Product and Cost'!$B$30*(0.4863620081*G20+0.4455809638*G20+0.0356254898*G21+0.0324315384))+G26*('Product and Cost'!$D$31*G21*Assumptions!$B$88+'Product and Cost'!$B$31*(0.4863620081*G20+0.4455809638*G20+0.0356254898*G21+0.0324315384))+G27*('Product and Cost'!$D$32*G21*Assumptions!$B$88+'Product and Cost'!$B$32*(0.4863620081*G20+0.4455809638*G20+0.0356254898*G21+0.0324315384))+G28*('Product and Cost'!$D$33*G21*Assumptions!$B$88+'Product and Cost'!$B$33*(0.4863620081*G20+0.4455809638*G20+0.0356254898*G21+0.0324315384))+G29*('Product and Cost'!$D$34*G21*Assumptions!$B$88+'Product and Cost'!$B$34*(0.4863620081*G20+0.4455809638*G20+0.0356254898*G21+0.0324315384))</f>
        <v/>
      </c>
    </row>
    <row r="33">
      <c r="A33" s="17" t="inlineStr">
        <is>
          <t>GROSS PROFIT</t>
        </is>
      </c>
      <c r="C33" s="20">
        <f>C31-C32+$B$7*C31</f>
        <v/>
      </c>
      <c r="D33" s="20">
        <f>D31-D32+$B$7*D31</f>
        <v/>
      </c>
      <c r="E33" s="20">
        <f>E31-E32+$B$7*E31</f>
        <v/>
      </c>
      <c r="F33" s="20">
        <f>F31-F32+$B$7*F31</f>
        <v/>
      </c>
      <c r="G33" s="20">
        <f>G31-G32+$B$7*G31</f>
        <v/>
      </c>
    </row>
    <row r="34">
      <c r="A34" s="9" t="inlineStr">
        <is>
          <t>Gross margin</t>
        </is>
      </c>
      <c r="C34" s="19">
        <f>C33/C31</f>
        <v/>
      </c>
      <c r="D34" s="19">
        <f>D33/D31</f>
        <v/>
      </c>
      <c r="E34" s="19">
        <f>E33/E31</f>
        <v/>
      </c>
      <c r="F34" s="19">
        <f>F33/F31</f>
        <v/>
      </c>
      <c r="G34" s="19">
        <f>G33/G31</f>
        <v/>
      </c>
    </row>
    <row r="35">
      <c r="A35" s="9" t="inlineStr">
        <is>
          <t>Operating expense</t>
        </is>
      </c>
      <c r="C35" s="18">
        <f>('Base Year'!$B$28*C20)+('Base Year'!$B$29*C20*C30/'Product and Cost'!$E$14)+('Base Year'!$B$30*C20)+('Base Year'!$B$31*C20)</f>
        <v/>
      </c>
      <c r="D35" s="18">
        <f>('Base Year'!$B$28*D20)+('Base Year'!$B$29*D20*D30/'Product and Cost'!$E$14)+('Base Year'!$B$30*D20)+('Base Year'!$B$31*D20)</f>
        <v/>
      </c>
      <c r="E35" s="18">
        <f>('Base Year'!$B$28*E20)+('Base Year'!$B$29*E20*E30/'Product and Cost'!$E$14)+('Base Year'!$B$30*E20)+('Base Year'!$B$31*E20)</f>
        <v/>
      </c>
      <c r="F35" s="18">
        <f>('Base Year'!$B$28*F20)+('Base Year'!$B$29*F20*F30/'Product and Cost'!$E$14)+('Base Year'!$B$30*F20)+('Base Year'!$B$31*F20)</f>
        <v/>
      </c>
      <c r="G35" s="18">
        <f>('Base Year'!$B$28*G20)+('Base Year'!$B$29*G20*G30/'Product and Cost'!$E$14)+('Base Year'!$B$30*G20)+('Base Year'!$B$31*G20)</f>
        <v/>
      </c>
    </row>
    <row r="36">
      <c r="A36" s="17" t="inlineStr">
        <is>
          <t>EBITDA</t>
        </is>
      </c>
      <c r="C36" s="20">
        <f>C33-C35</f>
        <v/>
      </c>
      <c r="D36" s="20">
        <f>D33-D35</f>
        <v/>
      </c>
      <c r="E36" s="20">
        <f>E33-E35</f>
        <v/>
      </c>
      <c r="F36" s="20">
        <f>F33-F35</f>
        <v/>
      </c>
      <c r="G36" s="20">
        <f>G33-G35</f>
        <v/>
      </c>
    </row>
    <row r="37">
      <c r="A37" s="9" t="inlineStr">
        <is>
          <t>Capital expenditure — maintenance + growth</t>
        </is>
      </c>
      <c r="C37" s="18">
        <f>'Base Year'!$B$43*C20+MAX(C30-'Product and Cost'!$E$14,0)*1947.901031*C20</f>
        <v/>
      </c>
      <c r="D37" s="18">
        <f>'Base Year'!$B$43*D20+MAX(D30-C30,0)*1947.901031*D20</f>
        <v/>
      </c>
      <c r="E37" s="18">
        <f>'Base Year'!$B$43*E20+MAX(E30-D30,0)*1947.901031*E20</f>
        <v/>
      </c>
      <c r="F37" s="18">
        <f>'Base Year'!$B$43*F20+MAX(F30-E30,0)*1947.901031*F20</f>
        <v/>
      </c>
      <c r="G37" s="18">
        <f>'Base Year'!$B$43*G20+MAX(G30-F30,0)*1947.901031*G20</f>
        <v/>
      </c>
    </row>
    <row r="38">
      <c r="A38" s="9" t="inlineStr">
        <is>
          <t>Fixed assets at cost, closing</t>
        </is>
      </c>
      <c r="C38" s="18">
        <f>(Assumptions!$B$70+Assumptions!$B$71)/10^6+C37</f>
        <v/>
      </c>
      <c r="D38" s="18">
        <f>C38+D37</f>
        <v/>
      </c>
      <c r="E38" s="18">
        <f>D38+E37</f>
        <v/>
      </c>
      <c r="F38" s="18">
        <f>E38+F37</f>
        <v/>
      </c>
      <c r="G38" s="18">
        <f>F38+G37</f>
        <v/>
      </c>
    </row>
    <row r="39">
      <c r="A39" s="9" t="inlineStr">
        <is>
          <t>Depreciation — rolls off the asset register</t>
        </is>
      </c>
      <c r="C39" s="18">
        <f>(Assumptions!$B$70+Assumptions!$B$71)/10^6/'Base Year'!$B$42</f>
        <v/>
      </c>
      <c r="D39" s="18">
        <f>C38/'Base Year'!$B$42</f>
        <v/>
      </c>
      <c r="E39" s="18">
        <f>D38/'Base Year'!$B$42</f>
        <v/>
      </c>
      <c r="F39" s="18">
        <f>E38/'Base Year'!$B$42</f>
        <v/>
      </c>
      <c r="G39" s="18">
        <f>F38/'Base Year'!$B$42</f>
        <v/>
      </c>
    </row>
    <row r="40">
      <c r="A40" s="9" t="inlineStr">
        <is>
          <t>Fixed assets, net book, closing</t>
        </is>
      </c>
      <c r="C40" s="18">
        <f>(Assumptions!$B$69+Assumptions!$B$71)/10^6+C37-C39</f>
        <v/>
      </c>
      <c r="D40" s="18">
        <f>C40+D37-D39</f>
        <v/>
      </c>
      <c r="E40" s="18">
        <f>D40+E37-E39</f>
        <v/>
      </c>
      <c r="F40" s="18">
        <f>E40+F37-F39</f>
        <v/>
      </c>
      <c r="G40" s="18">
        <f>F40+G37-G39</f>
        <v/>
      </c>
    </row>
    <row r="41">
      <c r="A41" s="17" t="inlineStr">
        <is>
          <t>EBIT</t>
        </is>
      </c>
      <c r="C41" s="20">
        <f>C36-C39</f>
        <v/>
      </c>
      <c r="D41" s="20">
        <f>D36-D39</f>
        <v/>
      </c>
      <c r="E41" s="20">
        <f>E36-E39</f>
        <v/>
      </c>
      <c r="F41" s="20">
        <f>F36-F39</f>
        <v/>
      </c>
      <c r="G41" s="20">
        <f>G36-G39</f>
        <v/>
      </c>
    </row>
    <row r="42">
      <c r="A42" s="9" t="inlineStr">
        <is>
          <t>NOPAT before the profit share</t>
        </is>
      </c>
      <c r="C42" s="18">
        <f>C41*(1-Assumptions!$B$87)</f>
        <v/>
      </c>
      <c r="D42" s="18">
        <f>D41*(1-Assumptions!$B$87)</f>
        <v/>
      </c>
      <c r="E42" s="18">
        <f>E41*(1-Assumptions!$B$87)</f>
        <v/>
      </c>
      <c r="F42" s="18">
        <f>F41*(1-Assumptions!$B$87)</f>
        <v/>
      </c>
      <c r="G42" s="18">
        <f>G41*(1-Assumptions!$B$87)</f>
        <v/>
      </c>
    </row>
    <row r="43">
      <c r="A43" s="9" t="inlineStr">
        <is>
          <t xml:space="preserve">  less employees' profit share and board bonuses</t>
        </is>
      </c>
      <c r="C43" s="18">
        <f>MAX(C42,0)*'Base Year'!$B$40</f>
        <v/>
      </c>
      <c r="D43" s="18">
        <f>MAX(D42,0)*'Base Year'!$B$40</f>
        <v/>
      </c>
      <c r="E43" s="18">
        <f>MAX(E42,0)*'Base Year'!$B$40</f>
        <v/>
      </c>
      <c r="F43" s="18">
        <f>MAX(F42,0)*'Base Year'!$B$40</f>
        <v/>
      </c>
      <c r="G43" s="18">
        <f>MAX(G42,0)*'Base Year'!$B$40</f>
        <v/>
      </c>
    </row>
    <row r="44">
      <c r="A44" s="17" t="inlineStr">
        <is>
          <t>NOPAT</t>
        </is>
      </c>
      <c r="C44" s="20">
        <f>C42-C43</f>
        <v/>
      </c>
      <c r="D44" s="20">
        <f>D42-D43</f>
        <v/>
      </c>
      <c r="E44" s="20">
        <f>E42-E43</f>
        <v/>
      </c>
      <c r="F44" s="20">
        <f>F42-F43</f>
        <v/>
      </c>
      <c r="G44" s="20">
        <f>G42-G43</f>
        <v/>
      </c>
    </row>
    <row r="45">
      <c r="A45" s="9" t="inlineStr">
        <is>
          <t>Net working capital — on days</t>
        </is>
      </c>
      <c r="C45" s="18">
        <f>'Base Year'!$B$44*$B$9/365*C32+'Base Year'!$B$45*$B$9/365*C31-'Base Year'!$B$46*$B$9/365*C32</f>
        <v/>
      </c>
      <c r="D45" s="18">
        <f>'Base Year'!$B$44*$B$9/365*D32+'Base Year'!$B$45*$B$9/365*D31-'Base Year'!$B$46*$B$9/365*D32</f>
        <v/>
      </c>
      <c r="E45" s="18">
        <f>'Base Year'!$B$44*$B$9/365*E32+'Base Year'!$B$45*$B$9/365*E31-'Base Year'!$B$46*$B$9/365*E32</f>
        <v/>
      </c>
      <c r="F45" s="18">
        <f>'Base Year'!$B$44*$B$9/365*F32+'Base Year'!$B$45*$B$9/365*F31-'Base Year'!$B$46*$B$9/365*F32</f>
        <v/>
      </c>
      <c r="G45" s="18">
        <f>'Base Year'!$B$44*$B$9/365*G32+'Base Year'!$B$45*$B$9/365*G31-'Base Year'!$B$46*$B$9/365*G32</f>
        <v/>
      </c>
    </row>
    <row r="46">
      <c r="A46" s="9" t="inlineStr">
        <is>
          <t xml:space="preserve">  change in working capital</t>
        </is>
      </c>
      <c r="C46" s="18">
        <f>C45-('Base Year'!$B$44/365*'Base Year'!$B$21+'Base Year'!$B$45/365*'Base Year'!$B$19-'Base Year'!$B$46/365*'Base Year'!$B$21)</f>
        <v/>
      </c>
      <c r="D46" s="18">
        <f>D45-C45</f>
        <v/>
      </c>
      <c r="E46" s="18">
        <f>E45-D45</f>
        <v/>
      </c>
      <c r="F46" s="18">
        <f>F45-E45</f>
        <v/>
      </c>
      <c r="G46" s="18">
        <f>G45-F45</f>
        <v/>
      </c>
    </row>
    <row r="47">
      <c r="A47" s="17" t="inlineStr">
        <is>
          <t>FREE CASH FLOW TO THE FIRM</t>
        </is>
      </c>
      <c r="C47" s="20">
        <f>C44+C39-C37-C46</f>
        <v/>
      </c>
      <c r="D47" s="20">
        <f>D44+D39-D37-D46</f>
        <v/>
      </c>
      <c r="E47" s="20">
        <f>E44+E39-E37-E46</f>
        <v/>
      </c>
      <c r="F47" s="20">
        <f>F44+F39-F37-F46</f>
        <v/>
      </c>
      <c r="G47" s="20">
        <f>G44+G39-G37-G46</f>
        <v/>
      </c>
    </row>
    <row r="48">
      <c r="A48" s="9" t="inlineStr">
        <is>
          <t>Glide fraction</t>
        </is>
      </c>
      <c r="C48" s="26">
        <f>0.0000000000</f>
        <v/>
      </c>
      <c r="D48" s="26">
        <f>0.3571428571</f>
        <v/>
      </c>
      <c r="E48" s="26">
        <f>0.6428571429</f>
        <v/>
      </c>
      <c r="F48" s="26">
        <f>0.8571428571</f>
        <v/>
      </c>
      <c r="G48" s="26">
        <f>1.0000000000</f>
        <v/>
      </c>
    </row>
    <row r="49">
      <c r="A49" s="9" t="inlineStr">
        <is>
          <t>Forward cost of capital</t>
        </is>
      </c>
      <c r="C49" s="19">
        <f>$B$14-($B$14-$B$17)*C48</f>
        <v/>
      </c>
      <c r="D49" s="19">
        <f>$B$14-($B$14-$B$17)*D48</f>
        <v/>
      </c>
      <c r="E49" s="19">
        <f>$B$14-($B$14-$B$17)*E48</f>
        <v/>
      </c>
      <c r="F49" s="19">
        <f>$B$14-($B$14-$B$17)*F48</f>
        <v/>
      </c>
      <c r="G49" s="19">
        <f>$B$14-($B$14-$B$17)*G48</f>
        <v/>
      </c>
    </row>
    <row r="50">
      <c r="A50" s="9" t="inlineStr">
        <is>
          <t>Cumulative discount factor</t>
        </is>
      </c>
      <c r="C50" s="29">
        <f>1/(1+C49)</f>
        <v/>
      </c>
      <c r="D50" s="29">
        <f>C50/(1+D49)</f>
        <v/>
      </c>
      <c r="E50" s="29">
        <f>D50/(1+E49)</f>
        <v/>
      </c>
      <c r="F50" s="29">
        <f>E50/(1+F49)</f>
        <v/>
      </c>
      <c r="G50" s="29">
        <f>F50/(1+G49)</f>
        <v/>
      </c>
    </row>
    <row r="51">
      <c r="A51" s="9" t="inlineStr">
        <is>
          <t>Present value</t>
        </is>
      </c>
      <c r="C51" s="18">
        <f>C47*C50</f>
        <v/>
      </c>
      <c r="D51" s="18">
        <f>D47*D50</f>
        <v/>
      </c>
      <c r="E51" s="18">
        <f>E47*E50</f>
        <v/>
      </c>
      <c r="F51" s="18">
        <f>F47*F50</f>
        <v/>
      </c>
      <c r="G51" s="18">
        <f>G47*G50</f>
        <v/>
      </c>
    </row>
    <row r="52">
      <c r="A52" s="17" t="inlineStr">
        <is>
          <t>PV of the explicit window</t>
        </is>
      </c>
      <c r="B52" s="20">
        <f>SUM(C51:G51)</f>
        <v/>
      </c>
      <c r="C52" s="18">
        <f>C45+C38</f>
        <v/>
      </c>
      <c r="D52" s="18">
        <f>D45+D38</f>
        <v/>
      </c>
      <c r="E52" s="18">
        <f>E45+E38</f>
        <v/>
      </c>
      <c r="F52" s="18">
        <f>F45+F38</f>
        <v/>
      </c>
      <c r="G52" s="18">
        <f>G45+G38</f>
        <v/>
      </c>
    </row>
    <row r="53">
      <c r="A53" s="9" t="inlineStr">
        <is>
          <t>Terminal return on invested capital, at REPLACEMENT cost</t>
        </is>
      </c>
      <c r="B53" s="19">
        <f>G44*(1+Assumptions!$B$89)/G52</f>
        <v/>
      </c>
    </row>
    <row r="54">
      <c r="A54" s="9" t="inlineStr">
        <is>
          <t>Required reinvestment = growth / return</t>
        </is>
      </c>
      <c r="B54" s="19">
        <f>MIN(Assumptions!$B$89/B53,0.95)</f>
        <v/>
      </c>
    </row>
    <row r="55">
      <c r="A55" s="9" t="inlineStr">
        <is>
          <t>Terminal value</t>
        </is>
      </c>
      <c r="B55" s="18">
        <f>G44*(1+Assumptions!$B$89)*(1-B54)/MAX($B$17-Assumptions!$B$89,0.02)</f>
        <v/>
      </c>
    </row>
    <row r="56">
      <c r="A56" s="9" t="inlineStr">
        <is>
          <t>PV of the terminal block</t>
        </is>
      </c>
      <c r="B56" s="18">
        <f>B55*G50</f>
        <v/>
      </c>
    </row>
    <row r="57">
      <c r="A57" s="17" t="inlineStr">
        <is>
          <t>ENTERPRISE VALUE</t>
        </is>
      </c>
      <c r="B57" s="20">
        <f>B52+B56</f>
        <v/>
      </c>
    </row>
    <row r="58">
      <c r="A58" s="9" t="inlineStr">
        <is>
          <t>plus net cash</t>
        </is>
      </c>
      <c r="B58" s="18">
        <f>(Assumptions!$B$79-Assumptions!$B$82-Assumptions!$B$83)/10^6</f>
        <v/>
      </c>
    </row>
    <row r="59">
      <c r="A59" s="9" t="inlineStr">
        <is>
          <t>Enterprise value including cash</t>
        </is>
      </c>
      <c r="B59" s="18">
        <f>B57+B58</f>
        <v/>
      </c>
    </row>
    <row r="60">
      <c r="A60" s="9" t="inlineStr">
        <is>
          <t>less minority — on the WHOLE enterprise, cash included</t>
        </is>
      </c>
      <c r="B60" s="18">
        <f>B59*'Base Year'!$B$41</f>
        <v/>
      </c>
    </row>
    <row r="61">
      <c r="A61" s="9" t="inlineStr">
        <is>
          <t>less the tax-disputes provision</t>
        </is>
      </c>
      <c r="B61" s="18">
        <f>Assumptions!$B$78/10^6</f>
        <v/>
      </c>
    </row>
    <row r="62">
      <c r="A62" s="9" t="inlineStr">
        <is>
          <t>less dividends payable — declared, out of working capital</t>
        </is>
      </c>
      <c r="B62" s="18">
        <f>Assumptions!$B$77/10^6</f>
        <v/>
      </c>
    </row>
    <row r="63">
      <c r="A63" s="9" t="inlineStr">
        <is>
          <t>plus non-operating investments and pledged deposits</t>
        </is>
      </c>
      <c r="B63" s="18">
        <f>(Assumptions!$B$81+Assumptions!$B$80)/10^6</f>
        <v/>
      </c>
    </row>
    <row r="64">
      <c r="A64" s="17" t="inlineStr">
        <is>
          <t>EQUITY ATTRIBUTABLE</t>
        </is>
      </c>
      <c r="B64" s="20">
        <f>B59-B60-B61-B62+B63</f>
        <v/>
      </c>
    </row>
    <row r="65">
      <c r="A65" s="17" t="inlineStr">
        <is>
          <t>VALUE PER SHARE, EGP</t>
        </is>
      </c>
      <c r="B65" s="30">
        <f>B64/Assumptions!$B$8</f>
        <v/>
      </c>
    </row>
  </sheetData>
  <mergeCells count="1">
    <mergeCell ref="A2:I2"/>
  </mergeCells>
  <pageMargins left="0.75" right="0.75" top="1" bottom="1" header="0.5" footer="0.5"/>
</worksheet>
</file>

<file path=xl/worksheets/sheet6.xml><?xml version="1.0" encoding="utf-8"?>
<worksheet xmlns="http://schemas.openxmlformats.org/spreadsheetml/2006/main">
  <sheetPr>
    <tabColor rgb="001C3A36"/>
    <outlinePr summaryBelow="1" summaryRight="1"/>
    <pageSetUpPr/>
  </sheetPr>
  <dimension ref="A1:J1516"/>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Sensitivity — every grid point is the whole engine, again, in formulas</t>
        </is>
      </c>
    </row>
    <row r="2" ht="32" customHeight="1">
      <c r="A2" s="5" t="inlineStr">
        <is>
          <t>The previous edition pasted these rows because each point is a whole-model re-run and its builder could not express a re-run inside a grid. Three of the pasted rows turned out not to reproduce: a working-capital row whose grid was never sorted, a beta row whose centre did not return the base case, and a volume row whose label described a different scenario from the one it ran. None of that can happen here, because there is nothing to paste.</t>
        </is>
      </c>
    </row>
    <row r="3">
      <c r="A3" s="2" t="n"/>
      <c r="B3" s="2" t="n"/>
      <c r="C3" s="2" t="n"/>
      <c r="D3" s="2" t="n"/>
      <c r="E3" s="2" t="n"/>
      <c r="F3" s="2" t="n"/>
      <c r="G3" s="2" t="n"/>
      <c r="H3" s="2" t="n"/>
      <c r="I3" s="2" t="n"/>
    </row>
    <row r="4">
      <c r="A4" s="17" t="inlineStr">
        <is>
          <t>Summary — every cell points at its own live block below</t>
        </is>
      </c>
    </row>
    <row r="5">
      <c r="A5" s="7" t="inlineStr">
        <is>
          <t>Gross margin, shifted on every forecast year</t>
        </is>
      </c>
      <c r="B5" s="8" t="n"/>
      <c r="C5" s="8" t="n"/>
      <c r="D5" s="8" t="n"/>
      <c r="E5" s="8" t="n"/>
      <c r="F5" s="8" t="n"/>
      <c r="G5" s="8" t="n"/>
      <c r="H5" s="8" t="n"/>
      <c r="I5" s="8" t="n"/>
    </row>
    <row r="6">
      <c r="A6" s="9" t="inlineStr">
        <is>
          <t xml:space="preserve">   grid point 1: -1.0%</t>
        </is>
      </c>
      <c r="C6" s="14" t="n">
        <v>-0.01</v>
      </c>
      <c r="I6" s="30">
        <f>B95</f>
        <v/>
      </c>
    </row>
    <row r="7">
      <c r="A7" s="9" t="inlineStr">
        <is>
          <t xml:space="preserve">   grid point 2: -0.5%</t>
        </is>
      </c>
      <c r="C7" s="14" t="n">
        <v>-0.005</v>
      </c>
      <c r="I7" s="30">
        <f>B144</f>
        <v/>
      </c>
    </row>
    <row r="8">
      <c r="A8" s="9" t="inlineStr">
        <is>
          <t xml:space="preserve">   grid point 3: +0.0%</t>
        </is>
      </c>
      <c r="C8" s="14" t="n">
        <v>0</v>
      </c>
      <c r="I8" s="30">
        <f>B193</f>
        <v/>
      </c>
      <c r="J8" s="31">
        <f>B193-Forecast!B65</f>
        <v/>
      </c>
    </row>
    <row r="9">
      <c r="A9" s="9" t="inlineStr">
        <is>
          <t xml:space="preserve">   grid point 4: +0.5%</t>
        </is>
      </c>
      <c r="C9" s="14" t="n">
        <v>0.005</v>
      </c>
      <c r="I9" s="30">
        <f>B242</f>
        <v/>
      </c>
    </row>
    <row r="10">
      <c r="A10" s="9" t="inlineStr">
        <is>
          <t xml:space="preserve">   grid point 5: +1.0%</t>
        </is>
      </c>
      <c r="C10" s="14" t="n">
        <v>0.01</v>
      </c>
      <c r="I10" s="30">
        <f>B291</f>
        <v/>
      </c>
    </row>
    <row r="12">
      <c r="A12" s="7" t="inlineStr">
        <is>
          <t>Volume growth path, as a multiple of the assumed path</t>
        </is>
      </c>
      <c r="B12" s="8" t="n"/>
      <c r="C12" s="8" t="n"/>
      <c r="D12" s="8" t="n"/>
      <c r="E12" s="8" t="n"/>
      <c r="F12" s="8" t="n"/>
      <c r="G12" s="8" t="n"/>
      <c r="H12" s="8" t="n"/>
      <c r="I12" s="8" t="n"/>
    </row>
    <row r="13">
      <c r="A13" s="9" t="inlineStr">
        <is>
          <t xml:space="preserve">   grid point 1: -6.0%</t>
        </is>
      </c>
      <c r="B13" s="11" t="n">
        <v>-0.06</v>
      </c>
      <c r="I13" s="30">
        <f>B340</f>
        <v/>
      </c>
    </row>
    <row r="14">
      <c r="A14" s="9" t="inlineStr">
        <is>
          <t xml:space="preserve">   grid point 2: -3.0%</t>
        </is>
      </c>
      <c r="B14" s="11" t="n">
        <v>-0.03</v>
      </c>
      <c r="I14" s="30">
        <f>B389</f>
        <v/>
      </c>
    </row>
    <row r="15">
      <c r="A15" s="9" t="inlineStr">
        <is>
          <t xml:space="preserve">   grid point 3: +0.0%</t>
        </is>
      </c>
      <c r="B15" s="11" t="n">
        <v>0</v>
      </c>
      <c r="I15" s="30">
        <f>B438</f>
        <v/>
      </c>
      <c r="J15" s="31">
        <f>B438-Forecast!B65</f>
        <v/>
      </c>
    </row>
    <row r="16">
      <c r="A16" s="9" t="inlineStr">
        <is>
          <t xml:space="preserve">   grid point 4: +3.0%</t>
        </is>
      </c>
      <c r="B16" s="11" t="n">
        <v>0.03</v>
      </c>
      <c r="I16" s="30">
        <f>B487</f>
        <v/>
      </c>
    </row>
    <row r="17">
      <c r="A17" s="9" t="inlineStr">
        <is>
          <t xml:space="preserve">   grid point 5: +6.0%</t>
        </is>
      </c>
      <c r="B17" s="11" t="n">
        <v>0.06</v>
      </c>
      <c r="I17" s="30">
        <f>B536</f>
        <v/>
      </c>
    </row>
    <row r="19">
      <c r="A19" s="7" t="inlineStr">
        <is>
          <t>Realisation path, as a multiple of the assumed path</t>
        </is>
      </c>
      <c r="B19" s="8" t="n"/>
      <c r="C19" s="8" t="n"/>
      <c r="D19" s="8" t="n"/>
      <c r="E19" s="8" t="n"/>
      <c r="F19" s="8" t="n"/>
      <c r="G19" s="8" t="n"/>
      <c r="H19" s="8" t="n"/>
      <c r="I19" s="8" t="n"/>
    </row>
    <row r="20">
      <c r="A20" s="9" t="inlineStr">
        <is>
          <t xml:space="preserve">   grid point 1: 0.90x</t>
        </is>
      </c>
      <c r="D20" s="11" t="n">
        <v>0.9</v>
      </c>
      <c r="I20" s="30">
        <f>B585</f>
        <v/>
      </c>
    </row>
    <row r="21">
      <c r="A21" s="9" t="inlineStr">
        <is>
          <t xml:space="preserve">   grid point 2: 0.95x</t>
        </is>
      </c>
      <c r="D21" s="11" t="n">
        <v>0.95</v>
      </c>
      <c r="I21" s="30">
        <f>B634</f>
        <v/>
      </c>
    </row>
    <row r="22">
      <c r="A22" s="9" t="inlineStr">
        <is>
          <t xml:space="preserve">   grid point 3: 1.00x</t>
        </is>
      </c>
      <c r="D22" s="11" t="n">
        <v>1</v>
      </c>
      <c r="I22" s="30">
        <f>B683</f>
        <v/>
      </c>
      <c r="J22" s="31">
        <f>B683-Forecast!B65</f>
        <v/>
      </c>
    </row>
    <row r="23">
      <c r="A23" s="9" t="inlineStr">
        <is>
          <t xml:space="preserve">   grid point 4: 1.05x</t>
        </is>
      </c>
      <c r="D23" s="11" t="n">
        <v>1.05</v>
      </c>
      <c r="I23" s="30">
        <f>B732</f>
        <v/>
      </c>
    </row>
    <row r="24">
      <c r="A24" s="9" t="inlineStr">
        <is>
          <t xml:space="preserve">   grid point 5: 1.10x</t>
        </is>
      </c>
      <c r="D24" s="11" t="n">
        <v>1.1</v>
      </c>
      <c r="I24" s="30">
        <f>B781</f>
        <v/>
      </c>
    </row>
    <row r="26">
      <c r="A26" s="7" t="inlineStr">
        <is>
          <t>Beta</t>
        </is>
      </c>
      <c r="B26" s="8" t="n"/>
      <c r="C26" s="8" t="n"/>
      <c r="D26" s="8" t="n"/>
      <c r="E26" s="8" t="n"/>
      <c r="F26" s="8" t="n"/>
      <c r="G26" s="8" t="n"/>
      <c r="H26" s="8" t="n"/>
      <c r="I26" s="8" t="n"/>
    </row>
    <row r="27">
      <c r="A27" s="9" t="inlineStr">
        <is>
          <t xml:space="preserve">   grid point 1: 0.6000</t>
        </is>
      </c>
      <c r="F27" s="14" t="n">
        <v>0.2753362359262052</v>
      </c>
      <c r="G27" s="14" t="n">
        <v>0.161982185805472</v>
      </c>
      <c r="I27" s="30">
        <f>B830</f>
        <v/>
      </c>
    </row>
    <row r="28">
      <c r="A28" s="9" t="inlineStr">
        <is>
          <t xml:space="preserve">   grid point 2: 0.8000</t>
        </is>
      </c>
      <c r="F28" s="14" t="n">
        <v>0.2990937414848922</v>
      </c>
      <c r="G28" s="14" t="n">
        <v>0.1745821858054719</v>
      </c>
      <c r="I28" s="30">
        <f>B879</f>
        <v/>
      </c>
    </row>
    <row r="29">
      <c r="A29" s="9" t="inlineStr">
        <is>
          <t xml:space="preserve">   grid point 3: 0.9080</t>
        </is>
      </c>
      <c r="F29" s="14" t="n">
        <v>0.3119227944865832</v>
      </c>
      <c r="G29" s="14" t="n">
        <v>0.181386185805472</v>
      </c>
      <c r="I29" s="30">
        <f>B928</f>
        <v/>
      </c>
      <c r="J29" s="31">
        <f>B928-Forecast!B65</f>
        <v/>
      </c>
    </row>
    <row r="30">
      <c r="A30" s="9" t="inlineStr">
        <is>
          <t xml:space="preserve">   grid point 4: 1.1500</t>
        </is>
      </c>
      <c r="F30" s="14" t="n">
        <v>0.3406693762125945</v>
      </c>
      <c r="G30" s="14" t="n">
        <v>0.196632185805472</v>
      </c>
      <c r="I30" s="30">
        <f>B977</f>
        <v/>
      </c>
    </row>
    <row r="31">
      <c r="A31" s="9" t="inlineStr">
        <is>
          <t xml:space="preserve">   grid point 5: 1.3000</t>
        </is>
      </c>
      <c r="F31" s="14" t="n">
        <v>0.3584875053816097</v>
      </c>
      <c r="G31" s="14" t="n">
        <v>0.206082185805472</v>
      </c>
      <c r="I31" s="30">
        <f>B1026</f>
        <v/>
      </c>
    </row>
    <row r="33">
      <c r="A33" s="7" t="inlineStr">
        <is>
          <t>Working-capital cycle, as a multiple of the solved days</t>
        </is>
      </c>
      <c r="B33" s="8" t="n"/>
      <c r="C33" s="8" t="n"/>
      <c r="D33" s="8" t="n"/>
      <c r="E33" s="8" t="n"/>
      <c r="F33" s="8" t="n"/>
      <c r="G33" s="8" t="n"/>
      <c r="H33" s="8" t="n"/>
      <c r="I33" s="8" t="n"/>
    </row>
    <row r="34">
      <c r="A34" s="9" t="inlineStr">
        <is>
          <t xml:space="preserve">   grid point 1: 0.50x</t>
        </is>
      </c>
      <c r="E34" s="11" t="n">
        <v>0.5</v>
      </c>
      <c r="I34" s="30">
        <f>B1075</f>
        <v/>
      </c>
    </row>
    <row r="35">
      <c r="A35" s="9" t="inlineStr">
        <is>
          <t xml:space="preserve">   grid point 2: 0.75x</t>
        </is>
      </c>
      <c r="E35" s="11" t="n">
        <v>0.75</v>
      </c>
      <c r="I35" s="30">
        <f>B1124</f>
        <v/>
      </c>
    </row>
    <row r="36">
      <c r="A36" s="9" t="inlineStr">
        <is>
          <t xml:space="preserve">   grid point 3: 1.00x</t>
        </is>
      </c>
      <c r="E36" s="11" t="n">
        <v>1</v>
      </c>
      <c r="I36" s="30">
        <f>B1173</f>
        <v/>
      </c>
      <c r="J36" s="31">
        <f>B1173-Forecast!B65</f>
        <v/>
      </c>
    </row>
    <row r="37">
      <c r="A37" s="9" t="inlineStr">
        <is>
          <t xml:space="preserve">   grid point 4: 1.25x</t>
        </is>
      </c>
      <c r="E37" s="11" t="n">
        <v>1.25</v>
      </c>
      <c r="I37" s="30">
        <f>B1222</f>
        <v/>
      </c>
    </row>
    <row r="38">
      <c r="A38" s="9" t="inlineStr">
        <is>
          <t xml:space="preserve">   grid point 5: 1.50x</t>
        </is>
      </c>
      <c r="E38" s="11" t="n">
        <v>1.5</v>
      </c>
      <c r="I38" s="30">
        <f>B1271</f>
        <v/>
      </c>
    </row>
    <row r="40">
      <c r="A40" s="7" t="inlineStr">
        <is>
          <t>Terminal growth</t>
        </is>
      </c>
      <c r="B40" s="8" t="n"/>
      <c r="C40" s="8" t="n"/>
      <c r="D40" s="8" t="n"/>
      <c r="E40" s="8" t="n"/>
      <c r="F40" s="8" t="n"/>
      <c r="G40" s="8" t="n"/>
      <c r="H40" s="8" t="n"/>
      <c r="I40" s="8" t="n"/>
    </row>
    <row r="41">
      <c r="A41" s="9" t="inlineStr">
        <is>
          <t xml:space="preserve">   grid point 1: 3.0%</t>
        </is>
      </c>
      <c r="H41" s="14" t="n">
        <v>0.03</v>
      </c>
      <c r="I41" s="30">
        <f>B1320</f>
        <v/>
      </c>
    </row>
    <row r="42">
      <c r="A42" s="9" t="inlineStr">
        <is>
          <t xml:space="preserve">   grid point 2: 4.0%</t>
        </is>
      </c>
      <c r="H42" s="14" t="n">
        <v>0.04</v>
      </c>
      <c r="I42" s="30">
        <f>B1369</f>
        <v/>
      </c>
    </row>
    <row r="43">
      <c r="A43" s="9" t="inlineStr">
        <is>
          <t xml:space="preserve">   grid point 3: 5.0%</t>
        </is>
      </c>
      <c r="H43" s="14" t="n">
        <v>0.05</v>
      </c>
      <c r="I43" s="30">
        <f>B1418</f>
        <v/>
      </c>
      <c r="J43" s="31">
        <f>B1418-Forecast!B65</f>
        <v/>
      </c>
    </row>
    <row r="44">
      <c r="A44" s="9" t="inlineStr">
        <is>
          <t xml:space="preserve">   grid point 4: 6.0%</t>
        </is>
      </c>
      <c r="H44" s="14" t="n">
        <v>0.06</v>
      </c>
      <c r="I44" s="30">
        <f>B1467</f>
        <v/>
      </c>
    </row>
    <row r="45">
      <c r="A45" s="9" t="inlineStr">
        <is>
          <t xml:space="preserve">   grid point 5: 7.0%</t>
        </is>
      </c>
      <c r="H45" s="14" t="n">
        <v>0.07000000000000001</v>
      </c>
      <c r="I45" s="30">
        <f>B1516</f>
        <v/>
      </c>
    </row>
    <row r="47">
      <c r="A47" s="9" t="inlineStr">
        <is>
          <t>GATE — every row must return the base case at its own base point</t>
        </is>
      </c>
    </row>
    <row r="49">
      <c r="A49" s="6" t="inlineStr">
        <is>
          <t>Gross margin, shifted on every forecast year — -1.0%</t>
        </is>
      </c>
      <c r="B49" s="6" t="inlineStr">
        <is>
          <t>2026E</t>
        </is>
      </c>
      <c r="C49" s="6" t="inlineStr">
        <is>
          <t>2027E</t>
        </is>
      </c>
      <c r="D49" s="6" t="inlineStr">
        <is>
          <t>2028E</t>
        </is>
      </c>
      <c r="E49" s="6" t="inlineStr">
        <is>
          <t>2029E</t>
        </is>
      </c>
      <c r="F49" s="6" t="inlineStr">
        <is>
          <t>2030E</t>
        </is>
      </c>
    </row>
    <row r="50">
      <c r="A50" s="9" t="inlineStr">
        <is>
          <t>Inflation index, cumulative</t>
        </is>
      </c>
      <c r="C50" s="26">
        <f>Assumptions!$B$146</f>
        <v/>
      </c>
      <c r="D50" s="26">
        <f>C50*Assumptions!$B$147</f>
        <v/>
      </c>
      <c r="E50" s="26">
        <f>D50*Assumptions!$B$148</f>
        <v/>
      </c>
      <c r="F50" s="26">
        <f>E50*Assumptions!$B$149</f>
        <v/>
      </c>
      <c r="G50" s="26">
        <f>F50*Assumptions!$B$150</f>
        <v/>
      </c>
    </row>
    <row r="51">
      <c r="A51" s="9" t="inlineStr">
        <is>
          <t>Realisation index, cumulative</t>
        </is>
      </c>
      <c r="C51" s="26">
        <f>(1+Assumptions!$B$101*Forecast!$B$8)</f>
        <v/>
      </c>
      <c r="D51" s="26">
        <f>C51*(1+Assumptions!$B$102*Forecast!$B$8)</f>
        <v/>
      </c>
      <c r="E51" s="26">
        <f>D51*(1+Assumptions!$B$103*Forecast!$B$8)</f>
        <v/>
      </c>
      <c r="F51" s="26">
        <f>E51*(1+Assumptions!$B$104*Forecast!$B$8)</f>
        <v/>
      </c>
      <c r="G51" s="26">
        <f>F51*(1+Assumptions!$B$105*Forecast!$B$8)</f>
        <v/>
      </c>
    </row>
    <row r="52">
      <c r="A52" s="9" t="inlineStr">
        <is>
          <t xml:space="preserve">  Volume — Base and special oils, mn t</t>
        </is>
      </c>
      <c r="C52" s="26">
        <f>'Product and Cost'!E6*(1+Assumptions!$B$106+Forecast!$B$6)</f>
        <v/>
      </c>
      <c r="D52" s="26">
        <f>C52*(1+Assumptions!$B$107+Forecast!$B$6)</f>
        <v/>
      </c>
      <c r="E52" s="26">
        <f>D52*(1+Assumptions!$B$108+Forecast!$B$6)</f>
        <v/>
      </c>
      <c r="F52" s="26">
        <f>E52*(1+Assumptions!$B$109+Forecast!$B$6)</f>
        <v/>
      </c>
      <c r="G52" s="26">
        <f>F52*(1+Assumptions!$B$110+Forecast!$B$6)</f>
        <v/>
      </c>
    </row>
    <row r="53">
      <c r="A53" s="9" t="inlineStr">
        <is>
          <t xml:space="preserve">  Volume — Paraffin wax, mn t</t>
        </is>
      </c>
      <c r="C53" s="26">
        <f>'Product and Cost'!E7*(1+Assumptions!$B$111+Forecast!$B$6)</f>
        <v/>
      </c>
      <c r="D53" s="26">
        <f>C53*(1+Assumptions!$B$112+Forecast!$B$6)</f>
        <v/>
      </c>
      <c r="E53" s="26">
        <f>D53*(1+Assumptions!$B$113+Forecast!$B$6)</f>
        <v/>
      </c>
      <c r="F53" s="26">
        <f>E53*(1+Assumptions!$B$114+Forecast!$B$6)</f>
        <v/>
      </c>
      <c r="G53" s="26">
        <f>F53*(1+Assumptions!$B$115+Forecast!$B$6)</f>
        <v/>
      </c>
    </row>
    <row r="54">
      <c r="A54" s="9" t="inlineStr">
        <is>
          <t xml:space="preserve">  Volume — Gas oil, mn t</t>
        </is>
      </c>
      <c r="C54" s="26">
        <f>'Product and Cost'!E8*(1+Assumptions!$B$116+Forecast!$B$6)</f>
        <v/>
      </c>
      <c r="D54" s="26">
        <f>C54*(1+Assumptions!$B$117+Forecast!$B$6)</f>
        <v/>
      </c>
      <c r="E54" s="26">
        <f>D54*(1+Assumptions!$B$118+Forecast!$B$6)</f>
        <v/>
      </c>
      <c r="F54" s="26">
        <f>E54*(1+Assumptions!$B$119+Forecast!$B$6)</f>
        <v/>
      </c>
      <c r="G54" s="26">
        <f>F54*(1+Assumptions!$B$120+Forecast!$B$6)</f>
        <v/>
      </c>
    </row>
    <row r="55">
      <c r="A55" s="9" t="inlineStr">
        <is>
          <t xml:space="preserve">  Volume — Naphtha, mn t</t>
        </is>
      </c>
      <c r="C55" s="26">
        <f>'Product and Cost'!E9*(1+Assumptions!$B$121+Forecast!$B$6)</f>
        <v/>
      </c>
      <c r="D55" s="26">
        <f>C55*(1+Assumptions!$B$122+Forecast!$B$6)</f>
        <v/>
      </c>
      <c r="E55" s="26">
        <f>D55*(1+Assumptions!$B$123+Forecast!$B$6)</f>
        <v/>
      </c>
      <c r="F55" s="26">
        <f>E55*(1+Assumptions!$B$124+Forecast!$B$6)</f>
        <v/>
      </c>
      <c r="G55" s="26">
        <f>F55*(1+Assumptions!$B$125+Forecast!$B$6)</f>
        <v/>
      </c>
    </row>
    <row r="56">
      <c r="A56" s="9" t="inlineStr">
        <is>
          <t xml:space="preserve">  Volume — Liquefied petroleum gas, mn t</t>
        </is>
      </c>
      <c r="C56" s="26">
        <f>'Product and Cost'!E10*(1+Assumptions!$B$126+Forecast!$B$6)</f>
        <v/>
      </c>
      <c r="D56" s="26">
        <f>C56*(1+Assumptions!$B$127+Forecast!$B$6)</f>
        <v/>
      </c>
      <c r="E56" s="26">
        <f>D56*(1+Assumptions!$B$128+Forecast!$B$6)</f>
        <v/>
      </c>
      <c r="F56" s="26">
        <f>E56*(1+Assumptions!$B$129+Forecast!$B$6)</f>
        <v/>
      </c>
      <c r="G56" s="26">
        <f>F56*(1+Assumptions!$B$130+Forecast!$B$6)</f>
        <v/>
      </c>
    </row>
    <row r="57">
      <c r="A57" s="9" t="inlineStr">
        <is>
          <t xml:space="preserve">  Volume — Fuel oil (mix), mn t</t>
        </is>
      </c>
      <c r="C57" s="26">
        <f>'Product and Cost'!E11*(1+Assumptions!$B$131+Forecast!$B$6)</f>
        <v/>
      </c>
      <c r="D57" s="26">
        <f>C57*(1+Assumptions!$B$132+Forecast!$B$6)</f>
        <v/>
      </c>
      <c r="E57" s="26">
        <f>D57*(1+Assumptions!$B$133+Forecast!$B$6)</f>
        <v/>
      </c>
      <c r="F57" s="26">
        <f>E57*(1+Assumptions!$B$134+Forecast!$B$6)</f>
        <v/>
      </c>
      <c r="G57" s="26">
        <f>F57*(1+Assumptions!$B$135+Forecast!$B$6)</f>
        <v/>
      </c>
    </row>
    <row r="58">
      <c r="A58" s="9" t="inlineStr">
        <is>
          <t xml:space="preserve">  Volume — Heavy fuel oil, mn t</t>
        </is>
      </c>
      <c r="C58" s="26">
        <f>'Product and Cost'!E12*(1+Assumptions!$B$136+Forecast!$B$6)</f>
        <v/>
      </c>
      <c r="D58" s="26">
        <f>C58*(1+Assumptions!$B$137+Forecast!$B$6)</f>
        <v/>
      </c>
      <c r="E58" s="26">
        <f>D58*(1+Assumptions!$B$138+Forecast!$B$6)</f>
        <v/>
      </c>
      <c r="F58" s="26">
        <f>E58*(1+Assumptions!$B$139+Forecast!$B$6)</f>
        <v/>
      </c>
      <c r="G58" s="26">
        <f>F58*(1+Assumptions!$B$140+Forecast!$B$6)</f>
        <v/>
      </c>
    </row>
    <row r="59">
      <c r="A59" s="9" t="inlineStr">
        <is>
          <t xml:space="preserve">  Volume — Waste, mn t</t>
        </is>
      </c>
      <c r="C59" s="26">
        <f>'Product and Cost'!E13*(1+Assumptions!$B$141+Forecast!$B$6)</f>
        <v/>
      </c>
      <c r="D59" s="26">
        <f>C59*(1+Assumptions!$B$142+Forecast!$B$6)</f>
        <v/>
      </c>
      <c r="E59" s="26">
        <f>D59*(1+Assumptions!$B$143+Forecast!$B$6)</f>
        <v/>
      </c>
      <c r="F59" s="26">
        <f>E59*(1+Assumptions!$B$144+Forecast!$B$6)</f>
        <v/>
      </c>
      <c r="G59" s="26">
        <f>F59*(1+Assumptions!$B$145+Forecast!$B$6)</f>
        <v/>
      </c>
    </row>
    <row r="60">
      <c r="A60" s="17" t="inlineStr">
        <is>
          <t>Total volume, mn t</t>
        </is>
      </c>
      <c r="C60" s="28">
        <f>SUM(C52:C59)</f>
        <v/>
      </c>
      <c r="D60" s="28">
        <f>SUM(D52:D59)</f>
        <v/>
      </c>
      <c r="E60" s="28">
        <f>SUM(E52:E59)</f>
        <v/>
      </c>
      <c r="F60" s="28">
        <f>SUM(F52:F59)</f>
        <v/>
      </c>
      <c r="G60" s="28">
        <f>SUM(G52:G59)</f>
        <v/>
      </c>
    </row>
    <row r="61">
      <c r="A61" s="17" t="inlineStr">
        <is>
          <t>REVENUE</t>
        </is>
      </c>
      <c r="C61" s="20">
        <f>C52*'Product and Cost'!$F$6*C51+C53*'Product and Cost'!$F$7*C51+C54*'Product and Cost'!$F$8*C51+C55*'Product and Cost'!$F$9*C51+C56*'Product and Cost'!$F$10*C51+C57*'Product and Cost'!$F$11*C51+C58*'Product and Cost'!$F$12*C51+C59*'Product and Cost'!$F$13*C51</f>
        <v/>
      </c>
      <c r="D61" s="20">
        <f>D52*'Product and Cost'!$F$6*D51+D53*'Product and Cost'!$F$7*D51+D54*'Product and Cost'!$F$8*D51+D55*'Product and Cost'!$F$9*D51+D56*'Product and Cost'!$F$10*D51+D57*'Product and Cost'!$F$11*D51+D58*'Product and Cost'!$F$12*D51+D59*'Product and Cost'!$F$13*D51</f>
        <v/>
      </c>
      <c r="E61" s="20">
        <f>E52*'Product and Cost'!$F$6*E51+E53*'Product and Cost'!$F$7*E51+E54*'Product and Cost'!$F$8*E51+E55*'Product and Cost'!$F$9*E51+E56*'Product and Cost'!$F$10*E51+E57*'Product and Cost'!$F$11*E51+E58*'Product and Cost'!$F$12*E51+E59*'Product and Cost'!$F$13*E51</f>
        <v/>
      </c>
      <c r="F61" s="20">
        <f>F52*'Product and Cost'!$F$6*F51+F53*'Product and Cost'!$F$7*F51+F54*'Product and Cost'!$F$8*F51+F55*'Product and Cost'!$F$9*F51+F56*'Product and Cost'!$F$10*F51+F57*'Product and Cost'!$F$11*F51+F58*'Product and Cost'!$F$12*F51+F59*'Product and Cost'!$F$13*F51</f>
        <v/>
      </c>
      <c r="G61" s="20">
        <f>G52*'Product and Cost'!$F$6*G51+G53*'Product and Cost'!$F$7*G51+G54*'Product and Cost'!$F$8*G51+G55*'Product and Cost'!$F$9*G51+G56*'Product and Cost'!$F$10*G51+G57*'Product and Cost'!$F$11*G51+G58*'Product and Cost'!$F$12*G51+G59*'Product and Cost'!$F$13*G51</f>
        <v/>
      </c>
    </row>
    <row r="62">
      <c r="A62" s="9" t="inlineStr">
        <is>
          <t>Cost of sales</t>
        </is>
      </c>
      <c r="C62" s="18">
        <f>C52*('Product and Cost'!$D$27*C51*Assumptions!$B$88+'Product and Cost'!$B$27*(0.4863620081*C50+0.4455809638*C50+0.0356254898*C51+0.0324315384))+C53*('Product and Cost'!$D$28*C51*Assumptions!$B$88+'Product and Cost'!$B$28*(0.4863620081*C50+0.4455809638*C50+0.0356254898*C51+0.0324315384))+C54*('Product and Cost'!$D$29*C51*Assumptions!$B$88+'Product and Cost'!$B$29*(0.4863620081*C50+0.4455809638*C50+0.0356254898*C51+0.0324315384))+C55*('Product and Cost'!$D$30*C51*Assumptions!$B$88+'Product and Cost'!$B$30*(0.4863620081*C50+0.4455809638*C50+0.0356254898*C51+0.0324315384))+C56*('Product and Cost'!$D$31*C51*Assumptions!$B$88+'Product and Cost'!$B$31*(0.4863620081*C50+0.4455809638*C50+0.0356254898*C51+0.0324315384))+C57*('Product and Cost'!$D$32*C51*Assumptions!$B$88+'Product and Cost'!$B$32*(0.4863620081*C50+0.4455809638*C50+0.0356254898*C51+0.0324315384))+C58*('Product and Cost'!$D$33*C51*Assumptions!$B$88+'Product and Cost'!$B$33*(0.4863620081*C50+0.4455809638*C50+0.0356254898*C51+0.0324315384))+C59*('Product and Cost'!$D$34*C51*Assumptions!$B$88+'Product and Cost'!$B$34*(0.4863620081*C50+0.4455809638*C50+0.0356254898*C51+0.0324315384))</f>
        <v/>
      </c>
      <c r="D62" s="18">
        <f>D52*('Product and Cost'!$D$27*D51*Assumptions!$B$88+'Product and Cost'!$B$27*(0.4863620081*D50+0.4455809638*D50+0.0356254898*D51+0.0324315384))+D53*('Product and Cost'!$D$28*D51*Assumptions!$B$88+'Product and Cost'!$B$28*(0.4863620081*D50+0.4455809638*D50+0.0356254898*D51+0.0324315384))+D54*('Product and Cost'!$D$29*D51*Assumptions!$B$88+'Product and Cost'!$B$29*(0.4863620081*D50+0.4455809638*D50+0.0356254898*D51+0.0324315384))+D55*('Product and Cost'!$D$30*D51*Assumptions!$B$88+'Product and Cost'!$B$30*(0.4863620081*D50+0.4455809638*D50+0.0356254898*D51+0.0324315384))+D56*('Product and Cost'!$D$31*D51*Assumptions!$B$88+'Product and Cost'!$B$31*(0.4863620081*D50+0.4455809638*D50+0.0356254898*D51+0.0324315384))+D57*('Product and Cost'!$D$32*D51*Assumptions!$B$88+'Product and Cost'!$B$32*(0.4863620081*D50+0.4455809638*D50+0.0356254898*D51+0.0324315384))+D58*('Product and Cost'!$D$33*D51*Assumptions!$B$88+'Product and Cost'!$B$33*(0.4863620081*D50+0.4455809638*D50+0.0356254898*D51+0.0324315384))+D59*('Product and Cost'!$D$34*D51*Assumptions!$B$88+'Product and Cost'!$B$34*(0.4863620081*D50+0.4455809638*D50+0.0356254898*D51+0.0324315384))</f>
        <v/>
      </c>
      <c r="E62" s="18">
        <f>E52*('Product and Cost'!$D$27*E51*Assumptions!$B$88+'Product and Cost'!$B$27*(0.4863620081*E50+0.4455809638*E50+0.0356254898*E51+0.0324315384))+E53*('Product and Cost'!$D$28*E51*Assumptions!$B$88+'Product and Cost'!$B$28*(0.4863620081*E50+0.4455809638*E50+0.0356254898*E51+0.0324315384))+E54*('Product and Cost'!$D$29*E51*Assumptions!$B$88+'Product and Cost'!$B$29*(0.4863620081*E50+0.4455809638*E50+0.0356254898*E51+0.0324315384))+E55*('Product and Cost'!$D$30*E51*Assumptions!$B$88+'Product and Cost'!$B$30*(0.4863620081*E50+0.4455809638*E50+0.0356254898*E51+0.0324315384))+E56*('Product and Cost'!$D$31*E51*Assumptions!$B$88+'Product and Cost'!$B$31*(0.4863620081*E50+0.4455809638*E50+0.0356254898*E51+0.0324315384))+E57*('Product and Cost'!$D$32*E51*Assumptions!$B$88+'Product and Cost'!$B$32*(0.4863620081*E50+0.4455809638*E50+0.0356254898*E51+0.0324315384))+E58*('Product and Cost'!$D$33*E51*Assumptions!$B$88+'Product and Cost'!$B$33*(0.4863620081*E50+0.4455809638*E50+0.0356254898*E51+0.0324315384))+E59*('Product and Cost'!$D$34*E51*Assumptions!$B$88+'Product and Cost'!$B$34*(0.4863620081*E50+0.4455809638*E50+0.0356254898*E51+0.0324315384))</f>
        <v/>
      </c>
      <c r="F62" s="18">
        <f>F52*('Product and Cost'!$D$27*F51*Assumptions!$B$88+'Product and Cost'!$B$27*(0.4863620081*F50+0.4455809638*F50+0.0356254898*F51+0.0324315384))+F53*('Product and Cost'!$D$28*F51*Assumptions!$B$88+'Product and Cost'!$B$28*(0.4863620081*F50+0.4455809638*F50+0.0356254898*F51+0.0324315384))+F54*('Product and Cost'!$D$29*F51*Assumptions!$B$88+'Product and Cost'!$B$29*(0.4863620081*F50+0.4455809638*F50+0.0356254898*F51+0.0324315384))+F55*('Product and Cost'!$D$30*F51*Assumptions!$B$88+'Product and Cost'!$B$30*(0.4863620081*F50+0.4455809638*F50+0.0356254898*F51+0.0324315384))+F56*('Product and Cost'!$D$31*F51*Assumptions!$B$88+'Product and Cost'!$B$31*(0.4863620081*F50+0.4455809638*F50+0.0356254898*F51+0.0324315384))+F57*('Product and Cost'!$D$32*F51*Assumptions!$B$88+'Product and Cost'!$B$32*(0.4863620081*F50+0.4455809638*F50+0.0356254898*F51+0.0324315384))+F58*('Product and Cost'!$D$33*F51*Assumptions!$B$88+'Product and Cost'!$B$33*(0.4863620081*F50+0.4455809638*F50+0.0356254898*F51+0.0324315384))+F59*('Product and Cost'!$D$34*F51*Assumptions!$B$88+'Product and Cost'!$B$34*(0.4863620081*F50+0.4455809638*F50+0.0356254898*F51+0.0324315384))</f>
        <v/>
      </c>
      <c r="G62" s="18">
        <f>G52*('Product and Cost'!$D$27*G51*Assumptions!$B$88+'Product and Cost'!$B$27*(0.4863620081*G50+0.4455809638*G50+0.0356254898*G51+0.0324315384))+G53*('Product and Cost'!$D$28*G51*Assumptions!$B$88+'Product and Cost'!$B$28*(0.4863620081*G50+0.4455809638*G50+0.0356254898*G51+0.0324315384))+G54*('Product and Cost'!$D$29*G51*Assumptions!$B$88+'Product and Cost'!$B$29*(0.4863620081*G50+0.4455809638*G50+0.0356254898*G51+0.0324315384))+G55*('Product and Cost'!$D$30*G51*Assumptions!$B$88+'Product and Cost'!$B$30*(0.4863620081*G50+0.4455809638*G50+0.0356254898*G51+0.0324315384))+G56*('Product and Cost'!$D$31*G51*Assumptions!$B$88+'Product and Cost'!$B$31*(0.4863620081*G50+0.4455809638*G50+0.0356254898*G51+0.0324315384))+G57*('Product and Cost'!$D$32*G51*Assumptions!$B$88+'Product and Cost'!$B$32*(0.4863620081*G50+0.4455809638*G50+0.0356254898*G51+0.0324315384))+G58*('Product and Cost'!$D$33*G51*Assumptions!$B$88+'Product and Cost'!$B$33*(0.4863620081*G50+0.4455809638*G50+0.0356254898*G51+0.0324315384))+G59*('Product and Cost'!$D$34*G51*Assumptions!$B$88+'Product and Cost'!$B$34*(0.4863620081*G50+0.4455809638*G50+0.0356254898*G51+0.0324315384))</f>
        <v/>
      </c>
    </row>
    <row r="63">
      <c r="A63" s="17" t="inlineStr">
        <is>
          <t>GROSS PROFIT</t>
        </is>
      </c>
      <c r="C63" s="20">
        <f>C61-C62+$C$6*C61</f>
        <v/>
      </c>
      <c r="D63" s="20">
        <f>D61-D62+$C$6*D61</f>
        <v/>
      </c>
      <c r="E63" s="20">
        <f>E61-E62+$C$6*E61</f>
        <v/>
      </c>
      <c r="F63" s="20">
        <f>F61-F62+$C$6*F61</f>
        <v/>
      </c>
      <c r="G63" s="20">
        <f>G61-G62+$C$6*G61</f>
        <v/>
      </c>
    </row>
    <row r="64">
      <c r="A64" s="9" t="inlineStr">
        <is>
          <t>Gross margin</t>
        </is>
      </c>
      <c r="C64" s="19">
        <f>C63/C61</f>
        <v/>
      </c>
      <c r="D64" s="19">
        <f>D63/D61</f>
        <v/>
      </c>
      <c r="E64" s="19">
        <f>E63/E61</f>
        <v/>
      </c>
      <c r="F64" s="19">
        <f>F63/F61</f>
        <v/>
      </c>
      <c r="G64" s="19">
        <f>G63/G61</f>
        <v/>
      </c>
    </row>
    <row r="65">
      <c r="A65" s="9" t="inlineStr">
        <is>
          <t>Operating expense</t>
        </is>
      </c>
      <c r="C65" s="18">
        <f>('Base Year'!$B$28*C50)+('Base Year'!$B$29*C50*C60/'Product and Cost'!$E$14)+('Base Year'!$B$30*C50)+('Base Year'!$B$31*C50)</f>
        <v/>
      </c>
      <c r="D65" s="18">
        <f>('Base Year'!$B$28*D50)+('Base Year'!$B$29*D50*D60/'Product and Cost'!$E$14)+('Base Year'!$B$30*D50)+('Base Year'!$B$31*D50)</f>
        <v/>
      </c>
      <c r="E65" s="18">
        <f>('Base Year'!$B$28*E50)+('Base Year'!$B$29*E50*E60/'Product and Cost'!$E$14)+('Base Year'!$B$30*E50)+('Base Year'!$B$31*E50)</f>
        <v/>
      </c>
      <c r="F65" s="18">
        <f>('Base Year'!$B$28*F50)+('Base Year'!$B$29*F50*F60/'Product and Cost'!$E$14)+('Base Year'!$B$30*F50)+('Base Year'!$B$31*F50)</f>
        <v/>
      </c>
      <c r="G65" s="18">
        <f>('Base Year'!$B$28*G50)+('Base Year'!$B$29*G50*G60/'Product and Cost'!$E$14)+('Base Year'!$B$30*G50)+('Base Year'!$B$31*G50)</f>
        <v/>
      </c>
    </row>
    <row r="66">
      <c r="A66" s="17" t="inlineStr">
        <is>
          <t>EBITDA</t>
        </is>
      </c>
      <c r="C66" s="20">
        <f>C63-C65</f>
        <v/>
      </c>
      <c r="D66" s="20">
        <f>D63-D65</f>
        <v/>
      </c>
      <c r="E66" s="20">
        <f>E63-E65</f>
        <v/>
      </c>
      <c r="F66" s="20">
        <f>F63-F65</f>
        <v/>
      </c>
      <c r="G66" s="20">
        <f>G63-G65</f>
        <v/>
      </c>
    </row>
    <row r="67">
      <c r="A67" s="9" t="inlineStr">
        <is>
          <t>Capital expenditure — maintenance + growth</t>
        </is>
      </c>
      <c r="C67" s="18">
        <f>'Base Year'!$B$43*C50+MAX(C60-'Product and Cost'!$E$14,0)*1947.901031*C50</f>
        <v/>
      </c>
      <c r="D67" s="18">
        <f>'Base Year'!$B$43*D50+MAX(D60-C60,0)*1947.901031*D50</f>
        <v/>
      </c>
      <c r="E67" s="18">
        <f>'Base Year'!$B$43*E50+MAX(E60-D60,0)*1947.901031*E50</f>
        <v/>
      </c>
      <c r="F67" s="18">
        <f>'Base Year'!$B$43*F50+MAX(F60-E60,0)*1947.901031*F50</f>
        <v/>
      </c>
      <c r="G67" s="18">
        <f>'Base Year'!$B$43*G50+MAX(G60-F60,0)*1947.901031*G50</f>
        <v/>
      </c>
    </row>
    <row r="68">
      <c r="A68" s="9" t="inlineStr">
        <is>
          <t>Fixed assets at cost, closing</t>
        </is>
      </c>
      <c r="C68" s="18">
        <f>(Assumptions!$B$70+Assumptions!$B$71)/10^6+C67</f>
        <v/>
      </c>
      <c r="D68" s="18">
        <f>C68+D67</f>
        <v/>
      </c>
      <c r="E68" s="18">
        <f>D68+E67</f>
        <v/>
      </c>
      <c r="F68" s="18">
        <f>E68+F67</f>
        <v/>
      </c>
      <c r="G68" s="18">
        <f>F68+G67</f>
        <v/>
      </c>
    </row>
    <row r="69">
      <c r="A69" s="9" t="inlineStr">
        <is>
          <t>Depreciation — rolls off the asset register</t>
        </is>
      </c>
      <c r="C69" s="18">
        <f>(Assumptions!$B$70+Assumptions!$B$71)/10^6/'Base Year'!$B$42</f>
        <v/>
      </c>
      <c r="D69" s="18">
        <f>C68/'Base Year'!$B$42</f>
        <v/>
      </c>
      <c r="E69" s="18">
        <f>D68/'Base Year'!$B$42</f>
        <v/>
      </c>
      <c r="F69" s="18">
        <f>E68/'Base Year'!$B$42</f>
        <v/>
      </c>
      <c r="G69" s="18">
        <f>F68/'Base Year'!$B$42</f>
        <v/>
      </c>
    </row>
    <row r="70">
      <c r="A70" s="9" t="inlineStr">
        <is>
          <t>Fixed assets, net book, closing</t>
        </is>
      </c>
      <c r="C70" s="18">
        <f>(Assumptions!$B$69+Assumptions!$B$71)/10^6+C67-C69</f>
        <v/>
      </c>
      <c r="D70" s="18">
        <f>C70+D67-D69</f>
        <v/>
      </c>
      <c r="E70" s="18">
        <f>D70+E67-E69</f>
        <v/>
      </c>
      <c r="F70" s="18">
        <f>E70+F67-F69</f>
        <v/>
      </c>
      <c r="G70" s="18">
        <f>F70+G67-G69</f>
        <v/>
      </c>
    </row>
    <row r="71">
      <c r="A71" s="17" t="inlineStr">
        <is>
          <t>EBIT</t>
        </is>
      </c>
      <c r="C71" s="20">
        <f>C66-C69</f>
        <v/>
      </c>
      <c r="D71" s="20">
        <f>D66-D69</f>
        <v/>
      </c>
      <c r="E71" s="20">
        <f>E66-E69</f>
        <v/>
      </c>
      <c r="F71" s="20">
        <f>F66-F69</f>
        <v/>
      </c>
      <c r="G71" s="20">
        <f>G66-G69</f>
        <v/>
      </c>
    </row>
    <row r="72">
      <c r="A72" s="9" t="inlineStr">
        <is>
          <t>NOPAT before the profit share</t>
        </is>
      </c>
      <c r="C72" s="18">
        <f>C71*(1-Assumptions!$B$87)</f>
        <v/>
      </c>
      <c r="D72" s="18">
        <f>D71*(1-Assumptions!$B$87)</f>
        <v/>
      </c>
      <c r="E72" s="18">
        <f>E71*(1-Assumptions!$B$87)</f>
        <v/>
      </c>
      <c r="F72" s="18">
        <f>F71*(1-Assumptions!$B$87)</f>
        <v/>
      </c>
      <c r="G72" s="18">
        <f>G71*(1-Assumptions!$B$87)</f>
        <v/>
      </c>
    </row>
    <row r="73">
      <c r="A73" s="9" t="inlineStr">
        <is>
          <t xml:space="preserve">  less employees' profit share and board bonuses</t>
        </is>
      </c>
      <c r="C73" s="18">
        <f>MAX(C72,0)*'Base Year'!$B$40</f>
        <v/>
      </c>
      <c r="D73" s="18">
        <f>MAX(D72,0)*'Base Year'!$B$40</f>
        <v/>
      </c>
      <c r="E73" s="18">
        <f>MAX(E72,0)*'Base Year'!$B$40</f>
        <v/>
      </c>
      <c r="F73" s="18">
        <f>MAX(F72,0)*'Base Year'!$B$40</f>
        <v/>
      </c>
      <c r="G73" s="18">
        <f>MAX(G72,0)*'Base Year'!$B$40</f>
        <v/>
      </c>
    </row>
    <row r="74">
      <c r="A74" s="17" t="inlineStr">
        <is>
          <t>NOPAT</t>
        </is>
      </c>
      <c r="C74" s="20">
        <f>C72-C73</f>
        <v/>
      </c>
      <c r="D74" s="20">
        <f>D72-D73</f>
        <v/>
      </c>
      <c r="E74" s="20">
        <f>E72-E73</f>
        <v/>
      </c>
      <c r="F74" s="20">
        <f>F72-F73</f>
        <v/>
      </c>
      <c r="G74" s="20">
        <f>G72-G73</f>
        <v/>
      </c>
    </row>
    <row r="75">
      <c r="A75" s="9" t="inlineStr">
        <is>
          <t>Net working capital — on days</t>
        </is>
      </c>
      <c r="C75" s="18">
        <f>'Base Year'!$B$44*Forecast!$B$9/365*C62+'Base Year'!$B$45*Forecast!$B$9/365*C61-'Base Year'!$B$46*Forecast!$B$9/365*C62</f>
        <v/>
      </c>
      <c r="D75" s="18">
        <f>'Base Year'!$B$44*Forecast!$B$9/365*D62+'Base Year'!$B$45*Forecast!$B$9/365*D61-'Base Year'!$B$46*Forecast!$B$9/365*D62</f>
        <v/>
      </c>
      <c r="E75" s="18">
        <f>'Base Year'!$B$44*Forecast!$B$9/365*E62+'Base Year'!$B$45*Forecast!$B$9/365*E61-'Base Year'!$B$46*Forecast!$B$9/365*E62</f>
        <v/>
      </c>
      <c r="F75" s="18">
        <f>'Base Year'!$B$44*Forecast!$B$9/365*F62+'Base Year'!$B$45*Forecast!$B$9/365*F61-'Base Year'!$B$46*Forecast!$B$9/365*F62</f>
        <v/>
      </c>
      <c r="G75" s="18">
        <f>'Base Year'!$B$44*Forecast!$B$9/365*G62+'Base Year'!$B$45*Forecast!$B$9/365*G61-'Base Year'!$B$46*Forecast!$B$9/365*G62</f>
        <v/>
      </c>
    </row>
    <row r="76">
      <c r="A76" s="9" t="inlineStr">
        <is>
          <t xml:space="preserve">  change in working capital</t>
        </is>
      </c>
      <c r="C76" s="18">
        <f>C75-('Base Year'!$B$44/365*'Base Year'!$B$21+'Base Year'!$B$45/365*'Base Year'!$B$19-'Base Year'!$B$46/365*'Base Year'!$B$21)</f>
        <v/>
      </c>
      <c r="D76" s="18">
        <f>D75-C75</f>
        <v/>
      </c>
      <c r="E76" s="18">
        <f>E75-D75</f>
        <v/>
      </c>
      <c r="F76" s="18">
        <f>F75-E75</f>
        <v/>
      </c>
      <c r="G76" s="18">
        <f>G75-F75</f>
        <v/>
      </c>
    </row>
    <row r="77">
      <c r="A77" s="17" t="inlineStr">
        <is>
          <t>FREE CASH FLOW TO THE FIRM</t>
        </is>
      </c>
      <c r="C77" s="20">
        <f>C74+C69-C67-C76</f>
        <v/>
      </c>
      <c r="D77" s="20">
        <f>D74+D69-D67-D76</f>
        <v/>
      </c>
      <c r="E77" s="20">
        <f>E74+E69-E67-E76</f>
        <v/>
      </c>
      <c r="F77" s="20">
        <f>F74+F69-F67-F76</f>
        <v/>
      </c>
      <c r="G77" s="20">
        <f>G74+G69-G67-G76</f>
        <v/>
      </c>
    </row>
    <row r="78">
      <c r="A78" s="9" t="inlineStr">
        <is>
          <t>Glide fraction</t>
        </is>
      </c>
      <c r="C78" s="26">
        <f>0.0000000000</f>
        <v/>
      </c>
      <c r="D78" s="26">
        <f>0.3571428571</f>
        <v/>
      </c>
      <c r="E78" s="26">
        <f>0.6428571429</f>
        <v/>
      </c>
      <c r="F78" s="26">
        <f>0.8571428571</f>
        <v/>
      </c>
      <c r="G78" s="26">
        <f>1.0000000000</f>
        <v/>
      </c>
    </row>
    <row r="79">
      <c r="A79" s="9" t="inlineStr">
        <is>
          <t>Forward cost of capital</t>
        </is>
      </c>
      <c r="C79" s="19">
        <f>Forecast!$B$14-(Forecast!$B$14-Forecast!$B$17)*C78</f>
        <v/>
      </c>
      <c r="D79" s="19">
        <f>Forecast!$B$14-(Forecast!$B$14-Forecast!$B$17)*D78</f>
        <v/>
      </c>
      <c r="E79" s="19">
        <f>Forecast!$B$14-(Forecast!$B$14-Forecast!$B$17)*E78</f>
        <v/>
      </c>
      <c r="F79" s="19">
        <f>Forecast!$B$14-(Forecast!$B$14-Forecast!$B$17)*F78</f>
        <v/>
      </c>
      <c r="G79" s="19">
        <f>Forecast!$B$14-(Forecast!$B$14-Forecast!$B$17)*G78</f>
        <v/>
      </c>
    </row>
    <row r="80">
      <c r="A80" s="9" t="inlineStr">
        <is>
          <t>Cumulative discount factor</t>
        </is>
      </c>
      <c r="C80" s="29">
        <f>1/(1+C79)</f>
        <v/>
      </c>
      <c r="D80" s="29">
        <f>C80/(1+D79)</f>
        <v/>
      </c>
      <c r="E80" s="29">
        <f>D80/(1+E79)</f>
        <v/>
      </c>
      <c r="F80" s="29">
        <f>E80/(1+F79)</f>
        <v/>
      </c>
      <c r="G80" s="29">
        <f>F80/(1+G79)</f>
        <v/>
      </c>
    </row>
    <row r="81">
      <c r="A81" s="9" t="inlineStr">
        <is>
          <t>Present value</t>
        </is>
      </c>
      <c r="C81" s="18">
        <f>C77*C80</f>
        <v/>
      </c>
      <c r="D81" s="18">
        <f>D77*D80</f>
        <v/>
      </c>
      <c r="E81" s="18">
        <f>E77*E80</f>
        <v/>
      </c>
      <c r="F81" s="18">
        <f>F77*F80</f>
        <v/>
      </c>
      <c r="G81" s="18">
        <f>G77*G80</f>
        <v/>
      </c>
    </row>
    <row r="82">
      <c r="A82" s="17" t="inlineStr">
        <is>
          <t>PV of the explicit window</t>
        </is>
      </c>
      <c r="B82" s="20">
        <f>SUM(C81:G81)</f>
        <v/>
      </c>
      <c r="C82" s="18">
        <f>C75+C68</f>
        <v/>
      </c>
      <c r="D82" s="18">
        <f>D75+D68</f>
        <v/>
      </c>
      <c r="E82" s="18">
        <f>E75+E68</f>
        <v/>
      </c>
      <c r="F82" s="18">
        <f>F75+F68</f>
        <v/>
      </c>
      <c r="G82" s="18">
        <f>G75+G68</f>
        <v/>
      </c>
    </row>
    <row r="83">
      <c r="A83" s="9" t="inlineStr">
        <is>
          <t>Terminal return on invested capital, at REPLACEMENT cost</t>
        </is>
      </c>
      <c r="B83" s="19">
        <f>G74*(1+Assumptions!$B$89)/G82</f>
        <v/>
      </c>
    </row>
    <row r="84">
      <c r="A84" s="9" t="inlineStr">
        <is>
          <t>Required reinvestment = growth / return</t>
        </is>
      </c>
      <c r="B84" s="19">
        <f>MIN(Assumptions!$B$89/B83,0.95)</f>
        <v/>
      </c>
    </row>
    <row r="85">
      <c r="A85" s="9" t="inlineStr">
        <is>
          <t>Terminal value</t>
        </is>
      </c>
      <c r="B85" s="18">
        <f>G74*(1+Assumptions!$B$89)*(1-B84)/MAX(Forecast!$B$17-Assumptions!$B$89,0.02)</f>
        <v/>
      </c>
    </row>
    <row r="86">
      <c r="A86" s="9" t="inlineStr">
        <is>
          <t>PV of the terminal block</t>
        </is>
      </c>
      <c r="B86" s="18">
        <f>B85*G80</f>
        <v/>
      </c>
    </row>
    <row r="87">
      <c r="A87" s="17" t="inlineStr">
        <is>
          <t>ENTERPRISE VALUE</t>
        </is>
      </c>
      <c r="B87" s="20">
        <f>B82+B86</f>
        <v/>
      </c>
    </row>
    <row r="88">
      <c r="A88" s="9" t="inlineStr">
        <is>
          <t>plus net cash</t>
        </is>
      </c>
      <c r="B88" s="18">
        <f>(Assumptions!$B$79-Assumptions!$B$82-Assumptions!$B$83)/10^6</f>
        <v/>
      </c>
    </row>
    <row r="89">
      <c r="A89" s="9" t="inlineStr">
        <is>
          <t>Enterprise value including cash</t>
        </is>
      </c>
      <c r="B89" s="18">
        <f>B87+B88</f>
        <v/>
      </c>
    </row>
    <row r="90">
      <c r="A90" s="9" t="inlineStr">
        <is>
          <t>less minority — on the WHOLE enterprise, cash included</t>
        </is>
      </c>
      <c r="B90" s="18">
        <f>B89*'Base Year'!$B$41</f>
        <v/>
      </c>
    </row>
    <row r="91">
      <c r="A91" s="9" t="inlineStr">
        <is>
          <t>less the tax-disputes provision</t>
        </is>
      </c>
      <c r="B91" s="18">
        <f>Assumptions!$B$78/10^6</f>
        <v/>
      </c>
    </row>
    <row r="92">
      <c r="A92" s="9" t="inlineStr">
        <is>
          <t>less dividends payable — declared, out of working capital</t>
        </is>
      </c>
      <c r="B92" s="18">
        <f>Assumptions!$B$77/10^6</f>
        <v/>
      </c>
    </row>
    <row r="93">
      <c r="A93" s="9" t="inlineStr">
        <is>
          <t>plus non-operating investments and pledged deposits</t>
        </is>
      </c>
      <c r="B93" s="18">
        <f>(Assumptions!$B$81+Assumptions!$B$80)/10^6</f>
        <v/>
      </c>
    </row>
    <row r="94">
      <c r="A94" s="17" t="inlineStr">
        <is>
          <t>EQUITY ATTRIBUTABLE</t>
        </is>
      </c>
      <c r="B94" s="20">
        <f>B89-B90-B91-B92+B93</f>
        <v/>
      </c>
    </row>
    <row r="95">
      <c r="A95" s="17" t="inlineStr">
        <is>
          <t>VALUE PER SHARE, EGP</t>
        </is>
      </c>
      <c r="B95" s="30">
        <f>B94/Assumptions!$B$8</f>
        <v/>
      </c>
    </row>
    <row r="98">
      <c r="A98" s="6" t="inlineStr">
        <is>
          <t>Gross margin, shifted on every forecast year — -0.5%</t>
        </is>
      </c>
      <c r="B98" s="6" t="inlineStr">
        <is>
          <t>2026E</t>
        </is>
      </c>
      <c r="C98" s="6" t="inlineStr">
        <is>
          <t>2027E</t>
        </is>
      </c>
      <c r="D98" s="6" t="inlineStr">
        <is>
          <t>2028E</t>
        </is>
      </c>
      <c r="E98" s="6" t="inlineStr">
        <is>
          <t>2029E</t>
        </is>
      </c>
      <c r="F98" s="6" t="inlineStr">
        <is>
          <t>2030E</t>
        </is>
      </c>
    </row>
    <row r="99">
      <c r="A99" s="9" t="inlineStr">
        <is>
          <t>Inflation index, cumulative</t>
        </is>
      </c>
      <c r="C99" s="26">
        <f>Assumptions!$B$146</f>
        <v/>
      </c>
      <c r="D99" s="26">
        <f>C99*Assumptions!$B$147</f>
        <v/>
      </c>
      <c r="E99" s="26">
        <f>D99*Assumptions!$B$148</f>
        <v/>
      </c>
      <c r="F99" s="26">
        <f>E99*Assumptions!$B$149</f>
        <v/>
      </c>
      <c r="G99" s="26">
        <f>F99*Assumptions!$B$150</f>
        <v/>
      </c>
    </row>
    <row r="100">
      <c r="A100" s="9" t="inlineStr">
        <is>
          <t>Realisation index, cumulative</t>
        </is>
      </c>
      <c r="C100" s="26">
        <f>(1+Assumptions!$B$101*Forecast!$B$8)</f>
        <v/>
      </c>
      <c r="D100" s="26">
        <f>C100*(1+Assumptions!$B$102*Forecast!$B$8)</f>
        <v/>
      </c>
      <c r="E100" s="26">
        <f>D100*(1+Assumptions!$B$103*Forecast!$B$8)</f>
        <v/>
      </c>
      <c r="F100" s="26">
        <f>E100*(1+Assumptions!$B$104*Forecast!$B$8)</f>
        <v/>
      </c>
      <c r="G100" s="26">
        <f>F100*(1+Assumptions!$B$105*Forecast!$B$8)</f>
        <v/>
      </c>
    </row>
    <row r="101">
      <c r="A101" s="9" t="inlineStr">
        <is>
          <t xml:space="preserve">  Volume — Base and special oils, mn t</t>
        </is>
      </c>
      <c r="C101" s="26">
        <f>'Product and Cost'!E6*(1+Assumptions!$B$106+Forecast!$B$6)</f>
        <v/>
      </c>
      <c r="D101" s="26">
        <f>C101*(1+Assumptions!$B$107+Forecast!$B$6)</f>
        <v/>
      </c>
      <c r="E101" s="26">
        <f>D101*(1+Assumptions!$B$108+Forecast!$B$6)</f>
        <v/>
      </c>
      <c r="F101" s="26">
        <f>E101*(1+Assumptions!$B$109+Forecast!$B$6)</f>
        <v/>
      </c>
      <c r="G101" s="26">
        <f>F101*(1+Assumptions!$B$110+Forecast!$B$6)</f>
        <v/>
      </c>
    </row>
    <row r="102">
      <c r="A102" s="9" t="inlineStr">
        <is>
          <t xml:space="preserve">  Volume — Paraffin wax, mn t</t>
        </is>
      </c>
      <c r="C102" s="26">
        <f>'Product and Cost'!E7*(1+Assumptions!$B$111+Forecast!$B$6)</f>
        <v/>
      </c>
      <c r="D102" s="26">
        <f>C102*(1+Assumptions!$B$112+Forecast!$B$6)</f>
        <v/>
      </c>
      <c r="E102" s="26">
        <f>D102*(1+Assumptions!$B$113+Forecast!$B$6)</f>
        <v/>
      </c>
      <c r="F102" s="26">
        <f>E102*(1+Assumptions!$B$114+Forecast!$B$6)</f>
        <v/>
      </c>
      <c r="G102" s="26">
        <f>F102*(1+Assumptions!$B$115+Forecast!$B$6)</f>
        <v/>
      </c>
    </row>
    <row r="103">
      <c r="A103" s="9" t="inlineStr">
        <is>
          <t xml:space="preserve">  Volume — Gas oil, mn t</t>
        </is>
      </c>
      <c r="C103" s="26">
        <f>'Product and Cost'!E8*(1+Assumptions!$B$116+Forecast!$B$6)</f>
        <v/>
      </c>
      <c r="D103" s="26">
        <f>C103*(1+Assumptions!$B$117+Forecast!$B$6)</f>
        <v/>
      </c>
      <c r="E103" s="26">
        <f>D103*(1+Assumptions!$B$118+Forecast!$B$6)</f>
        <v/>
      </c>
      <c r="F103" s="26">
        <f>E103*(1+Assumptions!$B$119+Forecast!$B$6)</f>
        <v/>
      </c>
      <c r="G103" s="26">
        <f>F103*(1+Assumptions!$B$120+Forecast!$B$6)</f>
        <v/>
      </c>
    </row>
    <row r="104">
      <c r="A104" s="9" t="inlineStr">
        <is>
          <t xml:space="preserve">  Volume — Naphtha, mn t</t>
        </is>
      </c>
      <c r="C104" s="26">
        <f>'Product and Cost'!E9*(1+Assumptions!$B$121+Forecast!$B$6)</f>
        <v/>
      </c>
      <c r="D104" s="26">
        <f>C104*(1+Assumptions!$B$122+Forecast!$B$6)</f>
        <v/>
      </c>
      <c r="E104" s="26">
        <f>D104*(1+Assumptions!$B$123+Forecast!$B$6)</f>
        <v/>
      </c>
      <c r="F104" s="26">
        <f>E104*(1+Assumptions!$B$124+Forecast!$B$6)</f>
        <v/>
      </c>
      <c r="G104" s="26">
        <f>F104*(1+Assumptions!$B$125+Forecast!$B$6)</f>
        <v/>
      </c>
    </row>
    <row r="105">
      <c r="A105" s="9" t="inlineStr">
        <is>
          <t xml:space="preserve">  Volume — Liquefied petroleum gas, mn t</t>
        </is>
      </c>
      <c r="C105" s="26">
        <f>'Product and Cost'!E10*(1+Assumptions!$B$126+Forecast!$B$6)</f>
        <v/>
      </c>
      <c r="D105" s="26">
        <f>C105*(1+Assumptions!$B$127+Forecast!$B$6)</f>
        <v/>
      </c>
      <c r="E105" s="26">
        <f>D105*(1+Assumptions!$B$128+Forecast!$B$6)</f>
        <v/>
      </c>
      <c r="F105" s="26">
        <f>E105*(1+Assumptions!$B$129+Forecast!$B$6)</f>
        <v/>
      </c>
      <c r="G105" s="26">
        <f>F105*(1+Assumptions!$B$130+Forecast!$B$6)</f>
        <v/>
      </c>
    </row>
    <row r="106">
      <c r="A106" s="9" t="inlineStr">
        <is>
          <t xml:space="preserve">  Volume — Fuel oil (mix), mn t</t>
        </is>
      </c>
      <c r="C106" s="26">
        <f>'Product and Cost'!E11*(1+Assumptions!$B$131+Forecast!$B$6)</f>
        <v/>
      </c>
      <c r="D106" s="26">
        <f>C106*(1+Assumptions!$B$132+Forecast!$B$6)</f>
        <v/>
      </c>
      <c r="E106" s="26">
        <f>D106*(1+Assumptions!$B$133+Forecast!$B$6)</f>
        <v/>
      </c>
      <c r="F106" s="26">
        <f>E106*(1+Assumptions!$B$134+Forecast!$B$6)</f>
        <v/>
      </c>
      <c r="G106" s="26">
        <f>F106*(1+Assumptions!$B$135+Forecast!$B$6)</f>
        <v/>
      </c>
    </row>
    <row r="107">
      <c r="A107" s="9" t="inlineStr">
        <is>
          <t xml:space="preserve">  Volume — Heavy fuel oil, mn t</t>
        </is>
      </c>
      <c r="C107" s="26">
        <f>'Product and Cost'!E12*(1+Assumptions!$B$136+Forecast!$B$6)</f>
        <v/>
      </c>
      <c r="D107" s="26">
        <f>C107*(1+Assumptions!$B$137+Forecast!$B$6)</f>
        <v/>
      </c>
      <c r="E107" s="26">
        <f>D107*(1+Assumptions!$B$138+Forecast!$B$6)</f>
        <v/>
      </c>
      <c r="F107" s="26">
        <f>E107*(1+Assumptions!$B$139+Forecast!$B$6)</f>
        <v/>
      </c>
      <c r="G107" s="26">
        <f>F107*(1+Assumptions!$B$140+Forecast!$B$6)</f>
        <v/>
      </c>
    </row>
    <row r="108">
      <c r="A108" s="9" t="inlineStr">
        <is>
          <t xml:space="preserve">  Volume — Waste, mn t</t>
        </is>
      </c>
      <c r="C108" s="26">
        <f>'Product and Cost'!E13*(1+Assumptions!$B$141+Forecast!$B$6)</f>
        <v/>
      </c>
      <c r="D108" s="26">
        <f>C108*(1+Assumptions!$B$142+Forecast!$B$6)</f>
        <v/>
      </c>
      <c r="E108" s="26">
        <f>D108*(1+Assumptions!$B$143+Forecast!$B$6)</f>
        <v/>
      </c>
      <c r="F108" s="26">
        <f>E108*(1+Assumptions!$B$144+Forecast!$B$6)</f>
        <v/>
      </c>
      <c r="G108" s="26">
        <f>F108*(1+Assumptions!$B$145+Forecast!$B$6)</f>
        <v/>
      </c>
    </row>
    <row r="109">
      <c r="A109" s="17" t="inlineStr">
        <is>
          <t>Total volume, mn t</t>
        </is>
      </c>
      <c r="C109" s="28">
        <f>SUM(C101:C108)</f>
        <v/>
      </c>
      <c r="D109" s="28">
        <f>SUM(D101:D108)</f>
        <v/>
      </c>
      <c r="E109" s="28">
        <f>SUM(E101:E108)</f>
        <v/>
      </c>
      <c r="F109" s="28">
        <f>SUM(F101:F108)</f>
        <v/>
      </c>
      <c r="G109" s="28">
        <f>SUM(G101:G108)</f>
        <v/>
      </c>
    </row>
    <row r="110">
      <c r="A110" s="17" t="inlineStr">
        <is>
          <t>REVENUE</t>
        </is>
      </c>
      <c r="C110" s="20">
        <f>C101*'Product and Cost'!$F$6*C100+C102*'Product and Cost'!$F$7*C100+C103*'Product and Cost'!$F$8*C100+C104*'Product and Cost'!$F$9*C100+C105*'Product and Cost'!$F$10*C100+C106*'Product and Cost'!$F$11*C100+C107*'Product and Cost'!$F$12*C100+C108*'Product and Cost'!$F$13*C100</f>
        <v/>
      </c>
      <c r="D110" s="20">
        <f>D101*'Product and Cost'!$F$6*D100+D102*'Product and Cost'!$F$7*D100+D103*'Product and Cost'!$F$8*D100+D104*'Product and Cost'!$F$9*D100+D105*'Product and Cost'!$F$10*D100+D106*'Product and Cost'!$F$11*D100+D107*'Product and Cost'!$F$12*D100+D108*'Product and Cost'!$F$13*D100</f>
        <v/>
      </c>
      <c r="E110" s="20">
        <f>E101*'Product and Cost'!$F$6*E100+E102*'Product and Cost'!$F$7*E100+E103*'Product and Cost'!$F$8*E100+E104*'Product and Cost'!$F$9*E100+E105*'Product and Cost'!$F$10*E100+E106*'Product and Cost'!$F$11*E100+E107*'Product and Cost'!$F$12*E100+E108*'Product and Cost'!$F$13*E100</f>
        <v/>
      </c>
      <c r="F110" s="20">
        <f>F101*'Product and Cost'!$F$6*F100+F102*'Product and Cost'!$F$7*F100+F103*'Product and Cost'!$F$8*F100+F104*'Product and Cost'!$F$9*F100+F105*'Product and Cost'!$F$10*F100+F106*'Product and Cost'!$F$11*F100+F107*'Product and Cost'!$F$12*F100+F108*'Product and Cost'!$F$13*F100</f>
        <v/>
      </c>
      <c r="G110" s="20">
        <f>G101*'Product and Cost'!$F$6*G100+G102*'Product and Cost'!$F$7*G100+G103*'Product and Cost'!$F$8*G100+G104*'Product and Cost'!$F$9*G100+G105*'Product and Cost'!$F$10*G100+G106*'Product and Cost'!$F$11*G100+G107*'Product and Cost'!$F$12*G100+G108*'Product and Cost'!$F$13*G100</f>
        <v/>
      </c>
    </row>
    <row r="111">
      <c r="A111" s="9" t="inlineStr">
        <is>
          <t>Cost of sales</t>
        </is>
      </c>
      <c r="C111" s="18">
        <f>C101*('Product and Cost'!$D$27*C100*Assumptions!$B$88+'Product and Cost'!$B$27*(0.4863620081*C99+0.4455809638*C99+0.0356254898*C100+0.0324315384))+C102*('Product and Cost'!$D$28*C100*Assumptions!$B$88+'Product and Cost'!$B$28*(0.4863620081*C99+0.4455809638*C99+0.0356254898*C100+0.0324315384))+C103*('Product and Cost'!$D$29*C100*Assumptions!$B$88+'Product and Cost'!$B$29*(0.4863620081*C99+0.4455809638*C99+0.0356254898*C100+0.0324315384))+C104*('Product and Cost'!$D$30*C100*Assumptions!$B$88+'Product and Cost'!$B$30*(0.4863620081*C99+0.4455809638*C99+0.0356254898*C100+0.0324315384))+C105*('Product and Cost'!$D$31*C100*Assumptions!$B$88+'Product and Cost'!$B$31*(0.4863620081*C99+0.4455809638*C99+0.0356254898*C100+0.0324315384))+C106*('Product and Cost'!$D$32*C100*Assumptions!$B$88+'Product and Cost'!$B$32*(0.4863620081*C99+0.4455809638*C99+0.0356254898*C100+0.0324315384))+C107*('Product and Cost'!$D$33*C100*Assumptions!$B$88+'Product and Cost'!$B$33*(0.4863620081*C99+0.4455809638*C99+0.0356254898*C100+0.0324315384))+C108*('Product and Cost'!$D$34*C100*Assumptions!$B$88+'Product and Cost'!$B$34*(0.4863620081*C99+0.4455809638*C99+0.0356254898*C100+0.0324315384))</f>
        <v/>
      </c>
      <c r="D111" s="18">
        <f>D101*('Product and Cost'!$D$27*D100*Assumptions!$B$88+'Product and Cost'!$B$27*(0.4863620081*D99+0.4455809638*D99+0.0356254898*D100+0.0324315384))+D102*('Product and Cost'!$D$28*D100*Assumptions!$B$88+'Product and Cost'!$B$28*(0.4863620081*D99+0.4455809638*D99+0.0356254898*D100+0.0324315384))+D103*('Product and Cost'!$D$29*D100*Assumptions!$B$88+'Product and Cost'!$B$29*(0.4863620081*D99+0.4455809638*D99+0.0356254898*D100+0.0324315384))+D104*('Product and Cost'!$D$30*D100*Assumptions!$B$88+'Product and Cost'!$B$30*(0.4863620081*D99+0.4455809638*D99+0.0356254898*D100+0.0324315384))+D105*('Product and Cost'!$D$31*D100*Assumptions!$B$88+'Product and Cost'!$B$31*(0.4863620081*D99+0.4455809638*D99+0.0356254898*D100+0.0324315384))+D106*('Product and Cost'!$D$32*D100*Assumptions!$B$88+'Product and Cost'!$B$32*(0.4863620081*D99+0.4455809638*D99+0.0356254898*D100+0.0324315384))+D107*('Product and Cost'!$D$33*D100*Assumptions!$B$88+'Product and Cost'!$B$33*(0.4863620081*D99+0.4455809638*D99+0.0356254898*D100+0.0324315384))+D108*('Product and Cost'!$D$34*D100*Assumptions!$B$88+'Product and Cost'!$B$34*(0.4863620081*D99+0.4455809638*D99+0.0356254898*D100+0.0324315384))</f>
        <v/>
      </c>
      <c r="E111" s="18">
        <f>E101*('Product and Cost'!$D$27*E100*Assumptions!$B$88+'Product and Cost'!$B$27*(0.4863620081*E99+0.4455809638*E99+0.0356254898*E100+0.0324315384))+E102*('Product and Cost'!$D$28*E100*Assumptions!$B$88+'Product and Cost'!$B$28*(0.4863620081*E99+0.4455809638*E99+0.0356254898*E100+0.0324315384))+E103*('Product and Cost'!$D$29*E100*Assumptions!$B$88+'Product and Cost'!$B$29*(0.4863620081*E99+0.4455809638*E99+0.0356254898*E100+0.0324315384))+E104*('Product and Cost'!$D$30*E100*Assumptions!$B$88+'Product and Cost'!$B$30*(0.4863620081*E99+0.4455809638*E99+0.0356254898*E100+0.0324315384))+E105*('Product and Cost'!$D$31*E100*Assumptions!$B$88+'Product and Cost'!$B$31*(0.4863620081*E99+0.4455809638*E99+0.0356254898*E100+0.0324315384))+E106*('Product and Cost'!$D$32*E100*Assumptions!$B$88+'Product and Cost'!$B$32*(0.4863620081*E99+0.4455809638*E99+0.0356254898*E100+0.0324315384))+E107*('Product and Cost'!$D$33*E100*Assumptions!$B$88+'Product and Cost'!$B$33*(0.4863620081*E99+0.4455809638*E99+0.0356254898*E100+0.0324315384))+E108*('Product and Cost'!$D$34*E100*Assumptions!$B$88+'Product and Cost'!$B$34*(0.4863620081*E99+0.4455809638*E99+0.0356254898*E100+0.0324315384))</f>
        <v/>
      </c>
      <c r="F111" s="18">
        <f>F101*('Product and Cost'!$D$27*F100*Assumptions!$B$88+'Product and Cost'!$B$27*(0.4863620081*F99+0.4455809638*F99+0.0356254898*F100+0.0324315384))+F102*('Product and Cost'!$D$28*F100*Assumptions!$B$88+'Product and Cost'!$B$28*(0.4863620081*F99+0.4455809638*F99+0.0356254898*F100+0.0324315384))+F103*('Product and Cost'!$D$29*F100*Assumptions!$B$88+'Product and Cost'!$B$29*(0.4863620081*F99+0.4455809638*F99+0.0356254898*F100+0.0324315384))+F104*('Product and Cost'!$D$30*F100*Assumptions!$B$88+'Product and Cost'!$B$30*(0.4863620081*F99+0.4455809638*F99+0.0356254898*F100+0.0324315384))+F105*('Product and Cost'!$D$31*F100*Assumptions!$B$88+'Product and Cost'!$B$31*(0.4863620081*F99+0.4455809638*F99+0.0356254898*F100+0.0324315384))+F106*('Product and Cost'!$D$32*F100*Assumptions!$B$88+'Product and Cost'!$B$32*(0.4863620081*F99+0.4455809638*F99+0.0356254898*F100+0.0324315384))+F107*('Product and Cost'!$D$33*F100*Assumptions!$B$88+'Product and Cost'!$B$33*(0.4863620081*F99+0.4455809638*F99+0.0356254898*F100+0.0324315384))+F108*('Product and Cost'!$D$34*F100*Assumptions!$B$88+'Product and Cost'!$B$34*(0.4863620081*F99+0.4455809638*F99+0.0356254898*F100+0.0324315384))</f>
        <v/>
      </c>
      <c r="G111" s="18">
        <f>G101*('Product and Cost'!$D$27*G100*Assumptions!$B$88+'Product and Cost'!$B$27*(0.4863620081*G99+0.4455809638*G99+0.0356254898*G100+0.0324315384))+G102*('Product and Cost'!$D$28*G100*Assumptions!$B$88+'Product and Cost'!$B$28*(0.4863620081*G99+0.4455809638*G99+0.0356254898*G100+0.0324315384))+G103*('Product and Cost'!$D$29*G100*Assumptions!$B$88+'Product and Cost'!$B$29*(0.4863620081*G99+0.4455809638*G99+0.0356254898*G100+0.0324315384))+G104*('Product and Cost'!$D$30*G100*Assumptions!$B$88+'Product and Cost'!$B$30*(0.4863620081*G99+0.4455809638*G99+0.0356254898*G100+0.0324315384))+G105*('Product and Cost'!$D$31*G100*Assumptions!$B$88+'Product and Cost'!$B$31*(0.4863620081*G99+0.4455809638*G99+0.0356254898*G100+0.0324315384))+G106*('Product and Cost'!$D$32*G100*Assumptions!$B$88+'Product and Cost'!$B$32*(0.4863620081*G99+0.4455809638*G99+0.0356254898*G100+0.0324315384))+G107*('Product and Cost'!$D$33*G100*Assumptions!$B$88+'Product and Cost'!$B$33*(0.4863620081*G99+0.4455809638*G99+0.0356254898*G100+0.0324315384))+G108*('Product and Cost'!$D$34*G100*Assumptions!$B$88+'Product and Cost'!$B$34*(0.4863620081*G99+0.4455809638*G99+0.0356254898*G100+0.0324315384))</f>
        <v/>
      </c>
    </row>
    <row r="112">
      <c r="A112" s="17" t="inlineStr">
        <is>
          <t>GROSS PROFIT</t>
        </is>
      </c>
      <c r="C112" s="20">
        <f>C110-C111+$C$7*C110</f>
        <v/>
      </c>
      <c r="D112" s="20">
        <f>D110-D111+$C$7*D110</f>
        <v/>
      </c>
      <c r="E112" s="20">
        <f>E110-E111+$C$7*E110</f>
        <v/>
      </c>
      <c r="F112" s="20">
        <f>F110-F111+$C$7*F110</f>
        <v/>
      </c>
      <c r="G112" s="20">
        <f>G110-G111+$C$7*G110</f>
        <v/>
      </c>
    </row>
    <row r="113">
      <c r="A113" s="9" t="inlineStr">
        <is>
          <t>Gross margin</t>
        </is>
      </c>
      <c r="C113" s="19">
        <f>C112/C110</f>
        <v/>
      </c>
      <c r="D113" s="19">
        <f>D112/D110</f>
        <v/>
      </c>
      <c r="E113" s="19">
        <f>E112/E110</f>
        <v/>
      </c>
      <c r="F113" s="19">
        <f>F112/F110</f>
        <v/>
      </c>
      <c r="G113" s="19">
        <f>G112/G110</f>
        <v/>
      </c>
    </row>
    <row r="114">
      <c r="A114" s="9" t="inlineStr">
        <is>
          <t>Operating expense</t>
        </is>
      </c>
      <c r="C114" s="18">
        <f>('Base Year'!$B$28*C99)+('Base Year'!$B$29*C99*C109/'Product and Cost'!$E$14)+('Base Year'!$B$30*C99)+('Base Year'!$B$31*C99)</f>
        <v/>
      </c>
      <c r="D114" s="18">
        <f>('Base Year'!$B$28*D99)+('Base Year'!$B$29*D99*D109/'Product and Cost'!$E$14)+('Base Year'!$B$30*D99)+('Base Year'!$B$31*D99)</f>
        <v/>
      </c>
      <c r="E114" s="18">
        <f>('Base Year'!$B$28*E99)+('Base Year'!$B$29*E99*E109/'Product and Cost'!$E$14)+('Base Year'!$B$30*E99)+('Base Year'!$B$31*E99)</f>
        <v/>
      </c>
      <c r="F114" s="18">
        <f>('Base Year'!$B$28*F99)+('Base Year'!$B$29*F99*F109/'Product and Cost'!$E$14)+('Base Year'!$B$30*F99)+('Base Year'!$B$31*F99)</f>
        <v/>
      </c>
      <c r="G114" s="18">
        <f>('Base Year'!$B$28*G99)+('Base Year'!$B$29*G99*G109/'Product and Cost'!$E$14)+('Base Year'!$B$30*G99)+('Base Year'!$B$31*G99)</f>
        <v/>
      </c>
    </row>
    <row r="115">
      <c r="A115" s="17" t="inlineStr">
        <is>
          <t>EBITDA</t>
        </is>
      </c>
      <c r="C115" s="20">
        <f>C112-C114</f>
        <v/>
      </c>
      <c r="D115" s="20">
        <f>D112-D114</f>
        <v/>
      </c>
      <c r="E115" s="20">
        <f>E112-E114</f>
        <v/>
      </c>
      <c r="F115" s="20">
        <f>F112-F114</f>
        <v/>
      </c>
      <c r="G115" s="20">
        <f>G112-G114</f>
        <v/>
      </c>
    </row>
    <row r="116">
      <c r="A116" s="9" t="inlineStr">
        <is>
          <t>Capital expenditure — maintenance + growth</t>
        </is>
      </c>
      <c r="C116" s="18">
        <f>'Base Year'!$B$43*C99+MAX(C109-'Product and Cost'!$E$14,0)*1947.901031*C99</f>
        <v/>
      </c>
      <c r="D116" s="18">
        <f>'Base Year'!$B$43*D99+MAX(D109-C109,0)*1947.901031*D99</f>
        <v/>
      </c>
      <c r="E116" s="18">
        <f>'Base Year'!$B$43*E99+MAX(E109-D109,0)*1947.901031*E99</f>
        <v/>
      </c>
      <c r="F116" s="18">
        <f>'Base Year'!$B$43*F99+MAX(F109-E109,0)*1947.901031*F99</f>
        <v/>
      </c>
      <c r="G116" s="18">
        <f>'Base Year'!$B$43*G99+MAX(G109-F109,0)*1947.901031*G99</f>
        <v/>
      </c>
    </row>
    <row r="117">
      <c r="A117" s="9" t="inlineStr">
        <is>
          <t>Fixed assets at cost, closing</t>
        </is>
      </c>
      <c r="C117" s="18">
        <f>(Assumptions!$B$70+Assumptions!$B$71)/10^6+C116</f>
        <v/>
      </c>
      <c r="D117" s="18">
        <f>C117+D116</f>
        <v/>
      </c>
      <c r="E117" s="18">
        <f>D117+E116</f>
        <v/>
      </c>
      <c r="F117" s="18">
        <f>E117+F116</f>
        <v/>
      </c>
      <c r="G117" s="18">
        <f>F117+G116</f>
        <v/>
      </c>
    </row>
    <row r="118">
      <c r="A118" s="9" t="inlineStr">
        <is>
          <t>Depreciation — rolls off the asset register</t>
        </is>
      </c>
      <c r="C118" s="18">
        <f>(Assumptions!$B$70+Assumptions!$B$71)/10^6/'Base Year'!$B$42</f>
        <v/>
      </c>
      <c r="D118" s="18">
        <f>C117/'Base Year'!$B$42</f>
        <v/>
      </c>
      <c r="E118" s="18">
        <f>D117/'Base Year'!$B$42</f>
        <v/>
      </c>
      <c r="F118" s="18">
        <f>E117/'Base Year'!$B$42</f>
        <v/>
      </c>
      <c r="G118" s="18">
        <f>F117/'Base Year'!$B$42</f>
        <v/>
      </c>
    </row>
    <row r="119">
      <c r="A119" s="9" t="inlineStr">
        <is>
          <t>Fixed assets, net book, closing</t>
        </is>
      </c>
      <c r="C119" s="18">
        <f>(Assumptions!$B$69+Assumptions!$B$71)/10^6+C116-C118</f>
        <v/>
      </c>
      <c r="D119" s="18">
        <f>C119+D116-D118</f>
        <v/>
      </c>
      <c r="E119" s="18">
        <f>D119+E116-E118</f>
        <v/>
      </c>
      <c r="F119" s="18">
        <f>E119+F116-F118</f>
        <v/>
      </c>
      <c r="G119" s="18">
        <f>F119+G116-G118</f>
        <v/>
      </c>
    </row>
    <row r="120">
      <c r="A120" s="17" t="inlineStr">
        <is>
          <t>EBIT</t>
        </is>
      </c>
      <c r="C120" s="20">
        <f>C115-C118</f>
        <v/>
      </c>
      <c r="D120" s="20">
        <f>D115-D118</f>
        <v/>
      </c>
      <c r="E120" s="20">
        <f>E115-E118</f>
        <v/>
      </c>
      <c r="F120" s="20">
        <f>F115-F118</f>
        <v/>
      </c>
      <c r="G120" s="20">
        <f>G115-G118</f>
        <v/>
      </c>
    </row>
    <row r="121">
      <c r="A121" s="9" t="inlineStr">
        <is>
          <t>NOPAT before the profit share</t>
        </is>
      </c>
      <c r="C121" s="18">
        <f>C120*(1-Assumptions!$B$87)</f>
        <v/>
      </c>
      <c r="D121" s="18">
        <f>D120*(1-Assumptions!$B$87)</f>
        <v/>
      </c>
      <c r="E121" s="18">
        <f>E120*(1-Assumptions!$B$87)</f>
        <v/>
      </c>
      <c r="F121" s="18">
        <f>F120*(1-Assumptions!$B$87)</f>
        <v/>
      </c>
      <c r="G121" s="18">
        <f>G120*(1-Assumptions!$B$87)</f>
        <v/>
      </c>
    </row>
    <row r="122">
      <c r="A122" s="9" t="inlineStr">
        <is>
          <t xml:space="preserve">  less employees' profit share and board bonuses</t>
        </is>
      </c>
      <c r="C122" s="18">
        <f>MAX(C121,0)*'Base Year'!$B$40</f>
        <v/>
      </c>
      <c r="D122" s="18">
        <f>MAX(D121,0)*'Base Year'!$B$40</f>
        <v/>
      </c>
      <c r="E122" s="18">
        <f>MAX(E121,0)*'Base Year'!$B$40</f>
        <v/>
      </c>
      <c r="F122" s="18">
        <f>MAX(F121,0)*'Base Year'!$B$40</f>
        <v/>
      </c>
      <c r="G122" s="18">
        <f>MAX(G121,0)*'Base Year'!$B$40</f>
        <v/>
      </c>
    </row>
    <row r="123">
      <c r="A123" s="17" t="inlineStr">
        <is>
          <t>NOPAT</t>
        </is>
      </c>
      <c r="C123" s="20">
        <f>C121-C122</f>
        <v/>
      </c>
      <c r="D123" s="20">
        <f>D121-D122</f>
        <v/>
      </c>
      <c r="E123" s="20">
        <f>E121-E122</f>
        <v/>
      </c>
      <c r="F123" s="20">
        <f>F121-F122</f>
        <v/>
      </c>
      <c r="G123" s="20">
        <f>G121-G122</f>
        <v/>
      </c>
    </row>
    <row r="124">
      <c r="A124" s="9" t="inlineStr">
        <is>
          <t>Net working capital — on days</t>
        </is>
      </c>
      <c r="C124" s="18">
        <f>'Base Year'!$B$44*Forecast!$B$9/365*C111+'Base Year'!$B$45*Forecast!$B$9/365*C110-'Base Year'!$B$46*Forecast!$B$9/365*C111</f>
        <v/>
      </c>
      <c r="D124" s="18">
        <f>'Base Year'!$B$44*Forecast!$B$9/365*D111+'Base Year'!$B$45*Forecast!$B$9/365*D110-'Base Year'!$B$46*Forecast!$B$9/365*D111</f>
        <v/>
      </c>
      <c r="E124" s="18">
        <f>'Base Year'!$B$44*Forecast!$B$9/365*E111+'Base Year'!$B$45*Forecast!$B$9/365*E110-'Base Year'!$B$46*Forecast!$B$9/365*E111</f>
        <v/>
      </c>
      <c r="F124" s="18">
        <f>'Base Year'!$B$44*Forecast!$B$9/365*F111+'Base Year'!$B$45*Forecast!$B$9/365*F110-'Base Year'!$B$46*Forecast!$B$9/365*F111</f>
        <v/>
      </c>
      <c r="G124" s="18">
        <f>'Base Year'!$B$44*Forecast!$B$9/365*G111+'Base Year'!$B$45*Forecast!$B$9/365*G110-'Base Year'!$B$46*Forecast!$B$9/365*G111</f>
        <v/>
      </c>
    </row>
    <row r="125">
      <c r="A125" s="9" t="inlineStr">
        <is>
          <t xml:space="preserve">  change in working capital</t>
        </is>
      </c>
      <c r="C125" s="18">
        <f>C124-('Base Year'!$B$44/365*'Base Year'!$B$21+'Base Year'!$B$45/365*'Base Year'!$B$19-'Base Year'!$B$46/365*'Base Year'!$B$21)</f>
        <v/>
      </c>
      <c r="D125" s="18">
        <f>D124-C124</f>
        <v/>
      </c>
      <c r="E125" s="18">
        <f>E124-D124</f>
        <v/>
      </c>
      <c r="F125" s="18">
        <f>F124-E124</f>
        <v/>
      </c>
      <c r="G125" s="18">
        <f>G124-F124</f>
        <v/>
      </c>
    </row>
    <row r="126">
      <c r="A126" s="17" t="inlineStr">
        <is>
          <t>FREE CASH FLOW TO THE FIRM</t>
        </is>
      </c>
      <c r="C126" s="20">
        <f>C123+C118-C116-C125</f>
        <v/>
      </c>
      <c r="D126" s="20">
        <f>D123+D118-D116-D125</f>
        <v/>
      </c>
      <c r="E126" s="20">
        <f>E123+E118-E116-E125</f>
        <v/>
      </c>
      <c r="F126" s="20">
        <f>F123+F118-F116-F125</f>
        <v/>
      </c>
      <c r="G126" s="20">
        <f>G123+G118-G116-G125</f>
        <v/>
      </c>
    </row>
    <row r="127">
      <c r="A127" s="9" t="inlineStr">
        <is>
          <t>Glide fraction</t>
        </is>
      </c>
      <c r="C127" s="26">
        <f>0.0000000000</f>
        <v/>
      </c>
      <c r="D127" s="26">
        <f>0.3571428571</f>
        <v/>
      </c>
      <c r="E127" s="26">
        <f>0.6428571429</f>
        <v/>
      </c>
      <c r="F127" s="26">
        <f>0.8571428571</f>
        <v/>
      </c>
      <c r="G127" s="26">
        <f>1.0000000000</f>
        <v/>
      </c>
    </row>
    <row r="128">
      <c r="A128" s="9" t="inlineStr">
        <is>
          <t>Forward cost of capital</t>
        </is>
      </c>
      <c r="C128" s="19">
        <f>Forecast!$B$14-(Forecast!$B$14-Forecast!$B$17)*C127</f>
        <v/>
      </c>
      <c r="D128" s="19">
        <f>Forecast!$B$14-(Forecast!$B$14-Forecast!$B$17)*D127</f>
        <v/>
      </c>
      <c r="E128" s="19">
        <f>Forecast!$B$14-(Forecast!$B$14-Forecast!$B$17)*E127</f>
        <v/>
      </c>
      <c r="F128" s="19">
        <f>Forecast!$B$14-(Forecast!$B$14-Forecast!$B$17)*F127</f>
        <v/>
      </c>
      <c r="G128" s="19">
        <f>Forecast!$B$14-(Forecast!$B$14-Forecast!$B$17)*G127</f>
        <v/>
      </c>
    </row>
    <row r="129">
      <c r="A129" s="9" t="inlineStr">
        <is>
          <t>Cumulative discount factor</t>
        </is>
      </c>
      <c r="C129" s="29">
        <f>1/(1+C128)</f>
        <v/>
      </c>
      <c r="D129" s="29">
        <f>C129/(1+D128)</f>
        <v/>
      </c>
      <c r="E129" s="29">
        <f>D129/(1+E128)</f>
        <v/>
      </c>
      <c r="F129" s="29">
        <f>E129/(1+F128)</f>
        <v/>
      </c>
      <c r="G129" s="29">
        <f>F129/(1+G128)</f>
        <v/>
      </c>
    </row>
    <row r="130">
      <c r="A130" s="9" t="inlineStr">
        <is>
          <t>Present value</t>
        </is>
      </c>
      <c r="C130" s="18">
        <f>C126*C129</f>
        <v/>
      </c>
      <c r="D130" s="18">
        <f>D126*D129</f>
        <v/>
      </c>
      <c r="E130" s="18">
        <f>E126*E129</f>
        <v/>
      </c>
      <c r="F130" s="18">
        <f>F126*F129</f>
        <v/>
      </c>
      <c r="G130" s="18">
        <f>G126*G129</f>
        <v/>
      </c>
    </row>
    <row r="131">
      <c r="A131" s="17" t="inlineStr">
        <is>
          <t>PV of the explicit window</t>
        </is>
      </c>
      <c r="B131" s="20">
        <f>SUM(C130:G130)</f>
        <v/>
      </c>
      <c r="C131" s="18">
        <f>C124+C117</f>
        <v/>
      </c>
      <c r="D131" s="18">
        <f>D124+D117</f>
        <v/>
      </c>
      <c r="E131" s="18">
        <f>E124+E117</f>
        <v/>
      </c>
      <c r="F131" s="18">
        <f>F124+F117</f>
        <v/>
      </c>
      <c r="G131" s="18">
        <f>G124+G117</f>
        <v/>
      </c>
    </row>
    <row r="132">
      <c r="A132" s="9" t="inlineStr">
        <is>
          <t>Terminal return on invested capital, at REPLACEMENT cost</t>
        </is>
      </c>
      <c r="B132" s="19">
        <f>G123*(1+Assumptions!$B$89)/G131</f>
        <v/>
      </c>
    </row>
    <row r="133">
      <c r="A133" s="9" t="inlineStr">
        <is>
          <t>Required reinvestment = growth / return</t>
        </is>
      </c>
      <c r="B133" s="19">
        <f>MIN(Assumptions!$B$89/B132,0.95)</f>
        <v/>
      </c>
    </row>
    <row r="134">
      <c r="A134" s="9" t="inlineStr">
        <is>
          <t>Terminal value</t>
        </is>
      </c>
      <c r="B134" s="18">
        <f>G123*(1+Assumptions!$B$89)*(1-B133)/MAX(Forecast!$B$17-Assumptions!$B$89,0.02)</f>
        <v/>
      </c>
    </row>
    <row r="135">
      <c r="A135" s="9" t="inlineStr">
        <is>
          <t>PV of the terminal block</t>
        </is>
      </c>
      <c r="B135" s="18">
        <f>B134*G129</f>
        <v/>
      </c>
    </row>
    <row r="136">
      <c r="A136" s="17" t="inlineStr">
        <is>
          <t>ENTERPRISE VALUE</t>
        </is>
      </c>
      <c r="B136" s="20">
        <f>B131+B135</f>
        <v/>
      </c>
    </row>
    <row r="137">
      <c r="A137" s="9" t="inlineStr">
        <is>
          <t>plus net cash</t>
        </is>
      </c>
      <c r="B137" s="18">
        <f>(Assumptions!$B$79-Assumptions!$B$82-Assumptions!$B$83)/10^6</f>
        <v/>
      </c>
    </row>
    <row r="138">
      <c r="A138" s="9" t="inlineStr">
        <is>
          <t>Enterprise value including cash</t>
        </is>
      </c>
      <c r="B138" s="18">
        <f>B136+B137</f>
        <v/>
      </c>
    </row>
    <row r="139">
      <c r="A139" s="9" t="inlineStr">
        <is>
          <t>less minority — on the WHOLE enterprise, cash included</t>
        </is>
      </c>
      <c r="B139" s="18">
        <f>B138*'Base Year'!$B$41</f>
        <v/>
      </c>
    </row>
    <row r="140">
      <c r="A140" s="9" t="inlineStr">
        <is>
          <t>less the tax-disputes provision</t>
        </is>
      </c>
      <c r="B140" s="18">
        <f>Assumptions!$B$78/10^6</f>
        <v/>
      </c>
    </row>
    <row r="141">
      <c r="A141" s="9" t="inlineStr">
        <is>
          <t>less dividends payable — declared, out of working capital</t>
        </is>
      </c>
      <c r="B141" s="18">
        <f>Assumptions!$B$77/10^6</f>
        <v/>
      </c>
    </row>
    <row r="142">
      <c r="A142" s="9" t="inlineStr">
        <is>
          <t>plus non-operating investments and pledged deposits</t>
        </is>
      </c>
      <c r="B142" s="18">
        <f>(Assumptions!$B$81+Assumptions!$B$80)/10^6</f>
        <v/>
      </c>
    </row>
    <row r="143">
      <c r="A143" s="17" t="inlineStr">
        <is>
          <t>EQUITY ATTRIBUTABLE</t>
        </is>
      </c>
      <c r="B143" s="20">
        <f>B138-B139-B140-B141+B142</f>
        <v/>
      </c>
    </row>
    <row r="144">
      <c r="A144" s="17" t="inlineStr">
        <is>
          <t>VALUE PER SHARE, EGP</t>
        </is>
      </c>
      <c r="B144" s="30">
        <f>B143/Assumptions!$B$8</f>
        <v/>
      </c>
    </row>
    <row r="147">
      <c r="A147" s="6" t="inlineStr">
        <is>
          <t>Gross margin, shifted on every forecast year — +0.0%</t>
        </is>
      </c>
      <c r="B147" s="6" t="inlineStr">
        <is>
          <t>2026E</t>
        </is>
      </c>
      <c r="C147" s="6" t="inlineStr">
        <is>
          <t>2027E</t>
        </is>
      </c>
      <c r="D147" s="6" t="inlineStr">
        <is>
          <t>2028E</t>
        </is>
      </c>
      <c r="E147" s="6" t="inlineStr">
        <is>
          <t>2029E</t>
        </is>
      </c>
      <c r="F147" s="6" t="inlineStr">
        <is>
          <t>2030E</t>
        </is>
      </c>
    </row>
    <row r="148">
      <c r="A148" s="9" t="inlineStr">
        <is>
          <t>Inflation index, cumulative</t>
        </is>
      </c>
      <c r="C148" s="26">
        <f>Assumptions!$B$146</f>
        <v/>
      </c>
      <c r="D148" s="26">
        <f>C148*Assumptions!$B$147</f>
        <v/>
      </c>
      <c r="E148" s="26">
        <f>D148*Assumptions!$B$148</f>
        <v/>
      </c>
      <c r="F148" s="26">
        <f>E148*Assumptions!$B$149</f>
        <v/>
      </c>
      <c r="G148" s="26">
        <f>F148*Assumptions!$B$150</f>
        <v/>
      </c>
    </row>
    <row r="149">
      <c r="A149" s="9" t="inlineStr">
        <is>
          <t>Realisation index, cumulative</t>
        </is>
      </c>
      <c r="C149" s="26">
        <f>(1+Assumptions!$B$101*Forecast!$B$8)</f>
        <v/>
      </c>
      <c r="D149" s="26">
        <f>C149*(1+Assumptions!$B$102*Forecast!$B$8)</f>
        <v/>
      </c>
      <c r="E149" s="26">
        <f>D149*(1+Assumptions!$B$103*Forecast!$B$8)</f>
        <v/>
      </c>
      <c r="F149" s="26">
        <f>E149*(1+Assumptions!$B$104*Forecast!$B$8)</f>
        <v/>
      </c>
      <c r="G149" s="26">
        <f>F149*(1+Assumptions!$B$105*Forecast!$B$8)</f>
        <v/>
      </c>
    </row>
    <row r="150">
      <c r="A150" s="9" t="inlineStr">
        <is>
          <t xml:space="preserve">  Volume — Base and special oils, mn t</t>
        </is>
      </c>
      <c r="C150" s="26">
        <f>'Product and Cost'!E6*(1+Assumptions!$B$106+Forecast!$B$6)</f>
        <v/>
      </c>
      <c r="D150" s="26">
        <f>C150*(1+Assumptions!$B$107+Forecast!$B$6)</f>
        <v/>
      </c>
      <c r="E150" s="26">
        <f>D150*(1+Assumptions!$B$108+Forecast!$B$6)</f>
        <v/>
      </c>
      <c r="F150" s="26">
        <f>E150*(1+Assumptions!$B$109+Forecast!$B$6)</f>
        <v/>
      </c>
      <c r="G150" s="26">
        <f>F150*(1+Assumptions!$B$110+Forecast!$B$6)</f>
        <v/>
      </c>
    </row>
    <row r="151">
      <c r="A151" s="9" t="inlineStr">
        <is>
          <t xml:space="preserve">  Volume — Paraffin wax, mn t</t>
        </is>
      </c>
      <c r="C151" s="26">
        <f>'Product and Cost'!E7*(1+Assumptions!$B$111+Forecast!$B$6)</f>
        <v/>
      </c>
      <c r="D151" s="26">
        <f>C151*(1+Assumptions!$B$112+Forecast!$B$6)</f>
        <v/>
      </c>
      <c r="E151" s="26">
        <f>D151*(1+Assumptions!$B$113+Forecast!$B$6)</f>
        <v/>
      </c>
      <c r="F151" s="26">
        <f>E151*(1+Assumptions!$B$114+Forecast!$B$6)</f>
        <v/>
      </c>
      <c r="G151" s="26">
        <f>F151*(1+Assumptions!$B$115+Forecast!$B$6)</f>
        <v/>
      </c>
    </row>
    <row r="152">
      <c r="A152" s="9" t="inlineStr">
        <is>
          <t xml:space="preserve">  Volume — Gas oil, mn t</t>
        </is>
      </c>
      <c r="C152" s="26">
        <f>'Product and Cost'!E8*(1+Assumptions!$B$116+Forecast!$B$6)</f>
        <v/>
      </c>
      <c r="D152" s="26">
        <f>C152*(1+Assumptions!$B$117+Forecast!$B$6)</f>
        <v/>
      </c>
      <c r="E152" s="26">
        <f>D152*(1+Assumptions!$B$118+Forecast!$B$6)</f>
        <v/>
      </c>
      <c r="F152" s="26">
        <f>E152*(1+Assumptions!$B$119+Forecast!$B$6)</f>
        <v/>
      </c>
      <c r="G152" s="26">
        <f>F152*(1+Assumptions!$B$120+Forecast!$B$6)</f>
        <v/>
      </c>
    </row>
    <row r="153">
      <c r="A153" s="9" t="inlineStr">
        <is>
          <t xml:space="preserve">  Volume — Naphtha, mn t</t>
        </is>
      </c>
      <c r="C153" s="26">
        <f>'Product and Cost'!E9*(1+Assumptions!$B$121+Forecast!$B$6)</f>
        <v/>
      </c>
      <c r="D153" s="26">
        <f>C153*(1+Assumptions!$B$122+Forecast!$B$6)</f>
        <v/>
      </c>
      <c r="E153" s="26">
        <f>D153*(1+Assumptions!$B$123+Forecast!$B$6)</f>
        <v/>
      </c>
      <c r="F153" s="26">
        <f>E153*(1+Assumptions!$B$124+Forecast!$B$6)</f>
        <v/>
      </c>
      <c r="G153" s="26">
        <f>F153*(1+Assumptions!$B$125+Forecast!$B$6)</f>
        <v/>
      </c>
    </row>
    <row r="154">
      <c r="A154" s="9" t="inlineStr">
        <is>
          <t xml:space="preserve">  Volume — Liquefied petroleum gas, mn t</t>
        </is>
      </c>
      <c r="C154" s="26">
        <f>'Product and Cost'!E10*(1+Assumptions!$B$126+Forecast!$B$6)</f>
        <v/>
      </c>
      <c r="D154" s="26">
        <f>C154*(1+Assumptions!$B$127+Forecast!$B$6)</f>
        <v/>
      </c>
      <c r="E154" s="26">
        <f>D154*(1+Assumptions!$B$128+Forecast!$B$6)</f>
        <v/>
      </c>
      <c r="F154" s="26">
        <f>E154*(1+Assumptions!$B$129+Forecast!$B$6)</f>
        <v/>
      </c>
      <c r="G154" s="26">
        <f>F154*(1+Assumptions!$B$130+Forecast!$B$6)</f>
        <v/>
      </c>
    </row>
    <row r="155">
      <c r="A155" s="9" t="inlineStr">
        <is>
          <t xml:space="preserve">  Volume — Fuel oil (mix), mn t</t>
        </is>
      </c>
      <c r="C155" s="26">
        <f>'Product and Cost'!E11*(1+Assumptions!$B$131+Forecast!$B$6)</f>
        <v/>
      </c>
      <c r="D155" s="26">
        <f>C155*(1+Assumptions!$B$132+Forecast!$B$6)</f>
        <v/>
      </c>
      <c r="E155" s="26">
        <f>D155*(1+Assumptions!$B$133+Forecast!$B$6)</f>
        <v/>
      </c>
      <c r="F155" s="26">
        <f>E155*(1+Assumptions!$B$134+Forecast!$B$6)</f>
        <v/>
      </c>
      <c r="G155" s="26">
        <f>F155*(1+Assumptions!$B$135+Forecast!$B$6)</f>
        <v/>
      </c>
    </row>
    <row r="156">
      <c r="A156" s="9" t="inlineStr">
        <is>
          <t xml:space="preserve">  Volume — Heavy fuel oil, mn t</t>
        </is>
      </c>
      <c r="C156" s="26">
        <f>'Product and Cost'!E12*(1+Assumptions!$B$136+Forecast!$B$6)</f>
        <v/>
      </c>
      <c r="D156" s="26">
        <f>C156*(1+Assumptions!$B$137+Forecast!$B$6)</f>
        <v/>
      </c>
      <c r="E156" s="26">
        <f>D156*(1+Assumptions!$B$138+Forecast!$B$6)</f>
        <v/>
      </c>
      <c r="F156" s="26">
        <f>E156*(1+Assumptions!$B$139+Forecast!$B$6)</f>
        <v/>
      </c>
      <c r="G156" s="26">
        <f>F156*(1+Assumptions!$B$140+Forecast!$B$6)</f>
        <v/>
      </c>
    </row>
    <row r="157">
      <c r="A157" s="9" t="inlineStr">
        <is>
          <t xml:space="preserve">  Volume — Waste, mn t</t>
        </is>
      </c>
      <c r="C157" s="26">
        <f>'Product and Cost'!E13*(1+Assumptions!$B$141+Forecast!$B$6)</f>
        <v/>
      </c>
      <c r="D157" s="26">
        <f>C157*(1+Assumptions!$B$142+Forecast!$B$6)</f>
        <v/>
      </c>
      <c r="E157" s="26">
        <f>D157*(1+Assumptions!$B$143+Forecast!$B$6)</f>
        <v/>
      </c>
      <c r="F157" s="26">
        <f>E157*(1+Assumptions!$B$144+Forecast!$B$6)</f>
        <v/>
      </c>
      <c r="G157" s="26">
        <f>F157*(1+Assumptions!$B$145+Forecast!$B$6)</f>
        <v/>
      </c>
    </row>
    <row r="158">
      <c r="A158" s="17" t="inlineStr">
        <is>
          <t>Total volume, mn t</t>
        </is>
      </c>
      <c r="C158" s="28">
        <f>SUM(C150:C157)</f>
        <v/>
      </c>
      <c r="D158" s="28">
        <f>SUM(D150:D157)</f>
        <v/>
      </c>
      <c r="E158" s="28">
        <f>SUM(E150:E157)</f>
        <v/>
      </c>
      <c r="F158" s="28">
        <f>SUM(F150:F157)</f>
        <v/>
      </c>
      <c r="G158" s="28">
        <f>SUM(G150:G157)</f>
        <v/>
      </c>
    </row>
    <row r="159">
      <c r="A159" s="17" t="inlineStr">
        <is>
          <t>REVENUE</t>
        </is>
      </c>
      <c r="C159" s="20">
        <f>C150*'Product and Cost'!$F$6*C149+C151*'Product and Cost'!$F$7*C149+C152*'Product and Cost'!$F$8*C149+C153*'Product and Cost'!$F$9*C149+C154*'Product and Cost'!$F$10*C149+C155*'Product and Cost'!$F$11*C149+C156*'Product and Cost'!$F$12*C149+C157*'Product and Cost'!$F$13*C149</f>
        <v/>
      </c>
      <c r="D159" s="20">
        <f>D150*'Product and Cost'!$F$6*D149+D151*'Product and Cost'!$F$7*D149+D152*'Product and Cost'!$F$8*D149+D153*'Product and Cost'!$F$9*D149+D154*'Product and Cost'!$F$10*D149+D155*'Product and Cost'!$F$11*D149+D156*'Product and Cost'!$F$12*D149+D157*'Product and Cost'!$F$13*D149</f>
        <v/>
      </c>
      <c r="E159" s="20">
        <f>E150*'Product and Cost'!$F$6*E149+E151*'Product and Cost'!$F$7*E149+E152*'Product and Cost'!$F$8*E149+E153*'Product and Cost'!$F$9*E149+E154*'Product and Cost'!$F$10*E149+E155*'Product and Cost'!$F$11*E149+E156*'Product and Cost'!$F$12*E149+E157*'Product and Cost'!$F$13*E149</f>
        <v/>
      </c>
      <c r="F159" s="20">
        <f>F150*'Product and Cost'!$F$6*F149+F151*'Product and Cost'!$F$7*F149+F152*'Product and Cost'!$F$8*F149+F153*'Product and Cost'!$F$9*F149+F154*'Product and Cost'!$F$10*F149+F155*'Product and Cost'!$F$11*F149+F156*'Product and Cost'!$F$12*F149+F157*'Product and Cost'!$F$13*F149</f>
        <v/>
      </c>
      <c r="G159" s="20">
        <f>G150*'Product and Cost'!$F$6*G149+G151*'Product and Cost'!$F$7*G149+G152*'Product and Cost'!$F$8*G149+G153*'Product and Cost'!$F$9*G149+G154*'Product and Cost'!$F$10*G149+G155*'Product and Cost'!$F$11*G149+G156*'Product and Cost'!$F$12*G149+G157*'Product and Cost'!$F$13*G149</f>
        <v/>
      </c>
    </row>
    <row r="160">
      <c r="A160" s="9" t="inlineStr">
        <is>
          <t>Cost of sales</t>
        </is>
      </c>
      <c r="C160" s="18">
        <f>C150*('Product and Cost'!$D$27*C149*Assumptions!$B$88+'Product and Cost'!$B$27*(0.4863620081*C148+0.4455809638*C148+0.0356254898*C149+0.0324315384))+C151*('Product and Cost'!$D$28*C149*Assumptions!$B$88+'Product and Cost'!$B$28*(0.4863620081*C148+0.4455809638*C148+0.0356254898*C149+0.0324315384))+C152*('Product and Cost'!$D$29*C149*Assumptions!$B$88+'Product and Cost'!$B$29*(0.4863620081*C148+0.4455809638*C148+0.0356254898*C149+0.0324315384))+C153*('Product and Cost'!$D$30*C149*Assumptions!$B$88+'Product and Cost'!$B$30*(0.4863620081*C148+0.4455809638*C148+0.0356254898*C149+0.0324315384))+C154*('Product and Cost'!$D$31*C149*Assumptions!$B$88+'Product and Cost'!$B$31*(0.4863620081*C148+0.4455809638*C148+0.0356254898*C149+0.0324315384))+C155*('Product and Cost'!$D$32*C149*Assumptions!$B$88+'Product and Cost'!$B$32*(0.4863620081*C148+0.4455809638*C148+0.0356254898*C149+0.0324315384))+C156*('Product and Cost'!$D$33*C149*Assumptions!$B$88+'Product and Cost'!$B$33*(0.4863620081*C148+0.4455809638*C148+0.0356254898*C149+0.0324315384))+C157*('Product and Cost'!$D$34*C149*Assumptions!$B$88+'Product and Cost'!$B$34*(0.4863620081*C148+0.4455809638*C148+0.0356254898*C149+0.0324315384))</f>
        <v/>
      </c>
      <c r="D160" s="18">
        <f>D150*('Product and Cost'!$D$27*D149*Assumptions!$B$88+'Product and Cost'!$B$27*(0.4863620081*D148+0.4455809638*D148+0.0356254898*D149+0.0324315384))+D151*('Product and Cost'!$D$28*D149*Assumptions!$B$88+'Product and Cost'!$B$28*(0.4863620081*D148+0.4455809638*D148+0.0356254898*D149+0.0324315384))+D152*('Product and Cost'!$D$29*D149*Assumptions!$B$88+'Product and Cost'!$B$29*(0.4863620081*D148+0.4455809638*D148+0.0356254898*D149+0.0324315384))+D153*('Product and Cost'!$D$30*D149*Assumptions!$B$88+'Product and Cost'!$B$30*(0.4863620081*D148+0.4455809638*D148+0.0356254898*D149+0.0324315384))+D154*('Product and Cost'!$D$31*D149*Assumptions!$B$88+'Product and Cost'!$B$31*(0.4863620081*D148+0.4455809638*D148+0.0356254898*D149+0.0324315384))+D155*('Product and Cost'!$D$32*D149*Assumptions!$B$88+'Product and Cost'!$B$32*(0.4863620081*D148+0.4455809638*D148+0.0356254898*D149+0.0324315384))+D156*('Product and Cost'!$D$33*D149*Assumptions!$B$88+'Product and Cost'!$B$33*(0.4863620081*D148+0.4455809638*D148+0.0356254898*D149+0.0324315384))+D157*('Product and Cost'!$D$34*D149*Assumptions!$B$88+'Product and Cost'!$B$34*(0.4863620081*D148+0.4455809638*D148+0.0356254898*D149+0.0324315384))</f>
        <v/>
      </c>
      <c r="E160" s="18">
        <f>E150*('Product and Cost'!$D$27*E149*Assumptions!$B$88+'Product and Cost'!$B$27*(0.4863620081*E148+0.4455809638*E148+0.0356254898*E149+0.0324315384))+E151*('Product and Cost'!$D$28*E149*Assumptions!$B$88+'Product and Cost'!$B$28*(0.4863620081*E148+0.4455809638*E148+0.0356254898*E149+0.0324315384))+E152*('Product and Cost'!$D$29*E149*Assumptions!$B$88+'Product and Cost'!$B$29*(0.4863620081*E148+0.4455809638*E148+0.0356254898*E149+0.0324315384))+E153*('Product and Cost'!$D$30*E149*Assumptions!$B$88+'Product and Cost'!$B$30*(0.4863620081*E148+0.4455809638*E148+0.0356254898*E149+0.0324315384))+E154*('Product and Cost'!$D$31*E149*Assumptions!$B$88+'Product and Cost'!$B$31*(0.4863620081*E148+0.4455809638*E148+0.0356254898*E149+0.0324315384))+E155*('Product and Cost'!$D$32*E149*Assumptions!$B$88+'Product and Cost'!$B$32*(0.4863620081*E148+0.4455809638*E148+0.0356254898*E149+0.0324315384))+E156*('Product and Cost'!$D$33*E149*Assumptions!$B$88+'Product and Cost'!$B$33*(0.4863620081*E148+0.4455809638*E148+0.0356254898*E149+0.0324315384))+E157*('Product and Cost'!$D$34*E149*Assumptions!$B$88+'Product and Cost'!$B$34*(0.4863620081*E148+0.4455809638*E148+0.0356254898*E149+0.0324315384))</f>
        <v/>
      </c>
      <c r="F160" s="18">
        <f>F150*('Product and Cost'!$D$27*F149*Assumptions!$B$88+'Product and Cost'!$B$27*(0.4863620081*F148+0.4455809638*F148+0.0356254898*F149+0.0324315384))+F151*('Product and Cost'!$D$28*F149*Assumptions!$B$88+'Product and Cost'!$B$28*(0.4863620081*F148+0.4455809638*F148+0.0356254898*F149+0.0324315384))+F152*('Product and Cost'!$D$29*F149*Assumptions!$B$88+'Product and Cost'!$B$29*(0.4863620081*F148+0.4455809638*F148+0.0356254898*F149+0.0324315384))+F153*('Product and Cost'!$D$30*F149*Assumptions!$B$88+'Product and Cost'!$B$30*(0.4863620081*F148+0.4455809638*F148+0.0356254898*F149+0.0324315384))+F154*('Product and Cost'!$D$31*F149*Assumptions!$B$88+'Product and Cost'!$B$31*(0.4863620081*F148+0.4455809638*F148+0.0356254898*F149+0.0324315384))+F155*('Product and Cost'!$D$32*F149*Assumptions!$B$88+'Product and Cost'!$B$32*(0.4863620081*F148+0.4455809638*F148+0.0356254898*F149+0.0324315384))+F156*('Product and Cost'!$D$33*F149*Assumptions!$B$88+'Product and Cost'!$B$33*(0.4863620081*F148+0.4455809638*F148+0.0356254898*F149+0.0324315384))+F157*('Product and Cost'!$D$34*F149*Assumptions!$B$88+'Product and Cost'!$B$34*(0.4863620081*F148+0.4455809638*F148+0.0356254898*F149+0.0324315384))</f>
        <v/>
      </c>
      <c r="G160" s="18">
        <f>G150*('Product and Cost'!$D$27*G149*Assumptions!$B$88+'Product and Cost'!$B$27*(0.4863620081*G148+0.4455809638*G148+0.0356254898*G149+0.0324315384))+G151*('Product and Cost'!$D$28*G149*Assumptions!$B$88+'Product and Cost'!$B$28*(0.4863620081*G148+0.4455809638*G148+0.0356254898*G149+0.0324315384))+G152*('Product and Cost'!$D$29*G149*Assumptions!$B$88+'Product and Cost'!$B$29*(0.4863620081*G148+0.4455809638*G148+0.0356254898*G149+0.0324315384))+G153*('Product and Cost'!$D$30*G149*Assumptions!$B$88+'Product and Cost'!$B$30*(0.4863620081*G148+0.4455809638*G148+0.0356254898*G149+0.0324315384))+G154*('Product and Cost'!$D$31*G149*Assumptions!$B$88+'Product and Cost'!$B$31*(0.4863620081*G148+0.4455809638*G148+0.0356254898*G149+0.0324315384))+G155*('Product and Cost'!$D$32*G149*Assumptions!$B$88+'Product and Cost'!$B$32*(0.4863620081*G148+0.4455809638*G148+0.0356254898*G149+0.0324315384))+G156*('Product and Cost'!$D$33*G149*Assumptions!$B$88+'Product and Cost'!$B$33*(0.4863620081*G148+0.4455809638*G148+0.0356254898*G149+0.0324315384))+G157*('Product and Cost'!$D$34*G149*Assumptions!$B$88+'Product and Cost'!$B$34*(0.4863620081*G148+0.4455809638*G148+0.0356254898*G149+0.0324315384))</f>
        <v/>
      </c>
    </row>
    <row r="161">
      <c r="A161" s="17" t="inlineStr">
        <is>
          <t>GROSS PROFIT</t>
        </is>
      </c>
      <c r="C161" s="20">
        <f>C159-C160+$C$8*C159</f>
        <v/>
      </c>
      <c r="D161" s="20">
        <f>D159-D160+$C$8*D159</f>
        <v/>
      </c>
      <c r="E161" s="20">
        <f>E159-E160+$C$8*E159</f>
        <v/>
      </c>
      <c r="F161" s="20">
        <f>F159-F160+$C$8*F159</f>
        <v/>
      </c>
      <c r="G161" s="20">
        <f>G159-G160+$C$8*G159</f>
        <v/>
      </c>
    </row>
    <row r="162">
      <c r="A162" s="9" t="inlineStr">
        <is>
          <t>Gross margin</t>
        </is>
      </c>
      <c r="C162" s="19">
        <f>C161/C159</f>
        <v/>
      </c>
      <c r="D162" s="19">
        <f>D161/D159</f>
        <v/>
      </c>
      <c r="E162" s="19">
        <f>E161/E159</f>
        <v/>
      </c>
      <c r="F162" s="19">
        <f>F161/F159</f>
        <v/>
      </c>
      <c r="G162" s="19">
        <f>G161/G159</f>
        <v/>
      </c>
    </row>
    <row r="163">
      <c r="A163" s="9" t="inlineStr">
        <is>
          <t>Operating expense</t>
        </is>
      </c>
      <c r="C163" s="18">
        <f>('Base Year'!$B$28*C148)+('Base Year'!$B$29*C148*C158/'Product and Cost'!$E$14)+('Base Year'!$B$30*C148)+('Base Year'!$B$31*C148)</f>
        <v/>
      </c>
      <c r="D163" s="18">
        <f>('Base Year'!$B$28*D148)+('Base Year'!$B$29*D148*D158/'Product and Cost'!$E$14)+('Base Year'!$B$30*D148)+('Base Year'!$B$31*D148)</f>
        <v/>
      </c>
      <c r="E163" s="18">
        <f>('Base Year'!$B$28*E148)+('Base Year'!$B$29*E148*E158/'Product and Cost'!$E$14)+('Base Year'!$B$30*E148)+('Base Year'!$B$31*E148)</f>
        <v/>
      </c>
      <c r="F163" s="18">
        <f>('Base Year'!$B$28*F148)+('Base Year'!$B$29*F148*F158/'Product and Cost'!$E$14)+('Base Year'!$B$30*F148)+('Base Year'!$B$31*F148)</f>
        <v/>
      </c>
      <c r="G163" s="18">
        <f>('Base Year'!$B$28*G148)+('Base Year'!$B$29*G148*G158/'Product and Cost'!$E$14)+('Base Year'!$B$30*G148)+('Base Year'!$B$31*G148)</f>
        <v/>
      </c>
    </row>
    <row r="164">
      <c r="A164" s="17" t="inlineStr">
        <is>
          <t>EBITDA</t>
        </is>
      </c>
      <c r="C164" s="20">
        <f>C161-C163</f>
        <v/>
      </c>
      <c r="D164" s="20">
        <f>D161-D163</f>
        <v/>
      </c>
      <c r="E164" s="20">
        <f>E161-E163</f>
        <v/>
      </c>
      <c r="F164" s="20">
        <f>F161-F163</f>
        <v/>
      </c>
      <c r="G164" s="20">
        <f>G161-G163</f>
        <v/>
      </c>
    </row>
    <row r="165">
      <c r="A165" s="9" t="inlineStr">
        <is>
          <t>Capital expenditure — maintenance + growth</t>
        </is>
      </c>
      <c r="C165" s="18">
        <f>'Base Year'!$B$43*C148+MAX(C158-'Product and Cost'!$E$14,0)*1947.901031*C148</f>
        <v/>
      </c>
      <c r="D165" s="18">
        <f>'Base Year'!$B$43*D148+MAX(D158-C158,0)*1947.901031*D148</f>
        <v/>
      </c>
      <c r="E165" s="18">
        <f>'Base Year'!$B$43*E148+MAX(E158-D158,0)*1947.901031*E148</f>
        <v/>
      </c>
      <c r="F165" s="18">
        <f>'Base Year'!$B$43*F148+MAX(F158-E158,0)*1947.901031*F148</f>
        <v/>
      </c>
      <c r="G165" s="18">
        <f>'Base Year'!$B$43*G148+MAX(G158-F158,0)*1947.901031*G148</f>
        <v/>
      </c>
    </row>
    <row r="166">
      <c r="A166" s="9" t="inlineStr">
        <is>
          <t>Fixed assets at cost, closing</t>
        </is>
      </c>
      <c r="C166" s="18">
        <f>(Assumptions!$B$70+Assumptions!$B$71)/10^6+C165</f>
        <v/>
      </c>
      <c r="D166" s="18">
        <f>C166+D165</f>
        <v/>
      </c>
      <c r="E166" s="18">
        <f>D166+E165</f>
        <v/>
      </c>
      <c r="F166" s="18">
        <f>E166+F165</f>
        <v/>
      </c>
      <c r="G166" s="18">
        <f>F166+G165</f>
        <v/>
      </c>
    </row>
    <row r="167">
      <c r="A167" s="9" t="inlineStr">
        <is>
          <t>Depreciation — rolls off the asset register</t>
        </is>
      </c>
      <c r="C167" s="18">
        <f>(Assumptions!$B$70+Assumptions!$B$71)/10^6/'Base Year'!$B$42</f>
        <v/>
      </c>
      <c r="D167" s="18">
        <f>C166/'Base Year'!$B$42</f>
        <v/>
      </c>
      <c r="E167" s="18">
        <f>D166/'Base Year'!$B$42</f>
        <v/>
      </c>
      <c r="F167" s="18">
        <f>E166/'Base Year'!$B$42</f>
        <v/>
      </c>
      <c r="G167" s="18">
        <f>F166/'Base Year'!$B$42</f>
        <v/>
      </c>
    </row>
    <row r="168">
      <c r="A168" s="9" t="inlineStr">
        <is>
          <t>Fixed assets, net book, closing</t>
        </is>
      </c>
      <c r="C168" s="18">
        <f>(Assumptions!$B$69+Assumptions!$B$71)/10^6+C165-C167</f>
        <v/>
      </c>
      <c r="D168" s="18">
        <f>C168+D165-D167</f>
        <v/>
      </c>
      <c r="E168" s="18">
        <f>D168+E165-E167</f>
        <v/>
      </c>
      <c r="F168" s="18">
        <f>E168+F165-F167</f>
        <v/>
      </c>
      <c r="G168" s="18">
        <f>F168+G165-G167</f>
        <v/>
      </c>
    </row>
    <row r="169">
      <c r="A169" s="17" t="inlineStr">
        <is>
          <t>EBIT</t>
        </is>
      </c>
      <c r="C169" s="20">
        <f>C164-C167</f>
        <v/>
      </c>
      <c r="D169" s="20">
        <f>D164-D167</f>
        <v/>
      </c>
      <c r="E169" s="20">
        <f>E164-E167</f>
        <v/>
      </c>
      <c r="F169" s="20">
        <f>F164-F167</f>
        <v/>
      </c>
      <c r="G169" s="20">
        <f>G164-G167</f>
        <v/>
      </c>
    </row>
    <row r="170">
      <c r="A170" s="9" t="inlineStr">
        <is>
          <t>NOPAT before the profit share</t>
        </is>
      </c>
      <c r="C170" s="18">
        <f>C169*(1-Assumptions!$B$87)</f>
        <v/>
      </c>
      <c r="D170" s="18">
        <f>D169*(1-Assumptions!$B$87)</f>
        <v/>
      </c>
      <c r="E170" s="18">
        <f>E169*(1-Assumptions!$B$87)</f>
        <v/>
      </c>
      <c r="F170" s="18">
        <f>F169*(1-Assumptions!$B$87)</f>
        <v/>
      </c>
      <c r="G170" s="18">
        <f>G169*(1-Assumptions!$B$87)</f>
        <v/>
      </c>
    </row>
    <row r="171">
      <c r="A171" s="9" t="inlineStr">
        <is>
          <t xml:space="preserve">  less employees' profit share and board bonuses</t>
        </is>
      </c>
      <c r="C171" s="18">
        <f>MAX(C170,0)*'Base Year'!$B$40</f>
        <v/>
      </c>
      <c r="D171" s="18">
        <f>MAX(D170,0)*'Base Year'!$B$40</f>
        <v/>
      </c>
      <c r="E171" s="18">
        <f>MAX(E170,0)*'Base Year'!$B$40</f>
        <v/>
      </c>
      <c r="F171" s="18">
        <f>MAX(F170,0)*'Base Year'!$B$40</f>
        <v/>
      </c>
      <c r="G171" s="18">
        <f>MAX(G170,0)*'Base Year'!$B$40</f>
        <v/>
      </c>
    </row>
    <row r="172">
      <c r="A172" s="17" t="inlineStr">
        <is>
          <t>NOPAT</t>
        </is>
      </c>
      <c r="C172" s="20">
        <f>C170-C171</f>
        <v/>
      </c>
      <c r="D172" s="20">
        <f>D170-D171</f>
        <v/>
      </c>
      <c r="E172" s="20">
        <f>E170-E171</f>
        <v/>
      </c>
      <c r="F172" s="20">
        <f>F170-F171</f>
        <v/>
      </c>
      <c r="G172" s="20">
        <f>G170-G171</f>
        <v/>
      </c>
    </row>
    <row r="173">
      <c r="A173" s="9" t="inlineStr">
        <is>
          <t>Net working capital — on days</t>
        </is>
      </c>
      <c r="C173" s="18">
        <f>'Base Year'!$B$44*Forecast!$B$9/365*C160+'Base Year'!$B$45*Forecast!$B$9/365*C159-'Base Year'!$B$46*Forecast!$B$9/365*C160</f>
        <v/>
      </c>
      <c r="D173" s="18">
        <f>'Base Year'!$B$44*Forecast!$B$9/365*D160+'Base Year'!$B$45*Forecast!$B$9/365*D159-'Base Year'!$B$46*Forecast!$B$9/365*D160</f>
        <v/>
      </c>
      <c r="E173" s="18">
        <f>'Base Year'!$B$44*Forecast!$B$9/365*E160+'Base Year'!$B$45*Forecast!$B$9/365*E159-'Base Year'!$B$46*Forecast!$B$9/365*E160</f>
        <v/>
      </c>
      <c r="F173" s="18">
        <f>'Base Year'!$B$44*Forecast!$B$9/365*F160+'Base Year'!$B$45*Forecast!$B$9/365*F159-'Base Year'!$B$46*Forecast!$B$9/365*F160</f>
        <v/>
      </c>
      <c r="G173" s="18">
        <f>'Base Year'!$B$44*Forecast!$B$9/365*G160+'Base Year'!$B$45*Forecast!$B$9/365*G159-'Base Year'!$B$46*Forecast!$B$9/365*G160</f>
        <v/>
      </c>
    </row>
    <row r="174">
      <c r="A174" s="9" t="inlineStr">
        <is>
          <t xml:space="preserve">  change in working capital</t>
        </is>
      </c>
      <c r="C174" s="18">
        <f>C173-('Base Year'!$B$44/365*'Base Year'!$B$21+'Base Year'!$B$45/365*'Base Year'!$B$19-'Base Year'!$B$46/365*'Base Year'!$B$21)</f>
        <v/>
      </c>
      <c r="D174" s="18">
        <f>D173-C173</f>
        <v/>
      </c>
      <c r="E174" s="18">
        <f>E173-D173</f>
        <v/>
      </c>
      <c r="F174" s="18">
        <f>F173-E173</f>
        <v/>
      </c>
      <c r="G174" s="18">
        <f>G173-F173</f>
        <v/>
      </c>
    </row>
    <row r="175">
      <c r="A175" s="17" t="inlineStr">
        <is>
          <t>FREE CASH FLOW TO THE FIRM</t>
        </is>
      </c>
      <c r="C175" s="20">
        <f>C172+C167-C165-C174</f>
        <v/>
      </c>
      <c r="D175" s="20">
        <f>D172+D167-D165-D174</f>
        <v/>
      </c>
      <c r="E175" s="20">
        <f>E172+E167-E165-E174</f>
        <v/>
      </c>
      <c r="F175" s="20">
        <f>F172+F167-F165-F174</f>
        <v/>
      </c>
      <c r="G175" s="20">
        <f>G172+G167-G165-G174</f>
        <v/>
      </c>
    </row>
    <row r="176">
      <c r="A176" s="9" t="inlineStr">
        <is>
          <t>Glide fraction</t>
        </is>
      </c>
      <c r="C176" s="26">
        <f>0.0000000000</f>
        <v/>
      </c>
      <c r="D176" s="26">
        <f>0.3571428571</f>
        <v/>
      </c>
      <c r="E176" s="26">
        <f>0.6428571429</f>
        <v/>
      </c>
      <c r="F176" s="26">
        <f>0.8571428571</f>
        <v/>
      </c>
      <c r="G176" s="26">
        <f>1.0000000000</f>
        <v/>
      </c>
    </row>
    <row r="177">
      <c r="A177" s="9" t="inlineStr">
        <is>
          <t>Forward cost of capital</t>
        </is>
      </c>
      <c r="C177" s="19">
        <f>Forecast!$B$14-(Forecast!$B$14-Forecast!$B$17)*C176</f>
        <v/>
      </c>
      <c r="D177" s="19">
        <f>Forecast!$B$14-(Forecast!$B$14-Forecast!$B$17)*D176</f>
        <v/>
      </c>
      <c r="E177" s="19">
        <f>Forecast!$B$14-(Forecast!$B$14-Forecast!$B$17)*E176</f>
        <v/>
      </c>
      <c r="F177" s="19">
        <f>Forecast!$B$14-(Forecast!$B$14-Forecast!$B$17)*F176</f>
        <v/>
      </c>
      <c r="G177" s="19">
        <f>Forecast!$B$14-(Forecast!$B$14-Forecast!$B$17)*G176</f>
        <v/>
      </c>
    </row>
    <row r="178">
      <c r="A178" s="9" t="inlineStr">
        <is>
          <t>Cumulative discount factor</t>
        </is>
      </c>
      <c r="C178" s="29">
        <f>1/(1+C177)</f>
        <v/>
      </c>
      <c r="D178" s="29">
        <f>C178/(1+D177)</f>
        <v/>
      </c>
      <c r="E178" s="29">
        <f>D178/(1+E177)</f>
        <v/>
      </c>
      <c r="F178" s="29">
        <f>E178/(1+F177)</f>
        <v/>
      </c>
      <c r="G178" s="29">
        <f>F178/(1+G177)</f>
        <v/>
      </c>
    </row>
    <row r="179">
      <c r="A179" s="9" t="inlineStr">
        <is>
          <t>Present value</t>
        </is>
      </c>
      <c r="C179" s="18">
        <f>C175*C178</f>
        <v/>
      </c>
      <c r="D179" s="18">
        <f>D175*D178</f>
        <v/>
      </c>
      <c r="E179" s="18">
        <f>E175*E178</f>
        <v/>
      </c>
      <c r="F179" s="18">
        <f>F175*F178</f>
        <v/>
      </c>
      <c r="G179" s="18">
        <f>G175*G178</f>
        <v/>
      </c>
    </row>
    <row r="180">
      <c r="A180" s="17" t="inlineStr">
        <is>
          <t>PV of the explicit window</t>
        </is>
      </c>
      <c r="B180" s="20">
        <f>SUM(C179:G179)</f>
        <v/>
      </c>
      <c r="C180" s="18">
        <f>C173+C166</f>
        <v/>
      </c>
      <c r="D180" s="18">
        <f>D173+D166</f>
        <v/>
      </c>
      <c r="E180" s="18">
        <f>E173+E166</f>
        <v/>
      </c>
      <c r="F180" s="18">
        <f>F173+F166</f>
        <v/>
      </c>
      <c r="G180" s="18">
        <f>G173+G166</f>
        <v/>
      </c>
    </row>
    <row r="181">
      <c r="A181" s="9" t="inlineStr">
        <is>
          <t>Terminal return on invested capital, at REPLACEMENT cost</t>
        </is>
      </c>
      <c r="B181" s="19">
        <f>G172*(1+Assumptions!$B$89)/G180</f>
        <v/>
      </c>
    </row>
    <row r="182">
      <c r="A182" s="9" t="inlineStr">
        <is>
          <t>Required reinvestment = growth / return</t>
        </is>
      </c>
      <c r="B182" s="19">
        <f>MIN(Assumptions!$B$89/B181,0.95)</f>
        <v/>
      </c>
    </row>
    <row r="183">
      <c r="A183" s="9" t="inlineStr">
        <is>
          <t>Terminal value</t>
        </is>
      </c>
      <c r="B183" s="18">
        <f>G172*(1+Assumptions!$B$89)*(1-B182)/MAX(Forecast!$B$17-Assumptions!$B$89,0.02)</f>
        <v/>
      </c>
    </row>
    <row r="184">
      <c r="A184" s="9" t="inlineStr">
        <is>
          <t>PV of the terminal block</t>
        </is>
      </c>
      <c r="B184" s="18">
        <f>B183*G178</f>
        <v/>
      </c>
    </row>
    <row r="185">
      <c r="A185" s="17" t="inlineStr">
        <is>
          <t>ENTERPRISE VALUE</t>
        </is>
      </c>
      <c r="B185" s="20">
        <f>B180+B184</f>
        <v/>
      </c>
    </row>
    <row r="186">
      <c r="A186" s="9" t="inlineStr">
        <is>
          <t>plus net cash</t>
        </is>
      </c>
      <c r="B186" s="18">
        <f>(Assumptions!$B$79-Assumptions!$B$82-Assumptions!$B$83)/10^6</f>
        <v/>
      </c>
    </row>
    <row r="187">
      <c r="A187" s="9" t="inlineStr">
        <is>
          <t>Enterprise value including cash</t>
        </is>
      </c>
      <c r="B187" s="18">
        <f>B185+B186</f>
        <v/>
      </c>
    </row>
    <row r="188">
      <c r="A188" s="9" t="inlineStr">
        <is>
          <t>less minority — on the WHOLE enterprise, cash included</t>
        </is>
      </c>
      <c r="B188" s="18">
        <f>B187*'Base Year'!$B$41</f>
        <v/>
      </c>
    </row>
    <row r="189">
      <c r="A189" s="9" t="inlineStr">
        <is>
          <t>less the tax-disputes provision</t>
        </is>
      </c>
      <c r="B189" s="18">
        <f>Assumptions!$B$78/10^6</f>
        <v/>
      </c>
    </row>
    <row r="190">
      <c r="A190" s="9" t="inlineStr">
        <is>
          <t>less dividends payable — declared, out of working capital</t>
        </is>
      </c>
      <c r="B190" s="18">
        <f>Assumptions!$B$77/10^6</f>
        <v/>
      </c>
    </row>
    <row r="191">
      <c r="A191" s="9" t="inlineStr">
        <is>
          <t>plus non-operating investments and pledged deposits</t>
        </is>
      </c>
      <c r="B191" s="18">
        <f>(Assumptions!$B$81+Assumptions!$B$80)/10^6</f>
        <v/>
      </c>
    </row>
    <row r="192">
      <c r="A192" s="17" t="inlineStr">
        <is>
          <t>EQUITY ATTRIBUTABLE</t>
        </is>
      </c>
      <c r="B192" s="20">
        <f>B187-B188-B189-B190+B191</f>
        <v/>
      </c>
    </row>
    <row r="193">
      <c r="A193" s="17" t="inlineStr">
        <is>
          <t>VALUE PER SHARE, EGP</t>
        </is>
      </c>
      <c r="B193" s="30">
        <f>B192/Assumptions!$B$8</f>
        <v/>
      </c>
    </row>
    <row r="196">
      <c r="A196" s="6" t="inlineStr">
        <is>
          <t>Gross margin, shifted on every forecast year — +0.5%</t>
        </is>
      </c>
      <c r="B196" s="6" t="inlineStr">
        <is>
          <t>2026E</t>
        </is>
      </c>
      <c r="C196" s="6" t="inlineStr">
        <is>
          <t>2027E</t>
        </is>
      </c>
      <c r="D196" s="6" t="inlineStr">
        <is>
          <t>2028E</t>
        </is>
      </c>
      <c r="E196" s="6" t="inlineStr">
        <is>
          <t>2029E</t>
        </is>
      </c>
      <c r="F196" s="6" t="inlineStr">
        <is>
          <t>2030E</t>
        </is>
      </c>
    </row>
    <row r="197">
      <c r="A197" s="9" t="inlineStr">
        <is>
          <t>Inflation index, cumulative</t>
        </is>
      </c>
      <c r="C197" s="26">
        <f>Assumptions!$B$146</f>
        <v/>
      </c>
      <c r="D197" s="26">
        <f>C197*Assumptions!$B$147</f>
        <v/>
      </c>
      <c r="E197" s="26">
        <f>D197*Assumptions!$B$148</f>
        <v/>
      </c>
      <c r="F197" s="26">
        <f>E197*Assumptions!$B$149</f>
        <v/>
      </c>
      <c r="G197" s="26">
        <f>F197*Assumptions!$B$150</f>
        <v/>
      </c>
    </row>
    <row r="198">
      <c r="A198" s="9" t="inlineStr">
        <is>
          <t>Realisation index, cumulative</t>
        </is>
      </c>
      <c r="C198" s="26">
        <f>(1+Assumptions!$B$101*Forecast!$B$8)</f>
        <v/>
      </c>
      <c r="D198" s="26">
        <f>C198*(1+Assumptions!$B$102*Forecast!$B$8)</f>
        <v/>
      </c>
      <c r="E198" s="26">
        <f>D198*(1+Assumptions!$B$103*Forecast!$B$8)</f>
        <v/>
      </c>
      <c r="F198" s="26">
        <f>E198*(1+Assumptions!$B$104*Forecast!$B$8)</f>
        <v/>
      </c>
      <c r="G198" s="26">
        <f>F198*(1+Assumptions!$B$105*Forecast!$B$8)</f>
        <v/>
      </c>
    </row>
    <row r="199">
      <c r="A199" s="9" t="inlineStr">
        <is>
          <t xml:space="preserve">  Volume — Base and special oils, mn t</t>
        </is>
      </c>
      <c r="C199" s="26">
        <f>'Product and Cost'!E6*(1+Assumptions!$B$106+Forecast!$B$6)</f>
        <v/>
      </c>
      <c r="D199" s="26">
        <f>C199*(1+Assumptions!$B$107+Forecast!$B$6)</f>
        <v/>
      </c>
      <c r="E199" s="26">
        <f>D199*(1+Assumptions!$B$108+Forecast!$B$6)</f>
        <v/>
      </c>
      <c r="F199" s="26">
        <f>E199*(1+Assumptions!$B$109+Forecast!$B$6)</f>
        <v/>
      </c>
      <c r="G199" s="26">
        <f>F199*(1+Assumptions!$B$110+Forecast!$B$6)</f>
        <v/>
      </c>
    </row>
    <row r="200">
      <c r="A200" s="9" t="inlineStr">
        <is>
          <t xml:space="preserve">  Volume — Paraffin wax, mn t</t>
        </is>
      </c>
      <c r="C200" s="26">
        <f>'Product and Cost'!E7*(1+Assumptions!$B$111+Forecast!$B$6)</f>
        <v/>
      </c>
      <c r="D200" s="26">
        <f>C200*(1+Assumptions!$B$112+Forecast!$B$6)</f>
        <v/>
      </c>
      <c r="E200" s="26">
        <f>D200*(1+Assumptions!$B$113+Forecast!$B$6)</f>
        <v/>
      </c>
      <c r="F200" s="26">
        <f>E200*(1+Assumptions!$B$114+Forecast!$B$6)</f>
        <v/>
      </c>
      <c r="G200" s="26">
        <f>F200*(1+Assumptions!$B$115+Forecast!$B$6)</f>
        <v/>
      </c>
    </row>
    <row r="201">
      <c r="A201" s="9" t="inlineStr">
        <is>
          <t xml:space="preserve">  Volume — Gas oil, mn t</t>
        </is>
      </c>
      <c r="C201" s="26">
        <f>'Product and Cost'!E8*(1+Assumptions!$B$116+Forecast!$B$6)</f>
        <v/>
      </c>
      <c r="D201" s="26">
        <f>C201*(1+Assumptions!$B$117+Forecast!$B$6)</f>
        <v/>
      </c>
      <c r="E201" s="26">
        <f>D201*(1+Assumptions!$B$118+Forecast!$B$6)</f>
        <v/>
      </c>
      <c r="F201" s="26">
        <f>E201*(1+Assumptions!$B$119+Forecast!$B$6)</f>
        <v/>
      </c>
      <c r="G201" s="26">
        <f>F201*(1+Assumptions!$B$120+Forecast!$B$6)</f>
        <v/>
      </c>
    </row>
    <row r="202">
      <c r="A202" s="9" t="inlineStr">
        <is>
          <t xml:space="preserve">  Volume — Naphtha, mn t</t>
        </is>
      </c>
      <c r="C202" s="26">
        <f>'Product and Cost'!E9*(1+Assumptions!$B$121+Forecast!$B$6)</f>
        <v/>
      </c>
      <c r="D202" s="26">
        <f>C202*(1+Assumptions!$B$122+Forecast!$B$6)</f>
        <v/>
      </c>
      <c r="E202" s="26">
        <f>D202*(1+Assumptions!$B$123+Forecast!$B$6)</f>
        <v/>
      </c>
      <c r="F202" s="26">
        <f>E202*(1+Assumptions!$B$124+Forecast!$B$6)</f>
        <v/>
      </c>
      <c r="G202" s="26">
        <f>F202*(1+Assumptions!$B$125+Forecast!$B$6)</f>
        <v/>
      </c>
    </row>
    <row r="203">
      <c r="A203" s="9" t="inlineStr">
        <is>
          <t xml:space="preserve">  Volume — Liquefied petroleum gas, mn t</t>
        </is>
      </c>
      <c r="C203" s="26">
        <f>'Product and Cost'!E10*(1+Assumptions!$B$126+Forecast!$B$6)</f>
        <v/>
      </c>
      <c r="D203" s="26">
        <f>C203*(1+Assumptions!$B$127+Forecast!$B$6)</f>
        <v/>
      </c>
      <c r="E203" s="26">
        <f>D203*(1+Assumptions!$B$128+Forecast!$B$6)</f>
        <v/>
      </c>
      <c r="F203" s="26">
        <f>E203*(1+Assumptions!$B$129+Forecast!$B$6)</f>
        <v/>
      </c>
      <c r="G203" s="26">
        <f>F203*(1+Assumptions!$B$130+Forecast!$B$6)</f>
        <v/>
      </c>
    </row>
    <row r="204">
      <c r="A204" s="9" t="inlineStr">
        <is>
          <t xml:space="preserve">  Volume — Fuel oil (mix), mn t</t>
        </is>
      </c>
      <c r="C204" s="26">
        <f>'Product and Cost'!E11*(1+Assumptions!$B$131+Forecast!$B$6)</f>
        <v/>
      </c>
      <c r="D204" s="26">
        <f>C204*(1+Assumptions!$B$132+Forecast!$B$6)</f>
        <v/>
      </c>
      <c r="E204" s="26">
        <f>D204*(1+Assumptions!$B$133+Forecast!$B$6)</f>
        <v/>
      </c>
      <c r="F204" s="26">
        <f>E204*(1+Assumptions!$B$134+Forecast!$B$6)</f>
        <v/>
      </c>
      <c r="G204" s="26">
        <f>F204*(1+Assumptions!$B$135+Forecast!$B$6)</f>
        <v/>
      </c>
    </row>
    <row r="205">
      <c r="A205" s="9" t="inlineStr">
        <is>
          <t xml:space="preserve">  Volume — Heavy fuel oil, mn t</t>
        </is>
      </c>
      <c r="C205" s="26">
        <f>'Product and Cost'!E12*(1+Assumptions!$B$136+Forecast!$B$6)</f>
        <v/>
      </c>
      <c r="D205" s="26">
        <f>C205*(1+Assumptions!$B$137+Forecast!$B$6)</f>
        <v/>
      </c>
      <c r="E205" s="26">
        <f>D205*(1+Assumptions!$B$138+Forecast!$B$6)</f>
        <v/>
      </c>
      <c r="F205" s="26">
        <f>E205*(1+Assumptions!$B$139+Forecast!$B$6)</f>
        <v/>
      </c>
      <c r="G205" s="26">
        <f>F205*(1+Assumptions!$B$140+Forecast!$B$6)</f>
        <v/>
      </c>
    </row>
    <row r="206">
      <c r="A206" s="9" t="inlineStr">
        <is>
          <t xml:space="preserve">  Volume — Waste, mn t</t>
        </is>
      </c>
      <c r="C206" s="26">
        <f>'Product and Cost'!E13*(1+Assumptions!$B$141+Forecast!$B$6)</f>
        <v/>
      </c>
      <c r="D206" s="26">
        <f>C206*(1+Assumptions!$B$142+Forecast!$B$6)</f>
        <v/>
      </c>
      <c r="E206" s="26">
        <f>D206*(1+Assumptions!$B$143+Forecast!$B$6)</f>
        <v/>
      </c>
      <c r="F206" s="26">
        <f>E206*(1+Assumptions!$B$144+Forecast!$B$6)</f>
        <v/>
      </c>
      <c r="G206" s="26">
        <f>F206*(1+Assumptions!$B$145+Forecast!$B$6)</f>
        <v/>
      </c>
    </row>
    <row r="207">
      <c r="A207" s="17" t="inlineStr">
        <is>
          <t>Total volume, mn t</t>
        </is>
      </c>
      <c r="C207" s="28">
        <f>SUM(C199:C206)</f>
        <v/>
      </c>
      <c r="D207" s="28">
        <f>SUM(D199:D206)</f>
        <v/>
      </c>
      <c r="E207" s="28">
        <f>SUM(E199:E206)</f>
        <v/>
      </c>
      <c r="F207" s="28">
        <f>SUM(F199:F206)</f>
        <v/>
      </c>
      <c r="G207" s="28">
        <f>SUM(G199:G206)</f>
        <v/>
      </c>
    </row>
    <row r="208">
      <c r="A208" s="17" t="inlineStr">
        <is>
          <t>REVENUE</t>
        </is>
      </c>
      <c r="C208" s="20">
        <f>C199*'Product and Cost'!$F$6*C198+C200*'Product and Cost'!$F$7*C198+C201*'Product and Cost'!$F$8*C198+C202*'Product and Cost'!$F$9*C198+C203*'Product and Cost'!$F$10*C198+C204*'Product and Cost'!$F$11*C198+C205*'Product and Cost'!$F$12*C198+C206*'Product and Cost'!$F$13*C198</f>
        <v/>
      </c>
      <c r="D208" s="20">
        <f>D199*'Product and Cost'!$F$6*D198+D200*'Product and Cost'!$F$7*D198+D201*'Product and Cost'!$F$8*D198+D202*'Product and Cost'!$F$9*D198+D203*'Product and Cost'!$F$10*D198+D204*'Product and Cost'!$F$11*D198+D205*'Product and Cost'!$F$12*D198+D206*'Product and Cost'!$F$13*D198</f>
        <v/>
      </c>
      <c r="E208" s="20">
        <f>E199*'Product and Cost'!$F$6*E198+E200*'Product and Cost'!$F$7*E198+E201*'Product and Cost'!$F$8*E198+E202*'Product and Cost'!$F$9*E198+E203*'Product and Cost'!$F$10*E198+E204*'Product and Cost'!$F$11*E198+E205*'Product and Cost'!$F$12*E198+E206*'Product and Cost'!$F$13*E198</f>
        <v/>
      </c>
      <c r="F208" s="20">
        <f>F199*'Product and Cost'!$F$6*F198+F200*'Product and Cost'!$F$7*F198+F201*'Product and Cost'!$F$8*F198+F202*'Product and Cost'!$F$9*F198+F203*'Product and Cost'!$F$10*F198+F204*'Product and Cost'!$F$11*F198+F205*'Product and Cost'!$F$12*F198+F206*'Product and Cost'!$F$13*F198</f>
        <v/>
      </c>
      <c r="G208" s="20">
        <f>G199*'Product and Cost'!$F$6*G198+G200*'Product and Cost'!$F$7*G198+G201*'Product and Cost'!$F$8*G198+G202*'Product and Cost'!$F$9*G198+G203*'Product and Cost'!$F$10*G198+G204*'Product and Cost'!$F$11*G198+G205*'Product and Cost'!$F$12*G198+G206*'Product and Cost'!$F$13*G198</f>
        <v/>
      </c>
    </row>
    <row r="209">
      <c r="A209" s="9" t="inlineStr">
        <is>
          <t>Cost of sales</t>
        </is>
      </c>
      <c r="C209" s="18">
        <f>C199*('Product and Cost'!$D$27*C198*Assumptions!$B$88+'Product and Cost'!$B$27*(0.4863620081*C197+0.4455809638*C197+0.0356254898*C198+0.0324315384))+C200*('Product and Cost'!$D$28*C198*Assumptions!$B$88+'Product and Cost'!$B$28*(0.4863620081*C197+0.4455809638*C197+0.0356254898*C198+0.0324315384))+C201*('Product and Cost'!$D$29*C198*Assumptions!$B$88+'Product and Cost'!$B$29*(0.4863620081*C197+0.4455809638*C197+0.0356254898*C198+0.0324315384))+C202*('Product and Cost'!$D$30*C198*Assumptions!$B$88+'Product and Cost'!$B$30*(0.4863620081*C197+0.4455809638*C197+0.0356254898*C198+0.0324315384))+C203*('Product and Cost'!$D$31*C198*Assumptions!$B$88+'Product and Cost'!$B$31*(0.4863620081*C197+0.4455809638*C197+0.0356254898*C198+0.0324315384))+C204*('Product and Cost'!$D$32*C198*Assumptions!$B$88+'Product and Cost'!$B$32*(0.4863620081*C197+0.4455809638*C197+0.0356254898*C198+0.0324315384))+C205*('Product and Cost'!$D$33*C198*Assumptions!$B$88+'Product and Cost'!$B$33*(0.4863620081*C197+0.4455809638*C197+0.0356254898*C198+0.0324315384))+C206*('Product and Cost'!$D$34*C198*Assumptions!$B$88+'Product and Cost'!$B$34*(0.4863620081*C197+0.4455809638*C197+0.0356254898*C198+0.0324315384))</f>
        <v/>
      </c>
      <c r="D209" s="18">
        <f>D199*('Product and Cost'!$D$27*D198*Assumptions!$B$88+'Product and Cost'!$B$27*(0.4863620081*D197+0.4455809638*D197+0.0356254898*D198+0.0324315384))+D200*('Product and Cost'!$D$28*D198*Assumptions!$B$88+'Product and Cost'!$B$28*(0.4863620081*D197+0.4455809638*D197+0.0356254898*D198+0.0324315384))+D201*('Product and Cost'!$D$29*D198*Assumptions!$B$88+'Product and Cost'!$B$29*(0.4863620081*D197+0.4455809638*D197+0.0356254898*D198+0.0324315384))+D202*('Product and Cost'!$D$30*D198*Assumptions!$B$88+'Product and Cost'!$B$30*(0.4863620081*D197+0.4455809638*D197+0.0356254898*D198+0.0324315384))+D203*('Product and Cost'!$D$31*D198*Assumptions!$B$88+'Product and Cost'!$B$31*(0.4863620081*D197+0.4455809638*D197+0.0356254898*D198+0.0324315384))+D204*('Product and Cost'!$D$32*D198*Assumptions!$B$88+'Product and Cost'!$B$32*(0.4863620081*D197+0.4455809638*D197+0.0356254898*D198+0.0324315384))+D205*('Product and Cost'!$D$33*D198*Assumptions!$B$88+'Product and Cost'!$B$33*(0.4863620081*D197+0.4455809638*D197+0.0356254898*D198+0.0324315384))+D206*('Product and Cost'!$D$34*D198*Assumptions!$B$88+'Product and Cost'!$B$34*(0.4863620081*D197+0.4455809638*D197+0.0356254898*D198+0.0324315384))</f>
        <v/>
      </c>
      <c r="E209" s="18">
        <f>E199*('Product and Cost'!$D$27*E198*Assumptions!$B$88+'Product and Cost'!$B$27*(0.4863620081*E197+0.4455809638*E197+0.0356254898*E198+0.0324315384))+E200*('Product and Cost'!$D$28*E198*Assumptions!$B$88+'Product and Cost'!$B$28*(0.4863620081*E197+0.4455809638*E197+0.0356254898*E198+0.0324315384))+E201*('Product and Cost'!$D$29*E198*Assumptions!$B$88+'Product and Cost'!$B$29*(0.4863620081*E197+0.4455809638*E197+0.0356254898*E198+0.0324315384))+E202*('Product and Cost'!$D$30*E198*Assumptions!$B$88+'Product and Cost'!$B$30*(0.4863620081*E197+0.4455809638*E197+0.0356254898*E198+0.0324315384))+E203*('Product and Cost'!$D$31*E198*Assumptions!$B$88+'Product and Cost'!$B$31*(0.4863620081*E197+0.4455809638*E197+0.0356254898*E198+0.0324315384))+E204*('Product and Cost'!$D$32*E198*Assumptions!$B$88+'Product and Cost'!$B$32*(0.4863620081*E197+0.4455809638*E197+0.0356254898*E198+0.0324315384))+E205*('Product and Cost'!$D$33*E198*Assumptions!$B$88+'Product and Cost'!$B$33*(0.4863620081*E197+0.4455809638*E197+0.0356254898*E198+0.0324315384))+E206*('Product and Cost'!$D$34*E198*Assumptions!$B$88+'Product and Cost'!$B$34*(0.4863620081*E197+0.4455809638*E197+0.0356254898*E198+0.0324315384))</f>
        <v/>
      </c>
      <c r="F209" s="18">
        <f>F199*('Product and Cost'!$D$27*F198*Assumptions!$B$88+'Product and Cost'!$B$27*(0.4863620081*F197+0.4455809638*F197+0.0356254898*F198+0.0324315384))+F200*('Product and Cost'!$D$28*F198*Assumptions!$B$88+'Product and Cost'!$B$28*(0.4863620081*F197+0.4455809638*F197+0.0356254898*F198+0.0324315384))+F201*('Product and Cost'!$D$29*F198*Assumptions!$B$88+'Product and Cost'!$B$29*(0.4863620081*F197+0.4455809638*F197+0.0356254898*F198+0.0324315384))+F202*('Product and Cost'!$D$30*F198*Assumptions!$B$88+'Product and Cost'!$B$30*(0.4863620081*F197+0.4455809638*F197+0.0356254898*F198+0.0324315384))+F203*('Product and Cost'!$D$31*F198*Assumptions!$B$88+'Product and Cost'!$B$31*(0.4863620081*F197+0.4455809638*F197+0.0356254898*F198+0.0324315384))+F204*('Product and Cost'!$D$32*F198*Assumptions!$B$88+'Product and Cost'!$B$32*(0.4863620081*F197+0.4455809638*F197+0.0356254898*F198+0.0324315384))+F205*('Product and Cost'!$D$33*F198*Assumptions!$B$88+'Product and Cost'!$B$33*(0.4863620081*F197+0.4455809638*F197+0.0356254898*F198+0.0324315384))+F206*('Product and Cost'!$D$34*F198*Assumptions!$B$88+'Product and Cost'!$B$34*(0.4863620081*F197+0.4455809638*F197+0.0356254898*F198+0.0324315384))</f>
        <v/>
      </c>
      <c r="G209" s="18">
        <f>G199*('Product and Cost'!$D$27*G198*Assumptions!$B$88+'Product and Cost'!$B$27*(0.4863620081*G197+0.4455809638*G197+0.0356254898*G198+0.0324315384))+G200*('Product and Cost'!$D$28*G198*Assumptions!$B$88+'Product and Cost'!$B$28*(0.4863620081*G197+0.4455809638*G197+0.0356254898*G198+0.0324315384))+G201*('Product and Cost'!$D$29*G198*Assumptions!$B$88+'Product and Cost'!$B$29*(0.4863620081*G197+0.4455809638*G197+0.0356254898*G198+0.0324315384))+G202*('Product and Cost'!$D$30*G198*Assumptions!$B$88+'Product and Cost'!$B$30*(0.4863620081*G197+0.4455809638*G197+0.0356254898*G198+0.0324315384))+G203*('Product and Cost'!$D$31*G198*Assumptions!$B$88+'Product and Cost'!$B$31*(0.4863620081*G197+0.4455809638*G197+0.0356254898*G198+0.0324315384))+G204*('Product and Cost'!$D$32*G198*Assumptions!$B$88+'Product and Cost'!$B$32*(0.4863620081*G197+0.4455809638*G197+0.0356254898*G198+0.0324315384))+G205*('Product and Cost'!$D$33*G198*Assumptions!$B$88+'Product and Cost'!$B$33*(0.4863620081*G197+0.4455809638*G197+0.0356254898*G198+0.0324315384))+G206*('Product and Cost'!$D$34*G198*Assumptions!$B$88+'Product and Cost'!$B$34*(0.4863620081*G197+0.4455809638*G197+0.0356254898*G198+0.0324315384))</f>
        <v/>
      </c>
    </row>
    <row r="210">
      <c r="A210" s="17" t="inlineStr">
        <is>
          <t>GROSS PROFIT</t>
        </is>
      </c>
      <c r="C210" s="20">
        <f>C208-C209+$C$9*C208</f>
        <v/>
      </c>
      <c r="D210" s="20">
        <f>D208-D209+$C$9*D208</f>
        <v/>
      </c>
      <c r="E210" s="20">
        <f>E208-E209+$C$9*E208</f>
        <v/>
      </c>
      <c r="F210" s="20">
        <f>F208-F209+$C$9*F208</f>
        <v/>
      </c>
      <c r="G210" s="20">
        <f>G208-G209+$C$9*G208</f>
        <v/>
      </c>
    </row>
    <row r="211">
      <c r="A211" s="9" t="inlineStr">
        <is>
          <t>Gross margin</t>
        </is>
      </c>
      <c r="C211" s="19">
        <f>C210/C208</f>
        <v/>
      </c>
      <c r="D211" s="19">
        <f>D210/D208</f>
        <v/>
      </c>
      <c r="E211" s="19">
        <f>E210/E208</f>
        <v/>
      </c>
      <c r="F211" s="19">
        <f>F210/F208</f>
        <v/>
      </c>
      <c r="G211" s="19">
        <f>G210/G208</f>
        <v/>
      </c>
    </row>
    <row r="212">
      <c r="A212" s="9" t="inlineStr">
        <is>
          <t>Operating expense</t>
        </is>
      </c>
      <c r="C212" s="18">
        <f>('Base Year'!$B$28*C197)+('Base Year'!$B$29*C197*C207/'Product and Cost'!$E$14)+('Base Year'!$B$30*C197)+('Base Year'!$B$31*C197)</f>
        <v/>
      </c>
      <c r="D212" s="18">
        <f>('Base Year'!$B$28*D197)+('Base Year'!$B$29*D197*D207/'Product and Cost'!$E$14)+('Base Year'!$B$30*D197)+('Base Year'!$B$31*D197)</f>
        <v/>
      </c>
      <c r="E212" s="18">
        <f>('Base Year'!$B$28*E197)+('Base Year'!$B$29*E197*E207/'Product and Cost'!$E$14)+('Base Year'!$B$30*E197)+('Base Year'!$B$31*E197)</f>
        <v/>
      </c>
      <c r="F212" s="18">
        <f>('Base Year'!$B$28*F197)+('Base Year'!$B$29*F197*F207/'Product and Cost'!$E$14)+('Base Year'!$B$30*F197)+('Base Year'!$B$31*F197)</f>
        <v/>
      </c>
      <c r="G212" s="18">
        <f>('Base Year'!$B$28*G197)+('Base Year'!$B$29*G197*G207/'Product and Cost'!$E$14)+('Base Year'!$B$30*G197)+('Base Year'!$B$31*G197)</f>
        <v/>
      </c>
    </row>
    <row r="213">
      <c r="A213" s="17" t="inlineStr">
        <is>
          <t>EBITDA</t>
        </is>
      </c>
      <c r="C213" s="20">
        <f>C210-C212</f>
        <v/>
      </c>
      <c r="D213" s="20">
        <f>D210-D212</f>
        <v/>
      </c>
      <c r="E213" s="20">
        <f>E210-E212</f>
        <v/>
      </c>
      <c r="F213" s="20">
        <f>F210-F212</f>
        <v/>
      </c>
      <c r="G213" s="20">
        <f>G210-G212</f>
        <v/>
      </c>
    </row>
    <row r="214">
      <c r="A214" s="9" t="inlineStr">
        <is>
          <t>Capital expenditure — maintenance + growth</t>
        </is>
      </c>
      <c r="C214" s="18">
        <f>'Base Year'!$B$43*C197+MAX(C207-'Product and Cost'!$E$14,0)*1947.901031*C197</f>
        <v/>
      </c>
      <c r="D214" s="18">
        <f>'Base Year'!$B$43*D197+MAX(D207-C207,0)*1947.901031*D197</f>
        <v/>
      </c>
      <c r="E214" s="18">
        <f>'Base Year'!$B$43*E197+MAX(E207-D207,0)*1947.901031*E197</f>
        <v/>
      </c>
      <c r="F214" s="18">
        <f>'Base Year'!$B$43*F197+MAX(F207-E207,0)*1947.901031*F197</f>
        <v/>
      </c>
      <c r="G214" s="18">
        <f>'Base Year'!$B$43*G197+MAX(G207-F207,0)*1947.901031*G197</f>
        <v/>
      </c>
    </row>
    <row r="215">
      <c r="A215" s="9" t="inlineStr">
        <is>
          <t>Fixed assets at cost, closing</t>
        </is>
      </c>
      <c r="C215" s="18">
        <f>(Assumptions!$B$70+Assumptions!$B$71)/10^6+C214</f>
        <v/>
      </c>
      <c r="D215" s="18">
        <f>C215+D214</f>
        <v/>
      </c>
      <c r="E215" s="18">
        <f>D215+E214</f>
        <v/>
      </c>
      <c r="F215" s="18">
        <f>E215+F214</f>
        <v/>
      </c>
      <c r="G215" s="18">
        <f>F215+G214</f>
        <v/>
      </c>
    </row>
    <row r="216">
      <c r="A216" s="9" t="inlineStr">
        <is>
          <t>Depreciation — rolls off the asset register</t>
        </is>
      </c>
      <c r="C216" s="18">
        <f>(Assumptions!$B$70+Assumptions!$B$71)/10^6/'Base Year'!$B$42</f>
        <v/>
      </c>
      <c r="D216" s="18">
        <f>C215/'Base Year'!$B$42</f>
        <v/>
      </c>
      <c r="E216" s="18">
        <f>D215/'Base Year'!$B$42</f>
        <v/>
      </c>
      <c r="F216" s="18">
        <f>E215/'Base Year'!$B$42</f>
        <v/>
      </c>
      <c r="G216" s="18">
        <f>F215/'Base Year'!$B$42</f>
        <v/>
      </c>
    </row>
    <row r="217">
      <c r="A217" s="9" t="inlineStr">
        <is>
          <t>Fixed assets, net book, closing</t>
        </is>
      </c>
      <c r="C217" s="18">
        <f>(Assumptions!$B$69+Assumptions!$B$71)/10^6+C214-C216</f>
        <v/>
      </c>
      <c r="D217" s="18">
        <f>C217+D214-D216</f>
        <v/>
      </c>
      <c r="E217" s="18">
        <f>D217+E214-E216</f>
        <v/>
      </c>
      <c r="F217" s="18">
        <f>E217+F214-F216</f>
        <v/>
      </c>
      <c r="G217" s="18">
        <f>F217+G214-G216</f>
        <v/>
      </c>
    </row>
    <row r="218">
      <c r="A218" s="17" t="inlineStr">
        <is>
          <t>EBIT</t>
        </is>
      </c>
      <c r="C218" s="20">
        <f>C213-C216</f>
        <v/>
      </c>
      <c r="D218" s="20">
        <f>D213-D216</f>
        <v/>
      </c>
      <c r="E218" s="20">
        <f>E213-E216</f>
        <v/>
      </c>
      <c r="F218" s="20">
        <f>F213-F216</f>
        <v/>
      </c>
      <c r="G218" s="20">
        <f>G213-G216</f>
        <v/>
      </c>
    </row>
    <row r="219">
      <c r="A219" s="9" t="inlineStr">
        <is>
          <t>NOPAT before the profit share</t>
        </is>
      </c>
      <c r="C219" s="18">
        <f>C218*(1-Assumptions!$B$87)</f>
        <v/>
      </c>
      <c r="D219" s="18">
        <f>D218*(1-Assumptions!$B$87)</f>
        <v/>
      </c>
      <c r="E219" s="18">
        <f>E218*(1-Assumptions!$B$87)</f>
        <v/>
      </c>
      <c r="F219" s="18">
        <f>F218*(1-Assumptions!$B$87)</f>
        <v/>
      </c>
      <c r="G219" s="18">
        <f>G218*(1-Assumptions!$B$87)</f>
        <v/>
      </c>
    </row>
    <row r="220">
      <c r="A220" s="9" t="inlineStr">
        <is>
          <t xml:space="preserve">  less employees' profit share and board bonuses</t>
        </is>
      </c>
      <c r="C220" s="18">
        <f>MAX(C219,0)*'Base Year'!$B$40</f>
        <v/>
      </c>
      <c r="D220" s="18">
        <f>MAX(D219,0)*'Base Year'!$B$40</f>
        <v/>
      </c>
      <c r="E220" s="18">
        <f>MAX(E219,0)*'Base Year'!$B$40</f>
        <v/>
      </c>
      <c r="F220" s="18">
        <f>MAX(F219,0)*'Base Year'!$B$40</f>
        <v/>
      </c>
      <c r="G220" s="18">
        <f>MAX(G219,0)*'Base Year'!$B$40</f>
        <v/>
      </c>
    </row>
    <row r="221">
      <c r="A221" s="17" t="inlineStr">
        <is>
          <t>NOPAT</t>
        </is>
      </c>
      <c r="C221" s="20">
        <f>C219-C220</f>
        <v/>
      </c>
      <c r="D221" s="20">
        <f>D219-D220</f>
        <v/>
      </c>
      <c r="E221" s="20">
        <f>E219-E220</f>
        <v/>
      </c>
      <c r="F221" s="20">
        <f>F219-F220</f>
        <v/>
      </c>
      <c r="G221" s="20">
        <f>G219-G220</f>
        <v/>
      </c>
    </row>
    <row r="222">
      <c r="A222" s="9" t="inlineStr">
        <is>
          <t>Net working capital — on days</t>
        </is>
      </c>
      <c r="C222" s="18">
        <f>'Base Year'!$B$44*Forecast!$B$9/365*C209+'Base Year'!$B$45*Forecast!$B$9/365*C208-'Base Year'!$B$46*Forecast!$B$9/365*C209</f>
        <v/>
      </c>
      <c r="D222" s="18">
        <f>'Base Year'!$B$44*Forecast!$B$9/365*D209+'Base Year'!$B$45*Forecast!$B$9/365*D208-'Base Year'!$B$46*Forecast!$B$9/365*D209</f>
        <v/>
      </c>
      <c r="E222" s="18">
        <f>'Base Year'!$B$44*Forecast!$B$9/365*E209+'Base Year'!$B$45*Forecast!$B$9/365*E208-'Base Year'!$B$46*Forecast!$B$9/365*E209</f>
        <v/>
      </c>
      <c r="F222" s="18">
        <f>'Base Year'!$B$44*Forecast!$B$9/365*F209+'Base Year'!$B$45*Forecast!$B$9/365*F208-'Base Year'!$B$46*Forecast!$B$9/365*F209</f>
        <v/>
      </c>
      <c r="G222" s="18">
        <f>'Base Year'!$B$44*Forecast!$B$9/365*G209+'Base Year'!$B$45*Forecast!$B$9/365*G208-'Base Year'!$B$46*Forecast!$B$9/365*G209</f>
        <v/>
      </c>
    </row>
    <row r="223">
      <c r="A223" s="9" t="inlineStr">
        <is>
          <t xml:space="preserve">  change in working capital</t>
        </is>
      </c>
      <c r="C223" s="18">
        <f>C222-('Base Year'!$B$44/365*'Base Year'!$B$21+'Base Year'!$B$45/365*'Base Year'!$B$19-'Base Year'!$B$46/365*'Base Year'!$B$21)</f>
        <v/>
      </c>
      <c r="D223" s="18">
        <f>D222-C222</f>
        <v/>
      </c>
      <c r="E223" s="18">
        <f>E222-D222</f>
        <v/>
      </c>
      <c r="F223" s="18">
        <f>F222-E222</f>
        <v/>
      </c>
      <c r="G223" s="18">
        <f>G222-F222</f>
        <v/>
      </c>
    </row>
    <row r="224">
      <c r="A224" s="17" t="inlineStr">
        <is>
          <t>FREE CASH FLOW TO THE FIRM</t>
        </is>
      </c>
      <c r="C224" s="20">
        <f>C221+C216-C214-C223</f>
        <v/>
      </c>
      <c r="D224" s="20">
        <f>D221+D216-D214-D223</f>
        <v/>
      </c>
      <c r="E224" s="20">
        <f>E221+E216-E214-E223</f>
        <v/>
      </c>
      <c r="F224" s="20">
        <f>F221+F216-F214-F223</f>
        <v/>
      </c>
      <c r="G224" s="20">
        <f>G221+G216-G214-G223</f>
        <v/>
      </c>
    </row>
    <row r="225">
      <c r="A225" s="9" t="inlineStr">
        <is>
          <t>Glide fraction</t>
        </is>
      </c>
      <c r="C225" s="26">
        <f>0.0000000000</f>
        <v/>
      </c>
      <c r="D225" s="26">
        <f>0.3571428571</f>
        <v/>
      </c>
      <c r="E225" s="26">
        <f>0.6428571429</f>
        <v/>
      </c>
      <c r="F225" s="26">
        <f>0.8571428571</f>
        <v/>
      </c>
      <c r="G225" s="26">
        <f>1.0000000000</f>
        <v/>
      </c>
    </row>
    <row r="226">
      <c r="A226" s="9" t="inlineStr">
        <is>
          <t>Forward cost of capital</t>
        </is>
      </c>
      <c r="C226" s="19">
        <f>Forecast!$B$14-(Forecast!$B$14-Forecast!$B$17)*C225</f>
        <v/>
      </c>
      <c r="D226" s="19">
        <f>Forecast!$B$14-(Forecast!$B$14-Forecast!$B$17)*D225</f>
        <v/>
      </c>
      <c r="E226" s="19">
        <f>Forecast!$B$14-(Forecast!$B$14-Forecast!$B$17)*E225</f>
        <v/>
      </c>
      <c r="F226" s="19">
        <f>Forecast!$B$14-(Forecast!$B$14-Forecast!$B$17)*F225</f>
        <v/>
      </c>
      <c r="G226" s="19">
        <f>Forecast!$B$14-(Forecast!$B$14-Forecast!$B$17)*G225</f>
        <v/>
      </c>
    </row>
    <row r="227">
      <c r="A227" s="9" t="inlineStr">
        <is>
          <t>Cumulative discount factor</t>
        </is>
      </c>
      <c r="C227" s="29">
        <f>1/(1+C226)</f>
        <v/>
      </c>
      <c r="D227" s="29">
        <f>C227/(1+D226)</f>
        <v/>
      </c>
      <c r="E227" s="29">
        <f>D227/(1+E226)</f>
        <v/>
      </c>
      <c r="F227" s="29">
        <f>E227/(1+F226)</f>
        <v/>
      </c>
      <c r="G227" s="29">
        <f>F227/(1+G226)</f>
        <v/>
      </c>
    </row>
    <row r="228">
      <c r="A228" s="9" t="inlineStr">
        <is>
          <t>Present value</t>
        </is>
      </c>
      <c r="C228" s="18">
        <f>C224*C227</f>
        <v/>
      </c>
      <c r="D228" s="18">
        <f>D224*D227</f>
        <v/>
      </c>
      <c r="E228" s="18">
        <f>E224*E227</f>
        <v/>
      </c>
      <c r="F228" s="18">
        <f>F224*F227</f>
        <v/>
      </c>
      <c r="G228" s="18">
        <f>G224*G227</f>
        <v/>
      </c>
    </row>
    <row r="229">
      <c r="A229" s="17" t="inlineStr">
        <is>
          <t>PV of the explicit window</t>
        </is>
      </c>
      <c r="B229" s="20">
        <f>SUM(C228:G228)</f>
        <v/>
      </c>
      <c r="C229" s="18">
        <f>C222+C215</f>
        <v/>
      </c>
      <c r="D229" s="18">
        <f>D222+D215</f>
        <v/>
      </c>
      <c r="E229" s="18">
        <f>E222+E215</f>
        <v/>
      </c>
      <c r="F229" s="18">
        <f>F222+F215</f>
        <v/>
      </c>
      <c r="G229" s="18">
        <f>G222+G215</f>
        <v/>
      </c>
    </row>
    <row r="230">
      <c r="A230" s="9" t="inlineStr">
        <is>
          <t>Terminal return on invested capital, at REPLACEMENT cost</t>
        </is>
      </c>
      <c r="B230" s="19">
        <f>G221*(1+Assumptions!$B$89)/G229</f>
        <v/>
      </c>
    </row>
    <row r="231">
      <c r="A231" s="9" t="inlineStr">
        <is>
          <t>Required reinvestment = growth / return</t>
        </is>
      </c>
      <c r="B231" s="19">
        <f>MIN(Assumptions!$B$89/B230,0.95)</f>
        <v/>
      </c>
    </row>
    <row r="232">
      <c r="A232" s="9" t="inlineStr">
        <is>
          <t>Terminal value</t>
        </is>
      </c>
      <c r="B232" s="18">
        <f>G221*(1+Assumptions!$B$89)*(1-B231)/MAX(Forecast!$B$17-Assumptions!$B$89,0.02)</f>
        <v/>
      </c>
    </row>
    <row r="233">
      <c r="A233" s="9" t="inlineStr">
        <is>
          <t>PV of the terminal block</t>
        </is>
      </c>
      <c r="B233" s="18">
        <f>B232*G227</f>
        <v/>
      </c>
    </row>
    <row r="234">
      <c r="A234" s="17" t="inlineStr">
        <is>
          <t>ENTERPRISE VALUE</t>
        </is>
      </c>
      <c r="B234" s="20">
        <f>B229+B233</f>
        <v/>
      </c>
    </row>
    <row r="235">
      <c r="A235" s="9" t="inlineStr">
        <is>
          <t>plus net cash</t>
        </is>
      </c>
      <c r="B235" s="18">
        <f>(Assumptions!$B$79-Assumptions!$B$82-Assumptions!$B$83)/10^6</f>
        <v/>
      </c>
    </row>
    <row r="236">
      <c r="A236" s="9" t="inlineStr">
        <is>
          <t>Enterprise value including cash</t>
        </is>
      </c>
      <c r="B236" s="18">
        <f>B234+B235</f>
        <v/>
      </c>
    </row>
    <row r="237">
      <c r="A237" s="9" t="inlineStr">
        <is>
          <t>less minority — on the WHOLE enterprise, cash included</t>
        </is>
      </c>
      <c r="B237" s="18">
        <f>B236*'Base Year'!$B$41</f>
        <v/>
      </c>
    </row>
    <row r="238">
      <c r="A238" s="9" t="inlineStr">
        <is>
          <t>less the tax-disputes provision</t>
        </is>
      </c>
      <c r="B238" s="18">
        <f>Assumptions!$B$78/10^6</f>
        <v/>
      </c>
    </row>
    <row r="239">
      <c r="A239" s="9" t="inlineStr">
        <is>
          <t>less dividends payable — declared, out of working capital</t>
        </is>
      </c>
      <c r="B239" s="18">
        <f>Assumptions!$B$77/10^6</f>
        <v/>
      </c>
    </row>
    <row r="240">
      <c r="A240" s="9" t="inlineStr">
        <is>
          <t>plus non-operating investments and pledged deposits</t>
        </is>
      </c>
      <c r="B240" s="18">
        <f>(Assumptions!$B$81+Assumptions!$B$80)/10^6</f>
        <v/>
      </c>
    </row>
    <row r="241">
      <c r="A241" s="17" t="inlineStr">
        <is>
          <t>EQUITY ATTRIBUTABLE</t>
        </is>
      </c>
      <c r="B241" s="20">
        <f>B236-B237-B238-B239+B240</f>
        <v/>
      </c>
    </row>
    <row r="242">
      <c r="A242" s="17" t="inlineStr">
        <is>
          <t>VALUE PER SHARE, EGP</t>
        </is>
      </c>
      <c r="B242" s="30">
        <f>B241/Assumptions!$B$8</f>
        <v/>
      </c>
    </row>
    <row r="245">
      <c r="A245" s="6" t="inlineStr">
        <is>
          <t>Gross margin, shifted on every forecast year — +1.0%</t>
        </is>
      </c>
      <c r="B245" s="6" t="inlineStr">
        <is>
          <t>2026E</t>
        </is>
      </c>
      <c r="C245" s="6" t="inlineStr">
        <is>
          <t>2027E</t>
        </is>
      </c>
      <c r="D245" s="6" t="inlineStr">
        <is>
          <t>2028E</t>
        </is>
      </c>
      <c r="E245" s="6" t="inlineStr">
        <is>
          <t>2029E</t>
        </is>
      </c>
      <c r="F245" s="6" t="inlineStr">
        <is>
          <t>2030E</t>
        </is>
      </c>
    </row>
    <row r="246">
      <c r="A246" s="9" t="inlineStr">
        <is>
          <t>Inflation index, cumulative</t>
        </is>
      </c>
      <c r="C246" s="26">
        <f>Assumptions!$B$146</f>
        <v/>
      </c>
      <c r="D246" s="26">
        <f>C246*Assumptions!$B$147</f>
        <v/>
      </c>
      <c r="E246" s="26">
        <f>D246*Assumptions!$B$148</f>
        <v/>
      </c>
      <c r="F246" s="26">
        <f>E246*Assumptions!$B$149</f>
        <v/>
      </c>
      <c r="G246" s="26">
        <f>F246*Assumptions!$B$150</f>
        <v/>
      </c>
    </row>
    <row r="247">
      <c r="A247" s="9" t="inlineStr">
        <is>
          <t>Realisation index, cumulative</t>
        </is>
      </c>
      <c r="C247" s="26">
        <f>(1+Assumptions!$B$101*Forecast!$B$8)</f>
        <v/>
      </c>
      <c r="D247" s="26">
        <f>C247*(1+Assumptions!$B$102*Forecast!$B$8)</f>
        <v/>
      </c>
      <c r="E247" s="26">
        <f>D247*(1+Assumptions!$B$103*Forecast!$B$8)</f>
        <v/>
      </c>
      <c r="F247" s="26">
        <f>E247*(1+Assumptions!$B$104*Forecast!$B$8)</f>
        <v/>
      </c>
      <c r="G247" s="26">
        <f>F247*(1+Assumptions!$B$105*Forecast!$B$8)</f>
        <v/>
      </c>
    </row>
    <row r="248">
      <c r="A248" s="9" t="inlineStr">
        <is>
          <t xml:space="preserve">  Volume — Base and special oils, mn t</t>
        </is>
      </c>
      <c r="C248" s="26">
        <f>'Product and Cost'!E6*(1+Assumptions!$B$106+Forecast!$B$6)</f>
        <v/>
      </c>
      <c r="D248" s="26">
        <f>C248*(1+Assumptions!$B$107+Forecast!$B$6)</f>
        <v/>
      </c>
      <c r="E248" s="26">
        <f>D248*(1+Assumptions!$B$108+Forecast!$B$6)</f>
        <v/>
      </c>
      <c r="F248" s="26">
        <f>E248*(1+Assumptions!$B$109+Forecast!$B$6)</f>
        <v/>
      </c>
      <c r="G248" s="26">
        <f>F248*(1+Assumptions!$B$110+Forecast!$B$6)</f>
        <v/>
      </c>
    </row>
    <row r="249">
      <c r="A249" s="9" t="inlineStr">
        <is>
          <t xml:space="preserve">  Volume — Paraffin wax, mn t</t>
        </is>
      </c>
      <c r="C249" s="26">
        <f>'Product and Cost'!E7*(1+Assumptions!$B$111+Forecast!$B$6)</f>
        <v/>
      </c>
      <c r="D249" s="26">
        <f>C249*(1+Assumptions!$B$112+Forecast!$B$6)</f>
        <v/>
      </c>
      <c r="E249" s="26">
        <f>D249*(1+Assumptions!$B$113+Forecast!$B$6)</f>
        <v/>
      </c>
      <c r="F249" s="26">
        <f>E249*(1+Assumptions!$B$114+Forecast!$B$6)</f>
        <v/>
      </c>
      <c r="G249" s="26">
        <f>F249*(1+Assumptions!$B$115+Forecast!$B$6)</f>
        <v/>
      </c>
    </row>
    <row r="250">
      <c r="A250" s="9" t="inlineStr">
        <is>
          <t xml:space="preserve">  Volume — Gas oil, mn t</t>
        </is>
      </c>
      <c r="C250" s="26">
        <f>'Product and Cost'!E8*(1+Assumptions!$B$116+Forecast!$B$6)</f>
        <v/>
      </c>
      <c r="D250" s="26">
        <f>C250*(1+Assumptions!$B$117+Forecast!$B$6)</f>
        <v/>
      </c>
      <c r="E250" s="26">
        <f>D250*(1+Assumptions!$B$118+Forecast!$B$6)</f>
        <v/>
      </c>
      <c r="F250" s="26">
        <f>E250*(1+Assumptions!$B$119+Forecast!$B$6)</f>
        <v/>
      </c>
      <c r="G250" s="26">
        <f>F250*(1+Assumptions!$B$120+Forecast!$B$6)</f>
        <v/>
      </c>
    </row>
    <row r="251">
      <c r="A251" s="9" t="inlineStr">
        <is>
          <t xml:space="preserve">  Volume — Naphtha, mn t</t>
        </is>
      </c>
      <c r="C251" s="26">
        <f>'Product and Cost'!E9*(1+Assumptions!$B$121+Forecast!$B$6)</f>
        <v/>
      </c>
      <c r="D251" s="26">
        <f>C251*(1+Assumptions!$B$122+Forecast!$B$6)</f>
        <v/>
      </c>
      <c r="E251" s="26">
        <f>D251*(1+Assumptions!$B$123+Forecast!$B$6)</f>
        <v/>
      </c>
      <c r="F251" s="26">
        <f>E251*(1+Assumptions!$B$124+Forecast!$B$6)</f>
        <v/>
      </c>
      <c r="G251" s="26">
        <f>F251*(1+Assumptions!$B$125+Forecast!$B$6)</f>
        <v/>
      </c>
    </row>
    <row r="252">
      <c r="A252" s="9" t="inlineStr">
        <is>
          <t xml:space="preserve">  Volume — Liquefied petroleum gas, mn t</t>
        </is>
      </c>
      <c r="C252" s="26">
        <f>'Product and Cost'!E10*(1+Assumptions!$B$126+Forecast!$B$6)</f>
        <v/>
      </c>
      <c r="D252" s="26">
        <f>C252*(1+Assumptions!$B$127+Forecast!$B$6)</f>
        <v/>
      </c>
      <c r="E252" s="26">
        <f>D252*(1+Assumptions!$B$128+Forecast!$B$6)</f>
        <v/>
      </c>
      <c r="F252" s="26">
        <f>E252*(1+Assumptions!$B$129+Forecast!$B$6)</f>
        <v/>
      </c>
      <c r="G252" s="26">
        <f>F252*(1+Assumptions!$B$130+Forecast!$B$6)</f>
        <v/>
      </c>
    </row>
    <row r="253">
      <c r="A253" s="9" t="inlineStr">
        <is>
          <t xml:space="preserve">  Volume — Fuel oil (mix), mn t</t>
        </is>
      </c>
      <c r="C253" s="26">
        <f>'Product and Cost'!E11*(1+Assumptions!$B$131+Forecast!$B$6)</f>
        <v/>
      </c>
      <c r="D253" s="26">
        <f>C253*(1+Assumptions!$B$132+Forecast!$B$6)</f>
        <v/>
      </c>
      <c r="E253" s="26">
        <f>D253*(1+Assumptions!$B$133+Forecast!$B$6)</f>
        <v/>
      </c>
      <c r="F253" s="26">
        <f>E253*(1+Assumptions!$B$134+Forecast!$B$6)</f>
        <v/>
      </c>
      <c r="G253" s="26">
        <f>F253*(1+Assumptions!$B$135+Forecast!$B$6)</f>
        <v/>
      </c>
    </row>
    <row r="254">
      <c r="A254" s="9" t="inlineStr">
        <is>
          <t xml:space="preserve">  Volume — Heavy fuel oil, mn t</t>
        </is>
      </c>
      <c r="C254" s="26">
        <f>'Product and Cost'!E12*(1+Assumptions!$B$136+Forecast!$B$6)</f>
        <v/>
      </c>
      <c r="D254" s="26">
        <f>C254*(1+Assumptions!$B$137+Forecast!$B$6)</f>
        <v/>
      </c>
      <c r="E254" s="26">
        <f>D254*(1+Assumptions!$B$138+Forecast!$B$6)</f>
        <v/>
      </c>
      <c r="F254" s="26">
        <f>E254*(1+Assumptions!$B$139+Forecast!$B$6)</f>
        <v/>
      </c>
      <c r="G254" s="26">
        <f>F254*(1+Assumptions!$B$140+Forecast!$B$6)</f>
        <v/>
      </c>
    </row>
    <row r="255">
      <c r="A255" s="9" t="inlineStr">
        <is>
          <t xml:space="preserve">  Volume — Waste, mn t</t>
        </is>
      </c>
      <c r="C255" s="26">
        <f>'Product and Cost'!E13*(1+Assumptions!$B$141+Forecast!$B$6)</f>
        <v/>
      </c>
      <c r="D255" s="26">
        <f>C255*(1+Assumptions!$B$142+Forecast!$B$6)</f>
        <v/>
      </c>
      <c r="E255" s="26">
        <f>D255*(1+Assumptions!$B$143+Forecast!$B$6)</f>
        <v/>
      </c>
      <c r="F255" s="26">
        <f>E255*(1+Assumptions!$B$144+Forecast!$B$6)</f>
        <v/>
      </c>
      <c r="G255" s="26">
        <f>F255*(1+Assumptions!$B$145+Forecast!$B$6)</f>
        <v/>
      </c>
    </row>
    <row r="256">
      <c r="A256" s="17" t="inlineStr">
        <is>
          <t>Total volume, mn t</t>
        </is>
      </c>
      <c r="C256" s="28">
        <f>SUM(C248:C255)</f>
        <v/>
      </c>
      <c r="D256" s="28">
        <f>SUM(D248:D255)</f>
        <v/>
      </c>
      <c r="E256" s="28">
        <f>SUM(E248:E255)</f>
        <v/>
      </c>
      <c r="F256" s="28">
        <f>SUM(F248:F255)</f>
        <v/>
      </c>
      <c r="G256" s="28">
        <f>SUM(G248:G255)</f>
        <v/>
      </c>
    </row>
    <row r="257">
      <c r="A257" s="17" t="inlineStr">
        <is>
          <t>REVENUE</t>
        </is>
      </c>
      <c r="C257" s="20">
        <f>C248*'Product and Cost'!$F$6*C247+C249*'Product and Cost'!$F$7*C247+C250*'Product and Cost'!$F$8*C247+C251*'Product and Cost'!$F$9*C247+C252*'Product and Cost'!$F$10*C247+C253*'Product and Cost'!$F$11*C247+C254*'Product and Cost'!$F$12*C247+C255*'Product and Cost'!$F$13*C247</f>
        <v/>
      </c>
      <c r="D257" s="20">
        <f>D248*'Product and Cost'!$F$6*D247+D249*'Product and Cost'!$F$7*D247+D250*'Product and Cost'!$F$8*D247+D251*'Product and Cost'!$F$9*D247+D252*'Product and Cost'!$F$10*D247+D253*'Product and Cost'!$F$11*D247+D254*'Product and Cost'!$F$12*D247+D255*'Product and Cost'!$F$13*D247</f>
        <v/>
      </c>
      <c r="E257" s="20">
        <f>E248*'Product and Cost'!$F$6*E247+E249*'Product and Cost'!$F$7*E247+E250*'Product and Cost'!$F$8*E247+E251*'Product and Cost'!$F$9*E247+E252*'Product and Cost'!$F$10*E247+E253*'Product and Cost'!$F$11*E247+E254*'Product and Cost'!$F$12*E247+E255*'Product and Cost'!$F$13*E247</f>
        <v/>
      </c>
      <c r="F257" s="20">
        <f>F248*'Product and Cost'!$F$6*F247+F249*'Product and Cost'!$F$7*F247+F250*'Product and Cost'!$F$8*F247+F251*'Product and Cost'!$F$9*F247+F252*'Product and Cost'!$F$10*F247+F253*'Product and Cost'!$F$11*F247+F254*'Product and Cost'!$F$12*F247+F255*'Product and Cost'!$F$13*F247</f>
        <v/>
      </c>
      <c r="G257" s="20">
        <f>G248*'Product and Cost'!$F$6*G247+G249*'Product and Cost'!$F$7*G247+G250*'Product and Cost'!$F$8*G247+G251*'Product and Cost'!$F$9*G247+G252*'Product and Cost'!$F$10*G247+G253*'Product and Cost'!$F$11*G247+G254*'Product and Cost'!$F$12*G247+G255*'Product and Cost'!$F$13*G247</f>
        <v/>
      </c>
    </row>
    <row r="258">
      <c r="A258" s="9" t="inlineStr">
        <is>
          <t>Cost of sales</t>
        </is>
      </c>
      <c r="C258" s="18">
        <f>C248*('Product and Cost'!$D$27*C247*Assumptions!$B$88+'Product and Cost'!$B$27*(0.4863620081*C246+0.4455809638*C246+0.0356254898*C247+0.0324315384))+C249*('Product and Cost'!$D$28*C247*Assumptions!$B$88+'Product and Cost'!$B$28*(0.4863620081*C246+0.4455809638*C246+0.0356254898*C247+0.0324315384))+C250*('Product and Cost'!$D$29*C247*Assumptions!$B$88+'Product and Cost'!$B$29*(0.4863620081*C246+0.4455809638*C246+0.0356254898*C247+0.0324315384))+C251*('Product and Cost'!$D$30*C247*Assumptions!$B$88+'Product and Cost'!$B$30*(0.4863620081*C246+0.4455809638*C246+0.0356254898*C247+0.0324315384))+C252*('Product and Cost'!$D$31*C247*Assumptions!$B$88+'Product and Cost'!$B$31*(0.4863620081*C246+0.4455809638*C246+0.0356254898*C247+0.0324315384))+C253*('Product and Cost'!$D$32*C247*Assumptions!$B$88+'Product and Cost'!$B$32*(0.4863620081*C246+0.4455809638*C246+0.0356254898*C247+0.0324315384))+C254*('Product and Cost'!$D$33*C247*Assumptions!$B$88+'Product and Cost'!$B$33*(0.4863620081*C246+0.4455809638*C246+0.0356254898*C247+0.0324315384))+C255*('Product and Cost'!$D$34*C247*Assumptions!$B$88+'Product and Cost'!$B$34*(0.4863620081*C246+0.4455809638*C246+0.0356254898*C247+0.0324315384))</f>
        <v/>
      </c>
      <c r="D258" s="18">
        <f>D248*('Product and Cost'!$D$27*D247*Assumptions!$B$88+'Product and Cost'!$B$27*(0.4863620081*D246+0.4455809638*D246+0.0356254898*D247+0.0324315384))+D249*('Product and Cost'!$D$28*D247*Assumptions!$B$88+'Product and Cost'!$B$28*(0.4863620081*D246+0.4455809638*D246+0.0356254898*D247+0.0324315384))+D250*('Product and Cost'!$D$29*D247*Assumptions!$B$88+'Product and Cost'!$B$29*(0.4863620081*D246+0.4455809638*D246+0.0356254898*D247+0.0324315384))+D251*('Product and Cost'!$D$30*D247*Assumptions!$B$88+'Product and Cost'!$B$30*(0.4863620081*D246+0.4455809638*D246+0.0356254898*D247+0.0324315384))+D252*('Product and Cost'!$D$31*D247*Assumptions!$B$88+'Product and Cost'!$B$31*(0.4863620081*D246+0.4455809638*D246+0.0356254898*D247+0.0324315384))+D253*('Product and Cost'!$D$32*D247*Assumptions!$B$88+'Product and Cost'!$B$32*(0.4863620081*D246+0.4455809638*D246+0.0356254898*D247+0.0324315384))+D254*('Product and Cost'!$D$33*D247*Assumptions!$B$88+'Product and Cost'!$B$33*(0.4863620081*D246+0.4455809638*D246+0.0356254898*D247+0.0324315384))+D255*('Product and Cost'!$D$34*D247*Assumptions!$B$88+'Product and Cost'!$B$34*(0.4863620081*D246+0.4455809638*D246+0.0356254898*D247+0.0324315384))</f>
        <v/>
      </c>
      <c r="E258" s="18">
        <f>E248*('Product and Cost'!$D$27*E247*Assumptions!$B$88+'Product and Cost'!$B$27*(0.4863620081*E246+0.4455809638*E246+0.0356254898*E247+0.0324315384))+E249*('Product and Cost'!$D$28*E247*Assumptions!$B$88+'Product and Cost'!$B$28*(0.4863620081*E246+0.4455809638*E246+0.0356254898*E247+0.0324315384))+E250*('Product and Cost'!$D$29*E247*Assumptions!$B$88+'Product and Cost'!$B$29*(0.4863620081*E246+0.4455809638*E246+0.0356254898*E247+0.0324315384))+E251*('Product and Cost'!$D$30*E247*Assumptions!$B$88+'Product and Cost'!$B$30*(0.4863620081*E246+0.4455809638*E246+0.0356254898*E247+0.0324315384))+E252*('Product and Cost'!$D$31*E247*Assumptions!$B$88+'Product and Cost'!$B$31*(0.4863620081*E246+0.4455809638*E246+0.0356254898*E247+0.0324315384))+E253*('Product and Cost'!$D$32*E247*Assumptions!$B$88+'Product and Cost'!$B$32*(0.4863620081*E246+0.4455809638*E246+0.0356254898*E247+0.0324315384))+E254*('Product and Cost'!$D$33*E247*Assumptions!$B$88+'Product and Cost'!$B$33*(0.4863620081*E246+0.4455809638*E246+0.0356254898*E247+0.0324315384))+E255*('Product and Cost'!$D$34*E247*Assumptions!$B$88+'Product and Cost'!$B$34*(0.4863620081*E246+0.4455809638*E246+0.0356254898*E247+0.0324315384))</f>
        <v/>
      </c>
      <c r="F258" s="18">
        <f>F248*('Product and Cost'!$D$27*F247*Assumptions!$B$88+'Product and Cost'!$B$27*(0.4863620081*F246+0.4455809638*F246+0.0356254898*F247+0.0324315384))+F249*('Product and Cost'!$D$28*F247*Assumptions!$B$88+'Product and Cost'!$B$28*(0.4863620081*F246+0.4455809638*F246+0.0356254898*F247+0.0324315384))+F250*('Product and Cost'!$D$29*F247*Assumptions!$B$88+'Product and Cost'!$B$29*(0.4863620081*F246+0.4455809638*F246+0.0356254898*F247+0.0324315384))+F251*('Product and Cost'!$D$30*F247*Assumptions!$B$88+'Product and Cost'!$B$30*(0.4863620081*F246+0.4455809638*F246+0.0356254898*F247+0.0324315384))+F252*('Product and Cost'!$D$31*F247*Assumptions!$B$88+'Product and Cost'!$B$31*(0.4863620081*F246+0.4455809638*F246+0.0356254898*F247+0.0324315384))+F253*('Product and Cost'!$D$32*F247*Assumptions!$B$88+'Product and Cost'!$B$32*(0.4863620081*F246+0.4455809638*F246+0.0356254898*F247+0.0324315384))+F254*('Product and Cost'!$D$33*F247*Assumptions!$B$88+'Product and Cost'!$B$33*(0.4863620081*F246+0.4455809638*F246+0.0356254898*F247+0.0324315384))+F255*('Product and Cost'!$D$34*F247*Assumptions!$B$88+'Product and Cost'!$B$34*(0.4863620081*F246+0.4455809638*F246+0.0356254898*F247+0.0324315384))</f>
        <v/>
      </c>
      <c r="G258" s="18">
        <f>G248*('Product and Cost'!$D$27*G247*Assumptions!$B$88+'Product and Cost'!$B$27*(0.4863620081*G246+0.4455809638*G246+0.0356254898*G247+0.0324315384))+G249*('Product and Cost'!$D$28*G247*Assumptions!$B$88+'Product and Cost'!$B$28*(0.4863620081*G246+0.4455809638*G246+0.0356254898*G247+0.0324315384))+G250*('Product and Cost'!$D$29*G247*Assumptions!$B$88+'Product and Cost'!$B$29*(0.4863620081*G246+0.4455809638*G246+0.0356254898*G247+0.0324315384))+G251*('Product and Cost'!$D$30*G247*Assumptions!$B$88+'Product and Cost'!$B$30*(0.4863620081*G246+0.4455809638*G246+0.0356254898*G247+0.0324315384))+G252*('Product and Cost'!$D$31*G247*Assumptions!$B$88+'Product and Cost'!$B$31*(0.4863620081*G246+0.4455809638*G246+0.0356254898*G247+0.0324315384))+G253*('Product and Cost'!$D$32*G247*Assumptions!$B$88+'Product and Cost'!$B$32*(0.4863620081*G246+0.4455809638*G246+0.0356254898*G247+0.0324315384))+G254*('Product and Cost'!$D$33*G247*Assumptions!$B$88+'Product and Cost'!$B$33*(0.4863620081*G246+0.4455809638*G246+0.0356254898*G247+0.0324315384))+G255*('Product and Cost'!$D$34*G247*Assumptions!$B$88+'Product and Cost'!$B$34*(0.4863620081*G246+0.4455809638*G246+0.0356254898*G247+0.0324315384))</f>
        <v/>
      </c>
    </row>
    <row r="259">
      <c r="A259" s="17" t="inlineStr">
        <is>
          <t>GROSS PROFIT</t>
        </is>
      </c>
      <c r="C259" s="20">
        <f>C257-C258+$C$10*C257</f>
        <v/>
      </c>
      <c r="D259" s="20">
        <f>D257-D258+$C$10*D257</f>
        <v/>
      </c>
      <c r="E259" s="20">
        <f>E257-E258+$C$10*E257</f>
        <v/>
      </c>
      <c r="F259" s="20">
        <f>F257-F258+$C$10*F257</f>
        <v/>
      </c>
      <c r="G259" s="20">
        <f>G257-G258+$C$10*G257</f>
        <v/>
      </c>
    </row>
    <row r="260">
      <c r="A260" s="9" t="inlineStr">
        <is>
          <t>Gross margin</t>
        </is>
      </c>
      <c r="C260" s="19">
        <f>C259/C257</f>
        <v/>
      </c>
      <c r="D260" s="19">
        <f>D259/D257</f>
        <v/>
      </c>
      <c r="E260" s="19">
        <f>E259/E257</f>
        <v/>
      </c>
      <c r="F260" s="19">
        <f>F259/F257</f>
        <v/>
      </c>
      <c r="G260" s="19">
        <f>G259/G257</f>
        <v/>
      </c>
    </row>
    <row r="261">
      <c r="A261" s="9" t="inlineStr">
        <is>
          <t>Operating expense</t>
        </is>
      </c>
      <c r="C261" s="18">
        <f>('Base Year'!$B$28*C246)+('Base Year'!$B$29*C246*C256/'Product and Cost'!$E$14)+('Base Year'!$B$30*C246)+('Base Year'!$B$31*C246)</f>
        <v/>
      </c>
      <c r="D261" s="18">
        <f>('Base Year'!$B$28*D246)+('Base Year'!$B$29*D246*D256/'Product and Cost'!$E$14)+('Base Year'!$B$30*D246)+('Base Year'!$B$31*D246)</f>
        <v/>
      </c>
      <c r="E261" s="18">
        <f>('Base Year'!$B$28*E246)+('Base Year'!$B$29*E246*E256/'Product and Cost'!$E$14)+('Base Year'!$B$30*E246)+('Base Year'!$B$31*E246)</f>
        <v/>
      </c>
      <c r="F261" s="18">
        <f>('Base Year'!$B$28*F246)+('Base Year'!$B$29*F246*F256/'Product and Cost'!$E$14)+('Base Year'!$B$30*F246)+('Base Year'!$B$31*F246)</f>
        <v/>
      </c>
      <c r="G261" s="18">
        <f>('Base Year'!$B$28*G246)+('Base Year'!$B$29*G246*G256/'Product and Cost'!$E$14)+('Base Year'!$B$30*G246)+('Base Year'!$B$31*G246)</f>
        <v/>
      </c>
    </row>
    <row r="262">
      <c r="A262" s="17" t="inlineStr">
        <is>
          <t>EBITDA</t>
        </is>
      </c>
      <c r="C262" s="20">
        <f>C259-C261</f>
        <v/>
      </c>
      <c r="D262" s="20">
        <f>D259-D261</f>
        <v/>
      </c>
      <c r="E262" s="20">
        <f>E259-E261</f>
        <v/>
      </c>
      <c r="F262" s="20">
        <f>F259-F261</f>
        <v/>
      </c>
      <c r="G262" s="20">
        <f>G259-G261</f>
        <v/>
      </c>
    </row>
    <row r="263">
      <c r="A263" s="9" t="inlineStr">
        <is>
          <t>Capital expenditure — maintenance + growth</t>
        </is>
      </c>
      <c r="C263" s="18">
        <f>'Base Year'!$B$43*C246+MAX(C256-'Product and Cost'!$E$14,0)*1947.901031*C246</f>
        <v/>
      </c>
      <c r="D263" s="18">
        <f>'Base Year'!$B$43*D246+MAX(D256-C256,0)*1947.901031*D246</f>
        <v/>
      </c>
      <c r="E263" s="18">
        <f>'Base Year'!$B$43*E246+MAX(E256-D256,0)*1947.901031*E246</f>
        <v/>
      </c>
      <c r="F263" s="18">
        <f>'Base Year'!$B$43*F246+MAX(F256-E256,0)*1947.901031*F246</f>
        <v/>
      </c>
      <c r="G263" s="18">
        <f>'Base Year'!$B$43*G246+MAX(G256-F256,0)*1947.901031*G246</f>
        <v/>
      </c>
    </row>
    <row r="264">
      <c r="A264" s="9" t="inlineStr">
        <is>
          <t>Fixed assets at cost, closing</t>
        </is>
      </c>
      <c r="C264" s="18">
        <f>(Assumptions!$B$70+Assumptions!$B$71)/10^6+C263</f>
        <v/>
      </c>
      <c r="D264" s="18">
        <f>C264+D263</f>
        <v/>
      </c>
      <c r="E264" s="18">
        <f>D264+E263</f>
        <v/>
      </c>
      <c r="F264" s="18">
        <f>E264+F263</f>
        <v/>
      </c>
      <c r="G264" s="18">
        <f>F264+G263</f>
        <v/>
      </c>
    </row>
    <row r="265">
      <c r="A265" s="9" t="inlineStr">
        <is>
          <t>Depreciation — rolls off the asset register</t>
        </is>
      </c>
      <c r="C265" s="18">
        <f>(Assumptions!$B$70+Assumptions!$B$71)/10^6/'Base Year'!$B$42</f>
        <v/>
      </c>
      <c r="D265" s="18">
        <f>C264/'Base Year'!$B$42</f>
        <v/>
      </c>
      <c r="E265" s="18">
        <f>D264/'Base Year'!$B$42</f>
        <v/>
      </c>
      <c r="F265" s="18">
        <f>E264/'Base Year'!$B$42</f>
        <v/>
      </c>
      <c r="G265" s="18">
        <f>F264/'Base Year'!$B$42</f>
        <v/>
      </c>
    </row>
    <row r="266">
      <c r="A266" s="9" t="inlineStr">
        <is>
          <t>Fixed assets, net book, closing</t>
        </is>
      </c>
      <c r="C266" s="18">
        <f>(Assumptions!$B$69+Assumptions!$B$71)/10^6+C263-C265</f>
        <v/>
      </c>
      <c r="D266" s="18">
        <f>C266+D263-D265</f>
        <v/>
      </c>
      <c r="E266" s="18">
        <f>D266+E263-E265</f>
        <v/>
      </c>
      <c r="F266" s="18">
        <f>E266+F263-F265</f>
        <v/>
      </c>
      <c r="G266" s="18">
        <f>F266+G263-G265</f>
        <v/>
      </c>
    </row>
    <row r="267">
      <c r="A267" s="17" t="inlineStr">
        <is>
          <t>EBIT</t>
        </is>
      </c>
      <c r="C267" s="20">
        <f>C262-C265</f>
        <v/>
      </c>
      <c r="D267" s="20">
        <f>D262-D265</f>
        <v/>
      </c>
      <c r="E267" s="20">
        <f>E262-E265</f>
        <v/>
      </c>
      <c r="F267" s="20">
        <f>F262-F265</f>
        <v/>
      </c>
      <c r="G267" s="20">
        <f>G262-G265</f>
        <v/>
      </c>
    </row>
    <row r="268">
      <c r="A268" s="9" t="inlineStr">
        <is>
          <t>NOPAT before the profit share</t>
        </is>
      </c>
      <c r="C268" s="18">
        <f>C267*(1-Assumptions!$B$87)</f>
        <v/>
      </c>
      <c r="D268" s="18">
        <f>D267*(1-Assumptions!$B$87)</f>
        <v/>
      </c>
      <c r="E268" s="18">
        <f>E267*(1-Assumptions!$B$87)</f>
        <v/>
      </c>
      <c r="F268" s="18">
        <f>F267*(1-Assumptions!$B$87)</f>
        <v/>
      </c>
      <c r="G268" s="18">
        <f>G267*(1-Assumptions!$B$87)</f>
        <v/>
      </c>
    </row>
    <row r="269">
      <c r="A269" s="9" t="inlineStr">
        <is>
          <t xml:space="preserve">  less employees' profit share and board bonuses</t>
        </is>
      </c>
      <c r="C269" s="18">
        <f>MAX(C268,0)*'Base Year'!$B$40</f>
        <v/>
      </c>
      <c r="D269" s="18">
        <f>MAX(D268,0)*'Base Year'!$B$40</f>
        <v/>
      </c>
      <c r="E269" s="18">
        <f>MAX(E268,0)*'Base Year'!$B$40</f>
        <v/>
      </c>
      <c r="F269" s="18">
        <f>MAX(F268,0)*'Base Year'!$B$40</f>
        <v/>
      </c>
      <c r="G269" s="18">
        <f>MAX(G268,0)*'Base Year'!$B$40</f>
        <v/>
      </c>
    </row>
    <row r="270">
      <c r="A270" s="17" t="inlineStr">
        <is>
          <t>NOPAT</t>
        </is>
      </c>
      <c r="C270" s="20">
        <f>C268-C269</f>
        <v/>
      </c>
      <c r="D270" s="20">
        <f>D268-D269</f>
        <v/>
      </c>
      <c r="E270" s="20">
        <f>E268-E269</f>
        <v/>
      </c>
      <c r="F270" s="20">
        <f>F268-F269</f>
        <v/>
      </c>
      <c r="G270" s="20">
        <f>G268-G269</f>
        <v/>
      </c>
    </row>
    <row r="271">
      <c r="A271" s="9" t="inlineStr">
        <is>
          <t>Net working capital — on days</t>
        </is>
      </c>
      <c r="C271" s="18">
        <f>'Base Year'!$B$44*Forecast!$B$9/365*C258+'Base Year'!$B$45*Forecast!$B$9/365*C257-'Base Year'!$B$46*Forecast!$B$9/365*C258</f>
        <v/>
      </c>
      <c r="D271" s="18">
        <f>'Base Year'!$B$44*Forecast!$B$9/365*D258+'Base Year'!$B$45*Forecast!$B$9/365*D257-'Base Year'!$B$46*Forecast!$B$9/365*D258</f>
        <v/>
      </c>
      <c r="E271" s="18">
        <f>'Base Year'!$B$44*Forecast!$B$9/365*E258+'Base Year'!$B$45*Forecast!$B$9/365*E257-'Base Year'!$B$46*Forecast!$B$9/365*E258</f>
        <v/>
      </c>
      <c r="F271" s="18">
        <f>'Base Year'!$B$44*Forecast!$B$9/365*F258+'Base Year'!$B$45*Forecast!$B$9/365*F257-'Base Year'!$B$46*Forecast!$B$9/365*F258</f>
        <v/>
      </c>
      <c r="G271" s="18">
        <f>'Base Year'!$B$44*Forecast!$B$9/365*G258+'Base Year'!$B$45*Forecast!$B$9/365*G257-'Base Year'!$B$46*Forecast!$B$9/365*G258</f>
        <v/>
      </c>
    </row>
    <row r="272">
      <c r="A272" s="9" t="inlineStr">
        <is>
          <t xml:space="preserve">  change in working capital</t>
        </is>
      </c>
      <c r="C272" s="18">
        <f>C271-('Base Year'!$B$44/365*'Base Year'!$B$21+'Base Year'!$B$45/365*'Base Year'!$B$19-'Base Year'!$B$46/365*'Base Year'!$B$21)</f>
        <v/>
      </c>
      <c r="D272" s="18">
        <f>D271-C271</f>
        <v/>
      </c>
      <c r="E272" s="18">
        <f>E271-D271</f>
        <v/>
      </c>
      <c r="F272" s="18">
        <f>F271-E271</f>
        <v/>
      </c>
      <c r="G272" s="18">
        <f>G271-F271</f>
        <v/>
      </c>
    </row>
    <row r="273">
      <c r="A273" s="17" t="inlineStr">
        <is>
          <t>FREE CASH FLOW TO THE FIRM</t>
        </is>
      </c>
      <c r="C273" s="20">
        <f>C270+C265-C263-C272</f>
        <v/>
      </c>
      <c r="D273" s="20">
        <f>D270+D265-D263-D272</f>
        <v/>
      </c>
      <c r="E273" s="20">
        <f>E270+E265-E263-E272</f>
        <v/>
      </c>
      <c r="F273" s="20">
        <f>F270+F265-F263-F272</f>
        <v/>
      </c>
      <c r="G273" s="20">
        <f>G270+G265-G263-G272</f>
        <v/>
      </c>
    </row>
    <row r="274">
      <c r="A274" s="9" t="inlineStr">
        <is>
          <t>Glide fraction</t>
        </is>
      </c>
      <c r="C274" s="26">
        <f>0.0000000000</f>
        <v/>
      </c>
      <c r="D274" s="26">
        <f>0.3571428571</f>
        <v/>
      </c>
      <c r="E274" s="26">
        <f>0.6428571429</f>
        <v/>
      </c>
      <c r="F274" s="26">
        <f>0.8571428571</f>
        <v/>
      </c>
      <c r="G274" s="26">
        <f>1.0000000000</f>
        <v/>
      </c>
    </row>
    <row r="275">
      <c r="A275" s="9" t="inlineStr">
        <is>
          <t>Forward cost of capital</t>
        </is>
      </c>
      <c r="C275" s="19">
        <f>Forecast!$B$14-(Forecast!$B$14-Forecast!$B$17)*C274</f>
        <v/>
      </c>
      <c r="D275" s="19">
        <f>Forecast!$B$14-(Forecast!$B$14-Forecast!$B$17)*D274</f>
        <v/>
      </c>
      <c r="E275" s="19">
        <f>Forecast!$B$14-(Forecast!$B$14-Forecast!$B$17)*E274</f>
        <v/>
      </c>
      <c r="F275" s="19">
        <f>Forecast!$B$14-(Forecast!$B$14-Forecast!$B$17)*F274</f>
        <v/>
      </c>
      <c r="G275" s="19">
        <f>Forecast!$B$14-(Forecast!$B$14-Forecast!$B$17)*G274</f>
        <v/>
      </c>
    </row>
    <row r="276">
      <c r="A276" s="9" t="inlineStr">
        <is>
          <t>Cumulative discount factor</t>
        </is>
      </c>
      <c r="C276" s="29">
        <f>1/(1+C275)</f>
        <v/>
      </c>
      <c r="D276" s="29">
        <f>C276/(1+D275)</f>
        <v/>
      </c>
      <c r="E276" s="29">
        <f>D276/(1+E275)</f>
        <v/>
      </c>
      <c r="F276" s="29">
        <f>E276/(1+F275)</f>
        <v/>
      </c>
      <c r="G276" s="29">
        <f>F276/(1+G275)</f>
        <v/>
      </c>
    </row>
    <row r="277">
      <c r="A277" s="9" t="inlineStr">
        <is>
          <t>Present value</t>
        </is>
      </c>
      <c r="C277" s="18">
        <f>C273*C276</f>
        <v/>
      </c>
      <c r="D277" s="18">
        <f>D273*D276</f>
        <v/>
      </c>
      <c r="E277" s="18">
        <f>E273*E276</f>
        <v/>
      </c>
      <c r="F277" s="18">
        <f>F273*F276</f>
        <v/>
      </c>
      <c r="G277" s="18">
        <f>G273*G276</f>
        <v/>
      </c>
    </row>
    <row r="278">
      <c r="A278" s="17" t="inlineStr">
        <is>
          <t>PV of the explicit window</t>
        </is>
      </c>
      <c r="B278" s="20">
        <f>SUM(C277:G277)</f>
        <v/>
      </c>
      <c r="C278" s="18">
        <f>C271+C264</f>
        <v/>
      </c>
      <c r="D278" s="18">
        <f>D271+D264</f>
        <v/>
      </c>
      <c r="E278" s="18">
        <f>E271+E264</f>
        <v/>
      </c>
      <c r="F278" s="18">
        <f>F271+F264</f>
        <v/>
      </c>
      <c r="G278" s="18">
        <f>G271+G264</f>
        <v/>
      </c>
    </row>
    <row r="279">
      <c r="A279" s="9" t="inlineStr">
        <is>
          <t>Terminal return on invested capital, at REPLACEMENT cost</t>
        </is>
      </c>
      <c r="B279" s="19">
        <f>G270*(1+Assumptions!$B$89)/G278</f>
        <v/>
      </c>
    </row>
    <row r="280">
      <c r="A280" s="9" t="inlineStr">
        <is>
          <t>Required reinvestment = growth / return</t>
        </is>
      </c>
      <c r="B280" s="19">
        <f>MIN(Assumptions!$B$89/B279,0.95)</f>
        <v/>
      </c>
    </row>
    <row r="281">
      <c r="A281" s="9" t="inlineStr">
        <is>
          <t>Terminal value</t>
        </is>
      </c>
      <c r="B281" s="18">
        <f>G270*(1+Assumptions!$B$89)*(1-B280)/MAX(Forecast!$B$17-Assumptions!$B$89,0.02)</f>
        <v/>
      </c>
    </row>
    <row r="282">
      <c r="A282" s="9" t="inlineStr">
        <is>
          <t>PV of the terminal block</t>
        </is>
      </c>
      <c r="B282" s="18">
        <f>B281*G276</f>
        <v/>
      </c>
    </row>
    <row r="283">
      <c r="A283" s="17" t="inlineStr">
        <is>
          <t>ENTERPRISE VALUE</t>
        </is>
      </c>
      <c r="B283" s="20">
        <f>B278+B282</f>
        <v/>
      </c>
    </row>
    <row r="284">
      <c r="A284" s="9" t="inlineStr">
        <is>
          <t>plus net cash</t>
        </is>
      </c>
      <c r="B284" s="18">
        <f>(Assumptions!$B$79-Assumptions!$B$82-Assumptions!$B$83)/10^6</f>
        <v/>
      </c>
    </row>
    <row r="285">
      <c r="A285" s="9" t="inlineStr">
        <is>
          <t>Enterprise value including cash</t>
        </is>
      </c>
      <c r="B285" s="18">
        <f>B283+B284</f>
        <v/>
      </c>
    </row>
    <row r="286">
      <c r="A286" s="9" t="inlineStr">
        <is>
          <t>less minority — on the WHOLE enterprise, cash included</t>
        </is>
      </c>
      <c r="B286" s="18">
        <f>B285*'Base Year'!$B$41</f>
        <v/>
      </c>
    </row>
    <row r="287">
      <c r="A287" s="9" t="inlineStr">
        <is>
          <t>less the tax-disputes provision</t>
        </is>
      </c>
      <c r="B287" s="18">
        <f>Assumptions!$B$78/10^6</f>
        <v/>
      </c>
    </row>
    <row r="288">
      <c r="A288" s="9" t="inlineStr">
        <is>
          <t>less dividends payable — declared, out of working capital</t>
        </is>
      </c>
      <c r="B288" s="18">
        <f>Assumptions!$B$77/10^6</f>
        <v/>
      </c>
    </row>
    <row r="289">
      <c r="A289" s="9" t="inlineStr">
        <is>
          <t>plus non-operating investments and pledged deposits</t>
        </is>
      </c>
      <c r="B289" s="18">
        <f>(Assumptions!$B$81+Assumptions!$B$80)/10^6</f>
        <v/>
      </c>
    </row>
    <row r="290">
      <c r="A290" s="17" t="inlineStr">
        <is>
          <t>EQUITY ATTRIBUTABLE</t>
        </is>
      </c>
      <c r="B290" s="20">
        <f>B285-B286-B287-B288+B289</f>
        <v/>
      </c>
    </row>
    <row r="291">
      <c r="A291" s="17" t="inlineStr">
        <is>
          <t>VALUE PER SHARE, EGP</t>
        </is>
      </c>
      <c r="B291" s="30">
        <f>B290/Assumptions!$B$8</f>
        <v/>
      </c>
    </row>
    <row r="294">
      <c r="A294" s="6" t="inlineStr">
        <is>
          <t>Volume growth path, as a multiple of the assumed path — -6.0%</t>
        </is>
      </c>
      <c r="B294" s="6" t="inlineStr">
        <is>
          <t>2026E</t>
        </is>
      </c>
      <c r="C294" s="6" t="inlineStr">
        <is>
          <t>2027E</t>
        </is>
      </c>
      <c r="D294" s="6" t="inlineStr">
        <is>
          <t>2028E</t>
        </is>
      </c>
      <c r="E294" s="6" t="inlineStr">
        <is>
          <t>2029E</t>
        </is>
      </c>
      <c r="F294" s="6" t="inlineStr">
        <is>
          <t>2030E</t>
        </is>
      </c>
    </row>
    <row r="295">
      <c r="A295" s="9" t="inlineStr">
        <is>
          <t>Inflation index, cumulative</t>
        </is>
      </c>
      <c r="C295" s="26">
        <f>Assumptions!$B$146</f>
        <v/>
      </c>
      <c r="D295" s="26">
        <f>C295*Assumptions!$B$147</f>
        <v/>
      </c>
      <c r="E295" s="26">
        <f>D295*Assumptions!$B$148</f>
        <v/>
      </c>
      <c r="F295" s="26">
        <f>E295*Assumptions!$B$149</f>
        <v/>
      </c>
      <c r="G295" s="26">
        <f>F295*Assumptions!$B$150</f>
        <v/>
      </c>
    </row>
    <row r="296">
      <c r="A296" s="9" t="inlineStr">
        <is>
          <t>Realisation index, cumulative</t>
        </is>
      </c>
      <c r="C296" s="26">
        <f>(1+Assumptions!$B$101*Forecast!$B$8)</f>
        <v/>
      </c>
      <c r="D296" s="26">
        <f>C296*(1+Assumptions!$B$102*Forecast!$B$8)</f>
        <v/>
      </c>
      <c r="E296" s="26">
        <f>D296*(1+Assumptions!$B$103*Forecast!$B$8)</f>
        <v/>
      </c>
      <c r="F296" s="26">
        <f>E296*(1+Assumptions!$B$104*Forecast!$B$8)</f>
        <v/>
      </c>
      <c r="G296" s="26">
        <f>F296*(1+Assumptions!$B$105*Forecast!$B$8)</f>
        <v/>
      </c>
    </row>
    <row r="297">
      <c r="A297" s="9" t="inlineStr">
        <is>
          <t xml:space="preserve">  Volume — Base and special oils, mn t</t>
        </is>
      </c>
      <c r="C297" s="26">
        <f>'Product and Cost'!E6*(1+Assumptions!$B$106+$B$13)</f>
        <v/>
      </c>
      <c r="D297" s="26">
        <f>C297*(1+Assumptions!$B$107+$B$13)</f>
        <v/>
      </c>
      <c r="E297" s="26">
        <f>D297*(1+Assumptions!$B$108+$B$13)</f>
        <v/>
      </c>
      <c r="F297" s="26">
        <f>E297*(1+Assumptions!$B$109+$B$13)</f>
        <v/>
      </c>
      <c r="G297" s="26">
        <f>F297*(1+Assumptions!$B$110+$B$13)</f>
        <v/>
      </c>
    </row>
    <row r="298">
      <c r="A298" s="9" t="inlineStr">
        <is>
          <t xml:space="preserve">  Volume — Paraffin wax, mn t</t>
        </is>
      </c>
      <c r="C298" s="26">
        <f>'Product and Cost'!E7*(1+Assumptions!$B$111+$B$13)</f>
        <v/>
      </c>
      <c r="D298" s="26">
        <f>C298*(1+Assumptions!$B$112+$B$13)</f>
        <v/>
      </c>
      <c r="E298" s="26">
        <f>D298*(1+Assumptions!$B$113+$B$13)</f>
        <v/>
      </c>
      <c r="F298" s="26">
        <f>E298*(1+Assumptions!$B$114+$B$13)</f>
        <v/>
      </c>
      <c r="G298" s="26">
        <f>F298*(1+Assumptions!$B$115+$B$13)</f>
        <v/>
      </c>
    </row>
    <row r="299">
      <c r="A299" s="9" t="inlineStr">
        <is>
          <t xml:space="preserve">  Volume — Gas oil, mn t</t>
        </is>
      </c>
      <c r="C299" s="26">
        <f>'Product and Cost'!E8*(1+Assumptions!$B$116+$B$13)</f>
        <v/>
      </c>
      <c r="D299" s="26">
        <f>C299*(1+Assumptions!$B$117+$B$13)</f>
        <v/>
      </c>
      <c r="E299" s="26">
        <f>D299*(1+Assumptions!$B$118+$B$13)</f>
        <v/>
      </c>
      <c r="F299" s="26">
        <f>E299*(1+Assumptions!$B$119+$B$13)</f>
        <v/>
      </c>
      <c r="G299" s="26">
        <f>F299*(1+Assumptions!$B$120+$B$13)</f>
        <v/>
      </c>
    </row>
    <row r="300">
      <c r="A300" s="9" t="inlineStr">
        <is>
          <t xml:space="preserve">  Volume — Naphtha, mn t</t>
        </is>
      </c>
      <c r="C300" s="26">
        <f>'Product and Cost'!E9*(1+Assumptions!$B$121+$B$13)</f>
        <v/>
      </c>
      <c r="D300" s="26">
        <f>C300*(1+Assumptions!$B$122+$B$13)</f>
        <v/>
      </c>
      <c r="E300" s="26">
        <f>D300*(1+Assumptions!$B$123+$B$13)</f>
        <v/>
      </c>
      <c r="F300" s="26">
        <f>E300*(1+Assumptions!$B$124+$B$13)</f>
        <v/>
      </c>
      <c r="G300" s="26">
        <f>F300*(1+Assumptions!$B$125+$B$13)</f>
        <v/>
      </c>
    </row>
    <row r="301">
      <c r="A301" s="9" t="inlineStr">
        <is>
          <t xml:space="preserve">  Volume — Liquefied petroleum gas, mn t</t>
        </is>
      </c>
      <c r="C301" s="26">
        <f>'Product and Cost'!E10*(1+Assumptions!$B$126+$B$13)</f>
        <v/>
      </c>
      <c r="D301" s="26">
        <f>C301*(1+Assumptions!$B$127+$B$13)</f>
        <v/>
      </c>
      <c r="E301" s="26">
        <f>D301*(1+Assumptions!$B$128+$B$13)</f>
        <v/>
      </c>
      <c r="F301" s="26">
        <f>E301*(1+Assumptions!$B$129+$B$13)</f>
        <v/>
      </c>
      <c r="G301" s="26">
        <f>F301*(1+Assumptions!$B$130+$B$13)</f>
        <v/>
      </c>
    </row>
    <row r="302">
      <c r="A302" s="9" t="inlineStr">
        <is>
          <t xml:space="preserve">  Volume — Fuel oil (mix), mn t</t>
        </is>
      </c>
      <c r="C302" s="26">
        <f>'Product and Cost'!E11*(1+Assumptions!$B$131+$B$13)</f>
        <v/>
      </c>
      <c r="D302" s="26">
        <f>C302*(1+Assumptions!$B$132+$B$13)</f>
        <v/>
      </c>
      <c r="E302" s="26">
        <f>D302*(1+Assumptions!$B$133+$B$13)</f>
        <v/>
      </c>
      <c r="F302" s="26">
        <f>E302*(1+Assumptions!$B$134+$B$13)</f>
        <v/>
      </c>
      <c r="G302" s="26">
        <f>F302*(1+Assumptions!$B$135+$B$13)</f>
        <v/>
      </c>
    </row>
    <row r="303">
      <c r="A303" s="9" t="inlineStr">
        <is>
          <t xml:space="preserve">  Volume — Heavy fuel oil, mn t</t>
        </is>
      </c>
      <c r="C303" s="26">
        <f>'Product and Cost'!E12*(1+Assumptions!$B$136+$B$13)</f>
        <v/>
      </c>
      <c r="D303" s="26">
        <f>C303*(1+Assumptions!$B$137+$B$13)</f>
        <v/>
      </c>
      <c r="E303" s="26">
        <f>D303*(1+Assumptions!$B$138+$B$13)</f>
        <v/>
      </c>
      <c r="F303" s="26">
        <f>E303*(1+Assumptions!$B$139+$B$13)</f>
        <v/>
      </c>
      <c r="G303" s="26">
        <f>F303*(1+Assumptions!$B$140+$B$13)</f>
        <v/>
      </c>
    </row>
    <row r="304">
      <c r="A304" s="9" t="inlineStr">
        <is>
          <t xml:space="preserve">  Volume — Waste, mn t</t>
        </is>
      </c>
      <c r="C304" s="26">
        <f>'Product and Cost'!E13*(1+Assumptions!$B$141+$B$13)</f>
        <v/>
      </c>
      <c r="D304" s="26">
        <f>C304*(1+Assumptions!$B$142+$B$13)</f>
        <v/>
      </c>
      <c r="E304" s="26">
        <f>D304*(1+Assumptions!$B$143+$B$13)</f>
        <v/>
      </c>
      <c r="F304" s="26">
        <f>E304*(1+Assumptions!$B$144+$B$13)</f>
        <v/>
      </c>
      <c r="G304" s="26">
        <f>F304*(1+Assumptions!$B$145+$B$13)</f>
        <v/>
      </c>
    </row>
    <row r="305">
      <c r="A305" s="17" t="inlineStr">
        <is>
          <t>Total volume, mn t</t>
        </is>
      </c>
      <c r="C305" s="28">
        <f>SUM(C297:C304)</f>
        <v/>
      </c>
      <c r="D305" s="28">
        <f>SUM(D297:D304)</f>
        <v/>
      </c>
      <c r="E305" s="28">
        <f>SUM(E297:E304)</f>
        <v/>
      </c>
      <c r="F305" s="28">
        <f>SUM(F297:F304)</f>
        <v/>
      </c>
      <c r="G305" s="28">
        <f>SUM(G297:G304)</f>
        <v/>
      </c>
    </row>
    <row r="306">
      <c r="A306" s="17" t="inlineStr">
        <is>
          <t>REVENUE</t>
        </is>
      </c>
      <c r="C306" s="20">
        <f>C297*'Product and Cost'!$F$6*C296+C298*'Product and Cost'!$F$7*C296+C299*'Product and Cost'!$F$8*C296+C300*'Product and Cost'!$F$9*C296+C301*'Product and Cost'!$F$10*C296+C302*'Product and Cost'!$F$11*C296+C303*'Product and Cost'!$F$12*C296+C304*'Product and Cost'!$F$13*C296</f>
        <v/>
      </c>
      <c r="D306" s="20">
        <f>D297*'Product and Cost'!$F$6*D296+D298*'Product and Cost'!$F$7*D296+D299*'Product and Cost'!$F$8*D296+D300*'Product and Cost'!$F$9*D296+D301*'Product and Cost'!$F$10*D296+D302*'Product and Cost'!$F$11*D296+D303*'Product and Cost'!$F$12*D296+D304*'Product and Cost'!$F$13*D296</f>
        <v/>
      </c>
      <c r="E306" s="20">
        <f>E297*'Product and Cost'!$F$6*E296+E298*'Product and Cost'!$F$7*E296+E299*'Product and Cost'!$F$8*E296+E300*'Product and Cost'!$F$9*E296+E301*'Product and Cost'!$F$10*E296+E302*'Product and Cost'!$F$11*E296+E303*'Product and Cost'!$F$12*E296+E304*'Product and Cost'!$F$13*E296</f>
        <v/>
      </c>
      <c r="F306" s="20">
        <f>F297*'Product and Cost'!$F$6*F296+F298*'Product and Cost'!$F$7*F296+F299*'Product and Cost'!$F$8*F296+F300*'Product and Cost'!$F$9*F296+F301*'Product and Cost'!$F$10*F296+F302*'Product and Cost'!$F$11*F296+F303*'Product and Cost'!$F$12*F296+F304*'Product and Cost'!$F$13*F296</f>
        <v/>
      </c>
      <c r="G306" s="20">
        <f>G297*'Product and Cost'!$F$6*G296+G298*'Product and Cost'!$F$7*G296+G299*'Product and Cost'!$F$8*G296+G300*'Product and Cost'!$F$9*G296+G301*'Product and Cost'!$F$10*G296+G302*'Product and Cost'!$F$11*G296+G303*'Product and Cost'!$F$12*G296+G304*'Product and Cost'!$F$13*G296</f>
        <v/>
      </c>
    </row>
    <row r="307">
      <c r="A307" s="9" t="inlineStr">
        <is>
          <t>Cost of sales</t>
        </is>
      </c>
      <c r="C307" s="18">
        <f>C297*('Product and Cost'!$D$27*C296*Assumptions!$B$88+'Product and Cost'!$B$27*(0.4863620081*C295+0.4455809638*C295+0.0356254898*C296+0.0324315384))+C298*('Product and Cost'!$D$28*C296*Assumptions!$B$88+'Product and Cost'!$B$28*(0.4863620081*C295+0.4455809638*C295+0.0356254898*C296+0.0324315384))+C299*('Product and Cost'!$D$29*C296*Assumptions!$B$88+'Product and Cost'!$B$29*(0.4863620081*C295+0.4455809638*C295+0.0356254898*C296+0.0324315384))+C300*('Product and Cost'!$D$30*C296*Assumptions!$B$88+'Product and Cost'!$B$30*(0.4863620081*C295+0.4455809638*C295+0.0356254898*C296+0.0324315384))+C301*('Product and Cost'!$D$31*C296*Assumptions!$B$88+'Product and Cost'!$B$31*(0.4863620081*C295+0.4455809638*C295+0.0356254898*C296+0.0324315384))+C302*('Product and Cost'!$D$32*C296*Assumptions!$B$88+'Product and Cost'!$B$32*(0.4863620081*C295+0.4455809638*C295+0.0356254898*C296+0.0324315384))+C303*('Product and Cost'!$D$33*C296*Assumptions!$B$88+'Product and Cost'!$B$33*(0.4863620081*C295+0.4455809638*C295+0.0356254898*C296+0.0324315384))+C304*('Product and Cost'!$D$34*C296*Assumptions!$B$88+'Product and Cost'!$B$34*(0.4863620081*C295+0.4455809638*C295+0.0356254898*C296+0.0324315384))</f>
        <v/>
      </c>
      <c r="D307" s="18">
        <f>D297*('Product and Cost'!$D$27*D296*Assumptions!$B$88+'Product and Cost'!$B$27*(0.4863620081*D295+0.4455809638*D295+0.0356254898*D296+0.0324315384))+D298*('Product and Cost'!$D$28*D296*Assumptions!$B$88+'Product and Cost'!$B$28*(0.4863620081*D295+0.4455809638*D295+0.0356254898*D296+0.0324315384))+D299*('Product and Cost'!$D$29*D296*Assumptions!$B$88+'Product and Cost'!$B$29*(0.4863620081*D295+0.4455809638*D295+0.0356254898*D296+0.0324315384))+D300*('Product and Cost'!$D$30*D296*Assumptions!$B$88+'Product and Cost'!$B$30*(0.4863620081*D295+0.4455809638*D295+0.0356254898*D296+0.0324315384))+D301*('Product and Cost'!$D$31*D296*Assumptions!$B$88+'Product and Cost'!$B$31*(0.4863620081*D295+0.4455809638*D295+0.0356254898*D296+0.0324315384))+D302*('Product and Cost'!$D$32*D296*Assumptions!$B$88+'Product and Cost'!$B$32*(0.4863620081*D295+0.4455809638*D295+0.0356254898*D296+0.0324315384))+D303*('Product and Cost'!$D$33*D296*Assumptions!$B$88+'Product and Cost'!$B$33*(0.4863620081*D295+0.4455809638*D295+0.0356254898*D296+0.0324315384))+D304*('Product and Cost'!$D$34*D296*Assumptions!$B$88+'Product and Cost'!$B$34*(0.4863620081*D295+0.4455809638*D295+0.0356254898*D296+0.0324315384))</f>
        <v/>
      </c>
      <c r="E307" s="18">
        <f>E297*('Product and Cost'!$D$27*E296*Assumptions!$B$88+'Product and Cost'!$B$27*(0.4863620081*E295+0.4455809638*E295+0.0356254898*E296+0.0324315384))+E298*('Product and Cost'!$D$28*E296*Assumptions!$B$88+'Product and Cost'!$B$28*(0.4863620081*E295+0.4455809638*E295+0.0356254898*E296+0.0324315384))+E299*('Product and Cost'!$D$29*E296*Assumptions!$B$88+'Product and Cost'!$B$29*(0.4863620081*E295+0.4455809638*E295+0.0356254898*E296+0.0324315384))+E300*('Product and Cost'!$D$30*E296*Assumptions!$B$88+'Product and Cost'!$B$30*(0.4863620081*E295+0.4455809638*E295+0.0356254898*E296+0.0324315384))+E301*('Product and Cost'!$D$31*E296*Assumptions!$B$88+'Product and Cost'!$B$31*(0.4863620081*E295+0.4455809638*E295+0.0356254898*E296+0.0324315384))+E302*('Product and Cost'!$D$32*E296*Assumptions!$B$88+'Product and Cost'!$B$32*(0.4863620081*E295+0.4455809638*E295+0.0356254898*E296+0.0324315384))+E303*('Product and Cost'!$D$33*E296*Assumptions!$B$88+'Product and Cost'!$B$33*(0.4863620081*E295+0.4455809638*E295+0.0356254898*E296+0.0324315384))+E304*('Product and Cost'!$D$34*E296*Assumptions!$B$88+'Product and Cost'!$B$34*(0.4863620081*E295+0.4455809638*E295+0.0356254898*E296+0.0324315384))</f>
        <v/>
      </c>
      <c r="F307" s="18">
        <f>F297*('Product and Cost'!$D$27*F296*Assumptions!$B$88+'Product and Cost'!$B$27*(0.4863620081*F295+0.4455809638*F295+0.0356254898*F296+0.0324315384))+F298*('Product and Cost'!$D$28*F296*Assumptions!$B$88+'Product and Cost'!$B$28*(0.4863620081*F295+0.4455809638*F295+0.0356254898*F296+0.0324315384))+F299*('Product and Cost'!$D$29*F296*Assumptions!$B$88+'Product and Cost'!$B$29*(0.4863620081*F295+0.4455809638*F295+0.0356254898*F296+0.0324315384))+F300*('Product and Cost'!$D$30*F296*Assumptions!$B$88+'Product and Cost'!$B$30*(0.4863620081*F295+0.4455809638*F295+0.0356254898*F296+0.0324315384))+F301*('Product and Cost'!$D$31*F296*Assumptions!$B$88+'Product and Cost'!$B$31*(0.4863620081*F295+0.4455809638*F295+0.0356254898*F296+0.0324315384))+F302*('Product and Cost'!$D$32*F296*Assumptions!$B$88+'Product and Cost'!$B$32*(0.4863620081*F295+0.4455809638*F295+0.0356254898*F296+0.0324315384))+F303*('Product and Cost'!$D$33*F296*Assumptions!$B$88+'Product and Cost'!$B$33*(0.4863620081*F295+0.4455809638*F295+0.0356254898*F296+0.0324315384))+F304*('Product and Cost'!$D$34*F296*Assumptions!$B$88+'Product and Cost'!$B$34*(0.4863620081*F295+0.4455809638*F295+0.0356254898*F296+0.0324315384))</f>
        <v/>
      </c>
      <c r="G307" s="18">
        <f>G297*('Product and Cost'!$D$27*G296*Assumptions!$B$88+'Product and Cost'!$B$27*(0.4863620081*G295+0.4455809638*G295+0.0356254898*G296+0.0324315384))+G298*('Product and Cost'!$D$28*G296*Assumptions!$B$88+'Product and Cost'!$B$28*(0.4863620081*G295+0.4455809638*G295+0.0356254898*G296+0.0324315384))+G299*('Product and Cost'!$D$29*G296*Assumptions!$B$88+'Product and Cost'!$B$29*(0.4863620081*G295+0.4455809638*G295+0.0356254898*G296+0.0324315384))+G300*('Product and Cost'!$D$30*G296*Assumptions!$B$88+'Product and Cost'!$B$30*(0.4863620081*G295+0.4455809638*G295+0.0356254898*G296+0.0324315384))+G301*('Product and Cost'!$D$31*G296*Assumptions!$B$88+'Product and Cost'!$B$31*(0.4863620081*G295+0.4455809638*G295+0.0356254898*G296+0.0324315384))+G302*('Product and Cost'!$D$32*G296*Assumptions!$B$88+'Product and Cost'!$B$32*(0.4863620081*G295+0.4455809638*G295+0.0356254898*G296+0.0324315384))+G303*('Product and Cost'!$D$33*G296*Assumptions!$B$88+'Product and Cost'!$B$33*(0.4863620081*G295+0.4455809638*G295+0.0356254898*G296+0.0324315384))+G304*('Product and Cost'!$D$34*G296*Assumptions!$B$88+'Product and Cost'!$B$34*(0.4863620081*G295+0.4455809638*G295+0.0356254898*G296+0.0324315384))</f>
        <v/>
      </c>
    </row>
    <row r="308">
      <c r="A308" s="17" t="inlineStr">
        <is>
          <t>GROSS PROFIT</t>
        </is>
      </c>
      <c r="C308" s="20">
        <f>C306-C307+Forecast!$B$7*C306</f>
        <v/>
      </c>
      <c r="D308" s="20">
        <f>D306-D307+Forecast!$B$7*D306</f>
        <v/>
      </c>
      <c r="E308" s="20">
        <f>E306-E307+Forecast!$B$7*E306</f>
        <v/>
      </c>
      <c r="F308" s="20">
        <f>F306-F307+Forecast!$B$7*F306</f>
        <v/>
      </c>
      <c r="G308" s="20">
        <f>G306-G307+Forecast!$B$7*G306</f>
        <v/>
      </c>
    </row>
    <row r="309">
      <c r="A309" s="9" t="inlineStr">
        <is>
          <t>Gross margin</t>
        </is>
      </c>
      <c r="C309" s="19">
        <f>C308/C306</f>
        <v/>
      </c>
      <c r="D309" s="19">
        <f>D308/D306</f>
        <v/>
      </c>
      <c r="E309" s="19">
        <f>E308/E306</f>
        <v/>
      </c>
      <c r="F309" s="19">
        <f>F308/F306</f>
        <v/>
      </c>
      <c r="G309" s="19">
        <f>G308/G306</f>
        <v/>
      </c>
    </row>
    <row r="310">
      <c r="A310" s="9" t="inlineStr">
        <is>
          <t>Operating expense</t>
        </is>
      </c>
      <c r="C310" s="18">
        <f>('Base Year'!$B$28*C295)+('Base Year'!$B$29*C295*C305/'Product and Cost'!$E$14)+('Base Year'!$B$30*C295)+('Base Year'!$B$31*C295)</f>
        <v/>
      </c>
      <c r="D310" s="18">
        <f>('Base Year'!$B$28*D295)+('Base Year'!$B$29*D295*D305/'Product and Cost'!$E$14)+('Base Year'!$B$30*D295)+('Base Year'!$B$31*D295)</f>
        <v/>
      </c>
      <c r="E310" s="18">
        <f>('Base Year'!$B$28*E295)+('Base Year'!$B$29*E295*E305/'Product and Cost'!$E$14)+('Base Year'!$B$30*E295)+('Base Year'!$B$31*E295)</f>
        <v/>
      </c>
      <c r="F310" s="18">
        <f>('Base Year'!$B$28*F295)+('Base Year'!$B$29*F295*F305/'Product and Cost'!$E$14)+('Base Year'!$B$30*F295)+('Base Year'!$B$31*F295)</f>
        <v/>
      </c>
      <c r="G310" s="18">
        <f>('Base Year'!$B$28*G295)+('Base Year'!$B$29*G295*G305/'Product and Cost'!$E$14)+('Base Year'!$B$30*G295)+('Base Year'!$B$31*G295)</f>
        <v/>
      </c>
    </row>
    <row r="311">
      <c r="A311" s="17" t="inlineStr">
        <is>
          <t>EBITDA</t>
        </is>
      </c>
      <c r="C311" s="20">
        <f>C308-C310</f>
        <v/>
      </c>
      <c r="D311" s="20">
        <f>D308-D310</f>
        <v/>
      </c>
      <c r="E311" s="20">
        <f>E308-E310</f>
        <v/>
      </c>
      <c r="F311" s="20">
        <f>F308-F310</f>
        <v/>
      </c>
      <c r="G311" s="20">
        <f>G308-G310</f>
        <v/>
      </c>
    </row>
    <row r="312">
      <c r="A312" s="9" t="inlineStr">
        <is>
          <t>Capital expenditure — maintenance + growth</t>
        </is>
      </c>
      <c r="C312" s="18">
        <f>'Base Year'!$B$43*C295+MAX(C305-'Product and Cost'!$E$14,0)*1947.901031*C295</f>
        <v/>
      </c>
      <c r="D312" s="18">
        <f>'Base Year'!$B$43*D295+MAX(D305-C305,0)*1947.901031*D295</f>
        <v/>
      </c>
      <c r="E312" s="18">
        <f>'Base Year'!$B$43*E295+MAX(E305-D305,0)*1947.901031*E295</f>
        <v/>
      </c>
      <c r="F312" s="18">
        <f>'Base Year'!$B$43*F295+MAX(F305-E305,0)*1947.901031*F295</f>
        <v/>
      </c>
      <c r="G312" s="18">
        <f>'Base Year'!$B$43*G295+MAX(G305-F305,0)*1947.901031*G295</f>
        <v/>
      </c>
    </row>
    <row r="313">
      <c r="A313" s="9" t="inlineStr">
        <is>
          <t>Fixed assets at cost, closing</t>
        </is>
      </c>
      <c r="C313" s="18">
        <f>(Assumptions!$B$70+Assumptions!$B$71)/10^6+C312</f>
        <v/>
      </c>
      <c r="D313" s="18">
        <f>C313+D312</f>
        <v/>
      </c>
      <c r="E313" s="18">
        <f>D313+E312</f>
        <v/>
      </c>
      <c r="F313" s="18">
        <f>E313+F312</f>
        <v/>
      </c>
      <c r="G313" s="18">
        <f>F313+G312</f>
        <v/>
      </c>
    </row>
    <row r="314">
      <c r="A314" s="9" t="inlineStr">
        <is>
          <t>Depreciation — rolls off the asset register</t>
        </is>
      </c>
      <c r="C314" s="18">
        <f>(Assumptions!$B$70+Assumptions!$B$71)/10^6/'Base Year'!$B$42</f>
        <v/>
      </c>
      <c r="D314" s="18">
        <f>C313/'Base Year'!$B$42</f>
        <v/>
      </c>
      <c r="E314" s="18">
        <f>D313/'Base Year'!$B$42</f>
        <v/>
      </c>
      <c r="F314" s="18">
        <f>E313/'Base Year'!$B$42</f>
        <v/>
      </c>
      <c r="G314" s="18">
        <f>F313/'Base Year'!$B$42</f>
        <v/>
      </c>
    </row>
    <row r="315">
      <c r="A315" s="9" t="inlineStr">
        <is>
          <t>Fixed assets, net book, closing</t>
        </is>
      </c>
      <c r="C315" s="18">
        <f>(Assumptions!$B$69+Assumptions!$B$71)/10^6+C312-C314</f>
        <v/>
      </c>
      <c r="D315" s="18">
        <f>C315+D312-D314</f>
        <v/>
      </c>
      <c r="E315" s="18">
        <f>D315+E312-E314</f>
        <v/>
      </c>
      <c r="F315" s="18">
        <f>E315+F312-F314</f>
        <v/>
      </c>
      <c r="G315" s="18">
        <f>F315+G312-G314</f>
        <v/>
      </c>
    </row>
    <row r="316">
      <c r="A316" s="17" t="inlineStr">
        <is>
          <t>EBIT</t>
        </is>
      </c>
      <c r="C316" s="20">
        <f>C311-C314</f>
        <v/>
      </c>
      <c r="D316" s="20">
        <f>D311-D314</f>
        <v/>
      </c>
      <c r="E316" s="20">
        <f>E311-E314</f>
        <v/>
      </c>
      <c r="F316" s="20">
        <f>F311-F314</f>
        <v/>
      </c>
      <c r="G316" s="20">
        <f>G311-G314</f>
        <v/>
      </c>
    </row>
    <row r="317">
      <c r="A317" s="9" t="inlineStr">
        <is>
          <t>NOPAT before the profit share</t>
        </is>
      </c>
      <c r="C317" s="18">
        <f>C316*(1-Assumptions!$B$87)</f>
        <v/>
      </c>
      <c r="D317" s="18">
        <f>D316*(1-Assumptions!$B$87)</f>
        <v/>
      </c>
      <c r="E317" s="18">
        <f>E316*(1-Assumptions!$B$87)</f>
        <v/>
      </c>
      <c r="F317" s="18">
        <f>F316*(1-Assumptions!$B$87)</f>
        <v/>
      </c>
      <c r="G317" s="18">
        <f>G316*(1-Assumptions!$B$87)</f>
        <v/>
      </c>
    </row>
    <row r="318">
      <c r="A318" s="9" t="inlineStr">
        <is>
          <t xml:space="preserve">  less employees' profit share and board bonuses</t>
        </is>
      </c>
      <c r="C318" s="18">
        <f>MAX(C317,0)*'Base Year'!$B$40</f>
        <v/>
      </c>
      <c r="D318" s="18">
        <f>MAX(D317,0)*'Base Year'!$B$40</f>
        <v/>
      </c>
      <c r="E318" s="18">
        <f>MAX(E317,0)*'Base Year'!$B$40</f>
        <v/>
      </c>
      <c r="F318" s="18">
        <f>MAX(F317,0)*'Base Year'!$B$40</f>
        <v/>
      </c>
      <c r="G318" s="18">
        <f>MAX(G317,0)*'Base Year'!$B$40</f>
        <v/>
      </c>
    </row>
    <row r="319">
      <c r="A319" s="17" t="inlineStr">
        <is>
          <t>NOPAT</t>
        </is>
      </c>
      <c r="C319" s="20">
        <f>C317-C318</f>
        <v/>
      </c>
      <c r="D319" s="20">
        <f>D317-D318</f>
        <v/>
      </c>
      <c r="E319" s="20">
        <f>E317-E318</f>
        <v/>
      </c>
      <c r="F319" s="20">
        <f>F317-F318</f>
        <v/>
      </c>
      <c r="G319" s="20">
        <f>G317-G318</f>
        <v/>
      </c>
    </row>
    <row r="320">
      <c r="A320" s="9" t="inlineStr">
        <is>
          <t>Net working capital — on days</t>
        </is>
      </c>
      <c r="C320" s="18">
        <f>'Base Year'!$B$44*Forecast!$B$9/365*C307+'Base Year'!$B$45*Forecast!$B$9/365*C306-'Base Year'!$B$46*Forecast!$B$9/365*C307</f>
        <v/>
      </c>
      <c r="D320" s="18">
        <f>'Base Year'!$B$44*Forecast!$B$9/365*D307+'Base Year'!$B$45*Forecast!$B$9/365*D306-'Base Year'!$B$46*Forecast!$B$9/365*D307</f>
        <v/>
      </c>
      <c r="E320" s="18">
        <f>'Base Year'!$B$44*Forecast!$B$9/365*E307+'Base Year'!$B$45*Forecast!$B$9/365*E306-'Base Year'!$B$46*Forecast!$B$9/365*E307</f>
        <v/>
      </c>
      <c r="F320" s="18">
        <f>'Base Year'!$B$44*Forecast!$B$9/365*F307+'Base Year'!$B$45*Forecast!$B$9/365*F306-'Base Year'!$B$46*Forecast!$B$9/365*F307</f>
        <v/>
      </c>
      <c r="G320" s="18">
        <f>'Base Year'!$B$44*Forecast!$B$9/365*G307+'Base Year'!$B$45*Forecast!$B$9/365*G306-'Base Year'!$B$46*Forecast!$B$9/365*G307</f>
        <v/>
      </c>
    </row>
    <row r="321">
      <c r="A321" s="9" t="inlineStr">
        <is>
          <t xml:space="preserve">  change in working capital</t>
        </is>
      </c>
      <c r="C321" s="18">
        <f>C320-('Base Year'!$B$44/365*'Base Year'!$B$21+'Base Year'!$B$45/365*'Base Year'!$B$19-'Base Year'!$B$46/365*'Base Year'!$B$21)</f>
        <v/>
      </c>
      <c r="D321" s="18">
        <f>D320-C320</f>
        <v/>
      </c>
      <c r="E321" s="18">
        <f>E320-D320</f>
        <v/>
      </c>
      <c r="F321" s="18">
        <f>F320-E320</f>
        <v/>
      </c>
      <c r="G321" s="18">
        <f>G320-F320</f>
        <v/>
      </c>
    </row>
    <row r="322">
      <c r="A322" s="17" t="inlineStr">
        <is>
          <t>FREE CASH FLOW TO THE FIRM</t>
        </is>
      </c>
      <c r="C322" s="20">
        <f>C319+C314-C312-C321</f>
        <v/>
      </c>
      <c r="D322" s="20">
        <f>D319+D314-D312-D321</f>
        <v/>
      </c>
      <c r="E322" s="20">
        <f>E319+E314-E312-E321</f>
        <v/>
      </c>
      <c r="F322" s="20">
        <f>F319+F314-F312-F321</f>
        <v/>
      </c>
      <c r="G322" s="20">
        <f>G319+G314-G312-G321</f>
        <v/>
      </c>
    </row>
    <row r="323">
      <c r="A323" s="9" t="inlineStr">
        <is>
          <t>Glide fraction</t>
        </is>
      </c>
      <c r="C323" s="26">
        <f>0.0000000000</f>
        <v/>
      </c>
      <c r="D323" s="26">
        <f>0.3571428571</f>
        <v/>
      </c>
      <c r="E323" s="26">
        <f>0.6428571429</f>
        <v/>
      </c>
      <c r="F323" s="26">
        <f>0.8571428571</f>
        <v/>
      </c>
      <c r="G323" s="26">
        <f>1.0000000000</f>
        <v/>
      </c>
    </row>
    <row r="324">
      <c r="A324" s="9" t="inlineStr">
        <is>
          <t>Forward cost of capital</t>
        </is>
      </c>
      <c r="C324" s="19">
        <f>Forecast!$B$14-(Forecast!$B$14-Forecast!$B$17)*C323</f>
        <v/>
      </c>
      <c r="D324" s="19">
        <f>Forecast!$B$14-(Forecast!$B$14-Forecast!$B$17)*D323</f>
        <v/>
      </c>
      <c r="E324" s="19">
        <f>Forecast!$B$14-(Forecast!$B$14-Forecast!$B$17)*E323</f>
        <v/>
      </c>
      <c r="F324" s="19">
        <f>Forecast!$B$14-(Forecast!$B$14-Forecast!$B$17)*F323</f>
        <v/>
      </c>
      <c r="G324" s="19">
        <f>Forecast!$B$14-(Forecast!$B$14-Forecast!$B$17)*G323</f>
        <v/>
      </c>
    </row>
    <row r="325">
      <c r="A325" s="9" t="inlineStr">
        <is>
          <t>Cumulative discount factor</t>
        </is>
      </c>
      <c r="C325" s="29">
        <f>1/(1+C324)</f>
        <v/>
      </c>
      <c r="D325" s="29">
        <f>C325/(1+D324)</f>
        <v/>
      </c>
      <c r="E325" s="29">
        <f>D325/(1+E324)</f>
        <v/>
      </c>
      <c r="F325" s="29">
        <f>E325/(1+F324)</f>
        <v/>
      </c>
      <c r="G325" s="29">
        <f>F325/(1+G324)</f>
        <v/>
      </c>
    </row>
    <row r="326">
      <c r="A326" s="9" t="inlineStr">
        <is>
          <t>Present value</t>
        </is>
      </c>
      <c r="C326" s="18">
        <f>C322*C325</f>
        <v/>
      </c>
      <c r="D326" s="18">
        <f>D322*D325</f>
        <v/>
      </c>
      <c r="E326" s="18">
        <f>E322*E325</f>
        <v/>
      </c>
      <c r="F326" s="18">
        <f>F322*F325</f>
        <v/>
      </c>
      <c r="G326" s="18">
        <f>G322*G325</f>
        <v/>
      </c>
    </row>
    <row r="327">
      <c r="A327" s="17" t="inlineStr">
        <is>
          <t>PV of the explicit window</t>
        </is>
      </c>
      <c r="B327" s="20">
        <f>SUM(C326:G326)</f>
        <v/>
      </c>
      <c r="C327" s="18">
        <f>C320+C313</f>
        <v/>
      </c>
      <c r="D327" s="18">
        <f>D320+D313</f>
        <v/>
      </c>
      <c r="E327" s="18">
        <f>E320+E313</f>
        <v/>
      </c>
      <c r="F327" s="18">
        <f>F320+F313</f>
        <v/>
      </c>
      <c r="G327" s="18">
        <f>G320+G313</f>
        <v/>
      </c>
    </row>
    <row r="328">
      <c r="A328" s="9" t="inlineStr">
        <is>
          <t>Terminal return on invested capital, at REPLACEMENT cost</t>
        </is>
      </c>
      <c r="B328" s="19">
        <f>G319*(1+Assumptions!$B$89)/G327</f>
        <v/>
      </c>
    </row>
    <row r="329">
      <c r="A329" s="9" t="inlineStr">
        <is>
          <t>Required reinvestment = growth / return</t>
        </is>
      </c>
      <c r="B329" s="19">
        <f>MIN(Assumptions!$B$89/B328,0.95)</f>
        <v/>
      </c>
    </row>
    <row r="330">
      <c r="A330" s="9" t="inlineStr">
        <is>
          <t>Terminal value</t>
        </is>
      </c>
      <c r="B330" s="18">
        <f>G319*(1+Assumptions!$B$89)*(1-B329)/MAX(Forecast!$B$17-Assumptions!$B$89,0.02)</f>
        <v/>
      </c>
    </row>
    <row r="331">
      <c r="A331" s="9" t="inlineStr">
        <is>
          <t>PV of the terminal block</t>
        </is>
      </c>
      <c r="B331" s="18">
        <f>B330*G325</f>
        <v/>
      </c>
    </row>
    <row r="332">
      <c r="A332" s="17" t="inlineStr">
        <is>
          <t>ENTERPRISE VALUE</t>
        </is>
      </c>
      <c r="B332" s="20">
        <f>B327+B331</f>
        <v/>
      </c>
    </row>
    <row r="333">
      <c r="A333" s="9" t="inlineStr">
        <is>
          <t>plus net cash</t>
        </is>
      </c>
      <c r="B333" s="18">
        <f>(Assumptions!$B$79-Assumptions!$B$82-Assumptions!$B$83)/10^6</f>
        <v/>
      </c>
    </row>
    <row r="334">
      <c r="A334" s="9" t="inlineStr">
        <is>
          <t>Enterprise value including cash</t>
        </is>
      </c>
      <c r="B334" s="18">
        <f>B332+B333</f>
        <v/>
      </c>
    </row>
    <row r="335">
      <c r="A335" s="9" t="inlineStr">
        <is>
          <t>less minority — on the WHOLE enterprise, cash included</t>
        </is>
      </c>
      <c r="B335" s="18">
        <f>B334*'Base Year'!$B$41</f>
        <v/>
      </c>
    </row>
    <row r="336">
      <c r="A336" s="9" t="inlineStr">
        <is>
          <t>less the tax-disputes provision</t>
        </is>
      </c>
      <c r="B336" s="18">
        <f>Assumptions!$B$78/10^6</f>
        <v/>
      </c>
    </row>
    <row r="337">
      <c r="A337" s="9" t="inlineStr">
        <is>
          <t>less dividends payable — declared, out of working capital</t>
        </is>
      </c>
      <c r="B337" s="18">
        <f>Assumptions!$B$77/10^6</f>
        <v/>
      </c>
    </row>
    <row r="338">
      <c r="A338" s="9" t="inlineStr">
        <is>
          <t>plus non-operating investments and pledged deposits</t>
        </is>
      </c>
      <c r="B338" s="18">
        <f>(Assumptions!$B$81+Assumptions!$B$80)/10^6</f>
        <v/>
      </c>
    </row>
    <row r="339">
      <c r="A339" s="17" t="inlineStr">
        <is>
          <t>EQUITY ATTRIBUTABLE</t>
        </is>
      </c>
      <c r="B339" s="20">
        <f>B334-B335-B336-B337+B338</f>
        <v/>
      </c>
    </row>
    <row r="340">
      <c r="A340" s="17" t="inlineStr">
        <is>
          <t>VALUE PER SHARE, EGP</t>
        </is>
      </c>
      <c r="B340" s="30">
        <f>B339/Assumptions!$B$8</f>
        <v/>
      </c>
    </row>
    <row r="343">
      <c r="A343" s="6" t="inlineStr">
        <is>
          <t>Volume growth path, as a multiple of the assumed path — -3.0%</t>
        </is>
      </c>
      <c r="B343" s="6" t="inlineStr">
        <is>
          <t>2026E</t>
        </is>
      </c>
      <c r="C343" s="6" t="inlineStr">
        <is>
          <t>2027E</t>
        </is>
      </c>
      <c r="D343" s="6" t="inlineStr">
        <is>
          <t>2028E</t>
        </is>
      </c>
      <c r="E343" s="6" t="inlineStr">
        <is>
          <t>2029E</t>
        </is>
      </c>
      <c r="F343" s="6" t="inlineStr">
        <is>
          <t>2030E</t>
        </is>
      </c>
    </row>
    <row r="344">
      <c r="A344" s="9" t="inlineStr">
        <is>
          <t>Inflation index, cumulative</t>
        </is>
      </c>
      <c r="C344" s="26">
        <f>Assumptions!$B$146</f>
        <v/>
      </c>
      <c r="D344" s="26">
        <f>C344*Assumptions!$B$147</f>
        <v/>
      </c>
      <c r="E344" s="26">
        <f>D344*Assumptions!$B$148</f>
        <v/>
      </c>
      <c r="F344" s="26">
        <f>E344*Assumptions!$B$149</f>
        <v/>
      </c>
      <c r="G344" s="26">
        <f>F344*Assumptions!$B$150</f>
        <v/>
      </c>
    </row>
    <row r="345">
      <c r="A345" s="9" t="inlineStr">
        <is>
          <t>Realisation index, cumulative</t>
        </is>
      </c>
      <c r="C345" s="26">
        <f>(1+Assumptions!$B$101*Forecast!$B$8)</f>
        <v/>
      </c>
      <c r="D345" s="26">
        <f>C345*(1+Assumptions!$B$102*Forecast!$B$8)</f>
        <v/>
      </c>
      <c r="E345" s="26">
        <f>D345*(1+Assumptions!$B$103*Forecast!$B$8)</f>
        <v/>
      </c>
      <c r="F345" s="26">
        <f>E345*(1+Assumptions!$B$104*Forecast!$B$8)</f>
        <v/>
      </c>
      <c r="G345" s="26">
        <f>F345*(1+Assumptions!$B$105*Forecast!$B$8)</f>
        <v/>
      </c>
    </row>
    <row r="346">
      <c r="A346" s="9" t="inlineStr">
        <is>
          <t xml:space="preserve">  Volume — Base and special oils, mn t</t>
        </is>
      </c>
      <c r="C346" s="26">
        <f>'Product and Cost'!E6*(1+Assumptions!$B$106+$B$14)</f>
        <v/>
      </c>
      <c r="D346" s="26">
        <f>C346*(1+Assumptions!$B$107+$B$14)</f>
        <v/>
      </c>
      <c r="E346" s="26">
        <f>D346*(1+Assumptions!$B$108+$B$14)</f>
        <v/>
      </c>
      <c r="F346" s="26">
        <f>E346*(1+Assumptions!$B$109+$B$14)</f>
        <v/>
      </c>
      <c r="G346" s="26">
        <f>F346*(1+Assumptions!$B$110+$B$14)</f>
        <v/>
      </c>
    </row>
    <row r="347">
      <c r="A347" s="9" t="inlineStr">
        <is>
          <t xml:space="preserve">  Volume — Paraffin wax, mn t</t>
        </is>
      </c>
      <c r="C347" s="26">
        <f>'Product and Cost'!E7*(1+Assumptions!$B$111+$B$14)</f>
        <v/>
      </c>
      <c r="D347" s="26">
        <f>C347*(1+Assumptions!$B$112+$B$14)</f>
        <v/>
      </c>
      <c r="E347" s="26">
        <f>D347*(1+Assumptions!$B$113+$B$14)</f>
        <v/>
      </c>
      <c r="F347" s="26">
        <f>E347*(1+Assumptions!$B$114+$B$14)</f>
        <v/>
      </c>
      <c r="G347" s="26">
        <f>F347*(1+Assumptions!$B$115+$B$14)</f>
        <v/>
      </c>
    </row>
    <row r="348">
      <c r="A348" s="9" t="inlineStr">
        <is>
          <t xml:space="preserve">  Volume — Gas oil, mn t</t>
        </is>
      </c>
      <c r="C348" s="26">
        <f>'Product and Cost'!E8*(1+Assumptions!$B$116+$B$14)</f>
        <v/>
      </c>
      <c r="D348" s="26">
        <f>C348*(1+Assumptions!$B$117+$B$14)</f>
        <v/>
      </c>
      <c r="E348" s="26">
        <f>D348*(1+Assumptions!$B$118+$B$14)</f>
        <v/>
      </c>
      <c r="F348" s="26">
        <f>E348*(1+Assumptions!$B$119+$B$14)</f>
        <v/>
      </c>
      <c r="G348" s="26">
        <f>F348*(1+Assumptions!$B$120+$B$14)</f>
        <v/>
      </c>
    </row>
    <row r="349">
      <c r="A349" s="9" t="inlineStr">
        <is>
          <t xml:space="preserve">  Volume — Naphtha, mn t</t>
        </is>
      </c>
      <c r="C349" s="26">
        <f>'Product and Cost'!E9*(1+Assumptions!$B$121+$B$14)</f>
        <v/>
      </c>
      <c r="D349" s="26">
        <f>C349*(1+Assumptions!$B$122+$B$14)</f>
        <v/>
      </c>
      <c r="E349" s="26">
        <f>D349*(1+Assumptions!$B$123+$B$14)</f>
        <v/>
      </c>
      <c r="F349" s="26">
        <f>E349*(1+Assumptions!$B$124+$B$14)</f>
        <v/>
      </c>
      <c r="G349" s="26">
        <f>F349*(1+Assumptions!$B$125+$B$14)</f>
        <v/>
      </c>
    </row>
    <row r="350">
      <c r="A350" s="9" t="inlineStr">
        <is>
          <t xml:space="preserve">  Volume — Liquefied petroleum gas, mn t</t>
        </is>
      </c>
      <c r="C350" s="26">
        <f>'Product and Cost'!E10*(1+Assumptions!$B$126+$B$14)</f>
        <v/>
      </c>
      <c r="D350" s="26">
        <f>C350*(1+Assumptions!$B$127+$B$14)</f>
        <v/>
      </c>
      <c r="E350" s="26">
        <f>D350*(1+Assumptions!$B$128+$B$14)</f>
        <v/>
      </c>
      <c r="F350" s="26">
        <f>E350*(1+Assumptions!$B$129+$B$14)</f>
        <v/>
      </c>
      <c r="G350" s="26">
        <f>F350*(1+Assumptions!$B$130+$B$14)</f>
        <v/>
      </c>
    </row>
    <row r="351">
      <c r="A351" s="9" t="inlineStr">
        <is>
          <t xml:space="preserve">  Volume — Fuel oil (mix), mn t</t>
        </is>
      </c>
      <c r="C351" s="26">
        <f>'Product and Cost'!E11*(1+Assumptions!$B$131+$B$14)</f>
        <v/>
      </c>
      <c r="D351" s="26">
        <f>C351*(1+Assumptions!$B$132+$B$14)</f>
        <v/>
      </c>
      <c r="E351" s="26">
        <f>D351*(1+Assumptions!$B$133+$B$14)</f>
        <v/>
      </c>
      <c r="F351" s="26">
        <f>E351*(1+Assumptions!$B$134+$B$14)</f>
        <v/>
      </c>
      <c r="G351" s="26">
        <f>F351*(1+Assumptions!$B$135+$B$14)</f>
        <v/>
      </c>
    </row>
    <row r="352">
      <c r="A352" s="9" t="inlineStr">
        <is>
          <t xml:space="preserve">  Volume — Heavy fuel oil, mn t</t>
        </is>
      </c>
      <c r="C352" s="26">
        <f>'Product and Cost'!E12*(1+Assumptions!$B$136+$B$14)</f>
        <v/>
      </c>
      <c r="D352" s="26">
        <f>C352*(1+Assumptions!$B$137+$B$14)</f>
        <v/>
      </c>
      <c r="E352" s="26">
        <f>D352*(1+Assumptions!$B$138+$B$14)</f>
        <v/>
      </c>
      <c r="F352" s="26">
        <f>E352*(1+Assumptions!$B$139+$B$14)</f>
        <v/>
      </c>
      <c r="G352" s="26">
        <f>F352*(1+Assumptions!$B$140+$B$14)</f>
        <v/>
      </c>
    </row>
    <row r="353">
      <c r="A353" s="9" t="inlineStr">
        <is>
          <t xml:space="preserve">  Volume — Waste, mn t</t>
        </is>
      </c>
      <c r="C353" s="26">
        <f>'Product and Cost'!E13*(1+Assumptions!$B$141+$B$14)</f>
        <v/>
      </c>
      <c r="D353" s="26">
        <f>C353*(1+Assumptions!$B$142+$B$14)</f>
        <v/>
      </c>
      <c r="E353" s="26">
        <f>D353*(1+Assumptions!$B$143+$B$14)</f>
        <v/>
      </c>
      <c r="F353" s="26">
        <f>E353*(1+Assumptions!$B$144+$B$14)</f>
        <v/>
      </c>
      <c r="G353" s="26">
        <f>F353*(1+Assumptions!$B$145+$B$14)</f>
        <v/>
      </c>
    </row>
    <row r="354">
      <c r="A354" s="17" t="inlineStr">
        <is>
          <t>Total volume, mn t</t>
        </is>
      </c>
      <c r="C354" s="28">
        <f>SUM(C346:C353)</f>
        <v/>
      </c>
      <c r="D354" s="28">
        <f>SUM(D346:D353)</f>
        <v/>
      </c>
      <c r="E354" s="28">
        <f>SUM(E346:E353)</f>
        <v/>
      </c>
      <c r="F354" s="28">
        <f>SUM(F346:F353)</f>
        <v/>
      </c>
      <c r="G354" s="28">
        <f>SUM(G346:G353)</f>
        <v/>
      </c>
    </row>
    <row r="355">
      <c r="A355" s="17" t="inlineStr">
        <is>
          <t>REVENUE</t>
        </is>
      </c>
      <c r="C355" s="20">
        <f>C346*'Product and Cost'!$F$6*C345+C347*'Product and Cost'!$F$7*C345+C348*'Product and Cost'!$F$8*C345+C349*'Product and Cost'!$F$9*C345+C350*'Product and Cost'!$F$10*C345+C351*'Product and Cost'!$F$11*C345+C352*'Product and Cost'!$F$12*C345+C353*'Product and Cost'!$F$13*C345</f>
        <v/>
      </c>
      <c r="D355" s="20">
        <f>D346*'Product and Cost'!$F$6*D345+D347*'Product and Cost'!$F$7*D345+D348*'Product and Cost'!$F$8*D345+D349*'Product and Cost'!$F$9*D345+D350*'Product and Cost'!$F$10*D345+D351*'Product and Cost'!$F$11*D345+D352*'Product and Cost'!$F$12*D345+D353*'Product and Cost'!$F$13*D345</f>
        <v/>
      </c>
      <c r="E355" s="20">
        <f>E346*'Product and Cost'!$F$6*E345+E347*'Product and Cost'!$F$7*E345+E348*'Product and Cost'!$F$8*E345+E349*'Product and Cost'!$F$9*E345+E350*'Product and Cost'!$F$10*E345+E351*'Product and Cost'!$F$11*E345+E352*'Product and Cost'!$F$12*E345+E353*'Product and Cost'!$F$13*E345</f>
        <v/>
      </c>
      <c r="F355" s="20">
        <f>F346*'Product and Cost'!$F$6*F345+F347*'Product and Cost'!$F$7*F345+F348*'Product and Cost'!$F$8*F345+F349*'Product and Cost'!$F$9*F345+F350*'Product and Cost'!$F$10*F345+F351*'Product and Cost'!$F$11*F345+F352*'Product and Cost'!$F$12*F345+F353*'Product and Cost'!$F$13*F345</f>
        <v/>
      </c>
      <c r="G355" s="20">
        <f>G346*'Product and Cost'!$F$6*G345+G347*'Product and Cost'!$F$7*G345+G348*'Product and Cost'!$F$8*G345+G349*'Product and Cost'!$F$9*G345+G350*'Product and Cost'!$F$10*G345+G351*'Product and Cost'!$F$11*G345+G352*'Product and Cost'!$F$12*G345+G353*'Product and Cost'!$F$13*G345</f>
        <v/>
      </c>
    </row>
    <row r="356">
      <c r="A356" s="9" t="inlineStr">
        <is>
          <t>Cost of sales</t>
        </is>
      </c>
      <c r="C356" s="18">
        <f>C346*('Product and Cost'!$D$27*C345*Assumptions!$B$88+'Product and Cost'!$B$27*(0.4863620081*C344+0.4455809638*C344+0.0356254898*C345+0.0324315384))+C347*('Product and Cost'!$D$28*C345*Assumptions!$B$88+'Product and Cost'!$B$28*(0.4863620081*C344+0.4455809638*C344+0.0356254898*C345+0.0324315384))+C348*('Product and Cost'!$D$29*C345*Assumptions!$B$88+'Product and Cost'!$B$29*(0.4863620081*C344+0.4455809638*C344+0.0356254898*C345+0.0324315384))+C349*('Product and Cost'!$D$30*C345*Assumptions!$B$88+'Product and Cost'!$B$30*(0.4863620081*C344+0.4455809638*C344+0.0356254898*C345+0.0324315384))+C350*('Product and Cost'!$D$31*C345*Assumptions!$B$88+'Product and Cost'!$B$31*(0.4863620081*C344+0.4455809638*C344+0.0356254898*C345+0.0324315384))+C351*('Product and Cost'!$D$32*C345*Assumptions!$B$88+'Product and Cost'!$B$32*(0.4863620081*C344+0.4455809638*C344+0.0356254898*C345+0.0324315384))+C352*('Product and Cost'!$D$33*C345*Assumptions!$B$88+'Product and Cost'!$B$33*(0.4863620081*C344+0.4455809638*C344+0.0356254898*C345+0.0324315384))+C353*('Product and Cost'!$D$34*C345*Assumptions!$B$88+'Product and Cost'!$B$34*(0.4863620081*C344+0.4455809638*C344+0.0356254898*C345+0.0324315384))</f>
        <v/>
      </c>
      <c r="D356" s="18">
        <f>D346*('Product and Cost'!$D$27*D345*Assumptions!$B$88+'Product and Cost'!$B$27*(0.4863620081*D344+0.4455809638*D344+0.0356254898*D345+0.0324315384))+D347*('Product and Cost'!$D$28*D345*Assumptions!$B$88+'Product and Cost'!$B$28*(0.4863620081*D344+0.4455809638*D344+0.0356254898*D345+0.0324315384))+D348*('Product and Cost'!$D$29*D345*Assumptions!$B$88+'Product and Cost'!$B$29*(0.4863620081*D344+0.4455809638*D344+0.0356254898*D345+0.0324315384))+D349*('Product and Cost'!$D$30*D345*Assumptions!$B$88+'Product and Cost'!$B$30*(0.4863620081*D344+0.4455809638*D344+0.0356254898*D345+0.0324315384))+D350*('Product and Cost'!$D$31*D345*Assumptions!$B$88+'Product and Cost'!$B$31*(0.4863620081*D344+0.4455809638*D344+0.0356254898*D345+0.0324315384))+D351*('Product and Cost'!$D$32*D345*Assumptions!$B$88+'Product and Cost'!$B$32*(0.4863620081*D344+0.4455809638*D344+0.0356254898*D345+0.0324315384))+D352*('Product and Cost'!$D$33*D345*Assumptions!$B$88+'Product and Cost'!$B$33*(0.4863620081*D344+0.4455809638*D344+0.0356254898*D345+0.0324315384))+D353*('Product and Cost'!$D$34*D345*Assumptions!$B$88+'Product and Cost'!$B$34*(0.4863620081*D344+0.4455809638*D344+0.0356254898*D345+0.0324315384))</f>
        <v/>
      </c>
      <c r="E356" s="18">
        <f>E346*('Product and Cost'!$D$27*E345*Assumptions!$B$88+'Product and Cost'!$B$27*(0.4863620081*E344+0.4455809638*E344+0.0356254898*E345+0.0324315384))+E347*('Product and Cost'!$D$28*E345*Assumptions!$B$88+'Product and Cost'!$B$28*(0.4863620081*E344+0.4455809638*E344+0.0356254898*E345+0.0324315384))+E348*('Product and Cost'!$D$29*E345*Assumptions!$B$88+'Product and Cost'!$B$29*(0.4863620081*E344+0.4455809638*E344+0.0356254898*E345+0.0324315384))+E349*('Product and Cost'!$D$30*E345*Assumptions!$B$88+'Product and Cost'!$B$30*(0.4863620081*E344+0.4455809638*E344+0.0356254898*E345+0.0324315384))+E350*('Product and Cost'!$D$31*E345*Assumptions!$B$88+'Product and Cost'!$B$31*(0.4863620081*E344+0.4455809638*E344+0.0356254898*E345+0.0324315384))+E351*('Product and Cost'!$D$32*E345*Assumptions!$B$88+'Product and Cost'!$B$32*(0.4863620081*E344+0.4455809638*E344+0.0356254898*E345+0.0324315384))+E352*('Product and Cost'!$D$33*E345*Assumptions!$B$88+'Product and Cost'!$B$33*(0.4863620081*E344+0.4455809638*E344+0.0356254898*E345+0.0324315384))+E353*('Product and Cost'!$D$34*E345*Assumptions!$B$88+'Product and Cost'!$B$34*(0.4863620081*E344+0.4455809638*E344+0.0356254898*E345+0.0324315384))</f>
        <v/>
      </c>
      <c r="F356" s="18">
        <f>F346*('Product and Cost'!$D$27*F345*Assumptions!$B$88+'Product and Cost'!$B$27*(0.4863620081*F344+0.4455809638*F344+0.0356254898*F345+0.0324315384))+F347*('Product and Cost'!$D$28*F345*Assumptions!$B$88+'Product and Cost'!$B$28*(0.4863620081*F344+0.4455809638*F344+0.0356254898*F345+0.0324315384))+F348*('Product and Cost'!$D$29*F345*Assumptions!$B$88+'Product and Cost'!$B$29*(0.4863620081*F344+0.4455809638*F344+0.0356254898*F345+0.0324315384))+F349*('Product and Cost'!$D$30*F345*Assumptions!$B$88+'Product and Cost'!$B$30*(0.4863620081*F344+0.4455809638*F344+0.0356254898*F345+0.0324315384))+F350*('Product and Cost'!$D$31*F345*Assumptions!$B$88+'Product and Cost'!$B$31*(0.4863620081*F344+0.4455809638*F344+0.0356254898*F345+0.0324315384))+F351*('Product and Cost'!$D$32*F345*Assumptions!$B$88+'Product and Cost'!$B$32*(0.4863620081*F344+0.4455809638*F344+0.0356254898*F345+0.0324315384))+F352*('Product and Cost'!$D$33*F345*Assumptions!$B$88+'Product and Cost'!$B$33*(0.4863620081*F344+0.4455809638*F344+0.0356254898*F345+0.0324315384))+F353*('Product and Cost'!$D$34*F345*Assumptions!$B$88+'Product and Cost'!$B$34*(0.4863620081*F344+0.4455809638*F344+0.0356254898*F345+0.0324315384))</f>
        <v/>
      </c>
      <c r="G356" s="18">
        <f>G346*('Product and Cost'!$D$27*G345*Assumptions!$B$88+'Product and Cost'!$B$27*(0.4863620081*G344+0.4455809638*G344+0.0356254898*G345+0.0324315384))+G347*('Product and Cost'!$D$28*G345*Assumptions!$B$88+'Product and Cost'!$B$28*(0.4863620081*G344+0.4455809638*G344+0.0356254898*G345+0.0324315384))+G348*('Product and Cost'!$D$29*G345*Assumptions!$B$88+'Product and Cost'!$B$29*(0.4863620081*G344+0.4455809638*G344+0.0356254898*G345+0.0324315384))+G349*('Product and Cost'!$D$30*G345*Assumptions!$B$88+'Product and Cost'!$B$30*(0.4863620081*G344+0.4455809638*G344+0.0356254898*G345+0.0324315384))+G350*('Product and Cost'!$D$31*G345*Assumptions!$B$88+'Product and Cost'!$B$31*(0.4863620081*G344+0.4455809638*G344+0.0356254898*G345+0.0324315384))+G351*('Product and Cost'!$D$32*G345*Assumptions!$B$88+'Product and Cost'!$B$32*(0.4863620081*G344+0.4455809638*G344+0.0356254898*G345+0.0324315384))+G352*('Product and Cost'!$D$33*G345*Assumptions!$B$88+'Product and Cost'!$B$33*(0.4863620081*G344+0.4455809638*G344+0.0356254898*G345+0.0324315384))+G353*('Product and Cost'!$D$34*G345*Assumptions!$B$88+'Product and Cost'!$B$34*(0.4863620081*G344+0.4455809638*G344+0.0356254898*G345+0.0324315384))</f>
        <v/>
      </c>
    </row>
    <row r="357">
      <c r="A357" s="17" t="inlineStr">
        <is>
          <t>GROSS PROFIT</t>
        </is>
      </c>
      <c r="C357" s="20">
        <f>C355-C356+Forecast!$B$7*C355</f>
        <v/>
      </c>
      <c r="D357" s="20">
        <f>D355-D356+Forecast!$B$7*D355</f>
        <v/>
      </c>
      <c r="E357" s="20">
        <f>E355-E356+Forecast!$B$7*E355</f>
        <v/>
      </c>
      <c r="F357" s="20">
        <f>F355-F356+Forecast!$B$7*F355</f>
        <v/>
      </c>
      <c r="G357" s="20">
        <f>G355-G356+Forecast!$B$7*G355</f>
        <v/>
      </c>
    </row>
    <row r="358">
      <c r="A358" s="9" t="inlineStr">
        <is>
          <t>Gross margin</t>
        </is>
      </c>
      <c r="C358" s="19">
        <f>C357/C355</f>
        <v/>
      </c>
      <c r="D358" s="19">
        <f>D357/D355</f>
        <v/>
      </c>
      <c r="E358" s="19">
        <f>E357/E355</f>
        <v/>
      </c>
      <c r="F358" s="19">
        <f>F357/F355</f>
        <v/>
      </c>
      <c r="G358" s="19">
        <f>G357/G355</f>
        <v/>
      </c>
    </row>
    <row r="359">
      <c r="A359" s="9" t="inlineStr">
        <is>
          <t>Operating expense</t>
        </is>
      </c>
      <c r="C359" s="18">
        <f>('Base Year'!$B$28*C344)+('Base Year'!$B$29*C344*C354/'Product and Cost'!$E$14)+('Base Year'!$B$30*C344)+('Base Year'!$B$31*C344)</f>
        <v/>
      </c>
      <c r="D359" s="18">
        <f>('Base Year'!$B$28*D344)+('Base Year'!$B$29*D344*D354/'Product and Cost'!$E$14)+('Base Year'!$B$30*D344)+('Base Year'!$B$31*D344)</f>
        <v/>
      </c>
      <c r="E359" s="18">
        <f>('Base Year'!$B$28*E344)+('Base Year'!$B$29*E344*E354/'Product and Cost'!$E$14)+('Base Year'!$B$30*E344)+('Base Year'!$B$31*E344)</f>
        <v/>
      </c>
      <c r="F359" s="18">
        <f>('Base Year'!$B$28*F344)+('Base Year'!$B$29*F344*F354/'Product and Cost'!$E$14)+('Base Year'!$B$30*F344)+('Base Year'!$B$31*F344)</f>
        <v/>
      </c>
      <c r="G359" s="18">
        <f>('Base Year'!$B$28*G344)+('Base Year'!$B$29*G344*G354/'Product and Cost'!$E$14)+('Base Year'!$B$30*G344)+('Base Year'!$B$31*G344)</f>
        <v/>
      </c>
    </row>
    <row r="360">
      <c r="A360" s="17" t="inlineStr">
        <is>
          <t>EBITDA</t>
        </is>
      </c>
      <c r="C360" s="20">
        <f>C357-C359</f>
        <v/>
      </c>
      <c r="D360" s="20">
        <f>D357-D359</f>
        <v/>
      </c>
      <c r="E360" s="20">
        <f>E357-E359</f>
        <v/>
      </c>
      <c r="F360" s="20">
        <f>F357-F359</f>
        <v/>
      </c>
      <c r="G360" s="20">
        <f>G357-G359</f>
        <v/>
      </c>
    </row>
    <row r="361">
      <c r="A361" s="9" t="inlineStr">
        <is>
          <t>Capital expenditure — maintenance + growth</t>
        </is>
      </c>
      <c r="C361" s="18">
        <f>'Base Year'!$B$43*C344+MAX(C354-'Product and Cost'!$E$14,0)*1947.901031*C344</f>
        <v/>
      </c>
      <c r="D361" s="18">
        <f>'Base Year'!$B$43*D344+MAX(D354-C354,0)*1947.901031*D344</f>
        <v/>
      </c>
      <c r="E361" s="18">
        <f>'Base Year'!$B$43*E344+MAX(E354-D354,0)*1947.901031*E344</f>
        <v/>
      </c>
      <c r="F361" s="18">
        <f>'Base Year'!$B$43*F344+MAX(F354-E354,0)*1947.901031*F344</f>
        <v/>
      </c>
      <c r="G361" s="18">
        <f>'Base Year'!$B$43*G344+MAX(G354-F354,0)*1947.901031*G344</f>
        <v/>
      </c>
    </row>
    <row r="362">
      <c r="A362" s="9" t="inlineStr">
        <is>
          <t>Fixed assets at cost, closing</t>
        </is>
      </c>
      <c r="C362" s="18">
        <f>(Assumptions!$B$70+Assumptions!$B$71)/10^6+C361</f>
        <v/>
      </c>
      <c r="D362" s="18">
        <f>C362+D361</f>
        <v/>
      </c>
      <c r="E362" s="18">
        <f>D362+E361</f>
        <v/>
      </c>
      <c r="F362" s="18">
        <f>E362+F361</f>
        <v/>
      </c>
      <c r="G362" s="18">
        <f>F362+G361</f>
        <v/>
      </c>
    </row>
    <row r="363">
      <c r="A363" s="9" t="inlineStr">
        <is>
          <t>Depreciation — rolls off the asset register</t>
        </is>
      </c>
      <c r="C363" s="18">
        <f>(Assumptions!$B$70+Assumptions!$B$71)/10^6/'Base Year'!$B$42</f>
        <v/>
      </c>
      <c r="D363" s="18">
        <f>C362/'Base Year'!$B$42</f>
        <v/>
      </c>
      <c r="E363" s="18">
        <f>D362/'Base Year'!$B$42</f>
        <v/>
      </c>
      <c r="F363" s="18">
        <f>E362/'Base Year'!$B$42</f>
        <v/>
      </c>
      <c r="G363" s="18">
        <f>F362/'Base Year'!$B$42</f>
        <v/>
      </c>
    </row>
    <row r="364">
      <c r="A364" s="9" t="inlineStr">
        <is>
          <t>Fixed assets, net book, closing</t>
        </is>
      </c>
      <c r="C364" s="18">
        <f>(Assumptions!$B$69+Assumptions!$B$71)/10^6+C361-C363</f>
        <v/>
      </c>
      <c r="D364" s="18">
        <f>C364+D361-D363</f>
        <v/>
      </c>
      <c r="E364" s="18">
        <f>D364+E361-E363</f>
        <v/>
      </c>
      <c r="F364" s="18">
        <f>E364+F361-F363</f>
        <v/>
      </c>
      <c r="G364" s="18">
        <f>F364+G361-G363</f>
        <v/>
      </c>
    </row>
    <row r="365">
      <c r="A365" s="17" t="inlineStr">
        <is>
          <t>EBIT</t>
        </is>
      </c>
      <c r="C365" s="20">
        <f>C360-C363</f>
        <v/>
      </c>
      <c r="D365" s="20">
        <f>D360-D363</f>
        <v/>
      </c>
      <c r="E365" s="20">
        <f>E360-E363</f>
        <v/>
      </c>
      <c r="F365" s="20">
        <f>F360-F363</f>
        <v/>
      </c>
      <c r="G365" s="20">
        <f>G360-G363</f>
        <v/>
      </c>
    </row>
    <row r="366">
      <c r="A366" s="9" t="inlineStr">
        <is>
          <t>NOPAT before the profit share</t>
        </is>
      </c>
      <c r="C366" s="18">
        <f>C365*(1-Assumptions!$B$87)</f>
        <v/>
      </c>
      <c r="D366" s="18">
        <f>D365*(1-Assumptions!$B$87)</f>
        <v/>
      </c>
      <c r="E366" s="18">
        <f>E365*(1-Assumptions!$B$87)</f>
        <v/>
      </c>
      <c r="F366" s="18">
        <f>F365*(1-Assumptions!$B$87)</f>
        <v/>
      </c>
      <c r="G366" s="18">
        <f>G365*(1-Assumptions!$B$87)</f>
        <v/>
      </c>
    </row>
    <row r="367">
      <c r="A367" s="9" t="inlineStr">
        <is>
          <t xml:space="preserve">  less employees' profit share and board bonuses</t>
        </is>
      </c>
      <c r="C367" s="18">
        <f>MAX(C366,0)*'Base Year'!$B$40</f>
        <v/>
      </c>
      <c r="D367" s="18">
        <f>MAX(D366,0)*'Base Year'!$B$40</f>
        <v/>
      </c>
      <c r="E367" s="18">
        <f>MAX(E366,0)*'Base Year'!$B$40</f>
        <v/>
      </c>
      <c r="F367" s="18">
        <f>MAX(F366,0)*'Base Year'!$B$40</f>
        <v/>
      </c>
      <c r="G367" s="18">
        <f>MAX(G366,0)*'Base Year'!$B$40</f>
        <v/>
      </c>
    </row>
    <row r="368">
      <c r="A368" s="17" t="inlineStr">
        <is>
          <t>NOPAT</t>
        </is>
      </c>
      <c r="C368" s="20">
        <f>C366-C367</f>
        <v/>
      </c>
      <c r="D368" s="20">
        <f>D366-D367</f>
        <v/>
      </c>
      <c r="E368" s="20">
        <f>E366-E367</f>
        <v/>
      </c>
      <c r="F368" s="20">
        <f>F366-F367</f>
        <v/>
      </c>
      <c r="G368" s="20">
        <f>G366-G367</f>
        <v/>
      </c>
    </row>
    <row r="369">
      <c r="A369" s="9" t="inlineStr">
        <is>
          <t>Net working capital — on days</t>
        </is>
      </c>
      <c r="C369" s="18">
        <f>'Base Year'!$B$44*Forecast!$B$9/365*C356+'Base Year'!$B$45*Forecast!$B$9/365*C355-'Base Year'!$B$46*Forecast!$B$9/365*C356</f>
        <v/>
      </c>
      <c r="D369" s="18">
        <f>'Base Year'!$B$44*Forecast!$B$9/365*D356+'Base Year'!$B$45*Forecast!$B$9/365*D355-'Base Year'!$B$46*Forecast!$B$9/365*D356</f>
        <v/>
      </c>
      <c r="E369" s="18">
        <f>'Base Year'!$B$44*Forecast!$B$9/365*E356+'Base Year'!$B$45*Forecast!$B$9/365*E355-'Base Year'!$B$46*Forecast!$B$9/365*E356</f>
        <v/>
      </c>
      <c r="F369" s="18">
        <f>'Base Year'!$B$44*Forecast!$B$9/365*F356+'Base Year'!$B$45*Forecast!$B$9/365*F355-'Base Year'!$B$46*Forecast!$B$9/365*F356</f>
        <v/>
      </c>
      <c r="G369" s="18">
        <f>'Base Year'!$B$44*Forecast!$B$9/365*G356+'Base Year'!$B$45*Forecast!$B$9/365*G355-'Base Year'!$B$46*Forecast!$B$9/365*G356</f>
        <v/>
      </c>
    </row>
    <row r="370">
      <c r="A370" s="9" t="inlineStr">
        <is>
          <t xml:space="preserve">  change in working capital</t>
        </is>
      </c>
      <c r="C370" s="18">
        <f>C369-('Base Year'!$B$44/365*'Base Year'!$B$21+'Base Year'!$B$45/365*'Base Year'!$B$19-'Base Year'!$B$46/365*'Base Year'!$B$21)</f>
        <v/>
      </c>
      <c r="D370" s="18">
        <f>D369-C369</f>
        <v/>
      </c>
      <c r="E370" s="18">
        <f>E369-D369</f>
        <v/>
      </c>
      <c r="F370" s="18">
        <f>F369-E369</f>
        <v/>
      </c>
      <c r="G370" s="18">
        <f>G369-F369</f>
        <v/>
      </c>
    </row>
    <row r="371">
      <c r="A371" s="17" t="inlineStr">
        <is>
          <t>FREE CASH FLOW TO THE FIRM</t>
        </is>
      </c>
      <c r="C371" s="20">
        <f>C368+C363-C361-C370</f>
        <v/>
      </c>
      <c r="D371" s="20">
        <f>D368+D363-D361-D370</f>
        <v/>
      </c>
      <c r="E371" s="20">
        <f>E368+E363-E361-E370</f>
        <v/>
      </c>
      <c r="F371" s="20">
        <f>F368+F363-F361-F370</f>
        <v/>
      </c>
      <c r="G371" s="20">
        <f>G368+G363-G361-G370</f>
        <v/>
      </c>
    </row>
    <row r="372">
      <c r="A372" s="9" t="inlineStr">
        <is>
          <t>Glide fraction</t>
        </is>
      </c>
      <c r="C372" s="26">
        <f>0.0000000000</f>
        <v/>
      </c>
      <c r="D372" s="26">
        <f>0.3571428571</f>
        <v/>
      </c>
      <c r="E372" s="26">
        <f>0.6428571429</f>
        <v/>
      </c>
      <c r="F372" s="26">
        <f>0.8571428571</f>
        <v/>
      </c>
      <c r="G372" s="26">
        <f>1.0000000000</f>
        <v/>
      </c>
    </row>
    <row r="373">
      <c r="A373" s="9" t="inlineStr">
        <is>
          <t>Forward cost of capital</t>
        </is>
      </c>
      <c r="C373" s="19">
        <f>Forecast!$B$14-(Forecast!$B$14-Forecast!$B$17)*C372</f>
        <v/>
      </c>
      <c r="D373" s="19">
        <f>Forecast!$B$14-(Forecast!$B$14-Forecast!$B$17)*D372</f>
        <v/>
      </c>
      <c r="E373" s="19">
        <f>Forecast!$B$14-(Forecast!$B$14-Forecast!$B$17)*E372</f>
        <v/>
      </c>
      <c r="F373" s="19">
        <f>Forecast!$B$14-(Forecast!$B$14-Forecast!$B$17)*F372</f>
        <v/>
      </c>
      <c r="G373" s="19">
        <f>Forecast!$B$14-(Forecast!$B$14-Forecast!$B$17)*G372</f>
        <v/>
      </c>
    </row>
    <row r="374">
      <c r="A374" s="9" t="inlineStr">
        <is>
          <t>Cumulative discount factor</t>
        </is>
      </c>
      <c r="C374" s="29">
        <f>1/(1+C373)</f>
        <v/>
      </c>
      <c r="D374" s="29">
        <f>C374/(1+D373)</f>
        <v/>
      </c>
      <c r="E374" s="29">
        <f>D374/(1+E373)</f>
        <v/>
      </c>
      <c r="F374" s="29">
        <f>E374/(1+F373)</f>
        <v/>
      </c>
      <c r="G374" s="29">
        <f>F374/(1+G373)</f>
        <v/>
      </c>
    </row>
    <row r="375">
      <c r="A375" s="9" t="inlineStr">
        <is>
          <t>Present value</t>
        </is>
      </c>
      <c r="C375" s="18">
        <f>C371*C374</f>
        <v/>
      </c>
      <c r="D375" s="18">
        <f>D371*D374</f>
        <v/>
      </c>
      <c r="E375" s="18">
        <f>E371*E374</f>
        <v/>
      </c>
      <c r="F375" s="18">
        <f>F371*F374</f>
        <v/>
      </c>
      <c r="G375" s="18">
        <f>G371*G374</f>
        <v/>
      </c>
    </row>
    <row r="376">
      <c r="A376" s="17" t="inlineStr">
        <is>
          <t>PV of the explicit window</t>
        </is>
      </c>
      <c r="B376" s="20">
        <f>SUM(C375:G375)</f>
        <v/>
      </c>
      <c r="C376" s="18">
        <f>C369+C362</f>
        <v/>
      </c>
      <c r="D376" s="18">
        <f>D369+D362</f>
        <v/>
      </c>
      <c r="E376" s="18">
        <f>E369+E362</f>
        <v/>
      </c>
      <c r="F376" s="18">
        <f>F369+F362</f>
        <v/>
      </c>
      <c r="G376" s="18">
        <f>G369+G362</f>
        <v/>
      </c>
    </row>
    <row r="377">
      <c r="A377" s="9" t="inlineStr">
        <is>
          <t>Terminal return on invested capital, at REPLACEMENT cost</t>
        </is>
      </c>
      <c r="B377" s="19">
        <f>G368*(1+Assumptions!$B$89)/G376</f>
        <v/>
      </c>
    </row>
    <row r="378">
      <c r="A378" s="9" t="inlineStr">
        <is>
          <t>Required reinvestment = growth / return</t>
        </is>
      </c>
      <c r="B378" s="19">
        <f>MIN(Assumptions!$B$89/B377,0.95)</f>
        <v/>
      </c>
    </row>
    <row r="379">
      <c r="A379" s="9" t="inlineStr">
        <is>
          <t>Terminal value</t>
        </is>
      </c>
      <c r="B379" s="18">
        <f>G368*(1+Assumptions!$B$89)*(1-B378)/MAX(Forecast!$B$17-Assumptions!$B$89,0.02)</f>
        <v/>
      </c>
    </row>
    <row r="380">
      <c r="A380" s="9" t="inlineStr">
        <is>
          <t>PV of the terminal block</t>
        </is>
      </c>
      <c r="B380" s="18">
        <f>B379*G374</f>
        <v/>
      </c>
    </row>
    <row r="381">
      <c r="A381" s="17" t="inlineStr">
        <is>
          <t>ENTERPRISE VALUE</t>
        </is>
      </c>
      <c r="B381" s="20">
        <f>B376+B380</f>
        <v/>
      </c>
    </row>
    <row r="382">
      <c r="A382" s="9" t="inlineStr">
        <is>
          <t>plus net cash</t>
        </is>
      </c>
      <c r="B382" s="18">
        <f>(Assumptions!$B$79-Assumptions!$B$82-Assumptions!$B$83)/10^6</f>
        <v/>
      </c>
    </row>
    <row r="383">
      <c r="A383" s="9" t="inlineStr">
        <is>
          <t>Enterprise value including cash</t>
        </is>
      </c>
      <c r="B383" s="18">
        <f>B381+B382</f>
        <v/>
      </c>
    </row>
    <row r="384">
      <c r="A384" s="9" t="inlineStr">
        <is>
          <t>less minority — on the WHOLE enterprise, cash included</t>
        </is>
      </c>
      <c r="B384" s="18">
        <f>B383*'Base Year'!$B$41</f>
        <v/>
      </c>
    </row>
    <row r="385">
      <c r="A385" s="9" t="inlineStr">
        <is>
          <t>less the tax-disputes provision</t>
        </is>
      </c>
      <c r="B385" s="18">
        <f>Assumptions!$B$78/10^6</f>
        <v/>
      </c>
    </row>
    <row r="386">
      <c r="A386" s="9" t="inlineStr">
        <is>
          <t>less dividends payable — declared, out of working capital</t>
        </is>
      </c>
      <c r="B386" s="18">
        <f>Assumptions!$B$77/10^6</f>
        <v/>
      </c>
    </row>
    <row r="387">
      <c r="A387" s="9" t="inlineStr">
        <is>
          <t>plus non-operating investments and pledged deposits</t>
        </is>
      </c>
      <c r="B387" s="18">
        <f>(Assumptions!$B$81+Assumptions!$B$80)/10^6</f>
        <v/>
      </c>
    </row>
    <row r="388">
      <c r="A388" s="17" t="inlineStr">
        <is>
          <t>EQUITY ATTRIBUTABLE</t>
        </is>
      </c>
      <c r="B388" s="20">
        <f>B383-B384-B385-B386+B387</f>
        <v/>
      </c>
    </row>
    <row r="389">
      <c r="A389" s="17" t="inlineStr">
        <is>
          <t>VALUE PER SHARE, EGP</t>
        </is>
      </c>
      <c r="B389" s="30">
        <f>B388/Assumptions!$B$8</f>
        <v/>
      </c>
    </row>
    <row r="392">
      <c r="A392" s="6" t="inlineStr">
        <is>
          <t>Volume growth path, as a multiple of the assumed path — +0.0%</t>
        </is>
      </c>
      <c r="B392" s="6" t="inlineStr">
        <is>
          <t>2026E</t>
        </is>
      </c>
      <c r="C392" s="6" t="inlineStr">
        <is>
          <t>2027E</t>
        </is>
      </c>
      <c r="D392" s="6" t="inlineStr">
        <is>
          <t>2028E</t>
        </is>
      </c>
      <c r="E392" s="6" t="inlineStr">
        <is>
          <t>2029E</t>
        </is>
      </c>
      <c r="F392" s="6" t="inlineStr">
        <is>
          <t>2030E</t>
        </is>
      </c>
    </row>
    <row r="393">
      <c r="A393" s="9" t="inlineStr">
        <is>
          <t>Inflation index, cumulative</t>
        </is>
      </c>
      <c r="C393" s="26">
        <f>Assumptions!$B$146</f>
        <v/>
      </c>
      <c r="D393" s="26">
        <f>C393*Assumptions!$B$147</f>
        <v/>
      </c>
      <c r="E393" s="26">
        <f>D393*Assumptions!$B$148</f>
        <v/>
      </c>
      <c r="F393" s="26">
        <f>E393*Assumptions!$B$149</f>
        <v/>
      </c>
      <c r="G393" s="26">
        <f>F393*Assumptions!$B$150</f>
        <v/>
      </c>
    </row>
    <row r="394">
      <c r="A394" s="9" t="inlineStr">
        <is>
          <t>Realisation index, cumulative</t>
        </is>
      </c>
      <c r="C394" s="26">
        <f>(1+Assumptions!$B$101*Forecast!$B$8)</f>
        <v/>
      </c>
      <c r="D394" s="26">
        <f>C394*(1+Assumptions!$B$102*Forecast!$B$8)</f>
        <v/>
      </c>
      <c r="E394" s="26">
        <f>D394*(1+Assumptions!$B$103*Forecast!$B$8)</f>
        <v/>
      </c>
      <c r="F394" s="26">
        <f>E394*(1+Assumptions!$B$104*Forecast!$B$8)</f>
        <v/>
      </c>
      <c r="G394" s="26">
        <f>F394*(1+Assumptions!$B$105*Forecast!$B$8)</f>
        <v/>
      </c>
    </row>
    <row r="395">
      <c r="A395" s="9" t="inlineStr">
        <is>
          <t xml:space="preserve">  Volume — Base and special oils, mn t</t>
        </is>
      </c>
      <c r="C395" s="26">
        <f>'Product and Cost'!E6*(1+Assumptions!$B$106+$B$15)</f>
        <v/>
      </c>
      <c r="D395" s="26">
        <f>C395*(1+Assumptions!$B$107+$B$15)</f>
        <v/>
      </c>
      <c r="E395" s="26">
        <f>D395*(1+Assumptions!$B$108+$B$15)</f>
        <v/>
      </c>
      <c r="F395" s="26">
        <f>E395*(1+Assumptions!$B$109+$B$15)</f>
        <v/>
      </c>
      <c r="G395" s="26">
        <f>F395*(1+Assumptions!$B$110+$B$15)</f>
        <v/>
      </c>
    </row>
    <row r="396">
      <c r="A396" s="9" t="inlineStr">
        <is>
          <t xml:space="preserve">  Volume — Paraffin wax, mn t</t>
        </is>
      </c>
      <c r="C396" s="26">
        <f>'Product and Cost'!E7*(1+Assumptions!$B$111+$B$15)</f>
        <v/>
      </c>
      <c r="D396" s="26">
        <f>C396*(1+Assumptions!$B$112+$B$15)</f>
        <v/>
      </c>
      <c r="E396" s="26">
        <f>D396*(1+Assumptions!$B$113+$B$15)</f>
        <v/>
      </c>
      <c r="F396" s="26">
        <f>E396*(1+Assumptions!$B$114+$B$15)</f>
        <v/>
      </c>
      <c r="G396" s="26">
        <f>F396*(1+Assumptions!$B$115+$B$15)</f>
        <v/>
      </c>
    </row>
    <row r="397">
      <c r="A397" s="9" t="inlineStr">
        <is>
          <t xml:space="preserve">  Volume — Gas oil, mn t</t>
        </is>
      </c>
      <c r="C397" s="26">
        <f>'Product and Cost'!E8*(1+Assumptions!$B$116+$B$15)</f>
        <v/>
      </c>
      <c r="D397" s="26">
        <f>C397*(1+Assumptions!$B$117+$B$15)</f>
        <v/>
      </c>
      <c r="E397" s="26">
        <f>D397*(1+Assumptions!$B$118+$B$15)</f>
        <v/>
      </c>
      <c r="F397" s="26">
        <f>E397*(1+Assumptions!$B$119+$B$15)</f>
        <v/>
      </c>
      <c r="G397" s="26">
        <f>F397*(1+Assumptions!$B$120+$B$15)</f>
        <v/>
      </c>
    </row>
    <row r="398">
      <c r="A398" s="9" t="inlineStr">
        <is>
          <t xml:space="preserve">  Volume — Naphtha, mn t</t>
        </is>
      </c>
      <c r="C398" s="26">
        <f>'Product and Cost'!E9*(1+Assumptions!$B$121+$B$15)</f>
        <v/>
      </c>
      <c r="D398" s="26">
        <f>C398*(1+Assumptions!$B$122+$B$15)</f>
        <v/>
      </c>
      <c r="E398" s="26">
        <f>D398*(1+Assumptions!$B$123+$B$15)</f>
        <v/>
      </c>
      <c r="F398" s="26">
        <f>E398*(1+Assumptions!$B$124+$B$15)</f>
        <v/>
      </c>
      <c r="G398" s="26">
        <f>F398*(1+Assumptions!$B$125+$B$15)</f>
        <v/>
      </c>
    </row>
    <row r="399">
      <c r="A399" s="9" t="inlineStr">
        <is>
          <t xml:space="preserve">  Volume — Liquefied petroleum gas, mn t</t>
        </is>
      </c>
      <c r="C399" s="26">
        <f>'Product and Cost'!E10*(1+Assumptions!$B$126+$B$15)</f>
        <v/>
      </c>
      <c r="D399" s="26">
        <f>C399*(1+Assumptions!$B$127+$B$15)</f>
        <v/>
      </c>
      <c r="E399" s="26">
        <f>D399*(1+Assumptions!$B$128+$B$15)</f>
        <v/>
      </c>
      <c r="F399" s="26">
        <f>E399*(1+Assumptions!$B$129+$B$15)</f>
        <v/>
      </c>
      <c r="G399" s="26">
        <f>F399*(1+Assumptions!$B$130+$B$15)</f>
        <v/>
      </c>
    </row>
    <row r="400">
      <c r="A400" s="9" t="inlineStr">
        <is>
          <t xml:space="preserve">  Volume — Fuel oil (mix), mn t</t>
        </is>
      </c>
      <c r="C400" s="26">
        <f>'Product and Cost'!E11*(1+Assumptions!$B$131+$B$15)</f>
        <v/>
      </c>
      <c r="D400" s="26">
        <f>C400*(1+Assumptions!$B$132+$B$15)</f>
        <v/>
      </c>
      <c r="E400" s="26">
        <f>D400*(1+Assumptions!$B$133+$B$15)</f>
        <v/>
      </c>
      <c r="F400" s="26">
        <f>E400*(1+Assumptions!$B$134+$B$15)</f>
        <v/>
      </c>
      <c r="G400" s="26">
        <f>F400*(1+Assumptions!$B$135+$B$15)</f>
        <v/>
      </c>
    </row>
    <row r="401">
      <c r="A401" s="9" t="inlineStr">
        <is>
          <t xml:space="preserve">  Volume — Heavy fuel oil, mn t</t>
        </is>
      </c>
      <c r="C401" s="26">
        <f>'Product and Cost'!E12*(1+Assumptions!$B$136+$B$15)</f>
        <v/>
      </c>
      <c r="D401" s="26">
        <f>C401*(1+Assumptions!$B$137+$B$15)</f>
        <v/>
      </c>
      <c r="E401" s="26">
        <f>D401*(1+Assumptions!$B$138+$B$15)</f>
        <v/>
      </c>
      <c r="F401" s="26">
        <f>E401*(1+Assumptions!$B$139+$B$15)</f>
        <v/>
      </c>
      <c r="G401" s="26">
        <f>F401*(1+Assumptions!$B$140+$B$15)</f>
        <v/>
      </c>
    </row>
    <row r="402">
      <c r="A402" s="9" t="inlineStr">
        <is>
          <t xml:space="preserve">  Volume — Waste, mn t</t>
        </is>
      </c>
      <c r="C402" s="26">
        <f>'Product and Cost'!E13*(1+Assumptions!$B$141+$B$15)</f>
        <v/>
      </c>
      <c r="D402" s="26">
        <f>C402*(1+Assumptions!$B$142+$B$15)</f>
        <v/>
      </c>
      <c r="E402" s="26">
        <f>D402*(1+Assumptions!$B$143+$B$15)</f>
        <v/>
      </c>
      <c r="F402" s="26">
        <f>E402*(1+Assumptions!$B$144+$B$15)</f>
        <v/>
      </c>
      <c r="G402" s="26">
        <f>F402*(1+Assumptions!$B$145+$B$15)</f>
        <v/>
      </c>
    </row>
    <row r="403">
      <c r="A403" s="17" t="inlineStr">
        <is>
          <t>Total volume, mn t</t>
        </is>
      </c>
      <c r="C403" s="28">
        <f>SUM(C395:C402)</f>
        <v/>
      </c>
      <c r="D403" s="28">
        <f>SUM(D395:D402)</f>
        <v/>
      </c>
      <c r="E403" s="28">
        <f>SUM(E395:E402)</f>
        <v/>
      </c>
      <c r="F403" s="28">
        <f>SUM(F395:F402)</f>
        <v/>
      </c>
      <c r="G403" s="28">
        <f>SUM(G395:G402)</f>
        <v/>
      </c>
    </row>
    <row r="404">
      <c r="A404" s="17" t="inlineStr">
        <is>
          <t>REVENUE</t>
        </is>
      </c>
      <c r="C404" s="20">
        <f>C395*'Product and Cost'!$F$6*C394+C396*'Product and Cost'!$F$7*C394+C397*'Product and Cost'!$F$8*C394+C398*'Product and Cost'!$F$9*C394+C399*'Product and Cost'!$F$10*C394+C400*'Product and Cost'!$F$11*C394+C401*'Product and Cost'!$F$12*C394+C402*'Product and Cost'!$F$13*C394</f>
        <v/>
      </c>
      <c r="D404" s="20">
        <f>D395*'Product and Cost'!$F$6*D394+D396*'Product and Cost'!$F$7*D394+D397*'Product and Cost'!$F$8*D394+D398*'Product and Cost'!$F$9*D394+D399*'Product and Cost'!$F$10*D394+D400*'Product and Cost'!$F$11*D394+D401*'Product and Cost'!$F$12*D394+D402*'Product and Cost'!$F$13*D394</f>
        <v/>
      </c>
      <c r="E404" s="20">
        <f>E395*'Product and Cost'!$F$6*E394+E396*'Product and Cost'!$F$7*E394+E397*'Product and Cost'!$F$8*E394+E398*'Product and Cost'!$F$9*E394+E399*'Product and Cost'!$F$10*E394+E400*'Product and Cost'!$F$11*E394+E401*'Product and Cost'!$F$12*E394+E402*'Product and Cost'!$F$13*E394</f>
        <v/>
      </c>
      <c r="F404" s="20">
        <f>F395*'Product and Cost'!$F$6*F394+F396*'Product and Cost'!$F$7*F394+F397*'Product and Cost'!$F$8*F394+F398*'Product and Cost'!$F$9*F394+F399*'Product and Cost'!$F$10*F394+F400*'Product and Cost'!$F$11*F394+F401*'Product and Cost'!$F$12*F394+F402*'Product and Cost'!$F$13*F394</f>
        <v/>
      </c>
      <c r="G404" s="20">
        <f>G395*'Product and Cost'!$F$6*G394+G396*'Product and Cost'!$F$7*G394+G397*'Product and Cost'!$F$8*G394+G398*'Product and Cost'!$F$9*G394+G399*'Product and Cost'!$F$10*G394+G400*'Product and Cost'!$F$11*G394+G401*'Product and Cost'!$F$12*G394+G402*'Product and Cost'!$F$13*G394</f>
        <v/>
      </c>
    </row>
    <row r="405">
      <c r="A405" s="9" t="inlineStr">
        <is>
          <t>Cost of sales</t>
        </is>
      </c>
      <c r="C405" s="18">
        <f>C395*('Product and Cost'!$D$27*C394*Assumptions!$B$88+'Product and Cost'!$B$27*(0.4863620081*C393+0.4455809638*C393+0.0356254898*C394+0.0324315384))+C396*('Product and Cost'!$D$28*C394*Assumptions!$B$88+'Product and Cost'!$B$28*(0.4863620081*C393+0.4455809638*C393+0.0356254898*C394+0.0324315384))+C397*('Product and Cost'!$D$29*C394*Assumptions!$B$88+'Product and Cost'!$B$29*(0.4863620081*C393+0.4455809638*C393+0.0356254898*C394+0.0324315384))+C398*('Product and Cost'!$D$30*C394*Assumptions!$B$88+'Product and Cost'!$B$30*(0.4863620081*C393+0.4455809638*C393+0.0356254898*C394+0.0324315384))+C399*('Product and Cost'!$D$31*C394*Assumptions!$B$88+'Product and Cost'!$B$31*(0.4863620081*C393+0.4455809638*C393+0.0356254898*C394+0.0324315384))+C400*('Product and Cost'!$D$32*C394*Assumptions!$B$88+'Product and Cost'!$B$32*(0.4863620081*C393+0.4455809638*C393+0.0356254898*C394+0.0324315384))+C401*('Product and Cost'!$D$33*C394*Assumptions!$B$88+'Product and Cost'!$B$33*(0.4863620081*C393+0.4455809638*C393+0.0356254898*C394+0.0324315384))+C402*('Product and Cost'!$D$34*C394*Assumptions!$B$88+'Product and Cost'!$B$34*(0.4863620081*C393+0.4455809638*C393+0.0356254898*C394+0.0324315384))</f>
        <v/>
      </c>
      <c r="D405" s="18">
        <f>D395*('Product and Cost'!$D$27*D394*Assumptions!$B$88+'Product and Cost'!$B$27*(0.4863620081*D393+0.4455809638*D393+0.0356254898*D394+0.0324315384))+D396*('Product and Cost'!$D$28*D394*Assumptions!$B$88+'Product and Cost'!$B$28*(0.4863620081*D393+0.4455809638*D393+0.0356254898*D394+0.0324315384))+D397*('Product and Cost'!$D$29*D394*Assumptions!$B$88+'Product and Cost'!$B$29*(0.4863620081*D393+0.4455809638*D393+0.0356254898*D394+0.0324315384))+D398*('Product and Cost'!$D$30*D394*Assumptions!$B$88+'Product and Cost'!$B$30*(0.4863620081*D393+0.4455809638*D393+0.0356254898*D394+0.0324315384))+D399*('Product and Cost'!$D$31*D394*Assumptions!$B$88+'Product and Cost'!$B$31*(0.4863620081*D393+0.4455809638*D393+0.0356254898*D394+0.0324315384))+D400*('Product and Cost'!$D$32*D394*Assumptions!$B$88+'Product and Cost'!$B$32*(0.4863620081*D393+0.4455809638*D393+0.0356254898*D394+0.0324315384))+D401*('Product and Cost'!$D$33*D394*Assumptions!$B$88+'Product and Cost'!$B$33*(0.4863620081*D393+0.4455809638*D393+0.0356254898*D394+0.0324315384))+D402*('Product and Cost'!$D$34*D394*Assumptions!$B$88+'Product and Cost'!$B$34*(0.4863620081*D393+0.4455809638*D393+0.0356254898*D394+0.0324315384))</f>
        <v/>
      </c>
      <c r="E405" s="18">
        <f>E395*('Product and Cost'!$D$27*E394*Assumptions!$B$88+'Product and Cost'!$B$27*(0.4863620081*E393+0.4455809638*E393+0.0356254898*E394+0.0324315384))+E396*('Product and Cost'!$D$28*E394*Assumptions!$B$88+'Product and Cost'!$B$28*(0.4863620081*E393+0.4455809638*E393+0.0356254898*E394+0.0324315384))+E397*('Product and Cost'!$D$29*E394*Assumptions!$B$88+'Product and Cost'!$B$29*(0.4863620081*E393+0.4455809638*E393+0.0356254898*E394+0.0324315384))+E398*('Product and Cost'!$D$30*E394*Assumptions!$B$88+'Product and Cost'!$B$30*(0.4863620081*E393+0.4455809638*E393+0.0356254898*E394+0.0324315384))+E399*('Product and Cost'!$D$31*E394*Assumptions!$B$88+'Product and Cost'!$B$31*(0.4863620081*E393+0.4455809638*E393+0.0356254898*E394+0.0324315384))+E400*('Product and Cost'!$D$32*E394*Assumptions!$B$88+'Product and Cost'!$B$32*(0.4863620081*E393+0.4455809638*E393+0.0356254898*E394+0.0324315384))+E401*('Product and Cost'!$D$33*E394*Assumptions!$B$88+'Product and Cost'!$B$33*(0.4863620081*E393+0.4455809638*E393+0.0356254898*E394+0.0324315384))+E402*('Product and Cost'!$D$34*E394*Assumptions!$B$88+'Product and Cost'!$B$34*(0.4863620081*E393+0.4455809638*E393+0.0356254898*E394+0.0324315384))</f>
        <v/>
      </c>
      <c r="F405" s="18">
        <f>F395*('Product and Cost'!$D$27*F394*Assumptions!$B$88+'Product and Cost'!$B$27*(0.4863620081*F393+0.4455809638*F393+0.0356254898*F394+0.0324315384))+F396*('Product and Cost'!$D$28*F394*Assumptions!$B$88+'Product and Cost'!$B$28*(0.4863620081*F393+0.4455809638*F393+0.0356254898*F394+0.0324315384))+F397*('Product and Cost'!$D$29*F394*Assumptions!$B$88+'Product and Cost'!$B$29*(0.4863620081*F393+0.4455809638*F393+0.0356254898*F394+0.0324315384))+F398*('Product and Cost'!$D$30*F394*Assumptions!$B$88+'Product and Cost'!$B$30*(0.4863620081*F393+0.4455809638*F393+0.0356254898*F394+0.0324315384))+F399*('Product and Cost'!$D$31*F394*Assumptions!$B$88+'Product and Cost'!$B$31*(0.4863620081*F393+0.4455809638*F393+0.0356254898*F394+0.0324315384))+F400*('Product and Cost'!$D$32*F394*Assumptions!$B$88+'Product and Cost'!$B$32*(0.4863620081*F393+0.4455809638*F393+0.0356254898*F394+0.0324315384))+F401*('Product and Cost'!$D$33*F394*Assumptions!$B$88+'Product and Cost'!$B$33*(0.4863620081*F393+0.4455809638*F393+0.0356254898*F394+0.0324315384))+F402*('Product and Cost'!$D$34*F394*Assumptions!$B$88+'Product and Cost'!$B$34*(0.4863620081*F393+0.4455809638*F393+0.0356254898*F394+0.0324315384))</f>
        <v/>
      </c>
      <c r="G405" s="18">
        <f>G395*('Product and Cost'!$D$27*G394*Assumptions!$B$88+'Product and Cost'!$B$27*(0.4863620081*G393+0.4455809638*G393+0.0356254898*G394+0.0324315384))+G396*('Product and Cost'!$D$28*G394*Assumptions!$B$88+'Product and Cost'!$B$28*(0.4863620081*G393+0.4455809638*G393+0.0356254898*G394+0.0324315384))+G397*('Product and Cost'!$D$29*G394*Assumptions!$B$88+'Product and Cost'!$B$29*(0.4863620081*G393+0.4455809638*G393+0.0356254898*G394+0.0324315384))+G398*('Product and Cost'!$D$30*G394*Assumptions!$B$88+'Product and Cost'!$B$30*(0.4863620081*G393+0.4455809638*G393+0.0356254898*G394+0.0324315384))+G399*('Product and Cost'!$D$31*G394*Assumptions!$B$88+'Product and Cost'!$B$31*(0.4863620081*G393+0.4455809638*G393+0.0356254898*G394+0.0324315384))+G400*('Product and Cost'!$D$32*G394*Assumptions!$B$88+'Product and Cost'!$B$32*(0.4863620081*G393+0.4455809638*G393+0.0356254898*G394+0.0324315384))+G401*('Product and Cost'!$D$33*G394*Assumptions!$B$88+'Product and Cost'!$B$33*(0.4863620081*G393+0.4455809638*G393+0.0356254898*G394+0.0324315384))+G402*('Product and Cost'!$D$34*G394*Assumptions!$B$88+'Product and Cost'!$B$34*(0.4863620081*G393+0.4455809638*G393+0.0356254898*G394+0.0324315384))</f>
        <v/>
      </c>
    </row>
    <row r="406">
      <c r="A406" s="17" t="inlineStr">
        <is>
          <t>GROSS PROFIT</t>
        </is>
      </c>
      <c r="C406" s="20">
        <f>C404-C405+Forecast!$B$7*C404</f>
        <v/>
      </c>
      <c r="D406" s="20">
        <f>D404-D405+Forecast!$B$7*D404</f>
        <v/>
      </c>
      <c r="E406" s="20">
        <f>E404-E405+Forecast!$B$7*E404</f>
        <v/>
      </c>
      <c r="F406" s="20">
        <f>F404-F405+Forecast!$B$7*F404</f>
        <v/>
      </c>
      <c r="G406" s="20">
        <f>G404-G405+Forecast!$B$7*G404</f>
        <v/>
      </c>
    </row>
    <row r="407">
      <c r="A407" s="9" t="inlineStr">
        <is>
          <t>Gross margin</t>
        </is>
      </c>
      <c r="C407" s="19">
        <f>C406/C404</f>
        <v/>
      </c>
      <c r="D407" s="19">
        <f>D406/D404</f>
        <v/>
      </c>
      <c r="E407" s="19">
        <f>E406/E404</f>
        <v/>
      </c>
      <c r="F407" s="19">
        <f>F406/F404</f>
        <v/>
      </c>
      <c r="G407" s="19">
        <f>G406/G404</f>
        <v/>
      </c>
    </row>
    <row r="408">
      <c r="A408" s="9" t="inlineStr">
        <is>
          <t>Operating expense</t>
        </is>
      </c>
      <c r="C408" s="18">
        <f>('Base Year'!$B$28*C393)+('Base Year'!$B$29*C393*C403/'Product and Cost'!$E$14)+('Base Year'!$B$30*C393)+('Base Year'!$B$31*C393)</f>
        <v/>
      </c>
      <c r="D408" s="18">
        <f>('Base Year'!$B$28*D393)+('Base Year'!$B$29*D393*D403/'Product and Cost'!$E$14)+('Base Year'!$B$30*D393)+('Base Year'!$B$31*D393)</f>
        <v/>
      </c>
      <c r="E408" s="18">
        <f>('Base Year'!$B$28*E393)+('Base Year'!$B$29*E393*E403/'Product and Cost'!$E$14)+('Base Year'!$B$30*E393)+('Base Year'!$B$31*E393)</f>
        <v/>
      </c>
      <c r="F408" s="18">
        <f>('Base Year'!$B$28*F393)+('Base Year'!$B$29*F393*F403/'Product and Cost'!$E$14)+('Base Year'!$B$30*F393)+('Base Year'!$B$31*F393)</f>
        <v/>
      </c>
      <c r="G408" s="18">
        <f>('Base Year'!$B$28*G393)+('Base Year'!$B$29*G393*G403/'Product and Cost'!$E$14)+('Base Year'!$B$30*G393)+('Base Year'!$B$31*G393)</f>
        <v/>
      </c>
    </row>
    <row r="409">
      <c r="A409" s="17" t="inlineStr">
        <is>
          <t>EBITDA</t>
        </is>
      </c>
      <c r="C409" s="20">
        <f>C406-C408</f>
        <v/>
      </c>
      <c r="D409" s="20">
        <f>D406-D408</f>
        <v/>
      </c>
      <c r="E409" s="20">
        <f>E406-E408</f>
        <v/>
      </c>
      <c r="F409" s="20">
        <f>F406-F408</f>
        <v/>
      </c>
      <c r="G409" s="20">
        <f>G406-G408</f>
        <v/>
      </c>
    </row>
    <row r="410">
      <c r="A410" s="9" t="inlineStr">
        <is>
          <t>Capital expenditure — maintenance + growth</t>
        </is>
      </c>
      <c r="C410" s="18">
        <f>'Base Year'!$B$43*C393+MAX(C403-'Product and Cost'!$E$14,0)*1947.901031*C393</f>
        <v/>
      </c>
      <c r="D410" s="18">
        <f>'Base Year'!$B$43*D393+MAX(D403-C403,0)*1947.901031*D393</f>
        <v/>
      </c>
      <c r="E410" s="18">
        <f>'Base Year'!$B$43*E393+MAX(E403-D403,0)*1947.901031*E393</f>
        <v/>
      </c>
      <c r="F410" s="18">
        <f>'Base Year'!$B$43*F393+MAX(F403-E403,0)*1947.901031*F393</f>
        <v/>
      </c>
      <c r="G410" s="18">
        <f>'Base Year'!$B$43*G393+MAX(G403-F403,0)*1947.901031*G393</f>
        <v/>
      </c>
    </row>
    <row r="411">
      <c r="A411" s="9" t="inlineStr">
        <is>
          <t>Fixed assets at cost, closing</t>
        </is>
      </c>
      <c r="C411" s="18">
        <f>(Assumptions!$B$70+Assumptions!$B$71)/10^6+C410</f>
        <v/>
      </c>
      <c r="D411" s="18">
        <f>C411+D410</f>
        <v/>
      </c>
      <c r="E411" s="18">
        <f>D411+E410</f>
        <v/>
      </c>
      <c r="F411" s="18">
        <f>E411+F410</f>
        <v/>
      </c>
      <c r="G411" s="18">
        <f>F411+G410</f>
        <v/>
      </c>
    </row>
    <row r="412">
      <c r="A412" s="9" t="inlineStr">
        <is>
          <t>Depreciation — rolls off the asset register</t>
        </is>
      </c>
      <c r="C412" s="18">
        <f>(Assumptions!$B$70+Assumptions!$B$71)/10^6/'Base Year'!$B$42</f>
        <v/>
      </c>
      <c r="D412" s="18">
        <f>C411/'Base Year'!$B$42</f>
        <v/>
      </c>
      <c r="E412" s="18">
        <f>D411/'Base Year'!$B$42</f>
        <v/>
      </c>
      <c r="F412" s="18">
        <f>E411/'Base Year'!$B$42</f>
        <v/>
      </c>
      <c r="G412" s="18">
        <f>F411/'Base Year'!$B$42</f>
        <v/>
      </c>
    </row>
    <row r="413">
      <c r="A413" s="9" t="inlineStr">
        <is>
          <t>Fixed assets, net book, closing</t>
        </is>
      </c>
      <c r="C413" s="18">
        <f>(Assumptions!$B$69+Assumptions!$B$71)/10^6+C410-C412</f>
        <v/>
      </c>
      <c r="D413" s="18">
        <f>C413+D410-D412</f>
        <v/>
      </c>
      <c r="E413" s="18">
        <f>D413+E410-E412</f>
        <v/>
      </c>
      <c r="F413" s="18">
        <f>E413+F410-F412</f>
        <v/>
      </c>
      <c r="G413" s="18">
        <f>F413+G410-G412</f>
        <v/>
      </c>
    </row>
    <row r="414">
      <c r="A414" s="17" t="inlineStr">
        <is>
          <t>EBIT</t>
        </is>
      </c>
      <c r="C414" s="20">
        <f>C409-C412</f>
        <v/>
      </c>
      <c r="D414" s="20">
        <f>D409-D412</f>
        <v/>
      </c>
      <c r="E414" s="20">
        <f>E409-E412</f>
        <v/>
      </c>
      <c r="F414" s="20">
        <f>F409-F412</f>
        <v/>
      </c>
      <c r="G414" s="20">
        <f>G409-G412</f>
        <v/>
      </c>
    </row>
    <row r="415">
      <c r="A415" s="9" t="inlineStr">
        <is>
          <t>NOPAT before the profit share</t>
        </is>
      </c>
      <c r="C415" s="18">
        <f>C414*(1-Assumptions!$B$87)</f>
        <v/>
      </c>
      <c r="D415" s="18">
        <f>D414*(1-Assumptions!$B$87)</f>
        <v/>
      </c>
      <c r="E415" s="18">
        <f>E414*(1-Assumptions!$B$87)</f>
        <v/>
      </c>
      <c r="F415" s="18">
        <f>F414*(1-Assumptions!$B$87)</f>
        <v/>
      </c>
      <c r="G415" s="18">
        <f>G414*(1-Assumptions!$B$87)</f>
        <v/>
      </c>
    </row>
    <row r="416">
      <c r="A416" s="9" t="inlineStr">
        <is>
          <t xml:space="preserve">  less employees' profit share and board bonuses</t>
        </is>
      </c>
      <c r="C416" s="18">
        <f>MAX(C415,0)*'Base Year'!$B$40</f>
        <v/>
      </c>
      <c r="D416" s="18">
        <f>MAX(D415,0)*'Base Year'!$B$40</f>
        <v/>
      </c>
      <c r="E416" s="18">
        <f>MAX(E415,0)*'Base Year'!$B$40</f>
        <v/>
      </c>
      <c r="F416" s="18">
        <f>MAX(F415,0)*'Base Year'!$B$40</f>
        <v/>
      </c>
      <c r="G416" s="18">
        <f>MAX(G415,0)*'Base Year'!$B$40</f>
        <v/>
      </c>
    </row>
    <row r="417">
      <c r="A417" s="17" t="inlineStr">
        <is>
          <t>NOPAT</t>
        </is>
      </c>
      <c r="C417" s="20">
        <f>C415-C416</f>
        <v/>
      </c>
      <c r="D417" s="20">
        <f>D415-D416</f>
        <v/>
      </c>
      <c r="E417" s="20">
        <f>E415-E416</f>
        <v/>
      </c>
      <c r="F417" s="20">
        <f>F415-F416</f>
        <v/>
      </c>
      <c r="G417" s="20">
        <f>G415-G416</f>
        <v/>
      </c>
    </row>
    <row r="418">
      <c r="A418" s="9" t="inlineStr">
        <is>
          <t>Net working capital — on days</t>
        </is>
      </c>
      <c r="C418" s="18">
        <f>'Base Year'!$B$44*Forecast!$B$9/365*C405+'Base Year'!$B$45*Forecast!$B$9/365*C404-'Base Year'!$B$46*Forecast!$B$9/365*C405</f>
        <v/>
      </c>
      <c r="D418" s="18">
        <f>'Base Year'!$B$44*Forecast!$B$9/365*D405+'Base Year'!$B$45*Forecast!$B$9/365*D404-'Base Year'!$B$46*Forecast!$B$9/365*D405</f>
        <v/>
      </c>
      <c r="E418" s="18">
        <f>'Base Year'!$B$44*Forecast!$B$9/365*E405+'Base Year'!$B$45*Forecast!$B$9/365*E404-'Base Year'!$B$46*Forecast!$B$9/365*E405</f>
        <v/>
      </c>
      <c r="F418" s="18">
        <f>'Base Year'!$B$44*Forecast!$B$9/365*F405+'Base Year'!$B$45*Forecast!$B$9/365*F404-'Base Year'!$B$46*Forecast!$B$9/365*F405</f>
        <v/>
      </c>
      <c r="G418" s="18">
        <f>'Base Year'!$B$44*Forecast!$B$9/365*G405+'Base Year'!$B$45*Forecast!$B$9/365*G404-'Base Year'!$B$46*Forecast!$B$9/365*G405</f>
        <v/>
      </c>
    </row>
    <row r="419">
      <c r="A419" s="9" t="inlineStr">
        <is>
          <t xml:space="preserve">  change in working capital</t>
        </is>
      </c>
      <c r="C419" s="18">
        <f>C418-('Base Year'!$B$44/365*'Base Year'!$B$21+'Base Year'!$B$45/365*'Base Year'!$B$19-'Base Year'!$B$46/365*'Base Year'!$B$21)</f>
        <v/>
      </c>
      <c r="D419" s="18">
        <f>D418-C418</f>
        <v/>
      </c>
      <c r="E419" s="18">
        <f>E418-D418</f>
        <v/>
      </c>
      <c r="F419" s="18">
        <f>F418-E418</f>
        <v/>
      </c>
      <c r="G419" s="18">
        <f>G418-F418</f>
        <v/>
      </c>
    </row>
    <row r="420">
      <c r="A420" s="17" t="inlineStr">
        <is>
          <t>FREE CASH FLOW TO THE FIRM</t>
        </is>
      </c>
      <c r="C420" s="20">
        <f>C417+C412-C410-C419</f>
        <v/>
      </c>
      <c r="D420" s="20">
        <f>D417+D412-D410-D419</f>
        <v/>
      </c>
      <c r="E420" s="20">
        <f>E417+E412-E410-E419</f>
        <v/>
      </c>
      <c r="F420" s="20">
        <f>F417+F412-F410-F419</f>
        <v/>
      </c>
      <c r="G420" s="20">
        <f>G417+G412-G410-G419</f>
        <v/>
      </c>
    </row>
    <row r="421">
      <c r="A421" s="9" t="inlineStr">
        <is>
          <t>Glide fraction</t>
        </is>
      </c>
      <c r="C421" s="26">
        <f>0.0000000000</f>
        <v/>
      </c>
      <c r="D421" s="26">
        <f>0.3571428571</f>
        <v/>
      </c>
      <c r="E421" s="26">
        <f>0.6428571429</f>
        <v/>
      </c>
      <c r="F421" s="26">
        <f>0.8571428571</f>
        <v/>
      </c>
      <c r="G421" s="26">
        <f>1.0000000000</f>
        <v/>
      </c>
    </row>
    <row r="422">
      <c r="A422" s="9" t="inlineStr">
        <is>
          <t>Forward cost of capital</t>
        </is>
      </c>
      <c r="C422" s="19">
        <f>Forecast!$B$14-(Forecast!$B$14-Forecast!$B$17)*C421</f>
        <v/>
      </c>
      <c r="D422" s="19">
        <f>Forecast!$B$14-(Forecast!$B$14-Forecast!$B$17)*D421</f>
        <v/>
      </c>
      <c r="E422" s="19">
        <f>Forecast!$B$14-(Forecast!$B$14-Forecast!$B$17)*E421</f>
        <v/>
      </c>
      <c r="F422" s="19">
        <f>Forecast!$B$14-(Forecast!$B$14-Forecast!$B$17)*F421</f>
        <v/>
      </c>
      <c r="G422" s="19">
        <f>Forecast!$B$14-(Forecast!$B$14-Forecast!$B$17)*G421</f>
        <v/>
      </c>
    </row>
    <row r="423">
      <c r="A423" s="9" t="inlineStr">
        <is>
          <t>Cumulative discount factor</t>
        </is>
      </c>
      <c r="C423" s="29">
        <f>1/(1+C422)</f>
        <v/>
      </c>
      <c r="D423" s="29">
        <f>C423/(1+D422)</f>
        <v/>
      </c>
      <c r="E423" s="29">
        <f>D423/(1+E422)</f>
        <v/>
      </c>
      <c r="F423" s="29">
        <f>E423/(1+F422)</f>
        <v/>
      </c>
      <c r="G423" s="29">
        <f>F423/(1+G422)</f>
        <v/>
      </c>
    </row>
    <row r="424">
      <c r="A424" s="9" t="inlineStr">
        <is>
          <t>Present value</t>
        </is>
      </c>
      <c r="C424" s="18">
        <f>C420*C423</f>
        <v/>
      </c>
      <c r="D424" s="18">
        <f>D420*D423</f>
        <v/>
      </c>
      <c r="E424" s="18">
        <f>E420*E423</f>
        <v/>
      </c>
      <c r="F424" s="18">
        <f>F420*F423</f>
        <v/>
      </c>
      <c r="G424" s="18">
        <f>G420*G423</f>
        <v/>
      </c>
    </row>
    <row r="425">
      <c r="A425" s="17" t="inlineStr">
        <is>
          <t>PV of the explicit window</t>
        </is>
      </c>
      <c r="B425" s="20">
        <f>SUM(C424:G424)</f>
        <v/>
      </c>
      <c r="C425" s="18">
        <f>C418+C411</f>
        <v/>
      </c>
      <c r="D425" s="18">
        <f>D418+D411</f>
        <v/>
      </c>
      <c r="E425" s="18">
        <f>E418+E411</f>
        <v/>
      </c>
      <c r="F425" s="18">
        <f>F418+F411</f>
        <v/>
      </c>
      <c r="G425" s="18">
        <f>G418+G411</f>
        <v/>
      </c>
    </row>
    <row r="426">
      <c r="A426" s="9" t="inlineStr">
        <is>
          <t>Terminal return on invested capital, at REPLACEMENT cost</t>
        </is>
      </c>
      <c r="B426" s="19">
        <f>G417*(1+Assumptions!$B$89)/G425</f>
        <v/>
      </c>
    </row>
    <row r="427">
      <c r="A427" s="9" t="inlineStr">
        <is>
          <t>Required reinvestment = growth / return</t>
        </is>
      </c>
      <c r="B427" s="19">
        <f>MIN(Assumptions!$B$89/B426,0.95)</f>
        <v/>
      </c>
    </row>
    <row r="428">
      <c r="A428" s="9" t="inlineStr">
        <is>
          <t>Terminal value</t>
        </is>
      </c>
      <c r="B428" s="18">
        <f>G417*(1+Assumptions!$B$89)*(1-B427)/MAX(Forecast!$B$17-Assumptions!$B$89,0.02)</f>
        <v/>
      </c>
    </row>
    <row r="429">
      <c r="A429" s="9" t="inlineStr">
        <is>
          <t>PV of the terminal block</t>
        </is>
      </c>
      <c r="B429" s="18">
        <f>B428*G423</f>
        <v/>
      </c>
    </row>
    <row r="430">
      <c r="A430" s="17" t="inlineStr">
        <is>
          <t>ENTERPRISE VALUE</t>
        </is>
      </c>
      <c r="B430" s="20">
        <f>B425+B429</f>
        <v/>
      </c>
    </row>
    <row r="431">
      <c r="A431" s="9" t="inlineStr">
        <is>
          <t>plus net cash</t>
        </is>
      </c>
      <c r="B431" s="18">
        <f>(Assumptions!$B$79-Assumptions!$B$82-Assumptions!$B$83)/10^6</f>
        <v/>
      </c>
    </row>
    <row r="432">
      <c r="A432" s="9" t="inlineStr">
        <is>
          <t>Enterprise value including cash</t>
        </is>
      </c>
      <c r="B432" s="18">
        <f>B430+B431</f>
        <v/>
      </c>
    </row>
    <row r="433">
      <c r="A433" s="9" t="inlineStr">
        <is>
          <t>less minority — on the WHOLE enterprise, cash included</t>
        </is>
      </c>
      <c r="B433" s="18">
        <f>B432*'Base Year'!$B$41</f>
        <v/>
      </c>
    </row>
    <row r="434">
      <c r="A434" s="9" t="inlineStr">
        <is>
          <t>less the tax-disputes provision</t>
        </is>
      </c>
      <c r="B434" s="18">
        <f>Assumptions!$B$78/10^6</f>
        <v/>
      </c>
    </row>
    <row r="435">
      <c r="A435" s="9" t="inlineStr">
        <is>
          <t>less dividends payable — declared, out of working capital</t>
        </is>
      </c>
      <c r="B435" s="18">
        <f>Assumptions!$B$77/10^6</f>
        <v/>
      </c>
    </row>
    <row r="436">
      <c r="A436" s="9" t="inlineStr">
        <is>
          <t>plus non-operating investments and pledged deposits</t>
        </is>
      </c>
      <c r="B436" s="18">
        <f>(Assumptions!$B$81+Assumptions!$B$80)/10^6</f>
        <v/>
      </c>
    </row>
    <row r="437">
      <c r="A437" s="17" t="inlineStr">
        <is>
          <t>EQUITY ATTRIBUTABLE</t>
        </is>
      </c>
      <c r="B437" s="20">
        <f>B432-B433-B434-B435+B436</f>
        <v/>
      </c>
    </row>
    <row r="438">
      <c r="A438" s="17" t="inlineStr">
        <is>
          <t>VALUE PER SHARE, EGP</t>
        </is>
      </c>
      <c r="B438" s="30">
        <f>B437/Assumptions!$B$8</f>
        <v/>
      </c>
    </row>
    <row r="441">
      <c r="A441" s="6" t="inlineStr">
        <is>
          <t>Volume growth path, as a multiple of the assumed path — +3.0%</t>
        </is>
      </c>
      <c r="B441" s="6" t="inlineStr">
        <is>
          <t>2026E</t>
        </is>
      </c>
      <c r="C441" s="6" t="inlineStr">
        <is>
          <t>2027E</t>
        </is>
      </c>
      <c r="D441" s="6" t="inlineStr">
        <is>
          <t>2028E</t>
        </is>
      </c>
      <c r="E441" s="6" t="inlineStr">
        <is>
          <t>2029E</t>
        </is>
      </c>
      <c r="F441" s="6" t="inlineStr">
        <is>
          <t>2030E</t>
        </is>
      </c>
    </row>
    <row r="442">
      <c r="A442" s="9" t="inlineStr">
        <is>
          <t>Inflation index, cumulative</t>
        </is>
      </c>
      <c r="C442" s="26">
        <f>Assumptions!$B$146</f>
        <v/>
      </c>
      <c r="D442" s="26">
        <f>C442*Assumptions!$B$147</f>
        <v/>
      </c>
      <c r="E442" s="26">
        <f>D442*Assumptions!$B$148</f>
        <v/>
      </c>
      <c r="F442" s="26">
        <f>E442*Assumptions!$B$149</f>
        <v/>
      </c>
      <c r="G442" s="26">
        <f>F442*Assumptions!$B$150</f>
        <v/>
      </c>
    </row>
    <row r="443">
      <c r="A443" s="9" t="inlineStr">
        <is>
          <t>Realisation index, cumulative</t>
        </is>
      </c>
      <c r="C443" s="26">
        <f>(1+Assumptions!$B$101*Forecast!$B$8)</f>
        <v/>
      </c>
      <c r="D443" s="26">
        <f>C443*(1+Assumptions!$B$102*Forecast!$B$8)</f>
        <v/>
      </c>
      <c r="E443" s="26">
        <f>D443*(1+Assumptions!$B$103*Forecast!$B$8)</f>
        <v/>
      </c>
      <c r="F443" s="26">
        <f>E443*(1+Assumptions!$B$104*Forecast!$B$8)</f>
        <v/>
      </c>
      <c r="G443" s="26">
        <f>F443*(1+Assumptions!$B$105*Forecast!$B$8)</f>
        <v/>
      </c>
    </row>
    <row r="444">
      <c r="A444" s="9" t="inlineStr">
        <is>
          <t xml:space="preserve">  Volume — Base and special oils, mn t</t>
        </is>
      </c>
      <c r="C444" s="26">
        <f>'Product and Cost'!E6*(1+Assumptions!$B$106+$B$16)</f>
        <v/>
      </c>
      <c r="D444" s="26">
        <f>C444*(1+Assumptions!$B$107+$B$16)</f>
        <v/>
      </c>
      <c r="E444" s="26">
        <f>D444*(1+Assumptions!$B$108+$B$16)</f>
        <v/>
      </c>
      <c r="F444" s="26">
        <f>E444*(1+Assumptions!$B$109+$B$16)</f>
        <v/>
      </c>
      <c r="G444" s="26">
        <f>F444*(1+Assumptions!$B$110+$B$16)</f>
        <v/>
      </c>
    </row>
    <row r="445">
      <c r="A445" s="9" t="inlineStr">
        <is>
          <t xml:space="preserve">  Volume — Paraffin wax, mn t</t>
        </is>
      </c>
      <c r="C445" s="26">
        <f>'Product and Cost'!E7*(1+Assumptions!$B$111+$B$16)</f>
        <v/>
      </c>
      <c r="D445" s="26">
        <f>C445*(1+Assumptions!$B$112+$B$16)</f>
        <v/>
      </c>
      <c r="E445" s="26">
        <f>D445*(1+Assumptions!$B$113+$B$16)</f>
        <v/>
      </c>
      <c r="F445" s="26">
        <f>E445*(1+Assumptions!$B$114+$B$16)</f>
        <v/>
      </c>
      <c r="G445" s="26">
        <f>F445*(1+Assumptions!$B$115+$B$16)</f>
        <v/>
      </c>
    </row>
    <row r="446">
      <c r="A446" s="9" t="inlineStr">
        <is>
          <t xml:space="preserve">  Volume — Gas oil, mn t</t>
        </is>
      </c>
      <c r="C446" s="26">
        <f>'Product and Cost'!E8*(1+Assumptions!$B$116+$B$16)</f>
        <v/>
      </c>
      <c r="D446" s="26">
        <f>C446*(1+Assumptions!$B$117+$B$16)</f>
        <v/>
      </c>
      <c r="E446" s="26">
        <f>D446*(1+Assumptions!$B$118+$B$16)</f>
        <v/>
      </c>
      <c r="F446" s="26">
        <f>E446*(1+Assumptions!$B$119+$B$16)</f>
        <v/>
      </c>
      <c r="G446" s="26">
        <f>F446*(1+Assumptions!$B$120+$B$16)</f>
        <v/>
      </c>
    </row>
    <row r="447">
      <c r="A447" s="9" t="inlineStr">
        <is>
          <t xml:space="preserve">  Volume — Naphtha, mn t</t>
        </is>
      </c>
      <c r="C447" s="26">
        <f>'Product and Cost'!E9*(1+Assumptions!$B$121+$B$16)</f>
        <v/>
      </c>
      <c r="D447" s="26">
        <f>C447*(1+Assumptions!$B$122+$B$16)</f>
        <v/>
      </c>
      <c r="E447" s="26">
        <f>D447*(1+Assumptions!$B$123+$B$16)</f>
        <v/>
      </c>
      <c r="F447" s="26">
        <f>E447*(1+Assumptions!$B$124+$B$16)</f>
        <v/>
      </c>
      <c r="G447" s="26">
        <f>F447*(1+Assumptions!$B$125+$B$16)</f>
        <v/>
      </c>
    </row>
    <row r="448">
      <c r="A448" s="9" t="inlineStr">
        <is>
          <t xml:space="preserve">  Volume — Liquefied petroleum gas, mn t</t>
        </is>
      </c>
      <c r="C448" s="26">
        <f>'Product and Cost'!E10*(1+Assumptions!$B$126+$B$16)</f>
        <v/>
      </c>
      <c r="D448" s="26">
        <f>C448*(1+Assumptions!$B$127+$B$16)</f>
        <v/>
      </c>
      <c r="E448" s="26">
        <f>D448*(1+Assumptions!$B$128+$B$16)</f>
        <v/>
      </c>
      <c r="F448" s="26">
        <f>E448*(1+Assumptions!$B$129+$B$16)</f>
        <v/>
      </c>
      <c r="G448" s="26">
        <f>F448*(1+Assumptions!$B$130+$B$16)</f>
        <v/>
      </c>
    </row>
    <row r="449">
      <c r="A449" s="9" t="inlineStr">
        <is>
          <t xml:space="preserve">  Volume — Fuel oil (mix), mn t</t>
        </is>
      </c>
      <c r="C449" s="26">
        <f>'Product and Cost'!E11*(1+Assumptions!$B$131+$B$16)</f>
        <v/>
      </c>
      <c r="D449" s="26">
        <f>C449*(1+Assumptions!$B$132+$B$16)</f>
        <v/>
      </c>
      <c r="E449" s="26">
        <f>D449*(1+Assumptions!$B$133+$B$16)</f>
        <v/>
      </c>
      <c r="F449" s="26">
        <f>E449*(1+Assumptions!$B$134+$B$16)</f>
        <v/>
      </c>
      <c r="G449" s="26">
        <f>F449*(1+Assumptions!$B$135+$B$16)</f>
        <v/>
      </c>
    </row>
    <row r="450">
      <c r="A450" s="9" t="inlineStr">
        <is>
          <t xml:space="preserve">  Volume — Heavy fuel oil, mn t</t>
        </is>
      </c>
      <c r="C450" s="26">
        <f>'Product and Cost'!E12*(1+Assumptions!$B$136+$B$16)</f>
        <v/>
      </c>
      <c r="D450" s="26">
        <f>C450*(1+Assumptions!$B$137+$B$16)</f>
        <v/>
      </c>
      <c r="E450" s="26">
        <f>D450*(1+Assumptions!$B$138+$B$16)</f>
        <v/>
      </c>
      <c r="F450" s="26">
        <f>E450*(1+Assumptions!$B$139+$B$16)</f>
        <v/>
      </c>
      <c r="G450" s="26">
        <f>F450*(1+Assumptions!$B$140+$B$16)</f>
        <v/>
      </c>
    </row>
    <row r="451">
      <c r="A451" s="9" t="inlineStr">
        <is>
          <t xml:space="preserve">  Volume — Waste, mn t</t>
        </is>
      </c>
      <c r="C451" s="26">
        <f>'Product and Cost'!E13*(1+Assumptions!$B$141+$B$16)</f>
        <v/>
      </c>
      <c r="D451" s="26">
        <f>C451*(1+Assumptions!$B$142+$B$16)</f>
        <v/>
      </c>
      <c r="E451" s="26">
        <f>D451*(1+Assumptions!$B$143+$B$16)</f>
        <v/>
      </c>
      <c r="F451" s="26">
        <f>E451*(1+Assumptions!$B$144+$B$16)</f>
        <v/>
      </c>
      <c r="G451" s="26">
        <f>F451*(1+Assumptions!$B$145+$B$16)</f>
        <v/>
      </c>
    </row>
    <row r="452">
      <c r="A452" s="17" t="inlineStr">
        <is>
          <t>Total volume, mn t</t>
        </is>
      </c>
      <c r="C452" s="28">
        <f>SUM(C444:C451)</f>
        <v/>
      </c>
      <c r="D452" s="28">
        <f>SUM(D444:D451)</f>
        <v/>
      </c>
      <c r="E452" s="28">
        <f>SUM(E444:E451)</f>
        <v/>
      </c>
      <c r="F452" s="28">
        <f>SUM(F444:F451)</f>
        <v/>
      </c>
      <c r="G452" s="28">
        <f>SUM(G444:G451)</f>
        <v/>
      </c>
    </row>
    <row r="453">
      <c r="A453" s="17" t="inlineStr">
        <is>
          <t>REVENUE</t>
        </is>
      </c>
      <c r="C453" s="20">
        <f>C444*'Product and Cost'!$F$6*C443+C445*'Product and Cost'!$F$7*C443+C446*'Product and Cost'!$F$8*C443+C447*'Product and Cost'!$F$9*C443+C448*'Product and Cost'!$F$10*C443+C449*'Product and Cost'!$F$11*C443+C450*'Product and Cost'!$F$12*C443+C451*'Product and Cost'!$F$13*C443</f>
        <v/>
      </c>
      <c r="D453" s="20">
        <f>D444*'Product and Cost'!$F$6*D443+D445*'Product and Cost'!$F$7*D443+D446*'Product and Cost'!$F$8*D443+D447*'Product and Cost'!$F$9*D443+D448*'Product and Cost'!$F$10*D443+D449*'Product and Cost'!$F$11*D443+D450*'Product and Cost'!$F$12*D443+D451*'Product and Cost'!$F$13*D443</f>
        <v/>
      </c>
      <c r="E453" s="20">
        <f>E444*'Product and Cost'!$F$6*E443+E445*'Product and Cost'!$F$7*E443+E446*'Product and Cost'!$F$8*E443+E447*'Product and Cost'!$F$9*E443+E448*'Product and Cost'!$F$10*E443+E449*'Product and Cost'!$F$11*E443+E450*'Product and Cost'!$F$12*E443+E451*'Product and Cost'!$F$13*E443</f>
        <v/>
      </c>
      <c r="F453" s="20">
        <f>F444*'Product and Cost'!$F$6*F443+F445*'Product and Cost'!$F$7*F443+F446*'Product and Cost'!$F$8*F443+F447*'Product and Cost'!$F$9*F443+F448*'Product and Cost'!$F$10*F443+F449*'Product and Cost'!$F$11*F443+F450*'Product and Cost'!$F$12*F443+F451*'Product and Cost'!$F$13*F443</f>
        <v/>
      </c>
      <c r="G453" s="20">
        <f>G444*'Product and Cost'!$F$6*G443+G445*'Product and Cost'!$F$7*G443+G446*'Product and Cost'!$F$8*G443+G447*'Product and Cost'!$F$9*G443+G448*'Product and Cost'!$F$10*G443+G449*'Product and Cost'!$F$11*G443+G450*'Product and Cost'!$F$12*G443+G451*'Product and Cost'!$F$13*G443</f>
        <v/>
      </c>
    </row>
    <row r="454">
      <c r="A454" s="9" t="inlineStr">
        <is>
          <t>Cost of sales</t>
        </is>
      </c>
      <c r="C454" s="18">
        <f>C444*('Product and Cost'!$D$27*C443*Assumptions!$B$88+'Product and Cost'!$B$27*(0.4863620081*C442+0.4455809638*C442+0.0356254898*C443+0.0324315384))+C445*('Product and Cost'!$D$28*C443*Assumptions!$B$88+'Product and Cost'!$B$28*(0.4863620081*C442+0.4455809638*C442+0.0356254898*C443+0.0324315384))+C446*('Product and Cost'!$D$29*C443*Assumptions!$B$88+'Product and Cost'!$B$29*(0.4863620081*C442+0.4455809638*C442+0.0356254898*C443+0.0324315384))+C447*('Product and Cost'!$D$30*C443*Assumptions!$B$88+'Product and Cost'!$B$30*(0.4863620081*C442+0.4455809638*C442+0.0356254898*C443+0.0324315384))+C448*('Product and Cost'!$D$31*C443*Assumptions!$B$88+'Product and Cost'!$B$31*(0.4863620081*C442+0.4455809638*C442+0.0356254898*C443+0.0324315384))+C449*('Product and Cost'!$D$32*C443*Assumptions!$B$88+'Product and Cost'!$B$32*(0.4863620081*C442+0.4455809638*C442+0.0356254898*C443+0.0324315384))+C450*('Product and Cost'!$D$33*C443*Assumptions!$B$88+'Product and Cost'!$B$33*(0.4863620081*C442+0.4455809638*C442+0.0356254898*C443+0.0324315384))+C451*('Product and Cost'!$D$34*C443*Assumptions!$B$88+'Product and Cost'!$B$34*(0.4863620081*C442+0.4455809638*C442+0.0356254898*C443+0.0324315384))</f>
        <v/>
      </c>
      <c r="D454" s="18">
        <f>D444*('Product and Cost'!$D$27*D443*Assumptions!$B$88+'Product and Cost'!$B$27*(0.4863620081*D442+0.4455809638*D442+0.0356254898*D443+0.0324315384))+D445*('Product and Cost'!$D$28*D443*Assumptions!$B$88+'Product and Cost'!$B$28*(0.4863620081*D442+0.4455809638*D442+0.0356254898*D443+0.0324315384))+D446*('Product and Cost'!$D$29*D443*Assumptions!$B$88+'Product and Cost'!$B$29*(0.4863620081*D442+0.4455809638*D442+0.0356254898*D443+0.0324315384))+D447*('Product and Cost'!$D$30*D443*Assumptions!$B$88+'Product and Cost'!$B$30*(0.4863620081*D442+0.4455809638*D442+0.0356254898*D443+0.0324315384))+D448*('Product and Cost'!$D$31*D443*Assumptions!$B$88+'Product and Cost'!$B$31*(0.4863620081*D442+0.4455809638*D442+0.0356254898*D443+0.0324315384))+D449*('Product and Cost'!$D$32*D443*Assumptions!$B$88+'Product and Cost'!$B$32*(0.4863620081*D442+0.4455809638*D442+0.0356254898*D443+0.0324315384))+D450*('Product and Cost'!$D$33*D443*Assumptions!$B$88+'Product and Cost'!$B$33*(0.4863620081*D442+0.4455809638*D442+0.0356254898*D443+0.0324315384))+D451*('Product and Cost'!$D$34*D443*Assumptions!$B$88+'Product and Cost'!$B$34*(0.4863620081*D442+0.4455809638*D442+0.0356254898*D443+0.0324315384))</f>
        <v/>
      </c>
      <c r="E454" s="18">
        <f>E444*('Product and Cost'!$D$27*E443*Assumptions!$B$88+'Product and Cost'!$B$27*(0.4863620081*E442+0.4455809638*E442+0.0356254898*E443+0.0324315384))+E445*('Product and Cost'!$D$28*E443*Assumptions!$B$88+'Product and Cost'!$B$28*(0.4863620081*E442+0.4455809638*E442+0.0356254898*E443+0.0324315384))+E446*('Product and Cost'!$D$29*E443*Assumptions!$B$88+'Product and Cost'!$B$29*(0.4863620081*E442+0.4455809638*E442+0.0356254898*E443+0.0324315384))+E447*('Product and Cost'!$D$30*E443*Assumptions!$B$88+'Product and Cost'!$B$30*(0.4863620081*E442+0.4455809638*E442+0.0356254898*E443+0.0324315384))+E448*('Product and Cost'!$D$31*E443*Assumptions!$B$88+'Product and Cost'!$B$31*(0.4863620081*E442+0.4455809638*E442+0.0356254898*E443+0.0324315384))+E449*('Product and Cost'!$D$32*E443*Assumptions!$B$88+'Product and Cost'!$B$32*(0.4863620081*E442+0.4455809638*E442+0.0356254898*E443+0.0324315384))+E450*('Product and Cost'!$D$33*E443*Assumptions!$B$88+'Product and Cost'!$B$33*(0.4863620081*E442+0.4455809638*E442+0.0356254898*E443+0.0324315384))+E451*('Product and Cost'!$D$34*E443*Assumptions!$B$88+'Product and Cost'!$B$34*(0.4863620081*E442+0.4455809638*E442+0.0356254898*E443+0.0324315384))</f>
        <v/>
      </c>
      <c r="F454" s="18">
        <f>F444*('Product and Cost'!$D$27*F443*Assumptions!$B$88+'Product and Cost'!$B$27*(0.4863620081*F442+0.4455809638*F442+0.0356254898*F443+0.0324315384))+F445*('Product and Cost'!$D$28*F443*Assumptions!$B$88+'Product and Cost'!$B$28*(0.4863620081*F442+0.4455809638*F442+0.0356254898*F443+0.0324315384))+F446*('Product and Cost'!$D$29*F443*Assumptions!$B$88+'Product and Cost'!$B$29*(0.4863620081*F442+0.4455809638*F442+0.0356254898*F443+0.0324315384))+F447*('Product and Cost'!$D$30*F443*Assumptions!$B$88+'Product and Cost'!$B$30*(0.4863620081*F442+0.4455809638*F442+0.0356254898*F443+0.0324315384))+F448*('Product and Cost'!$D$31*F443*Assumptions!$B$88+'Product and Cost'!$B$31*(0.4863620081*F442+0.4455809638*F442+0.0356254898*F443+0.0324315384))+F449*('Product and Cost'!$D$32*F443*Assumptions!$B$88+'Product and Cost'!$B$32*(0.4863620081*F442+0.4455809638*F442+0.0356254898*F443+0.0324315384))+F450*('Product and Cost'!$D$33*F443*Assumptions!$B$88+'Product and Cost'!$B$33*(0.4863620081*F442+0.4455809638*F442+0.0356254898*F443+0.0324315384))+F451*('Product and Cost'!$D$34*F443*Assumptions!$B$88+'Product and Cost'!$B$34*(0.4863620081*F442+0.4455809638*F442+0.0356254898*F443+0.0324315384))</f>
        <v/>
      </c>
      <c r="G454" s="18">
        <f>G444*('Product and Cost'!$D$27*G443*Assumptions!$B$88+'Product and Cost'!$B$27*(0.4863620081*G442+0.4455809638*G442+0.0356254898*G443+0.0324315384))+G445*('Product and Cost'!$D$28*G443*Assumptions!$B$88+'Product and Cost'!$B$28*(0.4863620081*G442+0.4455809638*G442+0.0356254898*G443+0.0324315384))+G446*('Product and Cost'!$D$29*G443*Assumptions!$B$88+'Product and Cost'!$B$29*(0.4863620081*G442+0.4455809638*G442+0.0356254898*G443+0.0324315384))+G447*('Product and Cost'!$D$30*G443*Assumptions!$B$88+'Product and Cost'!$B$30*(0.4863620081*G442+0.4455809638*G442+0.0356254898*G443+0.0324315384))+G448*('Product and Cost'!$D$31*G443*Assumptions!$B$88+'Product and Cost'!$B$31*(0.4863620081*G442+0.4455809638*G442+0.0356254898*G443+0.0324315384))+G449*('Product and Cost'!$D$32*G443*Assumptions!$B$88+'Product and Cost'!$B$32*(0.4863620081*G442+0.4455809638*G442+0.0356254898*G443+0.0324315384))+G450*('Product and Cost'!$D$33*G443*Assumptions!$B$88+'Product and Cost'!$B$33*(0.4863620081*G442+0.4455809638*G442+0.0356254898*G443+0.0324315384))+G451*('Product and Cost'!$D$34*G443*Assumptions!$B$88+'Product and Cost'!$B$34*(0.4863620081*G442+0.4455809638*G442+0.0356254898*G443+0.0324315384))</f>
        <v/>
      </c>
    </row>
    <row r="455">
      <c r="A455" s="17" t="inlineStr">
        <is>
          <t>GROSS PROFIT</t>
        </is>
      </c>
      <c r="C455" s="20">
        <f>C453-C454+Forecast!$B$7*C453</f>
        <v/>
      </c>
      <c r="D455" s="20">
        <f>D453-D454+Forecast!$B$7*D453</f>
        <v/>
      </c>
      <c r="E455" s="20">
        <f>E453-E454+Forecast!$B$7*E453</f>
        <v/>
      </c>
      <c r="F455" s="20">
        <f>F453-F454+Forecast!$B$7*F453</f>
        <v/>
      </c>
      <c r="G455" s="20">
        <f>G453-G454+Forecast!$B$7*G453</f>
        <v/>
      </c>
    </row>
    <row r="456">
      <c r="A456" s="9" t="inlineStr">
        <is>
          <t>Gross margin</t>
        </is>
      </c>
      <c r="C456" s="19">
        <f>C455/C453</f>
        <v/>
      </c>
      <c r="D456" s="19">
        <f>D455/D453</f>
        <v/>
      </c>
      <c r="E456" s="19">
        <f>E455/E453</f>
        <v/>
      </c>
      <c r="F456" s="19">
        <f>F455/F453</f>
        <v/>
      </c>
      <c r="G456" s="19">
        <f>G455/G453</f>
        <v/>
      </c>
    </row>
    <row r="457">
      <c r="A457" s="9" t="inlineStr">
        <is>
          <t>Operating expense</t>
        </is>
      </c>
      <c r="C457" s="18">
        <f>('Base Year'!$B$28*C442)+('Base Year'!$B$29*C442*C452/'Product and Cost'!$E$14)+('Base Year'!$B$30*C442)+('Base Year'!$B$31*C442)</f>
        <v/>
      </c>
      <c r="D457" s="18">
        <f>('Base Year'!$B$28*D442)+('Base Year'!$B$29*D442*D452/'Product and Cost'!$E$14)+('Base Year'!$B$30*D442)+('Base Year'!$B$31*D442)</f>
        <v/>
      </c>
      <c r="E457" s="18">
        <f>('Base Year'!$B$28*E442)+('Base Year'!$B$29*E442*E452/'Product and Cost'!$E$14)+('Base Year'!$B$30*E442)+('Base Year'!$B$31*E442)</f>
        <v/>
      </c>
      <c r="F457" s="18">
        <f>('Base Year'!$B$28*F442)+('Base Year'!$B$29*F442*F452/'Product and Cost'!$E$14)+('Base Year'!$B$30*F442)+('Base Year'!$B$31*F442)</f>
        <v/>
      </c>
      <c r="G457" s="18">
        <f>('Base Year'!$B$28*G442)+('Base Year'!$B$29*G442*G452/'Product and Cost'!$E$14)+('Base Year'!$B$30*G442)+('Base Year'!$B$31*G442)</f>
        <v/>
      </c>
    </row>
    <row r="458">
      <c r="A458" s="17" t="inlineStr">
        <is>
          <t>EBITDA</t>
        </is>
      </c>
      <c r="C458" s="20">
        <f>C455-C457</f>
        <v/>
      </c>
      <c r="D458" s="20">
        <f>D455-D457</f>
        <v/>
      </c>
      <c r="E458" s="20">
        <f>E455-E457</f>
        <v/>
      </c>
      <c r="F458" s="20">
        <f>F455-F457</f>
        <v/>
      </c>
      <c r="G458" s="20">
        <f>G455-G457</f>
        <v/>
      </c>
    </row>
    <row r="459">
      <c r="A459" s="9" t="inlineStr">
        <is>
          <t>Capital expenditure — maintenance + growth</t>
        </is>
      </c>
      <c r="C459" s="18">
        <f>'Base Year'!$B$43*C442+MAX(C452-'Product and Cost'!$E$14,0)*1947.901031*C442</f>
        <v/>
      </c>
      <c r="D459" s="18">
        <f>'Base Year'!$B$43*D442+MAX(D452-C452,0)*1947.901031*D442</f>
        <v/>
      </c>
      <c r="E459" s="18">
        <f>'Base Year'!$B$43*E442+MAX(E452-D452,0)*1947.901031*E442</f>
        <v/>
      </c>
      <c r="F459" s="18">
        <f>'Base Year'!$B$43*F442+MAX(F452-E452,0)*1947.901031*F442</f>
        <v/>
      </c>
      <c r="G459" s="18">
        <f>'Base Year'!$B$43*G442+MAX(G452-F452,0)*1947.901031*G442</f>
        <v/>
      </c>
    </row>
    <row r="460">
      <c r="A460" s="9" t="inlineStr">
        <is>
          <t>Fixed assets at cost, closing</t>
        </is>
      </c>
      <c r="C460" s="18">
        <f>(Assumptions!$B$70+Assumptions!$B$71)/10^6+C459</f>
        <v/>
      </c>
      <c r="D460" s="18">
        <f>C460+D459</f>
        <v/>
      </c>
      <c r="E460" s="18">
        <f>D460+E459</f>
        <v/>
      </c>
      <c r="F460" s="18">
        <f>E460+F459</f>
        <v/>
      </c>
      <c r="G460" s="18">
        <f>F460+G459</f>
        <v/>
      </c>
    </row>
    <row r="461">
      <c r="A461" s="9" t="inlineStr">
        <is>
          <t>Depreciation — rolls off the asset register</t>
        </is>
      </c>
      <c r="C461" s="18">
        <f>(Assumptions!$B$70+Assumptions!$B$71)/10^6/'Base Year'!$B$42</f>
        <v/>
      </c>
      <c r="D461" s="18">
        <f>C460/'Base Year'!$B$42</f>
        <v/>
      </c>
      <c r="E461" s="18">
        <f>D460/'Base Year'!$B$42</f>
        <v/>
      </c>
      <c r="F461" s="18">
        <f>E460/'Base Year'!$B$42</f>
        <v/>
      </c>
      <c r="G461" s="18">
        <f>F460/'Base Year'!$B$42</f>
        <v/>
      </c>
    </row>
    <row r="462">
      <c r="A462" s="9" t="inlineStr">
        <is>
          <t>Fixed assets, net book, closing</t>
        </is>
      </c>
      <c r="C462" s="18">
        <f>(Assumptions!$B$69+Assumptions!$B$71)/10^6+C459-C461</f>
        <v/>
      </c>
      <c r="D462" s="18">
        <f>C462+D459-D461</f>
        <v/>
      </c>
      <c r="E462" s="18">
        <f>D462+E459-E461</f>
        <v/>
      </c>
      <c r="F462" s="18">
        <f>E462+F459-F461</f>
        <v/>
      </c>
      <c r="G462" s="18">
        <f>F462+G459-G461</f>
        <v/>
      </c>
    </row>
    <row r="463">
      <c r="A463" s="17" t="inlineStr">
        <is>
          <t>EBIT</t>
        </is>
      </c>
      <c r="C463" s="20">
        <f>C458-C461</f>
        <v/>
      </c>
      <c r="D463" s="20">
        <f>D458-D461</f>
        <v/>
      </c>
      <c r="E463" s="20">
        <f>E458-E461</f>
        <v/>
      </c>
      <c r="F463" s="20">
        <f>F458-F461</f>
        <v/>
      </c>
      <c r="G463" s="20">
        <f>G458-G461</f>
        <v/>
      </c>
    </row>
    <row r="464">
      <c r="A464" s="9" t="inlineStr">
        <is>
          <t>NOPAT before the profit share</t>
        </is>
      </c>
      <c r="C464" s="18">
        <f>C463*(1-Assumptions!$B$87)</f>
        <v/>
      </c>
      <c r="D464" s="18">
        <f>D463*(1-Assumptions!$B$87)</f>
        <v/>
      </c>
      <c r="E464" s="18">
        <f>E463*(1-Assumptions!$B$87)</f>
        <v/>
      </c>
      <c r="F464" s="18">
        <f>F463*(1-Assumptions!$B$87)</f>
        <v/>
      </c>
      <c r="G464" s="18">
        <f>G463*(1-Assumptions!$B$87)</f>
        <v/>
      </c>
    </row>
    <row r="465">
      <c r="A465" s="9" t="inlineStr">
        <is>
          <t xml:space="preserve">  less employees' profit share and board bonuses</t>
        </is>
      </c>
      <c r="C465" s="18">
        <f>MAX(C464,0)*'Base Year'!$B$40</f>
        <v/>
      </c>
      <c r="D465" s="18">
        <f>MAX(D464,0)*'Base Year'!$B$40</f>
        <v/>
      </c>
      <c r="E465" s="18">
        <f>MAX(E464,0)*'Base Year'!$B$40</f>
        <v/>
      </c>
      <c r="F465" s="18">
        <f>MAX(F464,0)*'Base Year'!$B$40</f>
        <v/>
      </c>
      <c r="G465" s="18">
        <f>MAX(G464,0)*'Base Year'!$B$40</f>
        <v/>
      </c>
    </row>
    <row r="466">
      <c r="A466" s="17" t="inlineStr">
        <is>
          <t>NOPAT</t>
        </is>
      </c>
      <c r="C466" s="20">
        <f>C464-C465</f>
        <v/>
      </c>
      <c r="D466" s="20">
        <f>D464-D465</f>
        <v/>
      </c>
      <c r="E466" s="20">
        <f>E464-E465</f>
        <v/>
      </c>
      <c r="F466" s="20">
        <f>F464-F465</f>
        <v/>
      </c>
      <c r="G466" s="20">
        <f>G464-G465</f>
        <v/>
      </c>
    </row>
    <row r="467">
      <c r="A467" s="9" t="inlineStr">
        <is>
          <t>Net working capital — on days</t>
        </is>
      </c>
      <c r="C467" s="18">
        <f>'Base Year'!$B$44*Forecast!$B$9/365*C454+'Base Year'!$B$45*Forecast!$B$9/365*C453-'Base Year'!$B$46*Forecast!$B$9/365*C454</f>
        <v/>
      </c>
      <c r="D467" s="18">
        <f>'Base Year'!$B$44*Forecast!$B$9/365*D454+'Base Year'!$B$45*Forecast!$B$9/365*D453-'Base Year'!$B$46*Forecast!$B$9/365*D454</f>
        <v/>
      </c>
      <c r="E467" s="18">
        <f>'Base Year'!$B$44*Forecast!$B$9/365*E454+'Base Year'!$B$45*Forecast!$B$9/365*E453-'Base Year'!$B$46*Forecast!$B$9/365*E454</f>
        <v/>
      </c>
      <c r="F467" s="18">
        <f>'Base Year'!$B$44*Forecast!$B$9/365*F454+'Base Year'!$B$45*Forecast!$B$9/365*F453-'Base Year'!$B$46*Forecast!$B$9/365*F454</f>
        <v/>
      </c>
      <c r="G467" s="18">
        <f>'Base Year'!$B$44*Forecast!$B$9/365*G454+'Base Year'!$B$45*Forecast!$B$9/365*G453-'Base Year'!$B$46*Forecast!$B$9/365*G454</f>
        <v/>
      </c>
    </row>
    <row r="468">
      <c r="A468" s="9" t="inlineStr">
        <is>
          <t xml:space="preserve">  change in working capital</t>
        </is>
      </c>
      <c r="C468" s="18">
        <f>C467-('Base Year'!$B$44/365*'Base Year'!$B$21+'Base Year'!$B$45/365*'Base Year'!$B$19-'Base Year'!$B$46/365*'Base Year'!$B$21)</f>
        <v/>
      </c>
      <c r="D468" s="18">
        <f>D467-C467</f>
        <v/>
      </c>
      <c r="E468" s="18">
        <f>E467-D467</f>
        <v/>
      </c>
      <c r="F468" s="18">
        <f>F467-E467</f>
        <v/>
      </c>
      <c r="G468" s="18">
        <f>G467-F467</f>
        <v/>
      </c>
    </row>
    <row r="469">
      <c r="A469" s="17" t="inlineStr">
        <is>
          <t>FREE CASH FLOW TO THE FIRM</t>
        </is>
      </c>
      <c r="C469" s="20">
        <f>C466+C461-C459-C468</f>
        <v/>
      </c>
      <c r="D469" s="20">
        <f>D466+D461-D459-D468</f>
        <v/>
      </c>
      <c r="E469" s="20">
        <f>E466+E461-E459-E468</f>
        <v/>
      </c>
      <c r="F469" s="20">
        <f>F466+F461-F459-F468</f>
        <v/>
      </c>
      <c r="G469" s="20">
        <f>G466+G461-G459-G468</f>
        <v/>
      </c>
    </row>
    <row r="470">
      <c r="A470" s="9" t="inlineStr">
        <is>
          <t>Glide fraction</t>
        </is>
      </c>
      <c r="C470" s="26">
        <f>0.0000000000</f>
        <v/>
      </c>
      <c r="D470" s="26">
        <f>0.3571428571</f>
        <v/>
      </c>
      <c r="E470" s="26">
        <f>0.6428571429</f>
        <v/>
      </c>
      <c r="F470" s="26">
        <f>0.8571428571</f>
        <v/>
      </c>
      <c r="G470" s="26">
        <f>1.0000000000</f>
        <v/>
      </c>
    </row>
    <row r="471">
      <c r="A471" s="9" t="inlineStr">
        <is>
          <t>Forward cost of capital</t>
        </is>
      </c>
      <c r="C471" s="19">
        <f>Forecast!$B$14-(Forecast!$B$14-Forecast!$B$17)*C470</f>
        <v/>
      </c>
      <c r="D471" s="19">
        <f>Forecast!$B$14-(Forecast!$B$14-Forecast!$B$17)*D470</f>
        <v/>
      </c>
      <c r="E471" s="19">
        <f>Forecast!$B$14-(Forecast!$B$14-Forecast!$B$17)*E470</f>
        <v/>
      </c>
      <c r="F471" s="19">
        <f>Forecast!$B$14-(Forecast!$B$14-Forecast!$B$17)*F470</f>
        <v/>
      </c>
      <c r="G471" s="19">
        <f>Forecast!$B$14-(Forecast!$B$14-Forecast!$B$17)*G470</f>
        <v/>
      </c>
    </row>
    <row r="472">
      <c r="A472" s="9" t="inlineStr">
        <is>
          <t>Cumulative discount factor</t>
        </is>
      </c>
      <c r="C472" s="29">
        <f>1/(1+C471)</f>
        <v/>
      </c>
      <c r="D472" s="29">
        <f>C472/(1+D471)</f>
        <v/>
      </c>
      <c r="E472" s="29">
        <f>D472/(1+E471)</f>
        <v/>
      </c>
      <c r="F472" s="29">
        <f>E472/(1+F471)</f>
        <v/>
      </c>
      <c r="G472" s="29">
        <f>F472/(1+G471)</f>
        <v/>
      </c>
    </row>
    <row r="473">
      <c r="A473" s="9" t="inlineStr">
        <is>
          <t>Present value</t>
        </is>
      </c>
      <c r="C473" s="18">
        <f>C469*C472</f>
        <v/>
      </c>
      <c r="D473" s="18">
        <f>D469*D472</f>
        <v/>
      </c>
      <c r="E473" s="18">
        <f>E469*E472</f>
        <v/>
      </c>
      <c r="F473" s="18">
        <f>F469*F472</f>
        <v/>
      </c>
      <c r="G473" s="18">
        <f>G469*G472</f>
        <v/>
      </c>
    </row>
    <row r="474">
      <c r="A474" s="17" t="inlineStr">
        <is>
          <t>PV of the explicit window</t>
        </is>
      </c>
      <c r="B474" s="20">
        <f>SUM(C473:G473)</f>
        <v/>
      </c>
      <c r="C474" s="18">
        <f>C467+C460</f>
        <v/>
      </c>
      <c r="D474" s="18">
        <f>D467+D460</f>
        <v/>
      </c>
      <c r="E474" s="18">
        <f>E467+E460</f>
        <v/>
      </c>
      <c r="F474" s="18">
        <f>F467+F460</f>
        <v/>
      </c>
      <c r="G474" s="18">
        <f>G467+G460</f>
        <v/>
      </c>
    </row>
    <row r="475">
      <c r="A475" s="9" t="inlineStr">
        <is>
          <t>Terminal return on invested capital, at REPLACEMENT cost</t>
        </is>
      </c>
      <c r="B475" s="19">
        <f>G466*(1+Assumptions!$B$89)/G474</f>
        <v/>
      </c>
    </row>
    <row r="476">
      <c r="A476" s="9" t="inlineStr">
        <is>
          <t>Required reinvestment = growth / return</t>
        </is>
      </c>
      <c r="B476" s="19">
        <f>MIN(Assumptions!$B$89/B475,0.95)</f>
        <v/>
      </c>
    </row>
    <row r="477">
      <c r="A477" s="9" t="inlineStr">
        <is>
          <t>Terminal value</t>
        </is>
      </c>
      <c r="B477" s="18">
        <f>G466*(1+Assumptions!$B$89)*(1-B476)/MAX(Forecast!$B$17-Assumptions!$B$89,0.02)</f>
        <v/>
      </c>
    </row>
    <row r="478">
      <c r="A478" s="9" t="inlineStr">
        <is>
          <t>PV of the terminal block</t>
        </is>
      </c>
      <c r="B478" s="18">
        <f>B477*G472</f>
        <v/>
      </c>
    </row>
    <row r="479">
      <c r="A479" s="17" t="inlineStr">
        <is>
          <t>ENTERPRISE VALUE</t>
        </is>
      </c>
      <c r="B479" s="20">
        <f>B474+B478</f>
        <v/>
      </c>
    </row>
    <row r="480">
      <c r="A480" s="9" t="inlineStr">
        <is>
          <t>plus net cash</t>
        </is>
      </c>
      <c r="B480" s="18">
        <f>(Assumptions!$B$79-Assumptions!$B$82-Assumptions!$B$83)/10^6</f>
        <v/>
      </c>
    </row>
    <row r="481">
      <c r="A481" s="9" t="inlineStr">
        <is>
          <t>Enterprise value including cash</t>
        </is>
      </c>
      <c r="B481" s="18">
        <f>B479+B480</f>
        <v/>
      </c>
    </row>
    <row r="482">
      <c r="A482" s="9" t="inlineStr">
        <is>
          <t>less minority — on the WHOLE enterprise, cash included</t>
        </is>
      </c>
      <c r="B482" s="18">
        <f>B481*'Base Year'!$B$41</f>
        <v/>
      </c>
    </row>
    <row r="483">
      <c r="A483" s="9" t="inlineStr">
        <is>
          <t>less the tax-disputes provision</t>
        </is>
      </c>
      <c r="B483" s="18">
        <f>Assumptions!$B$78/10^6</f>
        <v/>
      </c>
    </row>
    <row r="484">
      <c r="A484" s="9" t="inlineStr">
        <is>
          <t>less dividends payable — declared, out of working capital</t>
        </is>
      </c>
      <c r="B484" s="18">
        <f>Assumptions!$B$77/10^6</f>
        <v/>
      </c>
    </row>
    <row r="485">
      <c r="A485" s="9" t="inlineStr">
        <is>
          <t>plus non-operating investments and pledged deposits</t>
        </is>
      </c>
      <c r="B485" s="18">
        <f>(Assumptions!$B$81+Assumptions!$B$80)/10^6</f>
        <v/>
      </c>
    </row>
    <row r="486">
      <c r="A486" s="17" t="inlineStr">
        <is>
          <t>EQUITY ATTRIBUTABLE</t>
        </is>
      </c>
      <c r="B486" s="20">
        <f>B481-B482-B483-B484+B485</f>
        <v/>
      </c>
    </row>
    <row r="487">
      <c r="A487" s="17" t="inlineStr">
        <is>
          <t>VALUE PER SHARE, EGP</t>
        </is>
      </c>
      <c r="B487" s="30">
        <f>B486/Assumptions!$B$8</f>
        <v/>
      </c>
    </row>
    <row r="490">
      <c r="A490" s="6" t="inlineStr">
        <is>
          <t>Volume growth path, as a multiple of the assumed path — +6.0%</t>
        </is>
      </c>
      <c r="B490" s="6" t="inlineStr">
        <is>
          <t>2026E</t>
        </is>
      </c>
      <c r="C490" s="6" t="inlineStr">
        <is>
          <t>2027E</t>
        </is>
      </c>
      <c r="D490" s="6" t="inlineStr">
        <is>
          <t>2028E</t>
        </is>
      </c>
      <c r="E490" s="6" t="inlineStr">
        <is>
          <t>2029E</t>
        </is>
      </c>
      <c r="F490" s="6" t="inlineStr">
        <is>
          <t>2030E</t>
        </is>
      </c>
    </row>
    <row r="491">
      <c r="A491" s="9" t="inlineStr">
        <is>
          <t>Inflation index, cumulative</t>
        </is>
      </c>
      <c r="C491" s="26">
        <f>Assumptions!$B$146</f>
        <v/>
      </c>
      <c r="D491" s="26">
        <f>C491*Assumptions!$B$147</f>
        <v/>
      </c>
      <c r="E491" s="26">
        <f>D491*Assumptions!$B$148</f>
        <v/>
      </c>
      <c r="F491" s="26">
        <f>E491*Assumptions!$B$149</f>
        <v/>
      </c>
      <c r="G491" s="26">
        <f>F491*Assumptions!$B$150</f>
        <v/>
      </c>
    </row>
    <row r="492">
      <c r="A492" s="9" t="inlineStr">
        <is>
          <t>Realisation index, cumulative</t>
        </is>
      </c>
      <c r="C492" s="26">
        <f>(1+Assumptions!$B$101*Forecast!$B$8)</f>
        <v/>
      </c>
      <c r="D492" s="26">
        <f>C492*(1+Assumptions!$B$102*Forecast!$B$8)</f>
        <v/>
      </c>
      <c r="E492" s="26">
        <f>D492*(1+Assumptions!$B$103*Forecast!$B$8)</f>
        <v/>
      </c>
      <c r="F492" s="26">
        <f>E492*(1+Assumptions!$B$104*Forecast!$B$8)</f>
        <v/>
      </c>
      <c r="G492" s="26">
        <f>F492*(1+Assumptions!$B$105*Forecast!$B$8)</f>
        <v/>
      </c>
    </row>
    <row r="493">
      <c r="A493" s="9" t="inlineStr">
        <is>
          <t xml:space="preserve">  Volume — Base and special oils, mn t</t>
        </is>
      </c>
      <c r="C493" s="26">
        <f>'Product and Cost'!E6*(1+Assumptions!$B$106+$B$17)</f>
        <v/>
      </c>
      <c r="D493" s="26">
        <f>C493*(1+Assumptions!$B$107+$B$17)</f>
        <v/>
      </c>
      <c r="E493" s="26">
        <f>D493*(1+Assumptions!$B$108+$B$17)</f>
        <v/>
      </c>
      <c r="F493" s="26">
        <f>E493*(1+Assumptions!$B$109+$B$17)</f>
        <v/>
      </c>
      <c r="G493" s="26">
        <f>F493*(1+Assumptions!$B$110+$B$17)</f>
        <v/>
      </c>
    </row>
    <row r="494">
      <c r="A494" s="9" t="inlineStr">
        <is>
          <t xml:space="preserve">  Volume — Paraffin wax, mn t</t>
        </is>
      </c>
      <c r="C494" s="26">
        <f>'Product and Cost'!E7*(1+Assumptions!$B$111+$B$17)</f>
        <v/>
      </c>
      <c r="D494" s="26">
        <f>C494*(1+Assumptions!$B$112+$B$17)</f>
        <v/>
      </c>
      <c r="E494" s="26">
        <f>D494*(1+Assumptions!$B$113+$B$17)</f>
        <v/>
      </c>
      <c r="F494" s="26">
        <f>E494*(1+Assumptions!$B$114+$B$17)</f>
        <v/>
      </c>
      <c r="G494" s="26">
        <f>F494*(1+Assumptions!$B$115+$B$17)</f>
        <v/>
      </c>
    </row>
    <row r="495">
      <c r="A495" s="9" t="inlineStr">
        <is>
          <t xml:space="preserve">  Volume — Gas oil, mn t</t>
        </is>
      </c>
      <c r="C495" s="26">
        <f>'Product and Cost'!E8*(1+Assumptions!$B$116+$B$17)</f>
        <v/>
      </c>
      <c r="D495" s="26">
        <f>C495*(1+Assumptions!$B$117+$B$17)</f>
        <v/>
      </c>
      <c r="E495" s="26">
        <f>D495*(1+Assumptions!$B$118+$B$17)</f>
        <v/>
      </c>
      <c r="F495" s="26">
        <f>E495*(1+Assumptions!$B$119+$B$17)</f>
        <v/>
      </c>
      <c r="G495" s="26">
        <f>F495*(1+Assumptions!$B$120+$B$17)</f>
        <v/>
      </c>
    </row>
    <row r="496">
      <c r="A496" s="9" t="inlineStr">
        <is>
          <t xml:space="preserve">  Volume — Naphtha, mn t</t>
        </is>
      </c>
      <c r="C496" s="26">
        <f>'Product and Cost'!E9*(1+Assumptions!$B$121+$B$17)</f>
        <v/>
      </c>
      <c r="D496" s="26">
        <f>C496*(1+Assumptions!$B$122+$B$17)</f>
        <v/>
      </c>
      <c r="E496" s="26">
        <f>D496*(1+Assumptions!$B$123+$B$17)</f>
        <v/>
      </c>
      <c r="F496" s="26">
        <f>E496*(1+Assumptions!$B$124+$B$17)</f>
        <v/>
      </c>
      <c r="G496" s="26">
        <f>F496*(1+Assumptions!$B$125+$B$17)</f>
        <v/>
      </c>
    </row>
    <row r="497">
      <c r="A497" s="9" t="inlineStr">
        <is>
          <t xml:space="preserve">  Volume — Liquefied petroleum gas, mn t</t>
        </is>
      </c>
      <c r="C497" s="26">
        <f>'Product and Cost'!E10*(1+Assumptions!$B$126+$B$17)</f>
        <v/>
      </c>
      <c r="D497" s="26">
        <f>C497*(1+Assumptions!$B$127+$B$17)</f>
        <v/>
      </c>
      <c r="E497" s="26">
        <f>D497*(1+Assumptions!$B$128+$B$17)</f>
        <v/>
      </c>
      <c r="F497" s="26">
        <f>E497*(1+Assumptions!$B$129+$B$17)</f>
        <v/>
      </c>
      <c r="G497" s="26">
        <f>F497*(1+Assumptions!$B$130+$B$17)</f>
        <v/>
      </c>
    </row>
    <row r="498">
      <c r="A498" s="9" t="inlineStr">
        <is>
          <t xml:space="preserve">  Volume — Fuel oil (mix), mn t</t>
        </is>
      </c>
      <c r="C498" s="26">
        <f>'Product and Cost'!E11*(1+Assumptions!$B$131+$B$17)</f>
        <v/>
      </c>
      <c r="D498" s="26">
        <f>C498*(1+Assumptions!$B$132+$B$17)</f>
        <v/>
      </c>
      <c r="E498" s="26">
        <f>D498*(1+Assumptions!$B$133+$B$17)</f>
        <v/>
      </c>
      <c r="F498" s="26">
        <f>E498*(1+Assumptions!$B$134+$B$17)</f>
        <v/>
      </c>
      <c r="G498" s="26">
        <f>F498*(1+Assumptions!$B$135+$B$17)</f>
        <v/>
      </c>
    </row>
    <row r="499">
      <c r="A499" s="9" t="inlineStr">
        <is>
          <t xml:space="preserve">  Volume — Heavy fuel oil, mn t</t>
        </is>
      </c>
      <c r="C499" s="26">
        <f>'Product and Cost'!E12*(1+Assumptions!$B$136+$B$17)</f>
        <v/>
      </c>
      <c r="D499" s="26">
        <f>C499*(1+Assumptions!$B$137+$B$17)</f>
        <v/>
      </c>
      <c r="E499" s="26">
        <f>D499*(1+Assumptions!$B$138+$B$17)</f>
        <v/>
      </c>
      <c r="F499" s="26">
        <f>E499*(1+Assumptions!$B$139+$B$17)</f>
        <v/>
      </c>
      <c r="G499" s="26">
        <f>F499*(1+Assumptions!$B$140+$B$17)</f>
        <v/>
      </c>
    </row>
    <row r="500">
      <c r="A500" s="9" t="inlineStr">
        <is>
          <t xml:space="preserve">  Volume — Waste, mn t</t>
        </is>
      </c>
      <c r="C500" s="26">
        <f>'Product and Cost'!E13*(1+Assumptions!$B$141+$B$17)</f>
        <v/>
      </c>
      <c r="D500" s="26">
        <f>C500*(1+Assumptions!$B$142+$B$17)</f>
        <v/>
      </c>
      <c r="E500" s="26">
        <f>D500*(1+Assumptions!$B$143+$B$17)</f>
        <v/>
      </c>
      <c r="F500" s="26">
        <f>E500*(1+Assumptions!$B$144+$B$17)</f>
        <v/>
      </c>
      <c r="G500" s="26">
        <f>F500*(1+Assumptions!$B$145+$B$17)</f>
        <v/>
      </c>
    </row>
    <row r="501">
      <c r="A501" s="17" t="inlineStr">
        <is>
          <t>Total volume, mn t</t>
        </is>
      </c>
      <c r="C501" s="28">
        <f>SUM(C493:C500)</f>
        <v/>
      </c>
      <c r="D501" s="28">
        <f>SUM(D493:D500)</f>
        <v/>
      </c>
      <c r="E501" s="28">
        <f>SUM(E493:E500)</f>
        <v/>
      </c>
      <c r="F501" s="28">
        <f>SUM(F493:F500)</f>
        <v/>
      </c>
      <c r="G501" s="28">
        <f>SUM(G493:G500)</f>
        <v/>
      </c>
    </row>
    <row r="502">
      <c r="A502" s="17" t="inlineStr">
        <is>
          <t>REVENUE</t>
        </is>
      </c>
      <c r="C502" s="20">
        <f>C493*'Product and Cost'!$F$6*C492+C494*'Product and Cost'!$F$7*C492+C495*'Product and Cost'!$F$8*C492+C496*'Product and Cost'!$F$9*C492+C497*'Product and Cost'!$F$10*C492+C498*'Product and Cost'!$F$11*C492+C499*'Product and Cost'!$F$12*C492+C500*'Product and Cost'!$F$13*C492</f>
        <v/>
      </c>
      <c r="D502" s="20">
        <f>D493*'Product and Cost'!$F$6*D492+D494*'Product and Cost'!$F$7*D492+D495*'Product and Cost'!$F$8*D492+D496*'Product and Cost'!$F$9*D492+D497*'Product and Cost'!$F$10*D492+D498*'Product and Cost'!$F$11*D492+D499*'Product and Cost'!$F$12*D492+D500*'Product and Cost'!$F$13*D492</f>
        <v/>
      </c>
      <c r="E502" s="20">
        <f>E493*'Product and Cost'!$F$6*E492+E494*'Product and Cost'!$F$7*E492+E495*'Product and Cost'!$F$8*E492+E496*'Product and Cost'!$F$9*E492+E497*'Product and Cost'!$F$10*E492+E498*'Product and Cost'!$F$11*E492+E499*'Product and Cost'!$F$12*E492+E500*'Product and Cost'!$F$13*E492</f>
        <v/>
      </c>
      <c r="F502" s="20">
        <f>F493*'Product and Cost'!$F$6*F492+F494*'Product and Cost'!$F$7*F492+F495*'Product and Cost'!$F$8*F492+F496*'Product and Cost'!$F$9*F492+F497*'Product and Cost'!$F$10*F492+F498*'Product and Cost'!$F$11*F492+F499*'Product and Cost'!$F$12*F492+F500*'Product and Cost'!$F$13*F492</f>
        <v/>
      </c>
      <c r="G502" s="20">
        <f>G493*'Product and Cost'!$F$6*G492+G494*'Product and Cost'!$F$7*G492+G495*'Product and Cost'!$F$8*G492+G496*'Product and Cost'!$F$9*G492+G497*'Product and Cost'!$F$10*G492+G498*'Product and Cost'!$F$11*G492+G499*'Product and Cost'!$F$12*G492+G500*'Product and Cost'!$F$13*G492</f>
        <v/>
      </c>
    </row>
    <row r="503">
      <c r="A503" s="9" t="inlineStr">
        <is>
          <t>Cost of sales</t>
        </is>
      </c>
      <c r="C503" s="18">
        <f>C493*('Product and Cost'!$D$27*C492*Assumptions!$B$88+'Product and Cost'!$B$27*(0.4863620081*C491+0.4455809638*C491+0.0356254898*C492+0.0324315384))+C494*('Product and Cost'!$D$28*C492*Assumptions!$B$88+'Product and Cost'!$B$28*(0.4863620081*C491+0.4455809638*C491+0.0356254898*C492+0.0324315384))+C495*('Product and Cost'!$D$29*C492*Assumptions!$B$88+'Product and Cost'!$B$29*(0.4863620081*C491+0.4455809638*C491+0.0356254898*C492+0.0324315384))+C496*('Product and Cost'!$D$30*C492*Assumptions!$B$88+'Product and Cost'!$B$30*(0.4863620081*C491+0.4455809638*C491+0.0356254898*C492+0.0324315384))+C497*('Product and Cost'!$D$31*C492*Assumptions!$B$88+'Product and Cost'!$B$31*(0.4863620081*C491+0.4455809638*C491+0.0356254898*C492+0.0324315384))+C498*('Product and Cost'!$D$32*C492*Assumptions!$B$88+'Product and Cost'!$B$32*(0.4863620081*C491+0.4455809638*C491+0.0356254898*C492+0.0324315384))+C499*('Product and Cost'!$D$33*C492*Assumptions!$B$88+'Product and Cost'!$B$33*(0.4863620081*C491+0.4455809638*C491+0.0356254898*C492+0.0324315384))+C500*('Product and Cost'!$D$34*C492*Assumptions!$B$88+'Product and Cost'!$B$34*(0.4863620081*C491+0.4455809638*C491+0.0356254898*C492+0.0324315384))</f>
        <v/>
      </c>
      <c r="D503" s="18">
        <f>D493*('Product and Cost'!$D$27*D492*Assumptions!$B$88+'Product and Cost'!$B$27*(0.4863620081*D491+0.4455809638*D491+0.0356254898*D492+0.0324315384))+D494*('Product and Cost'!$D$28*D492*Assumptions!$B$88+'Product and Cost'!$B$28*(0.4863620081*D491+0.4455809638*D491+0.0356254898*D492+0.0324315384))+D495*('Product and Cost'!$D$29*D492*Assumptions!$B$88+'Product and Cost'!$B$29*(0.4863620081*D491+0.4455809638*D491+0.0356254898*D492+0.0324315384))+D496*('Product and Cost'!$D$30*D492*Assumptions!$B$88+'Product and Cost'!$B$30*(0.4863620081*D491+0.4455809638*D491+0.0356254898*D492+0.0324315384))+D497*('Product and Cost'!$D$31*D492*Assumptions!$B$88+'Product and Cost'!$B$31*(0.4863620081*D491+0.4455809638*D491+0.0356254898*D492+0.0324315384))+D498*('Product and Cost'!$D$32*D492*Assumptions!$B$88+'Product and Cost'!$B$32*(0.4863620081*D491+0.4455809638*D491+0.0356254898*D492+0.0324315384))+D499*('Product and Cost'!$D$33*D492*Assumptions!$B$88+'Product and Cost'!$B$33*(0.4863620081*D491+0.4455809638*D491+0.0356254898*D492+0.0324315384))+D500*('Product and Cost'!$D$34*D492*Assumptions!$B$88+'Product and Cost'!$B$34*(0.4863620081*D491+0.4455809638*D491+0.0356254898*D492+0.0324315384))</f>
        <v/>
      </c>
      <c r="E503" s="18">
        <f>E493*('Product and Cost'!$D$27*E492*Assumptions!$B$88+'Product and Cost'!$B$27*(0.4863620081*E491+0.4455809638*E491+0.0356254898*E492+0.0324315384))+E494*('Product and Cost'!$D$28*E492*Assumptions!$B$88+'Product and Cost'!$B$28*(0.4863620081*E491+0.4455809638*E491+0.0356254898*E492+0.0324315384))+E495*('Product and Cost'!$D$29*E492*Assumptions!$B$88+'Product and Cost'!$B$29*(0.4863620081*E491+0.4455809638*E491+0.0356254898*E492+0.0324315384))+E496*('Product and Cost'!$D$30*E492*Assumptions!$B$88+'Product and Cost'!$B$30*(0.4863620081*E491+0.4455809638*E491+0.0356254898*E492+0.0324315384))+E497*('Product and Cost'!$D$31*E492*Assumptions!$B$88+'Product and Cost'!$B$31*(0.4863620081*E491+0.4455809638*E491+0.0356254898*E492+0.0324315384))+E498*('Product and Cost'!$D$32*E492*Assumptions!$B$88+'Product and Cost'!$B$32*(0.4863620081*E491+0.4455809638*E491+0.0356254898*E492+0.0324315384))+E499*('Product and Cost'!$D$33*E492*Assumptions!$B$88+'Product and Cost'!$B$33*(0.4863620081*E491+0.4455809638*E491+0.0356254898*E492+0.0324315384))+E500*('Product and Cost'!$D$34*E492*Assumptions!$B$88+'Product and Cost'!$B$34*(0.4863620081*E491+0.4455809638*E491+0.0356254898*E492+0.0324315384))</f>
        <v/>
      </c>
      <c r="F503" s="18">
        <f>F493*('Product and Cost'!$D$27*F492*Assumptions!$B$88+'Product and Cost'!$B$27*(0.4863620081*F491+0.4455809638*F491+0.0356254898*F492+0.0324315384))+F494*('Product and Cost'!$D$28*F492*Assumptions!$B$88+'Product and Cost'!$B$28*(0.4863620081*F491+0.4455809638*F491+0.0356254898*F492+0.0324315384))+F495*('Product and Cost'!$D$29*F492*Assumptions!$B$88+'Product and Cost'!$B$29*(0.4863620081*F491+0.4455809638*F491+0.0356254898*F492+0.0324315384))+F496*('Product and Cost'!$D$30*F492*Assumptions!$B$88+'Product and Cost'!$B$30*(0.4863620081*F491+0.4455809638*F491+0.0356254898*F492+0.0324315384))+F497*('Product and Cost'!$D$31*F492*Assumptions!$B$88+'Product and Cost'!$B$31*(0.4863620081*F491+0.4455809638*F491+0.0356254898*F492+0.0324315384))+F498*('Product and Cost'!$D$32*F492*Assumptions!$B$88+'Product and Cost'!$B$32*(0.4863620081*F491+0.4455809638*F491+0.0356254898*F492+0.0324315384))+F499*('Product and Cost'!$D$33*F492*Assumptions!$B$88+'Product and Cost'!$B$33*(0.4863620081*F491+0.4455809638*F491+0.0356254898*F492+0.0324315384))+F500*('Product and Cost'!$D$34*F492*Assumptions!$B$88+'Product and Cost'!$B$34*(0.4863620081*F491+0.4455809638*F491+0.0356254898*F492+0.0324315384))</f>
        <v/>
      </c>
      <c r="G503" s="18">
        <f>G493*('Product and Cost'!$D$27*G492*Assumptions!$B$88+'Product and Cost'!$B$27*(0.4863620081*G491+0.4455809638*G491+0.0356254898*G492+0.0324315384))+G494*('Product and Cost'!$D$28*G492*Assumptions!$B$88+'Product and Cost'!$B$28*(0.4863620081*G491+0.4455809638*G491+0.0356254898*G492+0.0324315384))+G495*('Product and Cost'!$D$29*G492*Assumptions!$B$88+'Product and Cost'!$B$29*(0.4863620081*G491+0.4455809638*G491+0.0356254898*G492+0.0324315384))+G496*('Product and Cost'!$D$30*G492*Assumptions!$B$88+'Product and Cost'!$B$30*(0.4863620081*G491+0.4455809638*G491+0.0356254898*G492+0.0324315384))+G497*('Product and Cost'!$D$31*G492*Assumptions!$B$88+'Product and Cost'!$B$31*(0.4863620081*G491+0.4455809638*G491+0.0356254898*G492+0.0324315384))+G498*('Product and Cost'!$D$32*G492*Assumptions!$B$88+'Product and Cost'!$B$32*(0.4863620081*G491+0.4455809638*G491+0.0356254898*G492+0.0324315384))+G499*('Product and Cost'!$D$33*G492*Assumptions!$B$88+'Product and Cost'!$B$33*(0.4863620081*G491+0.4455809638*G491+0.0356254898*G492+0.0324315384))+G500*('Product and Cost'!$D$34*G492*Assumptions!$B$88+'Product and Cost'!$B$34*(0.4863620081*G491+0.4455809638*G491+0.0356254898*G492+0.0324315384))</f>
        <v/>
      </c>
    </row>
    <row r="504">
      <c r="A504" s="17" t="inlineStr">
        <is>
          <t>GROSS PROFIT</t>
        </is>
      </c>
      <c r="C504" s="20">
        <f>C502-C503+Forecast!$B$7*C502</f>
        <v/>
      </c>
      <c r="D504" s="20">
        <f>D502-D503+Forecast!$B$7*D502</f>
        <v/>
      </c>
      <c r="E504" s="20">
        <f>E502-E503+Forecast!$B$7*E502</f>
        <v/>
      </c>
      <c r="F504" s="20">
        <f>F502-F503+Forecast!$B$7*F502</f>
        <v/>
      </c>
      <c r="G504" s="20">
        <f>G502-G503+Forecast!$B$7*G502</f>
        <v/>
      </c>
    </row>
    <row r="505">
      <c r="A505" s="9" t="inlineStr">
        <is>
          <t>Gross margin</t>
        </is>
      </c>
      <c r="C505" s="19">
        <f>C504/C502</f>
        <v/>
      </c>
      <c r="D505" s="19">
        <f>D504/D502</f>
        <v/>
      </c>
      <c r="E505" s="19">
        <f>E504/E502</f>
        <v/>
      </c>
      <c r="F505" s="19">
        <f>F504/F502</f>
        <v/>
      </c>
      <c r="G505" s="19">
        <f>G504/G502</f>
        <v/>
      </c>
    </row>
    <row r="506">
      <c r="A506" s="9" t="inlineStr">
        <is>
          <t>Operating expense</t>
        </is>
      </c>
      <c r="C506" s="18">
        <f>('Base Year'!$B$28*C491)+('Base Year'!$B$29*C491*C501/'Product and Cost'!$E$14)+('Base Year'!$B$30*C491)+('Base Year'!$B$31*C491)</f>
        <v/>
      </c>
      <c r="D506" s="18">
        <f>('Base Year'!$B$28*D491)+('Base Year'!$B$29*D491*D501/'Product and Cost'!$E$14)+('Base Year'!$B$30*D491)+('Base Year'!$B$31*D491)</f>
        <v/>
      </c>
      <c r="E506" s="18">
        <f>('Base Year'!$B$28*E491)+('Base Year'!$B$29*E491*E501/'Product and Cost'!$E$14)+('Base Year'!$B$30*E491)+('Base Year'!$B$31*E491)</f>
        <v/>
      </c>
      <c r="F506" s="18">
        <f>('Base Year'!$B$28*F491)+('Base Year'!$B$29*F491*F501/'Product and Cost'!$E$14)+('Base Year'!$B$30*F491)+('Base Year'!$B$31*F491)</f>
        <v/>
      </c>
      <c r="G506" s="18">
        <f>('Base Year'!$B$28*G491)+('Base Year'!$B$29*G491*G501/'Product and Cost'!$E$14)+('Base Year'!$B$30*G491)+('Base Year'!$B$31*G491)</f>
        <v/>
      </c>
    </row>
    <row r="507">
      <c r="A507" s="17" t="inlineStr">
        <is>
          <t>EBITDA</t>
        </is>
      </c>
      <c r="C507" s="20">
        <f>C504-C506</f>
        <v/>
      </c>
      <c r="D507" s="20">
        <f>D504-D506</f>
        <v/>
      </c>
      <c r="E507" s="20">
        <f>E504-E506</f>
        <v/>
      </c>
      <c r="F507" s="20">
        <f>F504-F506</f>
        <v/>
      </c>
      <c r="G507" s="20">
        <f>G504-G506</f>
        <v/>
      </c>
    </row>
    <row r="508">
      <c r="A508" s="9" t="inlineStr">
        <is>
          <t>Capital expenditure — maintenance + growth</t>
        </is>
      </c>
      <c r="C508" s="18">
        <f>'Base Year'!$B$43*C491+MAX(C501-'Product and Cost'!$E$14,0)*1947.901031*C491</f>
        <v/>
      </c>
      <c r="D508" s="18">
        <f>'Base Year'!$B$43*D491+MAX(D501-C501,0)*1947.901031*D491</f>
        <v/>
      </c>
      <c r="E508" s="18">
        <f>'Base Year'!$B$43*E491+MAX(E501-D501,0)*1947.901031*E491</f>
        <v/>
      </c>
      <c r="F508" s="18">
        <f>'Base Year'!$B$43*F491+MAX(F501-E501,0)*1947.901031*F491</f>
        <v/>
      </c>
      <c r="G508" s="18">
        <f>'Base Year'!$B$43*G491+MAX(G501-F501,0)*1947.901031*G491</f>
        <v/>
      </c>
    </row>
    <row r="509">
      <c r="A509" s="9" t="inlineStr">
        <is>
          <t>Fixed assets at cost, closing</t>
        </is>
      </c>
      <c r="C509" s="18">
        <f>(Assumptions!$B$70+Assumptions!$B$71)/10^6+C508</f>
        <v/>
      </c>
      <c r="D509" s="18">
        <f>C509+D508</f>
        <v/>
      </c>
      <c r="E509" s="18">
        <f>D509+E508</f>
        <v/>
      </c>
      <c r="F509" s="18">
        <f>E509+F508</f>
        <v/>
      </c>
      <c r="G509" s="18">
        <f>F509+G508</f>
        <v/>
      </c>
    </row>
    <row r="510">
      <c r="A510" s="9" t="inlineStr">
        <is>
          <t>Depreciation — rolls off the asset register</t>
        </is>
      </c>
      <c r="C510" s="18">
        <f>(Assumptions!$B$70+Assumptions!$B$71)/10^6/'Base Year'!$B$42</f>
        <v/>
      </c>
      <c r="D510" s="18">
        <f>C509/'Base Year'!$B$42</f>
        <v/>
      </c>
      <c r="E510" s="18">
        <f>D509/'Base Year'!$B$42</f>
        <v/>
      </c>
      <c r="F510" s="18">
        <f>E509/'Base Year'!$B$42</f>
        <v/>
      </c>
      <c r="G510" s="18">
        <f>F509/'Base Year'!$B$42</f>
        <v/>
      </c>
    </row>
    <row r="511">
      <c r="A511" s="9" t="inlineStr">
        <is>
          <t>Fixed assets, net book, closing</t>
        </is>
      </c>
      <c r="C511" s="18">
        <f>(Assumptions!$B$69+Assumptions!$B$71)/10^6+C508-C510</f>
        <v/>
      </c>
      <c r="D511" s="18">
        <f>C511+D508-D510</f>
        <v/>
      </c>
      <c r="E511" s="18">
        <f>D511+E508-E510</f>
        <v/>
      </c>
      <c r="F511" s="18">
        <f>E511+F508-F510</f>
        <v/>
      </c>
      <c r="G511" s="18">
        <f>F511+G508-G510</f>
        <v/>
      </c>
    </row>
    <row r="512">
      <c r="A512" s="17" t="inlineStr">
        <is>
          <t>EBIT</t>
        </is>
      </c>
      <c r="C512" s="20">
        <f>C507-C510</f>
        <v/>
      </c>
      <c r="D512" s="20">
        <f>D507-D510</f>
        <v/>
      </c>
      <c r="E512" s="20">
        <f>E507-E510</f>
        <v/>
      </c>
      <c r="F512" s="20">
        <f>F507-F510</f>
        <v/>
      </c>
      <c r="G512" s="20">
        <f>G507-G510</f>
        <v/>
      </c>
    </row>
    <row r="513">
      <c r="A513" s="9" t="inlineStr">
        <is>
          <t>NOPAT before the profit share</t>
        </is>
      </c>
      <c r="C513" s="18">
        <f>C512*(1-Assumptions!$B$87)</f>
        <v/>
      </c>
      <c r="D513" s="18">
        <f>D512*(1-Assumptions!$B$87)</f>
        <v/>
      </c>
      <c r="E513" s="18">
        <f>E512*(1-Assumptions!$B$87)</f>
        <v/>
      </c>
      <c r="F513" s="18">
        <f>F512*(1-Assumptions!$B$87)</f>
        <v/>
      </c>
      <c r="G513" s="18">
        <f>G512*(1-Assumptions!$B$87)</f>
        <v/>
      </c>
    </row>
    <row r="514">
      <c r="A514" s="9" t="inlineStr">
        <is>
          <t xml:space="preserve">  less employees' profit share and board bonuses</t>
        </is>
      </c>
      <c r="C514" s="18">
        <f>MAX(C513,0)*'Base Year'!$B$40</f>
        <v/>
      </c>
      <c r="D514" s="18">
        <f>MAX(D513,0)*'Base Year'!$B$40</f>
        <v/>
      </c>
      <c r="E514" s="18">
        <f>MAX(E513,0)*'Base Year'!$B$40</f>
        <v/>
      </c>
      <c r="F514" s="18">
        <f>MAX(F513,0)*'Base Year'!$B$40</f>
        <v/>
      </c>
      <c r="G514" s="18">
        <f>MAX(G513,0)*'Base Year'!$B$40</f>
        <v/>
      </c>
    </row>
    <row r="515">
      <c r="A515" s="17" t="inlineStr">
        <is>
          <t>NOPAT</t>
        </is>
      </c>
      <c r="C515" s="20">
        <f>C513-C514</f>
        <v/>
      </c>
      <c r="D515" s="20">
        <f>D513-D514</f>
        <v/>
      </c>
      <c r="E515" s="20">
        <f>E513-E514</f>
        <v/>
      </c>
      <c r="F515" s="20">
        <f>F513-F514</f>
        <v/>
      </c>
      <c r="G515" s="20">
        <f>G513-G514</f>
        <v/>
      </c>
    </row>
    <row r="516">
      <c r="A516" s="9" t="inlineStr">
        <is>
          <t>Net working capital — on days</t>
        </is>
      </c>
      <c r="C516" s="18">
        <f>'Base Year'!$B$44*Forecast!$B$9/365*C503+'Base Year'!$B$45*Forecast!$B$9/365*C502-'Base Year'!$B$46*Forecast!$B$9/365*C503</f>
        <v/>
      </c>
      <c r="D516" s="18">
        <f>'Base Year'!$B$44*Forecast!$B$9/365*D503+'Base Year'!$B$45*Forecast!$B$9/365*D502-'Base Year'!$B$46*Forecast!$B$9/365*D503</f>
        <v/>
      </c>
      <c r="E516" s="18">
        <f>'Base Year'!$B$44*Forecast!$B$9/365*E503+'Base Year'!$B$45*Forecast!$B$9/365*E502-'Base Year'!$B$46*Forecast!$B$9/365*E503</f>
        <v/>
      </c>
      <c r="F516" s="18">
        <f>'Base Year'!$B$44*Forecast!$B$9/365*F503+'Base Year'!$B$45*Forecast!$B$9/365*F502-'Base Year'!$B$46*Forecast!$B$9/365*F503</f>
        <v/>
      </c>
      <c r="G516" s="18">
        <f>'Base Year'!$B$44*Forecast!$B$9/365*G503+'Base Year'!$B$45*Forecast!$B$9/365*G502-'Base Year'!$B$46*Forecast!$B$9/365*G503</f>
        <v/>
      </c>
    </row>
    <row r="517">
      <c r="A517" s="9" t="inlineStr">
        <is>
          <t xml:space="preserve">  change in working capital</t>
        </is>
      </c>
      <c r="C517" s="18">
        <f>C516-('Base Year'!$B$44/365*'Base Year'!$B$21+'Base Year'!$B$45/365*'Base Year'!$B$19-'Base Year'!$B$46/365*'Base Year'!$B$21)</f>
        <v/>
      </c>
      <c r="D517" s="18">
        <f>D516-C516</f>
        <v/>
      </c>
      <c r="E517" s="18">
        <f>E516-D516</f>
        <v/>
      </c>
      <c r="F517" s="18">
        <f>F516-E516</f>
        <v/>
      </c>
      <c r="G517" s="18">
        <f>G516-F516</f>
        <v/>
      </c>
    </row>
    <row r="518">
      <c r="A518" s="17" t="inlineStr">
        <is>
          <t>FREE CASH FLOW TO THE FIRM</t>
        </is>
      </c>
      <c r="C518" s="20">
        <f>C515+C510-C508-C517</f>
        <v/>
      </c>
      <c r="D518" s="20">
        <f>D515+D510-D508-D517</f>
        <v/>
      </c>
      <c r="E518" s="20">
        <f>E515+E510-E508-E517</f>
        <v/>
      </c>
      <c r="F518" s="20">
        <f>F515+F510-F508-F517</f>
        <v/>
      </c>
      <c r="G518" s="20">
        <f>G515+G510-G508-G517</f>
        <v/>
      </c>
    </row>
    <row r="519">
      <c r="A519" s="9" t="inlineStr">
        <is>
          <t>Glide fraction</t>
        </is>
      </c>
      <c r="C519" s="26">
        <f>0.0000000000</f>
        <v/>
      </c>
      <c r="D519" s="26">
        <f>0.3571428571</f>
        <v/>
      </c>
      <c r="E519" s="26">
        <f>0.6428571429</f>
        <v/>
      </c>
      <c r="F519" s="26">
        <f>0.8571428571</f>
        <v/>
      </c>
      <c r="G519" s="26">
        <f>1.0000000000</f>
        <v/>
      </c>
    </row>
    <row r="520">
      <c r="A520" s="9" t="inlineStr">
        <is>
          <t>Forward cost of capital</t>
        </is>
      </c>
      <c r="C520" s="19">
        <f>Forecast!$B$14-(Forecast!$B$14-Forecast!$B$17)*C519</f>
        <v/>
      </c>
      <c r="D520" s="19">
        <f>Forecast!$B$14-(Forecast!$B$14-Forecast!$B$17)*D519</f>
        <v/>
      </c>
      <c r="E520" s="19">
        <f>Forecast!$B$14-(Forecast!$B$14-Forecast!$B$17)*E519</f>
        <v/>
      </c>
      <c r="F520" s="19">
        <f>Forecast!$B$14-(Forecast!$B$14-Forecast!$B$17)*F519</f>
        <v/>
      </c>
      <c r="G520" s="19">
        <f>Forecast!$B$14-(Forecast!$B$14-Forecast!$B$17)*G519</f>
        <v/>
      </c>
    </row>
    <row r="521">
      <c r="A521" s="9" t="inlineStr">
        <is>
          <t>Cumulative discount factor</t>
        </is>
      </c>
      <c r="C521" s="29">
        <f>1/(1+C520)</f>
        <v/>
      </c>
      <c r="D521" s="29">
        <f>C521/(1+D520)</f>
        <v/>
      </c>
      <c r="E521" s="29">
        <f>D521/(1+E520)</f>
        <v/>
      </c>
      <c r="F521" s="29">
        <f>E521/(1+F520)</f>
        <v/>
      </c>
      <c r="G521" s="29">
        <f>F521/(1+G520)</f>
        <v/>
      </c>
    </row>
    <row r="522">
      <c r="A522" s="9" t="inlineStr">
        <is>
          <t>Present value</t>
        </is>
      </c>
      <c r="C522" s="18">
        <f>C518*C521</f>
        <v/>
      </c>
      <c r="D522" s="18">
        <f>D518*D521</f>
        <v/>
      </c>
      <c r="E522" s="18">
        <f>E518*E521</f>
        <v/>
      </c>
      <c r="F522" s="18">
        <f>F518*F521</f>
        <v/>
      </c>
      <c r="G522" s="18">
        <f>G518*G521</f>
        <v/>
      </c>
    </row>
    <row r="523">
      <c r="A523" s="17" t="inlineStr">
        <is>
          <t>PV of the explicit window</t>
        </is>
      </c>
      <c r="B523" s="20">
        <f>SUM(C522:G522)</f>
        <v/>
      </c>
      <c r="C523" s="18">
        <f>C516+C509</f>
        <v/>
      </c>
      <c r="D523" s="18">
        <f>D516+D509</f>
        <v/>
      </c>
      <c r="E523" s="18">
        <f>E516+E509</f>
        <v/>
      </c>
      <c r="F523" s="18">
        <f>F516+F509</f>
        <v/>
      </c>
      <c r="G523" s="18">
        <f>G516+G509</f>
        <v/>
      </c>
    </row>
    <row r="524">
      <c r="A524" s="9" t="inlineStr">
        <is>
          <t>Terminal return on invested capital, at REPLACEMENT cost</t>
        </is>
      </c>
      <c r="B524" s="19">
        <f>G515*(1+Assumptions!$B$89)/G523</f>
        <v/>
      </c>
    </row>
    <row r="525">
      <c r="A525" s="9" t="inlineStr">
        <is>
          <t>Required reinvestment = growth / return</t>
        </is>
      </c>
      <c r="B525" s="19">
        <f>MIN(Assumptions!$B$89/B524,0.95)</f>
        <v/>
      </c>
    </row>
    <row r="526">
      <c r="A526" s="9" t="inlineStr">
        <is>
          <t>Terminal value</t>
        </is>
      </c>
      <c r="B526" s="18">
        <f>G515*(1+Assumptions!$B$89)*(1-B525)/MAX(Forecast!$B$17-Assumptions!$B$89,0.02)</f>
        <v/>
      </c>
    </row>
    <row r="527">
      <c r="A527" s="9" t="inlineStr">
        <is>
          <t>PV of the terminal block</t>
        </is>
      </c>
      <c r="B527" s="18">
        <f>B526*G521</f>
        <v/>
      </c>
    </row>
    <row r="528">
      <c r="A528" s="17" t="inlineStr">
        <is>
          <t>ENTERPRISE VALUE</t>
        </is>
      </c>
      <c r="B528" s="20">
        <f>B523+B527</f>
        <v/>
      </c>
    </row>
    <row r="529">
      <c r="A529" s="9" t="inlineStr">
        <is>
          <t>plus net cash</t>
        </is>
      </c>
      <c r="B529" s="18">
        <f>(Assumptions!$B$79-Assumptions!$B$82-Assumptions!$B$83)/10^6</f>
        <v/>
      </c>
    </row>
    <row r="530">
      <c r="A530" s="9" t="inlineStr">
        <is>
          <t>Enterprise value including cash</t>
        </is>
      </c>
      <c r="B530" s="18">
        <f>B528+B529</f>
        <v/>
      </c>
    </row>
    <row r="531">
      <c r="A531" s="9" t="inlineStr">
        <is>
          <t>less minority — on the WHOLE enterprise, cash included</t>
        </is>
      </c>
      <c r="B531" s="18">
        <f>B530*'Base Year'!$B$41</f>
        <v/>
      </c>
    </row>
    <row r="532">
      <c r="A532" s="9" t="inlineStr">
        <is>
          <t>less the tax-disputes provision</t>
        </is>
      </c>
      <c r="B532" s="18">
        <f>Assumptions!$B$78/10^6</f>
        <v/>
      </c>
    </row>
    <row r="533">
      <c r="A533" s="9" t="inlineStr">
        <is>
          <t>less dividends payable — declared, out of working capital</t>
        </is>
      </c>
      <c r="B533" s="18">
        <f>Assumptions!$B$77/10^6</f>
        <v/>
      </c>
    </row>
    <row r="534">
      <c r="A534" s="9" t="inlineStr">
        <is>
          <t>plus non-operating investments and pledged deposits</t>
        </is>
      </c>
      <c r="B534" s="18">
        <f>(Assumptions!$B$81+Assumptions!$B$80)/10^6</f>
        <v/>
      </c>
    </row>
    <row r="535">
      <c r="A535" s="17" t="inlineStr">
        <is>
          <t>EQUITY ATTRIBUTABLE</t>
        </is>
      </c>
      <c r="B535" s="20">
        <f>B530-B531-B532-B533+B534</f>
        <v/>
      </c>
    </row>
    <row r="536">
      <c r="A536" s="17" t="inlineStr">
        <is>
          <t>VALUE PER SHARE, EGP</t>
        </is>
      </c>
      <c r="B536" s="30">
        <f>B535/Assumptions!$B$8</f>
        <v/>
      </c>
    </row>
    <row r="539">
      <c r="A539" s="6" t="inlineStr">
        <is>
          <t>Realisation path, as a multiple of the assumed path — 0.90x</t>
        </is>
      </c>
      <c r="B539" s="6" t="inlineStr">
        <is>
          <t>2026E</t>
        </is>
      </c>
      <c r="C539" s="6" t="inlineStr">
        <is>
          <t>2027E</t>
        </is>
      </c>
      <c r="D539" s="6" t="inlineStr">
        <is>
          <t>2028E</t>
        </is>
      </c>
      <c r="E539" s="6" t="inlineStr">
        <is>
          <t>2029E</t>
        </is>
      </c>
      <c r="F539" s="6" t="inlineStr">
        <is>
          <t>2030E</t>
        </is>
      </c>
    </row>
    <row r="540">
      <c r="A540" s="9" t="inlineStr">
        <is>
          <t>Inflation index, cumulative</t>
        </is>
      </c>
      <c r="C540" s="26">
        <f>Assumptions!$B$146</f>
        <v/>
      </c>
      <c r="D540" s="26">
        <f>C540*Assumptions!$B$147</f>
        <v/>
      </c>
      <c r="E540" s="26">
        <f>D540*Assumptions!$B$148</f>
        <v/>
      </c>
      <c r="F540" s="26">
        <f>E540*Assumptions!$B$149</f>
        <v/>
      </c>
      <c r="G540" s="26">
        <f>F540*Assumptions!$B$150</f>
        <v/>
      </c>
    </row>
    <row r="541">
      <c r="A541" s="9" t="inlineStr">
        <is>
          <t>Realisation index, cumulative</t>
        </is>
      </c>
      <c r="C541" s="26">
        <f>(1+Assumptions!$B$101*$D$20)</f>
        <v/>
      </c>
      <c r="D541" s="26">
        <f>C541*(1+Assumptions!$B$102*$D$20)</f>
        <v/>
      </c>
      <c r="E541" s="26">
        <f>D541*(1+Assumptions!$B$103*$D$20)</f>
        <v/>
      </c>
      <c r="F541" s="26">
        <f>E541*(1+Assumptions!$B$104*$D$20)</f>
        <v/>
      </c>
      <c r="G541" s="26">
        <f>F541*(1+Assumptions!$B$105*$D$20)</f>
        <v/>
      </c>
    </row>
    <row r="542">
      <c r="A542" s="9" t="inlineStr">
        <is>
          <t xml:space="preserve">  Volume — Base and special oils, mn t</t>
        </is>
      </c>
      <c r="C542" s="26">
        <f>'Product and Cost'!E6*(1+Assumptions!$B$106+Forecast!$B$6)</f>
        <v/>
      </c>
      <c r="D542" s="26">
        <f>C542*(1+Assumptions!$B$107+Forecast!$B$6)</f>
        <v/>
      </c>
      <c r="E542" s="26">
        <f>D542*(1+Assumptions!$B$108+Forecast!$B$6)</f>
        <v/>
      </c>
      <c r="F542" s="26">
        <f>E542*(1+Assumptions!$B$109+Forecast!$B$6)</f>
        <v/>
      </c>
      <c r="G542" s="26">
        <f>F542*(1+Assumptions!$B$110+Forecast!$B$6)</f>
        <v/>
      </c>
    </row>
    <row r="543">
      <c r="A543" s="9" t="inlineStr">
        <is>
          <t xml:space="preserve">  Volume — Paraffin wax, mn t</t>
        </is>
      </c>
      <c r="C543" s="26">
        <f>'Product and Cost'!E7*(1+Assumptions!$B$111+Forecast!$B$6)</f>
        <v/>
      </c>
      <c r="D543" s="26">
        <f>C543*(1+Assumptions!$B$112+Forecast!$B$6)</f>
        <v/>
      </c>
      <c r="E543" s="26">
        <f>D543*(1+Assumptions!$B$113+Forecast!$B$6)</f>
        <v/>
      </c>
      <c r="F543" s="26">
        <f>E543*(1+Assumptions!$B$114+Forecast!$B$6)</f>
        <v/>
      </c>
      <c r="G543" s="26">
        <f>F543*(1+Assumptions!$B$115+Forecast!$B$6)</f>
        <v/>
      </c>
    </row>
    <row r="544">
      <c r="A544" s="9" t="inlineStr">
        <is>
          <t xml:space="preserve">  Volume — Gas oil, mn t</t>
        </is>
      </c>
      <c r="C544" s="26">
        <f>'Product and Cost'!E8*(1+Assumptions!$B$116+Forecast!$B$6)</f>
        <v/>
      </c>
      <c r="D544" s="26">
        <f>C544*(1+Assumptions!$B$117+Forecast!$B$6)</f>
        <v/>
      </c>
      <c r="E544" s="26">
        <f>D544*(1+Assumptions!$B$118+Forecast!$B$6)</f>
        <v/>
      </c>
      <c r="F544" s="26">
        <f>E544*(1+Assumptions!$B$119+Forecast!$B$6)</f>
        <v/>
      </c>
      <c r="G544" s="26">
        <f>F544*(1+Assumptions!$B$120+Forecast!$B$6)</f>
        <v/>
      </c>
    </row>
    <row r="545">
      <c r="A545" s="9" t="inlineStr">
        <is>
          <t xml:space="preserve">  Volume — Naphtha, mn t</t>
        </is>
      </c>
      <c r="C545" s="26">
        <f>'Product and Cost'!E9*(1+Assumptions!$B$121+Forecast!$B$6)</f>
        <v/>
      </c>
      <c r="D545" s="26">
        <f>C545*(1+Assumptions!$B$122+Forecast!$B$6)</f>
        <v/>
      </c>
      <c r="E545" s="26">
        <f>D545*(1+Assumptions!$B$123+Forecast!$B$6)</f>
        <v/>
      </c>
      <c r="F545" s="26">
        <f>E545*(1+Assumptions!$B$124+Forecast!$B$6)</f>
        <v/>
      </c>
      <c r="G545" s="26">
        <f>F545*(1+Assumptions!$B$125+Forecast!$B$6)</f>
        <v/>
      </c>
    </row>
    <row r="546">
      <c r="A546" s="9" t="inlineStr">
        <is>
          <t xml:space="preserve">  Volume — Liquefied petroleum gas, mn t</t>
        </is>
      </c>
      <c r="C546" s="26">
        <f>'Product and Cost'!E10*(1+Assumptions!$B$126+Forecast!$B$6)</f>
        <v/>
      </c>
      <c r="D546" s="26">
        <f>C546*(1+Assumptions!$B$127+Forecast!$B$6)</f>
        <v/>
      </c>
      <c r="E546" s="26">
        <f>D546*(1+Assumptions!$B$128+Forecast!$B$6)</f>
        <v/>
      </c>
      <c r="F546" s="26">
        <f>E546*(1+Assumptions!$B$129+Forecast!$B$6)</f>
        <v/>
      </c>
      <c r="G546" s="26">
        <f>F546*(1+Assumptions!$B$130+Forecast!$B$6)</f>
        <v/>
      </c>
    </row>
    <row r="547">
      <c r="A547" s="9" t="inlineStr">
        <is>
          <t xml:space="preserve">  Volume — Fuel oil (mix), mn t</t>
        </is>
      </c>
      <c r="C547" s="26">
        <f>'Product and Cost'!E11*(1+Assumptions!$B$131+Forecast!$B$6)</f>
        <v/>
      </c>
      <c r="D547" s="26">
        <f>C547*(1+Assumptions!$B$132+Forecast!$B$6)</f>
        <v/>
      </c>
      <c r="E547" s="26">
        <f>D547*(1+Assumptions!$B$133+Forecast!$B$6)</f>
        <v/>
      </c>
      <c r="F547" s="26">
        <f>E547*(1+Assumptions!$B$134+Forecast!$B$6)</f>
        <v/>
      </c>
      <c r="G547" s="26">
        <f>F547*(1+Assumptions!$B$135+Forecast!$B$6)</f>
        <v/>
      </c>
    </row>
    <row r="548">
      <c r="A548" s="9" t="inlineStr">
        <is>
          <t xml:space="preserve">  Volume — Heavy fuel oil, mn t</t>
        </is>
      </c>
      <c r="C548" s="26">
        <f>'Product and Cost'!E12*(1+Assumptions!$B$136+Forecast!$B$6)</f>
        <v/>
      </c>
      <c r="D548" s="26">
        <f>C548*(1+Assumptions!$B$137+Forecast!$B$6)</f>
        <v/>
      </c>
      <c r="E548" s="26">
        <f>D548*(1+Assumptions!$B$138+Forecast!$B$6)</f>
        <v/>
      </c>
      <c r="F548" s="26">
        <f>E548*(1+Assumptions!$B$139+Forecast!$B$6)</f>
        <v/>
      </c>
      <c r="G548" s="26">
        <f>F548*(1+Assumptions!$B$140+Forecast!$B$6)</f>
        <v/>
      </c>
    </row>
    <row r="549">
      <c r="A549" s="9" t="inlineStr">
        <is>
          <t xml:space="preserve">  Volume — Waste, mn t</t>
        </is>
      </c>
      <c r="C549" s="26">
        <f>'Product and Cost'!E13*(1+Assumptions!$B$141+Forecast!$B$6)</f>
        <v/>
      </c>
      <c r="D549" s="26">
        <f>C549*(1+Assumptions!$B$142+Forecast!$B$6)</f>
        <v/>
      </c>
      <c r="E549" s="26">
        <f>D549*(1+Assumptions!$B$143+Forecast!$B$6)</f>
        <v/>
      </c>
      <c r="F549" s="26">
        <f>E549*(1+Assumptions!$B$144+Forecast!$B$6)</f>
        <v/>
      </c>
      <c r="G549" s="26">
        <f>F549*(1+Assumptions!$B$145+Forecast!$B$6)</f>
        <v/>
      </c>
    </row>
    <row r="550">
      <c r="A550" s="17" t="inlineStr">
        <is>
          <t>Total volume, mn t</t>
        </is>
      </c>
      <c r="C550" s="28">
        <f>SUM(C542:C549)</f>
        <v/>
      </c>
      <c r="D550" s="28">
        <f>SUM(D542:D549)</f>
        <v/>
      </c>
      <c r="E550" s="28">
        <f>SUM(E542:E549)</f>
        <v/>
      </c>
      <c r="F550" s="28">
        <f>SUM(F542:F549)</f>
        <v/>
      </c>
      <c r="G550" s="28">
        <f>SUM(G542:G549)</f>
        <v/>
      </c>
    </row>
    <row r="551">
      <c r="A551" s="17" t="inlineStr">
        <is>
          <t>REVENUE</t>
        </is>
      </c>
      <c r="C551" s="20">
        <f>C542*'Product and Cost'!$F$6*C541+C543*'Product and Cost'!$F$7*C541+C544*'Product and Cost'!$F$8*C541+C545*'Product and Cost'!$F$9*C541+C546*'Product and Cost'!$F$10*C541+C547*'Product and Cost'!$F$11*C541+C548*'Product and Cost'!$F$12*C541+C549*'Product and Cost'!$F$13*C541</f>
        <v/>
      </c>
      <c r="D551" s="20">
        <f>D542*'Product and Cost'!$F$6*D541+D543*'Product and Cost'!$F$7*D541+D544*'Product and Cost'!$F$8*D541+D545*'Product and Cost'!$F$9*D541+D546*'Product and Cost'!$F$10*D541+D547*'Product and Cost'!$F$11*D541+D548*'Product and Cost'!$F$12*D541+D549*'Product and Cost'!$F$13*D541</f>
        <v/>
      </c>
      <c r="E551" s="20">
        <f>E542*'Product and Cost'!$F$6*E541+E543*'Product and Cost'!$F$7*E541+E544*'Product and Cost'!$F$8*E541+E545*'Product and Cost'!$F$9*E541+E546*'Product and Cost'!$F$10*E541+E547*'Product and Cost'!$F$11*E541+E548*'Product and Cost'!$F$12*E541+E549*'Product and Cost'!$F$13*E541</f>
        <v/>
      </c>
      <c r="F551" s="20">
        <f>F542*'Product and Cost'!$F$6*F541+F543*'Product and Cost'!$F$7*F541+F544*'Product and Cost'!$F$8*F541+F545*'Product and Cost'!$F$9*F541+F546*'Product and Cost'!$F$10*F541+F547*'Product and Cost'!$F$11*F541+F548*'Product and Cost'!$F$12*F541+F549*'Product and Cost'!$F$13*F541</f>
        <v/>
      </c>
      <c r="G551" s="20">
        <f>G542*'Product and Cost'!$F$6*G541+G543*'Product and Cost'!$F$7*G541+G544*'Product and Cost'!$F$8*G541+G545*'Product and Cost'!$F$9*G541+G546*'Product and Cost'!$F$10*G541+G547*'Product and Cost'!$F$11*G541+G548*'Product and Cost'!$F$12*G541+G549*'Product and Cost'!$F$13*G541</f>
        <v/>
      </c>
    </row>
    <row r="552">
      <c r="A552" s="9" t="inlineStr">
        <is>
          <t>Cost of sales</t>
        </is>
      </c>
      <c r="C552" s="18">
        <f>C542*('Product and Cost'!$D$27*C541*Assumptions!$B$88+'Product and Cost'!$B$27*(0.4863620081*C540+0.4455809638*C540+0.0356254898*C541+0.0324315384))+C543*('Product and Cost'!$D$28*C541*Assumptions!$B$88+'Product and Cost'!$B$28*(0.4863620081*C540+0.4455809638*C540+0.0356254898*C541+0.0324315384))+C544*('Product and Cost'!$D$29*C541*Assumptions!$B$88+'Product and Cost'!$B$29*(0.4863620081*C540+0.4455809638*C540+0.0356254898*C541+0.0324315384))+C545*('Product and Cost'!$D$30*C541*Assumptions!$B$88+'Product and Cost'!$B$30*(0.4863620081*C540+0.4455809638*C540+0.0356254898*C541+0.0324315384))+C546*('Product and Cost'!$D$31*C541*Assumptions!$B$88+'Product and Cost'!$B$31*(0.4863620081*C540+0.4455809638*C540+0.0356254898*C541+0.0324315384))+C547*('Product and Cost'!$D$32*C541*Assumptions!$B$88+'Product and Cost'!$B$32*(0.4863620081*C540+0.4455809638*C540+0.0356254898*C541+0.0324315384))+C548*('Product and Cost'!$D$33*C541*Assumptions!$B$88+'Product and Cost'!$B$33*(0.4863620081*C540+0.4455809638*C540+0.0356254898*C541+0.0324315384))+C549*('Product and Cost'!$D$34*C541*Assumptions!$B$88+'Product and Cost'!$B$34*(0.4863620081*C540+0.4455809638*C540+0.0356254898*C541+0.0324315384))</f>
        <v/>
      </c>
      <c r="D552" s="18">
        <f>D542*('Product and Cost'!$D$27*D541*Assumptions!$B$88+'Product and Cost'!$B$27*(0.4863620081*D540+0.4455809638*D540+0.0356254898*D541+0.0324315384))+D543*('Product and Cost'!$D$28*D541*Assumptions!$B$88+'Product and Cost'!$B$28*(0.4863620081*D540+0.4455809638*D540+0.0356254898*D541+0.0324315384))+D544*('Product and Cost'!$D$29*D541*Assumptions!$B$88+'Product and Cost'!$B$29*(0.4863620081*D540+0.4455809638*D540+0.0356254898*D541+0.0324315384))+D545*('Product and Cost'!$D$30*D541*Assumptions!$B$88+'Product and Cost'!$B$30*(0.4863620081*D540+0.4455809638*D540+0.0356254898*D541+0.0324315384))+D546*('Product and Cost'!$D$31*D541*Assumptions!$B$88+'Product and Cost'!$B$31*(0.4863620081*D540+0.4455809638*D540+0.0356254898*D541+0.0324315384))+D547*('Product and Cost'!$D$32*D541*Assumptions!$B$88+'Product and Cost'!$B$32*(0.4863620081*D540+0.4455809638*D540+0.0356254898*D541+0.0324315384))+D548*('Product and Cost'!$D$33*D541*Assumptions!$B$88+'Product and Cost'!$B$33*(0.4863620081*D540+0.4455809638*D540+0.0356254898*D541+0.0324315384))+D549*('Product and Cost'!$D$34*D541*Assumptions!$B$88+'Product and Cost'!$B$34*(0.4863620081*D540+0.4455809638*D540+0.0356254898*D541+0.0324315384))</f>
        <v/>
      </c>
      <c r="E552" s="18">
        <f>E542*('Product and Cost'!$D$27*E541*Assumptions!$B$88+'Product and Cost'!$B$27*(0.4863620081*E540+0.4455809638*E540+0.0356254898*E541+0.0324315384))+E543*('Product and Cost'!$D$28*E541*Assumptions!$B$88+'Product and Cost'!$B$28*(0.4863620081*E540+0.4455809638*E540+0.0356254898*E541+0.0324315384))+E544*('Product and Cost'!$D$29*E541*Assumptions!$B$88+'Product and Cost'!$B$29*(0.4863620081*E540+0.4455809638*E540+0.0356254898*E541+0.0324315384))+E545*('Product and Cost'!$D$30*E541*Assumptions!$B$88+'Product and Cost'!$B$30*(0.4863620081*E540+0.4455809638*E540+0.0356254898*E541+0.0324315384))+E546*('Product and Cost'!$D$31*E541*Assumptions!$B$88+'Product and Cost'!$B$31*(0.4863620081*E540+0.4455809638*E540+0.0356254898*E541+0.0324315384))+E547*('Product and Cost'!$D$32*E541*Assumptions!$B$88+'Product and Cost'!$B$32*(0.4863620081*E540+0.4455809638*E540+0.0356254898*E541+0.0324315384))+E548*('Product and Cost'!$D$33*E541*Assumptions!$B$88+'Product and Cost'!$B$33*(0.4863620081*E540+0.4455809638*E540+0.0356254898*E541+0.0324315384))+E549*('Product and Cost'!$D$34*E541*Assumptions!$B$88+'Product and Cost'!$B$34*(0.4863620081*E540+0.4455809638*E540+0.0356254898*E541+0.0324315384))</f>
        <v/>
      </c>
      <c r="F552" s="18">
        <f>F542*('Product and Cost'!$D$27*F541*Assumptions!$B$88+'Product and Cost'!$B$27*(0.4863620081*F540+0.4455809638*F540+0.0356254898*F541+0.0324315384))+F543*('Product and Cost'!$D$28*F541*Assumptions!$B$88+'Product and Cost'!$B$28*(0.4863620081*F540+0.4455809638*F540+0.0356254898*F541+0.0324315384))+F544*('Product and Cost'!$D$29*F541*Assumptions!$B$88+'Product and Cost'!$B$29*(0.4863620081*F540+0.4455809638*F540+0.0356254898*F541+0.0324315384))+F545*('Product and Cost'!$D$30*F541*Assumptions!$B$88+'Product and Cost'!$B$30*(0.4863620081*F540+0.4455809638*F540+0.0356254898*F541+0.0324315384))+F546*('Product and Cost'!$D$31*F541*Assumptions!$B$88+'Product and Cost'!$B$31*(0.4863620081*F540+0.4455809638*F540+0.0356254898*F541+0.0324315384))+F547*('Product and Cost'!$D$32*F541*Assumptions!$B$88+'Product and Cost'!$B$32*(0.4863620081*F540+0.4455809638*F540+0.0356254898*F541+0.0324315384))+F548*('Product and Cost'!$D$33*F541*Assumptions!$B$88+'Product and Cost'!$B$33*(0.4863620081*F540+0.4455809638*F540+0.0356254898*F541+0.0324315384))+F549*('Product and Cost'!$D$34*F541*Assumptions!$B$88+'Product and Cost'!$B$34*(0.4863620081*F540+0.4455809638*F540+0.0356254898*F541+0.0324315384))</f>
        <v/>
      </c>
      <c r="G552" s="18">
        <f>G542*('Product and Cost'!$D$27*G541*Assumptions!$B$88+'Product and Cost'!$B$27*(0.4863620081*G540+0.4455809638*G540+0.0356254898*G541+0.0324315384))+G543*('Product and Cost'!$D$28*G541*Assumptions!$B$88+'Product and Cost'!$B$28*(0.4863620081*G540+0.4455809638*G540+0.0356254898*G541+0.0324315384))+G544*('Product and Cost'!$D$29*G541*Assumptions!$B$88+'Product and Cost'!$B$29*(0.4863620081*G540+0.4455809638*G540+0.0356254898*G541+0.0324315384))+G545*('Product and Cost'!$D$30*G541*Assumptions!$B$88+'Product and Cost'!$B$30*(0.4863620081*G540+0.4455809638*G540+0.0356254898*G541+0.0324315384))+G546*('Product and Cost'!$D$31*G541*Assumptions!$B$88+'Product and Cost'!$B$31*(0.4863620081*G540+0.4455809638*G540+0.0356254898*G541+0.0324315384))+G547*('Product and Cost'!$D$32*G541*Assumptions!$B$88+'Product and Cost'!$B$32*(0.4863620081*G540+0.4455809638*G540+0.0356254898*G541+0.0324315384))+G548*('Product and Cost'!$D$33*G541*Assumptions!$B$88+'Product and Cost'!$B$33*(0.4863620081*G540+0.4455809638*G540+0.0356254898*G541+0.0324315384))+G549*('Product and Cost'!$D$34*G541*Assumptions!$B$88+'Product and Cost'!$B$34*(0.4863620081*G540+0.4455809638*G540+0.0356254898*G541+0.0324315384))</f>
        <v/>
      </c>
    </row>
    <row r="553">
      <c r="A553" s="17" t="inlineStr">
        <is>
          <t>GROSS PROFIT</t>
        </is>
      </c>
      <c r="C553" s="20">
        <f>C551-C552+Forecast!$B$7*C551</f>
        <v/>
      </c>
      <c r="D553" s="20">
        <f>D551-D552+Forecast!$B$7*D551</f>
        <v/>
      </c>
      <c r="E553" s="20">
        <f>E551-E552+Forecast!$B$7*E551</f>
        <v/>
      </c>
      <c r="F553" s="20">
        <f>F551-F552+Forecast!$B$7*F551</f>
        <v/>
      </c>
      <c r="G553" s="20">
        <f>G551-G552+Forecast!$B$7*G551</f>
        <v/>
      </c>
    </row>
    <row r="554">
      <c r="A554" s="9" t="inlineStr">
        <is>
          <t>Gross margin</t>
        </is>
      </c>
      <c r="C554" s="19">
        <f>C553/C551</f>
        <v/>
      </c>
      <c r="D554" s="19">
        <f>D553/D551</f>
        <v/>
      </c>
      <c r="E554" s="19">
        <f>E553/E551</f>
        <v/>
      </c>
      <c r="F554" s="19">
        <f>F553/F551</f>
        <v/>
      </c>
      <c r="G554" s="19">
        <f>G553/G551</f>
        <v/>
      </c>
    </row>
    <row r="555">
      <c r="A555" s="9" t="inlineStr">
        <is>
          <t>Operating expense</t>
        </is>
      </c>
      <c r="C555" s="18">
        <f>('Base Year'!$B$28*C540)+('Base Year'!$B$29*C540*C550/'Product and Cost'!$E$14)+('Base Year'!$B$30*C540)+('Base Year'!$B$31*C540)</f>
        <v/>
      </c>
      <c r="D555" s="18">
        <f>('Base Year'!$B$28*D540)+('Base Year'!$B$29*D540*D550/'Product and Cost'!$E$14)+('Base Year'!$B$30*D540)+('Base Year'!$B$31*D540)</f>
        <v/>
      </c>
      <c r="E555" s="18">
        <f>('Base Year'!$B$28*E540)+('Base Year'!$B$29*E540*E550/'Product and Cost'!$E$14)+('Base Year'!$B$30*E540)+('Base Year'!$B$31*E540)</f>
        <v/>
      </c>
      <c r="F555" s="18">
        <f>('Base Year'!$B$28*F540)+('Base Year'!$B$29*F540*F550/'Product and Cost'!$E$14)+('Base Year'!$B$30*F540)+('Base Year'!$B$31*F540)</f>
        <v/>
      </c>
      <c r="G555" s="18">
        <f>('Base Year'!$B$28*G540)+('Base Year'!$B$29*G540*G550/'Product and Cost'!$E$14)+('Base Year'!$B$30*G540)+('Base Year'!$B$31*G540)</f>
        <v/>
      </c>
    </row>
    <row r="556">
      <c r="A556" s="17" t="inlineStr">
        <is>
          <t>EBITDA</t>
        </is>
      </c>
      <c r="C556" s="20">
        <f>C553-C555</f>
        <v/>
      </c>
      <c r="D556" s="20">
        <f>D553-D555</f>
        <v/>
      </c>
      <c r="E556" s="20">
        <f>E553-E555</f>
        <v/>
      </c>
      <c r="F556" s="20">
        <f>F553-F555</f>
        <v/>
      </c>
      <c r="G556" s="20">
        <f>G553-G555</f>
        <v/>
      </c>
    </row>
    <row r="557">
      <c r="A557" s="9" t="inlineStr">
        <is>
          <t>Capital expenditure — maintenance + growth</t>
        </is>
      </c>
      <c r="C557" s="18">
        <f>'Base Year'!$B$43*C540+MAX(C550-'Product and Cost'!$E$14,0)*1947.901031*C540</f>
        <v/>
      </c>
      <c r="D557" s="18">
        <f>'Base Year'!$B$43*D540+MAX(D550-C550,0)*1947.901031*D540</f>
        <v/>
      </c>
      <c r="E557" s="18">
        <f>'Base Year'!$B$43*E540+MAX(E550-D550,0)*1947.901031*E540</f>
        <v/>
      </c>
      <c r="F557" s="18">
        <f>'Base Year'!$B$43*F540+MAX(F550-E550,0)*1947.901031*F540</f>
        <v/>
      </c>
      <c r="G557" s="18">
        <f>'Base Year'!$B$43*G540+MAX(G550-F550,0)*1947.901031*G540</f>
        <v/>
      </c>
    </row>
    <row r="558">
      <c r="A558" s="9" t="inlineStr">
        <is>
          <t>Fixed assets at cost, closing</t>
        </is>
      </c>
      <c r="C558" s="18">
        <f>(Assumptions!$B$70+Assumptions!$B$71)/10^6+C557</f>
        <v/>
      </c>
      <c r="D558" s="18">
        <f>C558+D557</f>
        <v/>
      </c>
      <c r="E558" s="18">
        <f>D558+E557</f>
        <v/>
      </c>
      <c r="F558" s="18">
        <f>E558+F557</f>
        <v/>
      </c>
      <c r="G558" s="18">
        <f>F558+G557</f>
        <v/>
      </c>
    </row>
    <row r="559">
      <c r="A559" s="9" t="inlineStr">
        <is>
          <t>Depreciation — rolls off the asset register</t>
        </is>
      </c>
      <c r="C559" s="18">
        <f>(Assumptions!$B$70+Assumptions!$B$71)/10^6/'Base Year'!$B$42</f>
        <v/>
      </c>
      <c r="D559" s="18">
        <f>C558/'Base Year'!$B$42</f>
        <v/>
      </c>
      <c r="E559" s="18">
        <f>D558/'Base Year'!$B$42</f>
        <v/>
      </c>
      <c r="F559" s="18">
        <f>E558/'Base Year'!$B$42</f>
        <v/>
      </c>
      <c r="G559" s="18">
        <f>F558/'Base Year'!$B$42</f>
        <v/>
      </c>
    </row>
    <row r="560">
      <c r="A560" s="9" t="inlineStr">
        <is>
          <t>Fixed assets, net book, closing</t>
        </is>
      </c>
      <c r="C560" s="18">
        <f>(Assumptions!$B$69+Assumptions!$B$71)/10^6+C557-C559</f>
        <v/>
      </c>
      <c r="D560" s="18">
        <f>C560+D557-D559</f>
        <v/>
      </c>
      <c r="E560" s="18">
        <f>D560+E557-E559</f>
        <v/>
      </c>
      <c r="F560" s="18">
        <f>E560+F557-F559</f>
        <v/>
      </c>
      <c r="G560" s="18">
        <f>F560+G557-G559</f>
        <v/>
      </c>
    </row>
    <row r="561">
      <c r="A561" s="17" t="inlineStr">
        <is>
          <t>EBIT</t>
        </is>
      </c>
      <c r="C561" s="20">
        <f>C556-C559</f>
        <v/>
      </c>
      <c r="D561" s="20">
        <f>D556-D559</f>
        <v/>
      </c>
      <c r="E561" s="20">
        <f>E556-E559</f>
        <v/>
      </c>
      <c r="F561" s="20">
        <f>F556-F559</f>
        <v/>
      </c>
      <c r="G561" s="20">
        <f>G556-G559</f>
        <v/>
      </c>
    </row>
    <row r="562">
      <c r="A562" s="9" t="inlineStr">
        <is>
          <t>NOPAT before the profit share</t>
        </is>
      </c>
      <c r="C562" s="18">
        <f>C561*(1-Assumptions!$B$87)</f>
        <v/>
      </c>
      <c r="D562" s="18">
        <f>D561*(1-Assumptions!$B$87)</f>
        <v/>
      </c>
      <c r="E562" s="18">
        <f>E561*(1-Assumptions!$B$87)</f>
        <v/>
      </c>
      <c r="F562" s="18">
        <f>F561*(1-Assumptions!$B$87)</f>
        <v/>
      </c>
      <c r="G562" s="18">
        <f>G561*(1-Assumptions!$B$87)</f>
        <v/>
      </c>
    </row>
    <row r="563">
      <c r="A563" s="9" t="inlineStr">
        <is>
          <t xml:space="preserve">  less employees' profit share and board bonuses</t>
        </is>
      </c>
      <c r="C563" s="18">
        <f>MAX(C562,0)*'Base Year'!$B$40</f>
        <v/>
      </c>
      <c r="D563" s="18">
        <f>MAX(D562,0)*'Base Year'!$B$40</f>
        <v/>
      </c>
      <c r="E563" s="18">
        <f>MAX(E562,0)*'Base Year'!$B$40</f>
        <v/>
      </c>
      <c r="F563" s="18">
        <f>MAX(F562,0)*'Base Year'!$B$40</f>
        <v/>
      </c>
      <c r="G563" s="18">
        <f>MAX(G562,0)*'Base Year'!$B$40</f>
        <v/>
      </c>
    </row>
    <row r="564">
      <c r="A564" s="17" t="inlineStr">
        <is>
          <t>NOPAT</t>
        </is>
      </c>
      <c r="C564" s="20">
        <f>C562-C563</f>
        <v/>
      </c>
      <c r="D564" s="20">
        <f>D562-D563</f>
        <v/>
      </c>
      <c r="E564" s="20">
        <f>E562-E563</f>
        <v/>
      </c>
      <c r="F564" s="20">
        <f>F562-F563</f>
        <v/>
      </c>
      <c r="G564" s="20">
        <f>G562-G563</f>
        <v/>
      </c>
    </row>
    <row r="565">
      <c r="A565" s="9" t="inlineStr">
        <is>
          <t>Net working capital — on days</t>
        </is>
      </c>
      <c r="C565" s="18">
        <f>'Base Year'!$B$44*Forecast!$B$9/365*C552+'Base Year'!$B$45*Forecast!$B$9/365*C551-'Base Year'!$B$46*Forecast!$B$9/365*C552</f>
        <v/>
      </c>
      <c r="D565" s="18">
        <f>'Base Year'!$B$44*Forecast!$B$9/365*D552+'Base Year'!$B$45*Forecast!$B$9/365*D551-'Base Year'!$B$46*Forecast!$B$9/365*D552</f>
        <v/>
      </c>
      <c r="E565" s="18">
        <f>'Base Year'!$B$44*Forecast!$B$9/365*E552+'Base Year'!$B$45*Forecast!$B$9/365*E551-'Base Year'!$B$46*Forecast!$B$9/365*E552</f>
        <v/>
      </c>
      <c r="F565" s="18">
        <f>'Base Year'!$B$44*Forecast!$B$9/365*F552+'Base Year'!$B$45*Forecast!$B$9/365*F551-'Base Year'!$B$46*Forecast!$B$9/365*F552</f>
        <v/>
      </c>
      <c r="G565" s="18">
        <f>'Base Year'!$B$44*Forecast!$B$9/365*G552+'Base Year'!$B$45*Forecast!$B$9/365*G551-'Base Year'!$B$46*Forecast!$B$9/365*G552</f>
        <v/>
      </c>
    </row>
    <row r="566">
      <c r="A566" s="9" t="inlineStr">
        <is>
          <t xml:space="preserve">  change in working capital</t>
        </is>
      </c>
      <c r="C566" s="18">
        <f>C565-('Base Year'!$B$44/365*'Base Year'!$B$21+'Base Year'!$B$45/365*'Base Year'!$B$19-'Base Year'!$B$46/365*'Base Year'!$B$21)</f>
        <v/>
      </c>
      <c r="D566" s="18">
        <f>D565-C565</f>
        <v/>
      </c>
      <c r="E566" s="18">
        <f>E565-D565</f>
        <v/>
      </c>
      <c r="F566" s="18">
        <f>F565-E565</f>
        <v/>
      </c>
      <c r="G566" s="18">
        <f>G565-F565</f>
        <v/>
      </c>
    </row>
    <row r="567">
      <c r="A567" s="17" t="inlineStr">
        <is>
          <t>FREE CASH FLOW TO THE FIRM</t>
        </is>
      </c>
      <c r="C567" s="20">
        <f>C564+C559-C557-C566</f>
        <v/>
      </c>
      <c r="D567" s="20">
        <f>D564+D559-D557-D566</f>
        <v/>
      </c>
      <c r="E567" s="20">
        <f>E564+E559-E557-E566</f>
        <v/>
      </c>
      <c r="F567" s="20">
        <f>F564+F559-F557-F566</f>
        <v/>
      </c>
      <c r="G567" s="20">
        <f>G564+G559-G557-G566</f>
        <v/>
      </c>
    </row>
    <row r="568">
      <c r="A568" s="9" t="inlineStr">
        <is>
          <t>Glide fraction</t>
        </is>
      </c>
      <c r="C568" s="26">
        <f>0.0000000000</f>
        <v/>
      </c>
      <c r="D568" s="26">
        <f>0.3571428571</f>
        <v/>
      </c>
      <c r="E568" s="26">
        <f>0.6428571429</f>
        <v/>
      </c>
      <c r="F568" s="26">
        <f>0.8571428571</f>
        <v/>
      </c>
      <c r="G568" s="26">
        <f>1.0000000000</f>
        <v/>
      </c>
    </row>
    <row r="569">
      <c r="A569" s="9" t="inlineStr">
        <is>
          <t>Forward cost of capital</t>
        </is>
      </c>
      <c r="C569" s="19">
        <f>Forecast!$B$14-(Forecast!$B$14-Forecast!$B$17)*C568</f>
        <v/>
      </c>
      <c r="D569" s="19">
        <f>Forecast!$B$14-(Forecast!$B$14-Forecast!$B$17)*D568</f>
        <v/>
      </c>
      <c r="E569" s="19">
        <f>Forecast!$B$14-(Forecast!$B$14-Forecast!$B$17)*E568</f>
        <v/>
      </c>
      <c r="F569" s="19">
        <f>Forecast!$B$14-(Forecast!$B$14-Forecast!$B$17)*F568</f>
        <v/>
      </c>
      <c r="G569" s="19">
        <f>Forecast!$B$14-(Forecast!$B$14-Forecast!$B$17)*G568</f>
        <v/>
      </c>
    </row>
    <row r="570">
      <c r="A570" s="9" t="inlineStr">
        <is>
          <t>Cumulative discount factor</t>
        </is>
      </c>
      <c r="C570" s="29">
        <f>1/(1+C569)</f>
        <v/>
      </c>
      <c r="D570" s="29">
        <f>C570/(1+D569)</f>
        <v/>
      </c>
      <c r="E570" s="29">
        <f>D570/(1+E569)</f>
        <v/>
      </c>
      <c r="F570" s="29">
        <f>E570/(1+F569)</f>
        <v/>
      </c>
      <c r="G570" s="29">
        <f>F570/(1+G569)</f>
        <v/>
      </c>
    </row>
    <row r="571">
      <c r="A571" s="9" t="inlineStr">
        <is>
          <t>Present value</t>
        </is>
      </c>
      <c r="C571" s="18">
        <f>C567*C570</f>
        <v/>
      </c>
      <c r="D571" s="18">
        <f>D567*D570</f>
        <v/>
      </c>
      <c r="E571" s="18">
        <f>E567*E570</f>
        <v/>
      </c>
      <c r="F571" s="18">
        <f>F567*F570</f>
        <v/>
      </c>
      <c r="G571" s="18">
        <f>G567*G570</f>
        <v/>
      </c>
    </row>
    <row r="572">
      <c r="A572" s="17" t="inlineStr">
        <is>
          <t>PV of the explicit window</t>
        </is>
      </c>
      <c r="B572" s="20">
        <f>SUM(C571:G571)</f>
        <v/>
      </c>
      <c r="C572" s="18">
        <f>C565+C558</f>
        <v/>
      </c>
      <c r="D572" s="18">
        <f>D565+D558</f>
        <v/>
      </c>
      <c r="E572" s="18">
        <f>E565+E558</f>
        <v/>
      </c>
      <c r="F572" s="18">
        <f>F565+F558</f>
        <v/>
      </c>
      <c r="G572" s="18">
        <f>G565+G558</f>
        <v/>
      </c>
    </row>
    <row r="573">
      <c r="A573" s="9" t="inlineStr">
        <is>
          <t>Terminal return on invested capital, at REPLACEMENT cost</t>
        </is>
      </c>
      <c r="B573" s="19">
        <f>G564*(1+Assumptions!$B$89)/G572</f>
        <v/>
      </c>
    </row>
    <row r="574">
      <c r="A574" s="9" t="inlineStr">
        <is>
          <t>Required reinvestment = growth / return</t>
        </is>
      </c>
      <c r="B574" s="19">
        <f>MIN(Assumptions!$B$89/B573,0.95)</f>
        <v/>
      </c>
    </row>
    <row r="575">
      <c r="A575" s="9" t="inlineStr">
        <is>
          <t>Terminal value</t>
        </is>
      </c>
      <c r="B575" s="18">
        <f>G564*(1+Assumptions!$B$89)*(1-B574)/MAX(Forecast!$B$17-Assumptions!$B$89,0.02)</f>
        <v/>
      </c>
    </row>
    <row r="576">
      <c r="A576" s="9" t="inlineStr">
        <is>
          <t>PV of the terminal block</t>
        </is>
      </c>
      <c r="B576" s="18">
        <f>B575*G570</f>
        <v/>
      </c>
    </row>
    <row r="577">
      <c r="A577" s="17" t="inlineStr">
        <is>
          <t>ENTERPRISE VALUE</t>
        </is>
      </c>
      <c r="B577" s="20">
        <f>B572+B576</f>
        <v/>
      </c>
    </row>
    <row r="578">
      <c r="A578" s="9" t="inlineStr">
        <is>
          <t>plus net cash</t>
        </is>
      </c>
      <c r="B578" s="18">
        <f>(Assumptions!$B$79-Assumptions!$B$82-Assumptions!$B$83)/10^6</f>
        <v/>
      </c>
    </row>
    <row r="579">
      <c r="A579" s="9" t="inlineStr">
        <is>
          <t>Enterprise value including cash</t>
        </is>
      </c>
      <c r="B579" s="18">
        <f>B577+B578</f>
        <v/>
      </c>
    </row>
    <row r="580">
      <c r="A580" s="9" t="inlineStr">
        <is>
          <t>less minority — on the WHOLE enterprise, cash included</t>
        </is>
      </c>
      <c r="B580" s="18">
        <f>B579*'Base Year'!$B$41</f>
        <v/>
      </c>
    </row>
    <row r="581">
      <c r="A581" s="9" t="inlineStr">
        <is>
          <t>less the tax-disputes provision</t>
        </is>
      </c>
      <c r="B581" s="18">
        <f>Assumptions!$B$78/10^6</f>
        <v/>
      </c>
    </row>
    <row r="582">
      <c r="A582" s="9" t="inlineStr">
        <is>
          <t>less dividends payable — declared, out of working capital</t>
        </is>
      </c>
      <c r="B582" s="18">
        <f>Assumptions!$B$77/10^6</f>
        <v/>
      </c>
    </row>
    <row r="583">
      <c r="A583" s="9" t="inlineStr">
        <is>
          <t>plus non-operating investments and pledged deposits</t>
        </is>
      </c>
      <c r="B583" s="18">
        <f>(Assumptions!$B$81+Assumptions!$B$80)/10^6</f>
        <v/>
      </c>
    </row>
    <row r="584">
      <c r="A584" s="17" t="inlineStr">
        <is>
          <t>EQUITY ATTRIBUTABLE</t>
        </is>
      </c>
      <c r="B584" s="20">
        <f>B579-B580-B581-B582+B583</f>
        <v/>
      </c>
    </row>
    <row r="585">
      <c r="A585" s="17" t="inlineStr">
        <is>
          <t>VALUE PER SHARE, EGP</t>
        </is>
      </c>
      <c r="B585" s="30">
        <f>B584/Assumptions!$B$8</f>
        <v/>
      </c>
    </row>
    <row r="588">
      <c r="A588" s="6" t="inlineStr">
        <is>
          <t>Realisation path, as a multiple of the assumed path — 0.95x</t>
        </is>
      </c>
      <c r="B588" s="6" t="inlineStr">
        <is>
          <t>2026E</t>
        </is>
      </c>
      <c r="C588" s="6" t="inlineStr">
        <is>
          <t>2027E</t>
        </is>
      </c>
      <c r="D588" s="6" t="inlineStr">
        <is>
          <t>2028E</t>
        </is>
      </c>
      <c r="E588" s="6" t="inlineStr">
        <is>
          <t>2029E</t>
        </is>
      </c>
      <c r="F588" s="6" t="inlineStr">
        <is>
          <t>2030E</t>
        </is>
      </c>
    </row>
    <row r="589">
      <c r="A589" s="9" t="inlineStr">
        <is>
          <t>Inflation index, cumulative</t>
        </is>
      </c>
      <c r="C589" s="26">
        <f>Assumptions!$B$146</f>
        <v/>
      </c>
      <c r="D589" s="26">
        <f>C589*Assumptions!$B$147</f>
        <v/>
      </c>
      <c r="E589" s="26">
        <f>D589*Assumptions!$B$148</f>
        <v/>
      </c>
      <c r="F589" s="26">
        <f>E589*Assumptions!$B$149</f>
        <v/>
      </c>
      <c r="G589" s="26">
        <f>F589*Assumptions!$B$150</f>
        <v/>
      </c>
    </row>
    <row r="590">
      <c r="A590" s="9" t="inlineStr">
        <is>
          <t>Realisation index, cumulative</t>
        </is>
      </c>
      <c r="C590" s="26">
        <f>(1+Assumptions!$B$101*$D$21)</f>
        <v/>
      </c>
      <c r="D590" s="26">
        <f>C590*(1+Assumptions!$B$102*$D$21)</f>
        <v/>
      </c>
      <c r="E590" s="26">
        <f>D590*(1+Assumptions!$B$103*$D$21)</f>
        <v/>
      </c>
      <c r="F590" s="26">
        <f>E590*(1+Assumptions!$B$104*$D$21)</f>
        <v/>
      </c>
      <c r="G590" s="26">
        <f>F590*(1+Assumptions!$B$105*$D$21)</f>
        <v/>
      </c>
    </row>
    <row r="591">
      <c r="A591" s="9" t="inlineStr">
        <is>
          <t xml:space="preserve">  Volume — Base and special oils, mn t</t>
        </is>
      </c>
      <c r="C591" s="26">
        <f>'Product and Cost'!E6*(1+Assumptions!$B$106+Forecast!$B$6)</f>
        <v/>
      </c>
      <c r="D591" s="26">
        <f>C591*(1+Assumptions!$B$107+Forecast!$B$6)</f>
        <v/>
      </c>
      <c r="E591" s="26">
        <f>D591*(1+Assumptions!$B$108+Forecast!$B$6)</f>
        <v/>
      </c>
      <c r="F591" s="26">
        <f>E591*(1+Assumptions!$B$109+Forecast!$B$6)</f>
        <v/>
      </c>
      <c r="G591" s="26">
        <f>F591*(1+Assumptions!$B$110+Forecast!$B$6)</f>
        <v/>
      </c>
    </row>
    <row r="592">
      <c r="A592" s="9" t="inlineStr">
        <is>
          <t xml:space="preserve">  Volume — Paraffin wax, mn t</t>
        </is>
      </c>
      <c r="C592" s="26">
        <f>'Product and Cost'!E7*(1+Assumptions!$B$111+Forecast!$B$6)</f>
        <v/>
      </c>
      <c r="D592" s="26">
        <f>C592*(1+Assumptions!$B$112+Forecast!$B$6)</f>
        <v/>
      </c>
      <c r="E592" s="26">
        <f>D592*(1+Assumptions!$B$113+Forecast!$B$6)</f>
        <v/>
      </c>
      <c r="F592" s="26">
        <f>E592*(1+Assumptions!$B$114+Forecast!$B$6)</f>
        <v/>
      </c>
      <c r="G592" s="26">
        <f>F592*(1+Assumptions!$B$115+Forecast!$B$6)</f>
        <v/>
      </c>
    </row>
    <row r="593">
      <c r="A593" s="9" t="inlineStr">
        <is>
          <t xml:space="preserve">  Volume — Gas oil, mn t</t>
        </is>
      </c>
      <c r="C593" s="26">
        <f>'Product and Cost'!E8*(1+Assumptions!$B$116+Forecast!$B$6)</f>
        <v/>
      </c>
      <c r="D593" s="26">
        <f>C593*(1+Assumptions!$B$117+Forecast!$B$6)</f>
        <v/>
      </c>
      <c r="E593" s="26">
        <f>D593*(1+Assumptions!$B$118+Forecast!$B$6)</f>
        <v/>
      </c>
      <c r="F593" s="26">
        <f>E593*(1+Assumptions!$B$119+Forecast!$B$6)</f>
        <v/>
      </c>
      <c r="G593" s="26">
        <f>F593*(1+Assumptions!$B$120+Forecast!$B$6)</f>
        <v/>
      </c>
    </row>
    <row r="594">
      <c r="A594" s="9" t="inlineStr">
        <is>
          <t xml:space="preserve">  Volume — Naphtha, mn t</t>
        </is>
      </c>
      <c r="C594" s="26">
        <f>'Product and Cost'!E9*(1+Assumptions!$B$121+Forecast!$B$6)</f>
        <v/>
      </c>
      <c r="D594" s="26">
        <f>C594*(1+Assumptions!$B$122+Forecast!$B$6)</f>
        <v/>
      </c>
      <c r="E594" s="26">
        <f>D594*(1+Assumptions!$B$123+Forecast!$B$6)</f>
        <v/>
      </c>
      <c r="F594" s="26">
        <f>E594*(1+Assumptions!$B$124+Forecast!$B$6)</f>
        <v/>
      </c>
      <c r="G594" s="26">
        <f>F594*(1+Assumptions!$B$125+Forecast!$B$6)</f>
        <v/>
      </c>
    </row>
    <row r="595">
      <c r="A595" s="9" t="inlineStr">
        <is>
          <t xml:space="preserve">  Volume — Liquefied petroleum gas, mn t</t>
        </is>
      </c>
      <c r="C595" s="26">
        <f>'Product and Cost'!E10*(1+Assumptions!$B$126+Forecast!$B$6)</f>
        <v/>
      </c>
      <c r="D595" s="26">
        <f>C595*(1+Assumptions!$B$127+Forecast!$B$6)</f>
        <v/>
      </c>
      <c r="E595" s="26">
        <f>D595*(1+Assumptions!$B$128+Forecast!$B$6)</f>
        <v/>
      </c>
      <c r="F595" s="26">
        <f>E595*(1+Assumptions!$B$129+Forecast!$B$6)</f>
        <v/>
      </c>
      <c r="G595" s="26">
        <f>F595*(1+Assumptions!$B$130+Forecast!$B$6)</f>
        <v/>
      </c>
    </row>
    <row r="596">
      <c r="A596" s="9" t="inlineStr">
        <is>
          <t xml:space="preserve">  Volume — Fuel oil (mix), mn t</t>
        </is>
      </c>
      <c r="C596" s="26">
        <f>'Product and Cost'!E11*(1+Assumptions!$B$131+Forecast!$B$6)</f>
        <v/>
      </c>
      <c r="D596" s="26">
        <f>C596*(1+Assumptions!$B$132+Forecast!$B$6)</f>
        <v/>
      </c>
      <c r="E596" s="26">
        <f>D596*(1+Assumptions!$B$133+Forecast!$B$6)</f>
        <v/>
      </c>
      <c r="F596" s="26">
        <f>E596*(1+Assumptions!$B$134+Forecast!$B$6)</f>
        <v/>
      </c>
      <c r="G596" s="26">
        <f>F596*(1+Assumptions!$B$135+Forecast!$B$6)</f>
        <v/>
      </c>
    </row>
    <row r="597">
      <c r="A597" s="9" t="inlineStr">
        <is>
          <t xml:space="preserve">  Volume — Heavy fuel oil, mn t</t>
        </is>
      </c>
      <c r="C597" s="26">
        <f>'Product and Cost'!E12*(1+Assumptions!$B$136+Forecast!$B$6)</f>
        <v/>
      </c>
      <c r="D597" s="26">
        <f>C597*(1+Assumptions!$B$137+Forecast!$B$6)</f>
        <v/>
      </c>
      <c r="E597" s="26">
        <f>D597*(1+Assumptions!$B$138+Forecast!$B$6)</f>
        <v/>
      </c>
      <c r="F597" s="26">
        <f>E597*(1+Assumptions!$B$139+Forecast!$B$6)</f>
        <v/>
      </c>
      <c r="G597" s="26">
        <f>F597*(1+Assumptions!$B$140+Forecast!$B$6)</f>
        <v/>
      </c>
    </row>
    <row r="598">
      <c r="A598" s="9" t="inlineStr">
        <is>
          <t xml:space="preserve">  Volume — Waste, mn t</t>
        </is>
      </c>
      <c r="C598" s="26">
        <f>'Product and Cost'!E13*(1+Assumptions!$B$141+Forecast!$B$6)</f>
        <v/>
      </c>
      <c r="D598" s="26">
        <f>C598*(1+Assumptions!$B$142+Forecast!$B$6)</f>
        <v/>
      </c>
      <c r="E598" s="26">
        <f>D598*(1+Assumptions!$B$143+Forecast!$B$6)</f>
        <v/>
      </c>
      <c r="F598" s="26">
        <f>E598*(1+Assumptions!$B$144+Forecast!$B$6)</f>
        <v/>
      </c>
      <c r="G598" s="26">
        <f>F598*(1+Assumptions!$B$145+Forecast!$B$6)</f>
        <v/>
      </c>
    </row>
    <row r="599">
      <c r="A599" s="17" t="inlineStr">
        <is>
          <t>Total volume, mn t</t>
        </is>
      </c>
      <c r="C599" s="28">
        <f>SUM(C591:C598)</f>
        <v/>
      </c>
      <c r="D599" s="28">
        <f>SUM(D591:D598)</f>
        <v/>
      </c>
      <c r="E599" s="28">
        <f>SUM(E591:E598)</f>
        <v/>
      </c>
      <c r="F599" s="28">
        <f>SUM(F591:F598)</f>
        <v/>
      </c>
      <c r="G599" s="28">
        <f>SUM(G591:G598)</f>
        <v/>
      </c>
    </row>
    <row r="600">
      <c r="A600" s="17" t="inlineStr">
        <is>
          <t>REVENUE</t>
        </is>
      </c>
      <c r="C600" s="20">
        <f>C591*'Product and Cost'!$F$6*C590+C592*'Product and Cost'!$F$7*C590+C593*'Product and Cost'!$F$8*C590+C594*'Product and Cost'!$F$9*C590+C595*'Product and Cost'!$F$10*C590+C596*'Product and Cost'!$F$11*C590+C597*'Product and Cost'!$F$12*C590+C598*'Product and Cost'!$F$13*C590</f>
        <v/>
      </c>
      <c r="D600" s="20">
        <f>D591*'Product and Cost'!$F$6*D590+D592*'Product and Cost'!$F$7*D590+D593*'Product and Cost'!$F$8*D590+D594*'Product and Cost'!$F$9*D590+D595*'Product and Cost'!$F$10*D590+D596*'Product and Cost'!$F$11*D590+D597*'Product and Cost'!$F$12*D590+D598*'Product and Cost'!$F$13*D590</f>
        <v/>
      </c>
      <c r="E600" s="20">
        <f>E591*'Product and Cost'!$F$6*E590+E592*'Product and Cost'!$F$7*E590+E593*'Product and Cost'!$F$8*E590+E594*'Product and Cost'!$F$9*E590+E595*'Product and Cost'!$F$10*E590+E596*'Product and Cost'!$F$11*E590+E597*'Product and Cost'!$F$12*E590+E598*'Product and Cost'!$F$13*E590</f>
        <v/>
      </c>
      <c r="F600" s="20">
        <f>F591*'Product and Cost'!$F$6*F590+F592*'Product and Cost'!$F$7*F590+F593*'Product and Cost'!$F$8*F590+F594*'Product and Cost'!$F$9*F590+F595*'Product and Cost'!$F$10*F590+F596*'Product and Cost'!$F$11*F590+F597*'Product and Cost'!$F$12*F590+F598*'Product and Cost'!$F$13*F590</f>
        <v/>
      </c>
      <c r="G600" s="20">
        <f>G591*'Product and Cost'!$F$6*G590+G592*'Product and Cost'!$F$7*G590+G593*'Product and Cost'!$F$8*G590+G594*'Product and Cost'!$F$9*G590+G595*'Product and Cost'!$F$10*G590+G596*'Product and Cost'!$F$11*G590+G597*'Product and Cost'!$F$12*G590+G598*'Product and Cost'!$F$13*G590</f>
        <v/>
      </c>
    </row>
    <row r="601">
      <c r="A601" s="9" t="inlineStr">
        <is>
          <t>Cost of sales</t>
        </is>
      </c>
      <c r="C601" s="18">
        <f>C591*('Product and Cost'!$D$27*C590*Assumptions!$B$88+'Product and Cost'!$B$27*(0.4863620081*C589+0.4455809638*C589+0.0356254898*C590+0.0324315384))+C592*('Product and Cost'!$D$28*C590*Assumptions!$B$88+'Product and Cost'!$B$28*(0.4863620081*C589+0.4455809638*C589+0.0356254898*C590+0.0324315384))+C593*('Product and Cost'!$D$29*C590*Assumptions!$B$88+'Product and Cost'!$B$29*(0.4863620081*C589+0.4455809638*C589+0.0356254898*C590+0.0324315384))+C594*('Product and Cost'!$D$30*C590*Assumptions!$B$88+'Product and Cost'!$B$30*(0.4863620081*C589+0.4455809638*C589+0.0356254898*C590+0.0324315384))+C595*('Product and Cost'!$D$31*C590*Assumptions!$B$88+'Product and Cost'!$B$31*(0.4863620081*C589+0.4455809638*C589+0.0356254898*C590+0.0324315384))+C596*('Product and Cost'!$D$32*C590*Assumptions!$B$88+'Product and Cost'!$B$32*(0.4863620081*C589+0.4455809638*C589+0.0356254898*C590+0.0324315384))+C597*('Product and Cost'!$D$33*C590*Assumptions!$B$88+'Product and Cost'!$B$33*(0.4863620081*C589+0.4455809638*C589+0.0356254898*C590+0.0324315384))+C598*('Product and Cost'!$D$34*C590*Assumptions!$B$88+'Product and Cost'!$B$34*(0.4863620081*C589+0.4455809638*C589+0.0356254898*C590+0.0324315384))</f>
        <v/>
      </c>
      <c r="D601" s="18">
        <f>D591*('Product and Cost'!$D$27*D590*Assumptions!$B$88+'Product and Cost'!$B$27*(0.4863620081*D589+0.4455809638*D589+0.0356254898*D590+0.0324315384))+D592*('Product and Cost'!$D$28*D590*Assumptions!$B$88+'Product and Cost'!$B$28*(0.4863620081*D589+0.4455809638*D589+0.0356254898*D590+0.0324315384))+D593*('Product and Cost'!$D$29*D590*Assumptions!$B$88+'Product and Cost'!$B$29*(0.4863620081*D589+0.4455809638*D589+0.0356254898*D590+0.0324315384))+D594*('Product and Cost'!$D$30*D590*Assumptions!$B$88+'Product and Cost'!$B$30*(0.4863620081*D589+0.4455809638*D589+0.0356254898*D590+0.0324315384))+D595*('Product and Cost'!$D$31*D590*Assumptions!$B$88+'Product and Cost'!$B$31*(0.4863620081*D589+0.4455809638*D589+0.0356254898*D590+0.0324315384))+D596*('Product and Cost'!$D$32*D590*Assumptions!$B$88+'Product and Cost'!$B$32*(0.4863620081*D589+0.4455809638*D589+0.0356254898*D590+0.0324315384))+D597*('Product and Cost'!$D$33*D590*Assumptions!$B$88+'Product and Cost'!$B$33*(0.4863620081*D589+0.4455809638*D589+0.0356254898*D590+0.0324315384))+D598*('Product and Cost'!$D$34*D590*Assumptions!$B$88+'Product and Cost'!$B$34*(0.4863620081*D589+0.4455809638*D589+0.0356254898*D590+0.0324315384))</f>
        <v/>
      </c>
      <c r="E601" s="18">
        <f>E591*('Product and Cost'!$D$27*E590*Assumptions!$B$88+'Product and Cost'!$B$27*(0.4863620081*E589+0.4455809638*E589+0.0356254898*E590+0.0324315384))+E592*('Product and Cost'!$D$28*E590*Assumptions!$B$88+'Product and Cost'!$B$28*(0.4863620081*E589+0.4455809638*E589+0.0356254898*E590+0.0324315384))+E593*('Product and Cost'!$D$29*E590*Assumptions!$B$88+'Product and Cost'!$B$29*(0.4863620081*E589+0.4455809638*E589+0.0356254898*E590+0.0324315384))+E594*('Product and Cost'!$D$30*E590*Assumptions!$B$88+'Product and Cost'!$B$30*(0.4863620081*E589+0.4455809638*E589+0.0356254898*E590+0.0324315384))+E595*('Product and Cost'!$D$31*E590*Assumptions!$B$88+'Product and Cost'!$B$31*(0.4863620081*E589+0.4455809638*E589+0.0356254898*E590+0.0324315384))+E596*('Product and Cost'!$D$32*E590*Assumptions!$B$88+'Product and Cost'!$B$32*(0.4863620081*E589+0.4455809638*E589+0.0356254898*E590+0.0324315384))+E597*('Product and Cost'!$D$33*E590*Assumptions!$B$88+'Product and Cost'!$B$33*(0.4863620081*E589+0.4455809638*E589+0.0356254898*E590+0.0324315384))+E598*('Product and Cost'!$D$34*E590*Assumptions!$B$88+'Product and Cost'!$B$34*(0.4863620081*E589+0.4455809638*E589+0.0356254898*E590+0.0324315384))</f>
        <v/>
      </c>
      <c r="F601" s="18">
        <f>F591*('Product and Cost'!$D$27*F590*Assumptions!$B$88+'Product and Cost'!$B$27*(0.4863620081*F589+0.4455809638*F589+0.0356254898*F590+0.0324315384))+F592*('Product and Cost'!$D$28*F590*Assumptions!$B$88+'Product and Cost'!$B$28*(0.4863620081*F589+0.4455809638*F589+0.0356254898*F590+0.0324315384))+F593*('Product and Cost'!$D$29*F590*Assumptions!$B$88+'Product and Cost'!$B$29*(0.4863620081*F589+0.4455809638*F589+0.0356254898*F590+0.0324315384))+F594*('Product and Cost'!$D$30*F590*Assumptions!$B$88+'Product and Cost'!$B$30*(0.4863620081*F589+0.4455809638*F589+0.0356254898*F590+0.0324315384))+F595*('Product and Cost'!$D$31*F590*Assumptions!$B$88+'Product and Cost'!$B$31*(0.4863620081*F589+0.4455809638*F589+0.0356254898*F590+0.0324315384))+F596*('Product and Cost'!$D$32*F590*Assumptions!$B$88+'Product and Cost'!$B$32*(0.4863620081*F589+0.4455809638*F589+0.0356254898*F590+0.0324315384))+F597*('Product and Cost'!$D$33*F590*Assumptions!$B$88+'Product and Cost'!$B$33*(0.4863620081*F589+0.4455809638*F589+0.0356254898*F590+0.0324315384))+F598*('Product and Cost'!$D$34*F590*Assumptions!$B$88+'Product and Cost'!$B$34*(0.4863620081*F589+0.4455809638*F589+0.0356254898*F590+0.0324315384))</f>
        <v/>
      </c>
      <c r="G601" s="18">
        <f>G591*('Product and Cost'!$D$27*G590*Assumptions!$B$88+'Product and Cost'!$B$27*(0.4863620081*G589+0.4455809638*G589+0.0356254898*G590+0.0324315384))+G592*('Product and Cost'!$D$28*G590*Assumptions!$B$88+'Product and Cost'!$B$28*(0.4863620081*G589+0.4455809638*G589+0.0356254898*G590+0.0324315384))+G593*('Product and Cost'!$D$29*G590*Assumptions!$B$88+'Product and Cost'!$B$29*(0.4863620081*G589+0.4455809638*G589+0.0356254898*G590+0.0324315384))+G594*('Product and Cost'!$D$30*G590*Assumptions!$B$88+'Product and Cost'!$B$30*(0.4863620081*G589+0.4455809638*G589+0.0356254898*G590+0.0324315384))+G595*('Product and Cost'!$D$31*G590*Assumptions!$B$88+'Product and Cost'!$B$31*(0.4863620081*G589+0.4455809638*G589+0.0356254898*G590+0.0324315384))+G596*('Product and Cost'!$D$32*G590*Assumptions!$B$88+'Product and Cost'!$B$32*(0.4863620081*G589+0.4455809638*G589+0.0356254898*G590+0.0324315384))+G597*('Product and Cost'!$D$33*G590*Assumptions!$B$88+'Product and Cost'!$B$33*(0.4863620081*G589+0.4455809638*G589+0.0356254898*G590+0.0324315384))+G598*('Product and Cost'!$D$34*G590*Assumptions!$B$88+'Product and Cost'!$B$34*(0.4863620081*G589+0.4455809638*G589+0.0356254898*G590+0.0324315384))</f>
        <v/>
      </c>
    </row>
    <row r="602">
      <c r="A602" s="17" t="inlineStr">
        <is>
          <t>GROSS PROFIT</t>
        </is>
      </c>
      <c r="C602" s="20">
        <f>C600-C601+Forecast!$B$7*C600</f>
        <v/>
      </c>
      <c r="D602" s="20">
        <f>D600-D601+Forecast!$B$7*D600</f>
        <v/>
      </c>
      <c r="E602" s="20">
        <f>E600-E601+Forecast!$B$7*E600</f>
        <v/>
      </c>
      <c r="F602" s="20">
        <f>F600-F601+Forecast!$B$7*F600</f>
        <v/>
      </c>
      <c r="G602" s="20">
        <f>G600-G601+Forecast!$B$7*G600</f>
        <v/>
      </c>
    </row>
    <row r="603">
      <c r="A603" s="9" t="inlineStr">
        <is>
          <t>Gross margin</t>
        </is>
      </c>
      <c r="C603" s="19">
        <f>C602/C600</f>
        <v/>
      </c>
      <c r="D603" s="19">
        <f>D602/D600</f>
        <v/>
      </c>
      <c r="E603" s="19">
        <f>E602/E600</f>
        <v/>
      </c>
      <c r="F603" s="19">
        <f>F602/F600</f>
        <v/>
      </c>
      <c r="G603" s="19">
        <f>G602/G600</f>
        <v/>
      </c>
    </row>
    <row r="604">
      <c r="A604" s="9" t="inlineStr">
        <is>
          <t>Operating expense</t>
        </is>
      </c>
      <c r="C604" s="18">
        <f>('Base Year'!$B$28*C589)+('Base Year'!$B$29*C589*C599/'Product and Cost'!$E$14)+('Base Year'!$B$30*C589)+('Base Year'!$B$31*C589)</f>
        <v/>
      </c>
      <c r="D604" s="18">
        <f>('Base Year'!$B$28*D589)+('Base Year'!$B$29*D589*D599/'Product and Cost'!$E$14)+('Base Year'!$B$30*D589)+('Base Year'!$B$31*D589)</f>
        <v/>
      </c>
      <c r="E604" s="18">
        <f>('Base Year'!$B$28*E589)+('Base Year'!$B$29*E589*E599/'Product and Cost'!$E$14)+('Base Year'!$B$30*E589)+('Base Year'!$B$31*E589)</f>
        <v/>
      </c>
      <c r="F604" s="18">
        <f>('Base Year'!$B$28*F589)+('Base Year'!$B$29*F589*F599/'Product and Cost'!$E$14)+('Base Year'!$B$30*F589)+('Base Year'!$B$31*F589)</f>
        <v/>
      </c>
      <c r="G604" s="18">
        <f>('Base Year'!$B$28*G589)+('Base Year'!$B$29*G589*G599/'Product and Cost'!$E$14)+('Base Year'!$B$30*G589)+('Base Year'!$B$31*G589)</f>
        <v/>
      </c>
    </row>
    <row r="605">
      <c r="A605" s="17" t="inlineStr">
        <is>
          <t>EBITDA</t>
        </is>
      </c>
      <c r="C605" s="20">
        <f>C602-C604</f>
        <v/>
      </c>
      <c r="D605" s="20">
        <f>D602-D604</f>
        <v/>
      </c>
      <c r="E605" s="20">
        <f>E602-E604</f>
        <v/>
      </c>
      <c r="F605" s="20">
        <f>F602-F604</f>
        <v/>
      </c>
      <c r="G605" s="20">
        <f>G602-G604</f>
        <v/>
      </c>
    </row>
    <row r="606">
      <c r="A606" s="9" t="inlineStr">
        <is>
          <t>Capital expenditure — maintenance + growth</t>
        </is>
      </c>
      <c r="C606" s="18">
        <f>'Base Year'!$B$43*C589+MAX(C599-'Product and Cost'!$E$14,0)*1947.901031*C589</f>
        <v/>
      </c>
      <c r="D606" s="18">
        <f>'Base Year'!$B$43*D589+MAX(D599-C599,0)*1947.901031*D589</f>
        <v/>
      </c>
      <c r="E606" s="18">
        <f>'Base Year'!$B$43*E589+MAX(E599-D599,0)*1947.901031*E589</f>
        <v/>
      </c>
      <c r="F606" s="18">
        <f>'Base Year'!$B$43*F589+MAX(F599-E599,0)*1947.901031*F589</f>
        <v/>
      </c>
      <c r="G606" s="18">
        <f>'Base Year'!$B$43*G589+MAX(G599-F599,0)*1947.901031*G589</f>
        <v/>
      </c>
    </row>
    <row r="607">
      <c r="A607" s="9" t="inlineStr">
        <is>
          <t>Fixed assets at cost, closing</t>
        </is>
      </c>
      <c r="C607" s="18">
        <f>(Assumptions!$B$70+Assumptions!$B$71)/10^6+C606</f>
        <v/>
      </c>
      <c r="D607" s="18">
        <f>C607+D606</f>
        <v/>
      </c>
      <c r="E607" s="18">
        <f>D607+E606</f>
        <v/>
      </c>
      <c r="F607" s="18">
        <f>E607+F606</f>
        <v/>
      </c>
      <c r="G607" s="18">
        <f>F607+G606</f>
        <v/>
      </c>
    </row>
    <row r="608">
      <c r="A608" s="9" t="inlineStr">
        <is>
          <t>Depreciation — rolls off the asset register</t>
        </is>
      </c>
      <c r="C608" s="18">
        <f>(Assumptions!$B$70+Assumptions!$B$71)/10^6/'Base Year'!$B$42</f>
        <v/>
      </c>
      <c r="D608" s="18">
        <f>C607/'Base Year'!$B$42</f>
        <v/>
      </c>
      <c r="E608" s="18">
        <f>D607/'Base Year'!$B$42</f>
        <v/>
      </c>
      <c r="F608" s="18">
        <f>E607/'Base Year'!$B$42</f>
        <v/>
      </c>
      <c r="G608" s="18">
        <f>F607/'Base Year'!$B$42</f>
        <v/>
      </c>
    </row>
    <row r="609">
      <c r="A609" s="9" t="inlineStr">
        <is>
          <t>Fixed assets, net book, closing</t>
        </is>
      </c>
      <c r="C609" s="18">
        <f>(Assumptions!$B$69+Assumptions!$B$71)/10^6+C606-C608</f>
        <v/>
      </c>
      <c r="D609" s="18">
        <f>C609+D606-D608</f>
        <v/>
      </c>
      <c r="E609" s="18">
        <f>D609+E606-E608</f>
        <v/>
      </c>
      <c r="F609" s="18">
        <f>E609+F606-F608</f>
        <v/>
      </c>
      <c r="G609" s="18">
        <f>F609+G606-G608</f>
        <v/>
      </c>
    </row>
    <row r="610">
      <c r="A610" s="17" t="inlineStr">
        <is>
          <t>EBIT</t>
        </is>
      </c>
      <c r="C610" s="20">
        <f>C605-C608</f>
        <v/>
      </c>
      <c r="D610" s="20">
        <f>D605-D608</f>
        <v/>
      </c>
      <c r="E610" s="20">
        <f>E605-E608</f>
        <v/>
      </c>
      <c r="F610" s="20">
        <f>F605-F608</f>
        <v/>
      </c>
      <c r="G610" s="20">
        <f>G605-G608</f>
        <v/>
      </c>
    </row>
    <row r="611">
      <c r="A611" s="9" t="inlineStr">
        <is>
          <t>NOPAT before the profit share</t>
        </is>
      </c>
      <c r="C611" s="18">
        <f>C610*(1-Assumptions!$B$87)</f>
        <v/>
      </c>
      <c r="D611" s="18">
        <f>D610*(1-Assumptions!$B$87)</f>
        <v/>
      </c>
      <c r="E611" s="18">
        <f>E610*(1-Assumptions!$B$87)</f>
        <v/>
      </c>
      <c r="F611" s="18">
        <f>F610*(1-Assumptions!$B$87)</f>
        <v/>
      </c>
      <c r="G611" s="18">
        <f>G610*(1-Assumptions!$B$87)</f>
        <v/>
      </c>
    </row>
    <row r="612">
      <c r="A612" s="9" t="inlineStr">
        <is>
          <t xml:space="preserve">  less employees' profit share and board bonuses</t>
        </is>
      </c>
      <c r="C612" s="18">
        <f>MAX(C611,0)*'Base Year'!$B$40</f>
        <v/>
      </c>
      <c r="D612" s="18">
        <f>MAX(D611,0)*'Base Year'!$B$40</f>
        <v/>
      </c>
      <c r="E612" s="18">
        <f>MAX(E611,0)*'Base Year'!$B$40</f>
        <v/>
      </c>
      <c r="F612" s="18">
        <f>MAX(F611,0)*'Base Year'!$B$40</f>
        <v/>
      </c>
      <c r="G612" s="18">
        <f>MAX(G611,0)*'Base Year'!$B$40</f>
        <v/>
      </c>
    </row>
    <row r="613">
      <c r="A613" s="17" t="inlineStr">
        <is>
          <t>NOPAT</t>
        </is>
      </c>
      <c r="C613" s="20">
        <f>C611-C612</f>
        <v/>
      </c>
      <c r="D613" s="20">
        <f>D611-D612</f>
        <v/>
      </c>
      <c r="E613" s="20">
        <f>E611-E612</f>
        <v/>
      </c>
      <c r="F613" s="20">
        <f>F611-F612</f>
        <v/>
      </c>
      <c r="G613" s="20">
        <f>G611-G612</f>
        <v/>
      </c>
    </row>
    <row r="614">
      <c r="A614" s="9" t="inlineStr">
        <is>
          <t>Net working capital — on days</t>
        </is>
      </c>
      <c r="C614" s="18">
        <f>'Base Year'!$B$44*Forecast!$B$9/365*C601+'Base Year'!$B$45*Forecast!$B$9/365*C600-'Base Year'!$B$46*Forecast!$B$9/365*C601</f>
        <v/>
      </c>
      <c r="D614" s="18">
        <f>'Base Year'!$B$44*Forecast!$B$9/365*D601+'Base Year'!$B$45*Forecast!$B$9/365*D600-'Base Year'!$B$46*Forecast!$B$9/365*D601</f>
        <v/>
      </c>
      <c r="E614" s="18">
        <f>'Base Year'!$B$44*Forecast!$B$9/365*E601+'Base Year'!$B$45*Forecast!$B$9/365*E600-'Base Year'!$B$46*Forecast!$B$9/365*E601</f>
        <v/>
      </c>
      <c r="F614" s="18">
        <f>'Base Year'!$B$44*Forecast!$B$9/365*F601+'Base Year'!$B$45*Forecast!$B$9/365*F600-'Base Year'!$B$46*Forecast!$B$9/365*F601</f>
        <v/>
      </c>
      <c r="G614" s="18">
        <f>'Base Year'!$B$44*Forecast!$B$9/365*G601+'Base Year'!$B$45*Forecast!$B$9/365*G600-'Base Year'!$B$46*Forecast!$B$9/365*G601</f>
        <v/>
      </c>
    </row>
    <row r="615">
      <c r="A615" s="9" t="inlineStr">
        <is>
          <t xml:space="preserve">  change in working capital</t>
        </is>
      </c>
      <c r="C615" s="18">
        <f>C614-('Base Year'!$B$44/365*'Base Year'!$B$21+'Base Year'!$B$45/365*'Base Year'!$B$19-'Base Year'!$B$46/365*'Base Year'!$B$21)</f>
        <v/>
      </c>
      <c r="D615" s="18">
        <f>D614-C614</f>
        <v/>
      </c>
      <c r="E615" s="18">
        <f>E614-D614</f>
        <v/>
      </c>
      <c r="F615" s="18">
        <f>F614-E614</f>
        <v/>
      </c>
      <c r="G615" s="18">
        <f>G614-F614</f>
        <v/>
      </c>
    </row>
    <row r="616">
      <c r="A616" s="17" t="inlineStr">
        <is>
          <t>FREE CASH FLOW TO THE FIRM</t>
        </is>
      </c>
      <c r="C616" s="20">
        <f>C613+C608-C606-C615</f>
        <v/>
      </c>
      <c r="D616" s="20">
        <f>D613+D608-D606-D615</f>
        <v/>
      </c>
      <c r="E616" s="20">
        <f>E613+E608-E606-E615</f>
        <v/>
      </c>
      <c r="F616" s="20">
        <f>F613+F608-F606-F615</f>
        <v/>
      </c>
      <c r="G616" s="20">
        <f>G613+G608-G606-G615</f>
        <v/>
      </c>
    </row>
    <row r="617">
      <c r="A617" s="9" t="inlineStr">
        <is>
          <t>Glide fraction</t>
        </is>
      </c>
      <c r="C617" s="26">
        <f>0.0000000000</f>
        <v/>
      </c>
      <c r="D617" s="26">
        <f>0.3571428571</f>
        <v/>
      </c>
      <c r="E617" s="26">
        <f>0.6428571429</f>
        <v/>
      </c>
      <c r="F617" s="26">
        <f>0.8571428571</f>
        <v/>
      </c>
      <c r="G617" s="26">
        <f>1.0000000000</f>
        <v/>
      </c>
    </row>
    <row r="618">
      <c r="A618" s="9" t="inlineStr">
        <is>
          <t>Forward cost of capital</t>
        </is>
      </c>
      <c r="C618" s="19">
        <f>Forecast!$B$14-(Forecast!$B$14-Forecast!$B$17)*C617</f>
        <v/>
      </c>
      <c r="D618" s="19">
        <f>Forecast!$B$14-(Forecast!$B$14-Forecast!$B$17)*D617</f>
        <v/>
      </c>
      <c r="E618" s="19">
        <f>Forecast!$B$14-(Forecast!$B$14-Forecast!$B$17)*E617</f>
        <v/>
      </c>
      <c r="F618" s="19">
        <f>Forecast!$B$14-(Forecast!$B$14-Forecast!$B$17)*F617</f>
        <v/>
      </c>
      <c r="G618" s="19">
        <f>Forecast!$B$14-(Forecast!$B$14-Forecast!$B$17)*G617</f>
        <v/>
      </c>
    </row>
    <row r="619">
      <c r="A619" s="9" t="inlineStr">
        <is>
          <t>Cumulative discount factor</t>
        </is>
      </c>
      <c r="C619" s="29">
        <f>1/(1+C618)</f>
        <v/>
      </c>
      <c r="D619" s="29">
        <f>C619/(1+D618)</f>
        <v/>
      </c>
      <c r="E619" s="29">
        <f>D619/(1+E618)</f>
        <v/>
      </c>
      <c r="F619" s="29">
        <f>E619/(1+F618)</f>
        <v/>
      </c>
      <c r="G619" s="29">
        <f>F619/(1+G618)</f>
        <v/>
      </c>
    </row>
    <row r="620">
      <c r="A620" s="9" t="inlineStr">
        <is>
          <t>Present value</t>
        </is>
      </c>
      <c r="C620" s="18">
        <f>C616*C619</f>
        <v/>
      </c>
      <c r="D620" s="18">
        <f>D616*D619</f>
        <v/>
      </c>
      <c r="E620" s="18">
        <f>E616*E619</f>
        <v/>
      </c>
      <c r="F620" s="18">
        <f>F616*F619</f>
        <v/>
      </c>
      <c r="G620" s="18">
        <f>G616*G619</f>
        <v/>
      </c>
    </row>
    <row r="621">
      <c r="A621" s="17" t="inlineStr">
        <is>
          <t>PV of the explicit window</t>
        </is>
      </c>
      <c r="B621" s="20">
        <f>SUM(C620:G620)</f>
        <v/>
      </c>
      <c r="C621" s="18">
        <f>C614+C607</f>
        <v/>
      </c>
      <c r="D621" s="18">
        <f>D614+D607</f>
        <v/>
      </c>
      <c r="E621" s="18">
        <f>E614+E607</f>
        <v/>
      </c>
      <c r="F621" s="18">
        <f>F614+F607</f>
        <v/>
      </c>
      <c r="G621" s="18">
        <f>G614+G607</f>
        <v/>
      </c>
    </row>
    <row r="622">
      <c r="A622" s="9" t="inlineStr">
        <is>
          <t>Terminal return on invested capital, at REPLACEMENT cost</t>
        </is>
      </c>
      <c r="B622" s="19">
        <f>G613*(1+Assumptions!$B$89)/G621</f>
        <v/>
      </c>
    </row>
    <row r="623">
      <c r="A623" s="9" t="inlineStr">
        <is>
          <t>Required reinvestment = growth / return</t>
        </is>
      </c>
      <c r="B623" s="19">
        <f>MIN(Assumptions!$B$89/B622,0.95)</f>
        <v/>
      </c>
    </row>
    <row r="624">
      <c r="A624" s="9" t="inlineStr">
        <is>
          <t>Terminal value</t>
        </is>
      </c>
      <c r="B624" s="18">
        <f>G613*(1+Assumptions!$B$89)*(1-B623)/MAX(Forecast!$B$17-Assumptions!$B$89,0.02)</f>
        <v/>
      </c>
    </row>
    <row r="625">
      <c r="A625" s="9" t="inlineStr">
        <is>
          <t>PV of the terminal block</t>
        </is>
      </c>
      <c r="B625" s="18">
        <f>B624*G619</f>
        <v/>
      </c>
    </row>
    <row r="626">
      <c r="A626" s="17" t="inlineStr">
        <is>
          <t>ENTERPRISE VALUE</t>
        </is>
      </c>
      <c r="B626" s="20">
        <f>B621+B625</f>
        <v/>
      </c>
    </row>
    <row r="627">
      <c r="A627" s="9" t="inlineStr">
        <is>
          <t>plus net cash</t>
        </is>
      </c>
      <c r="B627" s="18">
        <f>(Assumptions!$B$79-Assumptions!$B$82-Assumptions!$B$83)/10^6</f>
        <v/>
      </c>
    </row>
    <row r="628">
      <c r="A628" s="9" t="inlineStr">
        <is>
          <t>Enterprise value including cash</t>
        </is>
      </c>
      <c r="B628" s="18">
        <f>B626+B627</f>
        <v/>
      </c>
    </row>
    <row r="629">
      <c r="A629" s="9" t="inlineStr">
        <is>
          <t>less minority — on the WHOLE enterprise, cash included</t>
        </is>
      </c>
      <c r="B629" s="18">
        <f>B628*'Base Year'!$B$41</f>
        <v/>
      </c>
    </row>
    <row r="630">
      <c r="A630" s="9" t="inlineStr">
        <is>
          <t>less the tax-disputes provision</t>
        </is>
      </c>
      <c r="B630" s="18">
        <f>Assumptions!$B$78/10^6</f>
        <v/>
      </c>
    </row>
    <row r="631">
      <c r="A631" s="9" t="inlineStr">
        <is>
          <t>less dividends payable — declared, out of working capital</t>
        </is>
      </c>
      <c r="B631" s="18">
        <f>Assumptions!$B$77/10^6</f>
        <v/>
      </c>
    </row>
    <row r="632">
      <c r="A632" s="9" t="inlineStr">
        <is>
          <t>plus non-operating investments and pledged deposits</t>
        </is>
      </c>
      <c r="B632" s="18">
        <f>(Assumptions!$B$81+Assumptions!$B$80)/10^6</f>
        <v/>
      </c>
    </row>
    <row r="633">
      <c r="A633" s="17" t="inlineStr">
        <is>
          <t>EQUITY ATTRIBUTABLE</t>
        </is>
      </c>
      <c r="B633" s="20">
        <f>B628-B629-B630-B631+B632</f>
        <v/>
      </c>
    </row>
    <row r="634">
      <c r="A634" s="17" t="inlineStr">
        <is>
          <t>VALUE PER SHARE, EGP</t>
        </is>
      </c>
      <c r="B634" s="30">
        <f>B633/Assumptions!$B$8</f>
        <v/>
      </c>
    </row>
    <row r="637">
      <c r="A637" s="6" t="inlineStr">
        <is>
          <t>Realisation path, as a multiple of the assumed path — 1.00x</t>
        </is>
      </c>
      <c r="B637" s="6" t="inlineStr">
        <is>
          <t>2026E</t>
        </is>
      </c>
      <c r="C637" s="6" t="inlineStr">
        <is>
          <t>2027E</t>
        </is>
      </c>
      <c r="D637" s="6" t="inlineStr">
        <is>
          <t>2028E</t>
        </is>
      </c>
      <c r="E637" s="6" t="inlineStr">
        <is>
          <t>2029E</t>
        </is>
      </c>
      <c r="F637" s="6" t="inlineStr">
        <is>
          <t>2030E</t>
        </is>
      </c>
    </row>
    <row r="638">
      <c r="A638" s="9" t="inlineStr">
        <is>
          <t>Inflation index, cumulative</t>
        </is>
      </c>
      <c r="C638" s="26">
        <f>Assumptions!$B$146</f>
        <v/>
      </c>
      <c r="D638" s="26">
        <f>C638*Assumptions!$B$147</f>
        <v/>
      </c>
      <c r="E638" s="26">
        <f>D638*Assumptions!$B$148</f>
        <v/>
      </c>
      <c r="F638" s="26">
        <f>E638*Assumptions!$B$149</f>
        <v/>
      </c>
      <c r="G638" s="26">
        <f>F638*Assumptions!$B$150</f>
        <v/>
      </c>
    </row>
    <row r="639">
      <c r="A639" s="9" t="inlineStr">
        <is>
          <t>Realisation index, cumulative</t>
        </is>
      </c>
      <c r="C639" s="26">
        <f>(1+Assumptions!$B$101*$D$22)</f>
        <v/>
      </c>
      <c r="D639" s="26">
        <f>C639*(1+Assumptions!$B$102*$D$22)</f>
        <v/>
      </c>
      <c r="E639" s="26">
        <f>D639*(1+Assumptions!$B$103*$D$22)</f>
        <v/>
      </c>
      <c r="F639" s="26">
        <f>E639*(1+Assumptions!$B$104*$D$22)</f>
        <v/>
      </c>
      <c r="G639" s="26">
        <f>F639*(1+Assumptions!$B$105*$D$22)</f>
        <v/>
      </c>
    </row>
    <row r="640">
      <c r="A640" s="9" t="inlineStr">
        <is>
          <t xml:space="preserve">  Volume — Base and special oils, mn t</t>
        </is>
      </c>
      <c r="C640" s="26">
        <f>'Product and Cost'!E6*(1+Assumptions!$B$106+Forecast!$B$6)</f>
        <v/>
      </c>
      <c r="D640" s="26">
        <f>C640*(1+Assumptions!$B$107+Forecast!$B$6)</f>
        <v/>
      </c>
      <c r="E640" s="26">
        <f>D640*(1+Assumptions!$B$108+Forecast!$B$6)</f>
        <v/>
      </c>
      <c r="F640" s="26">
        <f>E640*(1+Assumptions!$B$109+Forecast!$B$6)</f>
        <v/>
      </c>
      <c r="G640" s="26">
        <f>F640*(1+Assumptions!$B$110+Forecast!$B$6)</f>
        <v/>
      </c>
    </row>
    <row r="641">
      <c r="A641" s="9" t="inlineStr">
        <is>
          <t xml:space="preserve">  Volume — Paraffin wax, mn t</t>
        </is>
      </c>
      <c r="C641" s="26">
        <f>'Product and Cost'!E7*(1+Assumptions!$B$111+Forecast!$B$6)</f>
        <v/>
      </c>
      <c r="D641" s="26">
        <f>C641*(1+Assumptions!$B$112+Forecast!$B$6)</f>
        <v/>
      </c>
      <c r="E641" s="26">
        <f>D641*(1+Assumptions!$B$113+Forecast!$B$6)</f>
        <v/>
      </c>
      <c r="F641" s="26">
        <f>E641*(1+Assumptions!$B$114+Forecast!$B$6)</f>
        <v/>
      </c>
      <c r="G641" s="26">
        <f>F641*(1+Assumptions!$B$115+Forecast!$B$6)</f>
        <v/>
      </c>
    </row>
    <row r="642">
      <c r="A642" s="9" t="inlineStr">
        <is>
          <t xml:space="preserve">  Volume — Gas oil, mn t</t>
        </is>
      </c>
      <c r="C642" s="26">
        <f>'Product and Cost'!E8*(1+Assumptions!$B$116+Forecast!$B$6)</f>
        <v/>
      </c>
      <c r="D642" s="26">
        <f>C642*(1+Assumptions!$B$117+Forecast!$B$6)</f>
        <v/>
      </c>
      <c r="E642" s="26">
        <f>D642*(1+Assumptions!$B$118+Forecast!$B$6)</f>
        <v/>
      </c>
      <c r="F642" s="26">
        <f>E642*(1+Assumptions!$B$119+Forecast!$B$6)</f>
        <v/>
      </c>
      <c r="G642" s="26">
        <f>F642*(1+Assumptions!$B$120+Forecast!$B$6)</f>
        <v/>
      </c>
    </row>
    <row r="643">
      <c r="A643" s="9" t="inlineStr">
        <is>
          <t xml:space="preserve">  Volume — Naphtha, mn t</t>
        </is>
      </c>
      <c r="C643" s="26">
        <f>'Product and Cost'!E9*(1+Assumptions!$B$121+Forecast!$B$6)</f>
        <v/>
      </c>
      <c r="D643" s="26">
        <f>C643*(1+Assumptions!$B$122+Forecast!$B$6)</f>
        <v/>
      </c>
      <c r="E643" s="26">
        <f>D643*(1+Assumptions!$B$123+Forecast!$B$6)</f>
        <v/>
      </c>
      <c r="F643" s="26">
        <f>E643*(1+Assumptions!$B$124+Forecast!$B$6)</f>
        <v/>
      </c>
      <c r="G643" s="26">
        <f>F643*(1+Assumptions!$B$125+Forecast!$B$6)</f>
        <v/>
      </c>
    </row>
    <row r="644">
      <c r="A644" s="9" t="inlineStr">
        <is>
          <t xml:space="preserve">  Volume — Liquefied petroleum gas, mn t</t>
        </is>
      </c>
      <c r="C644" s="26">
        <f>'Product and Cost'!E10*(1+Assumptions!$B$126+Forecast!$B$6)</f>
        <v/>
      </c>
      <c r="D644" s="26">
        <f>C644*(1+Assumptions!$B$127+Forecast!$B$6)</f>
        <v/>
      </c>
      <c r="E644" s="26">
        <f>D644*(1+Assumptions!$B$128+Forecast!$B$6)</f>
        <v/>
      </c>
      <c r="F644" s="26">
        <f>E644*(1+Assumptions!$B$129+Forecast!$B$6)</f>
        <v/>
      </c>
      <c r="G644" s="26">
        <f>F644*(1+Assumptions!$B$130+Forecast!$B$6)</f>
        <v/>
      </c>
    </row>
    <row r="645">
      <c r="A645" s="9" t="inlineStr">
        <is>
          <t xml:space="preserve">  Volume — Fuel oil (mix), mn t</t>
        </is>
      </c>
      <c r="C645" s="26">
        <f>'Product and Cost'!E11*(1+Assumptions!$B$131+Forecast!$B$6)</f>
        <v/>
      </c>
      <c r="D645" s="26">
        <f>C645*(1+Assumptions!$B$132+Forecast!$B$6)</f>
        <v/>
      </c>
      <c r="E645" s="26">
        <f>D645*(1+Assumptions!$B$133+Forecast!$B$6)</f>
        <v/>
      </c>
      <c r="F645" s="26">
        <f>E645*(1+Assumptions!$B$134+Forecast!$B$6)</f>
        <v/>
      </c>
      <c r="G645" s="26">
        <f>F645*(1+Assumptions!$B$135+Forecast!$B$6)</f>
        <v/>
      </c>
    </row>
    <row r="646">
      <c r="A646" s="9" t="inlineStr">
        <is>
          <t xml:space="preserve">  Volume — Heavy fuel oil, mn t</t>
        </is>
      </c>
      <c r="C646" s="26">
        <f>'Product and Cost'!E12*(1+Assumptions!$B$136+Forecast!$B$6)</f>
        <v/>
      </c>
      <c r="D646" s="26">
        <f>C646*(1+Assumptions!$B$137+Forecast!$B$6)</f>
        <v/>
      </c>
      <c r="E646" s="26">
        <f>D646*(1+Assumptions!$B$138+Forecast!$B$6)</f>
        <v/>
      </c>
      <c r="F646" s="26">
        <f>E646*(1+Assumptions!$B$139+Forecast!$B$6)</f>
        <v/>
      </c>
      <c r="G646" s="26">
        <f>F646*(1+Assumptions!$B$140+Forecast!$B$6)</f>
        <v/>
      </c>
    </row>
    <row r="647">
      <c r="A647" s="9" t="inlineStr">
        <is>
          <t xml:space="preserve">  Volume — Waste, mn t</t>
        </is>
      </c>
      <c r="C647" s="26">
        <f>'Product and Cost'!E13*(1+Assumptions!$B$141+Forecast!$B$6)</f>
        <v/>
      </c>
      <c r="D647" s="26">
        <f>C647*(1+Assumptions!$B$142+Forecast!$B$6)</f>
        <v/>
      </c>
      <c r="E647" s="26">
        <f>D647*(1+Assumptions!$B$143+Forecast!$B$6)</f>
        <v/>
      </c>
      <c r="F647" s="26">
        <f>E647*(1+Assumptions!$B$144+Forecast!$B$6)</f>
        <v/>
      </c>
      <c r="G647" s="26">
        <f>F647*(1+Assumptions!$B$145+Forecast!$B$6)</f>
        <v/>
      </c>
    </row>
    <row r="648">
      <c r="A648" s="17" t="inlineStr">
        <is>
          <t>Total volume, mn t</t>
        </is>
      </c>
      <c r="C648" s="28">
        <f>SUM(C640:C647)</f>
        <v/>
      </c>
      <c r="D648" s="28">
        <f>SUM(D640:D647)</f>
        <v/>
      </c>
      <c r="E648" s="28">
        <f>SUM(E640:E647)</f>
        <v/>
      </c>
      <c r="F648" s="28">
        <f>SUM(F640:F647)</f>
        <v/>
      </c>
      <c r="G648" s="28">
        <f>SUM(G640:G647)</f>
        <v/>
      </c>
    </row>
    <row r="649">
      <c r="A649" s="17" t="inlineStr">
        <is>
          <t>REVENUE</t>
        </is>
      </c>
      <c r="C649" s="20">
        <f>C640*'Product and Cost'!$F$6*C639+C641*'Product and Cost'!$F$7*C639+C642*'Product and Cost'!$F$8*C639+C643*'Product and Cost'!$F$9*C639+C644*'Product and Cost'!$F$10*C639+C645*'Product and Cost'!$F$11*C639+C646*'Product and Cost'!$F$12*C639+C647*'Product and Cost'!$F$13*C639</f>
        <v/>
      </c>
      <c r="D649" s="20">
        <f>D640*'Product and Cost'!$F$6*D639+D641*'Product and Cost'!$F$7*D639+D642*'Product and Cost'!$F$8*D639+D643*'Product and Cost'!$F$9*D639+D644*'Product and Cost'!$F$10*D639+D645*'Product and Cost'!$F$11*D639+D646*'Product and Cost'!$F$12*D639+D647*'Product and Cost'!$F$13*D639</f>
        <v/>
      </c>
      <c r="E649" s="20">
        <f>E640*'Product and Cost'!$F$6*E639+E641*'Product and Cost'!$F$7*E639+E642*'Product and Cost'!$F$8*E639+E643*'Product and Cost'!$F$9*E639+E644*'Product and Cost'!$F$10*E639+E645*'Product and Cost'!$F$11*E639+E646*'Product and Cost'!$F$12*E639+E647*'Product and Cost'!$F$13*E639</f>
        <v/>
      </c>
      <c r="F649" s="20">
        <f>F640*'Product and Cost'!$F$6*F639+F641*'Product and Cost'!$F$7*F639+F642*'Product and Cost'!$F$8*F639+F643*'Product and Cost'!$F$9*F639+F644*'Product and Cost'!$F$10*F639+F645*'Product and Cost'!$F$11*F639+F646*'Product and Cost'!$F$12*F639+F647*'Product and Cost'!$F$13*F639</f>
        <v/>
      </c>
      <c r="G649" s="20">
        <f>G640*'Product and Cost'!$F$6*G639+G641*'Product and Cost'!$F$7*G639+G642*'Product and Cost'!$F$8*G639+G643*'Product and Cost'!$F$9*G639+G644*'Product and Cost'!$F$10*G639+G645*'Product and Cost'!$F$11*G639+G646*'Product and Cost'!$F$12*G639+G647*'Product and Cost'!$F$13*G639</f>
        <v/>
      </c>
    </row>
    <row r="650">
      <c r="A650" s="9" t="inlineStr">
        <is>
          <t>Cost of sales</t>
        </is>
      </c>
      <c r="C650" s="18">
        <f>C640*('Product and Cost'!$D$27*C639*Assumptions!$B$88+'Product and Cost'!$B$27*(0.4863620081*C638+0.4455809638*C638+0.0356254898*C639+0.0324315384))+C641*('Product and Cost'!$D$28*C639*Assumptions!$B$88+'Product and Cost'!$B$28*(0.4863620081*C638+0.4455809638*C638+0.0356254898*C639+0.0324315384))+C642*('Product and Cost'!$D$29*C639*Assumptions!$B$88+'Product and Cost'!$B$29*(0.4863620081*C638+0.4455809638*C638+0.0356254898*C639+0.0324315384))+C643*('Product and Cost'!$D$30*C639*Assumptions!$B$88+'Product and Cost'!$B$30*(0.4863620081*C638+0.4455809638*C638+0.0356254898*C639+0.0324315384))+C644*('Product and Cost'!$D$31*C639*Assumptions!$B$88+'Product and Cost'!$B$31*(0.4863620081*C638+0.4455809638*C638+0.0356254898*C639+0.0324315384))+C645*('Product and Cost'!$D$32*C639*Assumptions!$B$88+'Product and Cost'!$B$32*(0.4863620081*C638+0.4455809638*C638+0.0356254898*C639+0.0324315384))+C646*('Product and Cost'!$D$33*C639*Assumptions!$B$88+'Product and Cost'!$B$33*(0.4863620081*C638+0.4455809638*C638+0.0356254898*C639+0.0324315384))+C647*('Product and Cost'!$D$34*C639*Assumptions!$B$88+'Product and Cost'!$B$34*(0.4863620081*C638+0.4455809638*C638+0.0356254898*C639+0.0324315384))</f>
        <v/>
      </c>
      <c r="D650" s="18">
        <f>D640*('Product and Cost'!$D$27*D639*Assumptions!$B$88+'Product and Cost'!$B$27*(0.4863620081*D638+0.4455809638*D638+0.0356254898*D639+0.0324315384))+D641*('Product and Cost'!$D$28*D639*Assumptions!$B$88+'Product and Cost'!$B$28*(0.4863620081*D638+0.4455809638*D638+0.0356254898*D639+0.0324315384))+D642*('Product and Cost'!$D$29*D639*Assumptions!$B$88+'Product and Cost'!$B$29*(0.4863620081*D638+0.4455809638*D638+0.0356254898*D639+0.0324315384))+D643*('Product and Cost'!$D$30*D639*Assumptions!$B$88+'Product and Cost'!$B$30*(0.4863620081*D638+0.4455809638*D638+0.0356254898*D639+0.0324315384))+D644*('Product and Cost'!$D$31*D639*Assumptions!$B$88+'Product and Cost'!$B$31*(0.4863620081*D638+0.4455809638*D638+0.0356254898*D639+0.0324315384))+D645*('Product and Cost'!$D$32*D639*Assumptions!$B$88+'Product and Cost'!$B$32*(0.4863620081*D638+0.4455809638*D638+0.0356254898*D639+0.0324315384))+D646*('Product and Cost'!$D$33*D639*Assumptions!$B$88+'Product and Cost'!$B$33*(0.4863620081*D638+0.4455809638*D638+0.0356254898*D639+0.0324315384))+D647*('Product and Cost'!$D$34*D639*Assumptions!$B$88+'Product and Cost'!$B$34*(0.4863620081*D638+0.4455809638*D638+0.0356254898*D639+0.0324315384))</f>
        <v/>
      </c>
      <c r="E650" s="18">
        <f>E640*('Product and Cost'!$D$27*E639*Assumptions!$B$88+'Product and Cost'!$B$27*(0.4863620081*E638+0.4455809638*E638+0.0356254898*E639+0.0324315384))+E641*('Product and Cost'!$D$28*E639*Assumptions!$B$88+'Product and Cost'!$B$28*(0.4863620081*E638+0.4455809638*E638+0.0356254898*E639+0.0324315384))+E642*('Product and Cost'!$D$29*E639*Assumptions!$B$88+'Product and Cost'!$B$29*(0.4863620081*E638+0.4455809638*E638+0.0356254898*E639+0.0324315384))+E643*('Product and Cost'!$D$30*E639*Assumptions!$B$88+'Product and Cost'!$B$30*(0.4863620081*E638+0.4455809638*E638+0.0356254898*E639+0.0324315384))+E644*('Product and Cost'!$D$31*E639*Assumptions!$B$88+'Product and Cost'!$B$31*(0.4863620081*E638+0.4455809638*E638+0.0356254898*E639+0.0324315384))+E645*('Product and Cost'!$D$32*E639*Assumptions!$B$88+'Product and Cost'!$B$32*(0.4863620081*E638+0.4455809638*E638+0.0356254898*E639+0.0324315384))+E646*('Product and Cost'!$D$33*E639*Assumptions!$B$88+'Product and Cost'!$B$33*(0.4863620081*E638+0.4455809638*E638+0.0356254898*E639+0.0324315384))+E647*('Product and Cost'!$D$34*E639*Assumptions!$B$88+'Product and Cost'!$B$34*(0.4863620081*E638+0.4455809638*E638+0.0356254898*E639+0.0324315384))</f>
        <v/>
      </c>
      <c r="F650" s="18">
        <f>F640*('Product and Cost'!$D$27*F639*Assumptions!$B$88+'Product and Cost'!$B$27*(0.4863620081*F638+0.4455809638*F638+0.0356254898*F639+0.0324315384))+F641*('Product and Cost'!$D$28*F639*Assumptions!$B$88+'Product and Cost'!$B$28*(0.4863620081*F638+0.4455809638*F638+0.0356254898*F639+0.0324315384))+F642*('Product and Cost'!$D$29*F639*Assumptions!$B$88+'Product and Cost'!$B$29*(0.4863620081*F638+0.4455809638*F638+0.0356254898*F639+0.0324315384))+F643*('Product and Cost'!$D$30*F639*Assumptions!$B$88+'Product and Cost'!$B$30*(0.4863620081*F638+0.4455809638*F638+0.0356254898*F639+0.0324315384))+F644*('Product and Cost'!$D$31*F639*Assumptions!$B$88+'Product and Cost'!$B$31*(0.4863620081*F638+0.4455809638*F638+0.0356254898*F639+0.0324315384))+F645*('Product and Cost'!$D$32*F639*Assumptions!$B$88+'Product and Cost'!$B$32*(0.4863620081*F638+0.4455809638*F638+0.0356254898*F639+0.0324315384))+F646*('Product and Cost'!$D$33*F639*Assumptions!$B$88+'Product and Cost'!$B$33*(0.4863620081*F638+0.4455809638*F638+0.0356254898*F639+0.0324315384))+F647*('Product and Cost'!$D$34*F639*Assumptions!$B$88+'Product and Cost'!$B$34*(0.4863620081*F638+0.4455809638*F638+0.0356254898*F639+0.0324315384))</f>
        <v/>
      </c>
      <c r="G650" s="18">
        <f>G640*('Product and Cost'!$D$27*G639*Assumptions!$B$88+'Product and Cost'!$B$27*(0.4863620081*G638+0.4455809638*G638+0.0356254898*G639+0.0324315384))+G641*('Product and Cost'!$D$28*G639*Assumptions!$B$88+'Product and Cost'!$B$28*(0.4863620081*G638+0.4455809638*G638+0.0356254898*G639+0.0324315384))+G642*('Product and Cost'!$D$29*G639*Assumptions!$B$88+'Product and Cost'!$B$29*(0.4863620081*G638+0.4455809638*G638+0.0356254898*G639+0.0324315384))+G643*('Product and Cost'!$D$30*G639*Assumptions!$B$88+'Product and Cost'!$B$30*(0.4863620081*G638+0.4455809638*G638+0.0356254898*G639+0.0324315384))+G644*('Product and Cost'!$D$31*G639*Assumptions!$B$88+'Product and Cost'!$B$31*(0.4863620081*G638+0.4455809638*G638+0.0356254898*G639+0.0324315384))+G645*('Product and Cost'!$D$32*G639*Assumptions!$B$88+'Product and Cost'!$B$32*(0.4863620081*G638+0.4455809638*G638+0.0356254898*G639+0.0324315384))+G646*('Product and Cost'!$D$33*G639*Assumptions!$B$88+'Product and Cost'!$B$33*(0.4863620081*G638+0.4455809638*G638+0.0356254898*G639+0.0324315384))+G647*('Product and Cost'!$D$34*G639*Assumptions!$B$88+'Product and Cost'!$B$34*(0.4863620081*G638+0.4455809638*G638+0.0356254898*G639+0.0324315384))</f>
        <v/>
      </c>
    </row>
    <row r="651">
      <c r="A651" s="17" t="inlineStr">
        <is>
          <t>GROSS PROFIT</t>
        </is>
      </c>
      <c r="C651" s="20">
        <f>C649-C650+Forecast!$B$7*C649</f>
        <v/>
      </c>
      <c r="D651" s="20">
        <f>D649-D650+Forecast!$B$7*D649</f>
        <v/>
      </c>
      <c r="E651" s="20">
        <f>E649-E650+Forecast!$B$7*E649</f>
        <v/>
      </c>
      <c r="F651" s="20">
        <f>F649-F650+Forecast!$B$7*F649</f>
        <v/>
      </c>
      <c r="G651" s="20">
        <f>G649-G650+Forecast!$B$7*G649</f>
        <v/>
      </c>
    </row>
    <row r="652">
      <c r="A652" s="9" t="inlineStr">
        <is>
          <t>Gross margin</t>
        </is>
      </c>
      <c r="C652" s="19">
        <f>C651/C649</f>
        <v/>
      </c>
      <c r="D652" s="19">
        <f>D651/D649</f>
        <v/>
      </c>
      <c r="E652" s="19">
        <f>E651/E649</f>
        <v/>
      </c>
      <c r="F652" s="19">
        <f>F651/F649</f>
        <v/>
      </c>
      <c r="G652" s="19">
        <f>G651/G649</f>
        <v/>
      </c>
    </row>
    <row r="653">
      <c r="A653" s="9" t="inlineStr">
        <is>
          <t>Operating expense</t>
        </is>
      </c>
      <c r="C653" s="18">
        <f>('Base Year'!$B$28*C638)+('Base Year'!$B$29*C638*C648/'Product and Cost'!$E$14)+('Base Year'!$B$30*C638)+('Base Year'!$B$31*C638)</f>
        <v/>
      </c>
      <c r="D653" s="18">
        <f>('Base Year'!$B$28*D638)+('Base Year'!$B$29*D638*D648/'Product and Cost'!$E$14)+('Base Year'!$B$30*D638)+('Base Year'!$B$31*D638)</f>
        <v/>
      </c>
      <c r="E653" s="18">
        <f>('Base Year'!$B$28*E638)+('Base Year'!$B$29*E638*E648/'Product and Cost'!$E$14)+('Base Year'!$B$30*E638)+('Base Year'!$B$31*E638)</f>
        <v/>
      </c>
      <c r="F653" s="18">
        <f>('Base Year'!$B$28*F638)+('Base Year'!$B$29*F638*F648/'Product and Cost'!$E$14)+('Base Year'!$B$30*F638)+('Base Year'!$B$31*F638)</f>
        <v/>
      </c>
      <c r="G653" s="18">
        <f>('Base Year'!$B$28*G638)+('Base Year'!$B$29*G638*G648/'Product and Cost'!$E$14)+('Base Year'!$B$30*G638)+('Base Year'!$B$31*G638)</f>
        <v/>
      </c>
    </row>
    <row r="654">
      <c r="A654" s="17" t="inlineStr">
        <is>
          <t>EBITDA</t>
        </is>
      </c>
      <c r="C654" s="20">
        <f>C651-C653</f>
        <v/>
      </c>
      <c r="D654" s="20">
        <f>D651-D653</f>
        <v/>
      </c>
      <c r="E654" s="20">
        <f>E651-E653</f>
        <v/>
      </c>
      <c r="F654" s="20">
        <f>F651-F653</f>
        <v/>
      </c>
      <c r="G654" s="20">
        <f>G651-G653</f>
        <v/>
      </c>
    </row>
    <row r="655">
      <c r="A655" s="9" t="inlineStr">
        <is>
          <t>Capital expenditure — maintenance + growth</t>
        </is>
      </c>
      <c r="C655" s="18">
        <f>'Base Year'!$B$43*C638+MAX(C648-'Product and Cost'!$E$14,0)*1947.901031*C638</f>
        <v/>
      </c>
      <c r="D655" s="18">
        <f>'Base Year'!$B$43*D638+MAX(D648-C648,0)*1947.901031*D638</f>
        <v/>
      </c>
      <c r="E655" s="18">
        <f>'Base Year'!$B$43*E638+MAX(E648-D648,0)*1947.901031*E638</f>
        <v/>
      </c>
      <c r="F655" s="18">
        <f>'Base Year'!$B$43*F638+MAX(F648-E648,0)*1947.901031*F638</f>
        <v/>
      </c>
      <c r="G655" s="18">
        <f>'Base Year'!$B$43*G638+MAX(G648-F648,0)*1947.901031*G638</f>
        <v/>
      </c>
    </row>
    <row r="656">
      <c r="A656" s="9" t="inlineStr">
        <is>
          <t>Fixed assets at cost, closing</t>
        </is>
      </c>
      <c r="C656" s="18">
        <f>(Assumptions!$B$70+Assumptions!$B$71)/10^6+C655</f>
        <v/>
      </c>
      <c r="D656" s="18">
        <f>C656+D655</f>
        <v/>
      </c>
      <c r="E656" s="18">
        <f>D656+E655</f>
        <v/>
      </c>
      <c r="F656" s="18">
        <f>E656+F655</f>
        <v/>
      </c>
      <c r="G656" s="18">
        <f>F656+G655</f>
        <v/>
      </c>
    </row>
    <row r="657">
      <c r="A657" s="9" t="inlineStr">
        <is>
          <t>Depreciation — rolls off the asset register</t>
        </is>
      </c>
      <c r="C657" s="18">
        <f>(Assumptions!$B$70+Assumptions!$B$71)/10^6/'Base Year'!$B$42</f>
        <v/>
      </c>
      <c r="D657" s="18">
        <f>C656/'Base Year'!$B$42</f>
        <v/>
      </c>
      <c r="E657" s="18">
        <f>D656/'Base Year'!$B$42</f>
        <v/>
      </c>
      <c r="F657" s="18">
        <f>E656/'Base Year'!$B$42</f>
        <v/>
      </c>
      <c r="G657" s="18">
        <f>F656/'Base Year'!$B$42</f>
        <v/>
      </c>
    </row>
    <row r="658">
      <c r="A658" s="9" t="inlineStr">
        <is>
          <t>Fixed assets, net book, closing</t>
        </is>
      </c>
      <c r="C658" s="18">
        <f>(Assumptions!$B$69+Assumptions!$B$71)/10^6+C655-C657</f>
        <v/>
      </c>
      <c r="D658" s="18">
        <f>C658+D655-D657</f>
        <v/>
      </c>
      <c r="E658" s="18">
        <f>D658+E655-E657</f>
        <v/>
      </c>
      <c r="F658" s="18">
        <f>E658+F655-F657</f>
        <v/>
      </c>
      <c r="G658" s="18">
        <f>F658+G655-G657</f>
        <v/>
      </c>
    </row>
    <row r="659">
      <c r="A659" s="17" t="inlineStr">
        <is>
          <t>EBIT</t>
        </is>
      </c>
      <c r="C659" s="20">
        <f>C654-C657</f>
        <v/>
      </c>
      <c r="D659" s="20">
        <f>D654-D657</f>
        <v/>
      </c>
      <c r="E659" s="20">
        <f>E654-E657</f>
        <v/>
      </c>
      <c r="F659" s="20">
        <f>F654-F657</f>
        <v/>
      </c>
      <c r="G659" s="20">
        <f>G654-G657</f>
        <v/>
      </c>
    </row>
    <row r="660">
      <c r="A660" s="9" t="inlineStr">
        <is>
          <t>NOPAT before the profit share</t>
        </is>
      </c>
      <c r="C660" s="18">
        <f>C659*(1-Assumptions!$B$87)</f>
        <v/>
      </c>
      <c r="D660" s="18">
        <f>D659*(1-Assumptions!$B$87)</f>
        <v/>
      </c>
      <c r="E660" s="18">
        <f>E659*(1-Assumptions!$B$87)</f>
        <v/>
      </c>
      <c r="F660" s="18">
        <f>F659*(1-Assumptions!$B$87)</f>
        <v/>
      </c>
      <c r="G660" s="18">
        <f>G659*(1-Assumptions!$B$87)</f>
        <v/>
      </c>
    </row>
    <row r="661">
      <c r="A661" s="9" t="inlineStr">
        <is>
          <t xml:space="preserve">  less employees' profit share and board bonuses</t>
        </is>
      </c>
      <c r="C661" s="18">
        <f>MAX(C660,0)*'Base Year'!$B$40</f>
        <v/>
      </c>
      <c r="D661" s="18">
        <f>MAX(D660,0)*'Base Year'!$B$40</f>
        <v/>
      </c>
      <c r="E661" s="18">
        <f>MAX(E660,0)*'Base Year'!$B$40</f>
        <v/>
      </c>
      <c r="F661" s="18">
        <f>MAX(F660,0)*'Base Year'!$B$40</f>
        <v/>
      </c>
      <c r="G661" s="18">
        <f>MAX(G660,0)*'Base Year'!$B$40</f>
        <v/>
      </c>
    </row>
    <row r="662">
      <c r="A662" s="17" t="inlineStr">
        <is>
          <t>NOPAT</t>
        </is>
      </c>
      <c r="C662" s="20">
        <f>C660-C661</f>
        <v/>
      </c>
      <c r="D662" s="20">
        <f>D660-D661</f>
        <v/>
      </c>
      <c r="E662" s="20">
        <f>E660-E661</f>
        <v/>
      </c>
      <c r="F662" s="20">
        <f>F660-F661</f>
        <v/>
      </c>
      <c r="G662" s="20">
        <f>G660-G661</f>
        <v/>
      </c>
    </row>
    <row r="663">
      <c r="A663" s="9" t="inlineStr">
        <is>
          <t>Net working capital — on days</t>
        </is>
      </c>
      <c r="C663" s="18">
        <f>'Base Year'!$B$44*Forecast!$B$9/365*C650+'Base Year'!$B$45*Forecast!$B$9/365*C649-'Base Year'!$B$46*Forecast!$B$9/365*C650</f>
        <v/>
      </c>
      <c r="D663" s="18">
        <f>'Base Year'!$B$44*Forecast!$B$9/365*D650+'Base Year'!$B$45*Forecast!$B$9/365*D649-'Base Year'!$B$46*Forecast!$B$9/365*D650</f>
        <v/>
      </c>
      <c r="E663" s="18">
        <f>'Base Year'!$B$44*Forecast!$B$9/365*E650+'Base Year'!$B$45*Forecast!$B$9/365*E649-'Base Year'!$B$46*Forecast!$B$9/365*E650</f>
        <v/>
      </c>
      <c r="F663" s="18">
        <f>'Base Year'!$B$44*Forecast!$B$9/365*F650+'Base Year'!$B$45*Forecast!$B$9/365*F649-'Base Year'!$B$46*Forecast!$B$9/365*F650</f>
        <v/>
      </c>
      <c r="G663" s="18">
        <f>'Base Year'!$B$44*Forecast!$B$9/365*G650+'Base Year'!$B$45*Forecast!$B$9/365*G649-'Base Year'!$B$46*Forecast!$B$9/365*G650</f>
        <v/>
      </c>
    </row>
    <row r="664">
      <c r="A664" s="9" t="inlineStr">
        <is>
          <t xml:space="preserve">  change in working capital</t>
        </is>
      </c>
      <c r="C664" s="18">
        <f>C663-('Base Year'!$B$44/365*'Base Year'!$B$21+'Base Year'!$B$45/365*'Base Year'!$B$19-'Base Year'!$B$46/365*'Base Year'!$B$21)</f>
        <v/>
      </c>
      <c r="D664" s="18">
        <f>D663-C663</f>
        <v/>
      </c>
      <c r="E664" s="18">
        <f>E663-D663</f>
        <v/>
      </c>
      <c r="F664" s="18">
        <f>F663-E663</f>
        <v/>
      </c>
      <c r="G664" s="18">
        <f>G663-F663</f>
        <v/>
      </c>
    </row>
    <row r="665">
      <c r="A665" s="17" t="inlineStr">
        <is>
          <t>FREE CASH FLOW TO THE FIRM</t>
        </is>
      </c>
      <c r="C665" s="20">
        <f>C662+C657-C655-C664</f>
        <v/>
      </c>
      <c r="D665" s="20">
        <f>D662+D657-D655-D664</f>
        <v/>
      </c>
      <c r="E665" s="20">
        <f>E662+E657-E655-E664</f>
        <v/>
      </c>
      <c r="F665" s="20">
        <f>F662+F657-F655-F664</f>
        <v/>
      </c>
      <c r="G665" s="20">
        <f>G662+G657-G655-G664</f>
        <v/>
      </c>
    </row>
    <row r="666">
      <c r="A666" s="9" t="inlineStr">
        <is>
          <t>Glide fraction</t>
        </is>
      </c>
      <c r="C666" s="26">
        <f>0.0000000000</f>
        <v/>
      </c>
      <c r="D666" s="26">
        <f>0.3571428571</f>
        <v/>
      </c>
      <c r="E666" s="26">
        <f>0.6428571429</f>
        <v/>
      </c>
      <c r="F666" s="26">
        <f>0.8571428571</f>
        <v/>
      </c>
      <c r="G666" s="26">
        <f>1.0000000000</f>
        <v/>
      </c>
    </row>
    <row r="667">
      <c r="A667" s="9" t="inlineStr">
        <is>
          <t>Forward cost of capital</t>
        </is>
      </c>
      <c r="C667" s="19">
        <f>Forecast!$B$14-(Forecast!$B$14-Forecast!$B$17)*C666</f>
        <v/>
      </c>
      <c r="D667" s="19">
        <f>Forecast!$B$14-(Forecast!$B$14-Forecast!$B$17)*D666</f>
        <v/>
      </c>
      <c r="E667" s="19">
        <f>Forecast!$B$14-(Forecast!$B$14-Forecast!$B$17)*E666</f>
        <v/>
      </c>
      <c r="F667" s="19">
        <f>Forecast!$B$14-(Forecast!$B$14-Forecast!$B$17)*F666</f>
        <v/>
      </c>
      <c r="G667" s="19">
        <f>Forecast!$B$14-(Forecast!$B$14-Forecast!$B$17)*G666</f>
        <v/>
      </c>
    </row>
    <row r="668">
      <c r="A668" s="9" t="inlineStr">
        <is>
          <t>Cumulative discount factor</t>
        </is>
      </c>
      <c r="C668" s="29">
        <f>1/(1+C667)</f>
        <v/>
      </c>
      <c r="D668" s="29">
        <f>C668/(1+D667)</f>
        <v/>
      </c>
      <c r="E668" s="29">
        <f>D668/(1+E667)</f>
        <v/>
      </c>
      <c r="F668" s="29">
        <f>E668/(1+F667)</f>
        <v/>
      </c>
      <c r="G668" s="29">
        <f>F668/(1+G667)</f>
        <v/>
      </c>
    </row>
    <row r="669">
      <c r="A669" s="9" t="inlineStr">
        <is>
          <t>Present value</t>
        </is>
      </c>
      <c r="C669" s="18">
        <f>C665*C668</f>
        <v/>
      </c>
      <c r="D669" s="18">
        <f>D665*D668</f>
        <v/>
      </c>
      <c r="E669" s="18">
        <f>E665*E668</f>
        <v/>
      </c>
      <c r="F669" s="18">
        <f>F665*F668</f>
        <v/>
      </c>
      <c r="G669" s="18">
        <f>G665*G668</f>
        <v/>
      </c>
    </row>
    <row r="670">
      <c r="A670" s="17" t="inlineStr">
        <is>
          <t>PV of the explicit window</t>
        </is>
      </c>
      <c r="B670" s="20">
        <f>SUM(C669:G669)</f>
        <v/>
      </c>
      <c r="C670" s="18">
        <f>C663+C656</f>
        <v/>
      </c>
      <c r="D670" s="18">
        <f>D663+D656</f>
        <v/>
      </c>
      <c r="E670" s="18">
        <f>E663+E656</f>
        <v/>
      </c>
      <c r="F670" s="18">
        <f>F663+F656</f>
        <v/>
      </c>
      <c r="G670" s="18">
        <f>G663+G656</f>
        <v/>
      </c>
    </row>
    <row r="671">
      <c r="A671" s="9" t="inlineStr">
        <is>
          <t>Terminal return on invested capital, at REPLACEMENT cost</t>
        </is>
      </c>
      <c r="B671" s="19">
        <f>G662*(1+Assumptions!$B$89)/G670</f>
        <v/>
      </c>
    </row>
    <row r="672">
      <c r="A672" s="9" t="inlineStr">
        <is>
          <t>Required reinvestment = growth / return</t>
        </is>
      </c>
      <c r="B672" s="19">
        <f>MIN(Assumptions!$B$89/B671,0.95)</f>
        <v/>
      </c>
    </row>
    <row r="673">
      <c r="A673" s="9" t="inlineStr">
        <is>
          <t>Terminal value</t>
        </is>
      </c>
      <c r="B673" s="18">
        <f>G662*(1+Assumptions!$B$89)*(1-B672)/MAX(Forecast!$B$17-Assumptions!$B$89,0.02)</f>
        <v/>
      </c>
    </row>
    <row r="674">
      <c r="A674" s="9" t="inlineStr">
        <is>
          <t>PV of the terminal block</t>
        </is>
      </c>
      <c r="B674" s="18">
        <f>B673*G668</f>
        <v/>
      </c>
    </row>
    <row r="675">
      <c r="A675" s="17" t="inlineStr">
        <is>
          <t>ENTERPRISE VALUE</t>
        </is>
      </c>
      <c r="B675" s="20">
        <f>B670+B674</f>
        <v/>
      </c>
    </row>
    <row r="676">
      <c r="A676" s="9" t="inlineStr">
        <is>
          <t>plus net cash</t>
        </is>
      </c>
      <c r="B676" s="18">
        <f>(Assumptions!$B$79-Assumptions!$B$82-Assumptions!$B$83)/10^6</f>
        <v/>
      </c>
    </row>
    <row r="677">
      <c r="A677" s="9" t="inlineStr">
        <is>
          <t>Enterprise value including cash</t>
        </is>
      </c>
      <c r="B677" s="18">
        <f>B675+B676</f>
        <v/>
      </c>
    </row>
    <row r="678">
      <c r="A678" s="9" t="inlineStr">
        <is>
          <t>less minority — on the WHOLE enterprise, cash included</t>
        </is>
      </c>
      <c r="B678" s="18">
        <f>B677*'Base Year'!$B$41</f>
        <v/>
      </c>
    </row>
    <row r="679">
      <c r="A679" s="9" t="inlineStr">
        <is>
          <t>less the tax-disputes provision</t>
        </is>
      </c>
      <c r="B679" s="18">
        <f>Assumptions!$B$78/10^6</f>
        <v/>
      </c>
    </row>
    <row r="680">
      <c r="A680" s="9" t="inlineStr">
        <is>
          <t>less dividends payable — declared, out of working capital</t>
        </is>
      </c>
      <c r="B680" s="18">
        <f>Assumptions!$B$77/10^6</f>
        <v/>
      </c>
    </row>
    <row r="681">
      <c r="A681" s="9" t="inlineStr">
        <is>
          <t>plus non-operating investments and pledged deposits</t>
        </is>
      </c>
      <c r="B681" s="18">
        <f>(Assumptions!$B$81+Assumptions!$B$80)/10^6</f>
        <v/>
      </c>
    </row>
    <row r="682">
      <c r="A682" s="17" t="inlineStr">
        <is>
          <t>EQUITY ATTRIBUTABLE</t>
        </is>
      </c>
      <c r="B682" s="20">
        <f>B677-B678-B679-B680+B681</f>
        <v/>
      </c>
    </row>
    <row r="683">
      <c r="A683" s="17" t="inlineStr">
        <is>
          <t>VALUE PER SHARE, EGP</t>
        </is>
      </c>
      <c r="B683" s="30">
        <f>B682/Assumptions!$B$8</f>
        <v/>
      </c>
    </row>
    <row r="686">
      <c r="A686" s="6" t="inlineStr">
        <is>
          <t>Realisation path, as a multiple of the assumed path — 1.05x</t>
        </is>
      </c>
      <c r="B686" s="6" t="inlineStr">
        <is>
          <t>2026E</t>
        </is>
      </c>
      <c r="C686" s="6" t="inlineStr">
        <is>
          <t>2027E</t>
        </is>
      </c>
      <c r="D686" s="6" t="inlineStr">
        <is>
          <t>2028E</t>
        </is>
      </c>
      <c r="E686" s="6" t="inlineStr">
        <is>
          <t>2029E</t>
        </is>
      </c>
      <c r="F686" s="6" t="inlineStr">
        <is>
          <t>2030E</t>
        </is>
      </c>
    </row>
    <row r="687">
      <c r="A687" s="9" t="inlineStr">
        <is>
          <t>Inflation index, cumulative</t>
        </is>
      </c>
      <c r="C687" s="26">
        <f>Assumptions!$B$146</f>
        <v/>
      </c>
      <c r="D687" s="26">
        <f>C687*Assumptions!$B$147</f>
        <v/>
      </c>
      <c r="E687" s="26">
        <f>D687*Assumptions!$B$148</f>
        <v/>
      </c>
      <c r="F687" s="26">
        <f>E687*Assumptions!$B$149</f>
        <v/>
      </c>
      <c r="G687" s="26">
        <f>F687*Assumptions!$B$150</f>
        <v/>
      </c>
    </row>
    <row r="688">
      <c r="A688" s="9" t="inlineStr">
        <is>
          <t>Realisation index, cumulative</t>
        </is>
      </c>
      <c r="C688" s="26">
        <f>(1+Assumptions!$B$101*$D$23)</f>
        <v/>
      </c>
      <c r="D688" s="26">
        <f>C688*(1+Assumptions!$B$102*$D$23)</f>
        <v/>
      </c>
      <c r="E688" s="26">
        <f>D688*(1+Assumptions!$B$103*$D$23)</f>
        <v/>
      </c>
      <c r="F688" s="26">
        <f>E688*(1+Assumptions!$B$104*$D$23)</f>
        <v/>
      </c>
      <c r="G688" s="26">
        <f>F688*(1+Assumptions!$B$105*$D$23)</f>
        <v/>
      </c>
    </row>
    <row r="689">
      <c r="A689" s="9" t="inlineStr">
        <is>
          <t xml:space="preserve">  Volume — Base and special oils, mn t</t>
        </is>
      </c>
      <c r="C689" s="26">
        <f>'Product and Cost'!E6*(1+Assumptions!$B$106+Forecast!$B$6)</f>
        <v/>
      </c>
      <c r="D689" s="26">
        <f>C689*(1+Assumptions!$B$107+Forecast!$B$6)</f>
        <v/>
      </c>
      <c r="E689" s="26">
        <f>D689*(1+Assumptions!$B$108+Forecast!$B$6)</f>
        <v/>
      </c>
      <c r="F689" s="26">
        <f>E689*(1+Assumptions!$B$109+Forecast!$B$6)</f>
        <v/>
      </c>
      <c r="G689" s="26">
        <f>F689*(1+Assumptions!$B$110+Forecast!$B$6)</f>
        <v/>
      </c>
    </row>
    <row r="690">
      <c r="A690" s="9" t="inlineStr">
        <is>
          <t xml:space="preserve">  Volume — Paraffin wax, mn t</t>
        </is>
      </c>
      <c r="C690" s="26">
        <f>'Product and Cost'!E7*(1+Assumptions!$B$111+Forecast!$B$6)</f>
        <v/>
      </c>
      <c r="D690" s="26">
        <f>C690*(1+Assumptions!$B$112+Forecast!$B$6)</f>
        <v/>
      </c>
      <c r="E690" s="26">
        <f>D690*(1+Assumptions!$B$113+Forecast!$B$6)</f>
        <v/>
      </c>
      <c r="F690" s="26">
        <f>E690*(1+Assumptions!$B$114+Forecast!$B$6)</f>
        <v/>
      </c>
      <c r="G690" s="26">
        <f>F690*(1+Assumptions!$B$115+Forecast!$B$6)</f>
        <v/>
      </c>
    </row>
    <row r="691">
      <c r="A691" s="9" t="inlineStr">
        <is>
          <t xml:space="preserve">  Volume — Gas oil, mn t</t>
        </is>
      </c>
      <c r="C691" s="26">
        <f>'Product and Cost'!E8*(1+Assumptions!$B$116+Forecast!$B$6)</f>
        <v/>
      </c>
      <c r="D691" s="26">
        <f>C691*(1+Assumptions!$B$117+Forecast!$B$6)</f>
        <v/>
      </c>
      <c r="E691" s="26">
        <f>D691*(1+Assumptions!$B$118+Forecast!$B$6)</f>
        <v/>
      </c>
      <c r="F691" s="26">
        <f>E691*(1+Assumptions!$B$119+Forecast!$B$6)</f>
        <v/>
      </c>
      <c r="G691" s="26">
        <f>F691*(1+Assumptions!$B$120+Forecast!$B$6)</f>
        <v/>
      </c>
    </row>
    <row r="692">
      <c r="A692" s="9" t="inlineStr">
        <is>
          <t xml:space="preserve">  Volume — Naphtha, mn t</t>
        </is>
      </c>
      <c r="C692" s="26">
        <f>'Product and Cost'!E9*(1+Assumptions!$B$121+Forecast!$B$6)</f>
        <v/>
      </c>
      <c r="D692" s="26">
        <f>C692*(1+Assumptions!$B$122+Forecast!$B$6)</f>
        <v/>
      </c>
      <c r="E692" s="26">
        <f>D692*(1+Assumptions!$B$123+Forecast!$B$6)</f>
        <v/>
      </c>
      <c r="F692" s="26">
        <f>E692*(1+Assumptions!$B$124+Forecast!$B$6)</f>
        <v/>
      </c>
      <c r="G692" s="26">
        <f>F692*(1+Assumptions!$B$125+Forecast!$B$6)</f>
        <v/>
      </c>
    </row>
    <row r="693">
      <c r="A693" s="9" t="inlineStr">
        <is>
          <t xml:space="preserve">  Volume — Liquefied petroleum gas, mn t</t>
        </is>
      </c>
      <c r="C693" s="26">
        <f>'Product and Cost'!E10*(1+Assumptions!$B$126+Forecast!$B$6)</f>
        <v/>
      </c>
      <c r="D693" s="26">
        <f>C693*(1+Assumptions!$B$127+Forecast!$B$6)</f>
        <v/>
      </c>
      <c r="E693" s="26">
        <f>D693*(1+Assumptions!$B$128+Forecast!$B$6)</f>
        <v/>
      </c>
      <c r="F693" s="26">
        <f>E693*(1+Assumptions!$B$129+Forecast!$B$6)</f>
        <v/>
      </c>
      <c r="G693" s="26">
        <f>F693*(1+Assumptions!$B$130+Forecast!$B$6)</f>
        <v/>
      </c>
    </row>
    <row r="694">
      <c r="A694" s="9" t="inlineStr">
        <is>
          <t xml:space="preserve">  Volume — Fuel oil (mix), mn t</t>
        </is>
      </c>
      <c r="C694" s="26">
        <f>'Product and Cost'!E11*(1+Assumptions!$B$131+Forecast!$B$6)</f>
        <v/>
      </c>
      <c r="D694" s="26">
        <f>C694*(1+Assumptions!$B$132+Forecast!$B$6)</f>
        <v/>
      </c>
      <c r="E694" s="26">
        <f>D694*(1+Assumptions!$B$133+Forecast!$B$6)</f>
        <v/>
      </c>
      <c r="F694" s="26">
        <f>E694*(1+Assumptions!$B$134+Forecast!$B$6)</f>
        <v/>
      </c>
      <c r="G694" s="26">
        <f>F694*(1+Assumptions!$B$135+Forecast!$B$6)</f>
        <v/>
      </c>
    </row>
    <row r="695">
      <c r="A695" s="9" t="inlineStr">
        <is>
          <t xml:space="preserve">  Volume — Heavy fuel oil, mn t</t>
        </is>
      </c>
      <c r="C695" s="26">
        <f>'Product and Cost'!E12*(1+Assumptions!$B$136+Forecast!$B$6)</f>
        <v/>
      </c>
      <c r="D695" s="26">
        <f>C695*(1+Assumptions!$B$137+Forecast!$B$6)</f>
        <v/>
      </c>
      <c r="E695" s="26">
        <f>D695*(1+Assumptions!$B$138+Forecast!$B$6)</f>
        <v/>
      </c>
      <c r="F695" s="26">
        <f>E695*(1+Assumptions!$B$139+Forecast!$B$6)</f>
        <v/>
      </c>
      <c r="G695" s="26">
        <f>F695*(1+Assumptions!$B$140+Forecast!$B$6)</f>
        <v/>
      </c>
    </row>
    <row r="696">
      <c r="A696" s="9" t="inlineStr">
        <is>
          <t xml:space="preserve">  Volume — Waste, mn t</t>
        </is>
      </c>
      <c r="C696" s="26">
        <f>'Product and Cost'!E13*(1+Assumptions!$B$141+Forecast!$B$6)</f>
        <v/>
      </c>
      <c r="D696" s="26">
        <f>C696*(1+Assumptions!$B$142+Forecast!$B$6)</f>
        <v/>
      </c>
      <c r="E696" s="26">
        <f>D696*(1+Assumptions!$B$143+Forecast!$B$6)</f>
        <v/>
      </c>
      <c r="F696" s="26">
        <f>E696*(1+Assumptions!$B$144+Forecast!$B$6)</f>
        <v/>
      </c>
      <c r="G696" s="26">
        <f>F696*(1+Assumptions!$B$145+Forecast!$B$6)</f>
        <v/>
      </c>
    </row>
    <row r="697">
      <c r="A697" s="17" t="inlineStr">
        <is>
          <t>Total volume, mn t</t>
        </is>
      </c>
      <c r="C697" s="28">
        <f>SUM(C689:C696)</f>
        <v/>
      </c>
      <c r="D697" s="28">
        <f>SUM(D689:D696)</f>
        <v/>
      </c>
      <c r="E697" s="28">
        <f>SUM(E689:E696)</f>
        <v/>
      </c>
      <c r="F697" s="28">
        <f>SUM(F689:F696)</f>
        <v/>
      </c>
      <c r="G697" s="28">
        <f>SUM(G689:G696)</f>
        <v/>
      </c>
    </row>
    <row r="698">
      <c r="A698" s="17" t="inlineStr">
        <is>
          <t>REVENUE</t>
        </is>
      </c>
      <c r="C698" s="20">
        <f>C689*'Product and Cost'!$F$6*C688+C690*'Product and Cost'!$F$7*C688+C691*'Product and Cost'!$F$8*C688+C692*'Product and Cost'!$F$9*C688+C693*'Product and Cost'!$F$10*C688+C694*'Product and Cost'!$F$11*C688+C695*'Product and Cost'!$F$12*C688+C696*'Product and Cost'!$F$13*C688</f>
        <v/>
      </c>
      <c r="D698" s="20">
        <f>D689*'Product and Cost'!$F$6*D688+D690*'Product and Cost'!$F$7*D688+D691*'Product and Cost'!$F$8*D688+D692*'Product and Cost'!$F$9*D688+D693*'Product and Cost'!$F$10*D688+D694*'Product and Cost'!$F$11*D688+D695*'Product and Cost'!$F$12*D688+D696*'Product and Cost'!$F$13*D688</f>
        <v/>
      </c>
      <c r="E698" s="20">
        <f>E689*'Product and Cost'!$F$6*E688+E690*'Product and Cost'!$F$7*E688+E691*'Product and Cost'!$F$8*E688+E692*'Product and Cost'!$F$9*E688+E693*'Product and Cost'!$F$10*E688+E694*'Product and Cost'!$F$11*E688+E695*'Product and Cost'!$F$12*E688+E696*'Product and Cost'!$F$13*E688</f>
        <v/>
      </c>
      <c r="F698" s="20">
        <f>F689*'Product and Cost'!$F$6*F688+F690*'Product and Cost'!$F$7*F688+F691*'Product and Cost'!$F$8*F688+F692*'Product and Cost'!$F$9*F688+F693*'Product and Cost'!$F$10*F688+F694*'Product and Cost'!$F$11*F688+F695*'Product and Cost'!$F$12*F688+F696*'Product and Cost'!$F$13*F688</f>
        <v/>
      </c>
      <c r="G698" s="20">
        <f>G689*'Product and Cost'!$F$6*G688+G690*'Product and Cost'!$F$7*G688+G691*'Product and Cost'!$F$8*G688+G692*'Product and Cost'!$F$9*G688+G693*'Product and Cost'!$F$10*G688+G694*'Product and Cost'!$F$11*G688+G695*'Product and Cost'!$F$12*G688+G696*'Product and Cost'!$F$13*G688</f>
        <v/>
      </c>
    </row>
    <row r="699">
      <c r="A699" s="9" t="inlineStr">
        <is>
          <t>Cost of sales</t>
        </is>
      </c>
      <c r="C699" s="18">
        <f>C689*('Product and Cost'!$D$27*C688*Assumptions!$B$88+'Product and Cost'!$B$27*(0.4863620081*C687+0.4455809638*C687+0.0356254898*C688+0.0324315384))+C690*('Product and Cost'!$D$28*C688*Assumptions!$B$88+'Product and Cost'!$B$28*(0.4863620081*C687+0.4455809638*C687+0.0356254898*C688+0.0324315384))+C691*('Product and Cost'!$D$29*C688*Assumptions!$B$88+'Product and Cost'!$B$29*(0.4863620081*C687+0.4455809638*C687+0.0356254898*C688+0.0324315384))+C692*('Product and Cost'!$D$30*C688*Assumptions!$B$88+'Product and Cost'!$B$30*(0.4863620081*C687+0.4455809638*C687+0.0356254898*C688+0.0324315384))+C693*('Product and Cost'!$D$31*C688*Assumptions!$B$88+'Product and Cost'!$B$31*(0.4863620081*C687+0.4455809638*C687+0.0356254898*C688+0.0324315384))+C694*('Product and Cost'!$D$32*C688*Assumptions!$B$88+'Product and Cost'!$B$32*(0.4863620081*C687+0.4455809638*C687+0.0356254898*C688+0.0324315384))+C695*('Product and Cost'!$D$33*C688*Assumptions!$B$88+'Product and Cost'!$B$33*(0.4863620081*C687+0.4455809638*C687+0.0356254898*C688+0.0324315384))+C696*('Product and Cost'!$D$34*C688*Assumptions!$B$88+'Product and Cost'!$B$34*(0.4863620081*C687+0.4455809638*C687+0.0356254898*C688+0.0324315384))</f>
        <v/>
      </c>
      <c r="D699" s="18">
        <f>D689*('Product and Cost'!$D$27*D688*Assumptions!$B$88+'Product and Cost'!$B$27*(0.4863620081*D687+0.4455809638*D687+0.0356254898*D688+0.0324315384))+D690*('Product and Cost'!$D$28*D688*Assumptions!$B$88+'Product and Cost'!$B$28*(0.4863620081*D687+0.4455809638*D687+0.0356254898*D688+0.0324315384))+D691*('Product and Cost'!$D$29*D688*Assumptions!$B$88+'Product and Cost'!$B$29*(0.4863620081*D687+0.4455809638*D687+0.0356254898*D688+0.0324315384))+D692*('Product and Cost'!$D$30*D688*Assumptions!$B$88+'Product and Cost'!$B$30*(0.4863620081*D687+0.4455809638*D687+0.0356254898*D688+0.0324315384))+D693*('Product and Cost'!$D$31*D688*Assumptions!$B$88+'Product and Cost'!$B$31*(0.4863620081*D687+0.4455809638*D687+0.0356254898*D688+0.0324315384))+D694*('Product and Cost'!$D$32*D688*Assumptions!$B$88+'Product and Cost'!$B$32*(0.4863620081*D687+0.4455809638*D687+0.0356254898*D688+0.0324315384))+D695*('Product and Cost'!$D$33*D688*Assumptions!$B$88+'Product and Cost'!$B$33*(0.4863620081*D687+0.4455809638*D687+0.0356254898*D688+0.0324315384))+D696*('Product and Cost'!$D$34*D688*Assumptions!$B$88+'Product and Cost'!$B$34*(0.4863620081*D687+0.4455809638*D687+0.0356254898*D688+0.0324315384))</f>
        <v/>
      </c>
      <c r="E699" s="18">
        <f>E689*('Product and Cost'!$D$27*E688*Assumptions!$B$88+'Product and Cost'!$B$27*(0.4863620081*E687+0.4455809638*E687+0.0356254898*E688+0.0324315384))+E690*('Product and Cost'!$D$28*E688*Assumptions!$B$88+'Product and Cost'!$B$28*(0.4863620081*E687+0.4455809638*E687+0.0356254898*E688+0.0324315384))+E691*('Product and Cost'!$D$29*E688*Assumptions!$B$88+'Product and Cost'!$B$29*(0.4863620081*E687+0.4455809638*E687+0.0356254898*E688+0.0324315384))+E692*('Product and Cost'!$D$30*E688*Assumptions!$B$88+'Product and Cost'!$B$30*(0.4863620081*E687+0.4455809638*E687+0.0356254898*E688+0.0324315384))+E693*('Product and Cost'!$D$31*E688*Assumptions!$B$88+'Product and Cost'!$B$31*(0.4863620081*E687+0.4455809638*E687+0.0356254898*E688+0.0324315384))+E694*('Product and Cost'!$D$32*E688*Assumptions!$B$88+'Product and Cost'!$B$32*(0.4863620081*E687+0.4455809638*E687+0.0356254898*E688+0.0324315384))+E695*('Product and Cost'!$D$33*E688*Assumptions!$B$88+'Product and Cost'!$B$33*(0.4863620081*E687+0.4455809638*E687+0.0356254898*E688+0.0324315384))+E696*('Product and Cost'!$D$34*E688*Assumptions!$B$88+'Product and Cost'!$B$34*(0.4863620081*E687+0.4455809638*E687+0.0356254898*E688+0.0324315384))</f>
        <v/>
      </c>
      <c r="F699" s="18">
        <f>F689*('Product and Cost'!$D$27*F688*Assumptions!$B$88+'Product and Cost'!$B$27*(0.4863620081*F687+0.4455809638*F687+0.0356254898*F688+0.0324315384))+F690*('Product and Cost'!$D$28*F688*Assumptions!$B$88+'Product and Cost'!$B$28*(0.4863620081*F687+0.4455809638*F687+0.0356254898*F688+0.0324315384))+F691*('Product and Cost'!$D$29*F688*Assumptions!$B$88+'Product and Cost'!$B$29*(0.4863620081*F687+0.4455809638*F687+0.0356254898*F688+0.0324315384))+F692*('Product and Cost'!$D$30*F688*Assumptions!$B$88+'Product and Cost'!$B$30*(0.4863620081*F687+0.4455809638*F687+0.0356254898*F688+0.0324315384))+F693*('Product and Cost'!$D$31*F688*Assumptions!$B$88+'Product and Cost'!$B$31*(0.4863620081*F687+0.4455809638*F687+0.0356254898*F688+0.0324315384))+F694*('Product and Cost'!$D$32*F688*Assumptions!$B$88+'Product and Cost'!$B$32*(0.4863620081*F687+0.4455809638*F687+0.0356254898*F688+0.0324315384))+F695*('Product and Cost'!$D$33*F688*Assumptions!$B$88+'Product and Cost'!$B$33*(0.4863620081*F687+0.4455809638*F687+0.0356254898*F688+0.0324315384))+F696*('Product and Cost'!$D$34*F688*Assumptions!$B$88+'Product and Cost'!$B$34*(0.4863620081*F687+0.4455809638*F687+0.0356254898*F688+0.0324315384))</f>
        <v/>
      </c>
      <c r="G699" s="18">
        <f>G689*('Product and Cost'!$D$27*G688*Assumptions!$B$88+'Product and Cost'!$B$27*(0.4863620081*G687+0.4455809638*G687+0.0356254898*G688+0.0324315384))+G690*('Product and Cost'!$D$28*G688*Assumptions!$B$88+'Product and Cost'!$B$28*(0.4863620081*G687+0.4455809638*G687+0.0356254898*G688+0.0324315384))+G691*('Product and Cost'!$D$29*G688*Assumptions!$B$88+'Product and Cost'!$B$29*(0.4863620081*G687+0.4455809638*G687+0.0356254898*G688+0.0324315384))+G692*('Product and Cost'!$D$30*G688*Assumptions!$B$88+'Product and Cost'!$B$30*(0.4863620081*G687+0.4455809638*G687+0.0356254898*G688+0.0324315384))+G693*('Product and Cost'!$D$31*G688*Assumptions!$B$88+'Product and Cost'!$B$31*(0.4863620081*G687+0.4455809638*G687+0.0356254898*G688+0.0324315384))+G694*('Product and Cost'!$D$32*G688*Assumptions!$B$88+'Product and Cost'!$B$32*(0.4863620081*G687+0.4455809638*G687+0.0356254898*G688+0.0324315384))+G695*('Product and Cost'!$D$33*G688*Assumptions!$B$88+'Product and Cost'!$B$33*(0.4863620081*G687+0.4455809638*G687+0.0356254898*G688+0.0324315384))+G696*('Product and Cost'!$D$34*G688*Assumptions!$B$88+'Product and Cost'!$B$34*(0.4863620081*G687+0.4455809638*G687+0.0356254898*G688+0.0324315384))</f>
        <v/>
      </c>
    </row>
    <row r="700">
      <c r="A700" s="17" t="inlineStr">
        <is>
          <t>GROSS PROFIT</t>
        </is>
      </c>
      <c r="C700" s="20">
        <f>C698-C699+Forecast!$B$7*C698</f>
        <v/>
      </c>
      <c r="D700" s="20">
        <f>D698-D699+Forecast!$B$7*D698</f>
        <v/>
      </c>
      <c r="E700" s="20">
        <f>E698-E699+Forecast!$B$7*E698</f>
        <v/>
      </c>
      <c r="F700" s="20">
        <f>F698-F699+Forecast!$B$7*F698</f>
        <v/>
      </c>
      <c r="G700" s="20">
        <f>G698-G699+Forecast!$B$7*G698</f>
        <v/>
      </c>
    </row>
    <row r="701">
      <c r="A701" s="9" t="inlineStr">
        <is>
          <t>Gross margin</t>
        </is>
      </c>
      <c r="C701" s="19">
        <f>C700/C698</f>
        <v/>
      </c>
      <c r="D701" s="19">
        <f>D700/D698</f>
        <v/>
      </c>
      <c r="E701" s="19">
        <f>E700/E698</f>
        <v/>
      </c>
      <c r="F701" s="19">
        <f>F700/F698</f>
        <v/>
      </c>
      <c r="G701" s="19">
        <f>G700/G698</f>
        <v/>
      </c>
    </row>
    <row r="702">
      <c r="A702" s="9" t="inlineStr">
        <is>
          <t>Operating expense</t>
        </is>
      </c>
      <c r="C702" s="18">
        <f>('Base Year'!$B$28*C687)+('Base Year'!$B$29*C687*C697/'Product and Cost'!$E$14)+('Base Year'!$B$30*C687)+('Base Year'!$B$31*C687)</f>
        <v/>
      </c>
      <c r="D702" s="18">
        <f>('Base Year'!$B$28*D687)+('Base Year'!$B$29*D687*D697/'Product and Cost'!$E$14)+('Base Year'!$B$30*D687)+('Base Year'!$B$31*D687)</f>
        <v/>
      </c>
      <c r="E702" s="18">
        <f>('Base Year'!$B$28*E687)+('Base Year'!$B$29*E687*E697/'Product and Cost'!$E$14)+('Base Year'!$B$30*E687)+('Base Year'!$B$31*E687)</f>
        <v/>
      </c>
      <c r="F702" s="18">
        <f>('Base Year'!$B$28*F687)+('Base Year'!$B$29*F687*F697/'Product and Cost'!$E$14)+('Base Year'!$B$30*F687)+('Base Year'!$B$31*F687)</f>
        <v/>
      </c>
      <c r="G702" s="18">
        <f>('Base Year'!$B$28*G687)+('Base Year'!$B$29*G687*G697/'Product and Cost'!$E$14)+('Base Year'!$B$30*G687)+('Base Year'!$B$31*G687)</f>
        <v/>
      </c>
    </row>
    <row r="703">
      <c r="A703" s="17" t="inlineStr">
        <is>
          <t>EBITDA</t>
        </is>
      </c>
      <c r="C703" s="20">
        <f>C700-C702</f>
        <v/>
      </c>
      <c r="D703" s="20">
        <f>D700-D702</f>
        <v/>
      </c>
      <c r="E703" s="20">
        <f>E700-E702</f>
        <v/>
      </c>
      <c r="F703" s="20">
        <f>F700-F702</f>
        <v/>
      </c>
      <c r="G703" s="20">
        <f>G700-G702</f>
        <v/>
      </c>
    </row>
    <row r="704">
      <c r="A704" s="9" t="inlineStr">
        <is>
          <t>Capital expenditure — maintenance + growth</t>
        </is>
      </c>
      <c r="C704" s="18">
        <f>'Base Year'!$B$43*C687+MAX(C697-'Product and Cost'!$E$14,0)*1947.901031*C687</f>
        <v/>
      </c>
      <c r="D704" s="18">
        <f>'Base Year'!$B$43*D687+MAX(D697-C697,0)*1947.901031*D687</f>
        <v/>
      </c>
      <c r="E704" s="18">
        <f>'Base Year'!$B$43*E687+MAX(E697-D697,0)*1947.901031*E687</f>
        <v/>
      </c>
      <c r="F704" s="18">
        <f>'Base Year'!$B$43*F687+MAX(F697-E697,0)*1947.901031*F687</f>
        <v/>
      </c>
      <c r="G704" s="18">
        <f>'Base Year'!$B$43*G687+MAX(G697-F697,0)*1947.901031*G687</f>
        <v/>
      </c>
    </row>
    <row r="705">
      <c r="A705" s="9" t="inlineStr">
        <is>
          <t>Fixed assets at cost, closing</t>
        </is>
      </c>
      <c r="C705" s="18">
        <f>(Assumptions!$B$70+Assumptions!$B$71)/10^6+C704</f>
        <v/>
      </c>
      <c r="D705" s="18">
        <f>C705+D704</f>
        <v/>
      </c>
      <c r="E705" s="18">
        <f>D705+E704</f>
        <v/>
      </c>
      <c r="F705" s="18">
        <f>E705+F704</f>
        <v/>
      </c>
      <c r="G705" s="18">
        <f>F705+G704</f>
        <v/>
      </c>
    </row>
    <row r="706">
      <c r="A706" s="9" t="inlineStr">
        <is>
          <t>Depreciation — rolls off the asset register</t>
        </is>
      </c>
      <c r="C706" s="18">
        <f>(Assumptions!$B$70+Assumptions!$B$71)/10^6/'Base Year'!$B$42</f>
        <v/>
      </c>
      <c r="D706" s="18">
        <f>C705/'Base Year'!$B$42</f>
        <v/>
      </c>
      <c r="E706" s="18">
        <f>D705/'Base Year'!$B$42</f>
        <v/>
      </c>
      <c r="F706" s="18">
        <f>E705/'Base Year'!$B$42</f>
        <v/>
      </c>
      <c r="G706" s="18">
        <f>F705/'Base Year'!$B$42</f>
        <v/>
      </c>
    </row>
    <row r="707">
      <c r="A707" s="9" t="inlineStr">
        <is>
          <t>Fixed assets, net book, closing</t>
        </is>
      </c>
      <c r="C707" s="18">
        <f>(Assumptions!$B$69+Assumptions!$B$71)/10^6+C704-C706</f>
        <v/>
      </c>
      <c r="D707" s="18">
        <f>C707+D704-D706</f>
        <v/>
      </c>
      <c r="E707" s="18">
        <f>D707+E704-E706</f>
        <v/>
      </c>
      <c r="F707" s="18">
        <f>E707+F704-F706</f>
        <v/>
      </c>
      <c r="G707" s="18">
        <f>F707+G704-G706</f>
        <v/>
      </c>
    </row>
    <row r="708">
      <c r="A708" s="17" t="inlineStr">
        <is>
          <t>EBIT</t>
        </is>
      </c>
      <c r="C708" s="20">
        <f>C703-C706</f>
        <v/>
      </c>
      <c r="D708" s="20">
        <f>D703-D706</f>
        <v/>
      </c>
      <c r="E708" s="20">
        <f>E703-E706</f>
        <v/>
      </c>
      <c r="F708" s="20">
        <f>F703-F706</f>
        <v/>
      </c>
      <c r="G708" s="20">
        <f>G703-G706</f>
        <v/>
      </c>
    </row>
    <row r="709">
      <c r="A709" s="9" t="inlineStr">
        <is>
          <t>NOPAT before the profit share</t>
        </is>
      </c>
      <c r="C709" s="18">
        <f>C708*(1-Assumptions!$B$87)</f>
        <v/>
      </c>
      <c r="D709" s="18">
        <f>D708*(1-Assumptions!$B$87)</f>
        <v/>
      </c>
      <c r="E709" s="18">
        <f>E708*(1-Assumptions!$B$87)</f>
        <v/>
      </c>
      <c r="F709" s="18">
        <f>F708*(1-Assumptions!$B$87)</f>
        <v/>
      </c>
      <c r="G709" s="18">
        <f>G708*(1-Assumptions!$B$87)</f>
        <v/>
      </c>
    </row>
    <row r="710">
      <c r="A710" s="9" t="inlineStr">
        <is>
          <t xml:space="preserve">  less employees' profit share and board bonuses</t>
        </is>
      </c>
      <c r="C710" s="18">
        <f>MAX(C709,0)*'Base Year'!$B$40</f>
        <v/>
      </c>
      <c r="D710" s="18">
        <f>MAX(D709,0)*'Base Year'!$B$40</f>
        <v/>
      </c>
      <c r="E710" s="18">
        <f>MAX(E709,0)*'Base Year'!$B$40</f>
        <v/>
      </c>
      <c r="F710" s="18">
        <f>MAX(F709,0)*'Base Year'!$B$40</f>
        <v/>
      </c>
      <c r="G710" s="18">
        <f>MAX(G709,0)*'Base Year'!$B$40</f>
        <v/>
      </c>
    </row>
    <row r="711">
      <c r="A711" s="17" t="inlineStr">
        <is>
          <t>NOPAT</t>
        </is>
      </c>
      <c r="C711" s="20">
        <f>C709-C710</f>
        <v/>
      </c>
      <c r="D711" s="20">
        <f>D709-D710</f>
        <v/>
      </c>
      <c r="E711" s="20">
        <f>E709-E710</f>
        <v/>
      </c>
      <c r="F711" s="20">
        <f>F709-F710</f>
        <v/>
      </c>
      <c r="G711" s="20">
        <f>G709-G710</f>
        <v/>
      </c>
    </row>
    <row r="712">
      <c r="A712" s="9" t="inlineStr">
        <is>
          <t>Net working capital — on days</t>
        </is>
      </c>
      <c r="C712" s="18">
        <f>'Base Year'!$B$44*Forecast!$B$9/365*C699+'Base Year'!$B$45*Forecast!$B$9/365*C698-'Base Year'!$B$46*Forecast!$B$9/365*C699</f>
        <v/>
      </c>
      <c r="D712" s="18">
        <f>'Base Year'!$B$44*Forecast!$B$9/365*D699+'Base Year'!$B$45*Forecast!$B$9/365*D698-'Base Year'!$B$46*Forecast!$B$9/365*D699</f>
        <v/>
      </c>
      <c r="E712" s="18">
        <f>'Base Year'!$B$44*Forecast!$B$9/365*E699+'Base Year'!$B$45*Forecast!$B$9/365*E698-'Base Year'!$B$46*Forecast!$B$9/365*E699</f>
        <v/>
      </c>
      <c r="F712" s="18">
        <f>'Base Year'!$B$44*Forecast!$B$9/365*F699+'Base Year'!$B$45*Forecast!$B$9/365*F698-'Base Year'!$B$46*Forecast!$B$9/365*F699</f>
        <v/>
      </c>
      <c r="G712" s="18">
        <f>'Base Year'!$B$44*Forecast!$B$9/365*G699+'Base Year'!$B$45*Forecast!$B$9/365*G698-'Base Year'!$B$46*Forecast!$B$9/365*G699</f>
        <v/>
      </c>
    </row>
    <row r="713">
      <c r="A713" s="9" t="inlineStr">
        <is>
          <t xml:space="preserve">  change in working capital</t>
        </is>
      </c>
      <c r="C713" s="18">
        <f>C712-('Base Year'!$B$44/365*'Base Year'!$B$21+'Base Year'!$B$45/365*'Base Year'!$B$19-'Base Year'!$B$46/365*'Base Year'!$B$21)</f>
        <v/>
      </c>
      <c r="D713" s="18">
        <f>D712-C712</f>
        <v/>
      </c>
      <c r="E713" s="18">
        <f>E712-D712</f>
        <v/>
      </c>
      <c r="F713" s="18">
        <f>F712-E712</f>
        <v/>
      </c>
      <c r="G713" s="18">
        <f>G712-F712</f>
        <v/>
      </c>
    </row>
    <row r="714">
      <c r="A714" s="17" t="inlineStr">
        <is>
          <t>FREE CASH FLOW TO THE FIRM</t>
        </is>
      </c>
      <c r="C714" s="20">
        <f>C711+C706-C704-C713</f>
        <v/>
      </c>
      <c r="D714" s="20">
        <f>D711+D706-D704-D713</f>
        <v/>
      </c>
      <c r="E714" s="20">
        <f>E711+E706-E704-E713</f>
        <v/>
      </c>
      <c r="F714" s="20">
        <f>F711+F706-F704-F713</f>
        <v/>
      </c>
      <c r="G714" s="20">
        <f>G711+G706-G704-G713</f>
        <v/>
      </c>
    </row>
    <row r="715">
      <c r="A715" s="9" t="inlineStr">
        <is>
          <t>Glide fraction</t>
        </is>
      </c>
      <c r="C715" s="26">
        <f>0.0000000000</f>
        <v/>
      </c>
      <c r="D715" s="26">
        <f>0.3571428571</f>
        <v/>
      </c>
      <c r="E715" s="26">
        <f>0.6428571429</f>
        <v/>
      </c>
      <c r="F715" s="26">
        <f>0.8571428571</f>
        <v/>
      </c>
      <c r="G715" s="26">
        <f>1.0000000000</f>
        <v/>
      </c>
    </row>
    <row r="716">
      <c r="A716" s="9" t="inlineStr">
        <is>
          <t>Forward cost of capital</t>
        </is>
      </c>
      <c r="C716" s="19">
        <f>Forecast!$B$14-(Forecast!$B$14-Forecast!$B$17)*C715</f>
        <v/>
      </c>
      <c r="D716" s="19">
        <f>Forecast!$B$14-(Forecast!$B$14-Forecast!$B$17)*D715</f>
        <v/>
      </c>
      <c r="E716" s="19">
        <f>Forecast!$B$14-(Forecast!$B$14-Forecast!$B$17)*E715</f>
        <v/>
      </c>
      <c r="F716" s="19">
        <f>Forecast!$B$14-(Forecast!$B$14-Forecast!$B$17)*F715</f>
        <v/>
      </c>
      <c r="G716" s="19">
        <f>Forecast!$B$14-(Forecast!$B$14-Forecast!$B$17)*G715</f>
        <v/>
      </c>
    </row>
    <row r="717">
      <c r="A717" s="9" t="inlineStr">
        <is>
          <t>Cumulative discount factor</t>
        </is>
      </c>
      <c r="C717" s="29">
        <f>1/(1+C716)</f>
        <v/>
      </c>
      <c r="D717" s="29">
        <f>C717/(1+D716)</f>
        <v/>
      </c>
      <c r="E717" s="29">
        <f>D717/(1+E716)</f>
        <v/>
      </c>
      <c r="F717" s="29">
        <f>E717/(1+F716)</f>
        <v/>
      </c>
      <c r="G717" s="29">
        <f>F717/(1+G716)</f>
        <v/>
      </c>
    </row>
    <row r="718">
      <c r="A718" s="9" t="inlineStr">
        <is>
          <t>Present value</t>
        </is>
      </c>
      <c r="C718" s="18">
        <f>C714*C717</f>
        <v/>
      </c>
      <c r="D718" s="18">
        <f>D714*D717</f>
        <v/>
      </c>
      <c r="E718" s="18">
        <f>E714*E717</f>
        <v/>
      </c>
      <c r="F718" s="18">
        <f>F714*F717</f>
        <v/>
      </c>
      <c r="G718" s="18">
        <f>G714*G717</f>
        <v/>
      </c>
    </row>
    <row r="719">
      <c r="A719" s="17" t="inlineStr">
        <is>
          <t>PV of the explicit window</t>
        </is>
      </c>
      <c r="B719" s="20">
        <f>SUM(C718:G718)</f>
        <v/>
      </c>
      <c r="C719" s="18">
        <f>C712+C705</f>
        <v/>
      </c>
      <c r="D719" s="18">
        <f>D712+D705</f>
        <v/>
      </c>
      <c r="E719" s="18">
        <f>E712+E705</f>
        <v/>
      </c>
      <c r="F719" s="18">
        <f>F712+F705</f>
        <v/>
      </c>
      <c r="G719" s="18">
        <f>G712+G705</f>
        <v/>
      </c>
    </row>
    <row r="720">
      <c r="A720" s="9" t="inlineStr">
        <is>
          <t>Terminal return on invested capital, at REPLACEMENT cost</t>
        </is>
      </c>
      <c r="B720" s="19">
        <f>G711*(1+Assumptions!$B$89)/G719</f>
        <v/>
      </c>
    </row>
    <row r="721">
      <c r="A721" s="9" t="inlineStr">
        <is>
          <t>Required reinvestment = growth / return</t>
        </is>
      </c>
      <c r="B721" s="19">
        <f>MIN(Assumptions!$B$89/B720,0.95)</f>
        <v/>
      </c>
    </row>
    <row r="722">
      <c r="A722" s="9" t="inlineStr">
        <is>
          <t>Terminal value</t>
        </is>
      </c>
      <c r="B722" s="18">
        <f>G711*(1+Assumptions!$B$89)*(1-B721)/MAX(Forecast!$B$17-Assumptions!$B$89,0.02)</f>
        <v/>
      </c>
    </row>
    <row r="723">
      <c r="A723" s="9" t="inlineStr">
        <is>
          <t>PV of the terminal block</t>
        </is>
      </c>
      <c r="B723" s="18">
        <f>B722*G717</f>
        <v/>
      </c>
    </row>
    <row r="724">
      <c r="A724" s="17" t="inlineStr">
        <is>
          <t>ENTERPRISE VALUE</t>
        </is>
      </c>
      <c r="B724" s="20">
        <f>B719+B723</f>
        <v/>
      </c>
    </row>
    <row r="725">
      <c r="A725" s="9" t="inlineStr">
        <is>
          <t>plus net cash</t>
        </is>
      </c>
      <c r="B725" s="18">
        <f>(Assumptions!$B$79-Assumptions!$B$82-Assumptions!$B$83)/10^6</f>
        <v/>
      </c>
    </row>
    <row r="726">
      <c r="A726" s="9" t="inlineStr">
        <is>
          <t>Enterprise value including cash</t>
        </is>
      </c>
      <c r="B726" s="18">
        <f>B724+B725</f>
        <v/>
      </c>
    </row>
    <row r="727">
      <c r="A727" s="9" t="inlineStr">
        <is>
          <t>less minority — on the WHOLE enterprise, cash included</t>
        </is>
      </c>
      <c r="B727" s="18">
        <f>B726*'Base Year'!$B$41</f>
        <v/>
      </c>
    </row>
    <row r="728">
      <c r="A728" s="9" t="inlineStr">
        <is>
          <t>less the tax-disputes provision</t>
        </is>
      </c>
      <c r="B728" s="18">
        <f>Assumptions!$B$78/10^6</f>
        <v/>
      </c>
    </row>
    <row r="729">
      <c r="A729" s="9" t="inlineStr">
        <is>
          <t>less dividends payable — declared, out of working capital</t>
        </is>
      </c>
      <c r="B729" s="18">
        <f>Assumptions!$B$77/10^6</f>
        <v/>
      </c>
    </row>
    <row r="730">
      <c r="A730" s="9" t="inlineStr">
        <is>
          <t>plus non-operating investments and pledged deposits</t>
        </is>
      </c>
      <c r="B730" s="18">
        <f>(Assumptions!$B$81+Assumptions!$B$80)/10^6</f>
        <v/>
      </c>
    </row>
    <row r="731">
      <c r="A731" s="17" t="inlineStr">
        <is>
          <t>EQUITY ATTRIBUTABLE</t>
        </is>
      </c>
      <c r="B731" s="20">
        <f>B726-B727-B728-B729+B730</f>
        <v/>
      </c>
    </row>
    <row r="732">
      <c r="A732" s="17" t="inlineStr">
        <is>
          <t>VALUE PER SHARE, EGP</t>
        </is>
      </c>
      <c r="B732" s="30">
        <f>B731/Assumptions!$B$8</f>
        <v/>
      </c>
    </row>
    <row r="735">
      <c r="A735" s="6" t="inlineStr">
        <is>
          <t>Realisation path, as a multiple of the assumed path — 1.10x</t>
        </is>
      </c>
      <c r="B735" s="6" t="inlineStr">
        <is>
          <t>2026E</t>
        </is>
      </c>
      <c r="C735" s="6" t="inlineStr">
        <is>
          <t>2027E</t>
        </is>
      </c>
      <c r="D735" s="6" t="inlineStr">
        <is>
          <t>2028E</t>
        </is>
      </c>
      <c r="E735" s="6" t="inlineStr">
        <is>
          <t>2029E</t>
        </is>
      </c>
      <c r="F735" s="6" t="inlineStr">
        <is>
          <t>2030E</t>
        </is>
      </c>
    </row>
    <row r="736">
      <c r="A736" s="9" t="inlineStr">
        <is>
          <t>Inflation index, cumulative</t>
        </is>
      </c>
      <c r="C736" s="26">
        <f>Assumptions!$B$146</f>
        <v/>
      </c>
      <c r="D736" s="26">
        <f>C736*Assumptions!$B$147</f>
        <v/>
      </c>
      <c r="E736" s="26">
        <f>D736*Assumptions!$B$148</f>
        <v/>
      </c>
      <c r="F736" s="26">
        <f>E736*Assumptions!$B$149</f>
        <v/>
      </c>
      <c r="G736" s="26">
        <f>F736*Assumptions!$B$150</f>
        <v/>
      </c>
    </row>
    <row r="737">
      <c r="A737" s="9" t="inlineStr">
        <is>
          <t>Realisation index, cumulative</t>
        </is>
      </c>
      <c r="C737" s="26">
        <f>(1+Assumptions!$B$101*$D$24)</f>
        <v/>
      </c>
      <c r="D737" s="26">
        <f>C737*(1+Assumptions!$B$102*$D$24)</f>
        <v/>
      </c>
      <c r="E737" s="26">
        <f>D737*(1+Assumptions!$B$103*$D$24)</f>
        <v/>
      </c>
      <c r="F737" s="26">
        <f>E737*(1+Assumptions!$B$104*$D$24)</f>
        <v/>
      </c>
      <c r="G737" s="26">
        <f>F737*(1+Assumptions!$B$105*$D$24)</f>
        <v/>
      </c>
    </row>
    <row r="738">
      <c r="A738" s="9" t="inlineStr">
        <is>
          <t xml:space="preserve">  Volume — Base and special oils, mn t</t>
        </is>
      </c>
      <c r="C738" s="26">
        <f>'Product and Cost'!E6*(1+Assumptions!$B$106+Forecast!$B$6)</f>
        <v/>
      </c>
      <c r="D738" s="26">
        <f>C738*(1+Assumptions!$B$107+Forecast!$B$6)</f>
        <v/>
      </c>
      <c r="E738" s="26">
        <f>D738*(1+Assumptions!$B$108+Forecast!$B$6)</f>
        <v/>
      </c>
      <c r="F738" s="26">
        <f>E738*(1+Assumptions!$B$109+Forecast!$B$6)</f>
        <v/>
      </c>
      <c r="G738" s="26">
        <f>F738*(1+Assumptions!$B$110+Forecast!$B$6)</f>
        <v/>
      </c>
    </row>
    <row r="739">
      <c r="A739" s="9" t="inlineStr">
        <is>
          <t xml:space="preserve">  Volume — Paraffin wax, mn t</t>
        </is>
      </c>
      <c r="C739" s="26">
        <f>'Product and Cost'!E7*(1+Assumptions!$B$111+Forecast!$B$6)</f>
        <v/>
      </c>
      <c r="D739" s="26">
        <f>C739*(1+Assumptions!$B$112+Forecast!$B$6)</f>
        <v/>
      </c>
      <c r="E739" s="26">
        <f>D739*(1+Assumptions!$B$113+Forecast!$B$6)</f>
        <v/>
      </c>
      <c r="F739" s="26">
        <f>E739*(1+Assumptions!$B$114+Forecast!$B$6)</f>
        <v/>
      </c>
      <c r="G739" s="26">
        <f>F739*(1+Assumptions!$B$115+Forecast!$B$6)</f>
        <v/>
      </c>
    </row>
    <row r="740">
      <c r="A740" s="9" t="inlineStr">
        <is>
          <t xml:space="preserve">  Volume — Gas oil, mn t</t>
        </is>
      </c>
      <c r="C740" s="26">
        <f>'Product and Cost'!E8*(1+Assumptions!$B$116+Forecast!$B$6)</f>
        <v/>
      </c>
      <c r="D740" s="26">
        <f>C740*(1+Assumptions!$B$117+Forecast!$B$6)</f>
        <v/>
      </c>
      <c r="E740" s="26">
        <f>D740*(1+Assumptions!$B$118+Forecast!$B$6)</f>
        <v/>
      </c>
      <c r="F740" s="26">
        <f>E740*(1+Assumptions!$B$119+Forecast!$B$6)</f>
        <v/>
      </c>
      <c r="G740" s="26">
        <f>F740*(1+Assumptions!$B$120+Forecast!$B$6)</f>
        <v/>
      </c>
    </row>
    <row r="741">
      <c r="A741" s="9" t="inlineStr">
        <is>
          <t xml:space="preserve">  Volume — Naphtha, mn t</t>
        </is>
      </c>
      <c r="C741" s="26">
        <f>'Product and Cost'!E9*(1+Assumptions!$B$121+Forecast!$B$6)</f>
        <v/>
      </c>
      <c r="D741" s="26">
        <f>C741*(1+Assumptions!$B$122+Forecast!$B$6)</f>
        <v/>
      </c>
      <c r="E741" s="26">
        <f>D741*(1+Assumptions!$B$123+Forecast!$B$6)</f>
        <v/>
      </c>
      <c r="F741" s="26">
        <f>E741*(1+Assumptions!$B$124+Forecast!$B$6)</f>
        <v/>
      </c>
      <c r="G741" s="26">
        <f>F741*(1+Assumptions!$B$125+Forecast!$B$6)</f>
        <v/>
      </c>
    </row>
    <row r="742">
      <c r="A742" s="9" t="inlineStr">
        <is>
          <t xml:space="preserve">  Volume — Liquefied petroleum gas, mn t</t>
        </is>
      </c>
      <c r="C742" s="26">
        <f>'Product and Cost'!E10*(1+Assumptions!$B$126+Forecast!$B$6)</f>
        <v/>
      </c>
      <c r="D742" s="26">
        <f>C742*(1+Assumptions!$B$127+Forecast!$B$6)</f>
        <v/>
      </c>
      <c r="E742" s="26">
        <f>D742*(1+Assumptions!$B$128+Forecast!$B$6)</f>
        <v/>
      </c>
      <c r="F742" s="26">
        <f>E742*(1+Assumptions!$B$129+Forecast!$B$6)</f>
        <v/>
      </c>
      <c r="G742" s="26">
        <f>F742*(1+Assumptions!$B$130+Forecast!$B$6)</f>
        <v/>
      </c>
    </row>
    <row r="743">
      <c r="A743" s="9" t="inlineStr">
        <is>
          <t xml:space="preserve">  Volume — Fuel oil (mix), mn t</t>
        </is>
      </c>
      <c r="C743" s="26">
        <f>'Product and Cost'!E11*(1+Assumptions!$B$131+Forecast!$B$6)</f>
        <v/>
      </c>
      <c r="D743" s="26">
        <f>C743*(1+Assumptions!$B$132+Forecast!$B$6)</f>
        <v/>
      </c>
      <c r="E743" s="26">
        <f>D743*(1+Assumptions!$B$133+Forecast!$B$6)</f>
        <v/>
      </c>
      <c r="F743" s="26">
        <f>E743*(1+Assumptions!$B$134+Forecast!$B$6)</f>
        <v/>
      </c>
      <c r="G743" s="26">
        <f>F743*(1+Assumptions!$B$135+Forecast!$B$6)</f>
        <v/>
      </c>
    </row>
    <row r="744">
      <c r="A744" s="9" t="inlineStr">
        <is>
          <t xml:space="preserve">  Volume — Heavy fuel oil, mn t</t>
        </is>
      </c>
      <c r="C744" s="26">
        <f>'Product and Cost'!E12*(1+Assumptions!$B$136+Forecast!$B$6)</f>
        <v/>
      </c>
      <c r="D744" s="26">
        <f>C744*(1+Assumptions!$B$137+Forecast!$B$6)</f>
        <v/>
      </c>
      <c r="E744" s="26">
        <f>D744*(1+Assumptions!$B$138+Forecast!$B$6)</f>
        <v/>
      </c>
      <c r="F744" s="26">
        <f>E744*(1+Assumptions!$B$139+Forecast!$B$6)</f>
        <v/>
      </c>
      <c r="G744" s="26">
        <f>F744*(1+Assumptions!$B$140+Forecast!$B$6)</f>
        <v/>
      </c>
    </row>
    <row r="745">
      <c r="A745" s="9" t="inlineStr">
        <is>
          <t xml:space="preserve">  Volume — Waste, mn t</t>
        </is>
      </c>
      <c r="C745" s="26">
        <f>'Product and Cost'!E13*(1+Assumptions!$B$141+Forecast!$B$6)</f>
        <v/>
      </c>
      <c r="D745" s="26">
        <f>C745*(1+Assumptions!$B$142+Forecast!$B$6)</f>
        <v/>
      </c>
      <c r="E745" s="26">
        <f>D745*(1+Assumptions!$B$143+Forecast!$B$6)</f>
        <v/>
      </c>
      <c r="F745" s="26">
        <f>E745*(1+Assumptions!$B$144+Forecast!$B$6)</f>
        <v/>
      </c>
      <c r="G745" s="26">
        <f>F745*(1+Assumptions!$B$145+Forecast!$B$6)</f>
        <v/>
      </c>
    </row>
    <row r="746">
      <c r="A746" s="17" t="inlineStr">
        <is>
          <t>Total volume, mn t</t>
        </is>
      </c>
      <c r="C746" s="28">
        <f>SUM(C738:C745)</f>
        <v/>
      </c>
      <c r="D746" s="28">
        <f>SUM(D738:D745)</f>
        <v/>
      </c>
      <c r="E746" s="28">
        <f>SUM(E738:E745)</f>
        <v/>
      </c>
      <c r="F746" s="28">
        <f>SUM(F738:F745)</f>
        <v/>
      </c>
      <c r="G746" s="28">
        <f>SUM(G738:G745)</f>
        <v/>
      </c>
    </row>
    <row r="747">
      <c r="A747" s="17" t="inlineStr">
        <is>
          <t>REVENUE</t>
        </is>
      </c>
      <c r="C747" s="20">
        <f>C738*'Product and Cost'!$F$6*C737+C739*'Product and Cost'!$F$7*C737+C740*'Product and Cost'!$F$8*C737+C741*'Product and Cost'!$F$9*C737+C742*'Product and Cost'!$F$10*C737+C743*'Product and Cost'!$F$11*C737+C744*'Product and Cost'!$F$12*C737+C745*'Product and Cost'!$F$13*C737</f>
        <v/>
      </c>
      <c r="D747" s="20">
        <f>D738*'Product and Cost'!$F$6*D737+D739*'Product and Cost'!$F$7*D737+D740*'Product and Cost'!$F$8*D737+D741*'Product and Cost'!$F$9*D737+D742*'Product and Cost'!$F$10*D737+D743*'Product and Cost'!$F$11*D737+D744*'Product and Cost'!$F$12*D737+D745*'Product and Cost'!$F$13*D737</f>
        <v/>
      </c>
      <c r="E747" s="20">
        <f>E738*'Product and Cost'!$F$6*E737+E739*'Product and Cost'!$F$7*E737+E740*'Product and Cost'!$F$8*E737+E741*'Product and Cost'!$F$9*E737+E742*'Product and Cost'!$F$10*E737+E743*'Product and Cost'!$F$11*E737+E744*'Product and Cost'!$F$12*E737+E745*'Product and Cost'!$F$13*E737</f>
        <v/>
      </c>
      <c r="F747" s="20">
        <f>F738*'Product and Cost'!$F$6*F737+F739*'Product and Cost'!$F$7*F737+F740*'Product and Cost'!$F$8*F737+F741*'Product and Cost'!$F$9*F737+F742*'Product and Cost'!$F$10*F737+F743*'Product and Cost'!$F$11*F737+F744*'Product and Cost'!$F$12*F737+F745*'Product and Cost'!$F$13*F737</f>
        <v/>
      </c>
      <c r="G747" s="20">
        <f>G738*'Product and Cost'!$F$6*G737+G739*'Product and Cost'!$F$7*G737+G740*'Product and Cost'!$F$8*G737+G741*'Product and Cost'!$F$9*G737+G742*'Product and Cost'!$F$10*G737+G743*'Product and Cost'!$F$11*G737+G744*'Product and Cost'!$F$12*G737+G745*'Product and Cost'!$F$13*G737</f>
        <v/>
      </c>
    </row>
    <row r="748">
      <c r="A748" s="9" t="inlineStr">
        <is>
          <t>Cost of sales</t>
        </is>
      </c>
      <c r="C748" s="18">
        <f>C738*('Product and Cost'!$D$27*C737*Assumptions!$B$88+'Product and Cost'!$B$27*(0.4863620081*C736+0.4455809638*C736+0.0356254898*C737+0.0324315384))+C739*('Product and Cost'!$D$28*C737*Assumptions!$B$88+'Product and Cost'!$B$28*(0.4863620081*C736+0.4455809638*C736+0.0356254898*C737+0.0324315384))+C740*('Product and Cost'!$D$29*C737*Assumptions!$B$88+'Product and Cost'!$B$29*(0.4863620081*C736+0.4455809638*C736+0.0356254898*C737+0.0324315384))+C741*('Product and Cost'!$D$30*C737*Assumptions!$B$88+'Product and Cost'!$B$30*(0.4863620081*C736+0.4455809638*C736+0.0356254898*C737+0.0324315384))+C742*('Product and Cost'!$D$31*C737*Assumptions!$B$88+'Product and Cost'!$B$31*(0.4863620081*C736+0.4455809638*C736+0.0356254898*C737+0.0324315384))+C743*('Product and Cost'!$D$32*C737*Assumptions!$B$88+'Product and Cost'!$B$32*(0.4863620081*C736+0.4455809638*C736+0.0356254898*C737+0.0324315384))+C744*('Product and Cost'!$D$33*C737*Assumptions!$B$88+'Product and Cost'!$B$33*(0.4863620081*C736+0.4455809638*C736+0.0356254898*C737+0.0324315384))+C745*('Product and Cost'!$D$34*C737*Assumptions!$B$88+'Product and Cost'!$B$34*(0.4863620081*C736+0.4455809638*C736+0.0356254898*C737+0.0324315384))</f>
        <v/>
      </c>
      <c r="D748" s="18">
        <f>D738*('Product and Cost'!$D$27*D737*Assumptions!$B$88+'Product and Cost'!$B$27*(0.4863620081*D736+0.4455809638*D736+0.0356254898*D737+0.0324315384))+D739*('Product and Cost'!$D$28*D737*Assumptions!$B$88+'Product and Cost'!$B$28*(0.4863620081*D736+0.4455809638*D736+0.0356254898*D737+0.0324315384))+D740*('Product and Cost'!$D$29*D737*Assumptions!$B$88+'Product and Cost'!$B$29*(0.4863620081*D736+0.4455809638*D736+0.0356254898*D737+0.0324315384))+D741*('Product and Cost'!$D$30*D737*Assumptions!$B$88+'Product and Cost'!$B$30*(0.4863620081*D736+0.4455809638*D736+0.0356254898*D737+0.0324315384))+D742*('Product and Cost'!$D$31*D737*Assumptions!$B$88+'Product and Cost'!$B$31*(0.4863620081*D736+0.4455809638*D736+0.0356254898*D737+0.0324315384))+D743*('Product and Cost'!$D$32*D737*Assumptions!$B$88+'Product and Cost'!$B$32*(0.4863620081*D736+0.4455809638*D736+0.0356254898*D737+0.0324315384))+D744*('Product and Cost'!$D$33*D737*Assumptions!$B$88+'Product and Cost'!$B$33*(0.4863620081*D736+0.4455809638*D736+0.0356254898*D737+0.0324315384))+D745*('Product and Cost'!$D$34*D737*Assumptions!$B$88+'Product and Cost'!$B$34*(0.4863620081*D736+0.4455809638*D736+0.0356254898*D737+0.0324315384))</f>
        <v/>
      </c>
      <c r="E748" s="18">
        <f>E738*('Product and Cost'!$D$27*E737*Assumptions!$B$88+'Product and Cost'!$B$27*(0.4863620081*E736+0.4455809638*E736+0.0356254898*E737+0.0324315384))+E739*('Product and Cost'!$D$28*E737*Assumptions!$B$88+'Product and Cost'!$B$28*(0.4863620081*E736+0.4455809638*E736+0.0356254898*E737+0.0324315384))+E740*('Product and Cost'!$D$29*E737*Assumptions!$B$88+'Product and Cost'!$B$29*(0.4863620081*E736+0.4455809638*E736+0.0356254898*E737+0.0324315384))+E741*('Product and Cost'!$D$30*E737*Assumptions!$B$88+'Product and Cost'!$B$30*(0.4863620081*E736+0.4455809638*E736+0.0356254898*E737+0.0324315384))+E742*('Product and Cost'!$D$31*E737*Assumptions!$B$88+'Product and Cost'!$B$31*(0.4863620081*E736+0.4455809638*E736+0.0356254898*E737+0.0324315384))+E743*('Product and Cost'!$D$32*E737*Assumptions!$B$88+'Product and Cost'!$B$32*(0.4863620081*E736+0.4455809638*E736+0.0356254898*E737+0.0324315384))+E744*('Product and Cost'!$D$33*E737*Assumptions!$B$88+'Product and Cost'!$B$33*(0.4863620081*E736+0.4455809638*E736+0.0356254898*E737+0.0324315384))+E745*('Product and Cost'!$D$34*E737*Assumptions!$B$88+'Product and Cost'!$B$34*(0.4863620081*E736+0.4455809638*E736+0.0356254898*E737+0.0324315384))</f>
        <v/>
      </c>
      <c r="F748" s="18">
        <f>F738*('Product and Cost'!$D$27*F737*Assumptions!$B$88+'Product and Cost'!$B$27*(0.4863620081*F736+0.4455809638*F736+0.0356254898*F737+0.0324315384))+F739*('Product and Cost'!$D$28*F737*Assumptions!$B$88+'Product and Cost'!$B$28*(0.4863620081*F736+0.4455809638*F736+0.0356254898*F737+0.0324315384))+F740*('Product and Cost'!$D$29*F737*Assumptions!$B$88+'Product and Cost'!$B$29*(0.4863620081*F736+0.4455809638*F736+0.0356254898*F737+0.0324315384))+F741*('Product and Cost'!$D$30*F737*Assumptions!$B$88+'Product and Cost'!$B$30*(0.4863620081*F736+0.4455809638*F736+0.0356254898*F737+0.0324315384))+F742*('Product and Cost'!$D$31*F737*Assumptions!$B$88+'Product and Cost'!$B$31*(0.4863620081*F736+0.4455809638*F736+0.0356254898*F737+0.0324315384))+F743*('Product and Cost'!$D$32*F737*Assumptions!$B$88+'Product and Cost'!$B$32*(0.4863620081*F736+0.4455809638*F736+0.0356254898*F737+0.0324315384))+F744*('Product and Cost'!$D$33*F737*Assumptions!$B$88+'Product and Cost'!$B$33*(0.4863620081*F736+0.4455809638*F736+0.0356254898*F737+0.0324315384))+F745*('Product and Cost'!$D$34*F737*Assumptions!$B$88+'Product and Cost'!$B$34*(0.4863620081*F736+0.4455809638*F736+0.0356254898*F737+0.0324315384))</f>
        <v/>
      </c>
      <c r="G748" s="18">
        <f>G738*('Product and Cost'!$D$27*G737*Assumptions!$B$88+'Product and Cost'!$B$27*(0.4863620081*G736+0.4455809638*G736+0.0356254898*G737+0.0324315384))+G739*('Product and Cost'!$D$28*G737*Assumptions!$B$88+'Product and Cost'!$B$28*(0.4863620081*G736+0.4455809638*G736+0.0356254898*G737+0.0324315384))+G740*('Product and Cost'!$D$29*G737*Assumptions!$B$88+'Product and Cost'!$B$29*(0.4863620081*G736+0.4455809638*G736+0.0356254898*G737+0.0324315384))+G741*('Product and Cost'!$D$30*G737*Assumptions!$B$88+'Product and Cost'!$B$30*(0.4863620081*G736+0.4455809638*G736+0.0356254898*G737+0.0324315384))+G742*('Product and Cost'!$D$31*G737*Assumptions!$B$88+'Product and Cost'!$B$31*(0.4863620081*G736+0.4455809638*G736+0.0356254898*G737+0.0324315384))+G743*('Product and Cost'!$D$32*G737*Assumptions!$B$88+'Product and Cost'!$B$32*(0.4863620081*G736+0.4455809638*G736+0.0356254898*G737+0.0324315384))+G744*('Product and Cost'!$D$33*G737*Assumptions!$B$88+'Product and Cost'!$B$33*(0.4863620081*G736+0.4455809638*G736+0.0356254898*G737+0.0324315384))+G745*('Product and Cost'!$D$34*G737*Assumptions!$B$88+'Product and Cost'!$B$34*(0.4863620081*G736+0.4455809638*G736+0.0356254898*G737+0.0324315384))</f>
        <v/>
      </c>
    </row>
    <row r="749">
      <c r="A749" s="17" t="inlineStr">
        <is>
          <t>GROSS PROFIT</t>
        </is>
      </c>
      <c r="C749" s="20">
        <f>C747-C748+Forecast!$B$7*C747</f>
        <v/>
      </c>
      <c r="D749" s="20">
        <f>D747-D748+Forecast!$B$7*D747</f>
        <v/>
      </c>
      <c r="E749" s="20">
        <f>E747-E748+Forecast!$B$7*E747</f>
        <v/>
      </c>
      <c r="F749" s="20">
        <f>F747-F748+Forecast!$B$7*F747</f>
        <v/>
      </c>
      <c r="G749" s="20">
        <f>G747-G748+Forecast!$B$7*G747</f>
        <v/>
      </c>
    </row>
    <row r="750">
      <c r="A750" s="9" t="inlineStr">
        <is>
          <t>Gross margin</t>
        </is>
      </c>
      <c r="C750" s="19">
        <f>C749/C747</f>
        <v/>
      </c>
      <c r="D750" s="19">
        <f>D749/D747</f>
        <v/>
      </c>
      <c r="E750" s="19">
        <f>E749/E747</f>
        <v/>
      </c>
      <c r="F750" s="19">
        <f>F749/F747</f>
        <v/>
      </c>
      <c r="G750" s="19">
        <f>G749/G747</f>
        <v/>
      </c>
    </row>
    <row r="751">
      <c r="A751" s="9" t="inlineStr">
        <is>
          <t>Operating expense</t>
        </is>
      </c>
      <c r="C751" s="18">
        <f>('Base Year'!$B$28*C736)+('Base Year'!$B$29*C736*C746/'Product and Cost'!$E$14)+('Base Year'!$B$30*C736)+('Base Year'!$B$31*C736)</f>
        <v/>
      </c>
      <c r="D751" s="18">
        <f>('Base Year'!$B$28*D736)+('Base Year'!$B$29*D736*D746/'Product and Cost'!$E$14)+('Base Year'!$B$30*D736)+('Base Year'!$B$31*D736)</f>
        <v/>
      </c>
      <c r="E751" s="18">
        <f>('Base Year'!$B$28*E736)+('Base Year'!$B$29*E736*E746/'Product and Cost'!$E$14)+('Base Year'!$B$30*E736)+('Base Year'!$B$31*E736)</f>
        <v/>
      </c>
      <c r="F751" s="18">
        <f>('Base Year'!$B$28*F736)+('Base Year'!$B$29*F736*F746/'Product and Cost'!$E$14)+('Base Year'!$B$30*F736)+('Base Year'!$B$31*F736)</f>
        <v/>
      </c>
      <c r="G751" s="18">
        <f>('Base Year'!$B$28*G736)+('Base Year'!$B$29*G736*G746/'Product and Cost'!$E$14)+('Base Year'!$B$30*G736)+('Base Year'!$B$31*G736)</f>
        <v/>
      </c>
    </row>
    <row r="752">
      <c r="A752" s="17" t="inlineStr">
        <is>
          <t>EBITDA</t>
        </is>
      </c>
      <c r="C752" s="20">
        <f>C749-C751</f>
        <v/>
      </c>
      <c r="D752" s="20">
        <f>D749-D751</f>
        <v/>
      </c>
      <c r="E752" s="20">
        <f>E749-E751</f>
        <v/>
      </c>
      <c r="F752" s="20">
        <f>F749-F751</f>
        <v/>
      </c>
      <c r="G752" s="20">
        <f>G749-G751</f>
        <v/>
      </c>
    </row>
    <row r="753">
      <c r="A753" s="9" t="inlineStr">
        <is>
          <t>Capital expenditure — maintenance + growth</t>
        </is>
      </c>
      <c r="C753" s="18">
        <f>'Base Year'!$B$43*C736+MAX(C746-'Product and Cost'!$E$14,0)*1947.901031*C736</f>
        <v/>
      </c>
      <c r="D753" s="18">
        <f>'Base Year'!$B$43*D736+MAX(D746-C746,0)*1947.901031*D736</f>
        <v/>
      </c>
      <c r="E753" s="18">
        <f>'Base Year'!$B$43*E736+MAX(E746-D746,0)*1947.901031*E736</f>
        <v/>
      </c>
      <c r="F753" s="18">
        <f>'Base Year'!$B$43*F736+MAX(F746-E746,0)*1947.901031*F736</f>
        <v/>
      </c>
      <c r="G753" s="18">
        <f>'Base Year'!$B$43*G736+MAX(G746-F746,0)*1947.901031*G736</f>
        <v/>
      </c>
    </row>
    <row r="754">
      <c r="A754" s="9" t="inlineStr">
        <is>
          <t>Fixed assets at cost, closing</t>
        </is>
      </c>
      <c r="C754" s="18">
        <f>(Assumptions!$B$70+Assumptions!$B$71)/10^6+C753</f>
        <v/>
      </c>
      <c r="D754" s="18">
        <f>C754+D753</f>
        <v/>
      </c>
      <c r="E754" s="18">
        <f>D754+E753</f>
        <v/>
      </c>
      <c r="F754" s="18">
        <f>E754+F753</f>
        <v/>
      </c>
      <c r="G754" s="18">
        <f>F754+G753</f>
        <v/>
      </c>
    </row>
    <row r="755">
      <c r="A755" s="9" t="inlineStr">
        <is>
          <t>Depreciation — rolls off the asset register</t>
        </is>
      </c>
      <c r="C755" s="18">
        <f>(Assumptions!$B$70+Assumptions!$B$71)/10^6/'Base Year'!$B$42</f>
        <v/>
      </c>
      <c r="D755" s="18">
        <f>C754/'Base Year'!$B$42</f>
        <v/>
      </c>
      <c r="E755" s="18">
        <f>D754/'Base Year'!$B$42</f>
        <v/>
      </c>
      <c r="F755" s="18">
        <f>E754/'Base Year'!$B$42</f>
        <v/>
      </c>
      <c r="G755" s="18">
        <f>F754/'Base Year'!$B$42</f>
        <v/>
      </c>
    </row>
    <row r="756">
      <c r="A756" s="9" t="inlineStr">
        <is>
          <t>Fixed assets, net book, closing</t>
        </is>
      </c>
      <c r="C756" s="18">
        <f>(Assumptions!$B$69+Assumptions!$B$71)/10^6+C753-C755</f>
        <v/>
      </c>
      <c r="D756" s="18">
        <f>C756+D753-D755</f>
        <v/>
      </c>
      <c r="E756" s="18">
        <f>D756+E753-E755</f>
        <v/>
      </c>
      <c r="F756" s="18">
        <f>E756+F753-F755</f>
        <v/>
      </c>
      <c r="G756" s="18">
        <f>F756+G753-G755</f>
        <v/>
      </c>
    </row>
    <row r="757">
      <c r="A757" s="17" t="inlineStr">
        <is>
          <t>EBIT</t>
        </is>
      </c>
      <c r="C757" s="20">
        <f>C752-C755</f>
        <v/>
      </c>
      <c r="D757" s="20">
        <f>D752-D755</f>
        <v/>
      </c>
      <c r="E757" s="20">
        <f>E752-E755</f>
        <v/>
      </c>
      <c r="F757" s="20">
        <f>F752-F755</f>
        <v/>
      </c>
      <c r="G757" s="20">
        <f>G752-G755</f>
        <v/>
      </c>
    </row>
    <row r="758">
      <c r="A758" s="9" t="inlineStr">
        <is>
          <t>NOPAT before the profit share</t>
        </is>
      </c>
      <c r="C758" s="18">
        <f>C757*(1-Assumptions!$B$87)</f>
        <v/>
      </c>
      <c r="D758" s="18">
        <f>D757*(1-Assumptions!$B$87)</f>
        <v/>
      </c>
      <c r="E758" s="18">
        <f>E757*(1-Assumptions!$B$87)</f>
        <v/>
      </c>
      <c r="F758" s="18">
        <f>F757*(1-Assumptions!$B$87)</f>
        <v/>
      </c>
      <c r="G758" s="18">
        <f>G757*(1-Assumptions!$B$87)</f>
        <v/>
      </c>
    </row>
    <row r="759">
      <c r="A759" s="9" t="inlineStr">
        <is>
          <t xml:space="preserve">  less employees' profit share and board bonuses</t>
        </is>
      </c>
      <c r="C759" s="18">
        <f>MAX(C758,0)*'Base Year'!$B$40</f>
        <v/>
      </c>
      <c r="D759" s="18">
        <f>MAX(D758,0)*'Base Year'!$B$40</f>
        <v/>
      </c>
      <c r="E759" s="18">
        <f>MAX(E758,0)*'Base Year'!$B$40</f>
        <v/>
      </c>
      <c r="F759" s="18">
        <f>MAX(F758,0)*'Base Year'!$B$40</f>
        <v/>
      </c>
      <c r="G759" s="18">
        <f>MAX(G758,0)*'Base Year'!$B$40</f>
        <v/>
      </c>
    </row>
    <row r="760">
      <c r="A760" s="17" t="inlineStr">
        <is>
          <t>NOPAT</t>
        </is>
      </c>
      <c r="C760" s="20">
        <f>C758-C759</f>
        <v/>
      </c>
      <c r="D760" s="20">
        <f>D758-D759</f>
        <v/>
      </c>
      <c r="E760" s="20">
        <f>E758-E759</f>
        <v/>
      </c>
      <c r="F760" s="20">
        <f>F758-F759</f>
        <v/>
      </c>
      <c r="G760" s="20">
        <f>G758-G759</f>
        <v/>
      </c>
    </row>
    <row r="761">
      <c r="A761" s="9" t="inlineStr">
        <is>
          <t>Net working capital — on days</t>
        </is>
      </c>
      <c r="C761" s="18">
        <f>'Base Year'!$B$44*Forecast!$B$9/365*C748+'Base Year'!$B$45*Forecast!$B$9/365*C747-'Base Year'!$B$46*Forecast!$B$9/365*C748</f>
        <v/>
      </c>
      <c r="D761" s="18">
        <f>'Base Year'!$B$44*Forecast!$B$9/365*D748+'Base Year'!$B$45*Forecast!$B$9/365*D747-'Base Year'!$B$46*Forecast!$B$9/365*D748</f>
        <v/>
      </c>
      <c r="E761" s="18">
        <f>'Base Year'!$B$44*Forecast!$B$9/365*E748+'Base Year'!$B$45*Forecast!$B$9/365*E747-'Base Year'!$B$46*Forecast!$B$9/365*E748</f>
        <v/>
      </c>
      <c r="F761" s="18">
        <f>'Base Year'!$B$44*Forecast!$B$9/365*F748+'Base Year'!$B$45*Forecast!$B$9/365*F747-'Base Year'!$B$46*Forecast!$B$9/365*F748</f>
        <v/>
      </c>
      <c r="G761" s="18">
        <f>'Base Year'!$B$44*Forecast!$B$9/365*G748+'Base Year'!$B$45*Forecast!$B$9/365*G747-'Base Year'!$B$46*Forecast!$B$9/365*G748</f>
        <v/>
      </c>
    </row>
    <row r="762">
      <c r="A762" s="9" t="inlineStr">
        <is>
          <t xml:space="preserve">  change in working capital</t>
        </is>
      </c>
      <c r="C762" s="18">
        <f>C761-('Base Year'!$B$44/365*'Base Year'!$B$21+'Base Year'!$B$45/365*'Base Year'!$B$19-'Base Year'!$B$46/365*'Base Year'!$B$21)</f>
        <v/>
      </c>
      <c r="D762" s="18">
        <f>D761-C761</f>
        <v/>
      </c>
      <c r="E762" s="18">
        <f>E761-D761</f>
        <v/>
      </c>
      <c r="F762" s="18">
        <f>F761-E761</f>
        <v/>
      </c>
      <c r="G762" s="18">
        <f>G761-F761</f>
        <v/>
      </c>
    </row>
    <row r="763">
      <c r="A763" s="17" t="inlineStr">
        <is>
          <t>FREE CASH FLOW TO THE FIRM</t>
        </is>
      </c>
      <c r="C763" s="20">
        <f>C760+C755-C753-C762</f>
        <v/>
      </c>
      <c r="D763" s="20">
        <f>D760+D755-D753-D762</f>
        <v/>
      </c>
      <c r="E763" s="20">
        <f>E760+E755-E753-E762</f>
        <v/>
      </c>
      <c r="F763" s="20">
        <f>F760+F755-F753-F762</f>
        <v/>
      </c>
      <c r="G763" s="20">
        <f>G760+G755-G753-G762</f>
        <v/>
      </c>
    </row>
    <row r="764">
      <c r="A764" s="9" t="inlineStr">
        <is>
          <t>Glide fraction</t>
        </is>
      </c>
      <c r="C764" s="26">
        <f>0.0000000000</f>
        <v/>
      </c>
      <c r="D764" s="26">
        <f>0.3571428571</f>
        <v/>
      </c>
      <c r="E764" s="26">
        <f>0.6428571429</f>
        <v/>
      </c>
      <c r="F764" s="26">
        <f>0.8571428571</f>
        <v/>
      </c>
      <c r="G764" s="26">
        <f>1.0000000000</f>
        <v/>
      </c>
    </row>
    <row r="765">
      <c r="A765" s="9" t="inlineStr">
        <is>
          <t>Forward cost of capital</t>
        </is>
      </c>
      <c r="C765" s="19">
        <f>Forecast!$B$14-(Forecast!$B$14-Forecast!$B$17)*C764</f>
        <v/>
      </c>
      <c r="D765" s="19">
        <f>Forecast!$B$14-(Forecast!$B$14-Forecast!$B$17)*D764</f>
        <v/>
      </c>
      <c r="E765" s="19">
        <f>Forecast!$B$14-(Forecast!$B$14-Forecast!$B$17)*E764</f>
        <v/>
      </c>
      <c r="F765" s="19">
        <f>Forecast!$B$14-(Forecast!$B$14-Forecast!$B$17)*F764</f>
        <v/>
      </c>
      <c r="G765" s="19">
        <f>Forecast!$B$14-(Forecast!$B$14-Forecast!$B$17)*G764</f>
        <v/>
      </c>
    </row>
    <row r="766">
      <c r="A766" s="9" t="inlineStr">
        <is>
          <t>Cumulative discount factor</t>
        </is>
      </c>
      <c r="C766" s="29">
        <f>1/(1+C765)</f>
        <v/>
      </c>
      <c r="D766" s="29">
        <f>C766/(1+D765)</f>
        <v/>
      </c>
      <c r="E766" s="29">
        <f>D766/(1+E765)</f>
        <v/>
      </c>
      <c r="F766" s="29">
        <f>E766/(1+F765)</f>
        <v/>
      </c>
      <c r="G766" s="29">
        <f>F766/(1+G765)</f>
        <v/>
      </c>
    </row>
    <row r="767">
      <c r="A767" s="9" t="inlineStr">
        <is>
          <t>Present value</t>
        </is>
      </c>
      <c r="C767" s="18">
        <f>C763*C766</f>
        <v/>
      </c>
      <c r="D767" s="18">
        <f>D763*D766</f>
        <v/>
      </c>
      <c r="E767" s="18">
        <f>E763*E766</f>
        <v/>
      </c>
      <c r="F767" s="18">
        <f>F763*F766</f>
        <v/>
      </c>
      <c r="G767" s="18">
        <f>G763*G766</f>
        <v/>
      </c>
    </row>
    <row r="768">
      <c r="A768" s="17" t="inlineStr">
        <is>
          <t>PV of the explicit window</t>
        </is>
      </c>
      <c r="B768" s="20">
        <f>SUM(C767:G767)</f>
        <v/>
      </c>
      <c r="C768" s="18">
        <f>C761+C754</f>
        <v/>
      </c>
      <c r="D768" s="18">
        <f>D761+D754</f>
        <v/>
      </c>
      <c r="E768" s="18">
        <f>E761+E754</f>
        <v/>
      </c>
      <c r="F768" s="18">
        <f>F761+F754</f>
        <v/>
      </c>
      <c r="G768" s="18">
        <f>G761+G754</f>
        <v/>
      </c>
    </row>
    <row r="769">
      <c r="A769" s="9" t="inlineStr">
        <is>
          <t>Terminal return on invested capital, at REPLACEMENT cost</t>
        </is>
      </c>
      <c r="B769" s="19">
        <f>G760*(1+Assumptions!$B$89)/G768</f>
        <v/>
      </c>
    </row>
    <row r="770">
      <c r="A770" s="9" t="inlineStr">
        <is>
          <t>Required reinvestment = growth / return</t>
        </is>
      </c>
      <c r="B770" s="19">
        <f>MIN(Assumptions!$B$89/B769,0.95)</f>
        <v/>
      </c>
    </row>
    <row r="771">
      <c r="A771" s="9" t="inlineStr">
        <is>
          <t>Terminal value</t>
        </is>
      </c>
      <c r="B771" s="18">
        <f>G760*(1+Assumptions!$B$89)*(1-B770)/MAX(Forecast!$B$17-Assumptions!$B$89,0.02)</f>
        <v/>
      </c>
    </row>
    <row r="772">
      <c r="A772" s="9" t="inlineStr">
        <is>
          <t>PV of the terminal block</t>
        </is>
      </c>
      <c r="B772" s="18">
        <f>B771*G766</f>
        <v/>
      </c>
    </row>
    <row r="773">
      <c r="A773" s="17" t="inlineStr">
        <is>
          <t>ENTERPRISE VALUE</t>
        </is>
      </c>
      <c r="B773" s="20">
        <f>B768+B772</f>
        <v/>
      </c>
    </row>
    <row r="774">
      <c r="A774" s="9" t="inlineStr">
        <is>
          <t>plus net cash</t>
        </is>
      </c>
      <c r="B774" s="18">
        <f>(Assumptions!$B$79-Assumptions!$B$82-Assumptions!$B$83)/10^6</f>
        <v/>
      </c>
    </row>
    <row r="775">
      <c r="A775" s="9" t="inlineStr">
        <is>
          <t>Enterprise value including cash</t>
        </is>
      </c>
      <c r="B775" s="18">
        <f>B773+B774</f>
        <v/>
      </c>
    </row>
    <row r="776">
      <c r="A776" s="9" t="inlineStr">
        <is>
          <t>less minority — on the WHOLE enterprise, cash included</t>
        </is>
      </c>
      <c r="B776" s="18">
        <f>B775*'Base Year'!$B$41</f>
        <v/>
      </c>
    </row>
    <row r="777">
      <c r="A777" s="9" t="inlineStr">
        <is>
          <t>less the tax-disputes provision</t>
        </is>
      </c>
      <c r="B777" s="18">
        <f>Assumptions!$B$78/10^6</f>
        <v/>
      </c>
    </row>
    <row r="778">
      <c r="A778" s="9" t="inlineStr">
        <is>
          <t>less dividends payable — declared, out of working capital</t>
        </is>
      </c>
      <c r="B778" s="18">
        <f>Assumptions!$B$77/10^6</f>
        <v/>
      </c>
    </row>
    <row r="779">
      <c r="A779" s="9" t="inlineStr">
        <is>
          <t>plus non-operating investments and pledged deposits</t>
        </is>
      </c>
      <c r="B779" s="18">
        <f>(Assumptions!$B$81+Assumptions!$B$80)/10^6</f>
        <v/>
      </c>
    </row>
    <row r="780">
      <c r="A780" s="17" t="inlineStr">
        <is>
          <t>EQUITY ATTRIBUTABLE</t>
        </is>
      </c>
      <c r="B780" s="20">
        <f>B775-B776-B777-B778+B779</f>
        <v/>
      </c>
    </row>
    <row r="781">
      <c r="A781" s="17" t="inlineStr">
        <is>
          <t>VALUE PER SHARE, EGP</t>
        </is>
      </c>
      <c r="B781" s="30">
        <f>B780/Assumptions!$B$8</f>
        <v/>
      </c>
    </row>
    <row r="784">
      <c r="A784" s="6" t="inlineStr">
        <is>
          <t>Beta — 0.6000</t>
        </is>
      </c>
      <c r="B784" s="6" t="inlineStr">
        <is>
          <t>2026E</t>
        </is>
      </c>
      <c r="C784" s="6" t="inlineStr">
        <is>
          <t>2027E</t>
        </is>
      </c>
      <c r="D784" s="6" t="inlineStr">
        <is>
          <t>2028E</t>
        </is>
      </c>
      <c r="E784" s="6" t="inlineStr">
        <is>
          <t>2029E</t>
        </is>
      </c>
      <c r="F784" s="6" t="inlineStr">
        <is>
          <t>2030E</t>
        </is>
      </c>
    </row>
    <row r="785">
      <c r="A785" s="9" t="inlineStr">
        <is>
          <t>Inflation index, cumulative</t>
        </is>
      </c>
      <c r="C785" s="26">
        <f>Assumptions!$B$146</f>
        <v/>
      </c>
      <c r="D785" s="26">
        <f>C785*Assumptions!$B$147</f>
        <v/>
      </c>
      <c r="E785" s="26">
        <f>D785*Assumptions!$B$148</f>
        <v/>
      </c>
      <c r="F785" s="26">
        <f>E785*Assumptions!$B$149</f>
        <v/>
      </c>
      <c r="G785" s="26">
        <f>F785*Assumptions!$B$150</f>
        <v/>
      </c>
    </row>
    <row r="786">
      <c r="A786" s="9" t="inlineStr">
        <is>
          <t>Realisation index, cumulative</t>
        </is>
      </c>
      <c r="C786" s="26">
        <f>(1+Assumptions!$B$101*Forecast!$B$8)</f>
        <v/>
      </c>
      <c r="D786" s="26">
        <f>C786*(1+Assumptions!$B$102*Forecast!$B$8)</f>
        <v/>
      </c>
      <c r="E786" s="26">
        <f>D786*(1+Assumptions!$B$103*Forecast!$B$8)</f>
        <v/>
      </c>
      <c r="F786" s="26">
        <f>E786*(1+Assumptions!$B$104*Forecast!$B$8)</f>
        <v/>
      </c>
      <c r="G786" s="26">
        <f>F786*(1+Assumptions!$B$105*Forecast!$B$8)</f>
        <v/>
      </c>
    </row>
    <row r="787">
      <c r="A787" s="9" t="inlineStr">
        <is>
          <t xml:space="preserve">  Volume — Base and special oils, mn t</t>
        </is>
      </c>
      <c r="C787" s="26">
        <f>'Product and Cost'!E6*(1+Assumptions!$B$106+Forecast!$B$6)</f>
        <v/>
      </c>
      <c r="D787" s="26">
        <f>C787*(1+Assumptions!$B$107+Forecast!$B$6)</f>
        <v/>
      </c>
      <c r="E787" s="26">
        <f>D787*(1+Assumptions!$B$108+Forecast!$B$6)</f>
        <v/>
      </c>
      <c r="F787" s="26">
        <f>E787*(1+Assumptions!$B$109+Forecast!$B$6)</f>
        <v/>
      </c>
      <c r="G787" s="26">
        <f>F787*(1+Assumptions!$B$110+Forecast!$B$6)</f>
        <v/>
      </c>
    </row>
    <row r="788">
      <c r="A788" s="9" t="inlineStr">
        <is>
          <t xml:space="preserve">  Volume — Paraffin wax, mn t</t>
        </is>
      </c>
      <c r="C788" s="26">
        <f>'Product and Cost'!E7*(1+Assumptions!$B$111+Forecast!$B$6)</f>
        <v/>
      </c>
      <c r="D788" s="26">
        <f>C788*(1+Assumptions!$B$112+Forecast!$B$6)</f>
        <v/>
      </c>
      <c r="E788" s="26">
        <f>D788*(1+Assumptions!$B$113+Forecast!$B$6)</f>
        <v/>
      </c>
      <c r="F788" s="26">
        <f>E788*(1+Assumptions!$B$114+Forecast!$B$6)</f>
        <v/>
      </c>
      <c r="G788" s="26">
        <f>F788*(1+Assumptions!$B$115+Forecast!$B$6)</f>
        <v/>
      </c>
    </row>
    <row r="789">
      <c r="A789" s="9" t="inlineStr">
        <is>
          <t xml:space="preserve">  Volume — Gas oil, mn t</t>
        </is>
      </c>
      <c r="C789" s="26">
        <f>'Product and Cost'!E8*(1+Assumptions!$B$116+Forecast!$B$6)</f>
        <v/>
      </c>
      <c r="D789" s="26">
        <f>C789*(1+Assumptions!$B$117+Forecast!$B$6)</f>
        <v/>
      </c>
      <c r="E789" s="26">
        <f>D789*(1+Assumptions!$B$118+Forecast!$B$6)</f>
        <v/>
      </c>
      <c r="F789" s="26">
        <f>E789*(1+Assumptions!$B$119+Forecast!$B$6)</f>
        <v/>
      </c>
      <c r="G789" s="26">
        <f>F789*(1+Assumptions!$B$120+Forecast!$B$6)</f>
        <v/>
      </c>
    </row>
    <row r="790">
      <c r="A790" s="9" t="inlineStr">
        <is>
          <t xml:space="preserve">  Volume — Naphtha, mn t</t>
        </is>
      </c>
      <c r="C790" s="26">
        <f>'Product and Cost'!E9*(1+Assumptions!$B$121+Forecast!$B$6)</f>
        <v/>
      </c>
      <c r="D790" s="26">
        <f>C790*(1+Assumptions!$B$122+Forecast!$B$6)</f>
        <v/>
      </c>
      <c r="E790" s="26">
        <f>D790*(1+Assumptions!$B$123+Forecast!$B$6)</f>
        <v/>
      </c>
      <c r="F790" s="26">
        <f>E790*(1+Assumptions!$B$124+Forecast!$B$6)</f>
        <v/>
      </c>
      <c r="G790" s="26">
        <f>F790*(1+Assumptions!$B$125+Forecast!$B$6)</f>
        <v/>
      </c>
    </row>
    <row r="791">
      <c r="A791" s="9" t="inlineStr">
        <is>
          <t xml:space="preserve">  Volume — Liquefied petroleum gas, mn t</t>
        </is>
      </c>
      <c r="C791" s="26">
        <f>'Product and Cost'!E10*(1+Assumptions!$B$126+Forecast!$B$6)</f>
        <v/>
      </c>
      <c r="D791" s="26">
        <f>C791*(1+Assumptions!$B$127+Forecast!$B$6)</f>
        <v/>
      </c>
      <c r="E791" s="26">
        <f>D791*(1+Assumptions!$B$128+Forecast!$B$6)</f>
        <v/>
      </c>
      <c r="F791" s="26">
        <f>E791*(1+Assumptions!$B$129+Forecast!$B$6)</f>
        <v/>
      </c>
      <c r="G791" s="26">
        <f>F791*(1+Assumptions!$B$130+Forecast!$B$6)</f>
        <v/>
      </c>
    </row>
    <row r="792">
      <c r="A792" s="9" t="inlineStr">
        <is>
          <t xml:space="preserve">  Volume — Fuel oil (mix), mn t</t>
        </is>
      </c>
      <c r="C792" s="26">
        <f>'Product and Cost'!E11*(1+Assumptions!$B$131+Forecast!$B$6)</f>
        <v/>
      </c>
      <c r="D792" s="26">
        <f>C792*(1+Assumptions!$B$132+Forecast!$B$6)</f>
        <v/>
      </c>
      <c r="E792" s="26">
        <f>D792*(1+Assumptions!$B$133+Forecast!$B$6)</f>
        <v/>
      </c>
      <c r="F792" s="26">
        <f>E792*(1+Assumptions!$B$134+Forecast!$B$6)</f>
        <v/>
      </c>
      <c r="G792" s="26">
        <f>F792*(1+Assumptions!$B$135+Forecast!$B$6)</f>
        <v/>
      </c>
    </row>
    <row r="793">
      <c r="A793" s="9" t="inlineStr">
        <is>
          <t xml:space="preserve">  Volume — Heavy fuel oil, mn t</t>
        </is>
      </c>
      <c r="C793" s="26">
        <f>'Product and Cost'!E12*(1+Assumptions!$B$136+Forecast!$B$6)</f>
        <v/>
      </c>
      <c r="D793" s="26">
        <f>C793*(1+Assumptions!$B$137+Forecast!$B$6)</f>
        <v/>
      </c>
      <c r="E793" s="26">
        <f>D793*(1+Assumptions!$B$138+Forecast!$B$6)</f>
        <v/>
      </c>
      <c r="F793" s="26">
        <f>E793*(1+Assumptions!$B$139+Forecast!$B$6)</f>
        <v/>
      </c>
      <c r="G793" s="26">
        <f>F793*(1+Assumptions!$B$140+Forecast!$B$6)</f>
        <v/>
      </c>
    </row>
    <row r="794">
      <c r="A794" s="9" t="inlineStr">
        <is>
          <t xml:space="preserve">  Volume — Waste, mn t</t>
        </is>
      </c>
      <c r="C794" s="26">
        <f>'Product and Cost'!E13*(1+Assumptions!$B$141+Forecast!$B$6)</f>
        <v/>
      </c>
      <c r="D794" s="26">
        <f>C794*(1+Assumptions!$B$142+Forecast!$B$6)</f>
        <v/>
      </c>
      <c r="E794" s="26">
        <f>D794*(1+Assumptions!$B$143+Forecast!$B$6)</f>
        <v/>
      </c>
      <c r="F794" s="26">
        <f>E794*(1+Assumptions!$B$144+Forecast!$B$6)</f>
        <v/>
      </c>
      <c r="G794" s="26">
        <f>F794*(1+Assumptions!$B$145+Forecast!$B$6)</f>
        <v/>
      </c>
    </row>
    <row r="795">
      <c r="A795" s="17" t="inlineStr">
        <is>
          <t>Total volume, mn t</t>
        </is>
      </c>
      <c r="C795" s="28">
        <f>SUM(C787:C794)</f>
        <v/>
      </c>
      <c r="D795" s="28">
        <f>SUM(D787:D794)</f>
        <v/>
      </c>
      <c r="E795" s="28">
        <f>SUM(E787:E794)</f>
        <v/>
      </c>
      <c r="F795" s="28">
        <f>SUM(F787:F794)</f>
        <v/>
      </c>
      <c r="G795" s="28">
        <f>SUM(G787:G794)</f>
        <v/>
      </c>
    </row>
    <row r="796">
      <c r="A796" s="17" t="inlineStr">
        <is>
          <t>REVENUE</t>
        </is>
      </c>
      <c r="C796" s="20">
        <f>C787*'Product and Cost'!$F$6*C786+C788*'Product and Cost'!$F$7*C786+C789*'Product and Cost'!$F$8*C786+C790*'Product and Cost'!$F$9*C786+C791*'Product and Cost'!$F$10*C786+C792*'Product and Cost'!$F$11*C786+C793*'Product and Cost'!$F$12*C786+C794*'Product and Cost'!$F$13*C786</f>
        <v/>
      </c>
      <c r="D796" s="20">
        <f>D787*'Product and Cost'!$F$6*D786+D788*'Product and Cost'!$F$7*D786+D789*'Product and Cost'!$F$8*D786+D790*'Product and Cost'!$F$9*D786+D791*'Product and Cost'!$F$10*D786+D792*'Product and Cost'!$F$11*D786+D793*'Product and Cost'!$F$12*D786+D794*'Product and Cost'!$F$13*D786</f>
        <v/>
      </c>
      <c r="E796" s="20">
        <f>E787*'Product and Cost'!$F$6*E786+E788*'Product and Cost'!$F$7*E786+E789*'Product and Cost'!$F$8*E786+E790*'Product and Cost'!$F$9*E786+E791*'Product and Cost'!$F$10*E786+E792*'Product and Cost'!$F$11*E786+E793*'Product and Cost'!$F$12*E786+E794*'Product and Cost'!$F$13*E786</f>
        <v/>
      </c>
      <c r="F796" s="20">
        <f>F787*'Product and Cost'!$F$6*F786+F788*'Product and Cost'!$F$7*F786+F789*'Product and Cost'!$F$8*F786+F790*'Product and Cost'!$F$9*F786+F791*'Product and Cost'!$F$10*F786+F792*'Product and Cost'!$F$11*F786+F793*'Product and Cost'!$F$12*F786+F794*'Product and Cost'!$F$13*F786</f>
        <v/>
      </c>
      <c r="G796" s="20">
        <f>G787*'Product and Cost'!$F$6*G786+G788*'Product and Cost'!$F$7*G786+G789*'Product and Cost'!$F$8*G786+G790*'Product and Cost'!$F$9*G786+G791*'Product and Cost'!$F$10*G786+G792*'Product and Cost'!$F$11*G786+G793*'Product and Cost'!$F$12*G786+G794*'Product and Cost'!$F$13*G786</f>
        <v/>
      </c>
    </row>
    <row r="797">
      <c r="A797" s="9" t="inlineStr">
        <is>
          <t>Cost of sales</t>
        </is>
      </c>
      <c r="C797" s="18">
        <f>C787*('Product and Cost'!$D$27*C786*Assumptions!$B$88+'Product and Cost'!$B$27*(0.4863620081*C785+0.4455809638*C785+0.0356254898*C786+0.0324315384))+C788*('Product and Cost'!$D$28*C786*Assumptions!$B$88+'Product and Cost'!$B$28*(0.4863620081*C785+0.4455809638*C785+0.0356254898*C786+0.0324315384))+C789*('Product and Cost'!$D$29*C786*Assumptions!$B$88+'Product and Cost'!$B$29*(0.4863620081*C785+0.4455809638*C785+0.0356254898*C786+0.0324315384))+C790*('Product and Cost'!$D$30*C786*Assumptions!$B$88+'Product and Cost'!$B$30*(0.4863620081*C785+0.4455809638*C785+0.0356254898*C786+0.0324315384))+C791*('Product and Cost'!$D$31*C786*Assumptions!$B$88+'Product and Cost'!$B$31*(0.4863620081*C785+0.4455809638*C785+0.0356254898*C786+0.0324315384))+C792*('Product and Cost'!$D$32*C786*Assumptions!$B$88+'Product and Cost'!$B$32*(0.4863620081*C785+0.4455809638*C785+0.0356254898*C786+0.0324315384))+C793*('Product and Cost'!$D$33*C786*Assumptions!$B$88+'Product and Cost'!$B$33*(0.4863620081*C785+0.4455809638*C785+0.0356254898*C786+0.0324315384))+C794*('Product and Cost'!$D$34*C786*Assumptions!$B$88+'Product and Cost'!$B$34*(0.4863620081*C785+0.4455809638*C785+0.0356254898*C786+0.0324315384))</f>
        <v/>
      </c>
      <c r="D797" s="18">
        <f>D787*('Product and Cost'!$D$27*D786*Assumptions!$B$88+'Product and Cost'!$B$27*(0.4863620081*D785+0.4455809638*D785+0.0356254898*D786+0.0324315384))+D788*('Product and Cost'!$D$28*D786*Assumptions!$B$88+'Product and Cost'!$B$28*(0.4863620081*D785+0.4455809638*D785+0.0356254898*D786+0.0324315384))+D789*('Product and Cost'!$D$29*D786*Assumptions!$B$88+'Product and Cost'!$B$29*(0.4863620081*D785+0.4455809638*D785+0.0356254898*D786+0.0324315384))+D790*('Product and Cost'!$D$30*D786*Assumptions!$B$88+'Product and Cost'!$B$30*(0.4863620081*D785+0.4455809638*D785+0.0356254898*D786+0.0324315384))+D791*('Product and Cost'!$D$31*D786*Assumptions!$B$88+'Product and Cost'!$B$31*(0.4863620081*D785+0.4455809638*D785+0.0356254898*D786+0.0324315384))+D792*('Product and Cost'!$D$32*D786*Assumptions!$B$88+'Product and Cost'!$B$32*(0.4863620081*D785+0.4455809638*D785+0.0356254898*D786+0.0324315384))+D793*('Product and Cost'!$D$33*D786*Assumptions!$B$88+'Product and Cost'!$B$33*(0.4863620081*D785+0.4455809638*D785+0.0356254898*D786+0.0324315384))+D794*('Product and Cost'!$D$34*D786*Assumptions!$B$88+'Product and Cost'!$B$34*(0.4863620081*D785+0.4455809638*D785+0.0356254898*D786+0.0324315384))</f>
        <v/>
      </c>
      <c r="E797" s="18">
        <f>E787*('Product and Cost'!$D$27*E786*Assumptions!$B$88+'Product and Cost'!$B$27*(0.4863620081*E785+0.4455809638*E785+0.0356254898*E786+0.0324315384))+E788*('Product and Cost'!$D$28*E786*Assumptions!$B$88+'Product and Cost'!$B$28*(0.4863620081*E785+0.4455809638*E785+0.0356254898*E786+0.0324315384))+E789*('Product and Cost'!$D$29*E786*Assumptions!$B$88+'Product and Cost'!$B$29*(0.4863620081*E785+0.4455809638*E785+0.0356254898*E786+0.0324315384))+E790*('Product and Cost'!$D$30*E786*Assumptions!$B$88+'Product and Cost'!$B$30*(0.4863620081*E785+0.4455809638*E785+0.0356254898*E786+0.0324315384))+E791*('Product and Cost'!$D$31*E786*Assumptions!$B$88+'Product and Cost'!$B$31*(0.4863620081*E785+0.4455809638*E785+0.0356254898*E786+0.0324315384))+E792*('Product and Cost'!$D$32*E786*Assumptions!$B$88+'Product and Cost'!$B$32*(0.4863620081*E785+0.4455809638*E785+0.0356254898*E786+0.0324315384))+E793*('Product and Cost'!$D$33*E786*Assumptions!$B$88+'Product and Cost'!$B$33*(0.4863620081*E785+0.4455809638*E785+0.0356254898*E786+0.0324315384))+E794*('Product and Cost'!$D$34*E786*Assumptions!$B$88+'Product and Cost'!$B$34*(0.4863620081*E785+0.4455809638*E785+0.0356254898*E786+0.0324315384))</f>
        <v/>
      </c>
      <c r="F797" s="18">
        <f>F787*('Product and Cost'!$D$27*F786*Assumptions!$B$88+'Product and Cost'!$B$27*(0.4863620081*F785+0.4455809638*F785+0.0356254898*F786+0.0324315384))+F788*('Product and Cost'!$D$28*F786*Assumptions!$B$88+'Product and Cost'!$B$28*(0.4863620081*F785+0.4455809638*F785+0.0356254898*F786+0.0324315384))+F789*('Product and Cost'!$D$29*F786*Assumptions!$B$88+'Product and Cost'!$B$29*(0.4863620081*F785+0.4455809638*F785+0.0356254898*F786+0.0324315384))+F790*('Product and Cost'!$D$30*F786*Assumptions!$B$88+'Product and Cost'!$B$30*(0.4863620081*F785+0.4455809638*F785+0.0356254898*F786+0.0324315384))+F791*('Product and Cost'!$D$31*F786*Assumptions!$B$88+'Product and Cost'!$B$31*(0.4863620081*F785+0.4455809638*F785+0.0356254898*F786+0.0324315384))+F792*('Product and Cost'!$D$32*F786*Assumptions!$B$88+'Product and Cost'!$B$32*(0.4863620081*F785+0.4455809638*F785+0.0356254898*F786+0.0324315384))+F793*('Product and Cost'!$D$33*F786*Assumptions!$B$88+'Product and Cost'!$B$33*(0.4863620081*F785+0.4455809638*F785+0.0356254898*F786+0.0324315384))+F794*('Product and Cost'!$D$34*F786*Assumptions!$B$88+'Product and Cost'!$B$34*(0.4863620081*F785+0.4455809638*F785+0.0356254898*F786+0.0324315384))</f>
        <v/>
      </c>
      <c r="G797" s="18">
        <f>G787*('Product and Cost'!$D$27*G786*Assumptions!$B$88+'Product and Cost'!$B$27*(0.4863620081*G785+0.4455809638*G785+0.0356254898*G786+0.0324315384))+G788*('Product and Cost'!$D$28*G786*Assumptions!$B$88+'Product and Cost'!$B$28*(0.4863620081*G785+0.4455809638*G785+0.0356254898*G786+0.0324315384))+G789*('Product and Cost'!$D$29*G786*Assumptions!$B$88+'Product and Cost'!$B$29*(0.4863620081*G785+0.4455809638*G785+0.0356254898*G786+0.0324315384))+G790*('Product and Cost'!$D$30*G786*Assumptions!$B$88+'Product and Cost'!$B$30*(0.4863620081*G785+0.4455809638*G785+0.0356254898*G786+0.0324315384))+G791*('Product and Cost'!$D$31*G786*Assumptions!$B$88+'Product and Cost'!$B$31*(0.4863620081*G785+0.4455809638*G785+0.0356254898*G786+0.0324315384))+G792*('Product and Cost'!$D$32*G786*Assumptions!$B$88+'Product and Cost'!$B$32*(0.4863620081*G785+0.4455809638*G785+0.0356254898*G786+0.0324315384))+G793*('Product and Cost'!$D$33*G786*Assumptions!$B$88+'Product and Cost'!$B$33*(0.4863620081*G785+0.4455809638*G785+0.0356254898*G786+0.0324315384))+G794*('Product and Cost'!$D$34*G786*Assumptions!$B$88+'Product and Cost'!$B$34*(0.4863620081*G785+0.4455809638*G785+0.0356254898*G786+0.0324315384))</f>
        <v/>
      </c>
    </row>
    <row r="798">
      <c r="A798" s="17" t="inlineStr">
        <is>
          <t>GROSS PROFIT</t>
        </is>
      </c>
      <c r="C798" s="20">
        <f>C796-C797+Forecast!$B$7*C796</f>
        <v/>
      </c>
      <c r="D798" s="20">
        <f>D796-D797+Forecast!$B$7*D796</f>
        <v/>
      </c>
      <c r="E798" s="20">
        <f>E796-E797+Forecast!$B$7*E796</f>
        <v/>
      </c>
      <c r="F798" s="20">
        <f>F796-F797+Forecast!$B$7*F796</f>
        <v/>
      </c>
      <c r="G798" s="20">
        <f>G796-G797+Forecast!$B$7*G796</f>
        <v/>
      </c>
    </row>
    <row r="799">
      <c r="A799" s="9" t="inlineStr">
        <is>
          <t>Gross margin</t>
        </is>
      </c>
      <c r="C799" s="19">
        <f>C798/C796</f>
        <v/>
      </c>
      <c r="D799" s="19">
        <f>D798/D796</f>
        <v/>
      </c>
      <c r="E799" s="19">
        <f>E798/E796</f>
        <v/>
      </c>
      <c r="F799" s="19">
        <f>F798/F796</f>
        <v/>
      </c>
      <c r="G799" s="19">
        <f>G798/G796</f>
        <v/>
      </c>
    </row>
    <row r="800">
      <c r="A800" s="9" t="inlineStr">
        <is>
          <t>Operating expense</t>
        </is>
      </c>
      <c r="C800" s="18">
        <f>('Base Year'!$B$28*C785)+('Base Year'!$B$29*C785*C795/'Product and Cost'!$E$14)+('Base Year'!$B$30*C785)+('Base Year'!$B$31*C785)</f>
        <v/>
      </c>
      <c r="D800" s="18">
        <f>('Base Year'!$B$28*D785)+('Base Year'!$B$29*D785*D795/'Product and Cost'!$E$14)+('Base Year'!$B$30*D785)+('Base Year'!$B$31*D785)</f>
        <v/>
      </c>
      <c r="E800" s="18">
        <f>('Base Year'!$B$28*E785)+('Base Year'!$B$29*E785*E795/'Product and Cost'!$E$14)+('Base Year'!$B$30*E785)+('Base Year'!$B$31*E785)</f>
        <v/>
      </c>
      <c r="F800" s="18">
        <f>('Base Year'!$B$28*F785)+('Base Year'!$B$29*F785*F795/'Product and Cost'!$E$14)+('Base Year'!$B$30*F785)+('Base Year'!$B$31*F785)</f>
        <v/>
      </c>
      <c r="G800" s="18">
        <f>('Base Year'!$B$28*G785)+('Base Year'!$B$29*G785*G795/'Product and Cost'!$E$14)+('Base Year'!$B$30*G785)+('Base Year'!$B$31*G785)</f>
        <v/>
      </c>
    </row>
    <row r="801">
      <c r="A801" s="17" t="inlineStr">
        <is>
          <t>EBITDA</t>
        </is>
      </c>
      <c r="C801" s="20">
        <f>C798-C800</f>
        <v/>
      </c>
      <c r="D801" s="20">
        <f>D798-D800</f>
        <v/>
      </c>
      <c r="E801" s="20">
        <f>E798-E800</f>
        <v/>
      </c>
      <c r="F801" s="20">
        <f>F798-F800</f>
        <v/>
      </c>
      <c r="G801" s="20">
        <f>G798-G800</f>
        <v/>
      </c>
    </row>
    <row r="802">
      <c r="A802" s="9" t="inlineStr">
        <is>
          <t>Capital expenditure — maintenance + growth</t>
        </is>
      </c>
      <c r="C802" s="18">
        <f>'Base Year'!$B$43*C785+MAX(C795-'Product and Cost'!$E$14,0)*1947.901031*C785</f>
        <v/>
      </c>
      <c r="D802" s="18">
        <f>'Base Year'!$B$43*D785+MAX(D795-C795,0)*1947.901031*D785</f>
        <v/>
      </c>
      <c r="E802" s="18">
        <f>'Base Year'!$B$43*E785+MAX(E795-D795,0)*1947.901031*E785</f>
        <v/>
      </c>
      <c r="F802" s="18">
        <f>'Base Year'!$B$43*F785+MAX(F795-E795,0)*1947.901031*F785</f>
        <v/>
      </c>
      <c r="G802" s="18">
        <f>'Base Year'!$B$43*G785+MAX(G795-F795,0)*1947.901031*G785</f>
        <v/>
      </c>
    </row>
    <row r="803">
      <c r="A803" s="9" t="inlineStr">
        <is>
          <t>Fixed assets at cost, closing</t>
        </is>
      </c>
      <c r="C803" s="18">
        <f>(Assumptions!$B$70+Assumptions!$B$71)/10^6+C802</f>
        <v/>
      </c>
      <c r="D803" s="18">
        <f>C803+D802</f>
        <v/>
      </c>
      <c r="E803" s="18">
        <f>D803+E802</f>
        <v/>
      </c>
      <c r="F803" s="18">
        <f>E803+F802</f>
        <v/>
      </c>
      <c r="G803" s="18">
        <f>F803+G802</f>
        <v/>
      </c>
    </row>
    <row r="804">
      <c r="A804" s="9" t="inlineStr">
        <is>
          <t>Depreciation — rolls off the asset register</t>
        </is>
      </c>
      <c r="C804" s="18">
        <f>(Assumptions!$B$70+Assumptions!$B$71)/10^6/'Base Year'!$B$42</f>
        <v/>
      </c>
      <c r="D804" s="18">
        <f>C803/'Base Year'!$B$42</f>
        <v/>
      </c>
      <c r="E804" s="18">
        <f>D803/'Base Year'!$B$42</f>
        <v/>
      </c>
      <c r="F804" s="18">
        <f>E803/'Base Year'!$B$42</f>
        <v/>
      </c>
      <c r="G804" s="18">
        <f>F803/'Base Year'!$B$42</f>
        <v/>
      </c>
    </row>
    <row r="805">
      <c r="A805" s="9" t="inlineStr">
        <is>
          <t>Fixed assets, net book, closing</t>
        </is>
      </c>
      <c r="C805" s="18">
        <f>(Assumptions!$B$69+Assumptions!$B$71)/10^6+C802-C804</f>
        <v/>
      </c>
      <c r="D805" s="18">
        <f>C805+D802-D804</f>
        <v/>
      </c>
      <c r="E805" s="18">
        <f>D805+E802-E804</f>
        <v/>
      </c>
      <c r="F805" s="18">
        <f>E805+F802-F804</f>
        <v/>
      </c>
      <c r="G805" s="18">
        <f>F805+G802-G804</f>
        <v/>
      </c>
    </row>
    <row r="806">
      <c r="A806" s="17" t="inlineStr">
        <is>
          <t>EBIT</t>
        </is>
      </c>
      <c r="C806" s="20">
        <f>C801-C804</f>
        <v/>
      </c>
      <c r="D806" s="20">
        <f>D801-D804</f>
        <v/>
      </c>
      <c r="E806" s="20">
        <f>E801-E804</f>
        <v/>
      </c>
      <c r="F806" s="20">
        <f>F801-F804</f>
        <v/>
      </c>
      <c r="G806" s="20">
        <f>G801-G804</f>
        <v/>
      </c>
    </row>
    <row r="807">
      <c r="A807" s="9" t="inlineStr">
        <is>
          <t>NOPAT before the profit share</t>
        </is>
      </c>
      <c r="C807" s="18">
        <f>C806*(1-Assumptions!$B$87)</f>
        <v/>
      </c>
      <c r="D807" s="18">
        <f>D806*(1-Assumptions!$B$87)</f>
        <v/>
      </c>
      <c r="E807" s="18">
        <f>E806*(1-Assumptions!$B$87)</f>
        <v/>
      </c>
      <c r="F807" s="18">
        <f>F806*(1-Assumptions!$B$87)</f>
        <v/>
      </c>
      <c r="G807" s="18">
        <f>G806*(1-Assumptions!$B$87)</f>
        <v/>
      </c>
    </row>
    <row r="808">
      <c r="A808" s="9" t="inlineStr">
        <is>
          <t xml:space="preserve">  less employees' profit share and board bonuses</t>
        </is>
      </c>
      <c r="C808" s="18">
        <f>MAX(C807,0)*'Base Year'!$B$40</f>
        <v/>
      </c>
      <c r="D808" s="18">
        <f>MAX(D807,0)*'Base Year'!$B$40</f>
        <v/>
      </c>
      <c r="E808" s="18">
        <f>MAX(E807,0)*'Base Year'!$B$40</f>
        <v/>
      </c>
      <c r="F808" s="18">
        <f>MAX(F807,0)*'Base Year'!$B$40</f>
        <v/>
      </c>
      <c r="G808" s="18">
        <f>MAX(G807,0)*'Base Year'!$B$40</f>
        <v/>
      </c>
    </row>
    <row r="809">
      <c r="A809" s="17" t="inlineStr">
        <is>
          <t>NOPAT</t>
        </is>
      </c>
      <c r="C809" s="20">
        <f>C807-C808</f>
        <v/>
      </c>
      <c r="D809" s="20">
        <f>D807-D808</f>
        <v/>
      </c>
      <c r="E809" s="20">
        <f>E807-E808</f>
        <v/>
      </c>
      <c r="F809" s="20">
        <f>F807-F808</f>
        <v/>
      </c>
      <c r="G809" s="20">
        <f>G807-G808</f>
        <v/>
      </c>
    </row>
    <row r="810">
      <c r="A810" s="9" t="inlineStr">
        <is>
          <t>Net working capital — on days</t>
        </is>
      </c>
      <c r="C810" s="18">
        <f>'Base Year'!$B$44*Forecast!$B$9/365*C797+'Base Year'!$B$45*Forecast!$B$9/365*C796-'Base Year'!$B$46*Forecast!$B$9/365*C797</f>
        <v/>
      </c>
      <c r="D810" s="18">
        <f>'Base Year'!$B$44*Forecast!$B$9/365*D797+'Base Year'!$B$45*Forecast!$B$9/365*D796-'Base Year'!$B$46*Forecast!$B$9/365*D797</f>
        <v/>
      </c>
      <c r="E810" s="18">
        <f>'Base Year'!$B$44*Forecast!$B$9/365*E797+'Base Year'!$B$45*Forecast!$B$9/365*E796-'Base Year'!$B$46*Forecast!$B$9/365*E797</f>
        <v/>
      </c>
      <c r="F810" s="18">
        <f>'Base Year'!$B$44*Forecast!$B$9/365*F797+'Base Year'!$B$45*Forecast!$B$9/365*F796-'Base Year'!$B$46*Forecast!$B$9/365*F797</f>
        <v/>
      </c>
      <c r="G810" s="18">
        <f>'Base Year'!$B$44*Forecast!$B$9/365*G797+'Base Year'!$B$45*Forecast!$B$9/365*G796-'Base Year'!$B$46*Forecast!$B$9/365*G797</f>
        <v/>
      </c>
    </row>
    <row r="811">
      <c r="A811" s="9" t="inlineStr">
        <is>
          <t xml:space="preserve">  change in working capital</t>
        </is>
      </c>
      <c r="C811" s="18">
        <f>C810-('Base Year'!$B$44/365*'Base Year'!$B$21+'Base Year'!$B$45/365*'Base Year'!$B$19-'Base Year'!$B$46/365*'Base Year'!$B$21)</f>
        <v/>
      </c>
      <c r="D811" s="18">
        <f>D810-C810</f>
        <v/>
      </c>
      <c r="E811" s="18">
        <f>E810-D810</f>
        <v/>
      </c>
      <c r="F811" s="18">
        <f>F810-E810</f>
        <v/>
      </c>
      <c r="G811" s="18">
        <f>G810-F810</f>
        <v/>
      </c>
    </row>
    <row r="812">
      <c r="A812" s="17" t="inlineStr">
        <is>
          <t>FREE CASH FLOW TO THE FIRM</t>
        </is>
      </c>
      <c r="C812" s="20">
        <f>C809+C804-C802-C811</f>
        <v/>
      </c>
      <c r="D812" s="20">
        <f>D809+D804-D802-D811</f>
        <v/>
      </c>
      <c r="E812" s="20">
        <f>E809+E804-E802-E811</f>
        <v/>
      </c>
      <c r="F812" s="20">
        <f>F809+F804-F802-F811</f>
        <v/>
      </c>
      <c r="G812" s="20">
        <f>G809+G804-G802-G811</f>
        <v/>
      </c>
    </row>
    <row r="813">
      <c r="A813" s="9" t="inlineStr">
        <is>
          <t>Glide fraction</t>
        </is>
      </c>
      <c r="C813" s="26">
        <f>0.0000000000</f>
        <v/>
      </c>
      <c r="D813" s="26">
        <f>0.3571428571</f>
        <v/>
      </c>
      <c r="E813" s="26">
        <f>0.6428571429</f>
        <v/>
      </c>
      <c r="F813" s="26">
        <f>0.8571428571</f>
        <v/>
      </c>
      <c r="G813" s="26">
        <f>1.0000000000</f>
        <v/>
      </c>
    </row>
    <row r="814">
      <c r="A814" s="9" t="inlineStr">
        <is>
          <t>Forward cost of capital</t>
        </is>
      </c>
      <c r="C814" s="19">
        <f>$F$27-($F$27-$G$27)*C813</f>
        <v/>
      </c>
      <c r="D814" s="19">
        <f>$F$27-($F$27-$G$27)*D813</f>
        <v/>
      </c>
      <c r="E814" s="19">
        <f>$F$27-($F$27-$G$27)*E813</f>
        <v/>
      </c>
      <c r="F814" s="19">
        <f>$F$27-($F$27-$G$27)*F813</f>
        <v/>
      </c>
      <c r="G814" s="19">
        <f>$F$27-($F$27-$G$27)*G813</f>
        <v/>
      </c>
    </row>
    <row r="815">
      <c r="A815" s="9" t="inlineStr">
        <is>
          <t>Cumulative discount factor</t>
        </is>
      </c>
      <c r="C815" s="29">
        <f>1/(1+C814)</f>
        <v/>
      </c>
      <c r="D815" s="29">
        <f>C815/(1+D814)</f>
        <v/>
      </c>
      <c r="E815" s="29">
        <f>D815/(1+E814)</f>
        <v/>
      </c>
      <c r="F815" s="29">
        <f>E815/(1+F814)</f>
        <v/>
      </c>
      <c r="G815" s="29">
        <f>F815/(1+G814)</f>
        <v/>
      </c>
    </row>
    <row r="816">
      <c r="A816" s="9" t="inlineStr">
        <is>
          <t>Present value</t>
        </is>
      </c>
      <c r="C816" s="18">
        <f>C812*C815</f>
        <v/>
      </c>
      <c r="D816" s="18">
        <f>D812*D815</f>
        <v/>
      </c>
      <c r="E816" s="18">
        <f>E812*E815</f>
        <v/>
      </c>
      <c r="F816" s="18">
        <f>F812*F815</f>
        <v/>
      </c>
      <c r="G816" s="18">
        <f>G812*G815</f>
        <v/>
      </c>
    </row>
    <row r="817">
      <c r="A817" s="17" t="inlineStr">
        <is>
          <t>PV of the explicit window</t>
        </is>
      </c>
      <c r="B817" s="20">
        <f>SUM(C816:G816)</f>
        <v/>
      </c>
      <c r="C817" s="18">
        <f>C810+C803</f>
        <v/>
      </c>
      <c r="D817" s="18">
        <f>D810+D803</f>
        <v/>
      </c>
      <c r="E817" s="18">
        <f>E810+E803</f>
        <v/>
      </c>
      <c r="F817" s="18">
        <f>F810+F803</f>
        <v/>
      </c>
      <c r="G817" s="18">
        <f>G810+G803</f>
        <v/>
      </c>
    </row>
    <row r="818">
      <c r="A818" s="9" t="inlineStr">
        <is>
          <t>Terminal return on invested capital, at REPLACEMENT cost</t>
        </is>
      </c>
      <c r="B818" s="19">
        <f>G809*(1+Assumptions!$B$89)/G817</f>
        <v/>
      </c>
    </row>
    <row r="819">
      <c r="A819" s="9" t="inlineStr">
        <is>
          <t>Required reinvestment = growth / return</t>
        </is>
      </c>
      <c r="B819" s="19">
        <f>MIN(Assumptions!$B$89/B818,0.95)</f>
        <v/>
      </c>
    </row>
    <row r="820">
      <c r="A820" s="9" t="inlineStr">
        <is>
          <t>Terminal value</t>
        </is>
      </c>
      <c r="B820" s="18">
        <f>G809*(1+Assumptions!$B$89)*(1-B819)/MAX($G$27-Assumptions!$B$89,0.02)</f>
        <v/>
      </c>
    </row>
    <row r="821">
      <c r="A821" s="9" t="inlineStr">
        <is>
          <t>PV of the terminal block</t>
        </is>
      </c>
      <c r="B821" s="18">
        <f>B820*G815</f>
        <v/>
      </c>
    </row>
    <row r="822">
      <c r="A822" s="17" t="inlineStr">
        <is>
          <t>ENTERPRISE VALUE</t>
        </is>
      </c>
      <c r="B822" s="20">
        <f>B817+B821</f>
        <v/>
      </c>
    </row>
    <row r="823">
      <c r="A823" s="9" t="inlineStr">
        <is>
          <t>plus net cash</t>
        </is>
      </c>
      <c r="B823" s="18">
        <f>(Assumptions!$B$79-Assumptions!$B$82-Assumptions!$B$83)/10^6</f>
        <v/>
      </c>
    </row>
    <row r="824">
      <c r="A824" s="9" t="inlineStr">
        <is>
          <t>Enterprise value including cash</t>
        </is>
      </c>
      <c r="B824" s="18">
        <f>B822+B823</f>
        <v/>
      </c>
    </row>
    <row r="825">
      <c r="A825" s="9" t="inlineStr">
        <is>
          <t>less minority — on the WHOLE enterprise, cash included</t>
        </is>
      </c>
      <c r="B825" s="18">
        <f>B824*'Base Year'!$B$41</f>
        <v/>
      </c>
    </row>
    <row r="826">
      <c r="A826" s="9" t="inlineStr">
        <is>
          <t>less the tax-disputes provision</t>
        </is>
      </c>
      <c r="B826" s="18">
        <f>Assumptions!$B$78/10^6</f>
        <v/>
      </c>
    </row>
    <row r="827">
      <c r="A827" s="9" t="inlineStr">
        <is>
          <t>less dividends payable — declared, out of working capital</t>
        </is>
      </c>
      <c r="B827" s="18">
        <f>Assumptions!$B$77/10^6</f>
        <v/>
      </c>
    </row>
    <row r="828">
      <c r="A828" s="9" t="inlineStr">
        <is>
          <t>plus non-operating investments and pledged deposits</t>
        </is>
      </c>
      <c r="B828" s="18">
        <f>(Assumptions!$B$81+Assumptions!$B$80)/10^6</f>
        <v/>
      </c>
    </row>
    <row r="829">
      <c r="A829" s="17" t="inlineStr">
        <is>
          <t>EQUITY ATTRIBUTABLE</t>
        </is>
      </c>
      <c r="B829" s="20">
        <f>B824-B825-B826-B827+B828</f>
        <v/>
      </c>
    </row>
    <row r="830">
      <c r="A830" s="17" t="inlineStr">
        <is>
          <t>VALUE PER SHARE, EGP</t>
        </is>
      </c>
      <c r="B830" s="30">
        <f>B829/Assumptions!$B$8</f>
        <v/>
      </c>
    </row>
    <row r="833">
      <c r="A833" s="6" t="inlineStr">
        <is>
          <t>Beta — 0.8000</t>
        </is>
      </c>
      <c r="B833" s="6" t="inlineStr">
        <is>
          <t>2026E</t>
        </is>
      </c>
      <c r="C833" s="6" t="inlineStr">
        <is>
          <t>2027E</t>
        </is>
      </c>
      <c r="D833" s="6" t="inlineStr">
        <is>
          <t>2028E</t>
        </is>
      </c>
      <c r="E833" s="6" t="inlineStr">
        <is>
          <t>2029E</t>
        </is>
      </c>
      <c r="F833" s="6" t="inlineStr">
        <is>
          <t>2030E</t>
        </is>
      </c>
    </row>
    <row r="834">
      <c r="A834" s="9" t="inlineStr">
        <is>
          <t>Inflation index, cumulative</t>
        </is>
      </c>
      <c r="C834" s="26">
        <f>Assumptions!$B$146</f>
        <v/>
      </c>
      <c r="D834" s="26">
        <f>C834*Assumptions!$B$147</f>
        <v/>
      </c>
      <c r="E834" s="26">
        <f>D834*Assumptions!$B$148</f>
        <v/>
      </c>
      <c r="F834" s="26">
        <f>E834*Assumptions!$B$149</f>
        <v/>
      </c>
      <c r="G834" s="26">
        <f>F834*Assumptions!$B$150</f>
        <v/>
      </c>
    </row>
    <row r="835">
      <c r="A835" s="9" t="inlineStr">
        <is>
          <t>Realisation index, cumulative</t>
        </is>
      </c>
      <c r="C835" s="26">
        <f>(1+Assumptions!$B$101*Forecast!$B$8)</f>
        <v/>
      </c>
      <c r="D835" s="26">
        <f>C835*(1+Assumptions!$B$102*Forecast!$B$8)</f>
        <v/>
      </c>
      <c r="E835" s="26">
        <f>D835*(1+Assumptions!$B$103*Forecast!$B$8)</f>
        <v/>
      </c>
      <c r="F835" s="26">
        <f>E835*(1+Assumptions!$B$104*Forecast!$B$8)</f>
        <v/>
      </c>
      <c r="G835" s="26">
        <f>F835*(1+Assumptions!$B$105*Forecast!$B$8)</f>
        <v/>
      </c>
    </row>
    <row r="836">
      <c r="A836" s="9" t="inlineStr">
        <is>
          <t xml:space="preserve">  Volume — Base and special oils, mn t</t>
        </is>
      </c>
      <c r="C836" s="26">
        <f>'Product and Cost'!E6*(1+Assumptions!$B$106+Forecast!$B$6)</f>
        <v/>
      </c>
      <c r="D836" s="26">
        <f>C836*(1+Assumptions!$B$107+Forecast!$B$6)</f>
        <v/>
      </c>
      <c r="E836" s="26">
        <f>D836*(1+Assumptions!$B$108+Forecast!$B$6)</f>
        <v/>
      </c>
      <c r="F836" s="26">
        <f>E836*(1+Assumptions!$B$109+Forecast!$B$6)</f>
        <v/>
      </c>
      <c r="G836" s="26">
        <f>F836*(1+Assumptions!$B$110+Forecast!$B$6)</f>
        <v/>
      </c>
    </row>
    <row r="837">
      <c r="A837" s="9" t="inlineStr">
        <is>
          <t xml:space="preserve">  Volume — Paraffin wax, mn t</t>
        </is>
      </c>
      <c r="C837" s="26">
        <f>'Product and Cost'!E7*(1+Assumptions!$B$111+Forecast!$B$6)</f>
        <v/>
      </c>
      <c r="D837" s="26">
        <f>C837*(1+Assumptions!$B$112+Forecast!$B$6)</f>
        <v/>
      </c>
      <c r="E837" s="26">
        <f>D837*(1+Assumptions!$B$113+Forecast!$B$6)</f>
        <v/>
      </c>
      <c r="F837" s="26">
        <f>E837*(1+Assumptions!$B$114+Forecast!$B$6)</f>
        <v/>
      </c>
      <c r="G837" s="26">
        <f>F837*(1+Assumptions!$B$115+Forecast!$B$6)</f>
        <v/>
      </c>
    </row>
    <row r="838">
      <c r="A838" s="9" t="inlineStr">
        <is>
          <t xml:space="preserve">  Volume — Gas oil, mn t</t>
        </is>
      </c>
      <c r="C838" s="26">
        <f>'Product and Cost'!E8*(1+Assumptions!$B$116+Forecast!$B$6)</f>
        <v/>
      </c>
      <c r="D838" s="26">
        <f>C838*(1+Assumptions!$B$117+Forecast!$B$6)</f>
        <v/>
      </c>
      <c r="E838" s="26">
        <f>D838*(1+Assumptions!$B$118+Forecast!$B$6)</f>
        <v/>
      </c>
      <c r="F838" s="26">
        <f>E838*(1+Assumptions!$B$119+Forecast!$B$6)</f>
        <v/>
      </c>
      <c r="G838" s="26">
        <f>F838*(1+Assumptions!$B$120+Forecast!$B$6)</f>
        <v/>
      </c>
    </row>
    <row r="839">
      <c r="A839" s="9" t="inlineStr">
        <is>
          <t xml:space="preserve">  Volume — Naphtha, mn t</t>
        </is>
      </c>
      <c r="C839" s="26">
        <f>'Product and Cost'!E9*(1+Assumptions!$B$121+Forecast!$B$6)</f>
        <v/>
      </c>
      <c r="D839" s="26">
        <f>C839*(1+Assumptions!$B$122+Forecast!$B$6)</f>
        <v/>
      </c>
      <c r="E839" s="26">
        <f>D839*(1+Assumptions!$B$123+Forecast!$B$6)</f>
        <v/>
      </c>
      <c r="F839" s="26">
        <f>E839*(1+Assumptions!$B$124+Forecast!$B$6)</f>
        <v/>
      </c>
      <c r="G839" s="26">
        <f>F839*(1+Assumptions!$B$125+Forecast!$B$6)</f>
        <v/>
      </c>
    </row>
    <row r="840">
      <c r="A840" s="9" t="inlineStr">
        <is>
          <t xml:space="preserve">  Volume — Liquefied petroleum gas, mn t</t>
        </is>
      </c>
      <c r="C840" s="26">
        <f>'Product and Cost'!E10*(1+Assumptions!$B$126+Forecast!$B$6)</f>
        <v/>
      </c>
      <c r="D840" s="26">
        <f>C840*(1+Assumptions!$B$127+Forecast!$B$6)</f>
        <v/>
      </c>
      <c r="E840" s="26">
        <f>D840*(1+Assumptions!$B$128+Forecast!$B$6)</f>
        <v/>
      </c>
      <c r="F840" s="26">
        <f>E840*(1+Assumptions!$B$129+Forecast!$B$6)</f>
        <v/>
      </c>
      <c r="G840" s="26">
        <f>F840*(1+Assumptions!$B$130+Forecast!$B$6)</f>
        <v/>
      </c>
    </row>
    <row r="841">
      <c r="A841" s="9" t="inlineStr">
        <is>
          <t xml:space="preserve">  Volume — Fuel oil (mix), mn t</t>
        </is>
      </c>
      <c r="C841" s="26">
        <f>'Product and Cost'!E11*(1+Assumptions!$B$131+Forecast!$B$6)</f>
        <v/>
      </c>
      <c r="D841" s="26">
        <f>C841*(1+Assumptions!$B$132+Forecast!$B$6)</f>
        <v/>
      </c>
      <c r="E841" s="26">
        <f>D841*(1+Assumptions!$B$133+Forecast!$B$6)</f>
        <v/>
      </c>
      <c r="F841" s="26">
        <f>E841*(1+Assumptions!$B$134+Forecast!$B$6)</f>
        <v/>
      </c>
      <c r="G841" s="26">
        <f>F841*(1+Assumptions!$B$135+Forecast!$B$6)</f>
        <v/>
      </c>
    </row>
    <row r="842">
      <c r="A842" s="9" t="inlineStr">
        <is>
          <t xml:space="preserve">  Volume — Heavy fuel oil, mn t</t>
        </is>
      </c>
      <c r="C842" s="26">
        <f>'Product and Cost'!E12*(1+Assumptions!$B$136+Forecast!$B$6)</f>
        <v/>
      </c>
      <c r="D842" s="26">
        <f>C842*(1+Assumptions!$B$137+Forecast!$B$6)</f>
        <v/>
      </c>
      <c r="E842" s="26">
        <f>D842*(1+Assumptions!$B$138+Forecast!$B$6)</f>
        <v/>
      </c>
      <c r="F842" s="26">
        <f>E842*(1+Assumptions!$B$139+Forecast!$B$6)</f>
        <v/>
      </c>
      <c r="G842" s="26">
        <f>F842*(1+Assumptions!$B$140+Forecast!$B$6)</f>
        <v/>
      </c>
    </row>
    <row r="843">
      <c r="A843" s="9" t="inlineStr">
        <is>
          <t xml:space="preserve">  Volume — Waste, mn t</t>
        </is>
      </c>
      <c r="C843" s="26">
        <f>'Product and Cost'!E13*(1+Assumptions!$B$141+Forecast!$B$6)</f>
        <v/>
      </c>
      <c r="D843" s="26">
        <f>C843*(1+Assumptions!$B$142+Forecast!$B$6)</f>
        <v/>
      </c>
      <c r="E843" s="26">
        <f>D843*(1+Assumptions!$B$143+Forecast!$B$6)</f>
        <v/>
      </c>
      <c r="F843" s="26">
        <f>E843*(1+Assumptions!$B$144+Forecast!$B$6)</f>
        <v/>
      </c>
      <c r="G843" s="26">
        <f>F843*(1+Assumptions!$B$145+Forecast!$B$6)</f>
        <v/>
      </c>
    </row>
    <row r="844">
      <c r="A844" s="17" t="inlineStr">
        <is>
          <t>Total volume, mn t</t>
        </is>
      </c>
      <c r="C844" s="28">
        <f>SUM(C836:C843)</f>
        <v/>
      </c>
      <c r="D844" s="28">
        <f>SUM(D836:D843)</f>
        <v/>
      </c>
      <c r="E844" s="28">
        <f>SUM(E836:E843)</f>
        <v/>
      </c>
      <c r="F844" s="28">
        <f>SUM(F836:F843)</f>
        <v/>
      </c>
      <c r="G844" s="28">
        <f>SUM(G836:G843)</f>
        <v/>
      </c>
    </row>
    <row r="845">
      <c r="A845" s="17" t="inlineStr">
        <is>
          <t>REVENUE</t>
        </is>
      </c>
      <c r="C845" s="20">
        <f>C836*'Product and Cost'!$F$6*C835+C837*'Product and Cost'!$F$7*C835+C838*'Product and Cost'!$F$8*C835+C839*'Product and Cost'!$F$9*C835+C840*'Product and Cost'!$F$10*C835+C841*'Product and Cost'!$F$11*C835+C842*'Product and Cost'!$F$12*C835+C843*'Product and Cost'!$F$13*C835</f>
        <v/>
      </c>
      <c r="D845" s="20">
        <f>D836*'Product and Cost'!$F$6*D835+D837*'Product and Cost'!$F$7*D835+D838*'Product and Cost'!$F$8*D835+D839*'Product and Cost'!$F$9*D835+D840*'Product and Cost'!$F$10*D835+D841*'Product and Cost'!$F$11*D835+D842*'Product and Cost'!$F$12*D835+D843*'Product and Cost'!$F$13*D835</f>
        <v/>
      </c>
      <c r="E845" s="20">
        <f>E836*'Product and Cost'!$F$6*E835+E837*'Product and Cost'!$F$7*E835+E838*'Product and Cost'!$F$8*E835+E839*'Product and Cost'!$F$9*E835+E840*'Product and Cost'!$F$10*E835+E841*'Product and Cost'!$F$11*E835+E842*'Product and Cost'!$F$12*E835+E843*'Product and Cost'!$F$13*E835</f>
        <v/>
      </c>
      <c r="F845" s="20">
        <f>F836*'Product and Cost'!$F$6*F835+F837*'Product and Cost'!$F$7*F835+F838*'Product and Cost'!$F$8*F835+F839*'Product and Cost'!$F$9*F835+F840*'Product and Cost'!$F$10*F835+F841*'Product and Cost'!$F$11*F835+F842*'Product and Cost'!$F$12*F835+F843*'Product and Cost'!$F$13*F835</f>
        <v/>
      </c>
      <c r="G845" s="20">
        <f>G836*'Product and Cost'!$F$6*G835+G837*'Product and Cost'!$F$7*G835+G838*'Product and Cost'!$F$8*G835+G839*'Product and Cost'!$F$9*G835+G840*'Product and Cost'!$F$10*G835+G841*'Product and Cost'!$F$11*G835+G842*'Product and Cost'!$F$12*G835+G843*'Product and Cost'!$F$13*G835</f>
        <v/>
      </c>
    </row>
    <row r="846">
      <c r="A846" s="9" t="inlineStr">
        <is>
          <t>Cost of sales</t>
        </is>
      </c>
      <c r="C846" s="18">
        <f>C836*('Product and Cost'!$D$27*C835*Assumptions!$B$88+'Product and Cost'!$B$27*(0.4863620081*C834+0.4455809638*C834+0.0356254898*C835+0.0324315384))+C837*('Product and Cost'!$D$28*C835*Assumptions!$B$88+'Product and Cost'!$B$28*(0.4863620081*C834+0.4455809638*C834+0.0356254898*C835+0.0324315384))+C838*('Product and Cost'!$D$29*C835*Assumptions!$B$88+'Product and Cost'!$B$29*(0.4863620081*C834+0.4455809638*C834+0.0356254898*C835+0.0324315384))+C839*('Product and Cost'!$D$30*C835*Assumptions!$B$88+'Product and Cost'!$B$30*(0.4863620081*C834+0.4455809638*C834+0.0356254898*C835+0.0324315384))+C840*('Product and Cost'!$D$31*C835*Assumptions!$B$88+'Product and Cost'!$B$31*(0.4863620081*C834+0.4455809638*C834+0.0356254898*C835+0.0324315384))+C841*('Product and Cost'!$D$32*C835*Assumptions!$B$88+'Product and Cost'!$B$32*(0.4863620081*C834+0.4455809638*C834+0.0356254898*C835+0.0324315384))+C842*('Product and Cost'!$D$33*C835*Assumptions!$B$88+'Product and Cost'!$B$33*(0.4863620081*C834+0.4455809638*C834+0.0356254898*C835+0.0324315384))+C843*('Product and Cost'!$D$34*C835*Assumptions!$B$88+'Product and Cost'!$B$34*(0.4863620081*C834+0.4455809638*C834+0.0356254898*C835+0.0324315384))</f>
        <v/>
      </c>
      <c r="D846" s="18">
        <f>D836*('Product and Cost'!$D$27*D835*Assumptions!$B$88+'Product and Cost'!$B$27*(0.4863620081*D834+0.4455809638*D834+0.0356254898*D835+0.0324315384))+D837*('Product and Cost'!$D$28*D835*Assumptions!$B$88+'Product and Cost'!$B$28*(0.4863620081*D834+0.4455809638*D834+0.0356254898*D835+0.0324315384))+D838*('Product and Cost'!$D$29*D835*Assumptions!$B$88+'Product and Cost'!$B$29*(0.4863620081*D834+0.4455809638*D834+0.0356254898*D835+0.0324315384))+D839*('Product and Cost'!$D$30*D835*Assumptions!$B$88+'Product and Cost'!$B$30*(0.4863620081*D834+0.4455809638*D834+0.0356254898*D835+0.0324315384))+D840*('Product and Cost'!$D$31*D835*Assumptions!$B$88+'Product and Cost'!$B$31*(0.4863620081*D834+0.4455809638*D834+0.0356254898*D835+0.0324315384))+D841*('Product and Cost'!$D$32*D835*Assumptions!$B$88+'Product and Cost'!$B$32*(0.4863620081*D834+0.4455809638*D834+0.0356254898*D835+0.0324315384))+D842*('Product and Cost'!$D$33*D835*Assumptions!$B$88+'Product and Cost'!$B$33*(0.4863620081*D834+0.4455809638*D834+0.0356254898*D835+0.0324315384))+D843*('Product and Cost'!$D$34*D835*Assumptions!$B$88+'Product and Cost'!$B$34*(0.4863620081*D834+0.4455809638*D834+0.0356254898*D835+0.0324315384))</f>
        <v/>
      </c>
      <c r="E846" s="18">
        <f>E836*('Product and Cost'!$D$27*E835*Assumptions!$B$88+'Product and Cost'!$B$27*(0.4863620081*E834+0.4455809638*E834+0.0356254898*E835+0.0324315384))+E837*('Product and Cost'!$D$28*E835*Assumptions!$B$88+'Product and Cost'!$B$28*(0.4863620081*E834+0.4455809638*E834+0.0356254898*E835+0.0324315384))+E838*('Product and Cost'!$D$29*E835*Assumptions!$B$88+'Product and Cost'!$B$29*(0.4863620081*E834+0.4455809638*E834+0.0356254898*E835+0.0324315384))+E839*('Product and Cost'!$D$30*E835*Assumptions!$B$88+'Product and Cost'!$B$30*(0.4863620081*E834+0.4455809638*E834+0.0356254898*E835+0.0324315384))+E840*('Product and Cost'!$D$31*E835*Assumptions!$B$88+'Product and Cost'!$B$31*(0.4863620081*E834+0.4455809638*E834+0.0356254898*E835+0.0324315384))+E841*('Product and Cost'!$D$32*E835*Assumptions!$B$88+'Product and Cost'!$B$32*(0.4863620081*E834+0.4455809638*E834+0.0356254898*E835+0.0324315384))+E842*('Product and Cost'!$D$33*E835*Assumptions!$B$88+'Product and Cost'!$B$33*(0.4863620081*E834+0.4455809638*E834+0.0356254898*E835+0.0324315384))+E843*('Product and Cost'!$D$34*E835*Assumptions!$B$88+'Product and Cost'!$B$34*(0.4863620081*E834+0.4455809638*E834+0.0356254898*E835+0.0324315384))</f>
        <v/>
      </c>
      <c r="F846" s="18">
        <f>F836*('Product and Cost'!$D$27*F835*Assumptions!$B$88+'Product and Cost'!$B$27*(0.4863620081*F834+0.4455809638*F834+0.0356254898*F835+0.0324315384))+F837*('Product and Cost'!$D$28*F835*Assumptions!$B$88+'Product and Cost'!$B$28*(0.4863620081*F834+0.4455809638*F834+0.0356254898*F835+0.0324315384))+F838*('Product and Cost'!$D$29*F835*Assumptions!$B$88+'Product and Cost'!$B$29*(0.4863620081*F834+0.4455809638*F834+0.0356254898*F835+0.0324315384))+F839*('Product and Cost'!$D$30*F835*Assumptions!$B$88+'Product and Cost'!$B$30*(0.4863620081*F834+0.4455809638*F834+0.0356254898*F835+0.0324315384))+F840*('Product and Cost'!$D$31*F835*Assumptions!$B$88+'Product and Cost'!$B$31*(0.4863620081*F834+0.4455809638*F834+0.0356254898*F835+0.0324315384))+F841*('Product and Cost'!$D$32*F835*Assumptions!$B$88+'Product and Cost'!$B$32*(0.4863620081*F834+0.4455809638*F834+0.0356254898*F835+0.0324315384))+F842*('Product and Cost'!$D$33*F835*Assumptions!$B$88+'Product and Cost'!$B$33*(0.4863620081*F834+0.4455809638*F834+0.0356254898*F835+0.0324315384))+F843*('Product and Cost'!$D$34*F835*Assumptions!$B$88+'Product and Cost'!$B$34*(0.4863620081*F834+0.4455809638*F834+0.0356254898*F835+0.0324315384))</f>
        <v/>
      </c>
      <c r="G846" s="18">
        <f>G836*('Product and Cost'!$D$27*G835*Assumptions!$B$88+'Product and Cost'!$B$27*(0.4863620081*G834+0.4455809638*G834+0.0356254898*G835+0.0324315384))+G837*('Product and Cost'!$D$28*G835*Assumptions!$B$88+'Product and Cost'!$B$28*(0.4863620081*G834+0.4455809638*G834+0.0356254898*G835+0.0324315384))+G838*('Product and Cost'!$D$29*G835*Assumptions!$B$88+'Product and Cost'!$B$29*(0.4863620081*G834+0.4455809638*G834+0.0356254898*G835+0.0324315384))+G839*('Product and Cost'!$D$30*G835*Assumptions!$B$88+'Product and Cost'!$B$30*(0.4863620081*G834+0.4455809638*G834+0.0356254898*G835+0.0324315384))+G840*('Product and Cost'!$D$31*G835*Assumptions!$B$88+'Product and Cost'!$B$31*(0.4863620081*G834+0.4455809638*G834+0.0356254898*G835+0.0324315384))+G841*('Product and Cost'!$D$32*G835*Assumptions!$B$88+'Product and Cost'!$B$32*(0.4863620081*G834+0.4455809638*G834+0.0356254898*G835+0.0324315384))+G842*('Product and Cost'!$D$33*G835*Assumptions!$B$88+'Product and Cost'!$B$33*(0.4863620081*G834+0.4455809638*G834+0.0356254898*G835+0.0324315384))+G843*('Product and Cost'!$D$34*G835*Assumptions!$B$88+'Product and Cost'!$B$34*(0.4863620081*G834+0.4455809638*G834+0.0356254898*G835+0.0324315384))</f>
        <v/>
      </c>
    </row>
    <row r="847">
      <c r="A847" s="17" t="inlineStr">
        <is>
          <t>GROSS PROFIT</t>
        </is>
      </c>
      <c r="C847" s="20">
        <f>C845-C846+Forecast!$B$7*C845</f>
        <v/>
      </c>
      <c r="D847" s="20">
        <f>D845-D846+Forecast!$B$7*D845</f>
        <v/>
      </c>
      <c r="E847" s="20">
        <f>E845-E846+Forecast!$B$7*E845</f>
        <v/>
      </c>
      <c r="F847" s="20">
        <f>F845-F846+Forecast!$B$7*F845</f>
        <v/>
      </c>
      <c r="G847" s="20">
        <f>G845-G846+Forecast!$B$7*G845</f>
        <v/>
      </c>
    </row>
    <row r="848">
      <c r="A848" s="9" t="inlineStr">
        <is>
          <t>Gross margin</t>
        </is>
      </c>
      <c r="C848" s="19">
        <f>C847/C845</f>
        <v/>
      </c>
      <c r="D848" s="19">
        <f>D847/D845</f>
        <v/>
      </c>
      <c r="E848" s="19">
        <f>E847/E845</f>
        <v/>
      </c>
      <c r="F848" s="19">
        <f>F847/F845</f>
        <v/>
      </c>
      <c r="G848" s="19">
        <f>G847/G845</f>
        <v/>
      </c>
    </row>
    <row r="849">
      <c r="A849" s="9" t="inlineStr">
        <is>
          <t>Operating expense</t>
        </is>
      </c>
      <c r="C849" s="18">
        <f>('Base Year'!$B$28*C834)+('Base Year'!$B$29*C834*C844/'Product and Cost'!$E$14)+('Base Year'!$B$30*C834)+('Base Year'!$B$31*C834)</f>
        <v/>
      </c>
      <c r="D849" s="18">
        <f>('Base Year'!$B$28*D834)+('Base Year'!$B$29*D834*D844/'Product and Cost'!$E$14)+('Base Year'!$B$30*D834)+('Base Year'!$B$31*D834)</f>
        <v/>
      </c>
      <c r="E849" s="18">
        <f>('Base Year'!$B$28*E834)+('Base Year'!$B$29*E834*E844/'Product and Cost'!$E$14)+('Base Year'!$B$30*E834)+('Base Year'!$B$31*E834)</f>
        <v/>
      </c>
      <c r="F849" s="18">
        <f>('Base Year'!$B$28*F834)+('Base Year'!$B$29*F834*F844/'Product and Cost'!$E$14)+('Base Year'!$B$30*F834)+('Base Year'!$B$31*F834)</f>
        <v/>
      </c>
      <c r="G849" s="18">
        <f>('Base Year'!$B$28*G834)+('Base Year'!$B$29*G834*G844/'Product and Cost'!$E$14)+('Base Year'!$B$30*G834)+('Base Year'!$B$31*G834)</f>
        <v/>
      </c>
    </row>
    <row r="850">
      <c r="A850" s="17" t="inlineStr">
        <is>
          <t>EBITDA</t>
        </is>
      </c>
      <c r="C850" s="20">
        <f>C847-C849</f>
        <v/>
      </c>
      <c r="D850" s="20">
        <f>D847-D849</f>
        <v/>
      </c>
      <c r="E850" s="20">
        <f>E847-E849</f>
        <v/>
      </c>
      <c r="F850" s="20">
        <f>F847-F849</f>
        <v/>
      </c>
      <c r="G850" s="20">
        <f>G847-G849</f>
        <v/>
      </c>
    </row>
    <row r="851">
      <c r="A851" s="9" t="inlineStr">
        <is>
          <t>Capital expenditure — maintenance + growth</t>
        </is>
      </c>
      <c r="C851" s="18">
        <f>'Base Year'!$B$43*C834+MAX(C844-'Product and Cost'!$E$14,0)*1947.901031*C834</f>
        <v/>
      </c>
      <c r="D851" s="18">
        <f>'Base Year'!$B$43*D834+MAX(D844-C844,0)*1947.901031*D834</f>
        <v/>
      </c>
      <c r="E851" s="18">
        <f>'Base Year'!$B$43*E834+MAX(E844-D844,0)*1947.901031*E834</f>
        <v/>
      </c>
      <c r="F851" s="18">
        <f>'Base Year'!$B$43*F834+MAX(F844-E844,0)*1947.901031*F834</f>
        <v/>
      </c>
      <c r="G851" s="18">
        <f>'Base Year'!$B$43*G834+MAX(G844-F844,0)*1947.901031*G834</f>
        <v/>
      </c>
    </row>
    <row r="852">
      <c r="A852" s="9" t="inlineStr">
        <is>
          <t>Fixed assets at cost, closing</t>
        </is>
      </c>
      <c r="C852" s="18">
        <f>(Assumptions!$B$70+Assumptions!$B$71)/10^6+C851</f>
        <v/>
      </c>
      <c r="D852" s="18">
        <f>C852+D851</f>
        <v/>
      </c>
      <c r="E852" s="18">
        <f>D852+E851</f>
        <v/>
      </c>
      <c r="F852" s="18">
        <f>E852+F851</f>
        <v/>
      </c>
      <c r="G852" s="18">
        <f>F852+G851</f>
        <v/>
      </c>
    </row>
    <row r="853">
      <c r="A853" s="9" t="inlineStr">
        <is>
          <t>Depreciation — rolls off the asset register</t>
        </is>
      </c>
      <c r="C853" s="18">
        <f>(Assumptions!$B$70+Assumptions!$B$71)/10^6/'Base Year'!$B$42</f>
        <v/>
      </c>
      <c r="D853" s="18">
        <f>C852/'Base Year'!$B$42</f>
        <v/>
      </c>
      <c r="E853" s="18">
        <f>D852/'Base Year'!$B$42</f>
        <v/>
      </c>
      <c r="F853" s="18">
        <f>E852/'Base Year'!$B$42</f>
        <v/>
      </c>
      <c r="G853" s="18">
        <f>F852/'Base Year'!$B$42</f>
        <v/>
      </c>
    </row>
    <row r="854">
      <c r="A854" s="9" t="inlineStr">
        <is>
          <t>Fixed assets, net book, closing</t>
        </is>
      </c>
      <c r="C854" s="18">
        <f>(Assumptions!$B$69+Assumptions!$B$71)/10^6+C851-C853</f>
        <v/>
      </c>
      <c r="D854" s="18">
        <f>C854+D851-D853</f>
        <v/>
      </c>
      <c r="E854" s="18">
        <f>D854+E851-E853</f>
        <v/>
      </c>
      <c r="F854" s="18">
        <f>E854+F851-F853</f>
        <v/>
      </c>
      <c r="G854" s="18">
        <f>F854+G851-G853</f>
        <v/>
      </c>
    </row>
    <row r="855">
      <c r="A855" s="17" t="inlineStr">
        <is>
          <t>EBIT</t>
        </is>
      </c>
      <c r="C855" s="20">
        <f>C850-C853</f>
        <v/>
      </c>
      <c r="D855" s="20">
        <f>D850-D853</f>
        <v/>
      </c>
      <c r="E855" s="20">
        <f>E850-E853</f>
        <v/>
      </c>
      <c r="F855" s="20">
        <f>F850-F853</f>
        <v/>
      </c>
      <c r="G855" s="20">
        <f>G850-G853</f>
        <v/>
      </c>
    </row>
    <row r="856">
      <c r="A856" s="9" t="inlineStr">
        <is>
          <t>NOPAT before the profit share</t>
        </is>
      </c>
      <c r="C856" s="18">
        <f>C855*(1-Assumptions!$B$87)</f>
        <v/>
      </c>
      <c r="D856" s="18">
        <f>D855*(1-Assumptions!$B$87)</f>
        <v/>
      </c>
      <c r="E856" s="18">
        <f>E855*(1-Assumptions!$B$87)</f>
        <v/>
      </c>
      <c r="F856" s="18">
        <f>F855*(1-Assumptions!$B$87)</f>
        <v/>
      </c>
      <c r="G856" s="18">
        <f>G855*(1-Assumptions!$B$87)</f>
        <v/>
      </c>
    </row>
    <row r="857">
      <c r="A857" s="9" t="inlineStr">
        <is>
          <t xml:space="preserve">  less employees' profit share and board bonuses</t>
        </is>
      </c>
      <c r="C857" s="18">
        <f>MAX(C856,0)*'Base Year'!$B$40</f>
        <v/>
      </c>
      <c r="D857" s="18">
        <f>MAX(D856,0)*'Base Year'!$B$40</f>
        <v/>
      </c>
      <c r="E857" s="18">
        <f>MAX(E856,0)*'Base Year'!$B$40</f>
        <v/>
      </c>
      <c r="F857" s="18">
        <f>MAX(F856,0)*'Base Year'!$B$40</f>
        <v/>
      </c>
      <c r="G857" s="18">
        <f>MAX(G856,0)*'Base Year'!$B$40</f>
        <v/>
      </c>
    </row>
    <row r="858">
      <c r="A858" s="17" t="inlineStr">
        <is>
          <t>NOPAT</t>
        </is>
      </c>
      <c r="C858" s="20">
        <f>C856-C857</f>
        <v/>
      </c>
      <c r="D858" s="20">
        <f>D856-D857</f>
        <v/>
      </c>
      <c r="E858" s="20">
        <f>E856-E857</f>
        <v/>
      </c>
      <c r="F858" s="20">
        <f>F856-F857</f>
        <v/>
      </c>
      <c r="G858" s="20">
        <f>G856-G857</f>
        <v/>
      </c>
    </row>
    <row r="859">
      <c r="A859" s="9" t="inlineStr">
        <is>
          <t>Net working capital — on days</t>
        </is>
      </c>
      <c r="C859" s="18">
        <f>'Base Year'!$B$44*Forecast!$B$9/365*C846+'Base Year'!$B$45*Forecast!$B$9/365*C845-'Base Year'!$B$46*Forecast!$B$9/365*C846</f>
        <v/>
      </c>
      <c r="D859" s="18">
        <f>'Base Year'!$B$44*Forecast!$B$9/365*D846+'Base Year'!$B$45*Forecast!$B$9/365*D845-'Base Year'!$B$46*Forecast!$B$9/365*D846</f>
        <v/>
      </c>
      <c r="E859" s="18">
        <f>'Base Year'!$B$44*Forecast!$B$9/365*E846+'Base Year'!$B$45*Forecast!$B$9/365*E845-'Base Year'!$B$46*Forecast!$B$9/365*E846</f>
        <v/>
      </c>
      <c r="F859" s="18">
        <f>'Base Year'!$B$44*Forecast!$B$9/365*F846+'Base Year'!$B$45*Forecast!$B$9/365*F845-'Base Year'!$B$46*Forecast!$B$9/365*F846</f>
        <v/>
      </c>
      <c r="G859" s="18">
        <f>'Base Year'!$B$44*Forecast!$B$9/365*G846+'Base Year'!$B$45*Forecast!$B$9/365*G845-'Base Year'!$B$46*Forecast!$B$9/365*G846</f>
        <v/>
      </c>
    </row>
    <row r="860">
      <c r="A860" s="9" t="inlineStr">
        <is>
          <t xml:space="preserve">  change in working capital</t>
        </is>
      </c>
      <c r="C860" s="18">
        <f>C859-('Base Year'!$B$44/365*'Base Year'!$B$21+'Base Year'!$B$45/365*'Base Year'!$B$19-'Base Year'!$B$46/365*'Base Year'!$B$21)</f>
        <v/>
      </c>
      <c r="D860" s="18">
        <f>D859-C859</f>
        <v/>
      </c>
      <c r="E860" s="18">
        <f>E859-D859</f>
        <v/>
      </c>
      <c r="F860" s="18">
        <f>F859-E859</f>
        <v/>
      </c>
      <c r="G860" s="18">
        <f>G859-F859</f>
        <v/>
      </c>
    </row>
    <row r="861">
      <c r="A861" s="17" t="inlineStr">
        <is>
          <t>FREE CASH FLOW TO THE FIRM</t>
        </is>
      </c>
      <c r="C861" s="20">
        <f>C858+C853-C851-C860</f>
        <v/>
      </c>
      <c r="D861" s="20">
        <f>D858+D853-D851-D860</f>
        <v/>
      </c>
      <c r="E861" s="20">
        <f>E858+E853-E851-E860</f>
        <v/>
      </c>
      <c r="F861" s="20">
        <f>F858+F853-F851-F860</f>
        <v/>
      </c>
      <c r="G861" s="20">
        <f>G858+G853-G851-G860</f>
        <v/>
      </c>
    </row>
    <row r="862">
      <c r="A862" s="9" t="inlineStr">
        <is>
          <t>Glide fraction</t>
        </is>
      </c>
      <c r="C862" s="26">
        <f>0.0000000000</f>
        <v/>
      </c>
      <c r="D862" s="26">
        <f>0.3571428571</f>
        <v/>
      </c>
      <c r="E862" s="26">
        <f>0.6428571429</f>
        <v/>
      </c>
      <c r="F862" s="26">
        <f>0.8571428571</f>
        <v/>
      </c>
      <c r="G862" s="26">
        <f>1.0000000000</f>
        <v/>
      </c>
    </row>
    <row r="863">
      <c r="A863" s="9" t="inlineStr">
        <is>
          <t>Forward cost of capital</t>
        </is>
      </c>
      <c r="C863" s="19">
        <f>$F$28-($F$28-$G$28)*C862</f>
        <v/>
      </c>
      <c r="D863" s="19">
        <f>$F$28-($F$28-$G$28)*D862</f>
        <v/>
      </c>
      <c r="E863" s="19">
        <f>$F$28-($F$28-$G$28)*E862</f>
        <v/>
      </c>
      <c r="F863" s="19">
        <f>$F$28-($F$28-$G$28)*F862</f>
        <v/>
      </c>
      <c r="G863" s="19">
        <f>$F$28-($F$28-$G$28)*G862</f>
        <v/>
      </c>
    </row>
    <row r="864">
      <c r="A864" s="9" t="inlineStr">
        <is>
          <t>Cumulative discount factor</t>
        </is>
      </c>
      <c r="C864" s="29">
        <f>1/(1+C863)</f>
        <v/>
      </c>
      <c r="D864" s="29">
        <f>C864/(1+D863)</f>
        <v/>
      </c>
      <c r="E864" s="29">
        <f>D864/(1+E863)</f>
        <v/>
      </c>
      <c r="F864" s="29">
        <f>E864/(1+F863)</f>
        <v/>
      </c>
      <c r="G864" s="29">
        <f>F864/(1+G863)</f>
        <v/>
      </c>
    </row>
    <row r="865">
      <c r="A865" s="9" t="inlineStr">
        <is>
          <t>Present value</t>
        </is>
      </c>
      <c r="C865" s="18">
        <f>C861*C864</f>
        <v/>
      </c>
      <c r="D865" s="18">
        <f>D861*D864</f>
        <v/>
      </c>
      <c r="E865" s="18">
        <f>E861*E864</f>
        <v/>
      </c>
      <c r="F865" s="18">
        <f>F861*F864</f>
        <v/>
      </c>
      <c r="G865" s="18">
        <f>G861*G864</f>
        <v/>
      </c>
    </row>
    <row r="866">
      <c r="A866" s="17" t="inlineStr">
        <is>
          <t>PV of the explicit window</t>
        </is>
      </c>
      <c r="B866" s="20">
        <f>SUM(C865:G865)</f>
        <v/>
      </c>
      <c r="C866" s="18">
        <f>C859+C852</f>
        <v/>
      </c>
      <c r="D866" s="18">
        <f>D859+D852</f>
        <v/>
      </c>
      <c r="E866" s="18">
        <f>E859+E852</f>
        <v/>
      </c>
      <c r="F866" s="18">
        <f>F859+F852</f>
        <v/>
      </c>
      <c r="G866" s="18">
        <f>G859+G852</f>
        <v/>
      </c>
    </row>
    <row r="867">
      <c r="A867" s="9" t="inlineStr">
        <is>
          <t>Terminal return on invested capital, at REPLACEMENT cost</t>
        </is>
      </c>
      <c r="B867" s="19">
        <f>G858*(1+Assumptions!$B$89)/G866</f>
        <v/>
      </c>
    </row>
    <row r="868">
      <c r="A868" s="9" t="inlineStr">
        <is>
          <t>Required reinvestment = growth / return</t>
        </is>
      </c>
      <c r="B868" s="19">
        <f>MIN(Assumptions!$B$89/B867,0.95)</f>
        <v/>
      </c>
    </row>
    <row r="869">
      <c r="A869" s="9" t="inlineStr">
        <is>
          <t>Terminal value</t>
        </is>
      </c>
      <c r="B869" s="18">
        <f>G858*(1+Assumptions!$B$89)*(1-B868)/MAX($G$28-Assumptions!$B$89,0.02)</f>
        <v/>
      </c>
    </row>
    <row r="870">
      <c r="A870" s="9" t="inlineStr">
        <is>
          <t>PV of the terminal block</t>
        </is>
      </c>
      <c r="B870" s="18">
        <f>B869*G864</f>
        <v/>
      </c>
    </row>
    <row r="871">
      <c r="A871" s="17" t="inlineStr">
        <is>
          <t>ENTERPRISE VALUE</t>
        </is>
      </c>
      <c r="B871" s="20">
        <f>B866+B870</f>
        <v/>
      </c>
    </row>
    <row r="872">
      <c r="A872" s="9" t="inlineStr">
        <is>
          <t>plus net cash</t>
        </is>
      </c>
      <c r="B872" s="18">
        <f>(Assumptions!$B$79-Assumptions!$B$82-Assumptions!$B$83)/10^6</f>
        <v/>
      </c>
    </row>
    <row r="873">
      <c r="A873" s="9" t="inlineStr">
        <is>
          <t>Enterprise value including cash</t>
        </is>
      </c>
      <c r="B873" s="18">
        <f>B871+B872</f>
        <v/>
      </c>
    </row>
    <row r="874">
      <c r="A874" s="9" t="inlineStr">
        <is>
          <t>less minority — on the WHOLE enterprise, cash included</t>
        </is>
      </c>
      <c r="B874" s="18">
        <f>B873*'Base Year'!$B$41</f>
        <v/>
      </c>
    </row>
    <row r="875">
      <c r="A875" s="9" t="inlineStr">
        <is>
          <t>less the tax-disputes provision</t>
        </is>
      </c>
      <c r="B875" s="18">
        <f>Assumptions!$B$78/10^6</f>
        <v/>
      </c>
    </row>
    <row r="876">
      <c r="A876" s="9" t="inlineStr">
        <is>
          <t>less dividends payable — declared, out of working capital</t>
        </is>
      </c>
      <c r="B876" s="18">
        <f>Assumptions!$B$77/10^6</f>
        <v/>
      </c>
    </row>
    <row r="877">
      <c r="A877" s="9" t="inlineStr">
        <is>
          <t>plus non-operating investments and pledged deposits</t>
        </is>
      </c>
      <c r="B877" s="18">
        <f>(Assumptions!$B$81+Assumptions!$B$80)/10^6</f>
        <v/>
      </c>
    </row>
    <row r="878">
      <c r="A878" s="17" t="inlineStr">
        <is>
          <t>EQUITY ATTRIBUTABLE</t>
        </is>
      </c>
      <c r="B878" s="20">
        <f>B873-B874-B875-B876+B877</f>
        <v/>
      </c>
    </row>
    <row r="879">
      <c r="A879" s="17" t="inlineStr">
        <is>
          <t>VALUE PER SHARE, EGP</t>
        </is>
      </c>
      <c r="B879" s="30">
        <f>B878/Assumptions!$B$8</f>
        <v/>
      </c>
    </row>
    <row r="882">
      <c r="A882" s="6" t="inlineStr">
        <is>
          <t>Beta — 0.9080</t>
        </is>
      </c>
      <c r="B882" s="6" t="inlineStr">
        <is>
          <t>2026E</t>
        </is>
      </c>
      <c r="C882" s="6" t="inlineStr">
        <is>
          <t>2027E</t>
        </is>
      </c>
      <c r="D882" s="6" t="inlineStr">
        <is>
          <t>2028E</t>
        </is>
      </c>
      <c r="E882" s="6" t="inlineStr">
        <is>
          <t>2029E</t>
        </is>
      </c>
      <c r="F882" s="6" t="inlineStr">
        <is>
          <t>2030E</t>
        </is>
      </c>
    </row>
    <row r="883">
      <c r="A883" s="9" t="inlineStr">
        <is>
          <t>Inflation index, cumulative</t>
        </is>
      </c>
      <c r="C883" s="26">
        <f>Assumptions!$B$146</f>
        <v/>
      </c>
      <c r="D883" s="26">
        <f>C883*Assumptions!$B$147</f>
        <v/>
      </c>
      <c r="E883" s="26">
        <f>D883*Assumptions!$B$148</f>
        <v/>
      </c>
      <c r="F883" s="26">
        <f>E883*Assumptions!$B$149</f>
        <v/>
      </c>
      <c r="G883" s="26">
        <f>F883*Assumptions!$B$150</f>
        <v/>
      </c>
    </row>
    <row r="884">
      <c r="A884" s="9" t="inlineStr">
        <is>
          <t>Realisation index, cumulative</t>
        </is>
      </c>
      <c r="C884" s="26">
        <f>(1+Assumptions!$B$101*Forecast!$B$8)</f>
        <v/>
      </c>
      <c r="D884" s="26">
        <f>C884*(1+Assumptions!$B$102*Forecast!$B$8)</f>
        <v/>
      </c>
      <c r="E884" s="26">
        <f>D884*(1+Assumptions!$B$103*Forecast!$B$8)</f>
        <v/>
      </c>
      <c r="F884" s="26">
        <f>E884*(1+Assumptions!$B$104*Forecast!$B$8)</f>
        <v/>
      </c>
      <c r="G884" s="26">
        <f>F884*(1+Assumptions!$B$105*Forecast!$B$8)</f>
        <v/>
      </c>
    </row>
    <row r="885">
      <c r="A885" s="9" t="inlineStr">
        <is>
          <t xml:space="preserve">  Volume — Base and special oils, mn t</t>
        </is>
      </c>
      <c r="C885" s="26">
        <f>'Product and Cost'!E6*(1+Assumptions!$B$106+Forecast!$B$6)</f>
        <v/>
      </c>
      <c r="D885" s="26">
        <f>C885*(1+Assumptions!$B$107+Forecast!$B$6)</f>
        <v/>
      </c>
      <c r="E885" s="26">
        <f>D885*(1+Assumptions!$B$108+Forecast!$B$6)</f>
        <v/>
      </c>
      <c r="F885" s="26">
        <f>E885*(1+Assumptions!$B$109+Forecast!$B$6)</f>
        <v/>
      </c>
      <c r="G885" s="26">
        <f>F885*(1+Assumptions!$B$110+Forecast!$B$6)</f>
        <v/>
      </c>
    </row>
    <row r="886">
      <c r="A886" s="9" t="inlineStr">
        <is>
          <t xml:space="preserve">  Volume — Paraffin wax, mn t</t>
        </is>
      </c>
      <c r="C886" s="26">
        <f>'Product and Cost'!E7*(1+Assumptions!$B$111+Forecast!$B$6)</f>
        <v/>
      </c>
      <c r="D886" s="26">
        <f>C886*(1+Assumptions!$B$112+Forecast!$B$6)</f>
        <v/>
      </c>
      <c r="E886" s="26">
        <f>D886*(1+Assumptions!$B$113+Forecast!$B$6)</f>
        <v/>
      </c>
      <c r="F886" s="26">
        <f>E886*(1+Assumptions!$B$114+Forecast!$B$6)</f>
        <v/>
      </c>
      <c r="G886" s="26">
        <f>F886*(1+Assumptions!$B$115+Forecast!$B$6)</f>
        <v/>
      </c>
    </row>
    <row r="887">
      <c r="A887" s="9" t="inlineStr">
        <is>
          <t xml:space="preserve">  Volume — Gas oil, mn t</t>
        </is>
      </c>
      <c r="C887" s="26">
        <f>'Product and Cost'!E8*(1+Assumptions!$B$116+Forecast!$B$6)</f>
        <v/>
      </c>
      <c r="D887" s="26">
        <f>C887*(1+Assumptions!$B$117+Forecast!$B$6)</f>
        <v/>
      </c>
      <c r="E887" s="26">
        <f>D887*(1+Assumptions!$B$118+Forecast!$B$6)</f>
        <v/>
      </c>
      <c r="F887" s="26">
        <f>E887*(1+Assumptions!$B$119+Forecast!$B$6)</f>
        <v/>
      </c>
      <c r="G887" s="26">
        <f>F887*(1+Assumptions!$B$120+Forecast!$B$6)</f>
        <v/>
      </c>
    </row>
    <row r="888">
      <c r="A888" s="9" t="inlineStr">
        <is>
          <t xml:space="preserve">  Volume — Naphtha, mn t</t>
        </is>
      </c>
      <c r="C888" s="26">
        <f>'Product and Cost'!E9*(1+Assumptions!$B$121+Forecast!$B$6)</f>
        <v/>
      </c>
      <c r="D888" s="26">
        <f>C888*(1+Assumptions!$B$122+Forecast!$B$6)</f>
        <v/>
      </c>
      <c r="E888" s="26">
        <f>D888*(1+Assumptions!$B$123+Forecast!$B$6)</f>
        <v/>
      </c>
      <c r="F888" s="26">
        <f>E888*(1+Assumptions!$B$124+Forecast!$B$6)</f>
        <v/>
      </c>
      <c r="G888" s="26">
        <f>F888*(1+Assumptions!$B$125+Forecast!$B$6)</f>
        <v/>
      </c>
    </row>
    <row r="889">
      <c r="A889" s="9" t="inlineStr">
        <is>
          <t xml:space="preserve">  Volume — Liquefied petroleum gas, mn t</t>
        </is>
      </c>
      <c r="C889" s="26">
        <f>'Product and Cost'!E10*(1+Assumptions!$B$126+Forecast!$B$6)</f>
        <v/>
      </c>
      <c r="D889" s="26">
        <f>C889*(1+Assumptions!$B$127+Forecast!$B$6)</f>
        <v/>
      </c>
      <c r="E889" s="26">
        <f>D889*(1+Assumptions!$B$128+Forecast!$B$6)</f>
        <v/>
      </c>
      <c r="F889" s="26">
        <f>E889*(1+Assumptions!$B$129+Forecast!$B$6)</f>
        <v/>
      </c>
      <c r="G889" s="26">
        <f>F889*(1+Assumptions!$B$130+Forecast!$B$6)</f>
        <v/>
      </c>
    </row>
    <row r="890">
      <c r="A890" s="9" t="inlineStr">
        <is>
          <t xml:space="preserve">  Volume — Fuel oil (mix), mn t</t>
        </is>
      </c>
      <c r="C890" s="26">
        <f>'Product and Cost'!E11*(1+Assumptions!$B$131+Forecast!$B$6)</f>
        <v/>
      </c>
      <c r="D890" s="26">
        <f>C890*(1+Assumptions!$B$132+Forecast!$B$6)</f>
        <v/>
      </c>
      <c r="E890" s="26">
        <f>D890*(1+Assumptions!$B$133+Forecast!$B$6)</f>
        <v/>
      </c>
      <c r="F890" s="26">
        <f>E890*(1+Assumptions!$B$134+Forecast!$B$6)</f>
        <v/>
      </c>
      <c r="G890" s="26">
        <f>F890*(1+Assumptions!$B$135+Forecast!$B$6)</f>
        <v/>
      </c>
    </row>
    <row r="891">
      <c r="A891" s="9" t="inlineStr">
        <is>
          <t xml:space="preserve">  Volume — Heavy fuel oil, mn t</t>
        </is>
      </c>
      <c r="C891" s="26">
        <f>'Product and Cost'!E12*(1+Assumptions!$B$136+Forecast!$B$6)</f>
        <v/>
      </c>
      <c r="D891" s="26">
        <f>C891*(1+Assumptions!$B$137+Forecast!$B$6)</f>
        <v/>
      </c>
      <c r="E891" s="26">
        <f>D891*(1+Assumptions!$B$138+Forecast!$B$6)</f>
        <v/>
      </c>
      <c r="F891" s="26">
        <f>E891*(1+Assumptions!$B$139+Forecast!$B$6)</f>
        <v/>
      </c>
      <c r="G891" s="26">
        <f>F891*(1+Assumptions!$B$140+Forecast!$B$6)</f>
        <v/>
      </c>
    </row>
    <row r="892">
      <c r="A892" s="9" t="inlineStr">
        <is>
          <t xml:space="preserve">  Volume — Waste, mn t</t>
        </is>
      </c>
      <c r="C892" s="26">
        <f>'Product and Cost'!E13*(1+Assumptions!$B$141+Forecast!$B$6)</f>
        <v/>
      </c>
      <c r="D892" s="26">
        <f>C892*(1+Assumptions!$B$142+Forecast!$B$6)</f>
        <v/>
      </c>
      <c r="E892" s="26">
        <f>D892*(1+Assumptions!$B$143+Forecast!$B$6)</f>
        <v/>
      </c>
      <c r="F892" s="26">
        <f>E892*(1+Assumptions!$B$144+Forecast!$B$6)</f>
        <v/>
      </c>
      <c r="G892" s="26">
        <f>F892*(1+Assumptions!$B$145+Forecast!$B$6)</f>
        <v/>
      </c>
    </row>
    <row r="893">
      <c r="A893" s="17" t="inlineStr">
        <is>
          <t>Total volume, mn t</t>
        </is>
      </c>
      <c r="C893" s="28">
        <f>SUM(C885:C892)</f>
        <v/>
      </c>
      <c r="D893" s="28">
        <f>SUM(D885:D892)</f>
        <v/>
      </c>
      <c r="E893" s="28">
        <f>SUM(E885:E892)</f>
        <v/>
      </c>
      <c r="F893" s="28">
        <f>SUM(F885:F892)</f>
        <v/>
      </c>
      <c r="G893" s="28">
        <f>SUM(G885:G892)</f>
        <v/>
      </c>
    </row>
    <row r="894">
      <c r="A894" s="17" t="inlineStr">
        <is>
          <t>REVENUE</t>
        </is>
      </c>
      <c r="C894" s="20">
        <f>C885*'Product and Cost'!$F$6*C884+C886*'Product and Cost'!$F$7*C884+C887*'Product and Cost'!$F$8*C884+C888*'Product and Cost'!$F$9*C884+C889*'Product and Cost'!$F$10*C884+C890*'Product and Cost'!$F$11*C884+C891*'Product and Cost'!$F$12*C884+C892*'Product and Cost'!$F$13*C884</f>
        <v/>
      </c>
      <c r="D894" s="20">
        <f>D885*'Product and Cost'!$F$6*D884+D886*'Product and Cost'!$F$7*D884+D887*'Product and Cost'!$F$8*D884+D888*'Product and Cost'!$F$9*D884+D889*'Product and Cost'!$F$10*D884+D890*'Product and Cost'!$F$11*D884+D891*'Product and Cost'!$F$12*D884+D892*'Product and Cost'!$F$13*D884</f>
        <v/>
      </c>
      <c r="E894" s="20">
        <f>E885*'Product and Cost'!$F$6*E884+E886*'Product and Cost'!$F$7*E884+E887*'Product and Cost'!$F$8*E884+E888*'Product and Cost'!$F$9*E884+E889*'Product and Cost'!$F$10*E884+E890*'Product and Cost'!$F$11*E884+E891*'Product and Cost'!$F$12*E884+E892*'Product and Cost'!$F$13*E884</f>
        <v/>
      </c>
      <c r="F894" s="20">
        <f>F885*'Product and Cost'!$F$6*F884+F886*'Product and Cost'!$F$7*F884+F887*'Product and Cost'!$F$8*F884+F888*'Product and Cost'!$F$9*F884+F889*'Product and Cost'!$F$10*F884+F890*'Product and Cost'!$F$11*F884+F891*'Product and Cost'!$F$12*F884+F892*'Product and Cost'!$F$13*F884</f>
        <v/>
      </c>
      <c r="G894" s="20">
        <f>G885*'Product and Cost'!$F$6*G884+G886*'Product and Cost'!$F$7*G884+G887*'Product and Cost'!$F$8*G884+G888*'Product and Cost'!$F$9*G884+G889*'Product and Cost'!$F$10*G884+G890*'Product and Cost'!$F$11*G884+G891*'Product and Cost'!$F$12*G884+G892*'Product and Cost'!$F$13*G884</f>
        <v/>
      </c>
    </row>
    <row r="895">
      <c r="A895" s="9" t="inlineStr">
        <is>
          <t>Cost of sales</t>
        </is>
      </c>
      <c r="C895" s="18">
        <f>C885*('Product and Cost'!$D$27*C884*Assumptions!$B$88+'Product and Cost'!$B$27*(0.4863620081*C883+0.4455809638*C883+0.0356254898*C884+0.0324315384))+C886*('Product and Cost'!$D$28*C884*Assumptions!$B$88+'Product and Cost'!$B$28*(0.4863620081*C883+0.4455809638*C883+0.0356254898*C884+0.0324315384))+C887*('Product and Cost'!$D$29*C884*Assumptions!$B$88+'Product and Cost'!$B$29*(0.4863620081*C883+0.4455809638*C883+0.0356254898*C884+0.0324315384))+C888*('Product and Cost'!$D$30*C884*Assumptions!$B$88+'Product and Cost'!$B$30*(0.4863620081*C883+0.4455809638*C883+0.0356254898*C884+0.0324315384))+C889*('Product and Cost'!$D$31*C884*Assumptions!$B$88+'Product and Cost'!$B$31*(0.4863620081*C883+0.4455809638*C883+0.0356254898*C884+0.0324315384))+C890*('Product and Cost'!$D$32*C884*Assumptions!$B$88+'Product and Cost'!$B$32*(0.4863620081*C883+0.4455809638*C883+0.0356254898*C884+0.0324315384))+C891*('Product and Cost'!$D$33*C884*Assumptions!$B$88+'Product and Cost'!$B$33*(0.4863620081*C883+0.4455809638*C883+0.0356254898*C884+0.0324315384))+C892*('Product and Cost'!$D$34*C884*Assumptions!$B$88+'Product and Cost'!$B$34*(0.4863620081*C883+0.4455809638*C883+0.0356254898*C884+0.0324315384))</f>
        <v/>
      </c>
      <c r="D895" s="18">
        <f>D885*('Product and Cost'!$D$27*D884*Assumptions!$B$88+'Product and Cost'!$B$27*(0.4863620081*D883+0.4455809638*D883+0.0356254898*D884+0.0324315384))+D886*('Product and Cost'!$D$28*D884*Assumptions!$B$88+'Product and Cost'!$B$28*(0.4863620081*D883+0.4455809638*D883+0.0356254898*D884+0.0324315384))+D887*('Product and Cost'!$D$29*D884*Assumptions!$B$88+'Product and Cost'!$B$29*(0.4863620081*D883+0.4455809638*D883+0.0356254898*D884+0.0324315384))+D888*('Product and Cost'!$D$30*D884*Assumptions!$B$88+'Product and Cost'!$B$30*(0.4863620081*D883+0.4455809638*D883+0.0356254898*D884+0.0324315384))+D889*('Product and Cost'!$D$31*D884*Assumptions!$B$88+'Product and Cost'!$B$31*(0.4863620081*D883+0.4455809638*D883+0.0356254898*D884+0.0324315384))+D890*('Product and Cost'!$D$32*D884*Assumptions!$B$88+'Product and Cost'!$B$32*(0.4863620081*D883+0.4455809638*D883+0.0356254898*D884+0.0324315384))+D891*('Product and Cost'!$D$33*D884*Assumptions!$B$88+'Product and Cost'!$B$33*(0.4863620081*D883+0.4455809638*D883+0.0356254898*D884+0.0324315384))+D892*('Product and Cost'!$D$34*D884*Assumptions!$B$88+'Product and Cost'!$B$34*(0.4863620081*D883+0.4455809638*D883+0.0356254898*D884+0.0324315384))</f>
        <v/>
      </c>
      <c r="E895" s="18">
        <f>E885*('Product and Cost'!$D$27*E884*Assumptions!$B$88+'Product and Cost'!$B$27*(0.4863620081*E883+0.4455809638*E883+0.0356254898*E884+0.0324315384))+E886*('Product and Cost'!$D$28*E884*Assumptions!$B$88+'Product and Cost'!$B$28*(0.4863620081*E883+0.4455809638*E883+0.0356254898*E884+0.0324315384))+E887*('Product and Cost'!$D$29*E884*Assumptions!$B$88+'Product and Cost'!$B$29*(0.4863620081*E883+0.4455809638*E883+0.0356254898*E884+0.0324315384))+E888*('Product and Cost'!$D$30*E884*Assumptions!$B$88+'Product and Cost'!$B$30*(0.4863620081*E883+0.4455809638*E883+0.0356254898*E884+0.0324315384))+E889*('Product and Cost'!$D$31*E884*Assumptions!$B$88+'Product and Cost'!$B$31*(0.4863620081*E883+0.4455809638*E883+0.0356254898*E884+0.0324315384))+E890*('Product and Cost'!$D$32*E884*Assumptions!$B$88+'Product and Cost'!$B$32*(0.4863620081*E883+0.4455809638*E883+0.0356254898*E884+0.0324315384))+E891*('Product and Cost'!$D$33*E884*Assumptions!$B$88+'Product and Cost'!$B$33*(0.4863620081*E883+0.4455809638*E883+0.0356254898*E884+0.0324315384))+E892*('Product and Cost'!$D$34*E884*Assumptions!$B$88+'Product and Cost'!$B$34*(0.4863620081*E883+0.4455809638*E883+0.0356254898*E884+0.0324315384))</f>
        <v/>
      </c>
      <c r="F895" s="18">
        <f>F885*('Product and Cost'!$D$27*F884*Assumptions!$B$88+'Product and Cost'!$B$27*(0.4863620081*F883+0.4455809638*F883+0.0356254898*F884+0.0324315384))+F886*('Product and Cost'!$D$28*F884*Assumptions!$B$88+'Product and Cost'!$B$28*(0.4863620081*F883+0.4455809638*F883+0.0356254898*F884+0.0324315384))+F887*('Product and Cost'!$D$29*F884*Assumptions!$B$88+'Product and Cost'!$B$29*(0.4863620081*F883+0.4455809638*F883+0.0356254898*F884+0.0324315384))+F888*('Product and Cost'!$D$30*F884*Assumptions!$B$88+'Product and Cost'!$B$30*(0.4863620081*F883+0.4455809638*F883+0.0356254898*F884+0.0324315384))+F889*('Product and Cost'!$D$31*F884*Assumptions!$B$88+'Product and Cost'!$B$31*(0.4863620081*F883+0.4455809638*F883+0.0356254898*F884+0.0324315384))+F890*('Product and Cost'!$D$32*F884*Assumptions!$B$88+'Product and Cost'!$B$32*(0.4863620081*F883+0.4455809638*F883+0.0356254898*F884+0.0324315384))+F891*('Product and Cost'!$D$33*F884*Assumptions!$B$88+'Product and Cost'!$B$33*(0.4863620081*F883+0.4455809638*F883+0.0356254898*F884+0.0324315384))+F892*('Product and Cost'!$D$34*F884*Assumptions!$B$88+'Product and Cost'!$B$34*(0.4863620081*F883+0.4455809638*F883+0.0356254898*F884+0.0324315384))</f>
        <v/>
      </c>
      <c r="G895" s="18">
        <f>G885*('Product and Cost'!$D$27*G884*Assumptions!$B$88+'Product and Cost'!$B$27*(0.4863620081*G883+0.4455809638*G883+0.0356254898*G884+0.0324315384))+G886*('Product and Cost'!$D$28*G884*Assumptions!$B$88+'Product and Cost'!$B$28*(0.4863620081*G883+0.4455809638*G883+0.0356254898*G884+0.0324315384))+G887*('Product and Cost'!$D$29*G884*Assumptions!$B$88+'Product and Cost'!$B$29*(0.4863620081*G883+0.4455809638*G883+0.0356254898*G884+0.0324315384))+G888*('Product and Cost'!$D$30*G884*Assumptions!$B$88+'Product and Cost'!$B$30*(0.4863620081*G883+0.4455809638*G883+0.0356254898*G884+0.0324315384))+G889*('Product and Cost'!$D$31*G884*Assumptions!$B$88+'Product and Cost'!$B$31*(0.4863620081*G883+0.4455809638*G883+0.0356254898*G884+0.0324315384))+G890*('Product and Cost'!$D$32*G884*Assumptions!$B$88+'Product and Cost'!$B$32*(0.4863620081*G883+0.4455809638*G883+0.0356254898*G884+0.0324315384))+G891*('Product and Cost'!$D$33*G884*Assumptions!$B$88+'Product and Cost'!$B$33*(0.4863620081*G883+0.4455809638*G883+0.0356254898*G884+0.0324315384))+G892*('Product and Cost'!$D$34*G884*Assumptions!$B$88+'Product and Cost'!$B$34*(0.4863620081*G883+0.4455809638*G883+0.0356254898*G884+0.0324315384))</f>
        <v/>
      </c>
    </row>
    <row r="896">
      <c r="A896" s="17" t="inlineStr">
        <is>
          <t>GROSS PROFIT</t>
        </is>
      </c>
      <c r="C896" s="20">
        <f>C894-C895+Forecast!$B$7*C894</f>
        <v/>
      </c>
      <c r="D896" s="20">
        <f>D894-D895+Forecast!$B$7*D894</f>
        <v/>
      </c>
      <c r="E896" s="20">
        <f>E894-E895+Forecast!$B$7*E894</f>
        <v/>
      </c>
      <c r="F896" s="20">
        <f>F894-F895+Forecast!$B$7*F894</f>
        <v/>
      </c>
      <c r="G896" s="20">
        <f>G894-G895+Forecast!$B$7*G894</f>
        <v/>
      </c>
    </row>
    <row r="897">
      <c r="A897" s="9" t="inlineStr">
        <is>
          <t>Gross margin</t>
        </is>
      </c>
      <c r="C897" s="19">
        <f>C896/C894</f>
        <v/>
      </c>
      <c r="D897" s="19">
        <f>D896/D894</f>
        <v/>
      </c>
      <c r="E897" s="19">
        <f>E896/E894</f>
        <v/>
      </c>
      <c r="F897" s="19">
        <f>F896/F894</f>
        <v/>
      </c>
      <c r="G897" s="19">
        <f>G896/G894</f>
        <v/>
      </c>
    </row>
    <row r="898">
      <c r="A898" s="9" t="inlineStr">
        <is>
          <t>Operating expense</t>
        </is>
      </c>
      <c r="C898" s="18">
        <f>('Base Year'!$B$28*C883)+('Base Year'!$B$29*C883*C893/'Product and Cost'!$E$14)+('Base Year'!$B$30*C883)+('Base Year'!$B$31*C883)</f>
        <v/>
      </c>
      <c r="D898" s="18">
        <f>('Base Year'!$B$28*D883)+('Base Year'!$B$29*D883*D893/'Product and Cost'!$E$14)+('Base Year'!$B$30*D883)+('Base Year'!$B$31*D883)</f>
        <v/>
      </c>
      <c r="E898" s="18">
        <f>('Base Year'!$B$28*E883)+('Base Year'!$B$29*E883*E893/'Product and Cost'!$E$14)+('Base Year'!$B$30*E883)+('Base Year'!$B$31*E883)</f>
        <v/>
      </c>
      <c r="F898" s="18">
        <f>('Base Year'!$B$28*F883)+('Base Year'!$B$29*F883*F893/'Product and Cost'!$E$14)+('Base Year'!$B$30*F883)+('Base Year'!$B$31*F883)</f>
        <v/>
      </c>
      <c r="G898" s="18">
        <f>('Base Year'!$B$28*G883)+('Base Year'!$B$29*G883*G893/'Product and Cost'!$E$14)+('Base Year'!$B$30*G883)+('Base Year'!$B$31*G883)</f>
        <v/>
      </c>
    </row>
    <row r="899">
      <c r="A899" s="17" t="inlineStr">
        <is>
          <t>EBITDA</t>
        </is>
      </c>
      <c r="C899" s="20">
        <f>C896-C898</f>
        <v/>
      </c>
      <c r="D899" s="20">
        <f>D896-D898</f>
        <v/>
      </c>
      <c r="E899" s="20">
        <f>E896-E898</f>
        <v/>
      </c>
      <c r="F899" s="20">
        <f>F896-F898</f>
        <v/>
      </c>
      <c r="G899" s="20">
        <f>G896-G898</f>
        <v/>
      </c>
    </row>
    <row r="900">
      <c r="A900" s="9" t="inlineStr">
        <is>
          <t>Capital expenditure — maintenance + growth</t>
        </is>
      </c>
      <c r="C900" s="18">
        <f>'Base Year'!$B$43*C883+MAX(C893-'Product and Cost'!$E$14,0)*1947.901031*C883</f>
        <v/>
      </c>
      <c r="D900" s="18">
        <f>'Base Year'!$B$43*D883+MAX(D893-C893,0)*1947.901031*D883</f>
        <v/>
      </c>
      <c r="E900" s="18">
        <f>'Base Year'!$B$43*E883+MAX(E893-D893,0)*1947.901031*E883</f>
        <v/>
      </c>
      <c r="F900" s="18">
        <f>'Base Year'!$B$43*F883+MAX(F893-E893,0)*1947.901031*F883</f>
        <v/>
      </c>
      <c r="G900" s="18">
        <f>'Base Year'!$B$43*G883+MAX(G893-F893,0)*1947.901031*G883</f>
        <v/>
      </c>
    </row>
    <row r="901">
      <c r="A901" s="9" t="inlineStr">
        <is>
          <t>Fixed assets at cost, closing</t>
        </is>
      </c>
      <c r="C901" s="18">
        <f>(Assumptions!$B$70+Assumptions!$B$71)/10^6+C900</f>
        <v/>
      </c>
      <c r="D901" s="18">
        <f>C901+D900</f>
        <v/>
      </c>
      <c r="E901" s="18">
        <f>D901+E900</f>
        <v/>
      </c>
      <c r="F901" s="18">
        <f>E901+F900</f>
        <v/>
      </c>
      <c r="G901" s="18">
        <f>F901+G900</f>
        <v/>
      </c>
    </row>
    <row r="902">
      <c r="A902" s="9" t="inlineStr">
        <is>
          <t>Depreciation — rolls off the asset register</t>
        </is>
      </c>
      <c r="C902" s="18">
        <f>(Assumptions!$B$70+Assumptions!$B$71)/10^6/'Base Year'!$B$42</f>
        <v/>
      </c>
      <c r="D902" s="18">
        <f>C901/'Base Year'!$B$42</f>
        <v/>
      </c>
      <c r="E902" s="18">
        <f>D901/'Base Year'!$B$42</f>
        <v/>
      </c>
      <c r="F902" s="18">
        <f>E901/'Base Year'!$B$42</f>
        <v/>
      </c>
      <c r="G902" s="18">
        <f>F901/'Base Year'!$B$42</f>
        <v/>
      </c>
    </row>
    <row r="903">
      <c r="A903" s="9" t="inlineStr">
        <is>
          <t>Fixed assets, net book, closing</t>
        </is>
      </c>
      <c r="C903" s="18">
        <f>(Assumptions!$B$69+Assumptions!$B$71)/10^6+C900-C902</f>
        <v/>
      </c>
      <c r="D903" s="18">
        <f>C903+D900-D902</f>
        <v/>
      </c>
      <c r="E903" s="18">
        <f>D903+E900-E902</f>
        <v/>
      </c>
      <c r="F903" s="18">
        <f>E903+F900-F902</f>
        <v/>
      </c>
      <c r="G903" s="18">
        <f>F903+G900-G902</f>
        <v/>
      </c>
    </row>
    <row r="904">
      <c r="A904" s="17" t="inlineStr">
        <is>
          <t>EBIT</t>
        </is>
      </c>
      <c r="C904" s="20">
        <f>C899-C902</f>
        <v/>
      </c>
      <c r="D904" s="20">
        <f>D899-D902</f>
        <v/>
      </c>
      <c r="E904" s="20">
        <f>E899-E902</f>
        <v/>
      </c>
      <c r="F904" s="20">
        <f>F899-F902</f>
        <v/>
      </c>
      <c r="G904" s="20">
        <f>G899-G902</f>
        <v/>
      </c>
    </row>
    <row r="905">
      <c r="A905" s="9" t="inlineStr">
        <is>
          <t>NOPAT before the profit share</t>
        </is>
      </c>
      <c r="C905" s="18">
        <f>C904*(1-Assumptions!$B$87)</f>
        <v/>
      </c>
      <c r="D905" s="18">
        <f>D904*(1-Assumptions!$B$87)</f>
        <v/>
      </c>
      <c r="E905" s="18">
        <f>E904*(1-Assumptions!$B$87)</f>
        <v/>
      </c>
      <c r="F905" s="18">
        <f>F904*(1-Assumptions!$B$87)</f>
        <v/>
      </c>
      <c r="G905" s="18">
        <f>G904*(1-Assumptions!$B$87)</f>
        <v/>
      </c>
    </row>
    <row r="906">
      <c r="A906" s="9" t="inlineStr">
        <is>
          <t xml:space="preserve">  less employees' profit share and board bonuses</t>
        </is>
      </c>
      <c r="C906" s="18">
        <f>MAX(C905,0)*'Base Year'!$B$40</f>
        <v/>
      </c>
      <c r="D906" s="18">
        <f>MAX(D905,0)*'Base Year'!$B$40</f>
        <v/>
      </c>
      <c r="E906" s="18">
        <f>MAX(E905,0)*'Base Year'!$B$40</f>
        <v/>
      </c>
      <c r="F906" s="18">
        <f>MAX(F905,0)*'Base Year'!$B$40</f>
        <v/>
      </c>
      <c r="G906" s="18">
        <f>MAX(G905,0)*'Base Year'!$B$40</f>
        <v/>
      </c>
    </row>
    <row r="907">
      <c r="A907" s="17" t="inlineStr">
        <is>
          <t>NOPAT</t>
        </is>
      </c>
      <c r="C907" s="20">
        <f>C905-C906</f>
        <v/>
      </c>
      <c r="D907" s="20">
        <f>D905-D906</f>
        <v/>
      </c>
      <c r="E907" s="20">
        <f>E905-E906</f>
        <v/>
      </c>
      <c r="F907" s="20">
        <f>F905-F906</f>
        <v/>
      </c>
      <c r="G907" s="20">
        <f>G905-G906</f>
        <v/>
      </c>
    </row>
    <row r="908">
      <c r="A908" s="9" t="inlineStr">
        <is>
          <t>Net working capital — on days</t>
        </is>
      </c>
      <c r="C908" s="18">
        <f>'Base Year'!$B$44*Forecast!$B$9/365*C895+'Base Year'!$B$45*Forecast!$B$9/365*C894-'Base Year'!$B$46*Forecast!$B$9/365*C895</f>
        <v/>
      </c>
      <c r="D908" s="18">
        <f>'Base Year'!$B$44*Forecast!$B$9/365*D895+'Base Year'!$B$45*Forecast!$B$9/365*D894-'Base Year'!$B$46*Forecast!$B$9/365*D895</f>
        <v/>
      </c>
      <c r="E908" s="18">
        <f>'Base Year'!$B$44*Forecast!$B$9/365*E895+'Base Year'!$B$45*Forecast!$B$9/365*E894-'Base Year'!$B$46*Forecast!$B$9/365*E895</f>
        <v/>
      </c>
      <c r="F908" s="18">
        <f>'Base Year'!$B$44*Forecast!$B$9/365*F895+'Base Year'!$B$45*Forecast!$B$9/365*F894-'Base Year'!$B$46*Forecast!$B$9/365*F895</f>
        <v/>
      </c>
      <c r="G908" s="18">
        <f>'Base Year'!$B$44*Forecast!$B$9/365*G895+'Base Year'!$B$45*Forecast!$B$9/365*G894-'Base Year'!$B$46*Forecast!$B$9/365*G895</f>
        <v/>
      </c>
    </row>
    <row r="909">
      <c r="A909" s="9" t="inlineStr">
        <is>
          <t xml:space="preserve">  change in working capital</t>
        </is>
      </c>
      <c r="C909" s="18">
        <f>C908-('Base Year'!$B$44/365*'Base Year'!$B$21+'Base Year'!$B$45/365*'Base Year'!$B$19-'Base Year'!$B$46/365*'Base Year'!$B$21)</f>
        <v/>
      </c>
      <c r="D909" s="18">
        <f>D908-C908</f>
        <v/>
      </c>
      <c r="E909" s="18">
        <f>E908-D908</f>
        <v/>
      </c>
      <c r="F909" s="18">
        <f>F908-E908</f>
        <v/>
      </c>
      <c r="G909" s="18">
        <f>G908-F908</f>
        <v/>
      </c>
    </row>
    <row r="910">
      <c r="A910" s="17" t="inlineStr">
        <is>
          <t>FREE CASH FLOW TO THE FIRM</t>
        </is>
      </c>
      <c r="C910" s="20">
        <f>C907+C902-C900-C909</f>
        <v/>
      </c>
      <c r="D910" s="20">
        <f>D907+D902-D900-D909</f>
        <v/>
      </c>
      <c r="E910" s="20">
        <f>E907+E902-E900-E909</f>
        <v/>
      </c>
      <c r="F910" s="20">
        <f>F907+F902-F900-F909</f>
        <v/>
      </c>
      <c r="G910" s="20">
        <f>G907+G902-G900-G909</f>
        <v/>
      </c>
    </row>
    <row r="911">
      <c r="A911" s="9" t="inlineStr">
        <is>
          <t>Glide fraction</t>
        </is>
      </c>
      <c r="C911" s="26">
        <f>0.0000000000</f>
        <v/>
      </c>
      <c r="D911" s="26">
        <f>0.3571428571</f>
        <v/>
      </c>
      <c r="E911" s="26">
        <f>0.6428571429</f>
        <v/>
      </c>
      <c r="F911" s="26">
        <f>0.8571428571</f>
        <v/>
      </c>
      <c r="G911" s="26">
        <f>1.0000000000</f>
        <v/>
      </c>
    </row>
    <row r="912">
      <c r="A912" s="9" t="inlineStr">
        <is>
          <t>Forward cost of capital</t>
        </is>
      </c>
      <c r="C912" s="19">
        <f>$F$29-($F$29-$G$29)*C911</f>
        <v/>
      </c>
      <c r="D912" s="19">
        <f>$F$29-($F$29-$G$29)*D911</f>
        <v/>
      </c>
      <c r="E912" s="19">
        <f>$F$29-($F$29-$G$29)*E911</f>
        <v/>
      </c>
      <c r="F912" s="19">
        <f>$F$29-($F$29-$G$29)*F911</f>
        <v/>
      </c>
      <c r="G912" s="19">
        <f>$F$29-($F$29-$G$29)*G911</f>
        <v/>
      </c>
    </row>
    <row r="913">
      <c r="A913" s="9" t="inlineStr">
        <is>
          <t>Cumulative discount factor</t>
        </is>
      </c>
      <c r="C913" s="29">
        <f>1/(1+C912)</f>
        <v/>
      </c>
      <c r="D913" s="29">
        <f>C913/(1+D912)</f>
        <v/>
      </c>
      <c r="E913" s="29">
        <f>D913/(1+E912)</f>
        <v/>
      </c>
      <c r="F913" s="29">
        <f>E913/(1+F912)</f>
        <v/>
      </c>
      <c r="G913" s="29">
        <f>F913/(1+G912)</f>
        <v/>
      </c>
    </row>
    <row r="914">
      <c r="A914" s="9" t="inlineStr">
        <is>
          <t>Present value</t>
        </is>
      </c>
      <c r="C914" s="18">
        <f>C910*C913</f>
        <v/>
      </c>
      <c r="D914" s="18">
        <f>D910*D913</f>
        <v/>
      </c>
      <c r="E914" s="18">
        <f>E910*E913</f>
        <v/>
      </c>
      <c r="F914" s="18">
        <f>F910*F913</f>
        <v/>
      </c>
      <c r="G914" s="18">
        <f>G910*G913</f>
        <v/>
      </c>
    </row>
    <row r="915">
      <c r="A915" s="17" t="inlineStr">
        <is>
          <t>PV of the explicit window</t>
        </is>
      </c>
      <c r="B915" s="20">
        <f>SUM(C914:G914)</f>
        <v/>
      </c>
      <c r="C915" s="18">
        <f>C908+C901</f>
        <v/>
      </c>
      <c r="D915" s="18">
        <f>D908+D901</f>
        <v/>
      </c>
      <c r="E915" s="18">
        <f>E908+E901</f>
        <v/>
      </c>
      <c r="F915" s="18">
        <f>F908+F901</f>
        <v/>
      </c>
      <c r="G915" s="18">
        <f>G908+G901</f>
        <v/>
      </c>
    </row>
    <row r="916">
      <c r="A916" s="9" t="inlineStr">
        <is>
          <t>Terminal return on invested capital, at REPLACEMENT cost</t>
        </is>
      </c>
      <c r="B916" s="19">
        <f>G907*(1+Assumptions!$B$89)/G915</f>
        <v/>
      </c>
    </row>
    <row r="917">
      <c r="A917" s="9" t="inlineStr">
        <is>
          <t>Required reinvestment = growth / return</t>
        </is>
      </c>
      <c r="B917" s="19">
        <f>MIN(Assumptions!$B$89/B916,0.95)</f>
        <v/>
      </c>
    </row>
    <row r="918">
      <c r="A918" s="9" t="inlineStr">
        <is>
          <t>Terminal value</t>
        </is>
      </c>
      <c r="B918" s="18">
        <f>G907*(1+Assumptions!$B$89)*(1-B917)/MAX($G$29-Assumptions!$B$89,0.02)</f>
        <v/>
      </c>
    </row>
    <row r="919">
      <c r="A919" s="9" t="inlineStr">
        <is>
          <t>PV of the terminal block</t>
        </is>
      </c>
      <c r="B919" s="18">
        <f>B918*G913</f>
        <v/>
      </c>
    </row>
    <row r="920">
      <c r="A920" s="17" t="inlineStr">
        <is>
          <t>ENTERPRISE VALUE</t>
        </is>
      </c>
      <c r="B920" s="20">
        <f>B915+B919</f>
        <v/>
      </c>
    </row>
    <row r="921">
      <c r="A921" s="9" t="inlineStr">
        <is>
          <t>plus net cash</t>
        </is>
      </c>
      <c r="B921" s="18">
        <f>(Assumptions!$B$79-Assumptions!$B$82-Assumptions!$B$83)/10^6</f>
        <v/>
      </c>
    </row>
    <row r="922">
      <c r="A922" s="9" t="inlineStr">
        <is>
          <t>Enterprise value including cash</t>
        </is>
      </c>
      <c r="B922" s="18">
        <f>B920+B921</f>
        <v/>
      </c>
    </row>
    <row r="923">
      <c r="A923" s="9" t="inlineStr">
        <is>
          <t>less minority — on the WHOLE enterprise, cash included</t>
        </is>
      </c>
      <c r="B923" s="18">
        <f>B922*'Base Year'!$B$41</f>
        <v/>
      </c>
    </row>
    <row r="924">
      <c r="A924" s="9" t="inlineStr">
        <is>
          <t>less the tax-disputes provision</t>
        </is>
      </c>
      <c r="B924" s="18">
        <f>Assumptions!$B$78/10^6</f>
        <v/>
      </c>
    </row>
    <row r="925">
      <c r="A925" s="9" t="inlineStr">
        <is>
          <t>less dividends payable — declared, out of working capital</t>
        </is>
      </c>
      <c r="B925" s="18">
        <f>Assumptions!$B$77/10^6</f>
        <v/>
      </c>
    </row>
    <row r="926">
      <c r="A926" s="9" t="inlineStr">
        <is>
          <t>plus non-operating investments and pledged deposits</t>
        </is>
      </c>
      <c r="B926" s="18">
        <f>(Assumptions!$B$81+Assumptions!$B$80)/10^6</f>
        <v/>
      </c>
    </row>
    <row r="927">
      <c r="A927" s="17" t="inlineStr">
        <is>
          <t>EQUITY ATTRIBUTABLE</t>
        </is>
      </c>
      <c r="B927" s="20">
        <f>B922-B923-B924-B925+B926</f>
        <v/>
      </c>
    </row>
    <row r="928">
      <c r="A928" s="17" t="inlineStr">
        <is>
          <t>VALUE PER SHARE, EGP</t>
        </is>
      </c>
      <c r="B928" s="30">
        <f>B927/Assumptions!$B$8</f>
        <v/>
      </c>
    </row>
    <row r="931">
      <c r="A931" s="6" t="inlineStr">
        <is>
          <t>Beta — 1.1500</t>
        </is>
      </c>
      <c r="B931" s="6" t="inlineStr">
        <is>
          <t>2026E</t>
        </is>
      </c>
      <c r="C931" s="6" t="inlineStr">
        <is>
          <t>2027E</t>
        </is>
      </c>
      <c r="D931" s="6" t="inlineStr">
        <is>
          <t>2028E</t>
        </is>
      </c>
      <c r="E931" s="6" t="inlineStr">
        <is>
          <t>2029E</t>
        </is>
      </c>
      <c r="F931" s="6" t="inlineStr">
        <is>
          <t>2030E</t>
        </is>
      </c>
    </row>
    <row r="932">
      <c r="A932" s="9" t="inlineStr">
        <is>
          <t>Inflation index, cumulative</t>
        </is>
      </c>
      <c r="C932" s="26">
        <f>Assumptions!$B$146</f>
        <v/>
      </c>
      <c r="D932" s="26">
        <f>C932*Assumptions!$B$147</f>
        <v/>
      </c>
      <c r="E932" s="26">
        <f>D932*Assumptions!$B$148</f>
        <v/>
      </c>
      <c r="F932" s="26">
        <f>E932*Assumptions!$B$149</f>
        <v/>
      </c>
      <c r="G932" s="26">
        <f>F932*Assumptions!$B$150</f>
        <v/>
      </c>
    </row>
    <row r="933">
      <c r="A933" s="9" t="inlineStr">
        <is>
          <t>Realisation index, cumulative</t>
        </is>
      </c>
      <c r="C933" s="26">
        <f>(1+Assumptions!$B$101*Forecast!$B$8)</f>
        <v/>
      </c>
      <c r="D933" s="26">
        <f>C933*(1+Assumptions!$B$102*Forecast!$B$8)</f>
        <v/>
      </c>
      <c r="E933" s="26">
        <f>D933*(1+Assumptions!$B$103*Forecast!$B$8)</f>
        <v/>
      </c>
      <c r="F933" s="26">
        <f>E933*(1+Assumptions!$B$104*Forecast!$B$8)</f>
        <v/>
      </c>
      <c r="G933" s="26">
        <f>F933*(1+Assumptions!$B$105*Forecast!$B$8)</f>
        <v/>
      </c>
    </row>
    <row r="934">
      <c r="A934" s="9" t="inlineStr">
        <is>
          <t xml:space="preserve">  Volume — Base and special oils, mn t</t>
        </is>
      </c>
      <c r="C934" s="26">
        <f>'Product and Cost'!E6*(1+Assumptions!$B$106+Forecast!$B$6)</f>
        <v/>
      </c>
      <c r="D934" s="26">
        <f>C934*(1+Assumptions!$B$107+Forecast!$B$6)</f>
        <v/>
      </c>
      <c r="E934" s="26">
        <f>D934*(1+Assumptions!$B$108+Forecast!$B$6)</f>
        <v/>
      </c>
      <c r="F934" s="26">
        <f>E934*(1+Assumptions!$B$109+Forecast!$B$6)</f>
        <v/>
      </c>
      <c r="G934" s="26">
        <f>F934*(1+Assumptions!$B$110+Forecast!$B$6)</f>
        <v/>
      </c>
    </row>
    <row r="935">
      <c r="A935" s="9" t="inlineStr">
        <is>
          <t xml:space="preserve">  Volume — Paraffin wax, mn t</t>
        </is>
      </c>
      <c r="C935" s="26">
        <f>'Product and Cost'!E7*(1+Assumptions!$B$111+Forecast!$B$6)</f>
        <v/>
      </c>
      <c r="D935" s="26">
        <f>C935*(1+Assumptions!$B$112+Forecast!$B$6)</f>
        <v/>
      </c>
      <c r="E935" s="26">
        <f>D935*(1+Assumptions!$B$113+Forecast!$B$6)</f>
        <v/>
      </c>
      <c r="F935" s="26">
        <f>E935*(1+Assumptions!$B$114+Forecast!$B$6)</f>
        <v/>
      </c>
      <c r="G935" s="26">
        <f>F935*(1+Assumptions!$B$115+Forecast!$B$6)</f>
        <v/>
      </c>
    </row>
    <row r="936">
      <c r="A936" s="9" t="inlineStr">
        <is>
          <t xml:space="preserve">  Volume — Gas oil, mn t</t>
        </is>
      </c>
      <c r="C936" s="26">
        <f>'Product and Cost'!E8*(1+Assumptions!$B$116+Forecast!$B$6)</f>
        <v/>
      </c>
      <c r="D936" s="26">
        <f>C936*(1+Assumptions!$B$117+Forecast!$B$6)</f>
        <v/>
      </c>
      <c r="E936" s="26">
        <f>D936*(1+Assumptions!$B$118+Forecast!$B$6)</f>
        <v/>
      </c>
      <c r="F936" s="26">
        <f>E936*(1+Assumptions!$B$119+Forecast!$B$6)</f>
        <v/>
      </c>
      <c r="G936" s="26">
        <f>F936*(1+Assumptions!$B$120+Forecast!$B$6)</f>
        <v/>
      </c>
    </row>
    <row r="937">
      <c r="A937" s="9" t="inlineStr">
        <is>
          <t xml:space="preserve">  Volume — Naphtha, mn t</t>
        </is>
      </c>
      <c r="C937" s="26">
        <f>'Product and Cost'!E9*(1+Assumptions!$B$121+Forecast!$B$6)</f>
        <v/>
      </c>
      <c r="D937" s="26">
        <f>C937*(1+Assumptions!$B$122+Forecast!$B$6)</f>
        <v/>
      </c>
      <c r="E937" s="26">
        <f>D937*(1+Assumptions!$B$123+Forecast!$B$6)</f>
        <v/>
      </c>
      <c r="F937" s="26">
        <f>E937*(1+Assumptions!$B$124+Forecast!$B$6)</f>
        <v/>
      </c>
      <c r="G937" s="26">
        <f>F937*(1+Assumptions!$B$125+Forecast!$B$6)</f>
        <v/>
      </c>
    </row>
    <row r="938">
      <c r="A938" s="9" t="inlineStr">
        <is>
          <t xml:space="preserve">  Volume — Liquefied petroleum gas, mn t</t>
        </is>
      </c>
      <c r="C938" s="26">
        <f>'Product and Cost'!E10*(1+Assumptions!$B$126+Forecast!$B$6)</f>
        <v/>
      </c>
      <c r="D938" s="26">
        <f>C938*(1+Assumptions!$B$127+Forecast!$B$6)</f>
        <v/>
      </c>
      <c r="E938" s="26">
        <f>D938*(1+Assumptions!$B$128+Forecast!$B$6)</f>
        <v/>
      </c>
      <c r="F938" s="26">
        <f>E938*(1+Assumptions!$B$129+Forecast!$B$6)</f>
        <v/>
      </c>
      <c r="G938" s="26">
        <f>F938*(1+Assumptions!$B$130+Forecast!$B$6)</f>
        <v/>
      </c>
    </row>
    <row r="939">
      <c r="A939" s="9" t="inlineStr">
        <is>
          <t xml:space="preserve">  Volume — Fuel oil (mix), mn t</t>
        </is>
      </c>
      <c r="C939" s="26">
        <f>'Product and Cost'!E11*(1+Assumptions!$B$131+Forecast!$B$6)</f>
        <v/>
      </c>
      <c r="D939" s="26">
        <f>C939*(1+Assumptions!$B$132+Forecast!$B$6)</f>
        <v/>
      </c>
      <c r="E939" s="26">
        <f>D939*(1+Assumptions!$B$133+Forecast!$B$6)</f>
        <v/>
      </c>
      <c r="F939" s="26">
        <f>E939*(1+Assumptions!$B$134+Forecast!$B$6)</f>
        <v/>
      </c>
      <c r="G939" s="26">
        <f>F939*(1+Assumptions!$B$135+Forecast!$B$6)</f>
        <v/>
      </c>
    </row>
    <row r="940">
      <c r="A940" s="9" t="inlineStr">
        <is>
          <t xml:space="preserve">  Volume — Heavy fuel oil, mn t</t>
        </is>
      </c>
      <c r="C940" s="26">
        <f>'Product and Cost'!E12*(1+Assumptions!$B$136+Forecast!$B$6)</f>
        <v/>
      </c>
      <c r="D940" s="26">
        <f>C940*(1+Assumptions!$B$137+Forecast!$B$6)</f>
        <v/>
      </c>
      <c r="E940" s="26">
        <f>D940*(1+Assumptions!$B$138+Forecast!$B$6)</f>
        <v/>
      </c>
      <c r="F940" s="26">
        <f>E940*(1+Assumptions!$B$139+Forecast!$B$6)</f>
        <v/>
      </c>
      <c r="G940" s="26">
        <f>F940*(1+Assumptions!$B$140+Forecast!$B$6)</f>
        <v/>
      </c>
    </row>
    <row r="941">
      <c r="A941" s="9" t="inlineStr">
        <is>
          <t xml:space="preserve">  Volume — Waste, mn t</t>
        </is>
      </c>
      <c r="C941" s="26">
        <f>'Product and Cost'!E13*(1+Assumptions!$B$141+Forecast!$B$6)</f>
        <v/>
      </c>
      <c r="D941" s="26">
        <f>C941*(1+Assumptions!$B$142+Forecast!$B$6)</f>
        <v/>
      </c>
      <c r="E941" s="26">
        <f>D941*(1+Assumptions!$B$143+Forecast!$B$6)</f>
        <v/>
      </c>
      <c r="F941" s="26">
        <f>E941*(1+Assumptions!$B$144+Forecast!$B$6)</f>
        <v/>
      </c>
      <c r="G941" s="26">
        <f>F941*(1+Assumptions!$B$145+Forecast!$B$6)</f>
        <v/>
      </c>
    </row>
    <row r="942">
      <c r="A942" s="17" t="inlineStr">
        <is>
          <t>Total volume, mn t</t>
        </is>
      </c>
      <c r="C942" s="28">
        <f>SUM(C934:C941)</f>
        <v/>
      </c>
      <c r="D942" s="28">
        <f>SUM(D934:D941)</f>
        <v/>
      </c>
      <c r="E942" s="28">
        <f>SUM(E934:E941)</f>
        <v/>
      </c>
      <c r="F942" s="28">
        <f>SUM(F934:F941)</f>
        <v/>
      </c>
      <c r="G942" s="28">
        <f>SUM(G934:G941)</f>
        <v/>
      </c>
    </row>
    <row r="943">
      <c r="A943" s="17" t="inlineStr">
        <is>
          <t>REVENUE</t>
        </is>
      </c>
      <c r="C943" s="20">
        <f>C934*'Product and Cost'!$F$6*C933+C935*'Product and Cost'!$F$7*C933+C936*'Product and Cost'!$F$8*C933+C937*'Product and Cost'!$F$9*C933+C938*'Product and Cost'!$F$10*C933+C939*'Product and Cost'!$F$11*C933+C940*'Product and Cost'!$F$12*C933+C941*'Product and Cost'!$F$13*C933</f>
        <v/>
      </c>
      <c r="D943" s="20">
        <f>D934*'Product and Cost'!$F$6*D933+D935*'Product and Cost'!$F$7*D933+D936*'Product and Cost'!$F$8*D933+D937*'Product and Cost'!$F$9*D933+D938*'Product and Cost'!$F$10*D933+D939*'Product and Cost'!$F$11*D933+D940*'Product and Cost'!$F$12*D933+D941*'Product and Cost'!$F$13*D933</f>
        <v/>
      </c>
      <c r="E943" s="20">
        <f>E934*'Product and Cost'!$F$6*E933+E935*'Product and Cost'!$F$7*E933+E936*'Product and Cost'!$F$8*E933+E937*'Product and Cost'!$F$9*E933+E938*'Product and Cost'!$F$10*E933+E939*'Product and Cost'!$F$11*E933+E940*'Product and Cost'!$F$12*E933+E941*'Product and Cost'!$F$13*E933</f>
        <v/>
      </c>
      <c r="F943" s="20">
        <f>F934*'Product and Cost'!$F$6*F933+F935*'Product and Cost'!$F$7*F933+F936*'Product and Cost'!$F$8*F933+F937*'Product and Cost'!$F$9*F933+F938*'Product and Cost'!$F$10*F933+F939*'Product and Cost'!$F$11*F933+F940*'Product and Cost'!$F$12*F933+F941*'Product and Cost'!$F$13*F933</f>
        <v/>
      </c>
      <c r="G943" s="20">
        <f>G934*'Product and Cost'!$F$6*G933+G935*'Product and Cost'!$F$7*G933+G936*'Product and Cost'!$F$8*G933+G937*'Product and Cost'!$F$9*G933+G938*'Product and Cost'!$F$10*G933+G939*'Product and Cost'!$F$11*G933+G940*'Product and Cost'!$F$12*G933+G941*'Product and Cost'!$F$13*G933</f>
        <v/>
      </c>
    </row>
    <row r="944">
      <c r="A944" s="9" t="inlineStr">
        <is>
          <t>Cost of sales</t>
        </is>
      </c>
      <c r="C944" s="18">
        <f>C934*('Product and Cost'!$D$27*C933*Assumptions!$B$88+'Product and Cost'!$B$27*(0.4863620081*C932+0.4455809638*C932+0.0356254898*C933+0.0324315384))+C935*('Product and Cost'!$D$28*C933*Assumptions!$B$88+'Product and Cost'!$B$28*(0.4863620081*C932+0.4455809638*C932+0.0356254898*C933+0.0324315384))+C936*('Product and Cost'!$D$29*C933*Assumptions!$B$88+'Product and Cost'!$B$29*(0.4863620081*C932+0.4455809638*C932+0.0356254898*C933+0.0324315384))+C937*('Product and Cost'!$D$30*C933*Assumptions!$B$88+'Product and Cost'!$B$30*(0.4863620081*C932+0.4455809638*C932+0.0356254898*C933+0.0324315384))+C938*('Product and Cost'!$D$31*C933*Assumptions!$B$88+'Product and Cost'!$B$31*(0.4863620081*C932+0.4455809638*C932+0.0356254898*C933+0.0324315384))+C939*('Product and Cost'!$D$32*C933*Assumptions!$B$88+'Product and Cost'!$B$32*(0.4863620081*C932+0.4455809638*C932+0.0356254898*C933+0.0324315384))+C940*('Product and Cost'!$D$33*C933*Assumptions!$B$88+'Product and Cost'!$B$33*(0.4863620081*C932+0.4455809638*C932+0.0356254898*C933+0.0324315384))+C941*('Product and Cost'!$D$34*C933*Assumptions!$B$88+'Product and Cost'!$B$34*(0.4863620081*C932+0.4455809638*C932+0.0356254898*C933+0.0324315384))</f>
        <v/>
      </c>
      <c r="D944" s="18">
        <f>D934*('Product and Cost'!$D$27*D933*Assumptions!$B$88+'Product and Cost'!$B$27*(0.4863620081*D932+0.4455809638*D932+0.0356254898*D933+0.0324315384))+D935*('Product and Cost'!$D$28*D933*Assumptions!$B$88+'Product and Cost'!$B$28*(0.4863620081*D932+0.4455809638*D932+0.0356254898*D933+0.0324315384))+D936*('Product and Cost'!$D$29*D933*Assumptions!$B$88+'Product and Cost'!$B$29*(0.4863620081*D932+0.4455809638*D932+0.0356254898*D933+0.0324315384))+D937*('Product and Cost'!$D$30*D933*Assumptions!$B$88+'Product and Cost'!$B$30*(0.4863620081*D932+0.4455809638*D932+0.0356254898*D933+0.0324315384))+D938*('Product and Cost'!$D$31*D933*Assumptions!$B$88+'Product and Cost'!$B$31*(0.4863620081*D932+0.4455809638*D932+0.0356254898*D933+0.0324315384))+D939*('Product and Cost'!$D$32*D933*Assumptions!$B$88+'Product and Cost'!$B$32*(0.4863620081*D932+0.4455809638*D932+0.0356254898*D933+0.0324315384))+D940*('Product and Cost'!$D$33*D933*Assumptions!$B$88+'Product and Cost'!$B$33*(0.4863620081*D932+0.4455809638*D932+0.0356254898*D933+0.0324315384))+D941*('Product and Cost'!$D$34*D933*Assumptions!$B$88+'Product and Cost'!$B$34*(0.4863620081*D932+0.4455809638*D932+0.0356254898*D933+0.0324315384))</f>
        <v/>
      </c>
      <c r="E944" s="18">
        <f>E934*('Product and Cost'!$D$27*E933*Assumptions!$B$88+'Product and Cost'!$B$27*(0.4863620081*E932+0.4455809638*E932+0.0356254898*E933+0.0324315384))+E935*('Product and Cost'!$D$28*E933*Assumptions!$B$88+'Product and Cost'!$B$28*(0.4863620081*E932+0.4455809638*E932+0.0356254898*E933+0.0324315384))+E936*('Product and Cost'!$D$29*E933*Assumptions!$B$88+'Product and Cost'!$B$29*(0.4863620081*E932+0.4455809638*E932+0.0356254898*E933+0.0324315384))+E937*('Product and Cost'!$D$30*E933*Assumptions!$B$88+'Product and Cost'!$B$30*(0.4863620081*E932+0.4455809638*E932+0.0356254898*E933+0.0324315384))+E938*('Product and Cost'!$D$31*E933*Assumptions!$B$88+'Product and Cost'!$B$31*(0.4863620081*E932+0.4455809638*E932+0.0356254898*E933+0.0324315384))+E939*('Product and Cost'!$D$32*E933*Assumptions!$B$88+'Product and Cost'!$B$32*(0.4863620081*E932+0.4455809638*E932+0.0356254898*E933+0.0324315384))+E940*('Product and Cost'!$D$33*E933*Assumptions!$B$88+'Product and Cost'!$B$33*(0.4863620081*E932+0.4455809638*E932+0.0356254898*E933+0.0324315384))+E941*('Product and Cost'!$D$34*E933*Assumptions!$B$88+'Product and Cost'!$B$34*(0.4863620081*E932+0.4455809638*E932+0.0356254898*E933+0.0324315384))</f>
        <v/>
      </c>
      <c r="F944" s="18">
        <f>F934*('Product and Cost'!$D$27*F933*Assumptions!$B$88+'Product and Cost'!$B$27*(0.4863620081*F932+0.4455809638*F932+0.0356254898*F933+0.0324315384))+F935*('Product and Cost'!$D$28*F933*Assumptions!$B$88+'Product and Cost'!$B$28*(0.4863620081*F932+0.4455809638*F932+0.0356254898*F933+0.0324315384))+F936*('Product and Cost'!$D$29*F933*Assumptions!$B$88+'Product and Cost'!$B$29*(0.4863620081*F932+0.4455809638*F932+0.0356254898*F933+0.0324315384))+F937*('Product and Cost'!$D$30*F933*Assumptions!$B$88+'Product and Cost'!$B$30*(0.4863620081*F932+0.4455809638*F932+0.0356254898*F933+0.0324315384))+F938*('Product and Cost'!$D$31*F933*Assumptions!$B$88+'Product and Cost'!$B$31*(0.4863620081*F932+0.4455809638*F932+0.0356254898*F933+0.0324315384))+F939*('Product and Cost'!$D$32*F933*Assumptions!$B$88+'Product and Cost'!$B$32*(0.4863620081*F932+0.4455809638*F932+0.0356254898*F933+0.0324315384))+F940*('Product and Cost'!$D$33*F933*Assumptions!$B$88+'Product and Cost'!$B$33*(0.4863620081*F932+0.4455809638*F932+0.0356254898*F933+0.0324315384))+F941*('Product and Cost'!$D$34*F933*Assumptions!$B$88+'Product and Cost'!$B$34*(0.4863620081*F932+0.4455809638*F932+0.0356254898*F933+0.0324315384))</f>
        <v/>
      </c>
      <c r="G944" s="18">
        <f>G934*('Product and Cost'!$D$27*G933*Assumptions!$B$88+'Product and Cost'!$B$27*(0.4863620081*G932+0.4455809638*G932+0.0356254898*G933+0.0324315384))+G935*('Product and Cost'!$D$28*G933*Assumptions!$B$88+'Product and Cost'!$B$28*(0.4863620081*G932+0.4455809638*G932+0.0356254898*G933+0.0324315384))+G936*('Product and Cost'!$D$29*G933*Assumptions!$B$88+'Product and Cost'!$B$29*(0.4863620081*G932+0.4455809638*G932+0.0356254898*G933+0.0324315384))+G937*('Product and Cost'!$D$30*G933*Assumptions!$B$88+'Product and Cost'!$B$30*(0.4863620081*G932+0.4455809638*G932+0.0356254898*G933+0.0324315384))+G938*('Product and Cost'!$D$31*G933*Assumptions!$B$88+'Product and Cost'!$B$31*(0.4863620081*G932+0.4455809638*G932+0.0356254898*G933+0.0324315384))+G939*('Product and Cost'!$D$32*G933*Assumptions!$B$88+'Product and Cost'!$B$32*(0.4863620081*G932+0.4455809638*G932+0.0356254898*G933+0.0324315384))+G940*('Product and Cost'!$D$33*G933*Assumptions!$B$88+'Product and Cost'!$B$33*(0.4863620081*G932+0.4455809638*G932+0.0356254898*G933+0.0324315384))+G941*('Product and Cost'!$D$34*G933*Assumptions!$B$88+'Product and Cost'!$B$34*(0.4863620081*G932+0.4455809638*G932+0.0356254898*G933+0.0324315384))</f>
        <v/>
      </c>
    </row>
    <row r="945">
      <c r="A945" s="17" t="inlineStr">
        <is>
          <t>GROSS PROFIT</t>
        </is>
      </c>
      <c r="C945" s="20">
        <f>C943-C944+Forecast!$B$7*C943</f>
        <v/>
      </c>
      <c r="D945" s="20">
        <f>D943-D944+Forecast!$B$7*D943</f>
        <v/>
      </c>
      <c r="E945" s="20">
        <f>E943-E944+Forecast!$B$7*E943</f>
        <v/>
      </c>
      <c r="F945" s="20">
        <f>F943-F944+Forecast!$B$7*F943</f>
        <v/>
      </c>
      <c r="G945" s="20">
        <f>G943-G944+Forecast!$B$7*G943</f>
        <v/>
      </c>
    </row>
    <row r="946">
      <c r="A946" s="9" t="inlineStr">
        <is>
          <t>Gross margin</t>
        </is>
      </c>
      <c r="C946" s="19">
        <f>C945/C943</f>
        <v/>
      </c>
      <c r="D946" s="19">
        <f>D945/D943</f>
        <v/>
      </c>
      <c r="E946" s="19">
        <f>E945/E943</f>
        <v/>
      </c>
      <c r="F946" s="19">
        <f>F945/F943</f>
        <v/>
      </c>
      <c r="G946" s="19">
        <f>G945/G943</f>
        <v/>
      </c>
    </row>
    <row r="947">
      <c r="A947" s="9" t="inlineStr">
        <is>
          <t>Operating expense</t>
        </is>
      </c>
      <c r="C947" s="18">
        <f>('Base Year'!$B$28*C932)+('Base Year'!$B$29*C932*C942/'Product and Cost'!$E$14)+('Base Year'!$B$30*C932)+('Base Year'!$B$31*C932)</f>
        <v/>
      </c>
      <c r="D947" s="18">
        <f>('Base Year'!$B$28*D932)+('Base Year'!$B$29*D932*D942/'Product and Cost'!$E$14)+('Base Year'!$B$30*D932)+('Base Year'!$B$31*D932)</f>
        <v/>
      </c>
      <c r="E947" s="18">
        <f>('Base Year'!$B$28*E932)+('Base Year'!$B$29*E932*E942/'Product and Cost'!$E$14)+('Base Year'!$B$30*E932)+('Base Year'!$B$31*E932)</f>
        <v/>
      </c>
      <c r="F947" s="18">
        <f>('Base Year'!$B$28*F932)+('Base Year'!$B$29*F932*F942/'Product and Cost'!$E$14)+('Base Year'!$B$30*F932)+('Base Year'!$B$31*F932)</f>
        <v/>
      </c>
      <c r="G947" s="18">
        <f>('Base Year'!$B$28*G932)+('Base Year'!$B$29*G932*G942/'Product and Cost'!$E$14)+('Base Year'!$B$30*G932)+('Base Year'!$B$31*G932)</f>
        <v/>
      </c>
    </row>
    <row r="948">
      <c r="A948" s="17" t="inlineStr">
        <is>
          <t>EBITDA</t>
        </is>
      </c>
      <c r="C948" s="20">
        <f>C945-C947</f>
        <v/>
      </c>
      <c r="D948" s="20">
        <f>D945-D947</f>
        <v/>
      </c>
      <c r="E948" s="20">
        <f>E945-E947</f>
        <v/>
      </c>
      <c r="F948" s="20">
        <f>F945-F947</f>
        <v/>
      </c>
      <c r="G948" s="20">
        <f>G945-G947</f>
        <v/>
      </c>
    </row>
    <row r="949">
      <c r="A949" s="9" t="inlineStr">
        <is>
          <t>Capital expenditure — maintenance + growth</t>
        </is>
      </c>
      <c r="C949" s="18">
        <f>'Base Year'!$B$43*C932+MAX(C942-'Product and Cost'!$E$14,0)*1947.901031*C932</f>
        <v/>
      </c>
      <c r="D949" s="18">
        <f>'Base Year'!$B$43*D932+MAX(D942-C942,0)*1947.901031*D932</f>
        <v/>
      </c>
      <c r="E949" s="18">
        <f>'Base Year'!$B$43*E932+MAX(E942-D942,0)*1947.901031*E932</f>
        <v/>
      </c>
      <c r="F949" s="18">
        <f>'Base Year'!$B$43*F932+MAX(F942-E942,0)*1947.901031*F932</f>
        <v/>
      </c>
      <c r="G949" s="18">
        <f>'Base Year'!$B$43*G932+MAX(G942-F942,0)*1947.901031*G932</f>
        <v/>
      </c>
    </row>
    <row r="950">
      <c r="A950" s="9" t="inlineStr">
        <is>
          <t>Fixed assets at cost, closing</t>
        </is>
      </c>
      <c r="C950" s="18">
        <f>(Assumptions!$B$70+Assumptions!$B$71)/10^6+C949</f>
        <v/>
      </c>
      <c r="D950" s="18">
        <f>C950+D949</f>
        <v/>
      </c>
      <c r="E950" s="18">
        <f>D950+E949</f>
        <v/>
      </c>
      <c r="F950" s="18">
        <f>E950+F949</f>
        <v/>
      </c>
      <c r="G950" s="18">
        <f>F950+G949</f>
        <v/>
      </c>
    </row>
    <row r="951">
      <c r="A951" s="9" t="inlineStr">
        <is>
          <t>Depreciation — rolls off the asset register</t>
        </is>
      </c>
      <c r="C951" s="18">
        <f>(Assumptions!$B$70+Assumptions!$B$71)/10^6/'Base Year'!$B$42</f>
        <v/>
      </c>
      <c r="D951" s="18">
        <f>C950/'Base Year'!$B$42</f>
        <v/>
      </c>
      <c r="E951" s="18">
        <f>D950/'Base Year'!$B$42</f>
        <v/>
      </c>
      <c r="F951" s="18">
        <f>E950/'Base Year'!$B$42</f>
        <v/>
      </c>
      <c r="G951" s="18">
        <f>F950/'Base Year'!$B$42</f>
        <v/>
      </c>
    </row>
    <row r="952">
      <c r="A952" s="9" t="inlineStr">
        <is>
          <t>Fixed assets, net book, closing</t>
        </is>
      </c>
      <c r="C952" s="18">
        <f>(Assumptions!$B$69+Assumptions!$B$71)/10^6+C949-C951</f>
        <v/>
      </c>
      <c r="D952" s="18">
        <f>C952+D949-D951</f>
        <v/>
      </c>
      <c r="E952" s="18">
        <f>D952+E949-E951</f>
        <v/>
      </c>
      <c r="F952" s="18">
        <f>E952+F949-F951</f>
        <v/>
      </c>
      <c r="G952" s="18">
        <f>F952+G949-G951</f>
        <v/>
      </c>
    </row>
    <row r="953">
      <c r="A953" s="17" t="inlineStr">
        <is>
          <t>EBIT</t>
        </is>
      </c>
      <c r="C953" s="20">
        <f>C948-C951</f>
        <v/>
      </c>
      <c r="D953" s="20">
        <f>D948-D951</f>
        <v/>
      </c>
      <c r="E953" s="20">
        <f>E948-E951</f>
        <v/>
      </c>
      <c r="F953" s="20">
        <f>F948-F951</f>
        <v/>
      </c>
      <c r="G953" s="20">
        <f>G948-G951</f>
        <v/>
      </c>
    </row>
    <row r="954">
      <c r="A954" s="9" t="inlineStr">
        <is>
          <t>NOPAT before the profit share</t>
        </is>
      </c>
      <c r="C954" s="18">
        <f>C953*(1-Assumptions!$B$87)</f>
        <v/>
      </c>
      <c r="D954" s="18">
        <f>D953*(1-Assumptions!$B$87)</f>
        <v/>
      </c>
      <c r="E954" s="18">
        <f>E953*(1-Assumptions!$B$87)</f>
        <v/>
      </c>
      <c r="F954" s="18">
        <f>F953*(1-Assumptions!$B$87)</f>
        <v/>
      </c>
      <c r="G954" s="18">
        <f>G953*(1-Assumptions!$B$87)</f>
        <v/>
      </c>
    </row>
    <row r="955">
      <c r="A955" s="9" t="inlineStr">
        <is>
          <t xml:space="preserve">  less employees' profit share and board bonuses</t>
        </is>
      </c>
      <c r="C955" s="18">
        <f>MAX(C954,0)*'Base Year'!$B$40</f>
        <v/>
      </c>
      <c r="D955" s="18">
        <f>MAX(D954,0)*'Base Year'!$B$40</f>
        <v/>
      </c>
      <c r="E955" s="18">
        <f>MAX(E954,0)*'Base Year'!$B$40</f>
        <v/>
      </c>
      <c r="F955" s="18">
        <f>MAX(F954,0)*'Base Year'!$B$40</f>
        <v/>
      </c>
      <c r="G955" s="18">
        <f>MAX(G954,0)*'Base Year'!$B$40</f>
        <v/>
      </c>
    </row>
    <row r="956">
      <c r="A956" s="17" t="inlineStr">
        <is>
          <t>NOPAT</t>
        </is>
      </c>
      <c r="C956" s="20">
        <f>C954-C955</f>
        <v/>
      </c>
      <c r="D956" s="20">
        <f>D954-D955</f>
        <v/>
      </c>
      <c r="E956" s="20">
        <f>E954-E955</f>
        <v/>
      </c>
      <c r="F956" s="20">
        <f>F954-F955</f>
        <v/>
      </c>
      <c r="G956" s="20">
        <f>G954-G955</f>
        <v/>
      </c>
    </row>
    <row r="957">
      <c r="A957" s="9" t="inlineStr">
        <is>
          <t>Net working capital — on days</t>
        </is>
      </c>
      <c r="C957" s="18">
        <f>'Base Year'!$B$44*Forecast!$B$9/365*C944+'Base Year'!$B$45*Forecast!$B$9/365*C943-'Base Year'!$B$46*Forecast!$B$9/365*C944</f>
        <v/>
      </c>
      <c r="D957" s="18">
        <f>'Base Year'!$B$44*Forecast!$B$9/365*D944+'Base Year'!$B$45*Forecast!$B$9/365*D943-'Base Year'!$B$46*Forecast!$B$9/365*D944</f>
        <v/>
      </c>
      <c r="E957" s="18">
        <f>'Base Year'!$B$44*Forecast!$B$9/365*E944+'Base Year'!$B$45*Forecast!$B$9/365*E943-'Base Year'!$B$46*Forecast!$B$9/365*E944</f>
        <v/>
      </c>
      <c r="F957" s="18">
        <f>'Base Year'!$B$44*Forecast!$B$9/365*F944+'Base Year'!$B$45*Forecast!$B$9/365*F943-'Base Year'!$B$46*Forecast!$B$9/365*F944</f>
        <v/>
      </c>
      <c r="G957" s="18">
        <f>'Base Year'!$B$44*Forecast!$B$9/365*G944+'Base Year'!$B$45*Forecast!$B$9/365*G943-'Base Year'!$B$46*Forecast!$B$9/365*G944</f>
        <v/>
      </c>
    </row>
    <row r="958">
      <c r="A958" s="9" t="inlineStr">
        <is>
          <t xml:space="preserve">  change in working capital</t>
        </is>
      </c>
      <c r="C958" s="18">
        <f>C957-('Base Year'!$B$44/365*'Base Year'!$B$21+'Base Year'!$B$45/365*'Base Year'!$B$19-'Base Year'!$B$46/365*'Base Year'!$B$21)</f>
        <v/>
      </c>
      <c r="D958" s="18">
        <f>D957-C957</f>
        <v/>
      </c>
      <c r="E958" s="18">
        <f>E957-D957</f>
        <v/>
      </c>
      <c r="F958" s="18">
        <f>F957-E957</f>
        <v/>
      </c>
      <c r="G958" s="18">
        <f>G957-F957</f>
        <v/>
      </c>
    </row>
    <row r="959">
      <c r="A959" s="17" t="inlineStr">
        <is>
          <t>FREE CASH FLOW TO THE FIRM</t>
        </is>
      </c>
      <c r="C959" s="20">
        <f>C956+C951-C949-C958</f>
        <v/>
      </c>
      <c r="D959" s="20">
        <f>D956+D951-D949-D958</f>
        <v/>
      </c>
      <c r="E959" s="20">
        <f>E956+E951-E949-E958</f>
        <v/>
      </c>
      <c r="F959" s="20">
        <f>F956+F951-F949-F958</f>
        <v/>
      </c>
      <c r="G959" s="20">
        <f>G956+G951-G949-G958</f>
        <v/>
      </c>
    </row>
    <row r="960">
      <c r="A960" s="9" t="inlineStr">
        <is>
          <t>Glide fraction</t>
        </is>
      </c>
      <c r="C960" s="26">
        <f>0.0000000000</f>
        <v/>
      </c>
      <c r="D960" s="26">
        <f>0.3571428571</f>
        <v/>
      </c>
      <c r="E960" s="26">
        <f>0.6428571429</f>
        <v/>
      </c>
      <c r="F960" s="26">
        <f>0.8571428571</f>
        <v/>
      </c>
      <c r="G960" s="26">
        <f>1.0000000000</f>
        <v/>
      </c>
    </row>
    <row r="961">
      <c r="A961" s="9" t="inlineStr">
        <is>
          <t>Forward cost of capital</t>
        </is>
      </c>
      <c r="C961" s="19">
        <f>$F$30-($F$30-$G$30)*C960</f>
        <v/>
      </c>
      <c r="D961" s="19">
        <f>$F$30-($F$30-$G$30)*D960</f>
        <v/>
      </c>
      <c r="E961" s="19">
        <f>$F$30-($F$30-$G$30)*E960</f>
        <v/>
      </c>
      <c r="F961" s="19">
        <f>$F$30-($F$30-$G$30)*F960</f>
        <v/>
      </c>
      <c r="G961" s="19">
        <f>$F$30-($F$30-$G$30)*G960</f>
        <v/>
      </c>
    </row>
    <row r="962">
      <c r="A962" s="9" t="inlineStr">
        <is>
          <t>Cumulative discount factor</t>
        </is>
      </c>
      <c r="C962" s="29">
        <f>1/(1+C961)</f>
        <v/>
      </c>
      <c r="D962" s="29">
        <f>C962/(1+D961)</f>
        <v/>
      </c>
      <c r="E962" s="29">
        <f>D962/(1+E961)</f>
        <v/>
      </c>
      <c r="F962" s="29">
        <f>E962/(1+F961)</f>
        <v/>
      </c>
      <c r="G962" s="29">
        <f>F962/(1+G961)</f>
        <v/>
      </c>
    </row>
    <row r="963">
      <c r="A963" s="9" t="inlineStr">
        <is>
          <t>Present value</t>
        </is>
      </c>
      <c r="C963" s="18">
        <f>C959*C962</f>
        <v/>
      </c>
      <c r="D963" s="18">
        <f>D959*D962</f>
        <v/>
      </c>
      <c r="E963" s="18">
        <f>E959*E962</f>
        <v/>
      </c>
      <c r="F963" s="18">
        <f>F959*F962</f>
        <v/>
      </c>
      <c r="G963" s="18">
        <f>G959*G962</f>
        <v/>
      </c>
    </row>
    <row r="964">
      <c r="A964" s="17" t="inlineStr">
        <is>
          <t>PV of the explicit window</t>
        </is>
      </c>
      <c r="B964" s="20">
        <f>SUM(C963:G963)</f>
        <v/>
      </c>
      <c r="C964" s="18">
        <f>C957+C950</f>
        <v/>
      </c>
      <c r="D964" s="18">
        <f>D957+D950</f>
        <v/>
      </c>
      <c r="E964" s="18">
        <f>E957+E950</f>
        <v/>
      </c>
      <c r="F964" s="18">
        <f>F957+F950</f>
        <v/>
      </c>
      <c r="G964" s="18">
        <f>G957+G950</f>
        <v/>
      </c>
    </row>
    <row r="965">
      <c r="A965" s="9" t="inlineStr">
        <is>
          <t>Terminal return on invested capital, at REPLACEMENT cost</t>
        </is>
      </c>
      <c r="B965" s="19">
        <f>G956*(1+Assumptions!$B$89)/G964</f>
        <v/>
      </c>
    </row>
    <row r="966">
      <c r="A966" s="9" t="inlineStr">
        <is>
          <t>Required reinvestment = growth / return</t>
        </is>
      </c>
      <c r="B966" s="19">
        <f>MIN(Assumptions!$B$89/B965,0.95)</f>
        <v/>
      </c>
    </row>
    <row r="967">
      <c r="A967" s="9" t="inlineStr">
        <is>
          <t>Terminal value</t>
        </is>
      </c>
      <c r="B967" s="18">
        <f>G956*(1+Assumptions!$B$89)*(1-B966)/MAX($G$30-Assumptions!$B$89,0.02)</f>
        <v/>
      </c>
    </row>
    <row r="968">
      <c r="A968" s="9" t="inlineStr">
        <is>
          <t>PV of the terminal block</t>
        </is>
      </c>
      <c r="B968" s="18">
        <f>B967*G962</f>
        <v/>
      </c>
    </row>
    <row r="969">
      <c r="A969" s="17" t="inlineStr">
        <is>
          <t>ENTERPRISE VALUE</t>
        </is>
      </c>
      <c r="B969" s="20">
        <f>B964+B968</f>
        <v/>
      </c>
    </row>
    <row r="970">
      <c r="A970" s="9" t="inlineStr">
        <is>
          <t>plus net cash</t>
        </is>
      </c>
      <c r="B970" s="18">
        <f>(Assumptions!$B$79-Assumptions!$B$82-Assumptions!$B$83)/10^6</f>
        <v/>
      </c>
    </row>
    <row r="971">
      <c r="A971" s="9" t="inlineStr">
        <is>
          <t>Enterprise value including cash</t>
        </is>
      </c>
      <c r="B971" s="18">
        <f>B969+B970</f>
        <v/>
      </c>
    </row>
    <row r="972">
      <c r="A972" s="9" t="inlineStr">
        <is>
          <t>less minority — on the WHOLE enterprise, cash included</t>
        </is>
      </c>
      <c r="B972" s="18">
        <f>B971*'Base Year'!$B$41</f>
        <v/>
      </c>
    </row>
    <row r="973">
      <c r="A973" s="9" t="inlineStr">
        <is>
          <t>less the tax-disputes provision</t>
        </is>
      </c>
      <c r="B973" s="18">
        <f>Assumptions!$B$78/10^6</f>
        <v/>
      </c>
    </row>
    <row r="974">
      <c r="A974" s="9" t="inlineStr">
        <is>
          <t>less dividends payable — declared, out of working capital</t>
        </is>
      </c>
      <c r="B974" s="18">
        <f>Assumptions!$B$77/10^6</f>
        <v/>
      </c>
    </row>
    <row r="975">
      <c r="A975" s="9" t="inlineStr">
        <is>
          <t>plus non-operating investments and pledged deposits</t>
        </is>
      </c>
      <c r="B975" s="18">
        <f>(Assumptions!$B$81+Assumptions!$B$80)/10^6</f>
        <v/>
      </c>
    </row>
    <row r="976">
      <c r="A976" s="17" t="inlineStr">
        <is>
          <t>EQUITY ATTRIBUTABLE</t>
        </is>
      </c>
      <c r="B976" s="20">
        <f>B971-B972-B973-B974+B975</f>
        <v/>
      </c>
    </row>
    <row r="977">
      <c r="A977" s="17" t="inlineStr">
        <is>
          <t>VALUE PER SHARE, EGP</t>
        </is>
      </c>
      <c r="B977" s="30">
        <f>B976/Assumptions!$B$8</f>
        <v/>
      </c>
    </row>
    <row r="980">
      <c r="A980" s="6" t="inlineStr">
        <is>
          <t>Beta — 1.3000</t>
        </is>
      </c>
      <c r="B980" s="6" t="inlineStr">
        <is>
          <t>2026E</t>
        </is>
      </c>
      <c r="C980" s="6" t="inlineStr">
        <is>
          <t>2027E</t>
        </is>
      </c>
      <c r="D980" s="6" t="inlineStr">
        <is>
          <t>2028E</t>
        </is>
      </c>
      <c r="E980" s="6" t="inlineStr">
        <is>
          <t>2029E</t>
        </is>
      </c>
      <c r="F980" s="6" t="inlineStr">
        <is>
          <t>2030E</t>
        </is>
      </c>
    </row>
    <row r="981">
      <c r="A981" s="9" t="inlineStr">
        <is>
          <t>Inflation index, cumulative</t>
        </is>
      </c>
      <c r="C981" s="26">
        <f>Assumptions!$B$146</f>
        <v/>
      </c>
      <c r="D981" s="26">
        <f>C981*Assumptions!$B$147</f>
        <v/>
      </c>
      <c r="E981" s="26">
        <f>D981*Assumptions!$B$148</f>
        <v/>
      </c>
      <c r="F981" s="26">
        <f>E981*Assumptions!$B$149</f>
        <v/>
      </c>
      <c r="G981" s="26">
        <f>F981*Assumptions!$B$150</f>
        <v/>
      </c>
    </row>
    <row r="982">
      <c r="A982" s="9" t="inlineStr">
        <is>
          <t>Realisation index, cumulative</t>
        </is>
      </c>
      <c r="C982" s="26">
        <f>(1+Assumptions!$B$101*Forecast!$B$8)</f>
        <v/>
      </c>
      <c r="D982" s="26">
        <f>C982*(1+Assumptions!$B$102*Forecast!$B$8)</f>
        <v/>
      </c>
      <c r="E982" s="26">
        <f>D982*(1+Assumptions!$B$103*Forecast!$B$8)</f>
        <v/>
      </c>
      <c r="F982" s="26">
        <f>E982*(1+Assumptions!$B$104*Forecast!$B$8)</f>
        <v/>
      </c>
      <c r="G982" s="26">
        <f>F982*(1+Assumptions!$B$105*Forecast!$B$8)</f>
        <v/>
      </c>
    </row>
    <row r="983">
      <c r="A983" s="9" t="inlineStr">
        <is>
          <t xml:space="preserve">  Volume — Base and special oils, mn t</t>
        </is>
      </c>
      <c r="C983" s="26">
        <f>'Product and Cost'!E6*(1+Assumptions!$B$106+Forecast!$B$6)</f>
        <v/>
      </c>
      <c r="D983" s="26">
        <f>C983*(1+Assumptions!$B$107+Forecast!$B$6)</f>
        <v/>
      </c>
      <c r="E983" s="26">
        <f>D983*(1+Assumptions!$B$108+Forecast!$B$6)</f>
        <v/>
      </c>
      <c r="F983" s="26">
        <f>E983*(1+Assumptions!$B$109+Forecast!$B$6)</f>
        <v/>
      </c>
      <c r="G983" s="26">
        <f>F983*(1+Assumptions!$B$110+Forecast!$B$6)</f>
        <v/>
      </c>
    </row>
    <row r="984">
      <c r="A984" s="9" t="inlineStr">
        <is>
          <t xml:space="preserve">  Volume — Paraffin wax, mn t</t>
        </is>
      </c>
      <c r="C984" s="26">
        <f>'Product and Cost'!E7*(1+Assumptions!$B$111+Forecast!$B$6)</f>
        <v/>
      </c>
      <c r="D984" s="26">
        <f>C984*(1+Assumptions!$B$112+Forecast!$B$6)</f>
        <v/>
      </c>
      <c r="E984" s="26">
        <f>D984*(1+Assumptions!$B$113+Forecast!$B$6)</f>
        <v/>
      </c>
      <c r="F984" s="26">
        <f>E984*(1+Assumptions!$B$114+Forecast!$B$6)</f>
        <v/>
      </c>
      <c r="G984" s="26">
        <f>F984*(1+Assumptions!$B$115+Forecast!$B$6)</f>
        <v/>
      </c>
    </row>
    <row r="985">
      <c r="A985" s="9" t="inlineStr">
        <is>
          <t xml:space="preserve">  Volume — Gas oil, mn t</t>
        </is>
      </c>
      <c r="C985" s="26">
        <f>'Product and Cost'!E8*(1+Assumptions!$B$116+Forecast!$B$6)</f>
        <v/>
      </c>
      <c r="D985" s="26">
        <f>C985*(1+Assumptions!$B$117+Forecast!$B$6)</f>
        <v/>
      </c>
      <c r="E985" s="26">
        <f>D985*(1+Assumptions!$B$118+Forecast!$B$6)</f>
        <v/>
      </c>
      <c r="F985" s="26">
        <f>E985*(1+Assumptions!$B$119+Forecast!$B$6)</f>
        <v/>
      </c>
      <c r="G985" s="26">
        <f>F985*(1+Assumptions!$B$120+Forecast!$B$6)</f>
        <v/>
      </c>
    </row>
    <row r="986">
      <c r="A986" s="9" t="inlineStr">
        <is>
          <t xml:space="preserve">  Volume — Naphtha, mn t</t>
        </is>
      </c>
      <c r="C986" s="26">
        <f>'Product and Cost'!E9*(1+Assumptions!$B$121+Forecast!$B$6)</f>
        <v/>
      </c>
      <c r="D986" s="26">
        <f>C986*(1+Assumptions!$B$122+Forecast!$B$6)</f>
        <v/>
      </c>
      <c r="E986" s="26">
        <f>D986*(1+Assumptions!$B$123+Forecast!$B$6)</f>
        <v/>
      </c>
      <c r="F986" s="26">
        <f>E986*(1+Assumptions!$B$124+Forecast!$B$6)</f>
        <v/>
      </c>
      <c r="G986" s="26">
        <f>F986*(1+Assumptions!$B$125+Forecast!$B$6)</f>
        <v/>
      </c>
    </row>
    <row r="987">
      <c r="A987" s="9" t="inlineStr">
        <is>
          <t xml:space="preserve">  Volume — Liquefied petroleum gas, mn t</t>
        </is>
      </c>
      <c r="C987" s="26">
        <f>'Product and Cost'!E10*(1+Assumptions!$B$126+Forecast!$B$6)</f>
        <v/>
      </c>
      <c r="D987" s="26">
        <f>C987*(1+Assumptions!$B$127+Forecast!$B$6)</f>
        <v/>
      </c>
      <c r="E987" s="26">
        <f>D987*(1+Assumptions!$B$128+Forecast!$B$6)</f>
        <v/>
      </c>
      <c r="F987" s="26">
        <f>E987*(1+Assumptions!$B$129+Forecast!$B$6)</f>
        <v/>
      </c>
      <c r="G987" s="26">
        <f>F987*(1+Assumptions!$B$130+Forecast!$B$6)</f>
        <v/>
      </c>
    </row>
    <row r="988">
      <c r="A988" s="9" t="inlineStr">
        <is>
          <t xml:space="preserve">  Volume — Fuel oil (mix), mn t</t>
        </is>
      </c>
      <c r="C988" s="26">
        <f>'Product and Cost'!E11*(1+Assumptions!$B$131+Forecast!$B$6)</f>
        <v/>
      </c>
      <c r="D988" s="26">
        <f>C988*(1+Assumptions!$B$132+Forecast!$B$6)</f>
        <v/>
      </c>
      <c r="E988" s="26">
        <f>D988*(1+Assumptions!$B$133+Forecast!$B$6)</f>
        <v/>
      </c>
      <c r="F988" s="26">
        <f>E988*(1+Assumptions!$B$134+Forecast!$B$6)</f>
        <v/>
      </c>
      <c r="G988" s="26">
        <f>F988*(1+Assumptions!$B$135+Forecast!$B$6)</f>
        <v/>
      </c>
    </row>
    <row r="989">
      <c r="A989" s="9" t="inlineStr">
        <is>
          <t xml:space="preserve">  Volume — Heavy fuel oil, mn t</t>
        </is>
      </c>
      <c r="C989" s="26">
        <f>'Product and Cost'!E12*(1+Assumptions!$B$136+Forecast!$B$6)</f>
        <v/>
      </c>
      <c r="D989" s="26">
        <f>C989*(1+Assumptions!$B$137+Forecast!$B$6)</f>
        <v/>
      </c>
      <c r="E989" s="26">
        <f>D989*(1+Assumptions!$B$138+Forecast!$B$6)</f>
        <v/>
      </c>
      <c r="F989" s="26">
        <f>E989*(1+Assumptions!$B$139+Forecast!$B$6)</f>
        <v/>
      </c>
      <c r="G989" s="26">
        <f>F989*(1+Assumptions!$B$140+Forecast!$B$6)</f>
        <v/>
      </c>
    </row>
    <row r="990">
      <c r="A990" s="9" t="inlineStr">
        <is>
          <t xml:space="preserve">  Volume — Waste, mn t</t>
        </is>
      </c>
      <c r="C990" s="26">
        <f>'Product and Cost'!E13*(1+Assumptions!$B$141+Forecast!$B$6)</f>
        <v/>
      </c>
      <c r="D990" s="26">
        <f>C990*(1+Assumptions!$B$142+Forecast!$B$6)</f>
        <v/>
      </c>
      <c r="E990" s="26">
        <f>D990*(1+Assumptions!$B$143+Forecast!$B$6)</f>
        <v/>
      </c>
      <c r="F990" s="26">
        <f>E990*(1+Assumptions!$B$144+Forecast!$B$6)</f>
        <v/>
      </c>
      <c r="G990" s="26">
        <f>F990*(1+Assumptions!$B$145+Forecast!$B$6)</f>
        <v/>
      </c>
    </row>
    <row r="991">
      <c r="A991" s="17" t="inlineStr">
        <is>
          <t>Total volume, mn t</t>
        </is>
      </c>
      <c r="C991" s="28">
        <f>SUM(C983:C990)</f>
        <v/>
      </c>
      <c r="D991" s="28">
        <f>SUM(D983:D990)</f>
        <v/>
      </c>
      <c r="E991" s="28">
        <f>SUM(E983:E990)</f>
        <v/>
      </c>
      <c r="F991" s="28">
        <f>SUM(F983:F990)</f>
        <v/>
      </c>
      <c r="G991" s="28">
        <f>SUM(G983:G990)</f>
        <v/>
      </c>
    </row>
    <row r="992">
      <c r="A992" s="17" t="inlineStr">
        <is>
          <t>REVENUE</t>
        </is>
      </c>
      <c r="C992" s="20">
        <f>C983*'Product and Cost'!$F$6*C982+C984*'Product and Cost'!$F$7*C982+C985*'Product and Cost'!$F$8*C982+C986*'Product and Cost'!$F$9*C982+C987*'Product and Cost'!$F$10*C982+C988*'Product and Cost'!$F$11*C982+C989*'Product and Cost'!$F$12*C982+C990*'Product and Cost'!$F$13*C982</f>
        <v/>
      </c>
      <c r="D992" s="20">
        <f>D983*'Product and Cost'!$F$6*D982+D984*'Product and Cost'!$F$7*D982+D985*'Product and Cost'!$F$8*D982+D986*'Product and Cost'!$F$9*D982+D987*'Product and Cost'!$F$10*D982+D988*'Product and Cost'!$F$11*D982+D989*'Product and Cost'!$F$12*D982+D990*'Product and Cost'!$F$13*D982</f>
        <v/>
      </c>
      <c r="E992" s="20">
        <f>E983*'Product and Cost'!$F$6*E982+E984*'Product and Cost'!$F$7*E982+E985*'Product and Cost'!$F$8*E982+E986*'Product and Cost'!$F$9*E982+E987*'Product and Cost'!$F$10*E982+E988*'Product and Cost'!$F$11*E982+E989*'Product and Cost'!$F$12*E982+E990*'Product and Cost'!$F$13*E982</f>
        <v/>
      </c>
      <c r="F992" s="20">
        <f>F983*'Product and Cost'!$F$6*F982+F984*'Product and Cost'!$F$7*F982+F985*'Product and Cost'!$F$8*F982+F986*'Product and Cost'!$F$9*F982+F987*'Product and Cost'!$F$10*F982+F988*'Product and Cost'!$F$11*F982+F989*'Product and Cost'!$F$12*F982+F990*'Product and Cost'!$F$13*F982</f>
        <v/>
      </c>
      <c r="G992" s="20">
        <f>G983*'Product and Cost'!$F$6*G982+G984*'Product and Cost'!$F$7*G982+G985*'Product and Cost'!$F$8*G982+G986*'Product and Cost'!$F$9*G982+G987*'Product and Cost'!$F$10*G982+G988*'Product and Cost'!$F$11*G982+G989*'Product and Cost'!$F$12*G982+G990*'Product and Cost'!$F$13*G982</f>
        <v/>
      </c>
    </row>
    <row r="993">
      <c r="A993" s="9" t="inlineStr">
        <is>
          <t>Cost of sales</t>
        </is>
      </c>
      <c r="C993" s="18">
        <f>C983*('Product and Cost'!$D$27*C982*Assumptions!$B$88+'Product and Cost'!$B$27*(0.4863620081*C981+0.4455809638*C981+0.0356254898*C982+0.0324315384))+C984*('Product and Cost'!$D$28*C982*Assumptions!$B$88+'Product and Cost'!$B$28*(0.4863620081*C981+0.4455809638*C981+0.0356254898*C982+0.0324315384))+C985*('Product and Cost'!$D$29*C982*Assumptions!$B$88+'Product and Cost'!$B$29*(0.4863620081*C981+0.4455809638*C981+0.0356254898*C982+0.0324315384))+C986*('Product and Cost'!$D$30*C982*Assumptions!$B$88+'Product and Cost'!$B$30*(0.4863620081*C981+0.4455809638*C981+0.0356254898*C982+0.0324315384))+C987*('Product and Cost'!$D$31*C982*Assumptions!$B$88+'Product and Cost'!$B$31*(0.4863620081*C981+0.4455809638*C981+0.0356254898*C982+0.0324315384))+C988*('Product and Cost'!$D$32*C982*Assumptions!$B$88+'Product and Cost'!$B$32*(0.4863620081*C981+0.4455809638*C981+0.0356254898*C982+0.0324315384))+C989*('Product and Cost'!$D$33*C982*Assumptions!$B$88+'Product and Cost'!$B$33*(0.4863620081*C981+0.4455809638*C981+0.0356254898*C982+0.0324315384))+C990*('Product and Cost'!$D$34*C982*Assumptions!$B$88+'Product and Cost'!$B$34*(0.4863620081*C981+0.4455809638*C981+0.0356254898*C982+0.0324315384))</f>
        <v/>
      </c>
      <c r="D993" s="18">
        <f>D983*('Product and Cost'!$D$27*D982*Assumptions!$B$88+'Product and Cost'!$B$27*(0.4863620081*D981+0.4455809638*D981+0.0356254898*D982+0.0324315384))+D984*('Product and Cost'!$D$28*D982*Assumptions!$B$88+'Product and Cost'!$B$28*(0.4863620081*D981+0.4455809638*D981+0.0356254898*D982+0.0324315384))+D985*('Product and Cost'!$D$29*D982*Assumptions!$B$88+'Product and Cost'!$B$29*(0.4863620081*D981+0.4455809638*D981+0.0356254898*D982+0.0324315384))+D986*('Product and Cost'!$D$30*D982*Assumptions!$B$88+'Product and Cost'!$B$30*(0.4863620081*D981+0.4455809638*D981+0.0356254898*D982+0.0324315384))+D987*('Product and Cost'!$D$31*D982*Assumptions!$B$88+'Product and Cost'!$B$31*(0.4863620081*D981+0.4455809638*D981+0.0356254898*D982+0.0324315384))+D988*('Product and Cost'!$D$32*D982*Assumptions!$B$88+'Product and Cost'!$B$32*(0.4863620081*D981+0.4455809638*D981+0.0356254898*D982+0.0324315384))+D989*('Product and Cost'!$D$33*D982*Assumptions!$B$88+'Product and Cost'!$B$33*(0.4863620081*D981+0.4455809638*D981+0.0356254898*D982+0.0324315384))+D990*('Product and Cost'!$D$34*D982*Assumptions!$B$88+'Product and Cost'!$B$34*(0.4863620081*D981+0.4455809638*D981+0.0356254898*D982+0.0324315384))</f>
        <v/>
      </c>
      <c r="E993" s="18">
        <f>E983*('Product and Cost'!$D$27*E982*Assumptions!$B$88+'Product and Cost'!$B$27*(0.4863620081*E981+0.4455809638*E981+0.0356254898*E982+0.0324315384))+E984*('Product and Cost'!$D$28*E982*Assumptions!$B$88+'Product and Cost'!$B$28*(0.4863620081*E981+0.4455809638*E981+0.0356254898*E982+0.0324315384))+E985*('Product and Cost'!$D$29*E982*Assumptions!$B$88+'Product and Cost'!$B$29*(0.4863620081*E981+0.4455809638*E981+0.0356254898*E982+0.0324315384))+E986*('Product and Cost'!$D$30*E982*Assumptions!$B$88+'Product and Cost'!$B$30*(0.4863620081*E981+0.4455809638*E981+0.0356254898*E982+0.0324315384))+E987*('Product and Cost'!$D$31*E982*Assumptions!$B$88+'Product and Cost'!$B$31*(0.4863620081*E981+0.4455809638*E981+0.0356254898*E982+0.0324315384))+E988*('Product and Cost'!$D$32*E982*Assumptions!$B$88+'Product and Cost'!$B$32*(0.4863620081*E981+0.4455809638*E981+0.0356254898*E982+0.0324315384))+E989*('Product and Cost'!$D$33*E982*Assumptions!$B$88+'Product and Cost'!$B$33*(0.4863620081*E981+0.4455809638*E981+0.0356254898*E982+0.0324315384))+E990*('Product and Cost'!$D$34*E982*Assumptions!$B$88+'Product and Cost'!$B$34*(0.4863620081*E981+0.4455809638*E981+0.0356254898*E982+0.0324315384))</f>
        <v/>
      </c>
      <c r="F993" s="18">
        <f>F983*('Product and Cost'!$D$27*F982*Assumptions!$B$88+'Product and Cost'!$B$27*(0.4863620081*F981+0.4455809638*F981+0.0356254898*F982+0.0324315384))+F984*('Product and Cost'!$D$28*F982*Assumptions!$B$88+'Product and Cost'!$B$28*(0.4863620081*F981+0.4455809638*F981+0.0356254898*F982+0.0324315384))+F985*('Product and Cost'!$D$29*F982*Assumptions!$B$88+'Product and Cost'!$B$29*(0.4863620081*F981+0.4455809638*F981+0.0356254898*F982+0.0324315384))+F986*('Product and Cost'!$D$30*F982*Assumptions!$B$88+'Product and Cost'!$B$30*(0.4863620081*F981+0.4455809638*F981+0.0356254898*F982+0.0324315384))+F987*('Product and Cost'!$D$31*F982*Assumptions!$B$88+'Product and Cost'!$B$31*(0.4863620081*F981+0.4455809638*F981+0.0356254898*F982+0.0324315384))+F988*('Product and Cost'!$D$32*F982*Assumptions!$B$88+'Product and Cost'!$B$32*(0.4863620081*F981+0.4455809638*F981+0.0356254898*F982+0.0324315384))+F989*('Product and Cost'!$D$33*F982*Assumptions!$B$88+'Product and Cost'!$B$33*(0.4863620081*F981+0.4455809638*F981+0.0356254898*F982+0.0324315384))+F990*('Product and Cost'!$D$34*F982*Assumptions!$B$88+'Product and Cost'!$B$34*(0.4863620081*F981+0.4455809638*F981+0.0356254898*F982+0.0324315384))</f>
        <v/>
      </c>
      <c r="G993" s="18">
        <f>G983*('Product and Cost'!$D$27*G982*Assumptions!$B$88+'Product and Cost'!$B$27*(0.4863620081*G981+0.4455809638*G981+0.0356254898*G982+0.0324315384))+G984*('Product and Cost'!$D$28*G982*Assumptions!$B$88+'Product and Cost'!$B$28*(0.4863620081*G981+0.4455809638*G981+0.0356254898*G982+0.0324315384))+G985*('Product and Cost'!$D$29*G982*Assumptions!$B$88+'Product and Cost'!$B$29*(0.4863620081*G981+0.4455809638*G981+0.0356254898*G982+0.0324315384))+G986*('Product and Cost'!$D$30*G982*Assumptions!$B$88+'Product and Cost'!$B$30*(0.4863620081*G981+0.4455809638*G981+0.0356254898*G982+0.0324315384))+G987*('Product and Cost'!$D$31*G982*Assumptions!$B$88+'Product and Cost'!$B$31*(0.4863620081*G981+0.4455809638*G981+0.0356254898*G982+0.0324315384))+G988*('Product and Cost'!$D$32*G982*Assumptions!$B$88+'Product and Cost'!$B$32*(0.4863620081*G981+0.4455809638*G981+0.0356254898*G982+0.0324315384))+G989*('Product and Cost'!$D$33*G982*Assumptions!$B$88+'Product and Cost'!$B$33*(0.4863620081*G981+0.4455809638*G981+0.0356254898*G982+0.0324315384))+G990*('Product and Cost'!$D$34*G982*Assumptions!$B$88+'Product and Cost'!$B$34*(0.4863620081*G981+0.4455809638*G981+0.0356254898*G982+0.0324315384))</f>
        <v/>
      </c>
    </row>
    <row r="994">
      <c r="A994" s="17" t="inlineStr">
        <is>
          <t>GROSS PROFIT</t>
        </is>
      </c>
      <c r="C994" s="20">
        <f>C992-C993+Forecast!$B$7*C992</f>
        <v/>
      </c>
      <c r="D994" s="20">
        <f>D992-D993+Forecast!$B$7*D992</f>
        <v/>
      </c>
      <c r="E994" s="20">
        <f>E992-E993+Forecast!$B$7*E992</f>
        <v/>
      </c>
      <c r="F994" s="20">
        <f>F992-F993+Forecast!$B$7*F992</f>
        <v/>
      </c>
      <c r="G994" s="20">
        <f>G992-G993+Forecast!$B$7*G992</f>
        <v/>
      </c>
    </row>
    <row r="995">
      <c r="A995" s="9" t="inlineStr">
        <is>
          <t>Gross margin</t>
        </is>
      </c>
      <c r="C995" s="19">
        <f>C994/C992</f>
        <v/>
      </c>
      <c r="D995" s="19">
        <f>D994/D992</f>
        <v/>
      </c>
      <c r="E995" s="19">
        <f>E994/E992</f>
        <v/>
      </c>
      <c r="F995" s="19">
        <f>F994/F992</f>
        <v/>
      </c>
      <c r="G995" s="19">
        <f>G994/G992</f>
        <v/>
      </c>
    </row>
    <row r="996">
      <c r="A996" s="9" t="inlineStr">
        <is>
          <t>Operating expense</t>
        </is>
      </c>
      <c r="C996" s="18">
        <f>('Base Year'!$B$28*C981)+('Base Year'!$B$29*C981*C991/'Product and Cost'!$E$14)+('Base Year'!$B$30*C981)+('Base Year'!$B$31*C981)</f>
        <v/>
      </c>
      <c r="D996" s="18">
        <f>('Base Year'!$B$28*D981)+('Base Year'!$B$29*D981*D991/'Product and Cost'!$E$14)+('Base Year'!$B$30*D981)+('Base Year'!$B$31*D981)</f>
        <v/>
      </c>
      <c r="E996" s="18">
        <f>('Base Year'!$B$28*E981)+('Base Year'!$B$29*E981*E991/'Product and Cost'!$E$14)+('Base Year'!$B$30*E981)+('Base Year'!$B$31*E981)</f>
        <v/>
      </c>
      <c r="F996" s="18">
        <f>('Base Year'!$B$28*F981)+('Base Year'!$B$29*F981*F991/'Product and Cost'!$E$14)+('Base Year'!$B$30*F981)+('Base Year'!$B$31*F981)</f>
        <v/>
      </c>
      <c r="G996" s="18">
        <f>('Base Year'!$B$28*G981)+('Base Year'!$B$29*G981*G991/'Product and Cost'!$E$14)+('Base Year'!$B$30*G981)+('Base Year'!$B$31*G981)</f>
        <v/>
      </c>
    </row>
    <row r="997">
      <c r="A997" s="17" t="inlineStr">
        <is>
          <t>EBITDA</t>
        </is>
      </c>
      <c r="C997" s="20">
        <f>C994-C996</f>
        <v/>
      </c>
      <c r="D997" s="20">
        <f>D994-D996</f>
        <v/>
      </c>
      <c r="E997" s="20">
        <f>E994-E996</f>
        <v/>
      </c>
      <c r="F997" s="20">
        <f>F994-F996</f>
        <v/>
      </c>
      <c r="G997" s="20">
        <f>G994-G996</f>
        <v/>
      </c>
    </row>
    <row r="998">
      <c r="A998" s="9" t="inlineStr">
        <is>
          <t>Capital expenditure — maintenance + growth</t>
        </is>
      </c>
      <c r="C998" s="18">
        <f>'Base Year'!$B$43*C981+MAX(C991-'Product and Cost'!$E$14,0)*1947.901031*C981</f>
        <v/>
      </c>
      <c r="D998" s="18">
        <f>'Base Year'!$B$43*D981+MAX(D991-C991,0)*1947.901031*D981</f>
        <v/>
      </c>
      <c r="E998" s="18">
        <f>'Base Year'!$B$43*E981+MAX(E991-D991,0)*1947.901031*E981</f>
        <v/>
      </c>
      <c r="F998" s="18">
        <f>'Base Year'!$B$43*F981+MAX(F991-E991,0)*1947.901031*F981</f>
        <v/>
      </c>
      <c r="G998" s="18">
        <f>'Base Year'!$B$43*G981+MAX(G991-F991,0)*1947.901031*G981</f>
        <v/>
      </c>
    </row>
    <row r="999">
      <c r="A999" s="9" t="inlineStr">
        <is>
          <t>Fixed assets at cost, closing</t>
        </is>
      </c>
      <c r="C999" s="18">
        <f>(Assumptions!$B$70+Assumptions!$B$71)/10^6+C998</f>
        <v/>
      </c>
      <c r="D999" s="18">
        <f>C999+D998</f>
        <v/>
      </c>
      <c r="E999" s="18">
        <f>D999+E998</f>
        <v/>
      </c>
      <c r="F999" s="18">
        <f>E999+F998</f>
        <v/>
      </c>
      <c r="G999" s="18">
        <f>F999+G998</f>
        <v/>
      </c>
    </row>
    <row r="1000">
      <c r="A1000" s="9" t="inlineStr">
        <is>
          <t>Depreciation — rolls off the asset register</t>
        </is>
      </c>
      <c r="C1000" s="18">
        <f>(Assumptions!$B$70+Assumptions!$B$71)/10^6/'Base Year'!$B$42</f>
        <v/>
      </c>
      <c r="D1000" s="18">
        <f>C999/'Base Year'!$B$42</f>
        <v/>
      </c>
      <c r="E1000" s="18">
        <f>D999/'Base Year'!$B$42</f>
        <v/>
      </c>
      <c r="F1000" s="18">
        <f>E999/'Base Year'!$B$42</f>
        <v/>
      </c>
      <c r="G1000" s="18">
        <f>F999/'Base Year'!$B$42</f>
        <v/>
      </c>
    </row>
    <row r="1001">
      <c r="A1001" s="9" t="inlineStr">
        <is>
          <t>Fixed assets, net book, closing</t>
        </is>
      </c>
      <c r="C1001" s="18">
        <f>(Assumptions!$B$69+Assumptions!$B$71)/10^6+C998-C1000</f>
        <v/>
      </c>
      <c r="D1001" s="18">
        <f>C1001+D998-D1000</f>
        <v/>
      </c>
      <c r="E1001" s="18">
        <f>D1001+E998-E1000</f>
        <v/>
      </c>
      <c r="F1001" s="18">
        <f>E1001+F998-F1000</f>
        <v/>
      </c>
      <c r="G1001" s="18">
        <f>F1001+G998-G1000</f>
        <v/>
      </c>
    </row>
    <row r="1002">
      <c r="A1002" s="17" t="inlineStr">
        <is>
          <t>EBIT</t>
        </is>
      </c>
      <c r="C1002" s="20">
        <f>C997-C1000</f>
        <v/>
      </c>
      <c r="D1002" s="20">
        <f>D997-D1000</f>
        <v/>
      </c>
      <c r="E1002" s="20">
        <f>E997-E1000</f>
        <v/>
      </c>
      <c r="F1002" s="20">
        <f>F997-F1000</f>
        <v/>
      </c>
      <c r="G1002" s="20">
        <f>G997-G1000</f>
        <v/>
      </c>
    </row>
    <row r="1003">
      <c r="A1003" s="9" t="inlineStr">
        <is>
          <t>NOPAT before the profit share</t>
        </is>
      </c>
      <c r="C1003" s="18">
        <f>C1002*(1-Assumptions!$B$87)</f>
        <v/>
      </c>
      <c r="D1003" s="18">
        <f>D1002*(1-Assumptions!$B$87)</f>
        <v/>
      </c>
      <c r="E1003" s="18">
        <f>E1002*(1-Assumptions!$B$87)</f>
        <v/>
      </c>
      <c r="F1003" s="18">
        <f>F1002*(1-Assumptions!$B$87)</f>
        <v/>
      </c>
      <c r="G1003" s="18">
        <f>G1002*(1-Assumptions!$B$87)</f>
        <v/>
      </c>
    </row>
    <row r="1004">
      <c r="A1004" s="9" t="inlineStr">
        <is>
          <t xml:space="preserve">  less employees' profit share and board bonuses</t>
        </is>
      </c>
      <c r="C1004" s="18">
        <f>MAX(C1003,0)*'Base Year'!$B$40</f>
        <v/>
      </c>
      <c r="D1004" s="18">
        <f>MAX(D1003,0)*'Base Year'!$B$40</f>
        <v/>
      </c>
      <c r="E1004" s="18">
        <f>MAX(E1003,0)*'Base Year'!$B$40</f>
        <v/>
      </c>
      <c r="F1004" s="18">
        <f>MAX(F1003,0)*'Base Year'!$B$40</f>
        <v/>
      </c>
      <c r="G1004" s="18">
        <f>MAX(G1003,0)*'Base Year'!$B$40</f>
        <v/>
      </c>
    </row>
    <row r="1005">
      <c r="A1005" s="17" t="inlineStr">
        <is>
          <t>NOPAT</t>
        </is>
      </c>
      <c r="C1005" s="20">
        <f>C1003-C1004</f>
        <v/>
      </c>
      <c r="D1005" s="20">
        <f>D1003-D1004</f>
        <v/>
      </c>
      <c r="E1005" s="20">
        <f>E1003-E1004</f>
        <v/>
      </c>
      <c r="F1005" s="20">
        <f>F1003-F1004</f>
        <v/>
      </c>
      <c r="G1005" s="20">
        <f>G1003-G1004</f>
        <v/>
      </c>
    </row>
    <row r="1006">
      <c r="A1006" s="9" t="inlineStr">
        <is>
          <t>Net working capital — on days</t>
        </is>
      </c>
      <c r="C1006" s="18">
        <f>'Base Year'!$B$44*Forecast!$B$9/365*C993+'Base Year'!$B$45*Forecast!$B$9/365*C992-'Base Year'!$B$46*Forecast!$B$9/365*C993</f>
        <v/>
      </c>
      <c r="D1006" s="18">
        <f>'Base Year'!$B$44*Forecast!$B$9/365*D993+'Base Year'!$B$45*Forecast!$B$9/365*D992-'Base Year'!$B$46*Forecast!$B$9/365*D993</f>
        <v/>
      </c>
      <c r="E1006" s="18">
        <f>'Base Year'!$B$44*Forecast!$B$9/365*E993+'Base Year'!$B$45*Forecast!$B$9/365*E992-'Base Year'!$B$46*Forecast!$B$9/365*E993</f>
        <v/>
      </c>
      <c r="F1006" s="18">
        <f>'Base Year'!$B$44*Forecast!$B$9/365*F993+'Base Year'!$B$45*Forecast!$B$9/365*F992-'Base Year'!$B$46*Forecast!$B$9/365*F993</f>
        <v/>
      </c>
      <c r="G1006" s="18">
        <f>'Base Year'!$B$44*Forecast!$B$9/365*G993+'Base Year'!$B$45*Forecast!$B$9/365*G992-'Base Year'!$B$46*Forecast!$B$9/365*G993</f>
        <v/>
      </c>
    </row>
    <row r="1007">
      <c r="A1007" s="9" t="inlineStr">
        <is>
          <t xml:space="preserve">  change in working capital</t>
        </is>
      </c>
      <c r="C1007" s="18">
        <f>C1006-('Base Year'!$B$44/365*'Base Year'!$B$21+'Base Year'!$B$45/365*'Base Year'!$B$19-'Base Year'!$B$46/365*'Base Year'!$B$21)</f>
        <v/>
      </c>
      <c r="D1007" s="18">
        <f>D1006-C1006</f>
        <v/>
      </c>
      <c r="E1007" s="18">
        <f>E1006-D1006</f>
        <v/>
      </c>
      <c r="F1007" s="18">
        <f>F1006-E1006</f>
        <v/>
      </c>
      <c r="G1007" s="18">
        <f>G1006-F1006</f>
        <v/>
      </c>
    </row>
    <row r="1008">
      <c r="A1008" s="17" t="inlineStr">
        <is>
          <t>FREE CASH FLOW TO THE FIRM</t>
        </is>
      </c>
      <c r="C1008" s="20">
        <f>C1005+C1000-C998-C1007</f>
        <v/>
      </c>
      <c r="D1008" s="20">
        <f>D1005+D1000-D998-D1007</f>
        <v/>
      </c>
      <c r="E1008" s="20">
        <f>E1005+E1000-E998-E1007</f>
        <v/>
      </c>
      <c r="F1008" s="20">
        <f>F1005+F1000-F998-F1007</f>
        <v/>
      </c>
      <c r="G1008" s="20">
        <f>G1005+G1000-G998-G1007</f>
        <v/>
      </c>
    </row>
    <row r="1009">
      <c r="A1009" s="9" t="inlineStr">
        <is>
          <t>Glide fraction</t>
        </is>
      </c>
      <c r="C1009" s="26">
        <f>0.0000000000</f>
        <v/>
      </c>
      <c r="D1009" s="26">
        <f>0.3571428571</f>
        <v/>
      </c>
      <c r="E1009" s="26">
        <f>0.6428571429</f>
        <v/>
      </c>
      <c r="F1009" s="26">
        <f>0.8571428571</f>
        <v/>
      </c>
      <c r="G1009" s="26">
        <f>1.0000000000</f>
        <v/>
      </c>
    </row>
    <row r="1010">
      <c r="A1010" s="9" t="inlineStr">
        <is>
          <t>Forward cost of capital</t>
        </is>
      </c>
      <c r="C1010" s="19">
        <f>$F$31-($F$31-$G$31)*C1009</f>
        <v/>
      </c>
      <c r="D1010" s="19">
        <f>$F$31-($F$31-$G$31)*D1009</f>
        <v/>
      </c>
      <c r="E1010" s="19">
        <f>$F$31-($F$31-$G$31)*E1009</f>
        <v/>
      </c>
      <c r="F1010" s="19">
        <f>$F$31-($F$31-$G$31)*F1009</f>
        <v/>
      </c>
      <c r="G1010" s="19">
        <f>$F$31-($F$31-$G$31)*G1009</f>
        <v/>
      </c>
    </row>
    <row r="1011">
      <c r="A1011" s="9" t="inlineStr">
        <is>
          <t>Cumulative discount factor</t>
        </is>
      </c>
      <c r="C1011" s="29">
        <f>1/(1+C1010)</f>
        <v/>
      </c>
      <c r="D1011" s="29">
        <f>C1011/(1+D1010)</f>
        <v/>
      </c>
      <c r="E1011" s="29">
        <f>D1011/(1+E1010)</f>
        <v/>
      </c>
      <c r="F1011" s="29">
        <f>E1011/(1+F1010)</f>
        <v/>
      </c>
      <c r="G1011" s="29">
        <f>F1011/(1+G1010)</f>
        <v/>
      </c>
    </row>
    <row r="1012">
      <c r="A1012" s="9" t="inlineStr">
        <is>
          <t>Present value</t>
        </is>
      </c>
      <c r="C1012" s="18">
        <f>C1008*C1011</f>
        <v/>
      </c>
      <c r="D1012" s="18">
        <f>D1008*D1011</f>
        <v/>
      </c>
      <c r="E1012" s="18">
        <f>E1008*E1011</f>
        <v/>
      </c>
      <c r="F1012" s="18">
        <f>F1008*F1011</f>
        <v/>
      </c>
      <c r="G1012" s="18">
        <f>G1008*G1011</f>
        <v/>
      </c>
    </row>
    <row r="1013">
      <c r="A1013" s="17" t="inlineStr">
        <is>
          <t>PV of the explicit window</t>
        </is>
      </c>
      <c r="B1013" s="20">
        <f>SUM(C1012:G1012)</f>
        <v/>
      </c>
      <c r="C1013" s="18">
        <f>C1006+C999</f>
        <v/>
      </c>
      <c r="D1013" s="18">
        <f>D1006+D999</f>
        <v/>
      </c>
      <c r="E1013" s="18">
        <f>E1006+E999</f>
        <v/>
      </c>
      <c r="F1013" s="18">
        <f>F1006+F999</f>
        <v/>
      </c>
      <c r="G1013" s="18">
        <f>G1006+G999</f>
        <v/>
      </c>
    </row>
    <row r="1014">
      <c r="A1014" s="9" t="inlineStr">
        <is>
          <t>Terminal return on invested capital, at REPLACEMENT cost</t>
        </is>
      </c>
      <c r="B1014" s="19">
        <f>G1005*(1+Assumptions!$B$89)/G1013</f>
        <v/>
      </c>
    </row>
    <row r="1015">
      <c r="A1015" s="9" t="inlineStr">
        <is>
          <t>Required reinvestment = growth / return</t>
        </is>
      </c>
      <c r="B1015" s="19">
        <f>MIN(Assumptions!$B$89/B1014,0.95)</f>
        <v/>
      </c>
    </row>
    <row r="1016">
      <c r="A1016" s="9" t="inlineStr">
        <is>
          <t>Terminal value</t>
        </is>
      </c>
      <c r="B1016" s="18">
        <f>G1005*(1+Assumptions!$B$89)*(1-B1015)/MAX($G$31-Assumptions!$B$89,0.02)</f>
        <v/>
      </c>
    </row>
    <row r="1017">
      <c r="A1017" s="9" t="inlineStr">
        <is>
          <t>PV of the terminal block</t>
        </is>
      </c>
      <c r="B1017" s="18">
        <f>B1016*G1011</f>
        <v/>
      </c>
    </row>
    <row r="1018">
      <c r="A1018" s="17" t="inlineStr">
        <is>
          <t>ENTERPRISE VALUE</t>
        </is>
      </c>
      <c r="B1018" s="20">
        <f>B1013+B1017</f>
        <v/>
      </c>
    </row>
    <row r="1019">
      <c r="A1019" s="9" t="inlineStr">
        <is>
          <t>plus net cash</t>
        </is>
      </c>
      <c r="B1019" s="18">
        <f>(Assumptions!$B$79-Assumptions!$B$82-Assumptions!$B$83)/10^6</f>
        <v/>
      </c>
    </row>
    <row r="1020">
      <c r="A1020" s="9" t="inlineStr">
        <is>
          <t>Enterprise value including cash</t>
        </is>
      </c>
      <c r="B1020" s="18">
        <f>B1018+B1019</f>
        <v/>
      </c>
    </row>
    <row r="1021">
      <c r="A1021" s="9" t="inlineStr">
        <is>
          <t>less minority — on the WHOLE enterprise, cash included</t>
        </is>
      </c>
      <c r="B1021" s="18">
        <f>B1020*'Base Year'!$B$41</f>
        <v/>
      </c>
    </row>
    <row r="1022">
      <c r="A1022" s="9" t="inlineStr">
        <is>
          <t>less the tax-disputes provision</t>
        </is>
      </c>
      <c r="B1022" s="18">
        <f>Assumptions!$B$78/10^6</f>
        <v/>
      </c>
    </row>
    <row r="1023">
      <c r="A1023" s="9" t="inlineStr">
        <is>
          <t>less dividends payable — declared, out of working capital</t>
        </is>
      </c>
      <c r="B1023" s="18">
        <f>Assumptions!$B$77/10^6</f>
        <v/>
      </c>
    </row>
    <row r="1024">
      <c r="A1024" s="9" t="inlineStr">
        <is>
          <t>plus non-operating investments and pledged deposits</t>
        </is>
      </c>
      <c r="B1024" s="18">
        <f>(Assumptions!$B$81+Assumptions!$B$80)/10^6</f>
        <v/>
      </c>
    </row>
    <row r="1025">
      <c r="A1025" s="17" t="inlineStr">
        <is>
          <t>EQUITY ATTRIBUTABLE</t>
        </is>
      </c>
      <c r="B1025" s="20">
        <f>B1020-B1021-B1022-B1023+B1024</f>
        <v/>
      </c>
    </row>
    <row r="1026">
      <c r="A1026" s="17" t="inlineStr">
        <is>
          <t>VALUE PER SHARE, EGP</t>
        </is>
      </c>
      <c r="B1026" s="30">
        <f>B1025/Assumptions!$B$8</f>
        <v/>
      </c>
    </row>
    <row r="1029">
      <c r="A1029" s="6" t="inlineStr">
        <is>
          <t>Working-capital cycle, as a multiple of the solved days — 0.50x</t>
        </is>
      </c>
      <c r="B1029" s="6" t="inlineStr">
        <is>
          <t>2026E</t>
        </is>
      </c>
      <c r="C1029" s="6" t="inlineStr">
        <is>
          <t>2027E</t>
        </is>
      </c>
      <c r="D1029" s="6" t="inlineStr">
        <is>
          <t>2028E</t>
        </is>
      </c>
      <c r="E1029" s="6" t="inlineStr">
        <is>
          <t>2029E</t>
        </is>
      </c>
      <c r="F1029" s="6" t="inlineStr">
        <is>
          <t>2030E</t>
        </is>
      </c>
    </row>
    <row r="1030">
      <c r="A1030" s="9" t="inlineStr">
        <is>
          <t>Inflation index, cumulative</t>
        </is>
      </c>
      <c r="C1030" s="26">
        <f>Assumptions!$B$146</f>
        <v/>
      </c>
      <c r="D1030" s="26">
        <f>C1030*Assumptions!$B$147</f>
        <v/>
      </c>
      <c r="E1030" s="26">
        <f>D1030*Assumptions!$B$148</f>
        <v/>
      </c>
      <c r="F1030" s="26">
        <f>E1030*Assumptions!$B$149</f>
        <v/>
      </c>
      <c r="G1030" s="26">
        <f>F1030*Assumptions!$B$150</f>
        <v/>
      </c>
    </row>
    <row r="1031">
      <c r="A1031" s="9" t="inlineStr">
        <is>
          <t>Realisation index, cumulative</t>
        </is>
      </c>
      <c r="C1031" s="26">
        <f>(1+Assumptions!$B$101*Forecast!$B$8)</f>
        <v/>
      </c>
      <c r="D1031" s="26">
        <f>C1031*(1+Assumptions!$B$102*Forecast!$B$8)</f>
        <v/>
      </c>
      <c r="E1031" s="26">
        <f>D1031*(1+Assumptions!$B$103*Forecast!$B$8)</f>
        <v/>
      </c>
      <c r="F1031" s="26">
        <f>E1031*(1+Assumptions!$B$104*Forecast!$B$8)</f>
        <v/>
      </c>
      <c r="G1031" s="26">
        <f>F1031*(1+Assumptions!$B$105*Forecast!$B$8)</f>
        <v/>
      </c>
    </row>
    <row r="1032">
      <c r="A1032" s="9" t="inlineStr">
        <is>
          <t xml:space="preserve">  Volume — Base and special oils, mn t</t>
        </is>
      </c>
      <c r="C1032" s="26">
        <f>'Product and Cost'!E6*(1+Assumptions!$B$106+Forecast!$B$6)</f>
        <v/>
      </c>
      <c r="D1032" s="26">
        <f>C1032*(1+Assumptions!$B$107+Forecast!$B$6)</f>
        <v/>
      </c>
      <c r="E1032" s="26">
        <f>D1032*(1+Assumptions!$B$108+Forecast!$B$6)</f>
        <v/>
      </c>
      <c r="F1032" s="26">
        <f>E1032*(1+Assumptions!$B$109+Forecast!$B$6)</f>
        <v/>
      </c>
      <c r="G1032" s="26">
        <f>F1032*(1+Assumptions!$B$110+Forecast!$B$6)</f>
        <v/>
      </c>
    </row>
    <row r="1033">
      <c r="A1033" s="9" t="inlineStr">
        <is>
          <t xml:space="preserve">  Volume — Paraffin wax, mn t</t>
        </is>
      </c>
      <c r="C1033" s="26">
        <f>'Product and Cost'!E7*(1+Assumptions!$B$111+Forecast!$B$6)</f>
        <v/>
      </c>
      <c r="D1033" s="26">
        <f>C1033*(1+Assumptions!$B$112+Forecast!$B$6)</f>
        <v/>
      </c>
      <c r="E1033" s="26">
        <f>D1033*(1+Assumptions!$B$113+Forecast!$B$6)</f>
        <v/>
      </c>
      <c r="F1033" s="26">
        <f>E1033*(1+Assumptions!$B$114+Forecast!$B$6)</f>
        <v/>
      </c>
      <c r="G1033" s="26">
        <f>F1033*(1+Assumptions!$B$115+Forecast!$B$6)</f>
        <v/>
      </c>
    </row>
    <row r="1034">
      <c r="A1034" s="9" t="inlineStr">
        <is>
          <t xml:space="preserve">  Volume — Gas oil, mn t</t>
        </is>
      </c>
      <c r="C1034" s="26">
        <f>'Product and Cost'!E8*(1+Assumptions!$B$116+Forecast!$B$6)</f>
        <v/>
      </c>
      <c r="D1034" s="26">
        <f>C1034*(1+Assumptions!$B$117+Forecast!$B$6)</f>
        <v/>
      </c>
      <c r="E1034" s="26">
        <f>D1034*(1+Assumptions!$B$118+Forecast!$B$6)</f>
        <v/>
      </c>
      <c r="F1034" s="26">
        <f>E1034*(1+Assumptions!$B$119+Forecast!$B$6)</f>
        <v/>
      </c>
      <c r="G1034" s="26">
        <f>F1034*(1+Assumptions!$B$120+Forecast!$B$6)</f>
        <v/>
      </c>
    </row>
    <row r="1035">
      <c r="A1035" s="9" t="inlineStr">
        <is>
          <t xml:space="preserve">  Volume — Naphtha, mn t</t>
        </is>
      </c>
      <c r="C1035" s="26">
        <f>'Product and Cost'!E9*(1+Assumptions!$B$121+Forecast!$B$6)</f>
        <v/>
      </c>
      <c r="D1035" s="26">
        <f>C1035*(1+Assumptions!$B$122+Forecast!$B$6)</f>
        <v/>
      </c>
      <c r="E1035" s="26">
        <f>D1035*(1+Assumptions!$B$123+Forecast!$B$6)</f>
        <v/>
      </c>
      <c r="F1035" s="26">
        <f>E1035*(1+Assumptions!$B$124+Forecast!$B$6)</f>
        <v/>
      </c>
      <c r="G1035" s="26">
        <f>F1035*(1+Assumptions!$B$125+Forecast!$B$6)</f>
        <v/>
      </c>
    </row>
    <row r="1036">
      <c r="A1036" s="9" t="inlineStr">
        <is>
          <t xml:space="preserve">  Volume — Liquefied petroleum gas, mn t</t>
        </is>
      </c>
      <c r="C1036" s="26">
        <f>'Product and Cost'!E10*(1+Assumptions!$B$126+Forecast!$B$6)</f>
        <v/>
      </c>
      <c r="D1036" s="26">
        <f>C1036*(1+Assumptions!$B$127+Forecast!$B$6)</f>
        <v/>
      </c>
      <c r="E1036" s="26">
        <f>D1036*(1+Assumptions!$B$128+Forecast!$B$6)</f>
        <v/>
      </c>
      <c r="F1036" s="26">
        <f>E1036*(1+Assumptions!$B$129+Forecast!$B$6)</f>
        <v/>
      </c>
      <c r="G1036" s="26">
        <f>F1036*(1+Assumptions!$B$130+Forecast!$B$6)</f>
        <v/>
      </c>
    </row>
    <row r="1037">
      <c r="A1037" s="9" t="inlineStr">
        <is>
          <t xml:space="preserve">  Volume — Fuel oil (mix), mn t</t>
        </is>
      </c>
      <c r="C1037" s="26">
        <f>'Product and Cost'!E11*(1+Assumptions!$B$131+Forecast!$B$6)</f>
        <v/>
      </c>
      <c r="D1037" s="26">
        <f>C1037*(1+Assumptions!$B$132+Forecast!$B$6)</f>
        <v/>
      </c>
      <c r="E1037" s="26">
        <f>D1037*(1+Assumptions!$B$133+Forecast!$B$6)</f>
        <v/>
      </c>
      <c r="F1037" s="26">
        <f>E1037*(1+Assumptions!$B$134+Forecast!$B$6)</f>
        <v/>
      </c>
      <c r="G1037" s="26">
        <f>F1037*(1+Assumptions!$B$135+Forecast!$B$6)</f>
        <v/>
      </c>
    </row>
    <row r="1038">
      <c r="A1038" s="9" t="inlineStr">
        <is>
          <t xml:space="preserve">  Volume — Heavy fuel oil, mn t</t>
        </is>
      </c>
      <c r="C1038" s="26">
        <f>'Product and Cost'!E12*(1+Assumptions!$B$136+Forecast!$B$6)</f>
        <v/>
      </c>
      <c r="D1038" s="26">
        <f>C1038*(1+Assumptions!$B$137+Forecast!$B$6)</f>
        <v/>
      </c>
      <c r="E1038" s="26">
        <f>D1038*(1+Assumptions!$B$138+Forecast!$B$6)</f>
        <v/>
      </c>
      <c r="F1038" s="26">
        <f>E1038*(1+Assumptions!$B$139+Forecast!$B$6)</f>
        <v/>
      </c>
      <c r="G1038" s="26">
        <f>F1038*(1+Assumptions!$B$140+Forecast!$B$6)</f>
        <v/>
      </c>
    </row>
    <row r="1039">
      <c r="A1039" s="9" t="inlineStr">
        <is>
          <t xml:space="preserve">  Volume — Waste, mn t</t>
        </is>
      </c>
      <c r="C1039" s="26">
        <f>'Product and Cost'!E13*(1+Assumptions!$B$141+Forecast!$B$6)</f>
        <v/>
      </c>
      <c r="D1039" s="26">
        <f>C1039*(1+Assumptions!$B$142+Forecast!$B$6)</f>
        <v/>
      </c>
      <c r="E1039" s="26">
        <f>D1039*(1+Assumptions!$B$143+Forecast!$B$6)</f>
        <v/>
      </c>
      <c r="F1039" s="26">
        <f>E1039*(1+Assumptions!$B$144+Forecast!$B$6)</f>
        <v/>
      </c>
      <c r="G1039" s="26">
        <f>F1039*(1+Assumptions!$B$145+Forecast!$B$6)</f>
        <v/>
      </c>
    </row>
    <row r="1040">
      <c r="A1040" s="17" t="inlineStr">
        <is>
          <t>Total volume, mn t</t>
        </is>
      </c>
      <c r="C1040" s="28">
        <f>SUM(C1032:C1039)</f>
        <v/>
      </c>
      <c r="D1040" s="28">
        <f>SUM(D1032:D1039)</f>
        <v/>
      </c>
      <c r="E1040" s="28">
        <f>SUM(E1032:E1039)</f>
        <v/>
      </c>
      <c r="F1040" s="28">
        <f>SUM(F1032:F1039)</f>
        <v/>
      </c>
      <c r="G1040" s="28">
        <f>SUM(G1032:G1039)</f>
        <v/>
      </c>
    </row>
    <row r="1041">
      <c r="A1041" s="17" t="inlineStr">
        <is>
          <t>REVENUE</t>
        </is>
      </c>
      <c r="C1041" s="20">
        <f>C1032*'Product and Cost'!$F$6*C1031+C1033*'Product and Cost'!$F$7*C1031+C1034*'Product and Cost'!$F$8*C1031+C1035*'Product and Cost'!$F$9*C1031+C1036*'Product and Cost'!$F$10*C1031+C1037*'Product and Cost'!$F$11*C1031+C1038*'Product and Cost'!$F$12*C1031+C1039*'Product and Cost'!$F$13*C1031</f>
        <v/>
      </c>
      <c r="D1041" s="20">
        <f>D1032*'Product and Cost'!$F$6*D1031+D1033*'Product and Cost'!$F$7*D1031+D1034*'Product and Cost'!$F$8*D1031+D1035*'Product and Cost'!$F$9*D1031+D1036*'Product and Cost'!$F$10*D1031+D1037*'Product and Cost'!$F$11*D1031+D1038*'Product and Cost'!$F$12*D1031+D1039*'Product and Cost'!$F$13*D1031</f>
        <v/>
      </c>
      <c r="E1041" s="20">
        <f>E1032*'Product and Cost'!$F$6*E1031+E1033*'Product and Cost'!$F$7*E1031+E1034*'Product and Cost'!$F$8*E1031+E1035*'Product and Cost'!$F$9*E1031+E1036*'Product and Cost'!$F$10*E1031+E1037*'Product and Cost'!$F$11*E1031+E1038*'Product and Cost'!$F$12*E1031+E1039*'Product and Cost'!$F$13*E1031</f>
        <v/>
      </c>
      <c r="F1041" s="20">
        <f>F1032*'Product and Cost'!$F$6*F1031+F1033*'Product and Cost'!$F$7*F1031+F1034*'Product and Cost'!$F$8*F1031+F1035*'Product and Cost'!$F$9*F1031+F1036*'Product and Cost'!$F$10*F1031+F1037*'Product and Cost'!$F$11*F1031+F1038*'Product and Cost'!$F$12*F1031+F1039*'Product and Cost'!$F$13*F1031</f>
        <v/>
      </c>
      <c r="G1041" s="20">
        <f>G1032*'Product and Cost'!$F$6*G1031+G1033*'Product and Cost'!$F$7*G1031+G1034*'Product and Cost'!$F$8*G1031+G1035*'Product and Cost'!$F$9*G1031+G1036*'Product and Cost'!$F$10*G1031+G1037*'Product and Cost'!$F$11*G1031+G1038*'Product and Cost'!$F$12*G1031+G1039*'Product and Cost'!$F$13*G1031</f>
        <v/>
      </c>
    </row>
    <row r="1042">
      <c r="A1042" s="9" t="inlineStr">
        <is>
          <t>Cost of sales</t>
        </is>
      </c>
      <c r="C1042" s="18">
        <f>C1032*('Product and Cost'!$D$27*C1031*Assumptions!$B$88+'Product and Cost'!$B$27*(0.4863620081*C1030+0.4455809638*C1030+0.0356254898*C1031+0.0324315384))+C1033*('Product and Cost'!$D$28*C1031*Assumptions!$B$88+'Product and Cost'!$B$28*(0.4863620081*C1030+0.4455809638*C1030+0.0356254898*C1031+0.0324315384))+C1034*('Product and Cost'!$D$29*C1031*Assumptions!$B$88+'Product and Cost'!$B$29*(0.4863620081*C1030+0.4455809638*C1030+0.0356254898*C1031+0.0324315384))+C1035*('Product and Cost'!$D$30*C1031*Assumptions!$B$88+'Product and Cost'!$B$30*(0.4863620081*C1030+0.4455809638*C1030+0.0356254898*C1031+0.0324315384))+C1036*('Product and Cost'!$D$31*C1031*Assumptions!$B$88+'Product and Cost'!$B$31*(0.4863620081*C1030+0.4455809638*C1030+0.0356254898*C1031+0.0324315384))+C1037*('Product and Cost'!$D$32*C1031*Assumptions!$B$88+'Product and Cost'!$B$32*(0.4863620081*C1030+0.4455809638*C1030+0.0356254898*C1031+0.0324315384))+C1038*('Product and Cost'!$D$33*C1031*Assumptions!$B$88+'Product and Cost'!$B$33*(0.4863620081*C1030+0.4455809638*C1030+0.0356254898*C1031+0.0324315384))+C1039*('Product and Cost'!$D$34*C1031*Assumptions!$B$88+'Product and Cost'!$B$34*(0.4863620081*C1030+0.4455809638*C1030+0.0356254898*C1031+0.0324315384))</f>
        <v/>
      </c>
      <c r="D1042" s="18">
        <f>D1032*('Product and Cost'!$D$27*D1031*Assumptions!$B$88+'Product and Cost'!$B$27*(0.4863620081*D1030+0.4455809638*D1030+0.0356254898*D1031+0.0324315384))+D1033*('Product and Cost'!$D$28*D1031*Assumptions!$B$88+'Product and Cost'!$B$28*(0.4863620081*D1030+0.4455809638*D1030+0.0356254898*D1031+0.0324315384))+D1034*('Product and Cost'!$D$29*D1031*Assumptions!$B$88+'Product and Cost'!$B$29*(0.4863620081*D1030+0.4455809638*D1030+0.0356254898*D1031+0.0324315384))+D1035*('Product and Cost'!$D$30*D1031*Assumptions!$B$88+'Product and Cost'!$B$30*(0.4863620081*D1030+0.4455809638*D1030+0.0356254898*D1031+0.0324315384))+D1036*('Product and Cost'!$D$31*D1031*Assumptions!$B$88+'Product and Cost'!$B$31*(0.4863620081*D1030+0.4455809638*D1030+0.0356254898*D1031+0.0324315384))+D1037*('Product and Cost'!$D$32*D1031*Assumptions!$B$88+'Product and Cost'!$B$32*(0.4863620081*D1030+0.4455809638*D1030+0.0356254898*D1031+0.0324315384))+D1038*('Product and Cost'!$D$33*D1031*Assumptions!$B$88+'Product and Cost'!$B$33*(0.4863620081*D1030+0.4455809638*D1030+0.0356254898*D1031+0.0324315384))+D1039*('Product and Cost'!$D$34*D1031*Assumptions!$B$88+'Product and Cost'!$B$34*(0.4863620081*D1030+0.4455809638*D1030+0.0356254898*D1031+0.0324315384))</f>
        <v/>
      </c>
      <c r="E1042" s="18">
        <f>E1032*('Product and Cost'!$D$27*E1031*Assumptions!$B$88+'Product and Cost'!$B$27*(0.4863620081*E1030+0.4455809638*E1030+0.0356254898*E1031+0.0324315384))+E1033*('Product and Cost'!$D$28*E1031*Assumptions!$B$88+'Product and Cost'!$B$28*(0.4863620081*E1030+0.4455809638*E1030+0.0356254898*E1031+0.0324315384))+E1034*('Product and Cost'!$D$29*E1031*Assumptions!$B$88+'Product and Cost'!$B$29*(0.4863620081*E1030+0.4455809638*E1030+0.0356254898*E1031+0.0324315384))+E1035*('Product and Cost'!$D$30*E1031*Assumptions!$B$88+'Product and Cost'!$B$30*(0.4863620081*E1030+0.4455809638*E1030+0.0356254898*E1031+0.0324315384))+E1036*('Product and Cost'!$D$31*E1031*Assumptions!$B$88+'Product and Cost'!$B$31*(0.4863620081*E1030+0.4455809638*E1030+0.0356254898*E1031+0.0324315384))+E1037*('Product and Cost'!$D$32*E1031*Assumptions!$B$88+'Product and Cost'!$B$32*(0.4863620081*E1030+0.4455809638*E1030+0.0356254898*E1031+0.0324315384))+E1038*('Product and Cost'!$D$33*E1031*Assumptions!$B$88+'Product and Cost'!$B$33*(0.4863620081*E1030+0.4455809638*E1030+0.0356254898*E1031+0.0324315384))+E1039*('Product and Cost'!$D$34*E1031*Assumptions!$B$88+'Product and Cost'!$B$34*(0.4863620081*E1030+0.4455809638*E1030+0.0356254898*E1031+0.0324315384))</f>
        <v/>
      </c>
      <c r="F1042" s="18">
        <f>F1032*('Product and Cost'!$D$27*F1031*Assumptions!$B$88+'Product and Cost'!$B$27*(0.4863620081*F1030+0.4455809638*F1030+0.0356254898*F1031+0.0324315384))+F1033*('Product and Cost'!$D$28*F1031*Assumptions!$B$88+'Product and Cost'!$B$28*(0.4863620081*F1030+0.4455809638*F1030+0.0356254898*F1031+0.0324315384))+F1034*('Product and Cost'!$D$29*F1031*Assumptions!$B$88+'Product and Cost'!$B$29*(0.4863620081*F1030+0.4455809638*F1030+0.0356254898*F1031+0.0324315384))+F1035*('Product and Cost'!$D$30*F1031*Assumptions!$B$88+'Product and Cost'!$B$30*(0.4863620081*F1030+0.4455809638*F1030+0.0356254898*F1031+0.0324315384))+F1036*('Product and Cost'!$D$31*F1031*Assumptions!$B$88+'Product and Cost'!$B$31*(0.4863620081*F1030+0.4455809638*F1030+0.0356254898*F1031+0.0324315384))+F1037*('Product and Cost'!$D$32*F1031*Assumptions!$B$88+'Product and Cost'!$B$32*(0.4863620081*F1030+0.4455809638*F1030+0.0356254898*F1031+0.0324315384))+F1038*('Product and Cost'!$D$33*F1031*Assumptions!$B$88+'Product and Cost'!$B$33*(0.4863620081*F1030+0.4455809638*F1030+0.0356254898*F1031+0.0324315384))+F1039*('Product and Cost'!$D$34*F1031*Assumptions!$B$88+'Product and Cost'!$B$34*(0.4863620081*F1030+0.4455809638*F1030+0.0356254898*F1031+0.0324315384))</f>
        <v/>
      </c>
      <c r="G1042" s="18">
        <f>G1032*('Product and Cost'!$D$27*G1031*Assumptions!$B$88+'Product and Cost'!$B$27*(0.4863620081*G1030+0.4455809638*G1030+0.0356254898*G1031+0.0324315384))+G1033*('Product and Cost'!$D$28*G1031*Assumptions!$B$88+'Product and Cost'!$B$28*(0.4863620081*G1030+0.4455809638*G1030+0.0356254898*G1031+0.0324315384))+G1034*('Product and Cost'!$D$29*G1031*Assumptions!$B$88+'Product and Cost'!$B$29*(0.4863620081*G1030+0.4455809638*G1030+0.0356254898*G1031+0.0324315384))+G1035*('Product and Cost'!$D$30*G1031*Assumptions!$B$88+'Product and Cost'!$B$30*(0.4863620081*G1030+0.4455809638*G1030+0.0356254898*G1031+0.0324315384))+G1036*('Product and Cost'!$D$31*G1031*Assumptions!$B$88+'Product and Cost'!$B$31*(0.4863620081*G1030+0.4455809638*G1030+0.0356254898*G1031+0.0324315384))+G1037*('Product and Cost'!$D$32*G1031*Assumptions!$B$88+'Product and Cost'!$B$32*(0.4863620081*G1030+0.4455809638*G1030+0.0356254898*G1031+0.0324315384))+G1038*('Product and Cost'!$D$33*G1031*Assumptions!$B$88+'Product and Cost'!$B$33*(0.4863620081*G1030+0.4455809638*G1030+0.0356254898*G1031+0.0324315384))+G1039*('Product and Cost'!$D$34*G1031*Assumptions!$B$88+'Product and Cost'!$B$34*(0.4863620081*G1030+0.4455809638*G1030+0.0356254898*G1031+0.0324315384))</f>
        <v/>
      </c>
    </row>
    <row r="1043">
      <c r="A1043" s="17" t="inlineStr">
        <is>
          <t>GROSS PROFIT</t>
        </is>
      </c>
      <c r="C1043" s="20">
        <f>C1041-C1042+Forecast!$B$7*C1041</f>
        <v/>
      </c>
      <c r="D1043" s="20">
        <f>D1041-D1042+Forecast!$B$7*D1041</f>
        <v/>
      </c>
      <c r="E1043" s="20">
        <f>E1041-E1042+Forecast!$B$7*E1041</f>
        <v/>
      </c>
      <c r="F1043" s="20">
        <f>F1041-F1042+Forecast!$B$7*F1041</f>
        <v/>
      </c>
      <c r="G1043" s="20">
        <f>G1041-G1042+Forecast!$B$7*G1041</f>
        <v/>
      </c>
    </row>
    <row r="1044">
      <c r="A1044" s="9" t="inlineStr">
        <is>
          <t>Gross margin</t>
        </is>
      </c>
      <c r="C1044" s="19">
        <f>C1043/C1041</f>
        <v/>
      </c>
      <c r="D1044" s="19">
        <f>D1043/D1041</f>
        <v/>
      </c>
      <c r="E1044" s="19">
        <f>E1043/E1041</f>
        <v/>
      </c>
      <c r="F1044" s="19">
        <f>F1043/F1041</f>
        <v/>
      </c>
      <c r="G1044" s="19">
        <f>G1043/G1041</f>
        <v/>
      </c>
    </row>
    <row r="1045">
      <c r="A1045" s="9" t="inlineStr">
        <is>
          <t>Operating expense</t>
        </is>
      </c>
      <c r="C1045" s="18">
        <f>('Base Year'!$B$28*C1030)+('Base Year'!$B$29*C1030*C1040/'Product and Cost'!$E$14)+('Base Year'!$B$30*C1030)+('Base Year'!$B$31*C1030)</f>
        <v/>
      </c>
      <c r="D1045" s="18">
        <f>('Base Year'!$B$28*D1030)+('Base Year'!$B$29*D1030*D1040/'Product and Cost'!$E$14)+('Base Year'!$B$30*D1030)+('Base Year'!$B$31*D1030)</f>
        <v/>
      </c>
      <c r="E1045" s="18">
        <f>('Base Year'!$B$28*E1030)+('Base Year'!$B$29*E1030*E1040/'Product and Cost'!$E$14)+('Base Year'!$B$30*E1030)+('Base Year'!$B$31*E1030)</f>
        <v/>
      </c>
      <c r="F1045" s="18">
        <f>('Base Year'!$B$28*F1030)+('Base Year'!$B$29*F1030*F1040/'Product and Cost'!$E$14)+('Base Year'!$B$30*F1030)+('Base Year'!$B$31*F1030)</f>
        <v/>
      </c>
      <c r="G1045" s="18">
        <f>('Base Year'!$B$28*G1030)+('Base Year'!$B$29*G1030*G1040/'Product and Cost'!$E$14)+('Base Year'!$B$30*G1030)+('Base Year'!$B$31*G1030)</f>
        <v/>
      </c>
    </row>
    <row r="1046">
      <c r="A1046" s="17" t="inlineStr">
        <is>
          <t>EBITDA</t>
        </is>
      </c>
      <c r="C1046" s="20">
        <f>C1043-C1045</f>
        <v/>
      </c>
      <c r="D1046" s="20">
        <f>D1043-D1045</f>
        <v/>
      </c>
      <c r="E1046" s="20">
        <f>E1043-E1045</f>
        <v/>
      </c>
      <c r="F1046" s="20">
        <f>F1043-F1045</f>
        <v/>
      </c>
      <c r="G1046" s="20">
        <f>G1043-G1045</f>
        <v/>
      </c>
    </row>
    <row r="1047">
      <c r="A1047" s="9" t="inlineStr">
        <is>
          <t>Capital expenditure — maintenance + growth</t>
        </is>
      </c>
      <c r="C1047" s="18">
        <f>'Base Year'!$B$43*C1030+MAX(C1040-'Product and Cost'!$E$14,0)*1947.901031*C1030</f>
        <v/>
      </c>
      <c r="D1047" s="18">
        <f>'Base Year'!$B$43*D1030+MAX(D1040-C1040,0)*1947.901031*D1030</f>
        <v/>
      </c>
      <c r="E1047" s="18">
        <f>'Base Year'!$B$43*E1030+MAX(E1040-D1040,0)*1947.901031*E1030</f>
        <v/>
      </c>
      <c r="F1047" s="18">
        <f>'Base Year'!$B$43*F1030+MAX(F1040-E1040,0)*1947.901031*F1030</f>
        <v/>
      </c>
      <c r="G1047" s="18">
        <f>'Base Year'!$B$43*G1030+MAX(G1040-F1040,0)*1947.901031*G1030</f>
        <v/>
      </c>
    </row>
    <row r="1048">
      <c r="A1048" s="9" t="inlineStr">
        <is>
          <t>Fixed assets at cost, closing</t>
        </is>
      </c>
      <c r="C1048" s="18">
        <f>(Assumptions!$B$70+Assumptions!$B$71)/10^6+C1047</f>
        <v/>
      </c>
      <c r="D1048" s="18">
        <f>C1048+D1047</f>
        <v/>
      </c>
      <c r="E1048" s="18">
        <f>D1048+E1047</f>
        <v/>
      </c>
      <c r="F1048" s="18">
        <f>E1048+F1047</f>
        <v/>
      </c>
      <c r="G1048" s="18">
        <f>F1048+G1047</f>
        <v/>
      </c>
    </row>
    <row r="1049">
      <c r="A1049" s="9" t="inlineStr">
        <is>
          <t>Depreciation — rolls off the asset register</t>
        </is>
      </c>
      <c r="C1049" s="18">
        <f>(Assumptions!$B$70+Assumptions!$B$71)/10^6/'Base Year'!$B$42</f>
        <v/>
      </c>
      <c r="D1049" s="18">
        <f>C1048/'Base Year'!$B$42</f>
        <v/>
      </c>
      <c r="E1049" s="18">
        <f>D1048/'Base Year'!$B$42</f>
        <v/>
      </c>
      <c r="F1049" s="18">
        <f>E1048/'Base Year'!$B$42</f>
        <v/>
      </c>
      <c r="G1049" s="18">
        <f>F1048/'Base Year'!$B$42</f>
        <v/>
      </c>
    </row>
    <row r="1050">
      <c r="A1050" s="9" t="inlineStr">
        <is>
          <t>Fixed assets, net book, closing</t>
        </is>
      </c>
      <c r="C1050" s="18">
        <f>(Assumptions!$B$69+Assumptions!$B$71)/10^6+C1047-C1049</f>
        <v/>
      </c>
      <c r="D1050" s="18">
        <f>C1050+D1047-D1049</f>
        <v/>
      </c>
      <c r="E1050" s="18">
        <f>D1050+E1047-E1049</f>
        <v/>
      </c>
      <c r="F1050" s="18">
        <f>E1050+F1047-F1049</f>
        <v/>
      </c>
      <c r="G1050" s="18">
        <f>F1050+G1047-G1049</f>
        <v/>
      </c>
    </row>
    <row r="1051">
      <c r="A1051" s="17" t="inlineStr">
        <is>
          <t>EBIT</t>
        </is>
      </c>
      <c r="C1051" s="20">
        <f>C1046-C1049</f>
        <v/>
      </c>
      <c r="D1051" s="20">
        <f>D1046-D1049</f>
        <v/>
      </c>
      <c r="E1051" s="20">
        <f>E1046-E1049</f>
        <v/>
      </c>
      <c r="F1051" s="20">
        <f>F1046-F1049</f>
        <v/>
      </c>
      <c r="G1051" s="20">
        <f>G1046-G1049</f>
        <v/>
      </c>
    </row>
    <row r="1052">
      <c r="A1052" s="9" t="inlineStr">
        <is>
          <t>NOPAT before the profit share</t>
        </is>
      </c>
      <c r="C1052" s="18">
        <f>C1051*(1-Assumptions!$B$87)</f>
        <v/>
      </c>
      <c r="D1052" s="18">
        <f>D1051*(1-Assumptions!$B$87)</f>
        <v/>
      </c>
      <c r="E1052" s="18">
        <f>E1051*(1-Assumptions!$B$87)</f>
        <v/>
      </c>
      <c r="F1052" s="18">
        <f>F1051*(1-Assumptions!$B$87)</f>
        <v/>
      </c>
      <c r="G1052" s="18">
        <f>G1051*(1-Assumptions!$B$87)</f>
        <v/>
      </c>
    </row>
    <row r="1053">
      <c r="A1053" s="9" t="inlineStr">
        <is>
          <t xml:space="preserve">  less employees' profit share and board bonuses</t>
        </is>
      </c>
      <c r="C1053" s="18">
        <f>MAX(C1052,0)*'Base Year'!$B$40</f>
        <v/>
      </c>
      <c r="D1053" s="18">
        <f>MAX(D1052,0)*'Base Year'!$B$40</f>
        <v/>
      </c>
      <c r="E1053" s="18">
        <f>MAX(E1052,0)*'Base Year'!$B$40</f>
        <v/>
      </c>
      <c r="F1053" s="18">
        <f>MAX(F1052,0)*'Base Year'!$B$40</f>
        <v/>
      </c>
      <c r="G1053" s="18">
        <f>MAX(G1052,0)*'Base Year'!$B$40</f>
        <v/>
      </c>
    </row>
    <row r="1054">
      <c r="A1054" s="17" t="inlineStr">
        <is>
          <t>NOPAT</t>
        </is>
      </c>
      <c r="C1054" s="20">
        <f>C1052-C1053</f>
        <v/>
      </c>
      <c r="D1054" s="20">
        <f>D1052-D1053</f>
        <v/>
      </c>
      <c r="E1054" s="20">
        <f>E1052-E1053</f>
        <v/>
      </c>
      <c r="F1054" s="20">
        <f>F1052-F1053</f>
        <v/>
      </c>
      <c r="G1054" s="20">
        <f>G1052-G1053</f>
        <v/>
      </c>
    </row>
    <row r="1055">
      <c r="A1055" s="9" t="inlineStr">
        <is>
          <t>Net working capital — on days</t>
        </is>
      </c>
      <c r="C1055" s="18">
        <f>'Base Year'!$B$44*$E$34/365*C1042+'Base Year'!$B$45*$E$34/365*C1041-'Base Year'!$B$46*$E$34/365*C1042</f>
        <v/>
      </c>
      <c r="D1055" s="18">
        <f>'Base Year'!$B$44*$E$34/365*D1042+'Base Year'!$B$45*$E$34/365*D1041-'Base Year'!$B$46*$E$34/365*D1042</f>
        <v/>
      </c>
      <c r="E1055" s="18">
        <f>'Base Year'!$B$44*$E$34/365*E1042+'Base Year'!$B$45*$E$34/365*E1041-'Base Year'!$B$46*$E$34/365*E1042</f>
        <v/>
      </c>
      <c r="F1055" s="18">
        <f>'Base Year'!$B$44*$E$34/365*F1042+'Base Year'!$B$45*$E$34/365*F1041-'Base Year'!$B$46*$E$34/365*F1042</f>
        <v/>
      </c>
      <c r="G1055" s="18">
        <f>'Base Year'!$B$44*$E$34/365*G1042+'Base Year'!$B$45*$E$34/365*G1041-'Base Year'!$B$46*$E$34/365*G1042</f>
        <v/>
      </c>
    </row>
    <row r="1056">
      <c r="A1056" s="9" t="inlineStr">
        <is>
          <t xml:space="preserve">  change in working capital</t>
        </is>
      </c>
      <c r="C1056" s="18">
        <f>C1055-('Base Year'!$B$44/365*'Base Year'!$B$21+'Base Year'!$B$45/365*'Base Year'!$B$19-'Base Year'!$B$46/365*'Base Year'!$B$21)</f>
        <v/>
      </c>
      <c r="D1056" s="18">
        <f>D1055-C1055</f>
        <v/>
      </c>
      <c r="E1056" s="18">
        <f>E1055-D1055</f>
        <v/>
      </c>
      <c r="F1056" s="18">
        <f>F1055-E1055</f>
        <v/>
      </c>
      <c r="G1056" s="18">
        <f>G1055-F1055</f>
        <v/>
      </c>
    </row>
    <row r="1057">
      <c r="A1057" s="17" t="inlineStr">
        <is>
          <t>FREE CASH FLOW TO THE FIRM</t>
        </is>
      </c>
      <c r="C1057" s="20">
        <f>C1054+C1049-C1047-C1056</f>
        <v/>
      </c>
      <c r="D1057" s="20">
        <f>D1054+D1049-D1047-D1056</f>
        <v/>
      </c>
      <c r="E1057" s="20">
        <f>E1054+E1049-E1047-E1056</f>
        <v/>
      </c>
      <c r="F1057" s="20">
        <f>F1054+F1049-F1047-F1056</f>
        <v/>
      </c>
      <c r="G1057" s="20">
        <f>G1054+G1049-G1047-G1056</f>
        <v/>
      </c>
    </row>
    <row r="1058">
      <c r="A1058" s="9" t="inlineStr">
        <is>
          <t>Glide fraction</t>
        </is>
      </c>
      <c r="C1058" s="26">
        <f>0.0000000000</f>
        <v/>
      </c>
      <c r="D1058" s="26">
        <f>0.3571428571</f>
        <v/>
      </c>
      <c r="E1058" s="26">
        <f>0.6428571429</f>
        <v/>
      </c>
      <c r="F1058" s="26">
        <f>0.8571428571</f>
        <v/>
      </c>
      <c r="G1058" s="26">
        <f>1.0000000000</f>
        <v/>
      </c>
    </row>
    <row r="1059">
      <c r="A1059" s="9" t="inlineStr">
        <is>
          <t>Forward cost of capital</t>
        </is>
      </c>
      <c r="C1059" s="19">
        <f>Forecast!$B$14-(Forecast!$B$14-Forecast!$B$17)*C1058</f>
        <v/>
      </c>
      <c r="D1059" s="19">
        <f>Forecast!$B$14-(Forecast!$B$14-Forecast!$B$17)*D1058</f>
        <v/>
      </c>
      <c r="E1059" s="19">
        <f>Forecast!$B$14-(Forecast!$B$14-Forecast!$B$17)*E1058</f>
        <v/>
      </c>
      <c r="F1059" s="19">
        <f>Forecast!$B$14-(Forecast!$B$14-Forecast!$B$17)*F1058</f>
        <v/>
      </c>
      <c r="G1059" s="19">
        <f>Forecast!$B$14-(Forecast!$B$14-Forecast!$B$17)*G1058</f>
        <v/>
      </c>
    </row>
    <row r="1060">
      <c r="A1060" s="9" t="inlineStr">
        <is>
          <t>Cumulative discount factor</t>
        </is>
      </c>
      <c r="C1060" s="29">
        <f>1/(1+C1059)</f>
        <v/>
      </c>
      <c r="D1060" s="29">
        <f>C1060/(1+D1059)</f>
        <v/>
      </c>
      <c r="E1060" s="29">
        <f>D1060/(1+E1059)</f>
        <v/>
      </c>
      <c r="F1060" s="29">
        <f>E1060/(1+F1059)</f>
        <v/>
      </c>
      <c r="G1060" s="29">
        <f>F1060/(1+G1059)</f>
        <v/>
      </c>
    </row>
    <row r="1061">
      <c r="A1061" s="9" t="inlineStr">
        <is>
          <t>Present value</t>
        </is>
      </c>
      <c r="C1061" s="18">
        <f>C1057*C1060</f>
        <v/>
      </c>
      <c r="D1061" s="18">
        <f>D1057*D1060</f>
        <v/>
      </c>
      <c r="E1061" s="18">
        <f>E1057*E1060</f>
        <v/>
      </c>
      <c r="F1061" s="18">
        <f>F1057*F1060</f>
        <v/>
      </c>
      <c r="G1061" s="18">
        <f>G1057*G1060</f>
        <v/>
      </c>
    </row>
    <row r="1062">
      <c r="A1062" s="17" t="inlineStr">
        <is>
          <t>PV of the explicit window</t>
        </is>
      </c>
      <c r="B1062" s="20">
        <f>SUM(C1061:G1061)</f>
        <v/>
      </c>
      <c r="C1062" s="18">
        <f>C1055+C1048</f>
        <v/>
      </c>
      <c r="D1062" s="18">
        <f>D1055+D1048</f>
        <v/>
      </c>
      <c r="E1062" s="18">
        <f>E1055+E1048</f>
        <v/>
      </c>
      <c r="F1062" s="18">
        <f>F1055+F1048</f>
        <v/>
      </c>
      <c r="G1062" s="18">
        <f>G1055+G1048</f>
        <v/>
      </c>
    </row>
    <row r="1063">
      <c r="A1063" s="9" t="inlineStr">
        <is>
          <t>Terminal return on invested capital, at REPLACEMENT cost</t>
        </is>
      </c>
      <c r="B1063" s="19">
        <f>G1054*(1+Assumptions!$B$89)/G1062</f>
        <v/>
      </c>
    </row>
    <row r="1064">
      <c r="A1064" s="9" t="inlineStr">
        <is>
          <t>Required reinvestment = growth / return</t>
        </is>
      </c>
      <c r="B1064" s="19">
        <f>MIN(Assumptions!$B$89/B1063,0.95)</f>
        <v/>
      </c>
    </row>
    <row r="1065">
      <c r="A1065" s="9" t="inlineStr">
        <is>
          <t>Terminal value</t>
        </is>
      </c>
      <c r="B1065" s="18">
        <f>G1054*(1+Assumptions!$B$89)*(1-B1064)/MAX(Forecast!$B$17-Assumptions!$B$89,0.02)</f>
        <v/>
      </c>
    </row>
    <row r="1066">
      <c r="A1066" s="9" t="inlineStr">
        <is>
          <t>PV of the terminal block</t>
        </is>
      </c>
      <c r="B1066" s="18">
        <f>B1065*G1060</f>
        <v/>
      </c>
    </row>
    <row r="1067">
      <c r="A1067" s="17" t="inlineStr">
        <is>
          <t>ENTERPRISE VALUE</t>
        </is>
      </c>
      <c r="B1067" s="20">
        <f>B1062+B1066</f>
        <v/>
      </c>
    </row>
    <row r="1068">
      <c r="A1068" s="9" t="inlineStr">
        <is>
          <t>plus net cash</t>
        </is>
      </c>
      <c r="B1068" s="18">
        <f>(Assumptions!$B$79-Assumptions!$B$82-Assumptions!$B$83)/10^6</f>
        <v/>
      </c>
    </row>
    <row r="1069">
      <c r="A1069" s="9" t="inlineStr">
        <is>
          <t>Enterprise value including cash</t>
        </is>
      </c>
      <c r="B1069" s="18">
        <f>B1067+B1068</f>
        <v/>
      </c>
    </row>
    <row r="1070">
      <c r="A1070" s="9" t="inlineStr">
        <is>
          <t>less minority — on the WHOLE enterprise, cash included</t>
        </is>
      </c>
      <c r="B1070" s="18">
        <f>B1069*'Base Year'!$B$41</f>
        <v/>
      </c>
    </row>
    <row r="1071">
      <c r="A1071" s="9" t="inlineStr">
        <is>
          <t>less the tax-disputes provision</t>
        </is>
      </c>
      <c r="B1071" s="18">
        <f>Assumptions!$B$78/10^6</f>
        <v/>
      </c>
    </row>
    <row r="1072">
      <c r="A1072" s="9" t="inlineStr">
        <is>
          <t>less dividends payable — declared, out of working capital</t>
        </is>
      </c>
      <c r="B1072" s="18">
        <f>Assumptions!$B$77/10^6</f>
        <v/>
      </c>
    </row>
    <row r="1073">
      <c r="A1073" s="9" t="inlineStr">
        <is>
          <t>plus non-operating investments and pledged deposits</t>
        </is>
      </c>
      <c r="B1073" s="18">
        <f>(Assumptions!$B$81+Assumptions!$B$80)/10^6</f>
        <v/>
      </c>
    </row>
    <row r="1074">
      <c r="A1074" s="17" t="inlineStr">
        <is>
          <t>EQUITY ATTRIBUTABLE</t>
        </is>
      </c>
      <c r="B1074" s="20">
        <f>B1069-B1070-B1071-B1072+B1073</f>
        <v/>
      </c>
    </row>
    <row r="1075">
      <c r="A1075" s="17" t="inlineStr">
        <is>
          <t>VALUE PER SHARE, EGP</t>
        </is>
      </c>
      <c r="B1075" s="30">
        <f>B1074/Assumptions!$B$8</f>
        <v/>
      </c>
    </row>
    <row r="1078">
      <c r="A1078" s="6" t="inlineStr">
        <is>
          <t>Working-capital cycle, as a multiple of the solved days — 0.75x</t>
        </is>
      </c>
      <c r="B1078" s="6" t="inlineStr">
        <is>
          <t>2026E</t>
        </is>
      </c>
      <c r="C1078" s="6" t="inlineStr">
        <is>
          <t>2027E</t>
        </is>
      </c>
      <c r="D1078" s="6" t="inlineStr">
        <is>
          <t>2028E</t>
        </is>
      </c>
      <c r="E1078" s="6" t="inlineStr">
        <is>
          <t>2029E</t>
        </is>
      </c>
      <c r="F1078" s="6" t="inlineStr">
        <is>
          <t>2030E</t>
        </is>
      </c>
    </row>
    <row r="1079">
      <c r="A1079" s="9" t="inlineStr">
        <is>
          <t>Inflation index, cumulative</t>
        </is>
      </c>
      <c r="C1079" s="26">
        <f>Assumptions!$B$146</f>
        <v/>
      </c>
      <c r="D1079" s="26">
        <f>C1079*Assumptions!$B$147</f>
        <v/>
      </c>
      <c r="E1079" s="26">
        <f>D1079*Assumptions!$B$148</f>
        <v/>
      </c>
      <c r="F1079" s="26">
        <f>E1079*Assumptions!$B$149</f>
        <v/>
      </c>
      <c r="G1079" s="26">
        <f>F1079*Assumptions!$B$150</f>
        <v/>
      </c>
    </row>
    <row r="1080">
      <c r="A1080" s="9" t="inlineStr">
        <is>
          <t>Realisation index, cumulative</t>
        </is>
      </c>
      <c r="C1080" s="26">
        <f>(1+Assumptions!$B$101*Forecast!$B$8)</f>
        <v/>
      </c>
      <c r="D1080" s="26">
        <f>C1080*(1+Assumptions!$B$102*Forecast!$B$8)</f>
        <v/>
      </c>
      <c r="E1080" s="26">
        <f>D1080*(1+Assumptions!$B$103*Forecast!$B$8)</f>
        <v/>
      </c>
      <c r="F1080" s="26">
        <f>E1080*(1+Assumptions!$B$104*Forecast!$B$8)</f>
        <v/>
      </c>
      <c r="G1080" s="26">
        <f>F1080*(1+Assumptions!$B$105*Forecast!$B$8)</f>
        <v/>
      </c>
    </row>
    <row r="1081">
      <c r="A1081" s="9" t="inlineStr">
        <is>
          <t xml:space="preserve">  Volume — Base and special oils, mn t</t>
        </is>
      </c>
      <c r="C1081" s="26">
        <f>'Product and Cost'!E6*(1+Assumptions!$B$106+Forecast!$B$6)</f>
        <v/>
      </c>
      <c r="D1081" s="26">
        <f>C1081*(1+Assumptions!$B$107+Forecast!$B$6)</f>
        <v/>
      </c>
      <c r="E1081" s="26">
        <f>D1081*(1+Assumptions!$B$108+Forecast!$B$6)</f>
        <v/>
      </c>
      <c r="F1081" s="26">
        <f>E1081*(1+Assumptions!$B$109+Forecast!$B$6)</f>
        <v/>
      </c>
      <c r="G1081" s="26">
        <f>F1081*(1+Assumptions!$B$110+Forecast!$B$6)</f>
        <v/>
      </c>
    </row>
    <row r="1082">
      <c r="A1082" s="9" t="inlineStr">
        <is>
          <t xml:space="preserve">  Volume — Paraffin wax, mn t</t>
        </is>
      </c>
      <c r="C1082" s="26">
        <f>'Product and Cost'!E7*(1+Assumptions!$B$111+Forecast!$B$6)</f>
        <v/>
      </c>
      <c r="D1082" s="26">
        <f>C1082*(1+Assumptions!$B$112+Forecast!$B$6)</f>
        <v/>
      </c>
      <c r="E1082" s="26">
        <f>D1082*(1+Assumptions!$B$113+Forecast!$B$6)</f>
        <v/>
      </c>
      <c r="F1082" s="26">
        <f>E1082*(1+Assumptions!$B$114+Forecast!$B$6)</f>
        <v/>
      </c>
      <c r="G1082" s="26">
        <f>F1082*(1+Assumptions!$B$115+Forecast!$B$6)</f>
        <v/>
      </c>
    </row>
    <row r="1083">
      <c r="A1083" s="9" t="inlineStr">
        <is>
          <t xml:space="preserve">  Volume — Gas oil, mn t</t>
        </is>
      </c>
      <c r="C1083" s="26">
        <f>'Product and Cost'!E8*(1+Assumptions!$B$116+Forecast!$B$6)</f>
        <v/>
      </c>
      <c r="D1083" s="26">
        <f>C1083*(1+Assumptions!$B$117+Forecast!$B$6)</f>
        <v/>
      </c>
      <c r="E1083" s="26">
        <f>D1083*(1+Assumptions!$B$118+Forecast!$B$6)</f>
        <v/>
      </c>
      <c r="F1083" s="26">
        <f>E1083*(1+Assumptions!$B$119+Forecast!$B$6)</f>
        <v/>
      </c>
      <c r="G1083" s="26">
        <f>F1083*(1+Assumptions!$B$120+Forecast!$B$6)</f>
        <v/>
      </c>
    </row>
    <row r="1084">
      <c r="A1084" s="9" t="inlineStr">
        <is>
          <t xml:space="preserve">  Volume — Naphtha, mn t</t>
        </is>
      </c>
      <c r="C1084" s="26">
        <f>'Product and Cost'!E9*(1+Assumptions!$B$121+Forecast!$B$6)</f>
        <v/>
      </c>
      <c r="D1084" s="26">
        <f>C1084*(1+Assumptions!$B$122+Forecast!$B$6)</f>
        <v/>
      </c>
      <c r="E1084" s="26">
        <f>D1084*(1+Assumptions!$B$123+Forecast!$B$6)</f>
        <v/>
      </c>
      <c r="F1084" s="26">
        <f>E1084*(1+Assumptions!$B$124+Forecast!$B$6)</f>
        <v/>
      </c>
      <c r="G1084" s="26">
        <f>F1084*(1+Assumptions!$B$125+Forecast!$B$6)</f>
        <v/>
      </c>
    </row>
    <row r="1085">
      <c r="A1085" s="9" t="inlineStr">
        <is>
          <t xml:space="preserve">  Volume — Liquefied petroleum gas, mn t</t>
        </is>
      </c>
      <c r="C1085" s="26">
        <f>'Product and Cost'!E10*(1+Assumptions!$B$126+Forecast!$B$6)</f>
        <v/>
      </c>
      <c r="D1085" s="26">
        <f>C1085*(1+Assumptions!$B$127+Forecast!$B$6)</f>
        <v/>
      </c>
      <c r="E1085" s="26">
        <f>D1085*(1+Assumptions!$B$128+Forecast!$B$6)</f>
        <v/>
      </c>
      <c r="F1085" s="26">
        <f>E1085*(1+Assumptions!$B$129+Forecast!$B$6)</f>
        <v/>
      </c>
      <c r="G1085" s="26">
        <f>F1085*(1+Assumptions!$B$130+Forecast!$B$6)</f>
        <v/>
      </c>
    </row>
    <row r="1086">
      <c r="A1086" s="9" t="inlineStr">
        <is>
          <t xml:space="preserve">  Volume — Fuel oil (mix), mn t</t>
        </is>
      </c>
      <c r="C1086" s="26">
        <f>'Product and Cost'!E11*(1+Assumptions!$B$131+Forecast!$B$6)</f>
        <v/>
      </c>
      <c r="D1086" s="26">
        <f>C1086*(1+Assumptions!$B$132+Forecast!$B$6)</f>
        <v/>
      </c>
      <c r="E1086" s="26">
        <f>D1086*(1+Assumptions!$B$133+Forecast!$B$6)</f>
        <v/>
      </c>
      <c r="F1086" s="26">
        <f>E1086*(1+Assumptions!$B$134+Forecast!$B$6)</f>
        <v/>
      </c>
      <c r="G1086" s="26">
        <f>F1086*(1+Assumptions!$B$135+Forecast!$B$6)</f>
        <v/>
      </c>
    </row>
    <row r="1087">
      <c r="A1087" s="9" t="inlineStr">
        <is>
          <t xml:space="preserve">  Volume — Heavy fuel oil, mn t</t>
        </is>
      </c>
      <c r="C1087" s="26">
        <f>'Product and Cost'!E12*(1+Assumptions!$B$136+Forecast!$B$6)</f>
        <v/>
      </c>
      <c r="D1087" s="26">
        <f>C1087*(1+Assumptions!$B$137+Forecast!$B$6)</f>
        <v/>
      </c>
      <c r="E1087" s="26">
        <f>D1087*(1+Assumptions!$B$138+Forecast!$B$6)</f>
        <v/>
      </c>
      <c r="F1087" s="26">
        <f>E1087*(1+Assumptions!$B$139+Forecast!$B$6)</f>
        <v/>
      </c>
      <c r="G1087" s="26">
        <f>F1087*(1+Assumptions!$B$140+Forecast!$B$6)</f>
        <v/>
      </c>
    </row>
    <row r="1088">
      <c r="A1088" s="9" t="inlineStr">
        <is>
          <t xml:space="preserve">  Volume — Waste, mn t</t>
        </is>
      </c>
      <c r="C1088" s="26">
        <f>'Product and Cost'!E13*(1+Assumptions!$B$141+Forecast!$B$6)</f>
        <v/>
      </c>
      <c r="D1088" s="26">
        <f>C1088*(1+Assumptions!$B$142+Forecast!$B$6)</f>
        <v/>
      </c>
      <c r="E1088" s="26">
        <f>D1088*(1+Assumptions!$B$143+Forecast!$B$6)</f>
        <v/>
      </c>
      <c r="F1088" s="26">
        <f>E1088*(1+Assumptions!$B$144+Forecast!$B$6)</f>
        <v/>
      </c>
      <c r="G1088" s="26">
        <f>F1088*(1+Assumptions!$B$145+Forecast!$B$6)</f>
        <v/>
      </c>
    </row>
    <row r="1089">
      <c r="A1089" s="17" t="inlineStr">
        <is>
          <t>Total volume, mn t</t>
        </is>
      </c>
      <c r="C1089" s="28">
        <f>SUM(C1081:C1088)</f>
        <v/>
      </c>
      <c r="D1089" s="28">
        <f>SUM(D1081:D1088)</f>
        <v/>
      </c>
      <c r="E1089" s="28">
        <f>SUM(E1081:E1088)</f>
        <v/>
      </c>
      <c r="F1089" s="28">
        <f>SUM(F1081:F1088)</f>
        <v/>
      </c>
      <c r="G1089" s="28">
        <f>SUM(G1081:G1088)</f>
        <v/>
      </c>
    </row>
    <row r="1090">
      <c r="A1090" s="17" t="inlineStr">
        <is>
          <t>REVENUE</t>
        </is>
      </c>
      <c r="C1090" s="20">
        <f>C1081*'Product and Cost'!$F$6*C1080+C1082*'Product and Cost'!$F$7*C1080+C1083*'Product and Cost'!$F$8*C1080+C1084*'Product and Cost'!$F$9*C1080+C1085*'Product and Cost'!$F$10*C1080+C1086*'Product and Cost'!$F$11*C1080+C1087*'Product and Cost'!$F$12*C1080+C1088*'Product and Cost'!$F$13*C1080</f>
        <v/>
      </c>
      <c r="D1090" s="20">
        <f>D1081*'Product and Cost'!$F$6*D1080+D1082*'Product and Cost'!$F$7*D1080+D1083*'Product and Cost'!$F$8*D1080+D1084*'Product and Cost'!$F$9*D1080+D1085*'Product and Cost'!$F$10*D1080+D1086*'Product and Cost'!$F$11*D1080+D1087*'Product and Cost'!$F$12*D1080+D1088*'Product and Cost'!$F$13*D1080</f>
        <v/>
      </c>
      <c r="E1090" s="20">
        <f>E1081*'Product and Cost'!$F$6*E1080+E1082*'Product and Cost'!$F$7*E1080+E1083*'Product and Cost'!$F$8*E1080+E1084*'Product and Cost'!$F$9*E1080+E1085*'Product and Cost'!$F$10*E1080+E1086*'Product and Cost'!$F$11*E1080+E1087*'Product and Cost'!$F$12*E1080+E1088*'Product and Cost'!$F$13*E1080</f>
        <v/>
      </c>
      <c r="F1090" s="20">
        <f>F1081*'Product and Cost'!$F$6*F1080+F1082*'Product and Cost'!$F$7*F1080+F1083*'Product and Cost'!$F$8*F1080+F1084*'Product and Cost'!$F$9*F1080+F1085*'Product and Cost'!$F$10*F1080+F1086*'Product and Cost'!$F$11*F1080+F1087*'Product and Cost'!$F$12*F1080+F1088*'Product and Cost'!$F$13*F1080</f>
        <v/>
      </c>
      <c r="G1090" s="20">
        <f>G1081*'Product and Cost'!$F$6*G1080+G1082*'Product and Cost'!$F$7*G1080+G1083*'Product and Cost'!$F$8*G1080+G1084*'Product and Cost'!$F$9*G1080+G1085*'Product and Cost'!$F$10*G1080+G1086*'Product and Cost'!$F$11*G1080+G1087*'Product and Cost'!$F$12*G1080+G1088*'Product and Cost'!$F$13*G1080</f>
        <v/>
      </c>
    </row>
    <row r="1091">
      <c r="A1091" s="9" t="inlineStr">
        <is>
          <t>Cost of sales</t>
        </is>
      </c>
      <c r="C1091" s="18">
        <f>C1081*('Product and Cost'!$D$27*C1080*Assumptions!$B$88+'Product and Cost'!$B$27*(0.4863620081*C1079+0.4455809638*C1079+0.0356254898*C1080+0.0324315384))+C1082*('Product and Cost'!$D$28*C1080*Assumptions!$B$88+'Product and Cost'!$B$28*(0.4863620081*C1079+0.4455809638*C1079+0.0356254898*C1080+0.0324315384))+C1083*('Product and Cost'!$D$29*C1080*Assumptions!$B$88+'Product and Cost'!$B$29*(0.4863620081*C1079+0.4455809638*C1079+0.0356254898*C1080+0.0324315384))+C1084*('Product and Cost'!$D$30*C1080*Assumptions!$B$88+'Product and Cost'!$B$30*(0.4863620081*C1079+0.4455809638*C1079+0.0356254898*C1080+0.0324315384))+C1085*('Product and Cost'!$D$31*C1080*Assumptions!$B$88+'Product and Cost'!$B$31*(0.4863620081*C1079+0.4455809638*C1079+0.0356254898*C1080+0.0324315384))+C1086*('Product and Cost'!$D$32*C1080*Assumptions!$B$88+'Product and Cost'!$B$32*(0.4863620081*C1079+0.4455809638*C1079+0.0356254898*C1080+0.0324315384))+C1087*('Product and Cost'!$D$33*C1080*Assumptions!$B$88+'Product and Cost'!$B$33*(0.4863620081*C1079+0.4455809638*C1079+0.0356254898*C1080+0.0324315384))+C1088*('Product and Cost'!$D$34*C1080*Assumptions!$B$88+'Product and Cost'!$B$34*(0.4863620081*C1079+0.4455809638*C1079+0.0356254898*C1080+0.0324315384))</f>
        <v/>
      </c>
      <c r="D1091" s="18">
        <f>D1081*('Product and Cost'!$D$27*D1080*Assumptions!$B$88+'Product and Cost'!$B$27*(0.4863620081*D1079+0.4455809638*D1079+0.0356254898*D1080+0.0324315384))+D1082*('Product and Cost'!$D$28*D1080*Assumptions!$B$88+'Product and Cost'!$B$28*(0.4863620081*D1079+0.4455809638*D1079+0.0356254898*D1080+0.0324315384))+D1083*('Product and Cost'!$D$29*D1080*Assumptions!$B$88+'Product and Cost'!$B$29*(0.4863620081*D1079+0.4455809638*D1079+0.0356254898*D1080+0.0324315384))+D1084*('Product and Cost'!$D$30*D1080*Assumptions!$B$88+'Product and Cost'!$B$30*(0.4863620081*D1079+0.4455809638*D1079+0.0356254898*D1080+0.0324315384))+D1085*('Product and Cost'!$D$31*D1080*Assumptions!$B$88+'Product and Cost'!$B$31*(0.4863620081*D1079+0.4455809638*D1079+0.0356254898*D1080+0.0324315384))+D1086*('Product and Cost'!$D$32*D1080*Assumptions!$B$88+'Product and Cost'!$B$32*(0.4863620081*D1079+0.4455809638*D1079+0.0356254898*D1080+0.0324315384))+D1087*('Product and Cost'!$D$33*D1080*Assumptions!$B$88+'Product and Cost'!$B$33*(0.4863620081*D1079+0.4455809638*D1079+0.0356254898*D1080+0.0324315384))+D1088*('Product and Cost'!$D$34*D1080*Assumptions!$B$88+'Product and Cost'!$B$34*(0.4863620081*D1079+0.4455809638*D1079+0.0356254898*D1080+0.0324315384))</f>
        <v/>
      </c>
      <c r="E1091" s="18">
        <f>E1081*('Product and Cost'!$D$27*E1080*Assumptions!$B$88+'Product and Cost'!$B$27*(0.4863620081*E1079+0.4455809638*E1079+0.0356254898*E1080+0.0324315384))+E1082*('Product and Cost'!$D$28*E1080*Assumptions!$B$88+'Product and Cost'!$B$28*(0.4863620081*E1079+0.4455809638*E1079+0.0356254898*E1080+0.0324315384))+E1083*('Product and Cost'!$D$29*E1080*Assumptions!$B$88+'Product and Cost'!$B$29*(0.4863620081*E1079+0.4455809638*E1079+0.0356254898*E1080+0.0324315384))+E1084*('Product and Cost'!$D$30*E1080*Assumptions!$B$88+'Product and Cost'!$B$30*(0.4863620081*E1079+0.4455809638*E1079+0.0356254898*E1080+0.0324315384))+E1085*('Product and Cost'!$D$31*E1080*Assumptions!$B$88+'Product and Cost'!$B$31*(0.4863620081*E1079+0.4455809638*E1079+0.0356254898*E1080+0.0324315384))+E1086*('Product and Cost'!$D$32*E1080*Assumptions!$B$88+'Product and Cost'!$B$32*(0.4863620081*E1079+0.4455809638*E1079+0.0356254898*E1080+0.0324315384))+E1087*('Product and Cost'!$D$33*E1080*Assumptions!$B$88+'Product and Cost'!$B$33*(0.4863620081*E1079+0.4455809638*E1079+0.0356254898*E1080+0.0324315384))+E1088*('Product and Cost'!$D$34*E1080*Assumptions!$B$88+'Product and Cost'!$B$34*(0.4863620081*E1079+0.4455809638*E1079+0.0356254898*E1080+0.0324315384))</f>
        <v/>
      </c>
      <c r="F1091" s="18">
        <f>F1081*('Product and Cost'!$D$27*F1080*Assumptions!$B$88+'Product and Cost'!$B$27*(0.4863620081*F1079+0.4455809638*F1079+0.0356254898*F1080+0.0324315384))+F1082*('Product and Cost'!$D$28*F1080*Assumptions!$B$88+'Product and Cost'!$B$28*(0.4863620081*F1079+0.4455809638*F1079+0.0356254898*F1080+0.0324315384))+F1083*('Product and Cost'!$D$29*F1080*Assumptions!$B$88+'Product and Cost'!$B$29*(0.4863620081*F1079+0.4455809638*F1079+0.0356254898*F1080+0.0324315384))+F1084*('Product and Cost'!$D$30*F1080*Assumptions!$B$88+'Product and Cost'!$B$30*(0.4863620081*F1079+0.4455809638*F1079+0.0356254898*F1080+0.0324315384))+F1085*('Product and Cost'!$D$31*F1080*Assumptions!$B$88+'Product and Cost'!$B$31*(0.4863620081*F1079+0.4455809638*F1079+0.0356254898*F1080+0.0324315384))+F1086*('Product and Cost'!$D$32*F1080*Assumptions!$B$88+'Product and Cost'!$B$32*(0.4863620081*F1079+0.4455809638*F1079+0.0356254898*F1080+0.0324315384))+F1087*('Product and Cost'!$D$33*F1080*Assumptions!$B$88+'Product and Cost'!$B$33*(0.4863620081*F1079+0.4455809638*F1079+0.0356254898*F1080+0.0324315384))+F1088*('Product and Cost'!$D$34*F1080*Assumptions!$B$88+'Product and Cost'!$B$34*(0.4863620081*F1079+0.4455809638*F1079+0.0356254898*F1080+0.0324315384))</f>
        <v/>
      </c>
      <c r="G1091" s="18">
        <f>G1081*('Product and Cost'!$D$27*G1080*Assumptions!$B$88+'Product and Cost'!$B$27*(0.4863620081*G1079+0.4455809638*G1079+0.0356254898*G1080+0.0324315384))+G1082*('Product and Cost'!$D$28*G1080*Assumptions!$B$88+'Product and Cost'!$B$28*(0.4863620081*G1079+0.4455809638*G1079+0.0356254898*G1080+0.0324315384))+G1083*('Product and Cost'!$D$29*G1080*Assumptions!$B$88+'Product and Cost'!$B$29*(0.4863620081*G1079+0.4455809638*G1079+0.0356254898*G1080+0.0324315384))+G1084*('Product and Cost'!$D$30*G1080*Assumptions!$B$88+'Product and Cost'!$B$30*(0.4863620081*G1079+0.4455809638*G1079+0.0356254898*G1080+0.0324315384))+G1085*('Product and Cost'!$D$31*G1080*Assumptions!$B$88+'Product and Cost'!$B$31*(0.4863620081*G1079+0.4455809638*G1079+0.0356254898*G1080+0.0324315384))+G1086*('Product and Cost'!$D$32*G1080*Assumptions!$B$88+'Product and Cost'!$B$32*(0.4863620081*G1079+0.4455809638*G1079+0.0356254898*G1080+0.0324315384))+G1087*('Product and Cost'!$D$33*G1080*Assumptions!$B$88+'Product and Cost'!$B$33*(0.4863620081*G1079+0.4455809638*G1079+0.0356254898*G1080+0.0324315384))+G1088*('Product and Cost'!$D$34*G1080*Assumptions!$B$88+'Product and Cost'!$B$34*(0.4863620081*G1079+0.4455809638*G1079+0.0356254898*G1080+0.0324315384))</f>
        <v/>
      </c>
    </row>
    <row r="1092">
      <c r="A1092" s="17" t="inlineStr">
        <is>
          <t>GROSS PROFIT</t>
        </is>
      </c>
      <c r="C1092" s="20">
        <f>C1090-C1091+Forecast!$B$7*C1090</f>
        <v/>
      </c>
      <c r="D1092" s="20">
        <f>D1090-D1091+Forecast!$B$7*D1090</f>
        <v/>
      </c>
      <c r="E1092" s="20">
        <f>E1090-E1091+Forecast!$B$7*E1090</f>
        <v/>
      </c>
      <c r="F1092" s="20">
        <f>F1090-F1091+Forecast!$B$7*F1090</f>
        <v/>
      </c>
      <c r="G1092" s="20">
        <f>G1090-G1091+Forecast!$B$7*G1090</f>
        <v/>
      </c>
    </row>
    <row r="1093">
      <c r="A1093" s="9" t="inlineStr">
        <is>
          <t>Gross margin</t>
        </is>
      </c>
      <c r="C1093" s="19">
        <f>C1092/C1090</f>
        <v/>
      </c>
      <c r="D1093" s="19">
        <f>D1092/D1090</f>
        <v/>
      </c>
      <c r="E1093" s="19">
        <f>E1092/E1090</f>
        <v/>
      </c>
      <c r="F1093" s="19">
        <f>F1092/F1090</f>
        <v/>
      </c>
      <c r="G1093" s="19">
        <f>G1092/G1090</f>
        <v/>
      </c>
    </row>
    <row r="1094">
      <c r="A1094" s="9" t="inlineStr">
        <is>
          <t>Operating expense</t>
        </is>
      </c>
      <c r="C1094" s="18">
        <f>('Base Year'!$B$28*C1079)+('Base Year'!$B$29*C1079*C1089/'Product and Cost'!$E$14)+('Base Year'!$B$30*C1079)+('Base Year'!$B$31*C1079)</f>
        <v/>
      </c>
      <c r="D1094" s="18">
        <f>('Base Year'!$B$28*D1079)+('Base Year'!$B$29*D1079*D1089/'Product and Cost'!$E$14)+('Base Year'!$B$30*D1079)+('Base Year'!$B$31*D1079)</f>
        <v/>
      </c>
      <c r="E1094" s="18">
        <f>('Base Year'!$B$28*E1079)+('Base Year'!$B$29*E1079*E1089/'Product and Cost'!$E$14)+('Base Year'!$B$30*E1079)+('Base Year'!$B$31*E1079)</f>
        <v/>
      </c>
      <c r="F1094" s="18">
        <f>('Base Year'!$B$28*F1079)+('Base Year'!$B$29*F1079*F1089/'Product and Cost'!$E$14)+('Base Year'!$B$30*F1079)+('Base Year'!$B$31*F1079)</f>
        <v/>
      </c>
      <c r="G1094" s="18">
        <f>('Base Year'!$B$28*G1079)+('Base Year'!$B$29*G1079*G1089/'Product and Cost'!$E$14)+('Base Year'!$B$30*G1079)+('Base Year'!$B$31*G1079)</f>
        <v/>
      </c>
    </row>
    <row r="1095">
      <c r="A1095" s="17" t="inlineStr">
        <is>
          <t>EBITDA</t>
        </is>
      </c>
      <c r="C1095" s="20">
        <f>C1092-C1094</f>
        <v/>
      </c>
      <c r="D1095" s="20">
        <f>D1092-D1094</f>
        <v/>
      </c>
      <c r="E1095" s="20">
        <f>E1092-E1094</f>
        <v/>
      </c>
      <c r="F1095" s="20">
        <f>F1092-F1094</f>
        <v/>
      </c>
      <c r="G1095" s="20">
        <f>G1092-G1094</f>
        <v/>
      </c>
    </row>
    <row r="1096">
      <c r="A1096" s="9" t="inlineStr">
        <is>
          <t>Capital expenditure — maintenance + growth</t>
        </is>
      </c>
      <c r="C1096" s="18">
        <f>'Base Year'!$B$43*C1079+MAX(C1089-'Product and Cost'!$E$14,0)*1947.901031*C1079</f>
        <v/>
      </c>
      <c r="D1096" s="18">
        <f>'Base Year'!$B$43*D1079+MAX(D1089-C1089,0)*1947.901031*D1079</f>
        <v/>
      </c>
      <c r="E1096" s="18">
        <f>'Base Year'!$B$43*E1079+MAX(E1089-D1089,0)*1947.901031*E1079</f>
        <v/>
      </c>
      <c r="F1096" s="18">
        <f>'Base Year'!$B$43*F1079+MAX(F1089-E1089,0)*1947.901031*F1079</f>
        <v/>
      </c>
      <c r="G1096" s="18">
        <f>'Base Year'!$B$43*G1079+MAX(G1089-F1089,0)*1947.901031*G1079</f>
        <v/>
      </c>
    </row>
    <row r="1097">
      <c r="A1097" s="9" t="inlineStr">
        <is>
          <t>Fixed assets at cost, closing</t>
        </is>
      </c>
      <c r="C1097" s="18">
        <f>(Assumptions!$B$70+Assumptions!$B$71)/10^6+C1096</f>
        <v/>
      </c>
      <c r="D1097" s="18">
        <f>C1097+D1096</f>
        <v/>
      </c>
      <c r="E1097" s="18">
        <f>D1097+E1096</f>
        <v/>
      </c>
      <c r="F1097" s="18">
        <f>E1097+F1096</f>
        <v/>
      </c>
      <c r="G1097" s="18">
        <f>F1097+G1096</f>
        <v/>
      </c>
    </row>
    <row r="1098">
      <c r="A1098" s="9" t="inlineStr">
        <is>
          <t>Depreciation — rolls off the asset register</t>
        </is>
      </c>
      <c r="C1098" s="18">
        <f>(Assumptions!$B$70+Assumptions!$B$71)/10^6/'Base Year'!$B$42</f>
        <v/>
      </c>
      <c r="D1098" s="18">
        <f>C1097/'Base Year'!$B$42</f>
        <v/>
      </c>
      <c r="E1098" s="18">
        <f>D1097/'Base Year'!$B$42</f>
        <v/>
      </c>
      <c r="F1098" s="18">
        <f>E1097/'Base Year'!$B$42</f>
        <v/>
      </c>
      <c r="G1098" s="18">
        <f>F1097/'Base Year'!$B$42</f>
        <v/>
      </c>
    </row>
    <row r="1099">
      <c r="A1099" s="9" t="inlineStr">
        <is>
          <t>Fixed assets, net book, closing</t>
        </is>
      </c>
      <c r="C1099" s="18">
        <f>(Assumptions!$B$69+Assumptions!$B$71)/10^6+C1096-C1098</f>
        <v/>
      </c>
      <c r="D1099" s="18">
        <f>C1099+D1096-D1098</f>
        <v/>
      </c>
      <c r="E1099" s="18">
        <f>D1099+E1096-E1098</f>
        <v/>
      </c>
      <c r="F1099" s="18">
        <f>E1099+F1096-F1098</f>
        <v/>
      </c>
      <c r="G1099" s="18">
        <f>F1099+G1096-G1098</f>
        <v/>
      </c>
    </row>
    <row r="1100">
      <c r="A1100" s="17" t="inlineStr">
        <is>
          <t>EBIT</t>
        </is>
      </c>
      <c r="C1100" s="20">
        <f>C1095-C1098</f>
        <v/>
      </c>
      <c r="D1100" s="20">
        <f>D1095-D1098</f>
        <v/>
      </c>
      <c r="E1100" s="20">
        <f>E1095-E1098</f>
        <v/>
      </c>
      <c r="F1100" s="20">
        <f>F1095-F1098</f>
        <v/>
      </c>
      <c r="G1100" s="20">
        <f>G1095-G1098</f>
        <v/>
      </c>
    </row>
    <row r="1101">
      <c r="A1101" s="9" t="inlineStr">
        <is>
          <t>NOPAT before the profit share</t>
        </is>
      </c>
      <c r="C1101" s="18">
        <f>C1100*(1-Assumptions!$B$87)</f>
        <v/>
      </c>
      <c r="D1101" s="18">
        <f>D1100*(1-Assumptions!$B$87)</f>
        <v/>
      </c>
      <c r="E1101" s="18">
        <f>E1100*(1-Assumptions!$B$87)</f>
        <v/>
      </c>
      <c r="F1101" s="18">
        <f>F1100*(1-Assumptions!$B$87)</f>
        <v/>
      </c>
      <c r="G1101" s="18">
        <f>G1100*(1-Assumptions!$B$87)</f>
        <v/>
      </c>
    </row>
    <row r="1102">
      <c r="A1102" s="9" t="inlineStr">
        <is>
          <t xml:space="preserve">  less employees' profit share and board bonuses</t>
        </is>
      </c>
      <c r="C1102" s="18">
        <f>MAX(C1101,0)*'Base Year'!$B$40</f>
        <v/>
      </c>
      <c r="D1102" s="18">
        <f>MAX(D1101,0)*'Base Year'!$B$40</f>
        <v/>
      </c>
      <c r="E1102" s="18">
        <f>MAX(E1101,0)*'Base Year'!$B$40</f>
        <v/>
      </c>
      <c r="F1102" s="18">
        <f>MAX(F1101,0)*'Base Year'!$B$40</f>
        <v/>
      </c>
      <c r="G1102" s="18">
        <f>MAX(G1101,0)*'Base Year'!$B$40</f>
        <v/>
      </c>
    </row>
    <row r="1103">
      <c r="A1103" s="17" t="inlineStr">
        <is>
          <t>NOPAT</t>
        </is>
      </c>
      <c r="C1103" s="20">
        <f>C1101-C1102</f>
        <v/>
      </c>
      <c r="D1103" s="20">
        <f>D1101-D1102</f>
        <v/>
      </c>
      <c r="E1103" s="20">
        <f>E1101-E1102</f>
        <v/>
      </c>
      <c r="F1103" s="20">
        <f>F1101-F1102</f>
        <v/>
      </c>
      <c r="G1103" s="20">
        <f>G1101-G1102</f>
        <v/>
      </c>
    </row>
    <row r="1104">
      <c r="A1104" s="9" t="inlineStr">
        <is>
          <t>Net working capital — on days</t>
        </is>
      </c>
      <c r="C1104" s="18">
        <f>'Base Year'!$B$44*$E$35/365*C1091+'Base Year'!$B$45*$E$35/365*C1090-'Base Year'!$B$46*$E$35/365*C1091</f>
        <v/>
      </c>
      <c r="D1104" s="18">
        <f>'Base Year'!$B$44*$E$35/365*D1091+'Base Year'!$B$45*$E$35/365*D1090-'Base Year'!$B$46*$E$35/365*D1091</f>
        <v/>
      </c>
      <c r="E1104" s="18">
        <f>'Base Year'!$B$44*$E$35/365*E1091+'Base Year'!$B$45*$E$35/365*E1090-'Base Year'!$B$46*$E$35/365*E1091</f>
        <v/>
      </c>
      <c r="F1104" s="18">
        <f>'Base Year'!$B$44*$E$35/365*F1091+'Base Year'!$B$45*$E$35/365*F1090-'Base Year'!$B$46*$E$35/365*F1091</f>
        <v/>
      </c>
      <c r="G1104" s="18">
        <f>'Base Year'!$B$44*$E$35/365*G1091+'Base Year'!$B$45*$E$35/365*G1090-'Base Year'!$B$46*$E$35/365*G1091</f>
        <v/>
      </c>
    </row>
    <row r="1105">
      <c r="A1105" s="9" t="inlineStr">
        <is>
          <t xml:space="preserve">  change in working capital</t>
        </is>
      </c>
      <c r="C1105" s="18">
        <f>C1104-('Base Year'!$B$44/365*'Base Year'!$B$21+'Base Year'!$B$45/365*'Base Year'!$B$19-'Base Year'!$B$46/365*'Base Year'!$B$21)</f>
        <v/>
      </c>
      <c r="D1105" s="18">
        <f>D1104-C1104</f>
        <v/>
      </c>
      <c r="E1105" s="18">
        <f>E1104-D1104</f>
        <v/>
      </c>
      <c r="F1105" s="18">
        <f>F1104-E1104</f>
        <v/>
      </c>
      <c r="G1105" s="18">
        <f>G1104-F1104</f>
        <v/>
      </c>
    </row>
    <row r="1106">
      <c r="A1106" s="17" t="inlineStr">
        <is>
          <t>FREE CASH FLOW TO THE FIRM</t>
        </is>
      </c>
      <c r="C1106" s="20">
        <f>C1103+C1098-C1096-C1105</f>
        <v/>
      </c>
      <c r="D1106" s="20">
        <f>D1103+D1098-D1096-D1105</f>
        <v/>
      </c>
      <c r="E1106" s="20">
        <f>E1103+E1098-E1096-E1105</f>
        <v/>
      </c>
      <c r="F1106" s="20">
        <f>F1103+F1098-F1096-F1105</f>
        <v/>
      </c>
      <c r="G1106" s="20">
        <f>G1103+G1098-G1096-G1105</f>
        <v/>
      </c>
    </row>
    <row r="1107">
      <c r="A1107" s="9" t="inlineStr">
        <is>
          <t>Glide fraction</t>
        </is>
      </c>
      <c r="C1107" s="26">
        <f>0.0000000000</f>
        <v/>
      </c>
      <c r="D1107" s="26">
        <f>0.3571428571</f>
        <v/>
      </c>
      <c r="E1107" s="26">
        <f>0.6428571429</f>
        <v/>
      </c>
      <c r="F1107" s="26">
        <f>0.8571428571</f>
        <v/>
      </c>
      <c r="G1107" s="26">
        <f>1.0000000000</f>
        <v/>
      </c>
    </row>
    <row r="1108">
      <c r="A1108" s="9" t="inlineStr">
        <is>
          <t>Forward cost of capital</t>
        </is>
      </c>
      <c r="C1108" s="19">
        <f>Forecast!$B$14-(Forecast!$B$14-Forecast!$B$17)*C1107</f>
        <v/>
      </c>
      <c r="D1108" s="19">
        <f>Forecast!$B$14-(Forecast!$B$14-Forecast!$B$17)*D1107</f>
        <v/>
      </c>
      <c r="E1108" s="19">
        <f>Forecast!$B$14-(Forecast!$B$14-Forecast!$B$17)*E1107</f>
        <v/>
      </c>
      <c r="F1108" s="19">
        <f>Forecast!$B$14-(Forecast!$B$14-Forecast!$B$17)*F1107</f>
        <v/>
      </c>
      <c r="G1108" s="19">
        <f>Forecast!$B$14-(Forecast!$B$14-Forecast!$B$17)*G1107</f>
        <v/>
      </c>
    </row>
    <row r="1109">
      <c r="A1109" s="9" t="inlineStr">
        <is>
          <t>Cumulative discount factor</t>
        </is>
      </c>
      <c r="C1109" s="29">
        <f>1/(1+C1108)</f>
        <v/>
      </c>
      <c r="D1109" s="29">
        <f>C1109/(1+D1108)</f>
        <v/>
      </c>
      <c r="E1109" s="29">
        <f>D1109/(1+E1108)</f>
        <v/>
      </c>
      <c r="F1109" s="29">
        <f>E1109/(1+F1108)</f>
        <v/>
      </c>
      <c r="G1109" s="29">
        <f>F1109/(1+G1108)</f>
        <v/>
      </c>
    </row>
    <row r="1110">
      <c r="A1110" s="9" t="inlineStr">
        <is>
          <t>Present value</t>
        </is>
      </c>
      <c r="C1110" s="18">
        <f>C1106*C1109</f>
        <v/>
      </c>
      <c r="D1110" s="18">
        <f>D1106*D1109</f>
        <v/>
      </c>
      <c r="E1110" s="18">
        <f>E1106*E1109</f>
        <v/>
      </c>
      <c r="F1110" s="18">
        <f>F1106*F1109</f>
        <v/>
      </c>
      <c r="G1110" s="18">
        <f>G1106*G1109</f>
        <v/>
      </c>
    </row>
    <row r="1111">
      <c r="A1111" s="17" t="inlineStr">
        <is>
          <t>PV of the explicit window</t>
        </is>
      </c>
      <c r="B1111" s="20">
        <f>SUM(C1110:G1110)</f>
        <v/>
      </c>
      <c r="C1111" s="18">
        <f>C1104+C1097</f>
        <v/>
      </c>
      <c r="D1111" s="18">
        <f>D1104+D1097</f>
        <v/>
      </c>
      <c r="E1111" s="18">
        <f>E1104+E1097</f>
        <v/>
      </c>
      <c r="F1111" s="18">
        <f>F1104+F1097</f>
        <v/>
      </c>
      <c r="G1111" s="18">
        <f>G1104+G1097</f>
        <v/>
      </c>
    </row>
    <row r="1112">
      <c r="A1112" s="9" t="inlineStr">
        <is>
          <t>Terminal return on invested capital, at REPLACEMENT cost</t>
        </is>
      </c>
      <c r="B1112" s="19">
        <f>G1103*(1+Assumptions!$B$89)/G1111</f>
        <v/>
      </c>
    </row>
    <row r="1113">
      <c r="A1113" s="9" t="inlineStr">
        <is>
          <t>Required reinvestment = growth / return</t>
        </is>
      </c>
      <c r="B1113" s="19">
        <f>MIN(Assumptions!$B$89/B1112,0.95)</f>
        <v/>
      </c>
    </row>
    <row r="1114">
      <c r="A1114" s="9" t="inlineStr">
        <is>
          <t>Terminal value</t>
        </is>
      </c>
      <c r="B1114" s="18">
        <f>G1103*(1+Assumptions!$B$89)*(1-B1113)/MAX(Forecast!$B$17-Assumptions!$B$89,0.02)</f>
        <v/>
      </c>
    </row>
    <row r="1115">
      <c r="A1115" s="9" t="inlineStr">
        <is>
          <t>PV of the terminal block</t>
        </is>
      </c>
      <c r="B1115" s="18">
        <f>B1114*G1109</f>
        <v/>
      </c>
    </row>
    <row r="1116">
      <c r="A1116" s="17" t="inlineStr">
        <is>
          <t>ENTERPRISE VALUE</t>
        </is>
      </c>
      <c r="B1116" s="20">
        <f>B1111+B1115</f>
        <v/>
      </c>
    </row>
    <row r="1117">
      <c r="A1117" s="9" t="inlineStr">
        <is>
          <t>plus net cash</t>
        </is>
      </c>
      <c r="B1117" s="18">
        <f>(Assumptions!$B$79-Assumptions!$B$82-Assumptions!$B$83)/10^6</f>
        <v/>
      </c>
    </row>
    <row r="1118">
      <c r="A1118" s="9" t="inlineStr">
        <is>
          <t>Enterprise value including cash</t>
        </is>
      </c>
      <c r="B1118" s="18">
        <f>B1116+B1117</f>
        <v/>
      </c>
    </row>
    <row r="1119">
      <c r="A1119" s="9" t="inlineStr">
        <is>
          <t>less minority — on the WHOLE enterprise, cash included</t>
        </is>
      </c>
      <c r="B1119" s="18">
        <f>B1118*'Base Year'!$B$41</f>
        <v/>
      </c>
    </row>
    <row r="1120">
      <c r="A1120" s="9" t="inlineStr">
        <is>
          <t>less the tax-disputes provision</t>
        </is>
      </c>
      <c r="B1120" s="18">
        <f>Assumptions!$B$78/10^6</f>
        <v/>
      </c>
    </row>
    <row r="1121">
      <c r="A1121" s="9" t="inlineStr">
        <is>
          <t>less dividends payable — declared, out of working capital</t>
        </is>
      </c>
      <c r="B1121" s="18">
        <f>Assumptions!$B$77/10^6</f>
        <v/>
      </c>
    </row>
    <row r="1122">
      <c r="A1122" s="9" t="inlineStr">
        <is>
          <t>plus non-operating investments and pledged deposits</t>
        </is>
      </c>
      <c r="B1122" s="18">
        <f>(Assumptions!$B$81+Assumptions!$B$80)/10^6</f>
        <v/>
      </c>
    </row>
    <row r="1123">
      <c r="A1123" s="17" t="inlineStr">
        <is>
          <t>EQUITY ATTRIBUTABLE</t>
        </is>
      </c>
      <c r="B1123" s="20">
        <f>B1118-B1119-B1120-B1121+B1122</f>
        <v/>
      </c>
    </row>
    <row r="1124">
      <c r="A1124" s="17" t="inlineStr">
        <is>
          <t>VALUE PER SHARE, EGP</t>
        </is>
      </c>
      <c r="B1124" s="30">
        <f>B1123/Assumptions!$B$8</f>
        <v/>
      </c>
    </row>
    <row r="1127">
      <c r="A1127" s="6" t="inlineStr">
        <is>
          <t>Working-capital cycle, as a multiple of the solved days — 1.00x</t>
        </is>
      </c>
      <c r="B1127" s="6" t="inlineStr">
        <is>
          <t>2026E</t>
        </is>
      </c>
      <c r="C1127" s="6" t="inlineStr">
        <is>
          <t>2027E</t>
        </is>
      </c>
      <c r="D1127" s="6" t="inlineStr">
        <is>
          <t>2028E</t>
        </is>
      </c>
      <c r="E1127" s="6" t="inlineStr">
        <is>
          <t>2029E</t>
        </is>
      </c>
      <c r="F1127" s="6" t="inlineStr">
        <is>
          <t>2030E</t>
        </is>
      </c>
    </row>
    <row r="1128">
      <c r="A1128" s="9" t="inlineStr">
        <is>
          <t>Inflation index, cumulative</t>
        </is>
      </c>
      <c r="C1128" s="26">
        <f>Assumptions!$B$146</f>
        <v/>
      </c>
      <c r="D1128" s="26">
        <f>C1128*Assumptions!$B$147</f>
        <v/>
      </c>
      <c r="E1128" s="26">
        <f>D1128*Assumptions!$B$148</f>
        <v/>
      </c>
      <c r="F1128" s="26">
        <f>E1128*Assumptions!$B$149</f>
        <v/>
      </c>
      <c r="G1128" s="26">
        <f>F1128*Assumptions!$B$150</f>
        <v/>
      </c>
    </row>
    <row r="1129">
      <c r="A1129" s="9" t="inlineStr">
        <is>
          <t>Realisation index, cumulative</t>
        </is>
      </c>
      <c r="C1129" s="26">
        <f>(1+Assumptions!$B$101*Forecast!$B$8)</f>
        <v/>
      </c>
      <c r="D1129" s="26">
        <f>C1129*(1+Assumptions!$B$102*Forecast!$B$8)</f>
        <v/>
      </c>
      <c r="E1129" s="26">
        <f>D1129*(1+Assumptions!$B$103*Forecast!$B$8)</f>
        <v/>
      </c>
      <c r="F1129" s="26">
        <f>E1129*(1+Assumptions!$B$104*Forecast!$B$8)</f>
        <v/>
      </c>
      <c r="G1129" s="26">
        <f>F1129*(1+Assumptions!$B$105*Forecast!$B$8)</f>
        <v/>
      </c>
    </row>
    <row r="1130">
      <c r="A1130" s="9" t="inlineStr">
        <is>
          <t xml:space="preserve">  Volume — Base and special oils, mn t</t>
        </is>
      </c>
      <c r="C1130" s="26">
        <f>'Product and Cost'!E6*(1+Assumptions!$B$106+Forecast!$B$6)</f>
        <v/>
      </c>
      <c r="D1130" s="26">
        <f>C1130*(1+Assumptions!$B$107+Forecast!$B$6)</f>
        <v/>
      </c>
      <c r="E1130" s="26">
        <f>D1130*(1+Assumptions!$B$108+Forecast!$B$6)</f>
        <v/>
      </c>
      <c r="F1130" s="26">
        <f>E1130*(1+Assumptions!$B$109+Forecast!$B$6)</f>
        <v/>
      </c>
      <c r="G1130" s="26">
        <f>F1130*(1+Assumptions!$B$110+Forecast!$B$6)</f>
        <v/>
      </c>
    </row>
    <row r="1131">
      <c r="A1131" s="9" t="inlineStr">
        <is>
          <t xml:space="preserve">  Volume — Paraffin wax, mn t</t>
        </is>
      </c>
      <c r="C1131" s="26">
        <f>'Product and Cost'!E7*(1+Assumptions!$B$111+Forecast!$B$6)</f>
        <v/>
      </c>
      <c r="D1131" s="26">
        <f>C1131*(1+Assumptions!$B$112+Forecast!$B$6)</f>
        <v/>
      </c>
      <c r="E1131" s="26">
        <f>D1131*(1+Assumptions!$B$113+Forecast!$B$6)</f>
        <v/>
      </c>
      <c r="F1131" s="26">
        <f>E1131*(1+Assumptions!$B$114+Forecast!$B$6)</f>
        <v/>
      </c>
      <c r="G1131" s="26">
        <f>F1131*(1+Assumptions!$B$115+Forecast!$B$6)</f>
        <v/>
      </c>
    </row>
    <row r="1132">
      <c r="A1132" s="9" t="inlineStr">
        <is>
          <t xml:space="preserve">  Volume — Gas oil, mn t</t>
        </is>
      </c>
      <c r="C1132" s="26">
        <f>'Product and Cost'!E8*(1+Assumptions!$B$116+Forecast!$B$6)</f>
        <v/>
      </c>
      <c r="D1132" s="26">
        <f>C1132*(1+Assumptions!$B$117+Forecast!$B$6)</f>
        <v/>
      </c>
      <c r="E1132" s="26">
        <f>D1132*(1+Assumptions!$B$118+Forecast!$B$6)</f>
        <v/>
      </c>
      <c r="F1132" s="26">
        <f>E1132*(1+Assumptions!$B$119+Forecast!$B$6)</f>
        <v/>
      </c>
      <c r="G1132" s="26">
        <f>F1132*(1+Assumptions!$B$120+Forecast!$B$6)</f>
        <v/>
      </c>
    </row>
    <row r="1133">
      <c r="A1133" s="9" t="inlineStr">
        <is>
          <t xml:space="preserve">  Volume — Naphtha, mn t</t>
        </is>
      </c>
      <c r="C1133" s="26">
        <f>'Product and Cost'!E9*(1+Assumptions!$B$121+Forecast!$B$6)</f>
        <v/>
      </c>
      <c r="D1133" s="26">
        <f>C1133*(1+Assumptions!$B$122+Forecast!$B$6)</f>
        <v/>
      </c>
      <c r="E1133" s="26">
        <f>D1133*(1+Assumptions!$B$123+Forecast!$B$6)</f>
        <v/>
      </c>
      <c r="F1133" s="26">
        <f>E1133*(1+Assumptions!$B$124+Forecast!$B$6)</f>
        <v/>
      </c>
      <c r="G1133" s="26">
        <f>F1133*(1+Assumptions!$B$125+Forecast!$B$6)</f>
        <v/>
      </c>
    </row>
    <row r="1134">
      <c r="A1134" s="9" t="inlineStr">
        <is>
          <t xml:space="preserve">  Volume — Liquefied petroleum gas, mn t</t>
        </is>
      </c>
      <c r="C1134" s="26">
        <f>'Product and Cost'!E10*(1+Assumptions!$B$126+Forecast!$B$6)</f>
        <v/>
      </c>
      <c r="D1134" s="26">
        <f>C1134*(1+Assumptions!$B$127+Forecast!$B$6)</f>
        <v/>
      </c>
      <c r="E1134" s="26">
        <f>D1134*(1+Assumptions!$B$128+Forecast!$B$6)</f>
        <v/>
      </c>
      <c r="F1134" s="26">
        <f>E1134*(1+Assumptions!$B$129+Forecast!$B$6)</f>
        <v/>
      </c>
      <c r="G1134" s="26">
        <f>F1134*(1+Assumptions!$B$130+Forecast!$B$6)</f>
        <v/>
      </c>
    </row>
    <row r="1135">
      <c r="A1135" s="9" t="inlineStr">
        <is>
          <t xml:space="preserve">  Volume — Fuel oil (mix), mn t</t>
        </is>
      </c>
      <c r="C1135" s="26">
        <f>'Product and Cost'!E11*(1+Assumptions!$B$131+Forecast!$B$6)</f>
        <v/>
      </c>
      <c r="D1135" s="26">
        <f>C1135*(1+Assumptions!$B$132+Forecast!$B$6)</f>
        <v/>
      </c>
      <c r="E1135" s="26">
        <f>D1135*(1+Assumptions!$B$133+Forecast!$B$6)</f>
        <v/>
      </c>
      <c r="F1135" s="26">
        <f>E1135*(1+Assumptions!$B$134+Forecast!$B$6)</f>
        <v/>
      </c>
      <c r="G1135" s="26">
        <f>F1135*(1+Assumptions!$B$135+Forecast!$B$6)</f>
        <v/>
      </c>
    </row>
    <row r="1136">
      <c r="A1136" s="9" t="inlineStr">
        <is>
          <t xml:space="preserve">  Volume — Heavy fuel oil, mn t</t>
        </is>
      </c>
      <c r="C1136" s="26">
        <f>'Product and Cost'!E12*(1+Assumptions!$B$136+Forecast!$B$6)</f>
        <v/>
      </c>
      <c r="D1136" s="26">
        <f>C1136*(1+Assumptions!$B$137+Forecast!$B$6)</f>
        <v/>
      </c>
      <c r="E1136" s="26">
        <f>D1136*(1+Assumptions!$B$138+Forecast!$B$6)</f>
        <v/>
      </c>
      <c r="F1136" s="26">
        <f>E1136*(1+Assumptions!$B$139+Forecast!$B$6)</f>
        <v/>
      </c>
      <c r="G1136" s="26">
        <f>F1136*(1+Assumptions!$B$140+Forecast!$B$6)</f>
        <v/>
      </c>
    </row>
    <row r="1137">
      <c r="A1137" s="9" t="inlineStr">
        <is>
          <t xml:space="preserve">  Volume — Waste, mn t</t>
        </is>
      </c>
      <c r="C1137" s="26">
        <f>'Product and Cost'!E13*(1+Assumptions!$B$141+Forecast!$B$6)</f>
        <v/>
      </c>
      <c r="D1137" s="26">
        <f>C1137*(1+Assumptions!$B$142+Forecast!$B$6)</f>
        <v/>
      </c>
      <c r="E1137" s="26">
        <f>D1137*(1+Assumptions!$B$143+Forecast!$B$6)</f>
        <v/>
      </c>
      <c r="F1137" s="26">
        <f>E1137*(1+Assumptions!$B$144+Forecast!$B$6)</f>
        <v/>
      </c>
      <c r="G1137" s="26">
        <f>F1137*(1+Assumptions!$B$145+Forecast!$B$6)</f>
        <v/>
      </c>
    </row>
    <row r="1138">
      <c r="A1138" s="17" t="inlineStr">
        <is>
          <t>Total volume, mn t</t>
        </is>
      </c>
      <c r="C1138" s="28">
        <f>SUM(C1130:C1137)</f>
        <v/>
      </c>
      <c r="D1138" s="28">
        <f>SUM(D1130:D1137)</f>
        <v/>
      </c>
      <c r="E1138" s="28">
        <f>SUM(E1130:E1137)</f>
        <v/>
      </c>
      <c r="F1138" s="28">
        <f>SUM(F1130:F1137)</f>
        <v/>
      </c>
      <c r="G1138" s="28">
        <f>SUM(G1130:G1137)</f>
        <v/>
      </c>
    </row>
    <row r="1139">
      <c r="A1139" s="17" t="inlineStr">
        <is>
          <t>REVENUE</t>
        </is>
      </c>
      <c r="C1139" s="20">
        <f>C1130*'Product and Cost'!$F$6*C1129+C1131*'Product and Cost'!$F$7*C1129+C1132*'Product and Cost'!$F$8*C1129+C1133*'Product and Cost'!$F$9*C1129+C1134*'Product and Cost'!$F$10*C1129+C1135*'Product and Cost'!$F$11*C1129+C1136*'Product and Cost'!$F$12*C1129+C1137*'Product and Cost'!$F$13*C1129</f>
        <v/>
      </c>
      <c r="D1139" s="20">
        <f>D1130*'Product and Cost'!$F$6*D1129+D1131*'Product and Cost'!$F$7*D1129+D1132*'Product and Cost'!$F$8*D1129+D1133*'Product and Cost'!$F$9*D1129+D1134*'Product and Cost'!$F$10*D1129+D1135*'Product and Cost'!$F$11*D1129+D1136*'Product and Cost'!$F$12*D1129+D1137*'Product and Cost'!$F$13*D1129</f>
        <v/>
      </c>
      <c r="E1139" s="20">
        <f>E1130*'Product and Cost'!$F$6*E1129+E1131*'Product and Cost'!$F$7*E1129+E1132*'Product and Cost'!$F$8*E1129+E1133*'Product and Cost'!$F$9*E1129+E1134*'Product and Cost'!$F$10*E1129+E1135*'Product and Cost'!$F$11*E1129+E1136*'Product and Cost'!$F$12*E1129+E1137*'Product and Cost'!$F$13*E1129</f>
        <v/>
      </c>
      <c r="F1139" s="20">
        <f>F1130*'Product and Cost'!$F$6*F1129+F1131*'Product and Cost'!$F$7*F1129+F1132*'Product and Cost'!$F$8*F1129+F1133*'Product and Cost'!$F$9*F1129+F1134*'Product and Cost'!$F$10*F1129+F1135*'Product and Cost'!$F$11*F1129+F1136*'Product and Cost'!$F$12*F1129+F1137*'Product and Cost'!$F$13*F1129</f>
        <v/>
      </c>
      <c r="G1139" s="20">
        <f>G1130*'Product and Cost'!$F$6*G1129+G1131*'Product and Cost'!$F$7*G1129+G1132*'Product and Cost'!$F$8*G1129+G1133*'Product and Cost'!$F$9*G1129+G1134*'Product and Cost'!$F$10*G1129+G1135*'Product and Cost'!$F$11*G1129+G1136*'Product and Cost'!$F$12*G1129+G1137*'Product and Cost'!$F$13*G1129</f>
        <v/>
      </c>
    </row>
    <row r="1140">
      <c r="A1140" s="9" t="inlineStr">
        <is>
          <t>Cost of sales</t>
        </is>
      </c>
      <c r="C1140" s="18">
        <f>C1130*('Product and Cost'!$D$27*C1129*Assumptions!$B$88+'Product and Cost'!$B$27*(0.4863620081*C1128+0.4455809638*C1128+0.0356254898*C1129+0.0324315384))+C1131*('Product and Cost'!$D$28*C1129*Assumptions!$B$88+'Product and Cost'!$B$28*(0.4863620081*C1128+0.4455809638*C1128+0.0356254898*C1129+0.0324315384))+C1132*('Product and Cost'!$D$29*C1129*Assumptions!$B$88+'Product and Cost'!$B$29*(0.4863620081*C1128+0.4455809638*C1128+0.0356254898*C1129+0.0324315384))+C1133*('Product and Cost'!$D$30*C1129*Assumptions!$B$88+'Product and Cost'!$B$30*(0.4863620081*C1128+0.4455809638*C1128+0.0356254898*C1129+0.0324315384))+C1134*('Product and Cost'!$D$31*C1129*Assumptions!$B$88+'Product and Cost'!$B$31*(0.4863620081*C1128+0.4455809638*C1128+0.0356254898*C1129+0.0324315384))+C1135*('Product and Cost'!$D$32*C1129*Assumptions!$B$88+'Product and Cost'!$B$32*(0.4863620081*C1128+0.4455809638*C1128+0.0356254898*C1129+0.0324315384))+C1136*('Product and Cost'!$D$33*C1129*Assumptions!$B$88+'Product and Cost'!$B$33*(0.4863620081*C1128+0.4455809638*C1128+0.0356254898*C1129+0.0324315384))+C1137*('Product and Cost'!$D$34*C1129*Assumptions!$B$88+'Product and Cost'!$B$34*(0.4863620081*C1128+0.4455809638*C1128+0.0356254898*C1129+0.0324315384))</f>
        <v/>
      </c>
      <c r="D1140" s="18">
        <f>D1130*('Product and Cost'!$D$27*D1129*Assumptions!$B$88+'Product and Cost'!$B$27*(0.4863620081*D1128+0.4455809638*D1128+0.0356254898*D1129+0.0324315384))+D1131*('Product and Cost'!$D$28*D1129*Assumptions!$B$88+'Product and Cost'!$B$28*(0.4863620081*D1128+0.4455809638*D1128+0.0356254898*D1129+0.0324315384))+D1132*('Product and Cost'!$D$29*D1129*Assumptions!$B$88+'Product and Cost'!$B$29*(0.4863620081*D1128+0.4455809638*D1128+0.0356254898*D1129+0.0324315384))+D1133*('Product and Cost'!$D$30*D1129*Assumptions!$B$88+'Product and Cost'!$B$30*(0.4863620081*D1128+0.4455809638*D1128+0.0356254898*D1129+0.0324315384))+D1134*('Product and Cost'!$D$31*D1129*Assumptions!$B$88+'Product and Cost'!$B$31*(0.4863620081*D1128+0.4455809638*D1128+0.0356254898*D1129+0.0324315384))+D1135*('Product and Cost'!$D$32*D1129*Assumptions!$B$88+'Product and Cost'!$B$32*(0.4863620081*D1128+0.4455809638*D1128+0.0356254898*D1129+0.0324315384))+D1136*('Product and Cost'!$D$33*D1129*Assumptions!$B$88+'Product and Cost'!$B$33*(0.4863620081*D1128+0.4455809638*D1128+0.0356254898*D1129+0.0324315384))+D1137*('Product and Cost'!$D$34*D1129*Assumptions!$B$88+'Product and Cost'!$B$34*(0.4863620081*D1128+0.4455809638*D1128+0.0356254898*D1129+0.0324315384))</f>
        <v/>
      </c>
      <c r="E1140" s="18">
        <f>E1130*('Product and Cost'!$D$27*E1129*Assumptions!$B$88+'Product and Cost'!$B$27*(0.4863620081*E1128+0.4455809638*E1128+0.0356254898*E1129+0.0324315384))+E1131*('Product and Cost'!$D$28*E1129*Assumptions!$B$88+'Product and Cost'!$B$28*(0.4863620081*E1128+0.4455809638*E1128+0.0356254898*E1129+0.0324315384))+E1132*('Product and Cost'!$D$29*E1129*Assumptions!$B$88+'Product and Cost'!$B$29*(0.4863620081*E1128+0.4455809638*E1128+0.0356254898*E1129+0.0324315384))+E1133*('Product and Cost'!$D$30*E1129*Assumptions!$B$88+'Product and Cost'!$B$30*(0.4863620081*E1128+0.4455809638*E1128+0.0356254898*E1129+0.0324315384))+E1134*('Product and Cost'!$D$31*E1129*Assumptions!$B$88+'Product and Cost'!$B$31*(0.4863620081*E1128+0.4455809638*E1128+0.0356254898*E1129+0.0324315384))+E1135*('Product and Cost'!$D$32*E1129*Assumptions!$B$88+'Product and Cost'!$B$32*(0.4863620081*E1128+0.4455809638*E1128+0.0356254898*E1129+0.0324315384))+E1136*('Product and Cost'!$D$33*E1129*Assumptions!$B$88+'Product and Cost'!$B$33*(0.4863620081*E1128+0.4455809638*E1128+0.0356254898*E1129+0.0324315384))+E1137*('Product and Cost'!$D$34*E1129*Assumptions!$B$88+'Product and Cost'!$B$34*(0.4863620081*E1128+0.4455809638*E1128+0.0356254898*E1129+0.0324315384))</f>
        <v/>
      </c>
      <c r="F1140" s="18">
        <f>F1130*('Product and Cost'!$D$27*F1129*Assumptions!$B$88+'Product and Cost'!$B$27*(0.4863620081*F1128+0.4455809638*F1128+0.0356254898*F1129+0.0324315384))+F1131*('Product and Cost'!$D$28*F1129*Assumptions!$B$88+'Product and Cost'!$B$28*(0.4863620081*F1128+0.4455809638*F1128+0.0356254898*F1129+0.0324315384))+F1132*('Product and Cost'!$D$29*F1129*Assumptions!$B$88+'Product and Cost'!$B$29*(0.4863620081*F1128+0.4455809638*F1128+0.0356254898*F1129+0.0324315384))+F1133*('Product and Cost'!$D$30*F1129*Assumptions!$B$88+'Product and Cost'!$B$30*(0.4863620081*F1128+0.4455809638*F1128+0.0356254898*F1129+0.0324315384))+F1134*('Product and Cost'!$D$31*F1129*Assumptions!$B$88+'Product and Cost'!$B$31*(0.4863620081*F1128+0.4455809638*F1128+0.0356254898*F1129+0.0324315384))+F1135*('Product and Cost'!$D$32*F1129*Assumptions!$B$88+'Product and Cost'!$B$32*(0.4863620081*F1128+0.4455809638*F1128+0.0356254898*F1129+0.0324315384))+F1136*('Product and Cost'!$D$33*F1129*Assumptions!$B$88+'Product and Cost'!$B$33*(0.4863620081*F1128+0.4455809638*F1128+0.0356254898*F1129+0.0324315384))+F1137*('Product and Cost'!$D$34*F1129*Assumptions!$B$88+'Product and Cost'!$B$34*(0.4863620081*F1128+0.4455809638*F1128+0.0356254898*F1129+0.0324315384))</f>
        <v/>
      </c>
      <c r="G1140" s="18">
        <f>G1130*('Product and Cost'!$D$27*G1129*Assumptions!$B$88+'Product and Cost'!$B$27*(0.4863620081*G1128+0.4455809638*G1128+0.0356254898*G1129+0.0324315384))+G1131*('Product and Cost'!$D$28*G1129*Assumptions!$B$88+'Product and Cost'!$B$28*(0.4863620081*G1128+0.4455809638*G1128+0.0356254898*G1129+0.0324315384))+G1132*('Product and Cost'!$D$29*G1129*Assumptions!$B$88+'Product and Cost'!$B$29*(0.4863620081*G1128+0.4455809638*G1128+0.0356254898*G1129+0.0324315384))+G1133*('Product and Cost'!$D$30*G1129*Assumptions!$B$88+'Product and Cost'!$B$30*(0.4863620081*G1128+0.4455809638*G1128+0.0356254898*G1129+0.0324315384))+G1134*('Product and Cost'!$D$31*G1129*Assumptions!$B$88+'Product and Cost'!$B$31*(0.4863620081*G1128+0.4455809638*G1128+0.0356254898*G1129+0.0324315384))+G1135*('Product and Cost'!$D$32*G1129*Assumptions!$B$88+'Product and Cost'!$B$32*(0.4863620081*G1128+0.4455809638*G1128+0.0356254898*G1129+0.0324315384))+G1136*('Product and Cost'!$D$33*G1129*Assumptions!$B$88+'Product and Cost'!$B$33*(0.4863620081*G1128+0.4455809638*G1128+0.0356254898*G1129+0.0324315384))+G1137*('Product and Cost'!$D$34*G1129*Assumptions!$B$88+'Product and Cost'!$B$34*(0.4863620081*G1128+0.4455809638*G1128+0.0356254898*G1129+0.0324315384))</f>
        <v/>
      </c>
    </row>
    <row r="1141">
      <c r="A1141" s="17" t="inlineStr">
        <is>
          <t>GROSS PROFIT</t>
        </is>
      </c>
      <c r="C1141" s="20">
        <f>C1139-C1140+Forecast!$B$7*C1139</f>
        <v/>
      </c>
      <c r="D1141" s="20">
        <f>D1139-D1140+Forecast!$B$7*D1139</f>
        <v/>
      </c>
      <c r="E1141" s="20">
        <f>E1139-E1140+Forecast!$B$7*E1139</f>
        <v/>
      </c>
      <c r="F1141" s="20">
        <f>F1139-F1140+Forecast!$B$7*F1139</f>
        <v/>
      </c>
      <c r="G1141" s="20">
        <f>G1139-G1140+Forecast!$B$7*G1139</f>
        <v/>
      </c>
    </row>
    <row r="1142">
      <c r="A1142" s="9" t="inlineStr">
        <is>
          <t>Gross margin</t>
        </is>
      </c>
      <c r="C1142" s="19">
        <f>C1141/C1139</f>
        <v/>
      </c>
      <c r="D1142" s="19">
        <f>D1141/D1139</f>
        <v/>
      </c>
      <c r="E1142" s="19">
        <f>E1141/E1139</f>
        <v/>
      </c>
      <c r="F1142" s="19">
        <f>F1141/F1139</f>
        <v/>
      </c>
      <c r="G1142" s="19">
        <f>G1141/G1139</f>
        <v/>
      </c>
    </row>
    <row r="1143">
      <c r="A1143" s="9" t="inlineStr">
        <is>
          <t>Operating expense</t>
        </is>
      </c>
      <c r="C1143" s="18">
        <f>('Base Year'!$B$28*C1128)+('Base Year'!$B$29*C1128*C1138/'Product and Cost'!$E$14)+('Base Year'!$B$30*C1128)+('Base Year'!$B$31*C1128)</f>
        <v/>
      </c>
      <c r="D1143" s="18">
        <f>('Base Year'!$B$28*D1128)+('Base Year'!$B$29*D1128*D1138/'Product and Cost'!$E$14)+('Base Year'!$B$30*D1128)+('Base Year'!$B$31*D1128)</f>
        <v/>
      </c>
      <c r="E1143" s="18">
        <f>('Base Year'!$B$28*E1128)+('Base Year'!$B$29*E1128*E1138/'Product and Cost'!$E$14)+('Base Year'!$B$30*E1128)+('Base Year'!$B$31*E1128)</f>
        <v/>
      </c>
      <c r="F1143" s="18">
        <f>('Base Year'!$B$28*F1128)+('Base Year'!$B$29*F1128*F1138/'Product and Cost'!$E$14)+('Base Year'!$B$30*F1128)+('Base Year'!$B$31*F1128)</f>
        <v/>
      </c>
      <c r="G1143" s="18">
        <f>('Base Year'!$B$28*G1128)+('Base Year'!$B$29*G1128*G1138/'Product and Cost'!$E$14)+('Base Year'!$B$30*G1128)+('Base Year'!$B$31*G1128)</f>
        <v/>
      </c>
    </row>
    <row r="1144">
      <c r="A1144" s="17" t="inlineStr">
        <is>
          <t>EBITDA</t>
        </is>
      </c>
      <c r="C1144" s="20">
        <f>C1141-C1143</f>
        <v/>
      </c>
      <c r="D1144" s="20">
        <f>D1141-D1143</f>
        <v/>
      </c>
      <c r="E1144" s="20">
        <f>E1141-E1143</f>
        <v/>
      </c>
      <c r="F1144" s="20">
        <f>F1141-F1143</f>
        <v/>
      </c>
      <c r="G1144" s="20">
        <f>G1141-G1143</f>
        <v/>
      </c>
    </row>
    <row r="1145">
      <c r="A1145" s="9" t="inlineStr">
        <is>
          <t>Capital expenditure — maintenance + growth</t>
        </is>
      </c>
      <c r="C1145" s="18">
        <f>'Base Year'!$B$43*C1128+MAX(C1138-'Product and Cost'!$E$14,0)*1947.901031*C1128</f>
        <v/>
      </c>
      <c r="D1145" s="18">
        <f>'Base Year'!$B$43*D1128+MAX(D1138-C1138,0)*1947.901031*D1128</f>
        <v/>
      </c>
      <c r="E1145" s="18">
        <f>'Base Year'!$B$43*E1128+MAX(E1138-D1138,0)*1947.901031*E1128</f>
        <v/>
      </c>
      <c r="F1145" s="18">
        <f>'Base Year'!$B$43*F1128+MAX(F1138-E1138,0)*1947.901031*F1128</f>
        <v/>
      </c>
      <c r="G1145" s="18">
        <f>'Base Year'!$B$43*G1128+MAX(G1138-F1138,0)*1947.901031*G1128</f>
        <v/>
      </c>
    </row>
    <row r="1146">
      <c r="A1146" s="9" t="inlineStr">
        <is>
          <t>Fixed assets at cost, closing</t>
        </is>
      </c>
      <c r="C1146" s="18">
        <f>(Assumptions!$B$70+Assumptions!$B$71)/10^6+C1145</f>
        <v/>
      </c>
      <c r="D1146" s="18">
        <f>C1146+D1145</f>
        <v/>
      </c>
      <c r="E1146" s="18">
        <f>D1146+E1145</f>
        <v/>
      </c>
      <c r="F1146" s="18">
        <f>E1146+F1145</f>
        <v/>
      </c>
      <c r="G1146" s="18">
        <f>F1146+G1145</f>
        <v/>
      </c>
    </row>
    <row r="1147">
      <c r="A1147" s="9" t="inlineStr">
        <is>
          <t>Depreciation — rolls off the asset register</t>
        </is>
      </c>
      <c r="C1147" s="18">
        <f>(Assumptions!$B$70+Assumptions!$B$71)/10^6/'Base Year'!$B$42</f>
        <v/>
      </c>
      <c r="D1147" s="18">
        <f>C1146/'Base Year'!$B$42</f>
        <v/>
      </c>
      <c r="E1147" s="18">
        <f>D1146/'Base Year'!$B$42</f>
        <v/>
      </c>
      <c r="F1147" s="18">
        <f>E1146/'Base Year'!$B$42</f>
        <v/>
      </c>
      <c r="G1147" s="18">
        <f>F1146/'Base Year'!$B$42</f>
        <v/>
      </c>
    </row>
    <row r="1148">
      <c r="A1148" s="9" t="inlineStr">
        <is>
          <t>Fixed assets, net book, closing</t>
        </is>
      </c>
      <c r="C1148" s="18">
        <f>(Assumptions!$B$69+Assumptions!$B$71)/10^6+C1145-C1147</f>
        <v/>
      </c>
      <c r="D1148" s="18">
        <f>C1148+D1145-D1147</f>
        <v/>
      </c>
      <c r="E1148" s="18">
        <f>D1148+E1145-E1147</f>
        <v/>
      </c>
      <c r="F1148" s="18">
        <f>E1148+F1145-F1147</f>
        <v/>
      </c>
      <c r="G1148" s="18">
        <f>F1148+G1145-G1147</f>
        <v/>
      </c>
    </row>
    <row r="1149">
      <c r="A1149" s="17" t="inlineStr">
        <is>
          <t>EBIT</t>
        </is>
      </c>
      <c r="C1149" s="20">
        <f>C1144-C1147</f>
        <v/>
      </c>
      <c r="D1149" s="20">
        <f>D1144-D1147</f>
        <v/>
      </c>
      <c r="E1149" s="20">
        <f>E1144-E1147</f>
        <v/>
      </c>
      <c r="F1149" s="20">
        <f>F1144-F1147</f>
        <v/>
      </c>
      <c r="G1149" s="20">
        <f>G1144-G1147</f>
        <v/>
      </c>
    </row>
    <row r="1150">
      <c r="A1150" s="9" t="inlineStr">
        <is>
          <t>NOPAT before the profit share</t>
        </is>
      </c>
      <c r="C1150" s="18">
        <f>C1149*(1-Assumptions!$B$87)</f>
        <v/>
      </c>
      <c r="D1150" s="18">
        <f>D1149*(1-Assumptions!$B$87)</f>
        <v/>
      </c>
      <c r="E1150" s="18">
        <f>E1149*(1-Assumptions!$B$87)</f>
        <v/>
      </c>
      <c r="F1150" s="18">
        <f>F1149*(1-Assumptions!$B$87)</f>
        <v/>
      </c>
      <c r="G1150" s="18">
        <f>G1149*(1-Assumptions!$B$87)</f>
        <v/>
      </c>
    </row>
    <row r="1151">
      <c r="A1151" s="9" t="inlineStr">
        <is>
          <t xml:space="preserve">  less employees' profit share and board bonuses</t>
        </is>
      </c>
      <c r="C1151" s="18">
        <f>MAX(C1150,0)*'Base Year'!$B$40</f>
        <v/>
      </c>
      <c r="D1151" s="18">
        <f>MAX(D1150,0)*'Base Year'!$B$40</f>
        <v/>
      </c>
      <c r="E1151" s="18">
        <f>MAX(E1150,0)*'Base Year'!$B$40</f>
        <v/>
      </c>
      <c r="F1151" s="18">
        <f>MAX(F1150,0)*'Base Year'!$B$40</f>
        <v/>
      </c>
      <c r="G1151" s="18">
        <f>MAX(G1150,0)*'Base Year'!$B$40</f>
        <v/>
      </c>
    </row>
    <row r="1152">
      <c r="A1152" s="17" t="inlineStr">
        <is>
          <t>NOPAT</t>
        </is>
      </c>
      <c r="C1152" s="20">
        <f>C1150-C1151</f>
        <v/>
      </c>
      <c r="D1152" s="20">
        <f>D1150-D1151</f>
        <v/>
      </c>
      <c r="E1152" s="20">
        <f>E1150-E1151</f>
        <v/>
      </c>
      <c r="F1152" s="20">
        <f>F1150-F1151</f>
        <v/>
      </c>
      <c r="G1152" s="20">
        <f>G1150-G1151</f>
        <v/>
      </c>
    </row>
    <row r="1153">
      <c r="A1153" s="9" t="inlineStr">
        <is>
          <t>Net working capital — on days</t>
        </is>
      </c>
      <c r="C1153" s="18">
        <f>'Base Year'!$B$44*$E$36/365*C1140+'Base Year'!$B$45*$E$36/365*C1139-'Base Year'!$B$46*$E$36/365*C1140</f>
        <v/>
      </c>
      <c r="D1153" s="18">
        <f>'Base Year'!$B$44*$E$36/365*D1140+'Base Year'!$B$45*$E$36/365*D1139-'Base Year'!$B$46*$E$36/365*D1140</f>
        <v/>
      </c>
      <c r="E1153" s="18">
        <f>'Base Year'!$B$44*$E$36/365*E1140+'Base Year'!$B$45*$E$36/365*E1139-'Base Year'!$B$46*$E$36/365*E1140</f>
        <v/>
      </c>
      <c r="F1153" s="18">
        <f>'Base Year'!$B$44*$E$36/365*F1140+'Base Year'!$B$45*$E$36/365*F1139-'Base Year'!$B$46*$E$36/365*F1140</f>
        <v/>
      </c>
      <c r="G1153" s="18">
        <f>'Base Year'!$B$44*$E$36/365*G1140+'Base Year'!$B$45*$E$36/365*G1139-'Base Year'!$B$46*$E$36/365*G1140</f>
        <v/>
      </c>
    </row>
    <row r="1154">
      <c r="A1154" s="9" t="inlineStr">
        <is>
          <t xml:space="preserve">  change in working capital</t>
        </is>
      </c>
      <c r="C1154" s="18">
        <f>C1153-('Base Year'!$B$44/365*'Base Year'!$B$21+'Base Year'!$B$45/365*'Base Year'!$B$19-'Base Year'!$B$46/365*'Base Year'!$B$21)</f>
        <v/>
      </c>
      <c r="D1154" s="18">
        <f>D1153-C1153</f>
        <v/>
      </c>
      <c r="E1154" s="18">
        <f>E1153-D1153</f>
        <v/>
      </c>
      <c r="F1154" s="18">
        <f>F1153-E1153</f>
        <v/>
      </c>
      <c r="G1154" s="18">
        <f>G1153-F1153</f>
        <v/>
      </c>
    </row>
    <row r="1155">
      <c r="A1155" s="17" t="inlineStr">
        <is>
          <t>FREE CASH FLOW TO THE FIRM</t>
        </is>
      </c>
      <c r="C1155" s="20">
        <f>C1152+C1147-C1145-C1154</f>
        <v/>
      </c>
      <c r="D1155" s="20">
        <f>D1152+D1147-D1145-D1154</f>
        <v/>
      </c>
      <c r="E1155" s="20">
        <f>E1152+E1147-E1145-E1154</f>
        <v/>
      </c>
      <c r="F1155" s="20">
        <f>F1152+F1147-F1145-F1154</f>
        <v/>
      </c>
      <c r="G1155" s="20">
        <f>G1152+G1147-G1145-G1154</f>
        <v/>
      </c>
    </row>
    <row r="1156">
      <c r="A1156" s="9" t="inlineStr">
        <is>
          <t>Glide fraction</t>
        </is>
      </c>
      <c r="C1156" s="26">
        <f>0.0000000000</f>
        <v/>
      </c>
      <c r="D1156" s="26">
        <f>0.3571428571</f>
        <v/>
      </c>
      <c r="E1156" s="26">
        <f>0.6428571429</f>
        <v/>
      </c>
      <c r="F1156" s="26">
        <f>0.8571428571</f>
        <v/>
      </c>
      <c r="G1156" s="26">
        <f>1.0000000000</f>
        <v/>
      </c>
    </row>
    <row r="1157">
      <c r="A1157" s="9" t="inlineStr">
        <is>
          <t>Forward cost of capital</t>
        </is>
      </c>
      <c r="C1157" s="19">
        <f>Forecast!$B$14-(Forecast!$B$14-Forecast!$B$17)*C1156</f>
        <v/>
      </c>
      <c r="D1157" s="19">
        <f>Forecast!$B$14-(Forecast!$B$14-Forecast!$B$17)*D1156</f>
        <v/>
      </c>
      <c r="E1157" s="19">
        <f>Forecast!$B$14-(Forecast!$B$14-Forecast!$B$17)*E1156</f>
        <v/>
      </c>
      <c r="F1157" s="19">
        <f>Forecast!$B$14-(Forecast!$B$14-Forecast!$B$17)*F1156</f>
        <v/>
      </c>
      <c r="G1157" s="19">
        <f>Forecast!$B$14-(Forecast!$B$14-Forecast!$B$17)*G1156</f>
        <v/>
      </c>
    </row>
    <row r="1158">
      <c r="A1158" s="9" t="inlineStr">
        <is>
          <t>Cumulative discount factor</t>
        </is>
      </c>
      <c r="C1158" s="29">
        <f>1/(1+C1157)</f>
        <v/>
      </c>
      <c r="D1158" s="29">
        <f>C1158/(1+D1157)</f>
        <v/>
      </c>
      <c r="E1158" s="29">
        <f>D1158/(1+E1157)</f>
        <v/>
      </c>
      <c r="F1158" s="29">
        <f>E1158/(1+F1157)</f>
        <v/>
      </c>
      <c r="G1158" s="29">
        <f>F1158/(1+G1157)</f>
        <v/>
      </c>
    </row>
    <row r="1159">
      <c r="A1159" s="9" t="inlineStr">
        <is>
          <t>Present value</t>
        </is>
      </c>
      <c r="C1159" s="18">
        <f>C1155*C1158</f>
        <v/>
      </c>
      <c r="D1159" s="18">
        <f>D1155*D1158</f>
        <v/>
      </c>
      <c r="E1159" s="18">
        <f>E1155*E1158</f>
        <v/>
      </c>
      <c r="F1159" s="18">
        <f>F1155*F1158</f>
        <v/>
      </c>
      <c r="G1159" s="18">
        <f>G1155*G1158</f>
        <v/>
      </c>
    </row>
    <row r="1160">
      <c r="A1160" s="17" t="inlineStr">
        <is>
          <t>PV of the explicit window</t>
        </is>
      </c>
      <c r="B1160" s="20">
        <f>SUM(C1159:G1159)</f>
        <v/>
      </c>
      <c r="C1160" s="18">
        <f>C1153+C1146</f>
        <v/>
      </c>
      <c r="D1160" s="18">
        <f>D1153+D1146</f>
        <v/>
      </c>
      <c r="E1160" s="18">
        <f>E1153+E1146</f>
        <v/>
      </c>
      <c r="F1160" s="18">
        <f>F1153+F1146</f>
        <v/>
      </c>
      <c r="G1160" s="18">
        <f>G1153+G1146</f>
        <v/>
      </c>
    </row>
    <row r="1161">
      <c r="A1161" s="9" t="inlineStr">
        <is>
          <t>Terminal return on invested capital, at REPLACEMENT cost</t>
        </is>
      </c>
      <c r="B1161" s="19">
        <f>G1152*(1+Assumptions!$B$89)/G1160</f>
        <v/>
      </c>
    </row>
    <row r="1162">
      <c r="A1162" s="9" t="inlineStr">
        <is>
          <t>Required reinvestment = growth / return</t>
        </is>
      </c>
      <c r="B1162" s="19">
        <f>MIN(Assumptions!$B$89/B1161,0.95)</f>
        <v/>
      </c>
    </row>
    <row r="1163">
      <c r="A1163" s="9" t="inlineStr">
        <is>
          <t>Terminal value</t>
        </is>
      </c>
      <c r="B1163" s="18">
        <f>G1152*(1+Assumptions!$B$89)*(1-B1162)/MAX(Forecast!$B$17-Assumptions!$B$89,0.02)</f>
        <v/>
      </c>
    </row>
    <row r="1164">
      <c r="A1164" s="9" t="inlineStr">
        <is>
          <t>PV of the terminal block</t>
        </is>
      </c>
      <c r="B1164" s="18">
        <f>B1163*G1158</f>
        <v/>
      </c>
    </row>
    <row r="1165">
      <c r="A1165" s="17" t="inlineStr">
        <is>
          <t>ENTERPRISE VALUE</t>
        </is>
      </c>
      <c r="B1165" s="20">
        <f>B1160+B1164</f>
        <v/>
      </c>
    </row>
    <row r="1166">
      <c r="A1166" s="9" t="inlineStr">
        <is>
          <t>plus net cash</t>
        </is>
      </c>
      <c r="B1166" s="18">
        <f>(Assumptions!$B$79-Assumptions!$B$82-Assumptions!$B$83)/10^6</f>
        <v/>
      </c>
    </row>
    <row r="1167">
      <c r="A1167" s="9" t="inlineStr">
        <is>
          <t>Enterprise value including cash</t>
        </is>
      </c>
      <c r="B1167" s="18">
        <f>B1165+B1166</f>
        <v/>
      </c>
    </row>
    <row r="1168">
      <c r="A1168" s="9" t="inlineStr">
        <is>
          <t>less minority — on the WHOLE enterprise, cash included</t>
        </is>
      </c>
      <c r="B1168" s="18">
        <f>B1167*'Base Year'!$B$41</f>
        <v/>
      </c>
    </row>
    <row r="1169">
      <c r="A1169" s="9" t="inlineStr">
        <is>
          <t>less the tax-disputes provision</t>
        </is>
      </c>
      <c r="B1169" s="18">
        <f>Assumptions!$B$78/10^6</f>
        <v/>
      </c>
    </row>
    <row r="1170">
      <c r="A1170" s="9" t="inlineStr">
        <is>
          <t>less dividends payable — declared, out of working capital</t>
        </is>
      </c>
      <c r="B1170" s="18">
        <f>Assumptions!$B$77/10^6</f>
        <v/>
      </c>
    </row>
    <row r="1171">
      <c r="A1171" s="9" t="inlineStr">
        <is>
          <t>plus non-operating investments and pledged deposits</t>
        </is>
      </c>
      <c r="B1171" s="18">
        <f>(Assumptions!$B$81+Assumptions!$B$80)/10^6</f>
        <v/>
      </c>
    </row>
    <row r="1172">
      <c r="A1172" s="17" t="inlineStr">
        <is>
          <t>EQUITY ATTRIBUTABLE</t>
        </is>
      </c>
      <c r="B1172" s="20">
        <f>B1167-B1168-B1169-B1170+B1171</f>
        <v/>
      </c>
    </row>
    <row r="1173">
      <c r="A1173" s="17" t="inlineStr">
        <is>
          <t>VALUE PER SHARE, EGP</t>
        </is>
      </c>
      <c r="B1173" s="30">
        <f>B1172/Assumptions!$B$8</f>
        <v/>
      </c>
    </row>
    <row r="1176">
      <c r="A1176" s="6" t="inlineStr">
        <is>
          <t>Working-capital cycle, as a multiple of the solved days — 1.25x</t>
        </is>
      </c>
      <c r="B1176" s="6" t="inlineStr">
        <is>
          <t>2026E</t>
        </is>
      </c>
      <c r="C1176" s="6" t="inlineStr">
        <is>
          <t>2027E</t>
        </is>
      </c>
      <c r="D1176" s="6" t="inlineStr">
        <is>
          <t>2028E</t>
        </is>
      </c>
      <c r="E1176" s="6" t="inlineStr">
        <is>
          <t>2029E</t>
        </is>
      </c>
      <c r="F1176" s="6" t="inlineStr">
        <is>
          <t>2030E</t>
        </is>
      </c>
    </row>
    <row r="1177">
      <c r="A1177" s="9" t="inlineStr">
        <is>
          <t>Inflation index, cumulative</t>
        </is>
      </c>
      <c r="C1177" s="26">
        <f>Assumptions!$B$146</f>
        <v/>
      </c>
      <c r="D1177" s="26">
        <f>C1177*Assumptions!$B$147</f>
        <v/>
      </c>
      <c r="E1177" s="26">
        <f>D1177*Assumptions!$B$148</f>
        <v/>
      </c>
      <c r="F1177" s="26">
        <f>E1177*Assumptions!$B$149</f>
        <v/>
      </c>
      <c r="G1177" s="26">
        <f>F1177*Assumptions!$B$150</f>
        <v/>
      </c>
    </row>
    <row r="1178">
      <c r="A1178" s="9" t="inlineStr">
        <is>
          <t>Realisation index, cumulative</t>
        </is>
      </c>
      <c r="C1178" s="26">
        <f>(1+Assumptions!$B$101*Forecast!$B$8)</f>
        <v/>
      </c>
      <c r="D1178" s="26">
        <f>C1178*(1+Assumptions!$B$102*Forecast!$B$8)</f>
        <v/>
      </c>
      <c r="E1178" s="26">
        <f>D1178*(1+Assumptions!$B$103*Forecast!$B$8)</f>
        <v/>
      </c>
      <c r="F1178" s="26">
        <f>E1178*(1+Assumptions!$B$104*Forecast!$B$8)</f>
        <v/>
      </c>
      <c r="G1178" s="26">
        <f>F1178*(1+Assumptions!$B$105*Forecast!$B$8)</f>
        <v/>
      </c>
    </row>
    <row r="1179">
      <c r="A1179" s="9" t="inlineStr">
        <is>
          <t xml:space="preserve">  Volume — Base and special oils, mn t</t>
        </is>
      </c>
      <c r="C1179" s="26">
        <f>'Product and Cost'!E6*(1+Assumptions!$B$106+Forecast!$B$6)</f>
        <v/>
      </c>
      <c r="D1179" s="26">
        <f>C1179*(1+Assumptions!$B$107+Forecast!$B$6)</f>
        <v/>
      </c>
      <c r="E1179" s="26">
        <f>D1179*(1+Assumptions!$B$108+Forecast!$B$6)</f>
        <v/>
      </c>
      <c r="F1179" s="26">
        <f>E1179*(1+Assumptions!$B$109+Forecast!$B$6)</f>
        <v/>
      </c>
      <c r="G1179" s="26">
        <f>F1179*(1+Assumptions!$B$110+Forecast!$B$6)</f>
        <v/>
      </c>
    </row>
    <row r="1180">
      <c r="A1180" s="9" t="inlineStr">
        <is>
          <t xml:space="preserve">  Volume — Paraffin wax, mn t</t>
        </is>
      </c>
      <c r="C1180" s="26">
        <f>'Product and Cost'!E7*(1+Assumptions!$B$111+Forecast!$B$6)</f>
        <v/>
      </c>
      <c r="D1180" s="26">
        <f>C1180*(1+Assumptions!$B$112+Forecast!$B$6)</f>
        <v/>
      </c>
      <c r="E1180" s="26">
        <f>D1180*(1+Assumptions!$B$113+Forecast!$B$6)</f>
        <v/>
      </c>
      <c r="F1180" s="26">
        <f>E1180*(1+Assumptions!$B$114+Forecast!$B$6)</f>
        <v/>
      </c>
      <c r="G1180" s="26">
        <f>F1180*(1+Assumptions!$B$115+Forecast!$B$6)</f>
        <v/>
      </c>
    </row>
    <row r="1181">
      <c r="A1181" s="9" t="inlineStr">
        <is>
          <t xml:space="preserve">  Volume — Gas oil, mn t</t>
        </is>
      </c>
      <c r="C1181" s="26">
        <f>'Product and Cost'!E8*(1+Assumptions!$B$116+Forecast!$B$6)</f>
        <v/>
      </c>
      <c r="D1181" s="26">
        <f>C1181*(1+Assumptions!$B$117+Forecast!$B$6)</f>
        <v/>
      </c>
      <c r="E1181" s="26">
        <f>D1181*(1+Assumptions!$B$118+Forecast!$B$6)</f>
        <v/>
      </c>
      <c r="F1181" s="26">
        <f>E1181*(1+Assumptions!$B$119+Forecast!$B$6)</f>
        <v/>
      </c>
      <c r="G1181" s="26">
        <f>F1181*(1+Assumptions!$B$120+Forecast!$B$6)</f>
        <v/>
      </c>
    </row>
    <row r="1182">
      <c r="A1182" s="9" t="inlineStr">
        <is>
          <t xml:space="preserve">  Volume — Naphtha, mn t</t>
        </is>
      </c>
      <c r="C1182" s="26">
        <f>'Product and Cost'!E9*(1+Assumptions!$B$121+Forecast!$B$6)</f>
        <v/>
      </c>
      <c r="D1182" s="26">
        <f>C1182*(1+Assumptions!$B$122+Forecast!$B$6)</f>
        <v/>
      </c>
      <c r="E1182" s="26">
        <f>D1182*(1+Assumptions!$B$123+Forecast!$B$6)</f>
        <v/>
      </c>
      <c r="F1182" s="26">
        <f>E1182*(1+Assumptions!$B$124+Forecast!$B$6)</f>
        <v/>
      </c>
      <c r="G1182" s="26">
        <f>F1182*(1+Assumptions!$B$125+Forecast!$B$6)</f>
        <v/>
      </c>
    </row>
    <row r="1183">
      <c r="A1183" s="9" t="inlineStr">
        <is>
          <t xml:space="preserve">  Volume — Liquefied petroleum gas, mn t</t>
        </is>
      </c>
      <c r="C1183" s="26">
        <f>'Product and Cost'!E10*(1+Assumptions!$B$126+Forecast!$B$6)</f>
        <v/>
      </c>
      <c r="D1183" s="26">
        <f>C1183*(1+Assumptions!$B$127+Forecast!$B$6)</f>
        <v/>
      </c>
      <c r="E1183" s="26">
        <f>D1183*(1+Assumptions!$B$128+Forecast!$B$6)</f>
        <v/>
      </c>
      <c r="F1183" s="26">
        <f>E1183*(1+Assumptions!$B$129+Forecast!$B$6)</f>
        <v/>
      </c>
      <c r="G1183" s="26">
        <f>F1183*(1+Assumptions!$B$130+Forecast!$B$6)</f>
        <v/>
      </c>
    </row>
    <row r="1184">
      <c r="A1184" s="9" t="inlineStr">
        <is>
          <t xml:space="preserve">  Volume — Fuel oil (mix), mn t</t>
        </is>
      </c>
      <c r="C1184" s="26">
        <f>'Product and Cost'!E11*(1+Assumptions!$B$131+Forecast!$B$6)</f>
        <v/>
      </c>
      <c r="D1184" s="26">
        <f>C1184*(1+Assumptions!$B$132+Forecast!$B$6)</f>
        <v/>
      </c>
      <c r="E1184" s="26">
        <f>D1184*(1+Assumptions!$B$133+Forecast!$B$6)</f>
        <v/>
      </c>
      <c r="F1184" s="26">
        <f>E1184*(1+Assumptions!$B$134+Forecast!$B$6)</f>
        <v/>
      </c>
      <c r="G1184" s="26">
        <f>F1184*(1+Assumptions!$B$135+Forecast!$B$6)</f>
        <v/>
      </c>
    </row>
    <row r="1185">
      <c r="A1185" s="9" t="inlineStr">
        <is>
          <t xml:space="preserve">  Volume — Heavy fuel oil, mn t</t>
        </is>
      </c>
      <c r="C1185" s="26">
        <f>'Product and Cost'!E12*(1+Assumptions!$B$136+Forecast!$B$6)</f>
        <v/>
      </c>
      <c r="D1185" s="26">
        <f>C1185*(1+Assumptions!$B$137+Forecast!$B$6)</f>
        <v/>
      </c>
      <c r="E1185" s="26">
        <f>D1185*(1+Assumptions!$B$138+Forecast!$B$6)</f>
        <v/>
      </c>
      <c r="F1185" s="26">
        <f>E1185*(1+Assumptions!$B$139+Forecast!$B$6)</f>
        <v/>
      </c>
      <c r="G1185" s="26">
        <f>F1185*(1+Assumptions!$B$140+Forecast!$B$6)</f>
        <v/>
      </c>
    </row>
    <row r="1186">
      <c r="A1186" s="9" t="inlineStr">
        <is>
          <t xml:space="preserve">  Volume — Waste, mn t</t>
        </is>
      </c>
      <c r="C1186" s="26">
        <f>'Product and Cost'!E13*(1+Assumptions!$B$141+Forecast!$B$6)</f>
        <v/>
      </c>
      <c r="D1186" s="26">
        <f>C1186*(1+Assumptions!$B$142+Forecast!$B$6)</f>
        <v/>
      </c>
      <c r="E1186" s="26">
        <f>D1186*(1+Assumptions!$B$143+Forecast!$B$6)</f>
        <v/>
      </c>
      <c r="F1186" s="26">
        <f>E1186*(1+Assumptions!$B$144+Forecast!$B$6)</f>
        <v/>
      </c>
      <c r="G1186" s="26">
        <f>F1186*(1+Assumptions!$B$145+Forecast!$B$6)</f>
        <v/>
      </c>
    </row>
    <row r="1187">
      <c r="A1187" s="17" t="inlineStr">
        <is>
          <t>Total volume, mn t</t>
        </is>
      </c>
      <c r="C1187" s="28">
        <f>SUM(C1179:C1186)</f>
        <v/>
      </c>
      <c r="D1187" s="28">
        <f>SUM(D1179:D1186)</f>
        <v/>
      </c>
      <c r="E1187" s="28">
        <f>SUM(E1179:E1186)</f>
        <v/>
      </c>
      <c r="F1187" s="28">
        <f>SUM(F1179:F1186)</f>
        <v/>
      </c>
      <c r="G1187" s="28">
        <f>SUM(G1179:G1186)</f>
        <v/>
      </c>
    </row>
    <row r="1188">
      <c r="A1188" s="17" t="inlineStr">
        <is>
          <t>REVENUE</t>
        </is>
      </c>
      <c r="C1188" s="20">
        <f>C1179*'Product and Cost'!$F$6*C1178+C1180*'Product and Cost'!$F$7*C1178+C1181*'Product and Cost'!$F$8*C1178+C1182*'Product and Cost'!$F$9*C1178+C1183*'Product and Cost'!$F$10*C1178+C1184*'Product and Cost'!$F$11*C1178+C1185*'Product and Cost'!$F$12*C1178+C1186*'Product and Cost'!$F$13*C1178</f>
        <v/>
      </c>
      <c r="D1188" s="20">
        <f>D1179*'Product and Cost'!$F$6*D1178+D1180*'Product and Cost'!$F$7*D1178+D1181*'Product and Cost'!$F$8*D1178+D1182*'Product and Cost'!$F$9*D1178+D1183*'Product and Cost'!$F$10*D1178+D1184*'Product and Cost'!$F$11*D1178+D1185*'Product and Cost'!$F$12*D1178+D1186*'Product and Cost'!$F$13*D1178</f>
        <v/>
      </c>
      <c r="E1188" s="20">
        <f>E1179*'Product and Cost'!$F$6*E1178+E1180*'Product and Cost'!$F$7*E1178+E1181*'Product and Cost'!$F$8*E1178+E1182*'Product and Cost'!$F$9*E1178+E1183*'Product and Cost'!$F$10*E1178+E1184*'Product and Cost'!$F$11*E1178+E1185*'Product and Cost'!$F$12*E1178+E1186*'Product and Cost'!$F$13*E1178</f>
        <v/>
      </c>
      <c r="F1188" s="20">
        <f>F1179*'Product and Cost'!$F$6*F1178+F1180*'Product and Cost'!$F$7*F1178+F1181*'Product and Cost'!$F$8*F1178+F1182*'Product and Cost'!$F$9*F1178+F1183*'Product and Cost'!$F$10*F1178+F1184*'Product and Cost'!$F$11*F1178+F1185*'Product and Cost'!$F$12*F1178+F1186*'Product and Cost'!$F$13*F1178</f>
        <v/>
      </c>
      <c r="G1188" s="20">
        <f>G1179*'Product and Cost'!$F$6*G1178+G1180*'Product and Cost'!$F$7*G1178+G1181*'Product and Cost'!$F$8*G1178+G1182*'Product and Cost'!$F$9*G1178+G1183*'Product and Cost'!$F$10*G1178+G1184*'Product and Cost'!$F$11*G1178+G1185*'Product and Cost'!$F$12*G1178+G1186*'Product and Cost'!$F$13*G1178</f>
        <v/>
      </c>
    </row>
    <row r="1189">
      <c r="A1189" s="9" t="inlineStr">
        <is>
          <t>Cost of sales</t>
        </is>
      </c>
      <c r="C1189" s="18">
        <f>C1179*('Product and Cost'!$D$27*C1178*Assumptions!$B$88+'Product and Cost'!$B$27*(0.4863620081*C1177+0.4455809638*C1177+0.0356254898*C1178+0.0324315384))+C1180*('Product and Cost'!$D$28*C1178*Assumptions!$B$88+'Product and Cost'!$B$28*(0.4863620081*C1177+0.4455809638*C1177+0.0356254898*C1178+0.0324315384))+C1181*('Product and Cost'!$D$29*C1178*Assumptions!$B$88+'Product and Cost'!$B$29*(0.4863620081*C1177+0.4455809638*C1177+0.0356254898*C1178+0.0324315384))+C1182*('Product and Cost'!$D$30*C1178*Assumptions!$B$88+'Product and Cost'!$B$30*(0.4863620081*C1177+0.4455809638*C1177+0.0356254898*C1178+0.0324315384))+C1183*('Product and Cost'!$D$31*C1178*Assumptions!$B$88+'Product and Cost'!$B$31*(0.4863620081*C1177+0.4455809638*C1177+0.0356254898*C1178+0.0324315384))+C1184*('Product and Cost'!$D$32*C1178*Assumptions!$B$88+'Product and Cost'!$B$32*(0.4863620081*C1177+0.4455809638*C1177+0.0356254898*C1178+0.0324315384))+C1185*('Product and Cost'!$D$33*C1178*Assumptions!$B$88+'Product and Cost'!$B$33*(0.4863620081*C1177+0.4455809638*C1177+0.0356254898*C1178+0.0324315384))+C1186*('Product and Cost'!$D$34*C1178*Assumptions!$B$88+'Product and Cost'!$B$34*(0.4863620081*C1177+0.4455809638*C1177+0.0356254898*C1178+0.0324315384))</f>
        <v/>
      </c>
      <c r="D1189" s="18">
        <f>D1179*('Product and Cost'!$D$27*D1178*Assumptions!$B$88+'Product and Cost'!$B$27*(0.4863620081*D1177+0.4455809638*D1177+0.0356254898*D1178+0.0324315384))+D1180*('Product and Cost'!$D$28*D1178*Assumptions!$B$88+'Product and Cost'!$B$28*(0.4863620081*D1177+0.4455809638*D1177+0.0356254898*D1178+0.0324315384))+D1181*('Product and Cost'!$D$29*D1178*Assumptions!$B$88+'Product and Cost'!$B$29*(0.4863620081*D1177+0.4455809638*D1177+0.0356254898*D1178+0.0324315384))+D1182*('Product and Cost'!$D$30*D1178*Assumptions!$B$88+'Product and Cost'!$B$30*(0.4863620081*D1177+0.4455809638*D1177+0.0356254898*D1178+0.0324315384))+D1183*('Product and Cost'!$D$31*D1178*Assumptions!$B$88+'Product and Cost'!$B$31*(0.4863620081*D1177+0.4455809638*D1177+0.0356254898*D1178+0.0324315384))+D1184*('Product and Cost'!$D$32*D1178*Assumptions!$B$88+'Product and Cost'!$B$32*(0.4863620081*D1177+0.4455809638*D1177+0.0356254898*D1178+0.0324315384))+D1185*('Product and Cost'!$D$33*D1178*Assumptions!$B$88+'Product and Cost'!$B$33*(0.4863620081*D1177+0.4455809638*D1177+0.0356254898*D1178+0.0324315384))+D1186*('Product and Cost'!$D$34*D1178*Assumptions!$B$88+'Product and Cost'!$B$34*(0.4863620081*D1177+0.4455809638*D1177+0.0356254898*D1178+0.0324315384))</f>
        <v/>
      </c>
      <c r="E1189" s="18">
        <f>E1179*('Product and Cost'!$D$27*E1178*Assumptions!$B$88+'Product and Cost'!$B$27*(0.4863620081*E1177+0.4455809638*E1177+0.0356254898*E1178+0.0324315384))+E1180*('Product and Cost'!$D$28*E1178*Assumptions!$B$88+'Product and Cost'!$B$28*(0.4863620081*E1177+0.4455809638*E1177+0.0356254898*E1178+0.0324315384))+E1181*('Product and Cost'!$D$29*E1178*Assumptions!$B$88+'Product and Cost'!$B$29*(0.4863620081*E1177+0.4455809638*E1177+0.0356254898*E1178+0.0324315384))+E1182*('Product and Cost'!$D$30*E1178*Assumptions!$B$88+'Product and Cost'!$B$30*(0.4863620081*E1177+0.4455809638*E1177+0.0356254898*E1178+0.0324315384))+E1183*('Product and Cost'!$D$31*E1178*Assumptions!$B$88+'Product and Cost'!$B$31*(0.4863620081*E1177+0.4455809638*E1177+0.0356254898*E1178+0.0324315384))+E1184*('Product and Cost'!$D$32*E1178*Assumptions!$B$88+'Product and Cost'!$B$32*(0.4863620081*E1177+0.4455809638*E1177+0.0356254898*E1178+0.0324315384))+E1185*('Product and Cost'!$D$33*E1178*Assumptions!$B$88+'Product and Cost'!$B$33*(0.4863620081*E1177+0.4455809638*E1177+0.0356254898*E1178+0.0324315384))+E1186*('Product and Cost'!$D$34*E1178*Assumptions!$B$88+'Product and Cost'!$B$34*(0.4863620081*E1177+0.4455809638*E1177+0.0356254898*E1178+0.0324315384))</f>
        <v/>
      </c>
      <c r="F1189" s="18">
        <f>F1179*('Product and Cost'!$D$27*F1178*Assumptions!$B$88+'Product and Cost'!$B$27*(0.4863620081*F1177+0.4455809638*F1177+0.0356254898*F1178+0.0324315384))+F1180*('Product and Cost'!$D$28*F1178*Assumptions!$B$88+'Product and Cost'!$B$28*(0.4863620081*F1177+0.4455809638*F1177+0.0356254898*F1178+0.0324315384))+F1181*('Product and Cost'!$D$29*F1178*Assumptions!$B$88+'Product and Cost'!$B$29*(0.4863620081*F1177+0.4455809638*F1177+0.0356254898*F1178+0.0324315384))+F1182*('Product and Cost'!$D$30*F1178*Assumptions!$B$88+'Product and Cost'!$B$30*(0.4863620081*F1177+0.4455809638*F1177+0.0356254898*F1178+0.0324315384))+F1183*('Product and Cost'!$D$31*F1178*Assumptions!$B$88+'Product and Cost'!$B$31*(0.4863620081*F1177+0.4455809638*F1177+0.0356254898*F1178+0.0324315384))+F1184*('Product and Cost'!$D$32*F1178*Assumptions!$B$88+'Product and Cost'!$B$32*(0.4863620081*F1177+0.4455809638*F1177+0.0356254898*F1178+0.0324315384))+F1185*('Product and Cost'!$D$33*F1178*Assumptions!$B$88+'Product and Cost'!$B$33*(0.4863620081*F1177+0.4455809638*F1177+0.0356254898*F1178+0.0324315384))+F1186*('Product and Cost'!$D$34*F1178*Assumptions!$B$88+'Product and Cost'!$B$34*(0.4863620081*F1177+0.4455809638*F1177+0.0356254898*F1178+0.0324315384))</f>
        <v/>
      </c>
      <c r="G1189" s="18">
        <f>G1179*('Product and Cost'!$D$27*G1178*Assumptions!$B$88+'Product and Cost'!$B$27*(0.4863620081*G1177+0.4455809638*G1177+0.0356254898*G1178+0.0324315384))+G1180*('Product and Cost'!$D$28*G1178*Assumptions!$B$88+'Product and Cost'!$B$28*(0.4863620081*G1177+0.4455809638*G1177+0.0356254898*G1178+0.0324315384))+G1181*('Product and Cost'!$D$29*G1178*Assumptions!$B$88+'Product and Cost'!$B$29*(0.4863620081*G1177+0.4455809638*G1177+0.0356254898*G1178+0.0324315384))+G1182*('Product and Cost'!$D$30*G1178*Assumptions!$B$88+'Product and Cost'!$B$30*(0.4863620081*G1177+0.4455809638*G1177+0.0356254898*G1178+0.0324315384))+G1183*('Product and Cost'!$D$31*G1178*Assumptions!$B$88+'Product and Cost'!$B$31*(0.4863620081*G1177+0.4455809638*G1177+0.0356254898*G1178+0.0324315384))+G1184*('Product and Cost'!$D$32*G1178*Assumptions!$B$88+'Product and Cost'!$B$32*(0.4863620081*G1177+0.4455809638*G1177+0.0356254898*G1178+0.0324315384))+G1185*('Product and Cost'!$D$33*G1178*Assumptions!$B$88+'Product and Cost'!$B$33*(0.4863620081*G1177+0.4455809638*G1177+0.0356254898*G1178+0.0324315384))+G1186*('Product and Cost'!$D$34*G1178*Assumptions!$B$88+'Product and Cost'!$B$34*(0.4863620081*G1177+0.4455809638*G1177+0.0356254898*G1178+0.0324315384))</f>
        <v/>
      </c>
    </row>
    <row r="1190">
      <c r="A1190" s="17" t="inlineStr">
        <is>
          <t>GROSS PROFIT</t>
        </is>
      </c>
      <c r="C1190" s="20">
        <f>C1188-C1189+Forecast!$B$7*C1188</f>
        <v/>
      </c>
      <c r="D1190" s="20">
        <f>D1188-D1189+Forecast!$B$7*D1188</f>
        <v/>
      </c>
      <c r="E1190" s="20">
        <f>E1188-E1189+Forecast!$B$7*E1188</f>
        <v/>
      </c>
      <c r="F1190" s="20">
        <f>F1188-F1189+Forecast!$B$7*F1188</f>
        <v/>
      </c>
      <c r="G1190" s="20">
        <f>G1188-G1189+Forecast!$B$7*G1188</f>
        <v/>
      </c>
    </row>
    <row r="1191">
      <c r="A1191" s="9" t="inlineStr">
        <is>
          <t>Gross margin</t>
        </is>
      </c>
      <c r="C1191" s="19">
        <f>C1190/C1188</f>
        <v/>
      </c>
      <c r="D1191" s="19">
        <f>D1190/D1188</f>
        <v/>
      </c>
      <c r="E1191" s="19">
        <f>E1190/E1188</f>
        <v/>
      </c>
      <c r="F1191" s="19">
        <f>F1190/F1188</f>
        <v/>
      </c>
      <c r="G1191" s="19">
        <f>G1190/G1188</f>
        <v/>
      </c>
    </row>
    <row r="1192">
      <c r="A1192" s="9" t="inlineStr">
        <is>
          <t>Operating expense</t>
        </is>
      </c>
      <c r="C1192" s="18">
        <f>('Base Year'!$B$28*C1177)+('Base Year'!$B$29*C1177*C1187/'Product and Cost'!$E$14)+('Base Year'!$B$30*C1177)+('Base Year'!$B$31*C1177)</f>
        <v/>
      </c>
      <c r="D1192" s="18">
        <f>('Base Year'!$B$28*D1177)+('Base Year'!$B$29*D1177*D1187/'Product and Cost'!$E$14)+('Base Year'!$B$30*D1177)+('Base Year'!$B$31*D1177)</f>
        <v/>
      </c>
      <c r="E1192" s="18">
        <f>('Base Year'!$B$28*E1177)+('Base Year'!$B$29*E1177*E1187/'Product and Cost'!$E$14)+('Base Year'!$B$30*E1177)+('Base Year'!$B$31*E1177)</f>
        <v/>
      </c>
      <c r="F1192" s="18">
        <f>('Base Year'!$B$28*F1177)+('Base Year'!$B$29*F1177*F1187/'Product and Cost'!$E$14)+('Base Year'!$B$30*F1177)+('Base Year'!$B$31*F1177)</f>
        <v/>
      </c>
      <c r="G1192" s="18">
        <f>('Base Year'!$B$28*G1177)+('Base Year'!$B$29*G1177*G1187/'Product and Cost'!$E$14)+('Base Year'!$B$30*G1177)+('Base Year'!$B$31*G1177)</f>
        <v/>
      </c>
    </row>
    <row r="1193">
      <c r="A1193" s="17" t="inlineStr">
        <is>
          <t>EBITDA</t>
        </is>
      </c>
      <c r="C1193" s="20">
        <f>C1190-C1192</f>
        <v/>
      </c>
      <c r="D1193" s="20">
        <f>D1190-D1192</f>
        <v/>
      </c>
      <c r="E1193" s="20">
        <f>E1190-E1192</f>
        <v/>
      </c>
      <c r="F1193" s="20">
        <f>F1190-F1192</f>
        <v/>
      </c>
      <c r="G1193" s="20">
        <f>G1190-G1192</f>
        <v/>
      </c>
    </row>
    <row r="1194">
      <c r="A1194" s="9" t="inlineStr">
        <is>
          <t>Capital expenditure — maintenance + growth</t>
        </is>
      </c>
      <c r="C1194" s="18">
        <f>'Base Year'!$B$43*C1177+MAX(C1187-'Product and Cost'!$E$14,0)*1947.901031*C1177</f>
        <v/>
      </c>
      <c r="D1194" s="18">
        <f>'Base Year'!$B$43*D1177+MAX(D1187-C1187,0)*1947.901031*D1177</f>
        <v/>
      </c>
      <c r="E1194" s="18">
        <f>'Base Year'!$B$43*E1177+MAX(E1187-D1187,0)*1947.901031*E1177</f>
        <v/>
      </c>
      <c r="F1194" s="18">
        <f>'Base Year'!$B$43*F1177+MAX(F1187-E1187,0)*1947.901031*F1177</f>
        <v/>
      </c>
      <c r="G1194" s="18">
        <f>'Base Year'!$B$43*G1177+MAX(G1187-F1187,0)*1947.901031*G1177</f>
        <v/>
      </c>
    </row>
    <row r="1195">
      <c r="A1195" s="9" t="inlineStr">
        <is>
          <t>Fixed assets at cost, closing</t>
        </is>
      </c>
      <c r="C1195" s="18">
        <f>(Assumptions!$B$70+Assumptions!$B$71)/10^6+C1194</f>
        <v/>
      </c>
      <c r="D1195" s="18">
        <f>C1195+D1194</f>
        <v/>
      </c>
      <c r="E1195" s="18">
        <f>D1195+E1194</f>
        <v/>
      </c>
      <c r="F1195" s="18">
        <f>E1195+F1194</f>
        <v/>
      </c>
      <c r="G1195" s="18">
        <f>F1195+G1194</f>
        <v/>
      </c>
    </row>
    <row r="1196">
      <c r="A1196" s="9" t="inlineStr">
        <is>
          <t>Depreciation — rolls off the asset register</t>
        </is>
      </c>
      <c r="C1196" s="18">
        <f>(Assumptions!$B$70+Assumptions!$B$71)/10^6/'Base Year'!$B$42</f>
        <v/>
      </c>
      <c r="D1196" s="18">
        <f>C1195/'Base Year'!$B$42</f>
        <v/>
      </c>
      <c r="E1196" s="18">
        <f>D1195/'Base Year'!$B$42</f>
        <v/>
      </c>
      <c r="F1196" s="18">
        <f>E1195/'Base Year'!$B$42</f>
        <v/>
      </c>
      <c r="G1196" s="18">
        <f>F1195/'Base Year'!$B$42</f>
        <v/>
      </c>
    </row>
    <row r="1197">
      <c r="A1197" s="9" t="inlineStr">
        <is>
          <t>Fixed assets, net book, closing</t>
        </is>
      </c>
      <c r="C1197" s="18">
        <f>(Assumptions!$B$69+Assumptions!$B$71)/10^6+C1194-C1196</f>
        <v/>
      </c>
      <c r="D1197" s="18">
        <f>C1197+D1194-D1196</f>
        <v/>
      </c>
      <c r="E1197" s="18">
        <f>D1197+E1194-E1196</f>
        <v/>
      </c>
      <c r="F1197" s="18">
        <f>E1197+F1194-F1196</f>
        <v/>
      </c>
      <c r="G1197" s="18">
        <f>F1197+G1194-G1196</f>
        <v/>
      </c>
    </row>
    <row r="1198">
      <c r="A1198" s="17" t="inlineStr">
        <is>
          <t>EBIT</t>
        </is>
      </c>
      <c r="C1198" s="20">
        <f>C1193-C1196</f>
        <v/>
      </c>
      <c r="D1198" s="20">
        <f>D1193-D1196</f>
        <v/>
      </c>
      <c r="E1198" s="20">
        <f>E1193-E1196</f>
        <v/>
      </c>
      <c r="F1198" s="20">
        <f>F1193-F1196</f>
        <v/>
      </c>
      <c r="G1198" s="20">
        <f>G1193-G1196</f>
        <v/>
      </c>
    </row>
    <row r="1199">
      <c r="A1199" s="9" t="inlineStr">
        <is>
          <t>NOPAT before the profit share</t>
        </is>
      </c>
      <c r="C1199" s="18">
        <f>C1198*(1-Assumptions!$B$87)</f>
        <v/>
      </c>
      <c r="D1199" s="18">
        <f>D1198*(1-Assumptions!$B$87)</f>
        <v/>
      </c>
      <c r="E1199" s="18">
        <f>E1198*(1-Assumptions!$B$87)</f>
        <v/>
      </c>
      <c r="F1199" s="18">
        <f>F1198*(1-Assumptions!$B$87)</f>
        <v/>
      </c>
      <c r="G1199" s="18">
        <f>G1198*(1-Assumptions!$B$87)</f>
        <v/>
      </c>
    </row>
    <row r="1200">
      <c r="A1200" s="9" t="inlineStr">
        <is>
          <t xml:space="preserve">  less employees' profit share and board bonuses</t>
        </is>
      </c>
      <c r="C1200" s="18">
        <f>MAX(C1199,0)*'Base Year'!$B$40</f>
        <v/>
      </c>
      <c r="D1200" s="18">
        <f>MAX(D1199,0)*'Base Year'!$B$40</f>
        <v/>
      </c>
      <c r="E1200" s="18">
        <f>MAX(E1199,0)*'Base Year'!$B$40</f>
        <v/>
      </c>
      <c r="F1200" s="18">
        <f>MAX(F1199,0)*'Base Year'!$B$40</f>
        <v/>
      </c>
      <c r="G1200" s="18">
        <f>MAX(G1199,0)*'Base Year'!$B$40</f>
        <v/>
      </c>
    </row>
    <row r="1201">
      <c r="A1201" s="17" t="inlineStr">
        <is>
          <t>NOPAT</t>
        </is>
      </c>
      <c r="C1201" s="20">
        <f>C1199-C1200</f>
        <v/>
      </c>
      <c r="D1201" s="20">
        <f>D1199-D1200</f>
        <v/>
      </c>
      <c r="E1201" s="20">
        <f>E1199-E1200</f>
        <v/>
      </c>
      <c r="F1201" s="20">
        <f>F1199-F1200</f>
        <v/>
      </c>
      <c r="G1201" s="20">
        <f>G1199-G1200</f>
        <v/>
      </c>
    </row>
    <row r="1202">
      <c r="A1202" s="9" t="inlineStr">
        <is>
          <t>Net working capital — on days</t>
        </is>
      </c>
      <c r="C1202" s="18">
        <f>'Base Year'!$B$44*$E$37/365*C1189+'Base Year'!$B$45*$E$37/365*C1188-'Base Year'!$B$46*$E$37/365*C1189</f>
        <v/>
      </c>
      <c r="D1202" s="18">
        <f>'Base Year'!$B$44*$E$37/365*D1189+'Base Year'!$B$45*$E$37/365*D1188-'Base Year'!$B$46*$E$37/365*D1189</f>
        <v/>
      </c>
      <c r="E1202" s="18">
        <f>'Base Year'!$B$44*$E$37/365*E1189+'Base Year'!$B$45*$E$37/365*E1188-'Base Year'!$B$46*$E$37/365*E1189</f>
        <v/>
      </c>
      <c r="F1202" s="18">
        <f>'Base Year'!$B$44*$E$37/365*F1189+'Base Year'!$B$45*$E$37/365*F1188-'Base Year'!$B$46*$E$37/365*F1189</f>
        <v/>
      </c>
      <c r="G1202" s="18">
        <f>'Base Year'!$B$44*$E$37/365*G1189+'Base Year'!$B$45*$E$37/365*G1188-'Base Year'!$B$46*$E$37/365*G1189</f>
        <v/>
      </c>
    </row>
    <row r="1203">
      <c r="A1203" s="9" t="inlineStr">
        <is>
          <t xml:space="preserve">  change in working capital</t>
        </is>
      </c>
      <c r="C1203" s="18">
        <f>C1202-('Base Year'!$B$44/365*'Base Year'!$B$21+'Base Year'!$B$45/365*'Base Year'!$B$19-'Base Year'!$B$46/365*'Base Year'!$B$21)</f>
        <v/>
      </c>
      <c r="D1203" s="18">
        <f>D1202-C1202</f>
        <v/>
      </c>
      <c r="E1203" s="18">
        <f>E1202-D1202</f>
        <v/>
      </c>
      <c r="F1203" s="18">
        <f>F1202-E1202</f>
        <v/>
      </c>
      <c r="G1203" s="18">
        <f>G1202-F1202</f>
        <v/>
      </c>
    </row>
    <row r="1204">
      <c r="A1204" s="17" t="inlineStr">
        <is>
          <t>FREE CASH FLOW TO THE FIRM</t>
        </is>
      </c>
      <c r="C1204" s="20">
        <f>C1201+C1196-C1194-C1203</f>
        <v/>
      </c>
      <c r="D1204" s="20">
        <f>D1201+D1196-D1194-D1203</f>
        <v/>
      </c>
      <c r="E1204" s="20">
        <f>E1201+E1196-E1194-E1203</f>
        <v/>
      </c>
      <c r="F1204" s="20">
        <f>F1201+F1196-F1194-F1203</f>
        <v/>
      </c>
      <c r="G1204" s="20">
        <f>G1201+G1196-G1194-G1203</f>
        <v/>
      </c>
    </row>
    <row r="1205">
      <c r="A1205" s="9" t="inlineStr">
        <is>
          <t>Glide fraction</t>
        </is>
      </c>
      <c r="C1205" s="26">
        <f>0.0000000000</f>
        <v/>
      </c>
      <c r="D1205" s="26">
        <f>0.3571428571</f>
        <v/>
      </c>
      <c r="E1205" s="26">
        <f>0.6428571429</f>
        <v/>
      </c>
      <c r="F1205" s="26">
        <f>0.8571428571</f>
        <v/>
      </c>
      <c r="G1205" s="26">
        <f>1.0000000000</f>
        <v/>
      </c>
    </row>
    <row r="1206">
      <c r="A1206" s="9" t="inlineStr">
        <is>
          <t>Forward cost of capital</t>
        </is>
      </c>
      <c r="C1206" s="19">
        <f>Forecast!$B$14-(Forecast!$B$14-Forecast!$B$17)*C1205</f>
        <v/>
      </c>
      <c r="D1206" s="19">
        <f>Forecast!$B$14-(Forecast!$B$14-Forecast!$B$17)*D1205</f>
        <v/>
      </c>
      <c r="E1206" s="19">
        <f>Forecast!$B$14-(Forecast!$B$14-Forecast!$B$17)*E1205</f>
        <v/>
      </c>
      <c r="F1206" s="19">
        <f>Forecast!$B$14-(Forecast!$B$14-Forecast!$B$17)*F1205</f>
        <v/>
      </c>
      <c r="G1206" s="19">
        <f>Forecast!$B$14-(Forecast!$B$14-Forecast!$B$17)*G1205</f>
        <v/>
      </c>
    </row>
    <row r="1207">
      <c r="A1207" s="9" t="inlineStr">
        <is>
          <t>Cumulative discount factor</t>
        </is>
      </c>
      <c r="C1207" s="29">
        <f>1/(1+C1206)</f>
        <v/>
      </c>
      <c r="D1207" s="29">
        <f>C1207/(1+D1206)</f>
        <v/>
      </c>
      <c r="E1207" s="29">
        <f>D1207/(1+E1206)</f>
        <v/>
      </c>
      <c r="F1207" s="29">
        <f>E1207/(1+F1206)</f>
        <v/>
      </c>
      <c r="G1207" s="29">
        <f>F1207/(1+G1206)</f>
        <v/>
      </c>
    </row>
    <row r="1208">
      <c r="A1208" s="9" t="inlineStr">
        <is>
          <t>Present value</t>
        </is>
      </c>
      <c r="C1208" s="18">
        <f>C1204*C1207</f>
        <v/>
      </c>
      <c r="D1208" s="18">
        <f>D1204*D1207</f>
        <v/>
      </c>
      <c r="E1208" s="18">
        <f>E1204*E1207</f>
        <v/>
      </c>
      <c r="F1208" s="18">
        <f>F1204*F1207</f>
        <v/>
      </c>
      <c r="G1208" s="18">
        <f>G1204*G1207</f>
        <v/>
      </c>
    </row>
    <row r="1209">
      <c r="A1209" s="17" t="inlineStr">
        <is>
          <t>PV of the explicit window</t>
        </is>
      </c>
      <c r="B1209" s="20">
        <f>SUM(C1208:G1208)</f>
        <v/>
      </c>
      <c r="C1209" s="18">
        <f>C1202+C1195</f>
        <v/>
      </c>
      <c r="D1209" s="18">
        <f>D1202+D1195</f>
        <v/>
      </c>
      <c r="E1209" s="18">
        <f>E1202+E1195</f>
        <v/>
      </c>
      <c r="F1209" s="18">
        <f>F1202+F1195</f>
        <v/>
      </c>
      <c r="G1209" s="18">
        <f>G1202+G1195</f>
        <v/>
      </c>
    </row>
    <row r="1210">
      <c r="A1210" s="9" t="inlineStr">
        <is>
          <t>Terminal return on invested capital, at REPLACEMENT cost</t>
        </is>
      </c>
      <c r="B1210" s="19">
        <f>G1201*(1+Assumptions!$B$89)/G1209</f>
        <v/>
      </c>
    </row>
    <row r="1211">
      <c r="A1211" s="9" t="inlineStr">
        <is>
          <t>Required reinvestment = growth / return</t>
        </is>
      </c>
      <c r="B1211" s="19">
        <f>MIN(Assumptions!$B$89/B1210,0.95)</f>
        <v/>
      </c>
    </row>
    <row r="1212">
      <c r="A1212" s="9" t="inlineStr">
        <is>
          <t>Terminal value</t>
        </is>
      </c>
      <c r="B1212" s="18">
        <f>G1201*(1+Assumptions!$B$89)*(1-B1211)/MAX(Forecast!$B$17-Assumptions!$B$89,0.02)</f>
        <v/>
      </c>
    </row>
    <row r="1213">
      <c r="A1213" s="9" t="inlineStr">
        <is>
          <t>PV of the terminal block</t>
        </is>
      </c>
      <c r="B1213" s="18">
        <f>B1212*G1207</f>
        <v/>
      </c>
    </row>
    <row r="1214">
      <c r="A1214" s="17" t="inlineStr">
        <is>
          <t>ENTERPRISE VALUE</t>
        </is>
      </c>
      <c r="B1214" s="20">
        <f>B1209+B1213</f>
        <v/>
      </c>
    </row>
    <row r="1215">
      <c r="A1215" s="9" t="inlineStr">
        <is>
          <t>plus net cash</t>
        </is>
      </c>
      <c r="B1215" s="18">
        <f>(Assumptions!$B$79-Assumptions!$B$82-Assumptions!$B$83)/10^6</f>
        <v/>
      </c>
    </row>
    <row r="1216">
      <c r="A1216" s="9" t="inlineStr">
        <is>
          <t>Enterprise value including cash</t>
        </is>
      </c>
      <c r="B1216" s="18">
        <f>B1214+B1215</f>
        <v/>
      </c>
    </row>
    <row r="1217">
      <c r="A1217" s="9" t="inlineStr">
        <is>
          <t>less minority — on the WHOLE enterprise, cash included</t>
        </is>
      </c>
      <c r="B1217" s="18">
        <f>B1216*'Base Year'!$B$41</f>
        <v/>
      </c>
    </row>
    <row r="1218">
      <c r="A1218" s="9" t="inlineStr">
        <is>
          <t>less the tax-disputes provision</t>
        </is>
      </c>
      <c r="B1218" s="18">
        <f>Assumptions!$B$78/10^6</f>
        <v/>
      </c>
    </row>
    <row r="1219">
      <c r="A1219" s="9" t="inlineStr">
        <is>
          <t>less dividends payable — declared, out of working capital</t>
        </is>
      </c>
      <c r="B1219" s="18">
        <f>Assumptions!$B$77/10^6</f>
        <v/>
      </c>
    </row>
    <row r="1220">
      <c r="A1220" s="9" t="inlineStr">
        <is>
          <t>plus non-operating investments and pledged deposits</t>
        </is>
      </c>
      <c r="B1220" s="18">
        <f>(Assumptions!$B$81+Assumptions!$B$80)/10^6</f>
        <v/>
      </c>
    </row>
    <row r="1221">
      <c r="A1221" s="17" t="inlineStr">
        <is>
          <t>EQUITY ATTRIBUTABLE</t>
        </is>
      </c>
      <c r="B1221" s="20">
        <f>B1216-B1217-B1218-B1219+B1220</f>
        <v/>
      </c>
    </row>
    <row r="1222">
      <c r="A1222" s="17" t="inlineStr">
        <is>
          <t>VALUE PER SHARE, EGP</t>
        </is>
      </c>
      <c r="B1222" s="30">
        <f>B1221/Assumptions!$B$8</f>
        <v/>
      </c>
    </row>
    <row r="1225">
      <c r="A1225" s="6" t="inlineStr">
        <is>
          <t>Working-capital cycle, as a multiple of the solved days — 1.50x</t>
        </is>
      </c>
      <c r="B1225" s="6" t="inlineStr">
        <is>
          <t>2026E</t>
        </is>
      </c>
      <c r="C1225" s="6" t="inlineStr">
        <is>
          <t>2027E</t>
        </is>
      </c>
      <c r="D1225" s="6" t="inlineStr">
        <is>
          <t>2028E</t>
        </is>
      </c>
      <c r="E1225" s="6" t="inlineStr">
        <is>
          <t>2029E</t>
        </is>
      </c>
      <c r="F1225" s="6" t="inlineStr">
        <is>
          <t>2030E</t>
        </is>
      </c>
    </row>
    <row r="1226">
      <c r="A1226" s="9" t="inlineStr">
        <is>
          <t>Inflation index, cumulative</t>
        </is>
      </c>
      <c r="C1226" s="26">
        <f>Assumptions!$B$146</f>
        <v/>
      </c>
      <c r="D1226" s="26">
        <f>C1226*Assumptions!$B$147</f>
        <v/>
      </c>
      <c r="E1226" s="26">
        <f>D1226*Assumptions!$B$148</f>
        <v/>
      </c>
      <c r="F1226" s="26">
        <f>E1226*Assumptions!$B$149</f>
        <v/>
      </c>
      <c r="G1226" s="26">
        <f>F1226*Assumptions!$B$150</f>
        <v/>
      </c>
    </row>
    <row r="1227">
      <c r="A1227" s="9" t="inlineStr">
        <is>
          <t>Realisation index, cumulative</t>
        </is>
      </c>
      <c r="C1227" s="26">
        <f>(1+Assumptions!$B$101*Forecast!$B$8)</f>
        <v/>
      </c>
      <c r="D1227" s="26">
        <f>C1227*(1+Assumptions!$B$102*Forecast!$B$8)</f>
        <v/>
      </c>
      <c r="E1227" s="26">
        <f>D1227*(1+Assumptions!$B$103*Forecast!$B$8)</f>
        <v/>
      </c>
      <c r="F1227" s="26">
        <f>E1227*(1+Assumptions!$B$104*Forecast!$B$8)</f>
        <v/>
      </c>
      <c r="G1227" s="26">
        <f>F1227*(1+Assumptions!$B$105*Forecast!$B$8)</f>
        <v/>
      </c>
    </row>
    <row r="1228">
      <c r="A1228" s="9" t="inlineStr">
        <is>
          <t xml:space="preserve">  Volume — Base and special oils, mn t</t>
        </is>
      </c>
      <c r="C1228" s="26">
        <f>'Product and Cost'!E6*(1+Assumptions!$B$106+Forecast!$B$6)</f>
        <v/>
      </c>
      <c r="D1228" s="26">
        <f>C1228*(1+Assumptions!$B$107+Forecast!$B$6)</f>
        <v/>
      </c>
      <c r="E1228" s="26">
        <f>D1228*(1+Assumptions!$B$108+Forecast!$B$6)</f>
        <v/>
      </c>
      <c r="F1228" s="26">
        <f>E1228*(1+Assumptions!$B$109+Forecast!$B$6)</f>
        <v/>
      </c>
      <c r="G1228" s="26">
        <f>F1228*(1+Assumptions!$B$110+Forecast!$B$6)</f>
        <v/>
      </c>
    </row>
    <row r="1229">
      <c r="A1229" s="9" t="inlineStr">
        <is>
          <t xml:space="preserve">  Volume — Paraffin wax, mn t</t>
        </is>
      </c>
      <c r="C1229" s="26">
        <f>'Product and Cost'!E7*(1+Assumptions!$B$111+Forecast!$B$6)</f>
        <v/>
      </c>
      <c r="D1229" s="26">
        <f>C1229*(1+Assumptions!$B$112+Forecast!$B$6)</f>
        <v/>
      </c>
      <c r="E1229" s="26">
        <f>D1229*(1+Assumptions!$B$113+Forecast!$B$6)</f>
        <v/>
      </c>
      <c r="F1229" s="26">
        <f>E1229*(1+Assumptions!$B$114+Forecast!$B$6)</f>
        <v/>
      </c>
      <c r="G1229" s="26">
        <f>F1229*(1+Assumptions!$B$115+Forecast!$B$6)</f>
        <v/>
      </c>
    </row>
    <row r="1230">
      <c r="A1230" s="9" t="inlineStr">
        <is>
          <t xml:space="preserve">  Volume — Gas oil, mn t</t>
        </is>
      </c>
      <c r="C1230" s="26">
        <f>'Product and Cost'!E8*(1+Assumptions!$B$116+Forecast!$B$6)</f>
        <v/>
      </c>
      <c r="D1230" s="26">
        <f>C1230*(1+Assumptions!$B$117+Forecast!$B$6)</f>
        <v/>
      </c>
      <c r="E1230" s="26">
        <f>D1230*(1+Assumptions!$B$118+Forecast!$B$6)</f>
        <v/>
      </c>
      <c r="F1230" s="26">
        <f>E1230*(1+Assumptions!$B$119+Forecast!$B$6)</f>
        <v/>
      </c>
      <c r="G1230" s="26">
        <f>F1230*(1+Assumptions!$B$120+Forecast!$B$6)</f>
        <v/>
      </c>
    </row>
    <row r="1231">
      <c r="A1231" s="9" t="inlineStr">
        <is>
          <t xml:space="preserve">  Volume — Naphtha, mn t</t>
        </is>
      </c>
      <c r="C1231" s="26">
        <f>'Product and Cost'!E9*(1+Assumptions!$B$121+Forecast!$B$6)</f>
        <v/>
      </c>
      <c r="D1231" s="26">
        <f>C1231*(1+Assumptions!$B$122+Forecast!$B$6)</f>
        <v/>
      </c>
      <c r="E1231" s="26">
        <f>D1231*(1+Assumptions!$B$123+Forecast!$B$6)</f>
        <v/>
      </c>
      <c r="F1231" s="26">
        <f>E1231*(1+Assumptions!$B$124+Forecast!$B$6)</f>
        <v/>
      </c>
      <c r="G1231" s="26">
        <f>F1231*(1+Assumptions!$B$125+Forecast!$B$6)</f>
        <v/>
      </c>
    </row>
    <row r="1232">
      <c r="A1232" s="9" t="inlineStr">
        <is>
          <t xml:space="preserve">  Volume — Liquefied petroleum gas, mn t</t>
        </is>
      </c>
      <c r="C1232" s="26">
        <f>'Product and Cost'!E10*(1+Assumptions!$B$126+Forecast!$B$6)</f>
        <v/>
      </c>
      <c r="D1232" s="26">
        <f>C1232*(1+Assumptions!$B$127+Forecast!$B$6)</f>
        <v/>
      </c>
      <c r="E1232" s="26">
        <f>D1232*(1+Assumptions!$B$128+Forecast!$B$6)</f>
        <v/>
      </c>
      <c r="F1232" s="26">
        <f>E1232*(1+Assumptions!$B$129+Forecast!$B$6)</f>
        <v/>
      </c>
      <c r="G1232" s="26">
        <f>F1232*(1+Assumptions!$B$130+Forecast!$B$6)</f>
        <v/>
      </c>
    </row>
    <row r="1233">
      <c r="A1233" s="9" t="inlineStr">
        <is>
          <t xml:space="preserve">  Volume — Fuel oil (mix), mn t</t>
        </is>
      </c>
      <c r="C1233" s="26">
        <f>'Product and Cost'!E11*(1+Assumptions!$B$131+Forecast!$B$6)</f>
        <v/>
      </c>
      <c r="D1233" s="26">
        <f>C1233*(1+Assumptions!$B$132+Forecast!$B$6)</f>
        <v/>
      </c>
      <c r="E1233" s="26">
        <f>D1233*(1+Assumptions!$B$133+Forecast!$B$6)</f>
        <v/>
      </c>
      <c r="F1233" s="26">
        <f>E1233*(1+Assumptions!$B$134+Forecast!$B$6)</f>
        <v/>
      </c>
      <c r="G1233" s="26">
        <f>F1233*(1+Assumptions!$B$135+Forecast!$B$6)</f>
        <v/>
      </c>
    </row>
    <row r="1234">
      <c r="A1234" s="9" t="inlineStr">
        <is>
          <t xml:space="preserve">  Volume — Heavy fuel oil, mn t</t>
        </is>
      </c>
      <c r="C1234" s="26">
        <f>'Product and Cost'!E12*(1+Assumptions!$B$136+Forecast!$B$6)</f>
        <v/>
      </c>
      <c r="D1234" s="26">
        <f>C1234*(1+Assumptions!$B$137+Forecast!$B$6)</f>
        <v/>
      </c>
      <c r="E1234" s="26">
        <f>D1234*(1+Assumptions!$B$138+Forecast!$B$6)</f>
        <v/>
      </c>
      <c r="F1234" s="26">
        <f>E1234*(1+Assumptions!$B$139+Forecast!$B$6)</f>
        <v/>
      </c>
      <c r="G1234" s="26">
        <f>F1234*(1+Assumptions!$B$140+Forecast!$B$6)</f>
        <v/>
      </c>
    </row>
    <row r="1235">
      <c r="A1235" s="9" t="inlineStr">
        <is>
          <t xml:space="preserve">  Volume — Waste, mn t</t>
        </is>
      </c>
      <c r="C1235" s="26">
        <f>'Product and Cost'!E13*(1+Assumptions!$B$141+Forecast!$B$6)</f>
        <v/>
      </c>
      <c r="D1235" s="26">
        <f>C1235*(1+Assumptions!$B$142+Forecast!$B$6)</f>
        <v/>
      </c>
      <c r="E1235" s="26">
        <f>D1235*(1+Assumptions!$B$143+Forecast!$B$6)</f>
        <v/>
      </c>
      <c r="F1235" s="26">
        <f>E1235*(1+Assumptions!$B$144+Forecast!$B$6)</f>
        <v/>
      </c>
      <c r="G1235" s="26">
        <f>F1235*(1+Assumptions!$B$145+Forecast!$B$6)</f>
        <v/>
      </c>
    </row>
    <row r="1236">
      <c r="A1236" s="17" t="inlineStr">
        <is>
          <t>Total volume, mn t</t>
        </is>
      </c>
      <c r="C1236" s="28">
        <f>SUM(C1228:C1235)</f>
        <v/>
      </c>
      <c r="D1236" s="28">
        <f>SUM(D1228:D1235)</f>
        <v/>
      </c>
      <c r="E1236" s="28">
        <f>SUM(E1228:E1235)</f>
        <v/>
      </c>
      <c r="F1236" s="28">
        <f>SUM(F1228:F1235)</f>
        <v/>
      </c>
      <c r="G1236" s="28">
        <f>SUM(G1228:G1235)</f>
        <v/>
      </c>
    </row>
    <row r="1237">
      <c r="A1237" s="17" t="inlineStr">
        <is>
          <t>REVENUE</t>
        </is>
      </c>
      <c r="C1237" s="20">
        <f>C1228*'Product and Cost'!$F$6*C1227+C1229*'Product and Cost'!$F$7*C1227+C1230*'Product and Cost'!$F$8*C1227+C1231*'Product and Cost'!$F$9*C1227+C1232*'Product and Cost'!$F$10*C1227+C1233*'Product and Cost'!$F$11*C1227+C1234*'Product and Cost'!$F$12*C1227+C1235*'Product and Cost'!$F$13*C1227</f>
        <v/>
      </c>
      <c r="D1237" s="20">
        <f>D1228*'Product and Cost'!$F$6*D1227+D1229*'Product and Cost'!$F$7*D1227+D1230*'Product and Cost'!$F$8*D1227+D1231*'Product and Cost'!$F$9*D1227+D1232*'Product and Cost'!$F$10*D1227+D1233*'Product and Cost'!$F$11*D1227+D1234*'Product and Cost'!$F$12*D1227+D1235*'Product and Cost'!$F$13*D1227</f>
        <v/>
      </c>
      <c r="E1237" s="20">
        <f>E1228*'Product and Cost'!$F$6*E1227+E1229*'Product and Cost'!$F$7*E1227+E1230*'Product and Cost'!$F$8*E1227+E1231*'Product and Cost'!$F$9*E1227+E1232*'Product and Cost'!$F$10*E1227+E1233*'Product and Cost'!$F$11*E1227+E1234*'Product and Cost'!$F$12*E1227+E1235*'Product and Cost'!$F$13*E1227</f>
        <v/>
      </c>
      <c r="F1237" s="20">
        <f>F1228*'Product and Cost'!$F$6*F1227+F1229*'Product and Cost'!$F$7*F1227+F1230*'Product and Cost'!$F$8*F1227+F1231*'Product and Cost'!$F$9*F1227+F1232*'Product and Cost'!$F$10*F1227+F1233*'Product and Cost'!$F$11*F1227+F1234*'Product and Cost'!$F$12*F1227+F1235*'Product and Cost'!$F$13*F1227</f>
        <v/>
      </c>
      <c r="G1237" s="20">
        <f>G1228*'Product and Cost'!$F$6*G1227+G1229*'Product and Cost'!$F$7*G1227+G1230*'Product and Cost'!$F$8*G1227+G1231*'Product and Cost'!$F$9*G1227+G1232*'Product and Cost'!$F$10*G1227+G1233*'Product and Cost'!$F$11*G1227+G1234*'Product and Cost'!$F$12*G1227+G1235*'Product and Cost'!$F$13*G1227</f>
        <v/>
      </c>
    </row>
    <row r="1238">
      <c r="A1238" s="9" t="inlineStr">
        <is>
          <t>Cost of sales</t>
        </is>
      </c>
      <c r="C1238" s="18">
        <f>C1228*('Product and Cost'!$D$27*C1227*Assumptions!$B$88+'Product and Cost'!$B$27*(0.4863620081*C1226+0.4455809638*C1226+0.0356254898*C1227+0.0324315384))+C1229*('Product and Cost'!$D$28*C1227*Assumptions!$B$88+'Product and Cost'!$B$28*(0.4863620081*C1226+0.4455809638*C1226+0.0356254898*C1227+0.0324315384))+C1230*('Product and Cost'!$D$29*C1227*Assumptions!$B$88+'Product and Cost'!$B$29*(0.4863620081*C1226+0.4455809638*C1226+0.0356254898*C1227+0.0324315384))+C1231*('Product and Cost'!$D$30*C1227*Assumptions!$B$88+'Product and Cost'!$B$30*(0.4863620081*C1226+0.4455809638*C1226+0.0356254898*C1227+0.0324315384))+C1232*('Product and Cost'!$D$31*C1227*Assumptions!$B$88+'Product and Cost'!$B$31*(0.4863620081*C1226+0.4455809638*C1226+0.0356254898*C1227+0.0324315384))+C1233*('Product and Cost'!$D$32*C1227*Assumptions!$B$88+'Product and Cost'!$B$32*(0.4863620081*C1226+0.4455809638*C1226+0.0356254898*C1227+0.0324315384))+C1234*('Product and Cost'!$D$33*C1227*Assumptions!$B$88+'Product and Cost'!$B$33*(0.4863620081*C1226+0.4455809638*C1226+0.0356254898*C1227+0.0324315384))+C1235*('Product and Cost'!$D$34*C1227*Assumptions!$B$88+'Product and Cost'!$B$34*(0.4863620081*C1226+0.4455809638*C1226+0.0356254898*C1227+0.0324315384))</f>
        <v/>
      </c>
      <c r="D1238" s="18">
        <f>D1228*('Product and Cost'!$D$27*D1227*Assumptions!$B$88+'Product and Cost'!$B$27*(0.4863620081*D1226+0.4455809638*D1226+0.0356254898*D1227+0.0324315384))+D1229*('Product and Cost'!$D$28*D1227*Assumptions!$B$88+'Product and Cost'!$B$28*(0.4863620081*D1226+0.4455809638*D1226+0.0356254898*D1227+0.0324315384))+D1230*('Product and Cost'!$D$29*D1227*Assumptions!$B$88+'Product and Cost'!$B$29*(0.4863620081*D1226+0.4455809638*D1226+0.0356254898*D1227+0.0324315384))+D1231*('Product and Cost'!$D$30*D1227*Assumptions!$B$88+'Product and Cost'!$B$30*(0.4863620081*D1226+0.4455809638*D1226+0.0356254898*D1227+0.0324315384))+D1232*('Product and Cost'!$D$31*D1227*Assumptions!$B$88+'Product and Cost'!$B$31*(0.4863620081*D1226+0.4455809638*D1226+0.0356254898*D1227+0.0324315384))+D1233*('Product and Cost'!$D$32*D1227*Assumptions!$B$88+'Product and Cost'!$B$32*(0.4863620081*D1226+0.4455809638*D1226+0.0356254898*D1227+0.0324315384))+D1234*('Product and Cost'!$D$33*D1227*Assumptions!$B$88+'Product and Cost'!$B$33*(0.4863620081*D1226+0.4455809638*D1226+0.0356254898*D1227+0.0324315384))+D1235*('Product and Cost'!$D$34*D1227*Assumptions!$B$88+'Product and Cost'!$B$34*(0.4863620081*D1226+0.4455809638*D1226+0.0356254898*D1227+0.0324315384))</f>
        <v/>
      </c>
      <c r="E1238" s="18">
        <f>E1228*('Product and Cost'!$D$27*E1227*Assumptions!$B$88+'Product and Cost'!$B$27*(0.4863620081*E1226+0.4455809638*E1226+0.0356254898*E1227+0.0324315384))+E1229*('Product and Cost'!$D$28*E1227*Assumptions!$B$88+'Product and Cost'!$B$28*(0.4863620081*E1226+0.4455809638*E1226+0.0356254898*E1227+0.0324315384))+E1230*('Product and Cost'!$D$29*E1227*Assumptions!$B$88+'Product and Cost'!$B$29*(0.4863620081*E1226+0.4455809638*E1226+0.0356254898*E1227+0.0324315384))+E1231*('Product and Cost'!$D$30*E1227*Assumptions!$B$88+'Product and Cost'!$B$30*(0.4863620081*E1226+0.4455809638*E1226+0.0356254898*E1227+0.0324315384))+E1232*('Product and Cost'!$D$31*E1227*Assumptions!$B$88+'Product and Cost'!$B$31*(0.4863620081*E1226+0.4455809638*E1226+0.0356254898*E1227+0.0324315384))+E1233*('Product and Cost'!$D$32*E1227*Assumptions!$B$88+'Product and Cost'!$B$32*(0.4863620081*E1226+0.4455809638*E1226+0.0356254898*E1227+0.0324315384))+E1234*('Product and Cost'!$D$33*E1227*Assumptions!$B$88+'Product and Cost'!$B$33*(0.4863620081*E1226+0.4455809638*E1226+0.0356254898*E1227+0.0324315384))+E1235*('Product and Cost'!$D$34*E1227*Assumptions!$B$88+'Product and Cost'!$B$34*(0.4863620081*E1226+0.4455809638*E1226+0.0356254898*E1227+0.0324315384))</f>
        <v/>
      </c>
      <c r="F1238" s="18">
        <f>F1228*('Product and Cost'!$D$27*F1227*Assumptions!$B$88+'Product and Cost'!$B$27*(0.4863620081*F1226+0.4455809638*F1226+0.0356254898*F1227+0.0324315384))+F1229*('Product and Cost'!$D$28*F1227*Assumptions!$B$88+'Product and Cost'!$B$28*(0.4863620081*F1226+0.4455809638*F1226+0.0356254898*F1227+0.0324315384))+F1230*('Product and Cost'!$D$29*F1227*Assumptions!$B$88+'Product and Cost'!$B$29*(0.4863620081*F1226+0.4455809638*F1226+0.0356254898*F1227+0.0324315384))+F1231*('Product and Cost'!$D$30*F1227*Assumptions!$B$88+'Product and Cost'!$B$30*(0.4863620081*F1226+0.4455809638*F1226+0.0356254898*F1227+0.0324315384))+F1232*('Product and Cost'!$D$31*F1227*Assumptions!$B$88+'Product and Cost'!$B$31*(0.4863620081*F1226+0.4455809638*F1226+0.0356254898*F1227+0.0324315384))+F1233*('Product and Cost'!$D$32*F1227*Assumptions!$B$88+'Product and Cost'!$B$32*(0.4863620081*F1226+0.4455809638*F1226+0.0356254898*F1227+0.0324315384))+F1234*('Product and Cost'!$D$33*F1227*Assumptions!$B$88+'Product and Cost'!$B$33*(0.4863620081*F1226+0.4455809638*F1226+0.0356254898*F1227+0.0324315384))+F1235*('Product and Cost'!$D$34*F1227*Assumptions!$B$88+'Product and Cost'!$B$34*(0.4863620081*F1226+0.4455809638*F1226+0.0356254898*F1227+0.0324315384))</f>
        <v/>
      </c>
      <c r="G1238" s="18">
        <f>G1228*('Product and Cost'!$D$27*G1227*Assumptions!$B$88+'Product and Cost'!$B$27*(0.4863620081*G1226+0.4455809638*G1226+0.0356254898*G1227+0.0324315384))+G1229*('Product and Cost'!$D$28*G1227*Assumptions!$B$88+'Product and Cost'!$B$28*(0.4863620081*G1226+0.4455809638*G1226+0.0356254898*G1227+0.0324315384))+G1230*('Product and Cost'!$D$29*G1227*Assumptions!$B$88+'Product and Cost'!$B$29*(0.4863620081*G1226+0.4455809638*G1226+0.0356254898*G1227+0.0324315384))+G1231*('Product and Cost'!$D$30*G1227*Assumptions!$B$88+'Product and Cost'!$B$30*(0.4863620081*G1226+0.4455809638*G1226+0.0356254898*G1227+0.0324315384))+G1232*('Product and Cost'!$D$31*G1227*Assumptions!$B$88+'Product and Cost'!$B$31*(0.4863620081*G1226+0.4455809638*G1226+0.0356254898*G1227+0.0324315384))+G1233*('Product and Cost'!$D$32*G1227*Assumptions!$B$88+'Product and Cost'!$B$32*(0.4863620081*G1226+0.4455809638*G1226+0.0356254898*G1227+0.0324315384))+G1234*('Product and Cost'!$D$33*G1227*Assumptions!$B$88+'Product and Cost'!$B$33*(0.4863620081*G1226+0.4455809638*G1226+0.0356254898*G1227+0.0324315384))+G1235*('Product and Cost'!$D$34*G1227*Assumptions!$B$88+'Product and Cost'!$B$34*(0.4863620081*G1226+0.4455809638*G1226+0.0356254898*G1227+0.0324315384))</f>
        <v/>
      </c>
    </row>
    <row r="1239">
      <c r="A1239" s="17" t="inlineStr">
        <is>
          <t>GROSS PROFIT</t>
        </is>
      </c>
      <c r="C1239" s="20">
        <f>C1237-C1238+Forecast!$B$7*C1237</f>
        <v/>
      </c>
      <c r="D1239" s="20">
        <f>D1237-D1238+Forecast!$B$7*D1237</f>
        <v/>
      </c>
      <c r="E1239" s="20">
        <f>E1237-E1238+Forecast!$B$7*E1237</f>
        <v/>
      </c>
      <c r="F1239" s="20">
        <f>F1237-F1238+Forecast!$B$7*F1237</f>
        <v/>
      </c>
      <c r="G1239" s="20">
        <f>G1237-G1238+Forecast!$B$7*G1237</f>
        <v/>
      </c>
    </row>
    <row r="1240">
      <c r="A1240" s="9" t="inlineStr">
        <is>
          <t>Gross margin</t>
        </is>
      </c>
      <c r="C1240" s="19">
        <f>C1239/C1237</f>
        <v/>
      </c>
      <c r="D1240" s="19">
        <f>D1239/D1237</f>
        <v/>
      </c>
      <c r="E1240" s="19">
        <f>E1239/E1237</f>
        <v/>
      </c>
      <c r="F1240" s="19">
        <f>F1239/F1237</f>
        <v/>
      </c>
      <c r="G1240" s="19">
        <f>G1239/G1237</f>
        <v/>
      </c>
    </row>
    <row r="1241">
      <c r="A1241" s="9" t="inlineStr">
        <is>
          <t>Operating expense</t>
        </is>
      </c>
      <c r="C1241" s="18">
        <f>('Base Year'!$B$28*C1226)+('Base Year'!$B$29*C1226*C1236/'Product and Cost'!$E$14)+('Base Year'!$B$30*C1226)+('Base Year'!$B$31*C1226)</f>
        <v/>
      </c>
      <c r="D1241" s="18">
        <f>('Base Year'!$B$28*D1226)+('Base Year'!$B$29*D1226*D1236/'Product and Cost'!$E$14)+('Base Year'!$B$30*D1226)+('Base Year'!$B$31*D1226)</f>
        <v/>
      </c>
      <c r="E1241" s="18">
        <f>('Base Year'!$B$28*E1226)+('Base Year'!$B$29*E1226*E1236/'Product and Cost'!$E$14)+('Base Year'!$B$30*E1226)+('Base Year'!$B$31*E1226)</f>
        <v/>
      </c>
      <c r="F1241" s="18">
        <f>('Base Year'!$B$28*F1226)+('Base Year'!$B$29*F1226*F1236/'Product and Cost'!$E$14)+('Base Year'!$B$30*F1226)+('Base Year'!$B$31*F1226)</f>
        <v/>
      </c>
      <c r="G1241" s="18">
        <f>('Base Year'!$B$28*G1226)+('Base Year'!$B$29*G1226*G1236/'Product and Cost'!$E$14)+('Base Year'!$B$30*G1226)+('Base Year'!$B$31*G1226)</f>
        <v/>
      </c>
    </row>
    <row r="1242">
      <c r="A1242" s="17" t="inlineStr">
        <is>
          <t>EBITDA</t>
        </is>
      </c>
      <c r="C1242" s="20">
        <f>C1239-C1241</f>
        <v/>
      </c>
      <c r="D1242" s="20">
        <f>D1239-D1241</f>
        <v/>
      </c>
      <c r="E1242" s="20">
        <f>E1239-E1241</f>
        <v/>
      </c>
      <c r="F1242" s="20">
        <f>F1239-F1241</f>
        <v/>
      </c>
      <c r="G1242" s="20">
        <f>G1239-G1241</f>
        <v/>
      </c>
    </row>
    <row r="1243">
      <c r="A1243" s="9" t="inlineStr">
        <is>
          <t>Capital expenditure — maintenance + growth</t>
        </is>
      </c>
      <c r="C1243" s="18">
        <f>'Base Year'!$B$43*C1226+MAX(C1236-'Product and Cost'!$E$14,0)*1947.901031*C1226</f>
        <v/>
      </c>
      <c r="D1243" s="18">
        <f>'Base Year'!$B$43*D1226+MAX(D1236-C1236,0)*1947.901031*D1226</f>
        <v/>
      </c>
      <c r="E1243" s="18">
        <f>'Base Year'!$B$43*E1226+MAX(E1236-D1236,0)*1947.901031*E1226</f>
        <v/>
      </c>
      <c r="F1243" s="18">
        <f>'Base Year'!$B$43*F1226+MAX(F1236-E1236,0)*1947.901031*F1226</f>
        <v/>
      </c>
      <c r="G1243" s="18">
        <f>'Base Year'!$B$43*G1226+MAX(G1236-F1236,0)*1947.901031*G1226</f>
        <v/>
      </c>
    </row>
    <row r="1244">
      <c r="A1244" s="9" t="inlineStr">
        <is>
          <t>Fixed assets at cost, closing</t>
        </is>
      </c>
      <c r="C1244" s="18">
        <f>(Assumptions!$B$70+Assumptions!$B$71)/10^6+C1243</f>
        <v/>
      </c>
      <c r="D1244" s="18">
        <f>C1244+D1243</f>
        <v/>
      </c>
      <c r="E1244" s="18">
        <f>D1244+E1243</f>
        <v/>
      </c>
      <c r="F1244" s="18">
        <f>E1244+F1243</f>
        <v/>
      </c>
      <c r="G1244" s="18">
        <f>F1244+G1243</f>
        <v/>
      </c>
    </row>
    <row r="1245">
      <c r="A1245" s="9" t="inlineStr">
        <is>
          <t>Depreciation — rolls off the asset register</t>
        </is>
      </c>
      <c r="C1245" s="18">
        <f>(Assumptions!$B$70+Assumptions!$B$71)/10^6/'Base Year'!$B$42</f>
        <v/>
      </c>
      <c r="D1245" s="18">
        <f>C1244/'Base Year'!$B$42</f>
        <v/>
      </c>
      <c r="E1245" s="18">
        <f>D1244/'Base Year'!$B$42</f>
        <v/>
      </c>
      <c r="F1245" s="18">
        <f>E1244/'Base Year'!$B$42</f>
        <v/>
      </c>
      <c r="G1245" s="18">
        <f>F1244/'Base Year'!$B$42</f>
        <v/>
      </c>
    </row>
    <row r="1246">
      <c r="A1246" s="9" t="inlineStr">
        <is>
          <t>Fixed assets, net book, closing</t>
        </is>
      </c>
      <c r="C1246" s="18">
        <f>(Assumptions!$B$69+Assumptions!$B$71)/10^6+C1243-C1245</f>
        <v/>
      </c>
      <c r="D1246" s="18">
        <f>C1246+D1243-D1245</f>
        <v/>
      </c>
      <c r="E1246" s="18">
        <f>D1246+E1243-E1245</f>
        <v/>
      </c>
      <c r="F1246" s="18">
        <f>E1246+F1243-F1245</f>
        <v/>
      </c>
      <c r="G1246" s="18">
        <f>F1246+G1243-G1245</f>
        <v/>
      </c>
    </row>
    <row r="1247">
      <c r="A1247" s="17" t="inlineStr">
        <is>
          <t>EBIT</t>
        </is>
      </c>
      <c r="C1247" s="20">
        <f>C1242-C1245</f>
        <v/>
      </c>
      <c r="D1247" s="20">
        <f>D1242-D1245</f>
        <v/>
      </c>
      <c r="E1247" s="20">
        <f>E1242-E1245</f>
        <v/>
      </c>
      <c r="F1247" s="20">
        <f>F1242-F1245</f>
        <v/>
      </c>
      <c r="G1247" s="20">
        <f>G1242-G1245</f>
        <v/>
      </c>
    </row>
    <row r="1248">
      <c r="A1248" s="9" t="inlineStr">
        <is>
          <t>NOPAT before the profit share</t>
        </is>
      </c>
      <c r="C1248" s="18">
        <f>C1247*(1-Assumptions!$B$87)</f>
        <v/>
      </c>
      <c r="D1248" s="18">
        <f>D1247*(1-Assumptions!$B$87)</f>
        <v/>
      </c>
      <c r="E1248" s="18">
        <f>E1247*(1-Assumptions!$B$87)</f>
        <v/>
      </c>
      <c r="F1248" s="18">
        <f>F1247*(1-Assumptions!$B$87)</f>
        <v/>
      </c>
      <c r="G1248" s="18">
        <f>G1247*(1-Assumptions!$B$87)</f>
        <v/>
      </c>
    </row>
    <row r="1249">
      <c r="A1249" s="9" t="inlineStr">
        <is>
          <t xml:space="preserve">  less employees' profit share and board bonuses</t>
        </is>
      </c>
      <c r="C1249" s="18">
        <f>MAX(C1248,0)*'Base Year'!$B$40</f>
        <v/>
      </c>
      <c r="D1249" s="18">
        <f>MAX(D1248,0)*'Base Year'!$B$40</f>
        <v/>
      </c>
      <c r="E1249" s="18">
        <f>MAX(E1248,0)*'Base Year'!$B$40</f>
        <v/>
      </c>
      <c r="F1249" s="18">
        <f>MAX(F1248,0)*'Base Year'!$B$40</f>
        <v/>
      </c>
      <c r="G1249" s="18">
        <f>MAX(G1248,0)*'Base Year'!$B$40</f>
        <v/>
      </c>
    </row>
    <row r="1250">
      <c r="A1250" s="17" t="inlineStr">
        <is>
          <t>NOPAT</t>
        </is>
      </c>
      <c r="C1250" s="20">
        <f>C1248-C1249</f>
        <v/>
      </c>
      <c r="D1250" s="20">
        <f>D1248-D1249</f>
        <v/>
      </c>
      <c r="E1250" s="20">
        <f>E1248-E1249</f>
        <v/>
      </c>
      <c r="F1250" s="20">
        <f>F1248-F1249</f>
        <v/>
      </c>
      <c r="G1250" s="20">
        <f>G1248-G1249</f>
        <v/>
      </c>
    </row>
    <row r="1251">
      <c r="A1251" s="9" t="inlineStr">
        <is>
          <t>Net working capital — on days</t>
        </is>
      </c>
      <c r="C1251" s="18">
        <f>'Base Year'!$B$44*$E$38/365*C1238+'Base Year'!$B$45*$E$38/365*C1237-'Base Year'!$B$46*$E$38/365*C1238</f>
        <v/>
      </c>
      <c r="D1251" s="18">
        <f>'Base Year'!$B$44*$E$38/365*D1238+'Base Year'!$B$45*$E$38/365*D1237-'Base Year'!$B$46*$E$38/365*D1238</f>
        <v/>
      </c>
      <c r="E1251" s="18">
        <f>'Base Year'!$B$44*$E$38/365*E1238+'Base Year'!$B$45*$E$38/365*E1237-'Base Year'!$B$46*$E$38/365*E1238</f>
        <v/>
      </c>
      <c r="F1251" s="18">
        <f>'Base Year'!$B$44*$E$38/365*F1238+'Base Year'!$B$45*$E$38/365*F1237-'Base Year'!$B$46*$E$38/365*F1238</f>
        <v/>
      </c>
      <c r="G1251" s="18">
        <f>'Base Year'!$B$44*$E$38/365*G1238+'Base Year'!$B$45*$E$38/365*G1237-'Base Year'!$B$46*$E$38/365*G1238</f>
        <v/>
      </c>
    </row>
    <row r="1252">
      <c r="A1252" s="9" t="inlineStr">
        <is>
          <t xml:space="preserve">  change in working capital</t>
        </is>
      </c>
      <c r="C1252" s="18">
        <f>C1251-('Base Year'!$B$44/365*'Base Year'!$B$21+'Base Year'!$B$45/365*'Base Year'!$B$19-'Base Year'!$B$46/365*'Base Year'!$B$21)</f>
        <v/>
      </c>
      <c r="D1252" s="18">
        <f>D1251-C1251</f>
        <v/>
      </c>
      <c r="E1252" s="18">
        <f>E1251-D1251</f>
        <v/>
      </c>
      <c r="F1252" s="18">
        <f>F1251-E1251</f>
        <v/>
      </c>
      <c r="G1252" s="18">
        <f>G1251-F1251</f>
        <v/>
      </c>
    </row>
    <row r="1253">
      <c r="A1253" s="17" t="inlineStr">
        <is>
          <t>FREE CASH FLOW TO THE FIRM</t>
        </is>
      </c>
      <c r="C1253" s="20">
        <f>C1250+C1245-C1243-C1252</f>
        <v/>
      </c>
      <c r="D1253" s="20">
        <f>D1250+D1245-D1243-D1252</f>
        <v/>
      </c>
      <c r="E1253" s="20">
        <f>E1250+E1245-E1243-E1252</f>
        <v/>
      </c>
      <c r="F1253" s="20">
        <f>F1250+F1245-F1243-F1252</f>
        <v/>
      </c>
      <c r="G1253" s="20">
        <f>G1250+G1245-G1243-G1252</f>
        <v/>
      </c>
    </row>
    <row r="1254">
      <c r="A1254" s="9" t="inlineStr">
        <is>
          <t>Glide fraction</t>
        </is>
      </c>
      <c r="C1254" s="26">
        <f>0.0000000000</f>
        <v/>
      </c>
      <c r="D1254" s="26">
        <f>0.3571428571</f>
        <v/>
      </c>
      <c r="E1254" s="26">
        <f>0.6428571429</f>
        <v/>
      </c>
      <c r="F1254" s="26">
        <f>0.8571428571</f>
        <v/>
      </c>
      <c r="G1254" s="26">
        <f>1.0000000000</f>
        <v/>
      </c>
    </row>
    <row r="1255">
      <c r="A1255" s="9" t="inlineStr">
        <is>
          <t>Forward cost of capital</t>
        </is>
      </c>
      <c r="C1255" s="19">
        <f>Forecast!$B$14-(Forecast!$B$14-Forecast!$B$17)*C1254</f>
        <v/>
      </c>
      <c r="D1255" s="19">
        <f>Forecast!$B$14-(Forecast!$B$14-Forecast!$B$17)*D1254</f>
        <v/>
      </c>
      <c r="E1255" s="19">
        <f>Forecast!$B$14-(Forecast!$B$14-Forecast!$B$17)*E1254</f>
        <v/>
      </c>
      <c r="F1255" s="19">
        <f>Forecast!$B$14-(Forecast!$B$14-Forecast!$B$17)*F1254</f>
        <v/>
      </c>
      <c r="G1255" s="19">
        <f>Forecast!$B$14-(Forecast!$B$14-Forecast!$B$17)*G1254</f>
        <v/>
      </c>
    </row>
    <row r="1256">
      <c r="A1256" s="9" t="inlineStr">
        <is>
          <t>Cumulative discount factor</t>
        </is>
      </c>
      <c r="C1256" s="29">
        <f>1/(1+C1255)</f>
        <v/>
      </c>
      <c r="D1256" s="29">
        <f>C1256/(1+D1255)</f>
        <v/>
      </c>
      <c r="E1256" s="29">
        <f>D1256/(1+E1255)</f>
        <v/>
      </c>
      <c r="F1256" s="29">
        <f>E1256/(1+F1255)</f>
        <v/>
      </c>
      <c r="G1256" s="29">
        <f>F1256/(1+G1255)</f>
        <v/>
      </c>
    </row>
    <row r="1257">
      <c r="A1257" s="9" t="inlineStr">
        <is>
          <t>Present value</t>
        </is>
      </c>
      <c r="C1257" s="18">
        <f>C1253*C1256</f>
        <v/>
      </c>
      <c r="D1257" s="18">
        <f>D1253*D1256</f>
        <v/>
      </c>
      <c r="E1257" s="18">
        <f>E1253*E1256</f>
        <v/>
      </c>
      <c r="F1257" s="18">
        <f>F1253*F1256</f>
        <v/>
      </c>
      <c r="G1257" s="18">
        <f>G1253*G1256</f>
        <v/>
      </c>
    </row>
    <row r="1258">
      <c r="A1258" s="17" t="inlineStr">
        <is>
          <t>PV of the explicit window</t>
        </is>
      </c>
      <c r="B1258" s="20">
        <f>SUM(C1257:G1257)</f>
        <v/>
      </c>
      <c r="C1258" s="18">
        <f>C1251+C1244</f>
        <v/>
      </c>
      <c r="D1258" s="18">
        <f>D1251+D1244</f>
        <v/>
      </c>
      <c r="E1258" s="18">
        <f>E1251+E1244</f>
        <v/>
      </c>
      <c r="F1258" s="18">
        <f>F1251+F1244</f>
        <v/>
      </c>
      <c r="G1258" s="18">
        <f>G1251+G1244</f>
        <v/>
      </c>
    </row>
    <row r="1259">
      <c r="A1259" s="9" t="inlineStr">
        <is>
          <t>Terminal return on invested capital, at REPLACEMENT cost</t>
        </is>
      </c>
      <c r="B1259" s="19">
        <f>G1250*(1+Assumptions!$B$89)/G1258</f>
        <v/>
      </c>
    </row>
    <row r="1260">
      <c r="A1260" s="9" t="inlineStr">
        <is>
          <t>Required reinvestment = growth / return</t>
        </is>
      </c>
      <c r="B1260" s="19">
        <f>MIN(Assumptions!$B$89/B1259,0.95)</f>
        <v/>
      </c>
    </row>
    <row r="1261">
      <c r="A1261" s="9" t="inlineStr">
        <is>
          <t>Terminal value</t>
        </is>
      </c>
      <c r="B1261" s="18">
        <f>G1250*(1+Assumptions!$B$89)*(1-B1260)/MAX(Forecast!$B$17-Assumptions!$B$89,0.02)</f>
        <v/>
      </c>
    </row>
    <row r="1262">
      <c r="A1262" s="9" t="inlineStr">
        <is>
          <t>PV of the terminal block</t>
        </is>
      </c>
      <c r="B1262" s="18">
        <f>B1261*G1256</f>
        <v/>
      </c>
    </row>
    <row r="1263">
      <c r="A1263" s="17" t="inlineStr">
        <is>
          <t>ENTERPRISE VALUE</t>
        </is>
      </c>
      <c r="B1263" s="20">
        <f>B1258+B1262</f>
        <v/>
      </c>
    </row>
    <row r="1264">
      <c r="A1264" s="9" t="inlineStr">
        <is>
          <t>plus net cash</t>
        </is>
      </c>
      <c r="B1264" s="18">
        <f>(Assumptions!$B$79-Assumptions!$B$82-Assumptions!$B$83)/10^6</f>
        <v/>
      </c>
    </row>
    <row r="1265">
      <c r="A1265" s="9" t="inlineStr">
        <is>
          <t>Enterprise value including cash</t>
        </is>
      </c>
      <c r="B1265" s="18">
        <f>B1263+B1264</f>
        <v/>
      </c>
    </row>
    <row r="1266">
      <c r="A1266" s="9" t="inlineStr">
        <is>
          <t>less minority — on the WHOLE enterprise, cash included</t>
        </is>
      </c>
      <c r="B1266" s="18">
        <f>B1265*'Base Year'!$B$41</f>
        <v/>
      </c>
    </row>
    <row r="1267">
      <c r="A1267" s="9" t="inlineStr">
        <is>
          <t>less the tax-disputes provision</t>
        </is>
      </c>
      <c r="B1267" s="18">
        <f>Assumptions!$B$78/10^6</f>
        <v/>
      </c>
    </row>
    <row r="1268">
      <c r="A1268" s="9" t="inlineStr">
        <is>
          <t>less dividends payable — declared, out of working capital</t>
        </is>
      </c>
      <c r="B1268" s="18">
        <f>Assumptions!$B$77/10^6</f>
        <v/>
      </c>
    </row>
    <row r="1269">
      <c r="A1269" s="9" t="inlineStr">
        <is>
          <t>plus non-operating investments and pledged deposits</t>
        </is>
      </c>
      <c r="B1269" s="18">
        <f>(Assumptions!$B$81+Assumptions!$B$80)/10^6</f>
        <v/>
      </c>
    </row>
    <row r="1270">
      <c r="A1270" s="17" t="inlineStr">
        <is>
          <t>EQUITY ATTRIBUTABLE</t>
        </is>
      </c>
      <c r="B1270" s="20">
        <f>B1265-B1266-B1267-B1268+B1269</f>
        <v/>
      </c>
    </row>
    <row r="1271">
      <c r="A1271" s="17" t="inlineStr">
        <is>
          <t>VALUE PER SHARE, EGP</t>
        </is>
      </c>
      <c r="B1271" s="30">
        <f>B1270/Assumptions!$B$8</f>
        <v/>
      </c>
    </row>
    <row r="1274">
      <c r="A1274" s="6" t="inlineStr">
        <is>
          <t>Terminal growth — 3.0%</t>
        </is>
      </c>
      <c r="B1274" s="6" t="inlineStr">
        <is>
          <t>2026E</t>
        </is>
      </c>
      <c r="C1274" s="6" t="inlineStr">
        <is>
          <t>2027E</t>
        </is>
      </c>
      <c r="D1274" s="6" t="inlineStr">
        <is>
          <t>2028E</t>
        </is>
      </c>
      <c r="E1274" s="6" t="inlineStr">
        <is>
          <t>2029E</t>
        </is>
      </c>
      <c r="F1274" s="6" t="inlineStr">
        <is>
          <t>2030E</t>
        </is>
      </c>
    </row>
    <row r="1275">
      <c r="A1275" s="9" t="inlineStr">
        <is>
          <t>Inflation index, cumulative</t>
        </is>
      </c>
      <c r="C1275" s="26">
        <f>Assumptions!$B$146</f>
        <v/>
      </c>
      <c r="D1275" s="26">
        <f>C1275*Assumptions!$B$147</f>
        <v/>
      </c>
      <c r="E1275" s="26">
        <f>D1275*Assumptions!$B$148</f>
        <v/>
      </c>
      <c r="F1275" s="26">
        <f>E1275*Assumptions!$B$149</f>
        <v/>
      </c>
      <c r="G1275" s="26">
        <f>F1275*Assumptions!$B$150</f>
        <v/>
      </c>
    </row>
    <row r="1276">
      <c r="A1276" s="9" t="inlineStr">
        <is>
          <t>Realisation index, cumulative</t>
        </is>
      </c>
      <c r="C1276" s="26">
        <f>(1+Assumptions!$B$101*Forecast!$B$8)</f>
        <v/>
      </c>
      <c r="D1276" s="26">
        <f>C1276*(1+Assumptions!$B$102*Forecast!$B$8)</f>
        <v/>
      </c>
      <c r="E1276" s="26">
        <f>D1276*(1+Assumptions!$B$103*Forecast!$B$8)</f>
        <v/>
      </c>
      <c r="F1276" s="26">
        <f>E1276*(1+Assumptions!$B$104*Forecast!$B$8)</f>
        <v/>
      </c>
      <c r="G1276" s="26">
        <f>F1276*(1+Assumptions!$B$105*Forecast!$B$8)</f>
        <v/>
      </c>
    </row>
    <row r="1277">
      <c r="A1277" s="9" t="inlineStr">
        <is>
          <t xml:space="preserve">  Volume — Base and special oils, mn t</t>
        </is>
      </c>
      <c r="C1277" s="26">
        <f>'Product and Cost'!E6*(1+Assumptions!$B$106+Forecast!$B$6)</f>
        <v/>
      </c>
      <c r="D1277" s="26">
        <f>C1277*(1+Assumptions!$B$107+Forecast!$B$6)</f>
        <v/>
      </c>
      <c r="E1277" s="26">
        <f>D1277*(1+Assumptions!$B$108+Forecast!$B$6)</f>
        <v/>
      </c>
      <c r="F1277" s="26">
        <f>E1277*(1+Assumptions!$B$109+Forecast!$B$6)</f>
        <v/>
      </c>
      <c r="G1277" s="26">
        <f>F1277*(1+Assumptions!$B$110+Forecast!$B$6)</f>
        <v/>
      </c>
    </row>
    <row r="1278">
      <c r="A1278" s="9" t="inlineStr">
        <is>
          <t xml:space="preserve">  Volume — Paraffin wax, mn t</t>
        </is>
      </c>
      <c r="C1278" s="26">
        <f>'Product and Cost'!E7*(1+Assumptions!$B$111+Forecast!$B$6)</f>
        <v/>
      </c>
      <c r="D1278" s="26">
        <f>C1278*(1+Assumptions!$B$112+Forecast!$B$6)</f>
        <v/>
      </c>
      <c r="E1278" s="26">
        <f>D1278*(1+Assumptions!$B$113+Forecast!$B$6)</f>
        <v/>
      </c>
      <c r="F1278" s="26">
        <f>E1278*(1+Assumptions!$B$114+Forecast!$B$6)</f>
        <v/>
      </c>
      <c r="G1278" s="26">
        <f>F1278*(1+Assumptions!$B$115+Forecast!$B$6)</f>
        <v/>
      </c>
    </row>
    <row r="1279">
      <c r="A1279" s="9" t="inlineStr">
        <is>
          <t xml:space="preserve">  Volume — Gas oil, mn t</t>
        </is>
      </c>
      <c r="C1279" s="26">
        <f>'Product and Cost'!E8*(1+Assumptions!$B$116+Forecast!$B$6)</f>
        <v/>
      </c>
      <c r="D1279" s="26">
        <f>C1279*(1+Assumptions!$B$117+Forecast!$B$6)</f>
        <v/>
      </c>
      <c r="E1279" s="26">
        <f>D1279*(1+Assumptions!$B$118+Forecast!$B$6)</f>
        <v/>
      </c>
      <c r="F1279" s="26">
        <f>E1279*(1+Assumptions!$B$119+Forecast!$B$6)</f>
        <v/>
      </c>
      <c r="G1279" s="26">
        <f>F1279*(1+Assumptions!$B$120+Forecast!$B$6)</f>
        <v/>
      </c>
    </row>
    <row r="1280">
      <c r="A1280" s="9" t="inlineStr">
        <is>
          <t xml:space="preserve">  Volume — Naphtha, mn t</t>
        </is>
      </c>
      <c r="C1280" s="26">
        <f>'Product and Cost'!E9*(1+Assumptions!$B$121+Forecast!$B$6)</f>
        <v/>
      </c>
      <c r="D1280" s="26">
        <f>C1280*(1+Assumptions!$B$122+Forecast!$B$6)</f>
        <v/>
      </c>
      <c r="E1280" s="26">
        <f>D1280*(1+Assumptions!$B$123+Forecast!$B$6)</f>
        <v/>
      </c>
      <c r="F1280" s="26">
        <f>E1280*(1+Assumptions!$B$124+Forecast!$B$6)</f>
        <v/>
      </c>
      <c r="G1280" s="26">
        <f>F1280*(1+Assumptions!$B$125+Forecast!$B$6)</f>
        <v/>
      </c>
    </row>
    <row r="1281">
      <c r="A1281" s="9" t="inlineStr">
        <is>
          <t xml:space="preserve">  Volume — Liquefied petroleum gas, mn t</t>
        </is>
      </c>
      <c r="C1281" s="26">
        <f>'Product and Cost'!E10*(1+Assumptions!$B$126+Forecast!$B$6)</f>
        <v/>
      </c>
      <c r="D1281" s="26">
        <f>C1281*(1+Assumptions!$B$127+Forecast!$B$6)</f>
        <v/>
      </c>
      <c r="E1281" s="26">
        <f>D1281*(1+Assumptions!$B$128+Forecast!$B$6)</f>
        <v/>
      </c>
      <c r="F1281" s="26">
        <f>E1281*(1+Assumptions!$B$129+Forecast!$B$6)</f>
        <v/>
      </c>
      <c r="G1281" s="26">
        <f>F1281*(1+Assumptions!$B$130+Forecast!$B$6)</f>
        <v/>
      </c>
    </row>
    <row r="1282">
      <c r="A1282" s="9" t="inlineStr">
        <is>
          <t xml:space="preserve">  Volume — Fuel oil (mix), mn t</t>
        </is>
      </c>
      <c r="C1282" s="26">
        <f>'Product and Cost'!E11*(1+Assumptions!$B$131+Forecast!$B$6)</f>
        <v/>
      </c>
      <c r="D1282" s="26">
        <f>C1282*(1+Assumptions!$B$132+Forecast!$B$6)</f>
        <v/>
      </c>
      <c r="E1282" s="26">
        <f>D1282*(1+Assumptions!$B$133+Forecast!$B$6)</f>
        <v/>
      </c>
      <c r="F1282" s="26">
        <f>E1282*(1+Assumptions!$B$134+Forecast!$B$6)</f>
        <v/>
      </c>
      <c r="G1282" s="26">
        <f>F1282*(1+Assumptions!$B$135+Forecast!$B$6)</f>
        <v/>
      </c>
    </row>
    <row r="1283">
      <c r="A1283" s="9" t="inlineStr">
        <is>
          <t xml:space="preserve">  Volume — Heavy fuel oil, mn t</t>
        </is>
      </c>
      <c r="C1283" s="26">
        <f>'Product and Cost'!E12*(1+Assumptions!$B$136+Forecast!$B$6)</f>
        <v/>
      </c>
      <c r="D1283" s="26">
        <f>C1283*(1+Assumptions!$B$137+Forecast!$B$6)</f>
        <v/>
      </c>
      <c r="E1283" s="26">
        <f>D1283*(1+Assumptions!$B$138+Forecast!$B$6)</f>
        <v/>
      </c>
      <c r="F1283" s="26">
        <f>E1283*(1+Assumptions!$B$139+Forecast!$B$6)</f>
        <v/>
      </c>
      <c r="G1283" s="26">
        <f>F1283*(1+Assumptions!$B$140+Forecast!$B$6)</f>
        <v/>
      </c>
    </row>
    <row r="1284">
      <c r="A1284" s="9" t="inlineStr">
        <is>
          <t xml:space="preserve">  Volume — Waste, mn t</t>
        </is>
      </c>
      <c r="C1284" s="26">
        <f>'Product and Cost'!E13*(1+Assumptions!$B$141+Forecast!$B$6)</f>
        <v/>
      </c>
      <c r="D1284" s="26">
        <f>C1284*(1+Assumptions!$B$142+Forecast!$B$6)</f>
        <v/>
      </c>
      <c r="E1284" s="26">
        <f>D1284*(1+Assumptions!$B$143+Forecast!$B$6)</f>
        <v/>
      </c>
      <c r="F1284" s="26">
        <f>E1284*(1+Assumptions!$B$144+Forecast!$B$6)</f>
        <v/>
      </c>
      <c r="G1284" s="26">
        <f>F1284*(1+Assumptions!$B$145+Forecast!$B$6)</f>
        <v/>
      </c>
    </row>
    <row r="1285">
      <c r="A1285" s="17" t="inlineStr">
        <is>
          <t>Total volume, mn t</t>
        </is>
      </c>
      <c r="C1285" s="28">
        <f>SUM(C1277:C1284)</f>
        <v/>
      </c>
      <c r="D1285" s="28">
        <f>SUM(D1277:D1284)</f>
        <v/>
      </c>
      <c r="E1285" s="28">
        <f>SUM(E1277:E1284)</f>
        <v/>
      </c>
      <c r="F1285" s="28">
        <f>SUM(F1277:F1284)</f>
        <v/>
      </c>
      <c r="G1285" s="28">
        <f>SUM(G1277:G1284)</f>
        <v/>
      </c>
    </row>
    <row r="1286">
      <c r="A1286" s="17" t="inlineStr">
        <is>
          <t>REVENUE</t>
        </is>
      </c>
      <c r="C1286" s="20">
        <f>C1277*'Product and Cost'!$F$6*C1276+C1278*'Product and Cost'!$F$7*C1276+C1279*'Product and Cost'!$F$8*C1276+C1280*'Product and Cost'!$F$9*C1276+C1281*'Product and Cost'!$F$10*C1276+C1282*'Product and Cost'!$F$11*C1276+C1283*'Product and Cost'!$F$12*C1276+C1284*'Product and Cost'!$F$13*C1276</f>
        <v/>
      </c>
      <c r="D1286" s="20">
        <f>D1277*'Product and Cost'!$F$6*D1276+D1278*'Product and Cost'!$F$7*D1276+D1279*'Product and Cost'!$F$8*D1276+D1280*'Product and Cost'!$F$9*D1276+D1281*'Product and Cost'!$F$10*D1276+D1282*'Product and Cost'!$F$11*D1276+D1283*'Product and Cost'!$F$12*D1276+D1284*'Product and Cost'!$F$13*D1276</f>
        <v/>
      </c>
      <c r="E1286" s="20">
        <f>E1277*'Product and Cost'!$F$6*E1276+E1278*'Product and Cost'!$F$7*E1276+E1279*'Product and Cost'!$F$8*E1276+E1280*'Product and Cost'!$F$9*E1276+E1281*'Product and Cost'!$F$10*E1276+E1282*'Product and Cost'!$F$11*E1276+E1283*'Product and Cost'!$F$12*E1276+E1284*'Product and Cost'!$F$13*E1276</f>
        <v/>
      </c>
      <c r="F1286" s="20">
        <f>F1277*'Product and Cost'!$F$6*F1276+F1278*'Product and Cost'!$F$7*F1276+F1279*'Product and Cost'!$F$8*F1276+F1280*'Product and Cost'!$F$9*F1276+F1281*'Product and Cost'!$F$10*F1276+F1282*'Product and Cost'!$F$11*F1276+F1283*'Product and Cost'!$F$12*F1276+F1284*'Product and Cost'!$F$13*F1276</f>
        <v/>
      </c>
      <c r="G1286" s="20">
        <f>G1277*'Product and Cost'!$F$6*G1276+G1278*'Product and Cost'!$F$7*G1276+G1279*'Product and Cost'!$F$8*G1276+G1280*'Product and Cost'!$F$9*G1276+G1281*'Product and Cost'!$F$10*G1276+G1282*'Product and Cost'!$F$11*G1276+G1283*'Product and Cost'!$F$12*G1276+G1284*'Product and Cost'!$F$13*G1276</f>
        <v/>
      </c>
    </row>
    <row r="1287">
      <c r="A1287" s="9" t="inlineStr">
        <is>
          <t>Cost of sales</t>
        </is>
      </c>
      <c r="C1287" s="18">
        <f>C1277*('Product and Cost'!$D$27*C1276*Assumptions!$B$88+'Product and Cost'!$B$27*(0.4863620081*C1275+0.4455809638*C1275+0.0356254898*C1276+0.0324315384))+C1278*('Product and Cost'!$D$28*C1276*Assumptions!$B$88+'Product and Cost'!$B$28*(0.4863620081*C1275+0.4455809638*C1275+0.0356254898*C1276+0.0324315384))+C1279*('Product and Cost'!$D$29*C1276*Assumptions!$B$88+'Product and Cost'!$B$29*(0.4863620081*C1275+0.4455809638*C1275+0.0356254898*C1276+0.0324315384))+C1280*('Product and Cost'!$D$30*C1276*Assumptions!$B$88+'Product and Cost'!$B$30*(0.4863620081*C1275+0.4455809638*C1275+0.0356254898*C1276+0.0324315384))+C1281*('Product and Cost'!$D$31*C1276*Assumptions!$B$88+'Product and Cost'!$B$31*(0.4863620081*C1275+0.4455809638*C1275+0.0356254898*C1276+0.0324315384))+C1282*('Product and Cost'!$D$32*C1276*Assumptions!$B$88+'Product and Cost'!$B$32*(0.4863620081*C1275+0.4455809638*C1275+0.0356254898*C1276+0.0324315384))+C1283*('Product and Cost'!$D$33*C1276*Assumptions!$B$88+'Product and Cost'!$B$33*(0.4863620081*C1275+0.4455809638*C1275+0.0356254898*C1276+0.0324315384))+C1284*('Product and Cost'!$D$34*C1276*Assumptions!$B$88+'Product and Cost'!$B$34*(0.4863620081*C1275+0.4455809638*C1275+0.0356254898*C1276+0.0324315384))</f>
        <v/>
      </c>
      <c r="D1287" s="18">
        <f>D1277*('Product and Cost'!$D$27*D1276*Assumptions!$B$88+'Product and Cost'!$B$27*(0.4863620081*D1275+0.4455809638*D1275+0.0356254898*D1276+0.0324315384))+D1278*('Product and Cost'!$D$28*D1276*Assumptions!$B$88+'Product and Cost'!$B$28*(0.4863620081*D1275+0.4455809638*D1275+0.0356254898*D1276+0.0324315384))+D1279*('Product and Cost'!$D$29*D1276*Assumptions!$B$88+'Product and Cost'!$B$29*(0.4863620081*D1275+0.4455809638*D1275+0.0356254898*D1276+0.0324315384))+D1280*('Product and Cost'!$D$30*D1276*Assumptions!$B$88+'Product and Cost'!$B$30*(0.4863620081*D1275+0.4455809638*D1275+0.0356254898*D1276+0.0324315384))+D1281*('Product and Cost'!$D$31*D1276*Assumptions!$B$88+'Product and Cost'!$B$31*(0.4863620081*D1275+0.4455809638*D1275+0.0356254898*D1276+0.0324315384))+D1282*('Product and Cost'!$D$32*D1276*Assumptions!$B$88+'Product and Cost'!$B$32*(0.4863620081*D1275+0.4455809638*D1275+0.0356254898*D1276+0.0324315384))+D1283*('Product and Cost'!$D$33*D1276*Assumptions!$B$88+'Product and Cost'!$B$33*(0.4863620081*D1275+0.4455809638*D1275+0.0356254898*D1276+0.0324315384))+D1284*('Product and Cost'!$D$34*D1276*Assumptions!$B$88+'Product and Cost'!$B$34*(0.4863620081*D1275+0.4455809638*D1275+0.0356254898*D1276+0.0324315384))</f>
        <v/>
      </c>
      <c r="E1287" s="18">
        <f>E1277*('Product and Cost'!$D$27*E1276*Assumptions!$B$88+'Product and Cost'!$B$27*(0.4863620081*E1275+0.4455809638*E1275+0.0356254898*E1276+0.0324315384))+E1278*('Product and Cost'!$D$28*E1276*Assumptions!$B$88+'Product and Cost'!$B$28*(0.4863620081*E1275+0.4455809638*E1275+0.0356254898*E1276+0.0324315384))+E1279*('Product and Cost'!$D$29*E1276*Assumptions!$B$88+'Product and Cost'!$B$29*(0.4863620081*E1275+0.4455809638*E1275+0.0356254898*E1276+0.0324315384))+E1280*('Product and Cost'!$D$30*E1276*Assumptions!$B$88+'Product and Cost'!$B$30*(0.4863620081*E1275+0.4455809638*E1275+0.0356254898*E1276+0.0324315384))+E1281*('Product and Cost'!$D$31*E1276*Assumptions!$B$88+'Product and Cost'!$B$31*(0.4863620081*E1275+0.4455809638*E1275+0.0356254898*E1276+0.0324315384))+E1282*('Product and Cost'!$D$32*E1276*Assumptions!$B$88+'Product and Cost'!$B$32*(0.4863620081*E1275+0.4455809638*E1275+0.0356254898*E1276+0.0324315384))+E1283*('Product and Cost'!$D$33*E1276*Assumptions!$B$88+'Product and Cost'!$B$33*(0.4863620081*E1275+0.4455809638*E1275+0.0356254898*E1276+0.0324315384))+E1284*('Product and Cost'!$D$34*E1276*Assumptions!$B$88+'Product and Cost'!$B$34*(0.4863620081*E1275+0.4455809638*E1275+0.0356254898*E1276+0.0324315384))</f>
        <v/>
      </c>
      <c r="F1287" s="18">
        <f>F1277*('Product and Cost'!$D$27*F1276*Assumptions!$B$88+'Product and Cost'!$B$27*(0.4863620081*F1275+0.4455809638*F1275+0.0356254898*F1276+0.0324315384))+F1278*('Product and Cost'!$D$28*F1276*Assumptions!$B$88+'Product and Cost'!$B$28*(0.4863620081*F1275+0.4455809638*F1275+0.0356254898*F1276+0.0324315384))+F1279*('Product and Cost'!$D$29*F1276*Assumptions!$B$88+'Product and Cost'!$B$29*(0.4863620081*F1275+0.4455809638*F1275+0.0356254898*F1276+0.0324315384))+F1280*('Product and Cost'!$D$30*F1276*Assumptions!$B$88+'Product and Cost'!$B$30*(0.4863620081*F1275+0.4455809638*F1275+0.0356254898*F1276+0.0324315384))+F1281*('Product and Cost'!$D$31*F1276*Assumptions!$B$88+'Product and Cost'!$B$31*(0.4863620081*F1275+0.4455809638*F1275+0.0356254898*F1276+0.0324315384))+F1282*('Product and Cost'!$D$32*F1276*Assumptions!$B$88+'Product and Cost'!$B$32*(0.4863620081*F1275+0.4455809638*F1275+0.0356254898*F1276+0.0324315384))+F1283*('Product and Cost'!$D$33*F1276*Assumptions!$B$88+'Product and Cost'!$B$33*(0.4863620081*F1275+0.4455809638*F1275+0.0356254898*F1276+0.0324315384))+F1284*('Product and Cost'!$D$34*F1276*Assumptions!$B$88+'Product and Cost'!$B$34*(0.4863620081*F1275+0.4455809638*F1275+0.0356254898*F1276+0.0324315384))</f>
        <v/>
      </c>
      <c r="G1287" s="18">
        <f>G1277*('Product and Cost'!$D$27*G1276*Assumptions!$B$88+'Product and Cost'!$B$27*(0.4863620081*G1275+0.4455809638*G1275+0.0356254898*G1276+0.0324315384))+G1278*('Product and Cost'!$D$28*G1276*Assumptions!$B$88+'Product and Cost'!$B$28*(0.4863620081*G1275+0.4455809638*G1275+0.0356254898*G1276+0.0324315384))+G1279*('Product and Cost'!$D$29*G1276*Assumptions!$B$88+'Product and Cost'!$B$29*(0.4863620081*G1275+0.4455809638*G1275+0.0356254898*G1276+0.0324315384))+G1280*('Product and Cost'!$D$30*G1276*Assumptions!$B$88+'Product and Cost'!$B$30*(0.4863620081*G1275+0.4455809638*G1275+0.0356254898*G1276+0.0324315384))+G1281*('Product and Cost'!$D$31*G1276*Assumptions!$B$88+'Product and Cost'!$B$31*(0.4863620081*G1275+0.4455809638*G1275+0.0356254898*G1276+0.0324315384))+G1282*('Product and Cost'!$D$32*G1276*Assumptions!$B$88+'Product and Cost'!$B$32*(0.4863620081*G1275+0.4455809638*G1275+0.0356254898*G1276+0.0324315384))+G1283*('Product and Cost'!$D$33*G1276*Assumptions!$B$88+'Product and Cost'!$B$33*(0.4863620081*G1275+0.4455809638*G1275+0.0356254898*G1276+0.0324315384))+G1284*('Product and Cost'!$D$34*G1276*Assumptions!$B$88+'Product and Cost'!$B$34*(0.4863620081*G1275+0.4455809638*G1275+0.0356254898*G1276+0.0324315384))</f>
        <v/>
      </c>
    </row>
    <row r="1288">
      <c r="A1288" s="17" t="inlineStr">
        <is>
          <t>GROSS PROFIT</t>
        </is>
      </c>
      <c r="C1288" s="20">
        <f>C1286-C1287+Forecast!$B$7*C1286</f>
        <v/>
      </c>
      <c r="D1288" s="20">
        <f>D1286-D1287+Forecast!$B$7*D1286</f>
        <v/>
      </c>
      <c r="E1288" s="20">
        <f>E1286-E1287+Forecast!$B$7*E1286</f>
        <v/>
      </c>
      <c r="F1288" s="20">
        <f>F1286-F1287+Forecast!$B$7*F1286</f>
        <v/>
      </c>
      <c r="G1288" s="20">
        <f>G1286-G1287+Forecast!$B$7*G1286</f>
        <v/>
      </c>
    </row>
    <row r="1289">
      <c r="A1289" s="9" t="inlineStr">
        <is>
          <t>Gross margin</t>
        </is>
      </c>
      <c r="C1289" s="19">
        <f>C1288/C1286</f>
        <v/>
      </c>
      <c r="D1289" s="19">
        <f>D1288/D1286</f>
        <v/>
      </c>
      <c r="E1289" s="19">
        <f>E1288/E1286</f>
        <v/>
      </c>
      <c r="F1289" s="19">
        <f>F1288/F1286</f>
        <v/>
      </c>
      <c r="G1289" s="19">
        <f>G1288/G1286</f>
        <v/>
      </c>
    </row>
    <row r="1290">
      <c r="A1290" s="9" t="inlineStr">
        <is>
          <t>Operating expense</t>
        </is>
      </c>
      <c r="C1290" s="18">
        <f>('Base Year'!$B$28*C1275)+('Base Year'!$B$29*C1275*C1285/'Product and Cost'!$E$14)+('Base Year'!$B$30*C1275)+('Base Year'!$B$31*C1275)</f>
        <v/>
      </c>
      <c r="D1290" s="18">
        <f>('Base Year'!$B$28*D1275)+('Base Year'!$B$29*D1275*D1285/'Product and Cost'!$E$14)+('Base Year'!$B$30*D1275)+('Base Year'!$B$31*D1275)</f>
        <v/>
      </c>
      <c r="E1290" s="18">
        <f>('Base Year'!$B$28*E1275)+('Base Year'!$B$29*E1275*E1285/'Product and Cost'!$E$14)+('Base Year'!$B$30*E1275)+('Base Year'!$B$31*E1275)</f>
        <v/>
      </c>
      <c r="F1290" s="18">
        <f>('Base Year'!$B$28*F1275)+('Base Year'!$B$29*F1275*F1285/'Product and Cost'!$E$14)+('Base Year'!$B$30*F1275)+('Base Year'!$B$31*F1275)</f>
        <v/>
      </c>
      <c r="G1290" s="18">
        <f>('Base Year'!$B$28*G1275)+('Base Year'!$B$29*G1275*G1285/'Product and Cost'!$E$14)+('Base Year'!$B$30*G1275)+('Base Year'!$B$31*G1275)</f>
        <v/>
      </c>
    </row>
    <row r="1291">
      <c r="A1291" s="17" t="inlineStr">
        <is>
          <t>EBITDA</t>
        </is>
      </c>
      <c r="C1291" s="20">
        <f>C1288-C1290</f>
        <v/>
      </c>
      <c r="D1291" s="20">
        <f>D1288-D1290</f>
        <v/>
      </c>
      <c r="E1291" s="20">
        <f>E1288-E1290</f>
        <v/>
      </c>
      <c r="F1291" s="20">
        <f>F1288-F1290</f>
        <v/>
      </c>
      <c r="G1291" s="20">
        <f>G1288-G1290</f>
        <v/>
      </c>
    </row>
    <row r="1292">
      <c r="A1292" s="9" t="inlineStr">
        <is>
          <t>Capital expenditure — maintenance + growth</t>
        </is>
      </c>
      <c r="C1292" s="18">
        <f>'Base Year'!$B$43*C1275+MAX(C1285-'Product and Cost'!$E$14,0)*1947.901031*C1275</f>
        <v/>
      </c>
      <c r="D1292" s="18">
        <f>'Base Year'!$B$43*D1275+MAX(D1285-C1285,0)*1947.901031*D1275</f>
        <v/>
      </c>
      <c r="E1292" s="18">
        <f>'Base Year'!$B$43*E1275+MAX(E1285-D1285,0)*1947.901031*E1275</f>
        <v/>
      </c>
      <c r="F1292" s="18">
        <f>'Base Year'!$B$43*F1275+MAX(F1285-E1285,0)*1947.901031*F1275</f>
        <v/>
      </c>
      <c r="G1292" s="18">
        <f>'Base Year'!$B$43*G1275+MAX(G1285-F1285,0)*1947.901031*G1275</f>
        <v/>
      </c>
    </row>
    <row r="1293">
      <c r="A1293" s="9" t="inlineStr">
        <is>
          <t>Fixed assets at cost, closing</t>
        </is>
      </c>
      <c r="C1293" s="18">
        <f>(Assumptions!$B$70+Assumptions!$B$71)/10^6+C1292</f>
        <v/>
      </c>
      <c r="D1293" s="18">
        <f>C1293+D1292</f>
        <v/>
      </c>
      <c r="E1293" s="18">
        <f>D1293+E1292</f>
        <v/>
      </c>
      <c r="F1293" s="18">
        <f>E1293+F1292</f>
        <v/>
      </c>
      <c r="G1293" s="18">
        <f>F1293+G1292</f>
        <v/>
      </c>
    </row>
    <row r="1294">
      <c r="A1294" s="9" t="inlineStr">
        <is>
          <t>Depreciation — rolls off the asset register</t>
        </is>
      </c>
      <c r="C1294" s="18">
        <f>(Assumptions!$B$70+Assumptions!$B$71)/10^6/'Base Year'!$B$42</f>
        <v/>
      </c>
      <c r="D1294" s="18">
        <f>C1293/'Base Year'!$B$42</f>
        <v/>
      </c>
      <c r="E1294" s="18">
        <f>D1293/'Base Year'!$B$42</f>
        <v/>
      </c>
      <c r="F1294" s="18">
        <f>E1293/'Base Year'!$B$42</f>
        <v/>
      </c>
      <c r="G1294" s="18">
        <f>F1293/'Base Year'!$B$42</f>
        <v/>
      </c>
    </row>
    <row r="1295">
      <c r="A1295" s="9" t="inlineStr">
        <is>
          <t>Fixed assets, net book, closing</t>
        </is>
      </c>
      <c r="C1295" s="18">
        <f>(Assumptions!$B$69+Assumptions!$B$71)/10^6+C1292-C1294</f>
        <v/>
      </c>
      <c r="D1295" s="18">
        <f>C1295+D1292-D1294</f>
        <v/>
      </c>
      <c r="E1295" s="18">
        <f>D1295+E1292-E1294</f>
        <v/>
      </c>
      <c r="F1295" s="18">
        <f>E1295+F1292-F1294</f>
        <v/>
      </c>
      <c r="G1295" s="18">
        <f>F1295+G1292-G1294</f>
        <v/>
      </c>
    </row>
    <row r="1296">
      <c r="A1296" s="17" t="inlineStr">
        <is>
          <t>EBIT</t>
        </is>
      </c>
      <c r="C1296" s="20">
        <f>C1291-C1294</f>
        <v/>
      </c>
      <c r="D1296" s="20">
        <f>D1291-D1294</f>
        <v/>
      </c>
      <c r="E1296" s="20">
        <f>E1291-E1294</f>
        <v/>
      </c>
      <c r="F1296" s="20">
        <f>F1291-F1294</f>
        <v/>
      </c>
      <c r="G1296" s="20">
        <f>G1291-G1294</f>
        <v/>
      </c>
    </row>
    <row r="1297">
      <c r="A1297" s="9" t="inlineStr">
        <is>
          <t>NOPAT before the profit share</t>
        </is>
      </c>
      <c r="C1297" s="18">
        <f>C1296*(1-Assumptions!$B$87)</f>
        <v/>
      </c>
      <c r="D1297" s="18">
        <f>D1296*(1-Assumptions!$B$87)</f>
        <v/>
      </c>
      <c r="E1297" s="18">
        <f>E1296*(1-Assumptions!$B$87)</f>
        <v/>
      </c>
      <c r="F1297" s="18">
        <f>F1296*(1-Assumptions!$B$87)</f>
        <v/>
      </c>
      <c r="G1297" s="18">
        <f>G1296*(1-Assumptions!$B$87)</f>
        <v/>
      </c>
    </row>
    <row r="1298">
      <c r="A1298" s="9" t="inlineStr">
        <is>
          <t xml:space="preserve">  less employees' profit share and board bonuses</t>
        </is>
      </c>
      <c r="C1298" s="18">
        <f>MAX(C1297,0)*'Base Year'!$B$40</f>
        <v/>
      </c>
      <c r="D1298" s="18">
        <f>MAX(D1297,0)*'Base Year'!$B$40</f>
        <v/>
      </c>
      <c r="E1298" s="18">
        <f>MAX(E1297,0)*'Base Year'!$B$40</f>
        <v/>
      </c>
      <c r="F1298" s="18">
        <f>MAX(F1297,0)*'Base Year'!$B$40</f>
        <v/>
      </c>
      <c r="G1298" s="18">
        <f>MAX(G1297,0)*'Base Year'!$B$40</f>
        <v/>
      </c>
    </row>
    <row r="1299">
      <c r="A1299" s="17" t="inlineStr">
        <is>
          <t>NOPAT</t>
        </is>
      </c>
      <c r="C1299" s="20">
        <f>C1297-C1298</f>
        <v/>
      </c>
      <c r="D1299" s="20">
        <f>D1297-D1298</f>
        <v/>
      </c>
      <c r="E1299" s="20">
        <f>E1297-E1298</f>
        <v/>
      </c>
      <c r="F1299" s="20">
        <f>F1297-F1298</f>
        <v/>
      </c>
      <c r="G1299" s="20">
        <f>G1297-G1298</f>
        <v/>
      </c>
    </row>
    <row r="1300">
      <c r="A1300" s="9" t="inlineStr">
        <is>
          <t>Net working capital — on days</t>
        </is>
      </c>
      <c r="C1300" s="18">
        <f>'Base Year'!$B$44*Forecast!$B$9/365*C1287+'Base Year'!$B$45*Forecast!$B$9/365*C1286-'Base Year'!$B$46*Forecast!$B$9/365*C1287</f>
        <v/>
      </c>
      <c r="D1300" s="18">
        <f>'Base Year'!$B$44*Forecast!$B$9/365*D1287+'Base Year'!$B$45*Forecast!$B$9/365*D1286-'Base Year'!$B$46*Forecast!$B$9/365*D1287</f>
        <v/>
      </c>
      <c r="E1300" s="18">
        <f>'Base Year'!$B$44*Forecast!$B$9/365*E1287+'Base Year'!$B$45*Forecast!$B$9/365*E1286-'Base Year'!$B$46*Forecast!$B$9/365*E1287</f>
        <v/>
      </c>
      <c r="F1300" s="18">
        <f>'Base Year'!$B$44*Forecast!$B$9/365*F1287+'Base Year'!$B$45*Forecast!$B$9/365*F1286-'Base Year'!$B$46*Forecast!$B$9/365*F1287</f>
        <v/>
      </c>
      <c r="G1300" s="18">
        <f>'Base Year'!$B$44*Forecast!$B$9/365*G1287+'Base Year'!$B$45*Forecast!$B$9/365*G1286-'Base Year'!$B$46*Forecast!$B$9/365*G1287</f>
        <v/>
      </c>
    </row>
    <row r="1301">
      <c r="A1301" s="9" t="inlineStr">
        <is>
          <t xml:space="preserve">  change in working capital</t>
        </is>
      </c>
      <c r="C1301" s="18">
        <f>C1300-('Base Year'!$B$44/365*'Base Year'!$B$21+'Base Year'!$B$45/365*'Base Year'!$B$19-'Base Year'!$B$46/365*'Base Year'!$B$21)</f>
        <v/>
      </c>
      <c r="D1301" s="18">
        <f>D1300-C1300</f>
        <v/>
      </c>
      <c r="E1301" s="18">
        <f>E1300-D1300</f>
        <v/>
      </c>
      <c r="F1301" s="18">
        <f>F1300-E1300</f>
        <v/>
      </c>
      <c r="G1301" s="18">
        <f>G1300-F1300</f>
        <v/>
      </c>
    </row>
    <row r="1302">
      <c r="A1302" s="17" t="inlineStr">
        <is>
          <t>FREE CASH FLOW TO THE FIRM</t>
        </is>
      </c>
      <c r="C1302" s="20">
        <f>C1299+C1294-C1292-C1301</f>
        <v/>
      </c>
      <c r="D1302" s="20">
        <f>D1299+D1294-D1292-D1301</f>
        <v/>
      </c>
      <c r="E1302" s="20">
        <f>E1299+E1294-E1292-E1301</f>
        <v/>
      </c>
      <c r="F1302" s="20">
        <f>F1299+F1294-F1292-F1301</f>
        <v/>
      </c>
      <c r="G1302" s="20">
        <f>G1299+G1294-G1292-G1301</f>
        <v/>
      </c>
    </row>
    <row r="1303">
      <c r="A1303" s="9" t="inlineStr">
        <is>
          <t>Glide fraction</t>
        </is>
      </c>
      <c r="C1303" s="26">
        <f>0.0000000000</f>
        <v/>
      </c>
      <c r="D1303" s="26">
        <f>0.3571428571</f>
        <v/>
      </c>
      <c r="E1303" s="26">
        <f>0.6428571429</f>
        <v/>
      </c>
      <c r="F1303" s="26">
        <f>0.8571428571</f>
        <v/>
      </c>
      <c r="G1303" s="26">
        <f>1.0000000000</f>
        <v/>
      </c>
    </row>
    <row r="1304">
      <c r="A1304" s="9" t="inlineStr">
        <is>
          <t>Forward cost of capital</t>
        </is>
      </c>
      <c r="C1304" s="19">
        <f>Forecast!$B$14-(Forecast!$B$14-Forecast!$B$17)*C1303</f>
        <v/>
      </c>
      <c r="D1304" s="19">
        <f>Forecast!$B$14-(Forecast!$B$14-Forecast!$B$17)*D1303</f>
        <v/>
      </c>
      <c r="E1304" s="19">
        <f>Forecast!$B$14-(Forecast!$B$14-Forecast!$B$17)*E1303</f>
        <v/>
      </c>
      <c r="F1304" s="19">
        <f>Forecast!$B$14-(Forecast!$B$14-Forecast!$B$17)*F1303</f>
        <v/>
      </c>
      <c r="G1304" s="19">
        <f>Forecast!$B$14-(Forecast!$B$14-Forecast!$B$17)*G1303</f>
        <v/>
      </c>
    </row>
    <row r="1305">
      <c r="A1305" s="9" t="inlineStr">
        <is>
          <t>Cumulative discount factor</t>
        </is>
      </c>
      <c r="C1305" s="29">
        <f>1/(1+C1304)</f>
        <v/>
      </c>
      <c r="D1305" s="29">
        <f>C1305/(1+D1304)</f>
        <v/>
      </c>
      <c r="E1305" s="29">
        <f>D1305/(1+E1304)</f>
        <v/>
      </c>
      <c r="F1305" s="29">
        <f>E1305/(1+F1304)</f>
        <v/>
      </c>
      <c r="G1305" s="29">
        <f>F1305/(1+G1304)</f>
        <v/>
      </c>
    </row>
    <row r="1306">
      <c r="A1306" s="9" t="inlineStr">
        <is>
          <t>Present value</t>
        </is>
      </c>
      <c r="C1306" s="18">
        <f>C1302*C1305</f>
        <v/>
      </c>
      <c r="D1306" s="18">
        <f>D1302*D1305</f>
        <v/>
      </c>
      <c r="E1306" s="18">
        <f>E1302*E1305</f>
        <v/>
      </c>
      <c r="F1306" s="18">
        <f>F1302*F1305</f>
        <v/>
      </c>
      <c r="G1306" s="18">
        <f>G1302*G1305</f>
        <v/>
      </c>
    </row>
    <row r="1307">
      <c r="A1307" s="17" t="inlineStr">
        <is>
          <t>PV of the explicit window</t>
        </is>
      </c>
      <c r="B1307" s="20">
        <f>SUM(C1306:G1306)</f>
        <v/>
      </c>
      <c r="C1307" s="18">
        <f>C1300+C1293</f>
        <v/>
      </c>
      <c r="D1307" s="18">
        <f>D1300+D1293</f>
        <v/>
      </c>
      <c r="E1307" s="18">
        <f>E1300+E1293</f>
        <v/>
      </c>
      <c r="F1307" s="18">
        <f>F1300+F1293</f>
        <v/>
      </c>
      <c r="G1307" s="18">
        <f>G1300+G1293</f>
        <v/>
      </c>
    </row>
    <row r="1308">
      <c r="A1308" s="9" t="inlineStr">
        <is>
          <t>Terminal return on invested capital, at REPLACEMENT cost</t>
        </is>
      </c>
      <c r="B1308" s="19">
        <f>G1299*(1+$H$41)/G1307</f>
        <v/>
      </c>
    </row>
    <row r="1309">
      <c r="A1309" s="9" t="inlineStr">
        <is>
          <t>Required reinvestment = growth / return</t>
        </is>
      </c>
      <c r="B1309" s="19">
        <f>MIN($H$41/B1308,0.95)</f>
        <v/>
      </c>
    </row>
    <row r="1310">
      <c r="A1310" s="9" t="inlineStr">
        <is>
          <t>Terminal value</t>
        </is>
      </c>
      <c r="B1310" s="18">
        <f>G1299*(1+$H$41)*(1-B1309)/MAX(Forecast!$B$17-$H$41,0.02)</f>
        <v/>
      </c>
    </row>
    <row r="1311">
      <c r="A1311" s="9" t="inlineStr">
        <is>
          <t>PV of the terminal block</t>
        </is>
      </c>
      <c r="B1311" s="18">
        <f>B1310*G1305</f>
        <v/>
      </c>
    </row>
    <row r="1312">
      <c r="A1312" s="17" t="inlineStr">
        <is>
          <t>ENTERPRISE VALUE</t>
        </is>
      </c>
      <c r="B1312" s="20">
        <f>B1307+B1311</f>
        <v/>
      </c>
    </row>
    <row r="1313">
      <c r="A1313" s="9" t="inlineStr">
        <is>
          <t>plus net cash</t>
        </is>
      </c>
      <c r="B1313" s="18">
        <f>(Assumptions!$B$79-Assumptions!$B$82-Assumptions!$B$83)/10^6</f>
        <v/>
      </c>
    </row>
    <row r="1314">
      <c r="A1314" s="9" t="inlineStr">
        <is>
          <t>Enterprise value including cash</t>
        </is>
      </c>
      <c r="B1314" s="18">
        <f>B1312+B1313</f>
        <v/>
      </c>
    </row>
    <row r="1315">
      <c r="A1315" s="9" t="inlineStr">
        <is>
          <t>less minority — on the WHOLE enterprise, cash included</t>
        </is>
      </c>
      <c r="B1315" s="18">
        <f>B1314*'Base Year'!$B$41</f>
        <v/>
      </c>
    </row>
    <row r="1316">
      <c r="A1316" s="9" t="inlineStr">
        <is>
          <t>less the tax-disputes provision</t>
        </is>
      </c>
      <c r="B1316" s="18">
        <f>Assumptions!$B$78/10^6</f>
        <v/>
      </c>
    </row>
    <row r="1317">
      <c r="A1317" s="9" t="inlineStr">
        <is>
          <t>less dividends payable — declared, out of working capital</t>
        </is>
      </c>
      <c r="B1317" s="18">
        <f>Assumptions!$B$77/10^6</f>
        <v/>
      </c>
    </row>
    <row r="1318">
      <c r="A1318" s="9" t="inlineStr">
        <is>
          <t>plus non-operating investments and pledged deposits</t>
        </is>
      </c>
      <c r="B1318" s="18">
        <f>(Assumptions!$B$81+Assumptions!$B$80)/10^6</f>
        <v/>
      </c>
    </row>
    <row r="1319">
      <c r="A1319" s="17" t="inlineStr">
        <is>
          <t>EQUITY ATTRIBUTABLE</t>
        </is>
      </c>
      <c r="B1319" s="20">
        <f>B1314-B1315-B1316-B1317+B1318</f>
        <v/>
      </c>
    </row>
    <row r="1320">
      <c r="A1320" s="17" t="inlineStr">
        <is>
          <t>VALUE PER SHARE, EGP</t>
        </is>
      </c>
      <c r="B1320" s="30">
        <f>B1319/Assumptions!$B$8</f>
        <v/>
      </c>
    </row>
    <row r="1323">
      <c r="A1323" s="6" t="inlineStr">
        <is>
          <t>Terminal growth — 4.0%</t>
        </is>
      </c>
      <c r="B1323" s="6" t="inlineStr">
        <is>
          <t>2026E</t>
        </is>
      </c>
      <c r="C1323" s="6" t="inlineStr">
        <is>
          <t>2027E</t>
        </is>
      </c>
      <c r="D1323" s="6" t="inlineStr">
        <is>
          <t>2028E</t>
        </is>
      </c>
      <c r="E1323" s="6" t="inlineStr">
        <is>
          <t>2029E</t>
        </is>
      </c>
      <c r="F1323" s="6" t="inlineStr">
        <is>
          <t>2030E</t>
        </is>
      </c>
    </row>
    <row r="1324">
      <c r="A1324" s="9" t="inlineStr">
        <is>
          <t>Inflation index, cumulative</t>
        </is>
      </c>
      <c r="C1324" s="26">
        <f>Assumptions!$B$146</f>
        <v/>
      </c>
      <c r="D1324" s="26">
        <f>C1324*Assumptions!$B$147</f>
        <v/>
      </c>
      <c r="E1324" s="26">
        <f>D1324*Assumptions!$B$148</f>
        <v/>
      </c>
      <c r="F1324" s="26">
        <f>E1324*Assumptions!$B$149</f>
        <v/>
      </c>
      <c r="G1324" s="26">
        <f>F1324*Assumptions!$B$150</f>
        <v/>
      </c>
    </row>
    <row r="1325">
      <c r="A1325" s="9" t="inlineStr">
        <is>
          <t>Realisation index, cumulative</t>
        </is>
      </c>
      <c r="C1325" s="26">
        <f>(1+Assumptions!$B$101*Forecast!$B$8)</f>
        <v/>
      </c>
      <c r="D1325" s="26">
        <f>C1325*(1+Assumptions!$B$102*Forecast!$B$8)</f>
        <v/>
      </c>
      <c r="E1325" s="26">
        <f>D1325*(1+Assumptions!$B$103*Forecast!$B$8)</f>
        <v/>
      </c>
      <c r="F1325" s="26">
        <f>E1325*(1+Assumptions!$B$104*Forecast!$B$8)</f>
        <v/>
      </c>
      <c r="G1325" s="26">
        <f>F1325*(1+Assumptions!$B$105*Forecast!$B$8)</f>
        <v/>
      </c>
    </row>
    <row r="1326">
      <c r="A1326" s="9" t="inlineStr">
        <is>
          <t xml:space="preserve">  Volume — Base and special oils, mn t</t>
        </is>
      </c>
      <c r="C1326" s="26">
        <f>'Product and Cost'!E6*(1+Assumptions!$B$106+Forecast!$B$6)</f>
        <v/>
      </c>
      <c r="D1326" s="26">
        <f>C1326*(1+Assumptions!$B$107+Forecast!$B$6)</f>
        <v/>
      </c>
      <c r="E1326" s="26">
        <f>D1326*(1+Assumptions!$B$108+Forecast!$B$6)</f>
        <v/>
      </c>
      <c r="F1326" s="26">
        <f>E1326*(1+Assumptions!$B$109+Forecast!$B$6)</f>
        <v/>
      </c>
      <c r="G1326" s="26">
        <f>F1326*(1+Assumptions!$B$110+Forecast!$B$6)</f>
        <v/>
      </c>
    </row>
    <row r="1327">
      <c r="A1327" s="9" t="inlineStr">
        <is>
          <t xml:space="preserve">  Volume — Paraffin wax, mn t</t>
        </is>
      </c>
      <c r="C1327" s="26">
        <f>'Product and Cost'!E7*(1+Assumptions!$B$111+Forecast!$B$6)</f>
        <v/>
      </c>
      <c r="D1327" s="26">
        <f>C1327*(1+Assumptions!$B$112+Forecast!$B$6)</f>
        <v/>
      </c>
      <c r="E1327" s="26">
        <f>D1327*(1+Assumptions!$B$113+Forecast!$B$6)</f>
        <v/>
      </c>
      <c r="F1327" s="26">
        <f>E1327*(1+Assumptions!$B$114+Forecast!$B$6)</f>
        <v/>
      </c>
      <c r="G1327" s="26">
        <f>F1327*(1+Assumptions!$B$115+Forecast!$B$6)</f>
        <v/>
      </c>
    </row>
    <row r="1328">
      <c r="A1328" s="9" t="inlineStr">
        <is>
          <t xml:space="preserve">  Volume — Gas oil, mn t</t>
        </is>
      </c>
      <c r="C1328" s="26">
        <f>'Product and Cost'!E8*(1+Assumptions!$B$116+Forecast!$B$6)</f>
        <v/>
      </c>
      <c r="D1328" s="26">
        <f>C1328*(1+Assumptions!$B$117+Forecast!$B$6)</f>
        <v/>
      </c>
      <c r="E1328" s="26">
        <f>D1328*(1+Assumptions!$B$118+Forecast!$B$6)</f>
        <v/>
      </c>
      <c r="F1328" s="26">
        <f>E1328*(1+Assumptions!$B$119+Forecast!$B$6)</f>
        <v/>
      </c>
      <c r="G1328" s="26">
        <f>F1328*(1+Assumptions!$B$120+Forecast!$B$6)</f>
        <v/>
      </c>
    </row>
    <row r="1329">
      <c r="A1329" s="9" t="inlineStr">
        <is>
          <t xml:space="preserve">  Volume — Naphtha, mn t</t>
        </is>
      </c>
      <c r="C1329" s="26">
        <f>'Product and Cost'!E9*(1+Assumptions!$B$121+Forecast!$B$6)</f>
        <v/>
      </c>
      <c r="D1329" s="26">
        <f>C1329*(1+Assumptions!$B$122+Forecast!$B$6)</f>
        <v/>
      </c>
      <c r="E1329" s="26">
        <f>D1329*(1+Assumptions!$B$123+Forecast!$B$6)</f>
        <v/>
      </c>
      <c r="F1329" s="26">
        <f>E1329*(1+Assumptions!$B$124+Forecast!$B$6)</f>
        <v/>
      </c>
      <c r="G1329" s="26">
        <f>F1329*(1+Assumptions!$B$125+Forecast!$B$6)</f>
        <v/>
      </c>
    </row>
    <row r="1330">
      <c r="A1330" s="9" t="inlineStr">
        <is>
          <t xml:space="preserve">  Volume — Liquefied petroleum gas, mn t</t>
        </is>
      </c>
      <c r="C1330" s="26">
        <f>'Product and Cost'!E10*(1+Assumptions!$B$126+Forecast!$B$6)</f>
        <v/>
      </c>
      <c r="D1330" s="26">
        <f>C1330*(1+Assumptions!$B$127+Forecast!$B$6)</f>
        <v/>
      </c>
      <c r="E1330" s="26">
        <f>D1330*(1+Assumptions!$B$128+Forecast!$B$6)</f>
        <v/>
      </c>
      <c r="F1330" s="26">
        <f>E1330*(1+Assumptions!$B$129+Forecast!$B$6)</f>
        <v/>
      </c>
      <c r="G1330" s="26">
        <f>F1330*(1+Assumptions!$B$130+Forecast!$B$6)</f>
        <v/>
      </c>
    </row>
    <row r="1331">
      <c r="A1331" s="9" t="inlineStr">
        <is>
          <t xml:space="preserve">  Volume — Fuel oil (mix), mn t</t>
        </is>
      </c>
      <c r="C1331" s="26">
        <f>'Product and Cost'!E11*(1+Assumptions!$B$131+Forecast!$B$6)</f>
        <v/>
      </c>
      <c r="D1331" s="26">
        <f>C1331*(1+Assumptions!$B$132+Forecast!$B$6)</f>
        <v/>
      </c>
      <c r="E1331" s="26">
        <f>D1331*(1+Assumptions!$B$133+Forecast!$B$6)</f>
        <v/>
      </c>
      <c r="F1331" s="26">
        <f>E1331*(1+Assumptions!$B$134+Forecast!$B$6)</f>
        <v/>
      </c>
      <c r="G1331" s="26">
        <f>F1331*(1+Assumptions!$B$135+Forecast!$B$6)</f>
        <v/>
      </c>
    </row>
    <row r="1332">
      <c r="A1332" s="9" t="inlineStr">
        <is>
          <t xml:space="preserve">  Volume — Heavy fuel oil, mn t</t>
        </is>
      </c>
      <c r="C1332" s="26">
        <f>'Product and Cost'!E12*(1+Assumptions!$B$136+Forecast!$B$6)</f>
        <v/>
      </c>
      <c r="D1332" s="26">
        <f>C1332*(1+Assumptions!$B$137+Forecast!$B$6)</f>
        <v/>
      </c>
      <c r="E1332" s="26">
        <f>D1332*(1+Assumptions!$B$138+Forecast!$B$6)</f>
        <v/>
      </c>
      <c r="F1332" s="26">
        <f>E1332*(1+Assumptions!$B$139+Forecast!$B$6)</f>
        <v/>
      </c>
      <c r="G1332" s="26">
        <f>F1332*(1+Assumptions!$B$140+Forecast!$B$6)</f>
        <v/>
      </c>
    </row>
    <row r="1333">
      <c r="A1333" s="9" t="inlineStr">
        <is>
          <t xml:space="preserve">  Volume — Waste, mn t</t>
        </is>
      </c>
      <c r="C1333" s="26">
        <f>'Product and Cost'!E13*(1+Assumptions!$B$141+Forecast!$B$6)</f>
        <v/>
      </c>
      <c r="D1333" s="26">
        <f>C1333*(1+Assumptions!$B$142+Forecast!$B$6)</f>
        <v/>
      </c>
      <c r="E1333" s="26">
        <f>D1333*(1+Assumptions!$B$143+Forecast!$B$6)</f>
        <v/>
      </c>
      <c r="F1333" s="26">
        <f>E1333*(1+Assumptions!$B$144+Forecast!$B$6)</f>
        <v/>
      </c>
      <c r="G1333" s="26">
        <f>F1333*(1+Assumptions!$B$145+Forecast!$B$6)</f>
        <v/>
      </c>
    </row>
    <row r="1334">
      <c r="A1334" s="17" t="inlineStr">
        <is>
          <t>Total volume, mn t</t>
        </is>
      </c>
      <c r="C1334" s="28">
        <f>SUM(C1326:C1333)</f>
        <v/>
      </c>
      <c r="D1334" s="28">
        <f>SUM(D1326:D1333)</f>
        <v/>
      </c>
      <c r="E1334" s="28">
        <f>SUM(E1326:E1333)</f>
        <v/>
      </c>
      <c r="F1334" s="28">
        <f>SUM(F1326:F1333)</f>
        <v/>
      </c>
      <c r="G1334" s="28">
        <f>SUM(G1326:G1333)</f>
        <v/>
      </c>
    </row>
    <row r="1335">
      <c r="A1335" s="17" t="inlineStr">
        <is>
          <t>REVENUE</t>
        </is>
      </c>
      <c r="C1335" s="20">
        <f>C1326*'Product and Cost'!$F$6*C1325+C1327*'Product and Cost'!$F$7*C1325+C1328*'Product and Cost'!$F$8*C1325+C1329*'Product and Cost'!$F$9*C1325+C1330*'Product and Cost'!$F$10*C1325+C1331*'Product and Cost'!$F$11*C1325+C1332*'Product and Cost'!$F$12*C1325+C1333*'Product and Cost'!$F$13*C1325</f>
        <v/>
      </c>
      <c r="D1335" s="20">
        <f>D1326*'Product and Cost'!$F$6*D1325+D1327*'Product and Cost'!$F$7*D1325+D1328*'Product and Cost'!$F$8*D1325+D1329*'Product and Cost'!$F$9*D1325+D1330*'Product and Cost'!$F$10*D1325+D1331*'Product and Cost'!$F$11*D1325+D1332*'Product and Cost'!$F$12*D1325+D1333*'Product and Cost'!$F$13*D1325</f>
        <v/>
      </c>
      <c r="E1335" s="20">
        <f>E1326*'Product and Cost'!$F$6*E1325+E1327*'Product and Cost'!$F$7*E1325+E1328*'Product and Cost'!$F$8*E1325+E1329*'Product and Cost'!$F$9*E1325+E1330*'Product and Cost'!$F$10*E1325+E1331*'Product and Cost'!$F$11*E1325+E1332*'Product and Cost'!$F$12*E1325+E1333*'Product and Cost'!$F$13*E1325</f>
        <v/>
      </c>
      <c r="F1335" s="20">
        <f>F1326*'Product and Cost'!$F$6*F1325+F1327*'Product and Cost'!$F$7*F1325+F1328*'Product and Cost'!$F$8*F1325+F1329*'Product and Cost'!$F$9*F1325+F1330*'Product and Cost'!$F$10*F1325+F1331*'Product and Cost'!$F$11*F1325+F1332*'Product and Cost'!$F$12*F1325+F1333*'Product and Cost'!$F$13*F1325</f>
        <v/>
      </c>
      <c r="G1335" s="20">
        <f>G1326*'Product and Cost'!$F$6*G1325+G1327*'Product and Cost'!$F$7*G1325+G1328*'Product and Cost'!$F$8*G1325+G1329*'Product and Cost'!$F$9*G1325+G1330*'Product and Cost'!$F$10*G1325+G1331*'Product and Cost'!$F$11*G1325+G1332*'Product and Cost'!$F$12*G1325+G1333*'Product and Cost'!$F$13*G1325</f>
        <v/>
      </c>
    </row>
    <row r="1336">
      <c r="A1336" s="9" t="inlineStr">
        <is>
          <t>Cost of sales</t>
        </is>
      </c>
      <c r="C1336" s="18">
        <f>C1326*('Product and Cost'!$D$27*C1325*Assumptions!$B$88+'Product and Cost'!$B$27*(0.4863620081*C1324+0.4455809638*C1324+0.0356254898*C1325+0.0324315384))+C1327*('Product and Cost'!$D$28*C1325*Assumptions!$B$88+'Product and Cost'!$B$28*(0.4863620081*C1324+0.4455809638*C1324+0.0356254898*C1325+0.0324315384))+C1328*('Product and Cost'!$D$29*C1325*Assumptions!$B$88+'Product and Cost'!$B$29*(0.4863620081*C1324+0.4455809638*C1324+0.0356254898*C1325+0.0324315384))+C1329*('Product and Cost'!$D$30*C1325*Assumptions!$B$88+'Product and Cost'!$B$30*(0.4863620081*C1324+0.4455809638*C1324+0.0356254898*C1325+0.0324315384))+C1330*('Product and Cost'!$D$31*C1325*Assumptions!$B$88+'Product and Cost'!$B$31*(0.4863620081*C1324+0.4455809638*C1324+0.0356254898*C1325+0.0324315384))+C1331*('Product and Cost'!$D$32*C1325*Assumptions!$B$88+'Product and Cost'!$B$32*(0.4863620081*C1324+0.4455809638*C1324+0.0356254898*C1325+0.0324315384))+C1332*('Product and Cost'!$D$33*C1325*Assumptions!$B$88+'Product and Cost'!$B$33*(0.4863620081*C1324+0.4455809638*C1324+0.0356254898*C1325+0.0324315384))+C1333*('Product and Cost'!$D$34*C1325*Assumptions!$B$88+'Product and Cost'!$B$34*(0.4863620081*C1324+0.4455809638*C1324+0.0356254898*C1325+0.0324315384))</f>
        <v/>
      </c>
      <c r="D1336" s="18">
        <f>D1326*('Product and Cost'!$D$27*D1325*Assumptions!$B$88+'Product and Cost'!$B$27*(0.4863620081*D1324+0.4455809638*D1324+0.0356254898*D1325+0.0324315384))+D1327*('Product and Cost'!$D$28*D1325*Assumptions!$B$88+'Product and Cost'!$B$28*(0.4863620081*D1324+0.4455809638*D1324+0.0356254898*D1325+0.0324315384))+D1328*('Product and Cost'!$D$29*D1325*Assumptions!$B$88+'Product and Cost'!$B$29*(0.4863620081*D1324+0.4455809638*D1324+0.0356254898*D1325+0.0324315384))+D1329*('Product and Cost'!$D$30*D1325*Assumptions!$B$88+'Product and Cost'!$B$30*(0.4863620081*D1324+0.4455809638*D1324+0.0356254898*D1325+0.0324315384))+D1330*('Product and Cost'!$D$31*D1325*Assumptions!$B$88+'Product and Cost'!$B$31*(0.4863620081*D1324+0.4455809638*D1324+0.0356254898*D1325+0.0324315384))+D1331*('Product and Cost'!$D$32*D1325*Assumptions!$B$88+'Product and Cost'!$B$32*(0.4863620081*D1324+0.4455809638*D1324+0.0356254898*D1325+0.0324315384))+D1332*('Product and Cost'!$D$33*D1325*Assumptions!$B$88+'Product and Cost'!$B$33*(0.4863620081*D1324+0.4455809638*D1324+0.0356254898*D1325+0.0324315384))+D1333*('Product and Cost'!$D$34*D1325*Assumptions!$B$88+'Product and Cost'!$B$34*(0.4863620081*D1324+0.4455809638*D1324+0.0356254898*D1325+0.0324315384))</f>
        <v/>
      </c>
      <c r="E1336" s="18">
        <f>E1326*('Product and Cost'!$D$27*E1325*Assumptions!$B$88+'Product and Cost'!$B$27*(0.4863620081*E1324+0.4455809638*E1324+0.0356254898*E1325+0.0324315384))+E1327*('Product and Cost'!$D$28*E1325*Assumptions!$B$88+'Product and Cost'!$B$28*(0.4863620081*E1324+0.4455809638*E1324+0.0356254898*E1325+0.0324315384))+E1328*('Product and Cost'!$D$29*E1325*Assumptions!$B$88+'Product and Cost'!$B$29*(0.4863620081*E1324+0.4455809638*E1324+0.0356254898*E1325+0.0324315384))+E1329*('Product and Cost'!$D$30*E1325*Assumptions!$B$88+'Product and Cost'!$B$30*(0.4863620081*E1324+0.4455809638*E1324+0.0356254898*E1325+0.0324315384))+E1330*('Product and Cost'!$D$31*E1325*Assumptions!$B$88+'Product and Cost'!$B$31*(0.4863620081*E1324+0.4455809638*E1324+0.0356254898*E1325+0.0324315384))+E1331*('Product and Cost'!$D$32*E1325*Assumptions!$B$88+'Product and Cost'!$B$32*(0.4863620081*E1324+0.4455809638*E1324+0.0356254898*E1325+0.0324315384))+E1332*('Product and Cost'!$D$33*E1325*Assumptions!$B$88+'Product and Cost'!$B$33*(0.4863620081*E1324+0.4455809638*E1324+0.0356254898*E1325+0.0324315384))+E1333*('Product and Cost'!$D$34*E1325*Assumptions!$B$88+'Product and Cost'!$B$34*(0.4863620081*E1324+0.4455809638*E1324+0.0356254898*E1325+0.0324315384))</f>
        <v/>
      </c>
      <c r="F1336" s="18">
        <f>F1326*('Product and Cost'!$D$27*F1325*Assumptions!$B$88+'Product and Cost'!$B$27*(0.4863620081*F1324+0.4455809638*F1324+0.0356254898*F1325+0.0324315384))+F1327*('Product and Cost'!$D$28*F1325*Assumptions!$B$88+'Product and Cost'!$B$28*(0.4863620081*F1324+0.4455809638*F1324+0.0356254898*F1325+0.0324315384))+F1328*('Product and Cost'!$D$29*F1325*Assumptions!$B$88+'Product and Cost'!$B$29*(0.4863620081*F1324+0.4455809638*F1324+0.0356254898*F1325+0.0324315384))+F1329*('Product and Cost'!$D$30*F1325*Assumptions!$B$88+'Product and Cost'!$B$30*(0.4863620081*F1324+0.4455809638*F1324+0.0356254898*F1325+0.0324315384))+F1330*('Product and Cost'!$D$31*F1325*Assumptions!$B$88+'Product and Cost'!$B$31*(0.4863620081*F1324+0.4455809638*F1324+0.0356254898*F1325+0.0324315384))+F1331*('Product and Cost'!$D$32*F1325*Assumptions!$B$88+'Product and Cost'!$B$32*(0.4863620081*F1324+0.4455809638*F1324+0.0356254898*F1325+0.0324315384))+F1332*('Product and Cost'!$D$33*F1325*Assumptions!$B$88+'Product and Cost'!$B$33*(0.4863620081*F1324+0.4455809638*F1324+0.0356254898*F1325+0.0324315384))+F1333*('Product and Cost'!$D$34*F1325*Assumptions!$B$88+'Product and Cost'!$B$34*(0.4863620081*F1324+0.4455809638*F1324+0.0356254898*F1325+0.0324315384))</f>
        <v/>
      </c>
      <c r="G1336" s="18">
        <f>G1326*('Product and Cost'!$D$27*G1325*Assumptions!$B$88+'Product and Cost'!$B$27*(0.4863620081*G1324+0.4455809638*G1324+0.0356254898*G1325+0.0324315384))+G1327*('Product and Cost'!$D$28*G1325*Assumptions!$B$88+'Product and Cost'!$B$28*(0.4863620081*G1324+0.4455809638*G1324+0.0356254898*G1325+0.0324315384))+G1328*('Product and Cost'!$D$29*G1325*Assumptions!$B$88+'Product and Cost'!$B$29*(0.4863620081*G1324+0.4455809638*G1324+0.0356254898*G1325+0.0324315384))+G1329*('Product and Cost'!$D$30*G1325*Assumptions!$B$88+'Product and Cost'!$B$30*(0.4863620081*G1324+0.4455809638*G1324+0.0356254898*G1325+0.0324315384))+G1330*('Product and Cost'!$D$31*G1325*Assumptions!$B$88+'Product and Cost'!$B$31*(0.4863620081*G1324+0.4455809638*G1324+0.0356254898*G1325+0.0324315384))+G1331*('Product and Cost'!$D$32*G1325*Assumptions!$B$88+'Product and Cost'!$B$32*(0.4863620081*G1324+0.4455809638*G1324+0.0356254898*G1325+0.0324315384))+G1332*('Product and Cost'!$D$33*G1325*Assumptions!$B$88+'Product and Cost'!$B$33*(0.4863620081*G1324+0.4455809638*G1324+0.0356254898*G1325+0.0324315384))+G1333*('Product and Cost'!$D$34*G1325*Assumptions!$B$88+'Product and Cost'!$B$34*(0.4863620081*G1324+0.4455809638*G1324+0.0356254898*G1325+0.0324315384))</f>
        <v/>
      </c>
    </row>
    <row r="1337">
      <c r="A1337" s="17" t="inlineStr">
        <is>
          <t>GROSS PROFIT</t>
        </is>
      </c>
      <c r="C1337" s="20">
        <f>C1335-C1336+Forecast!$B$7*C1335</f>
        <v/>
      </c>
      <c r="D1337" s="20">
        <f>D1335-D1336+Forecast!$B$7*D1335</f>
        <v/>
      </c>
      <c r="E1337" s="20">
        <f>E1335-E1336+Forecast!$B$7*E1335</f>
        <v/>
      </c>
      <c r="F1337" s="20">
        <f>F1335-F1336+Forecast!$B$7*F1335</f>
        <v/>
      </c>
      <c r="G1337" s="20">
        <f>G1335-G1336+Forecast!$B$7*G1335</f>
        <v/>
      </c>
    </row>
    <row r="1338">
      <c r="A1338" s="9" t="inlineStr">
        <is>
          <t>Gross margin</t>
        </is>
      </c>
      <c r="C1338" s="19">
        <f>C1337/C1335</f>
        <v/>
      </c>
      <c r="D1338" s="19">
        <f>D1337/D1335</f>
        <v/>
      </c>
      <c r="E1338" s="19">
        <f>E1337/E1335</f>
        <v/>
      </c>
      <c r="F1338" s="19">
        <f>F1337/F1335</f>
        <v/>
      </c>
      <c r="G1338" s="19">
        <f>G1337/G1335</f>
        <v/>
      </c>
    </row>
    <row r="1339">
      <c r="A1339" s="9" t="inlineStr">
        <is>
          <t>Operating expense</t>
        </is>
      </c>
      <c r="C1339" s="18">
        <f>('Base Year'!$B$28*C1324)+('Base Year'!$B$29*C1324*C1334/'Product and Cost'!$E$14)+('Base Year'!$B$30*C1324)+('Base Year'!$B$31*C1324)</f>
        <v/>
      </c>
      <c r="D1339" s="18">
        <f>('Base Year'!$B$28*D1324)+('Base Year'!$B$29*D1324*D1334/'Product and Cost'!$E$14)+('Base Year'!$B$30*D1324)+('Base Year'!$B$31*D1324)</f>
        <v/>
      </c>
      <c r="E1339" s="18">
        <f>('Base Year'!$B$28*E1324)+('Base Year'!$B$29*E1324*E1334/'Product and Cost'!$E$14)+('Base Year'!$B$30*E1324)+('Base Year'!$B$31*E1324)</f>
        <v/>
      </c>
      <c r="F1339" s="18">
        <f>('Base Year'!$B$28*F1324)+('Base Year'!$B$29*F1324*F1334/'Product and Cost'!$E$14)+('Base Year'!$B$30*F1324)+('Base Year'!$B$31*F1324)</f>
        <v/>
      </c>
      <c r="G1339" s="18">
        <f>('Base Year'!$B$28*G1324)+('Base Year'!$B$29*G1324*G1334/'Product and Cost'!$E$14)+('Base Year'!$B$30*G1324)+('Base Year'!$B$31*G1324)</f>
        <v/>
      </c>
    </row>
    <row r="1340">
      <c r="A1340" s="17" t="inlineStr">
        <is>
          <t>EBITDA</t>
        </is>
      </c>
      <c r="C1340" s="20">
        <f>C1337-C1339</f>
        <v/>
      </c>
      <c r="D1340" s="20">
        <f>D1337-D1339</f>
        <v/>
      </c>
      <c r="E1340" s="20">
        <f>E1337-E1339</f>
        <v/>
      </c>
      <c r="F1340" s="20">
        <f>F1337-F1339</f>
        <v/>
      </c>
      <c r="G1340" s="20">
        <f>G1337-G1339</f>
        <v/>
      </c>
    </row>
    <row r="1341">
      <c r="A1341" s="9" t="inlineStr">
        <is>
          <t>Capital expenditure — maintenance + growth</t>
        </is>
      </c>
      <c r="C1341" s="18">
        <f>'Base Year'!$B$43*C1324+MAX(C1334-'Product and Cost'!$E$14,0)*1947.901031*C1324</f>
        <v/>
      </c>
      <c r="D1341" s="18">
        <f>'Base Year'!$B$43*D1324+MAX(D1334-C1334,0)*1947.901031*D1324</f>
        <v/>
      </c>
      <c r="E1341" s="18">
        <f>'Base Year'!$B$43*E1324+MAX(E1334-D1334,0)*1947.901031*E1324</f>
        <v/>
      </c>
      <c r="F1341" s="18">
        <f>'Base Year'!$B$43*F1324+MAX(F1334-E1334,0)*1947.901031*F1324</f>
        <v/>
      </c>
      <c r="G1341" s="18">
        <f>'Base Year'!$B$43*G1324+MAX(G1334-F1334,0)*1947.901031*G1324</f>
        <v/>
      </c>
    </row>
    <row r="1342">
      <c r="A1342" s="9" t="inlineStr">
        <is>
          <t>Fixed assets at cost, closing</t>
        </is>
      </c>
      <c r="C1342" s="18">
        <f>(Assumptions!$B$70+Assumptions!$B$71)/10^6+C1341</f>
        <v/>
      </c>
      <c r="D1342" s="18">
        <f>C1342+D1341</f>
        <v/>
      </c>
      <c r="E1342" s="18">
        <f>D1342+E1341</f>
        <v/>
      </c>
      <c r="F1342" s="18">
        <f>E1342+F1341</f>
        <v/>
      </c>
      <c r="G1342" s="18">
        <f>F1342+G1341</f>
        <v/>
      </c>
    </row>
    <row r="1343">
      <c r="A1343" s="9" t="inlineStr">
        <is>
          <t>Depreciation — rolls off the asset register</t>
        </is>
      </c>
      <c r="C1343" s="18">
        <f>(Assumptions!$B$70+Assumptions!$B$71)/10^6/'Base Year'!$B$42</f>
        <v/>
      </c>
      <c r="D1343" s="18">
        <f>C1342/'Base Year'!$B$42</f>
        <v/>
      </c>
      <c r="E1343" s="18">
        <f>D1342/'Base Year'!$B$42</f>
        <v/>
      </c>
      <c r="F1343" s="18">
        <f>E1342/'Base Year'!$B$42</f>
        <v/>
      </c>
      <c r="G1343" s="18">
        <f>F1342/'Base Year'!$B$42</f>
        <v/>
      </c>
    </row>
    <row r="1344">
      <c r="A1344" s="9" t="inlineStr">
        <is>
          <t>Fixed assets, net book, closing</t>
        </is>
      </c>
      <c r="C1344" s="18">
        <f>(Assumptions!$B$69+Assumptions!$B$71)/10^6+C1341-C1343</f>
        <v/>
      </c>
      <c r="D1344" s="18">
        <f>C1344+D1341-D1343</f>
        <v/>
      </c>
      <c r="E1344" s="18">
        <f>D1344+E1341-E1343</f>
        <v/>
      </c>
      <c r="F1344" s="18">
        <f>E1344+F1341-F1343</f>
        <v/>
      </c>
      <c r="G1344" s="18">
        <f>F1344+G1341-G1343</f>
        <v/>
      </c>
    </row>
    <row r="1345">
      <c r="A1345" s="17" t="inlineStr">
        <is>
          <t>EBIT</t>
        </is>
      </c>
      <c r="C1345" s="20">
        <f>C1340-C1343</f>
        <v/>
      </c>
      <c r="D1345" s="20">
        <f>D1340-D1343</f>
        <v/>
      </c>
      <c r="E1345" s="20">
        <f>E1340-E1343</f>
        <v/>
      </c>
      <c r="F1345" s="20">
        <f>F1340-F1343</f>
        <v/>
      </c>
      <c r="G1345" s="20">
        <f>G1340-G1343</f>
        <v/>
      </c>
    </row>
    <row r="1346">
      <c r="A1346" s="9" t="inlineStr">
        <is>
          <t>NOPAT before the profit share</t>
        </is>
      </c>
      <c r="C1346" s="18">
        <f>C1345*(1-Assumptions!$B$87)</f>
        <v/>
      </c>
      <c r="D1346" s="18">
        <f>D1345*(1-Assumptions!$B$87)</f>
        <v/>
      </c>
      <c r="E1346" s="18">
        <f>E1345*(1-Assumptions!$B$87)</f>
        <v/>
      </c>
      <c r="F1346" s="18">
        <f>F1345*(1-Assumptions!$B$87)</f>
        <v/>
      </c>
      <c r="G1346" s="18">
        <f>G1345*(1-Assumptions!$B$87)</f>
        <v/>
      </c>
    </row>
    <row r="1347">
      <c r="A1347" s="9" t="inlineStr">
        <is>
          <t xml:space="preserve">  less employees' profit share and board bonuses</t>
        </is>
      </c>
      <c r="C1347" s="18">
        <f>MAX(C1346,0)*'Base Year'!$B$40</f>
        <v/>
      </c>
      <c r="D1347" s="18">
        <f>MAX(D1346,0)*'Base Year'!$B$40</f>
        <v/>
      </c>
      <c r="E1347" s="18">
        <f>MAX(E1346,0)*'Base Year'!$B$40</f>
        <v/>
      </c>
      <c r="F1347" s="18">
        <f>MAX(F1346,0)*'Base Year'!$B$40</f>
        <v/>
      </c>
      <c r="G1347" s="18">
        <f>MAX(G1346,0)*'Base Year'!$B$40</f>
        <v/>
      </c>
    </row>
    <row r="1348">
      <c r="A1348" s="17" t="inlineStr">
        <is>
          <t>NOPAT</t>
        </is>
      </c>
      <c r="C1348" s="20">
        <f>C1346-C1347</f>
        <v/>
      </c>
      <c r="D1348" s="20">
        <f>D1346-D1347</f>
        <v/>
      </c>
      <c r="E1348" s="20">
        <f>E1346-E1347</f>
        <v/>
      </c>
      <c r="F1348" s="20">
        <f>F1346-F1347</f>
        <v/>
      </c>
      <c r="G1348" s="20">
        <f>G1346-G1347</f>
        <v/>
      </c>
    </row>
    <row r="1349">
      <c r="A1349" s="9" t="inlineStr">
        <is>
          <t>Net working capital — on days</t>
        </is>
      </c>
      <c r="C1349" s="18">
        <f>'Base Year'!$B$44*Forecast!$B$9/365*C1336+'Base Year'!$B$45*Forecast!$B$9/365*C1335-'Base Year'!$B$46*Forecast!$B$9/365*C1336</f>
        <v/>
      </c>
      <c r="D1349" s="18">
        <f>'Base Year'!$B$44*Forecast!$B$9/365*D1336+'Base Year'!$B$45*Forecast!$B$9/365*D1335-'Base Year'!$B$46*Forecast!$B$9/365*D1336</f>
        <v/>
      </c>
      <c r="E1349" s="18">
        <f>'Base Year'!$B$44*Forecast!$B$9/365*E1336+'Base Year'!$B$45*Forecast!$B$9/365*E1335-'Base Year'!$B$46*Forecast!$B$9/365*E1336</f>
        <v/>
      </c>
      <c r="F1349" s="18">
        <f>'Base Year'!$B$44*Forecast!$B$9/365*F1336+'Base Year'!$B$45*Forecast!$B$9/365*F1335-'Base Year'!$B$46*Forecast!$B$9/365*F1336</f>
        <v/>
      </c>
      <c r="G1349" s="18">
        <f>'Base Year'!$B$44*Forecast!$B$9/365*G1336+'Base Year'!$B$45*Forecast!$B$9/365*G1335-'Base Year'!$B$46*Forecast!$B$9/365*G1336</f>
        <v/>
      </c>
    </row>
    <row r="1350">
      <c r="A1350" s="9" t="inlineStr">
        <is>
          <t xml:space="preserve">  change in working capital</t>
        </is>
      </c>
      <c r="C1350" s="18">
        <f>C1349-('Base Year'!$B$44/365*'Base Year'!$B$21+'Base Year'!$B$45/365*'Base Year'!$B$19-'Base Year'!$B$46/365*'Base Year'!$B$21)</f>
        <v/>
      </c>
      <c r="D1350" s="18">
        <f>D1349-C1349</f>
        <v/>
      </c>
      <c r="E1350" s="18">
        <f>E1349-D1349</f>
        <v/>
      </c>
      <c r="F1350" s="18">
        <f>F1349-E1349</f>
        <v/>
      </c>
      <c r="G1350" s="18">
        <f>G1349-F1349</f>
        <v/>
      </c>
    </row>
    <row r="1351">
      <c r="A1351" s="17" t="inlineStr">
        <is>
          <t>FREE CASH FLOW TO THE FIRM</t>
        </is>
      </c>
      <c r="C1351" s="20">
        <f>C1348+C1343-C1341-C1350</f>
        <v/>
      </c>
      <c r="D1351" s="20">
        <f>D1348+D1343-D1341-D1350</f>
        <v/>
      </c>
      <c r="E1351" s="20">
        <f>E1348+E1343-E1341-E1350</f>
        <v/>
      </c>
      <c r="F1351" s="20">
        <f>F1348+F1343-F1341-F1350</f>
        <v/>
      </c>
      <c r="G1351" s="20">
        <f>G1348+G1343-G1341-G1350</f>
        <v/>
      </c>
    </row>
    <row r="1352">
      <c r="A1352" s="9" t="inlineStr">
        <is>
          <t>Glide fraction</t>
        </is>
      </c>
      <c r="C1352" s="26">
        <f>0.0000000000</f>
        <v/>
      </c>
      <c r="D1352" s="26">
        <f>0.3571428571</f>
        <v/>
      </c>
      <c r="E1352" s="26">
        <f>0.6428571429</f>
        <v/>
      </c>
      <c r="F1352" s="26">
        <f>0.8571428571</f>
        <v/>
      </c>
      <c r="G1352" s="26">
        <f>1.0000000000</f>
        <v/>
      </c>
    </row>
    <row r="1353">
      <c r="A1353" s="9" t="inlineStr">
        <is>
          <t>Forward cost of capital</t>
        </is>
      </c>
      <c r="C1353" s="19">
        <f>Forecast!$B$14-(Forecast!$B$14-Forecast!$B$17)*C1352</f>
        <v/>
      </c>
      <c r="D1353" s="19">
        <f>Forecast!$B$14-(Forecast!$B$14-Forecast!$B$17)*D1352</f>
        <v/>
      </c>
      <c r="E1353" s="19">
        <f>Forecast!$B$14-(Forecast!$B$14-Forecast!$B$17)*E1352</f>
        <v/>
      </c>
      <c r="F1353" s="19">
        <f>Forecast!$B$14-(Forecast!$B$14-Forecast!$B$17)*F1352</f>
        <v/>
      </c>
      <c r="G1353" s="19">
        <f>Forecast!$B$14-(Forecast!$B$14-Forecast!$B$17)*G1352</f>
        <v/>
      </c>
    </row>
    <row r="1354">
      <c r="A1354" s="9" t="inlineStr">
        <is>
          <t>Cumulative discount factor</t>
        </is>
      </c>
      <c r="C1354" s="29">
        <f>1/(1+C1353)</f>
        <v/>
      </c>
      <c r="D1354" s="29">
        <f>C1354/(1+D1353)</f>
        <v/>
      </c>
      <c r="E1354" s="29">
        <f>D1354/(1+E1353)</f>
        <v/>
      </c>
      <c r="F1354" s="29">
        <f>E1354/(1+F1353)</f>
        <v/>
      </c>
      <c r="G1354" s="29">
        <f>F1354/(1+G1353)</f>
        <v/>
      </c>
    </row>
    <row r="1355">
      <c r="A1355" s="9" t="inlineStr">
        <is>
          <t>Present value</t>
        </is>
      </c>
      <c r="C1355" s="18">
        <f>C1351*C1354</f>
        <v/>
      </c>
      <c r="D1355" s="18">
        <f>D1351*D1354</f>
        <v/>
      </c>
      <c r="E1355" s="18">
        <f>E1351*E1354</f>
        <v/>
      </c>
      <c r="F1355" s="18">
        <f>F1351*F1354</f>
        <v/>
      </c>
      <c r="G1355" s="18">
        <f>G1351*G1354</f>
        <v/>
      </c>
    </row>
    <row r="1356">
      <c r="A1356" s="17" t="inlineStr">
        <is>
          <t>PV of the explicit window</t>
        </is>
      </c>
      <c r="B1356" s="20">
        <f>SUM(C1355:G1355)</f>
        <v/>
      </c>
      <c r="C1356" s="18">
        <f>C1349+C1342</f>
        <v/>
      </c>
      <c r="D1356" s="18">
        <f>D1349+D1342</f>
        <v/>
      </c>
      <c r="E1356" s="18">
        <f>E1349+E1342</f>
        <v/>
      </c>
      <c r="F1356" s="18">
        <f>F1349+F1342</f>
        <v/>
      </c>
      <c r="G1356" s="18">
        <f>G1349+G1342</f>
        <v/>
      </c>
    </row>
    <row r="1357">
      <c r="A1357" s="9" t="inlineStr">
        <is>
          <t>Terminal return on invested capital, at REPLACEMENT cost</t>
        </is>
      </c>
      <c r="B1357" s="19">
        <f>G1348*(1+$H$42)/G1356</f>
        <v/>
      </c>
    </row>
    <row r="1358">
      <c r="A1358" s="9" t="inlineStr">
        <is>
          <t>Required reinvestment = growth / return</t>
        </is>
      </c>
      <c r="B1358" s="19">
        <f>MIN($H$42/B1357,0.95)</f>
        <v/>
      </c>
    </row>
    <row r="1359">
      <c r="A1359" s="9" t="inlineStr">
        <is>
          <t>Terminal value</t>
        </is>
      </c>
      <c r="B1359" s="18">
        <f>G1348*(1+$H$42)*(1-B1358)/MAX(Forecast!$B$17-$H$42,0.02)</f>
        <v/>
      </c>
    </row>
    <row r="1360">
      <c r="A1360" s="9" t="inlineStr">
        <is>
          <t>PV of the terminal block</t>
        </is>
      </c>
      <c r="B1360" s="18">
        <f>B1359*G1354</f>
        <v/>
      </c>
    </row>
    <row r="1361">
      <c r="A1361" s="17" t="inlineStr">
        <is>
          <t>ENTERPRISE VALUE</t>
        </is>
      </c>
      <c r="B1361" s="20">
        <f>B1356+B1360</f>
        <v/>
      </c>
    </row>
    <row r="1362">
      <c r="A1362" s="9" t="inlineStr">
        <is>
          <t>plus net cash</t>
        </is>
      </c>
      <c r="B1362" s="18">
        <f>(Assumptions!$B$79-Assumptions!$B$82-Assumptions!$B$83)/10^6</f>
        <v/>
      </c>
    </row>
    <row r="1363">
      <c r="A1363" s="9" t="inlineStr">
        <is>
          <t>Enterprise value including cash</t>
        </is>
      </c>
      <c r="B1363" s="18">
        <f>B1361+B1362</f>
        <v/>
      </c>
    </row>
    <row r="1364">
      <c r="A1364" s="9" t="inlineStr">
        <is>
          <t>less minority — on the WHOLE enterprise, cash included</t>
        </is>
      </c>
      <c r="B1364" s="18">
        <f>B1363*'Base Year'!$B$41</f>
        <v/>
      </c>
    </row>
    <row r="1365">
      <c r="A1365" s="9" t="inlineStr">
        <is>
          <t>less the tax-disputes provision</t>
        </is>
      </c>
      <c r="B1365" s="18">
        <f>Assumptions!$B$78/10^6</f>
        <v/>
      </c>
    </row>
    <row r="1366">
      <c r="A1366" s="9" t="inlineStr">
        <is>
          <t>less dividends payable — declared, out of working capital</t>
        </is>
      </c>
      <c r="B1366" s="18">
        <f>Assumptions!$B$77/10^6</f>
        <v/>
      </c>
    </row>
    <row r="1367">
      <c r="A1367" s="9" t="inlineStr">
        <is>
          <t>plus non-operating investments and pledged deposits</t>
        </is>
      </c>
      <c r="B1367" s="18">
        <f>(Assumptions!$B$81+Assumptions!$B$80)/10^6</f>
        <v/>
      </c>
    </row>
    <row r="1368">
      <c r="A1368" s="17" t="inlineStr">
        <is>
          <t>EQUITY ATTRIBUTABLE</t>
        </is>
      </c>
      <c r="B1368" s="20">
        <f>B1363-B1364-B1365-B1366+B1367</f>
        <v/>
      </c>
    </row>
    <row r="1369">
      <c r="A1369" s="17" t="inlineStr">
        <is>
          <t>VALUE PER SHARE, EGP</t>
        </is>
      </c>
      <c r="B1369" s="30">
        <f>B1368/Assumptions!$B$8</f>
        <v/>
      </c>
    </row>
    <row r="1372">
      <c r="A1372" s="6" t="inlineStr">
        <is>
          <t>Terminal growth — 5.0%</t>
        </is>
      </c>
      <c r="B1372" s="6" t="inlineStr">
        <is>
          <t>2026E</t>
        </is>
      </c>
      <c r="C1372" s="6" t="inlineStr">
        <is>
          <t>2027E</t>
        </is>
      </c>
      <c r="D1372" s="6" t="inlineStr">
        <is>
          <t>2028E</t>
        </is>
      </c>
      <c r="E1372" s="6" t="inlineStr">
        <is>
          <t>2029E</t>
        </is>
      </c>
      <c r="F1372" s="6" t="inlineStr">
        <is>
          <t>2030E</t>
        </is>
      </c>
    </row>
    <row r="1373">
      <c r="A1373" s="9" t="inlineStr">
        <is>
          <t>Inflation index, cumulative</t>
        </is>
      </c>
      <c r="C1373" s="26">
        <f>Assumptions!$B$146</f>
        <v/>
      </c>
      <c r="D1373" s="26">
        <f>C1373*Assumptions!$B$147</f>
        <v/>
      </c>
      <c r="E1373" s="26">
        <f>D1373*Assumptions!$B$148</f>
        <v/>
      </c>
      <c r="F1373" s="26">
        <f>E1373*Assumptions!$B$149</f>
        <v/>
      </c>
      <c r="G1373" s="26">
        <f>F1373*Assumptions!$B$150</f>
        <v/>
      </c>
    </row>
    <row r="1374">
      <c r="A1374" s="9" t="inlineStr">
        <is>
          <t>Realisation index, cumulative</t>
        </is>
      </c>
      <c r="C1374" s="26">
        <f>(1+Assumptions!$B$101*Forecast!$B$8)</f>
        <v/>
      </c>
      <c r="D1374" s="26">
        <f>C1374*(1+Assumptions!$B$102*Forecast!$B$8)</f>
        <v/>
      </c>
      <c r="E1374" s="26">
        <f>D1374*(1+Assumptions!$B$103*Forecast!$B$8)</f>
        <v/>
      </c>
      <c r="F1374" s="26">
        <f>E1374*(1+Assumptions!$B$104*Forecast!$B$8)</f>
        <v/>
      </c>
      <c r="G1374" s="26">
        <f>F1374*(1+Assumptions!$B$105*Forecast!$B$8)</f>
        <v/>
      </c>
    </row>
    <row r="1375">
      <c r="A1375" s="9" t="inlineStr">
        <is>
          <t xml:space="preserve">  Volume — Base and special oils, mn t</t>
        </is>
      </c>
      <c r="C1375" s="26">
        <f>'Product and Cost'!E6*(1+Assumptions!$B$106+Forecast!$B$6)</f>
        <v/>
      </c>
      <c r="D1375" s="26">
        <f>C1375*(1+Assumptions!$B$107+Forecast!$B$6)</f>
        <v/>
      </c>
      <c r="E1375" s="26">
        <f>D1375*(1+Assumptions!$B$108+Forecast!$B$6)</f>
        <v/>
      </c>
      <c r="F1375" s="26">
        <f>E1375*(1+Assumptions!$B$109+Forecast!$B$6)</f>
        <v/>
      </c>
      <c r="G1375" s="26">
        <f>F1375*(1+Assumptions!$B$110+Forecast!$B$6)</f>
        <v/>
      </c>
    </row>
    <row r="1376">
      <c r="A1376" s="9" t="inlineStr">
        <is>
          <t xml:space="preserve">  Volume — Paraffin wax, mn t</t>
        </is>
      </c>
      <c r="C1376" s="26">
        <f>'Product and Cost'!E7*(1+Assumptions!$B$111+Forecast!$B$6)</f>
        <v/>
      </c>
      <c r="D1376" s="26">
        <f>C1376*(1+Assumptions!$B$112+Forecast!$B$6)</f>
        <v/>
      </c>
      <c r="E1376" s="26">
        <f>D1376*(1+Assumptions!$B$113+Forecast!$B$6)</f>
        <v/>
      </c>
      <c r="F1376" s="26">
        <f>E1376*(1+Assumptions!$B$114+Forecast!$B$6)</f>
        <v/>
      </c>
      <c r="G1376" s="26">
        <f>F1376*(1+Assumptions!$B$115+Forecast!$B$6)</f>
        <v/>
      </c>
    </row>
    <row r="1377">
      <c r="A1377" s="9" t="inlineStr">
        <is>
          <t xml:space="preserve">  Volume — Gas oil, mn t</t>
        </is>
      </c>
      <c r="C1377" s="26">
        <f>'Product and Cost'!E8*(1+Assumptions!$B$116+Forecast!$B$6)</f>
        <v/>
      </c>
      <c r="D1377" s="26">
        <f>C1377*(1+Assumptions!$B$117+Forecast!$B$6)</f>
        <v/>
      </c>
      <c r="E1377" s="26">
        <f>D1377*(1+Assumptions!$B$118+Forecast!$B$6)</f>
        <v/>
      </c>
      <c r="F1377" s="26">
        <f>E1377*(1+Assumptions!$B$119+Forecast!$B$6)</f>
        <v/>
      </c>
      <c r="G1377" s="26">
        <f>F1377*(1+Assumptions!$B$120+Forecast!$B$6)</f>
        <v/>
      </c>
    </row>
    <row r="1378">
      <c r="A1378" s="9" t="inlineStr">
        <is>
          <t xml:space="preserve">  Volume — Naphtha, mn t</t>
        </is>
      </c>
      <c r="C1378" s="26">
        <f>'Product and Cost'!E9*(1+Assumptions!$B$121+Forecast!$B$6)</f>
        <v/>
      </c>
      <c r="D1378" s="26">
        <f>C1378*(1+Assumptions!$B$122+Forecast!$B$6)</f>
        <v/>
      </c>
      <c r="E1378" s="26">
        <f>D1378*(1+Assumptions!$B$123+Forecast!$B$6)</f>
        <v/>
      </c>
      <c r="F1378" s="26">
        <f>E1378*(1+Assumptions!$B$124+Forecast!$B$6)</f>
        <v/>
      </c>
      <c r="G1378" s="26">
        <f>F1378*(1+Assumptions!$B$125+Forecast!$B$6)</f>
        <v/>
      </c>
    </row>
    <row r="1379">
      <c r="A1379" s="9" t="inlineStr">
        <is>
          <t xml:space="preserve">  Volume — Liquefied petroleum gas, mn t</t>
        </is>
      </c>
      <c r="C1379" s="26">
        <f>'Product and Cost'!E10*(1+Assumptions!$B$126+Forecast!$B$6)</f>
        <v/>
      </c>
      <c r="D1379" s="26">
        <f>C1379*(1+Assumptions!$B$127+Forecast!$B$6)</f>
        <v/>
      </c>
      <c r="E1379" s="26">
        <f>D1379*(1+Assumptions!$B$128+Forecast!$B$6)</f>
        <v/>
      </c>
      <c r="F1379" s="26">
        <f>E1379*(1+Assumptions!$B$129+Forecast!$B$6)</f>
        <v/>
      </c>
      <c r="G1379" s="26">
        <f>F1379*(1+Assumptions!$B$130+Forecast!$B$6)</f>
        <v/>
      </c>
    </row>
    <row r="1380">
      <c r="A1380" s="9" t="inlineStr">
        <is>
          <t xml:space="preserve">  Volume — Fuel oil (mix), mn t</t>
        </is>
      </c>
      <c r="C1380" s="26">
        <f>'Product and Cost'!E11*(1+Assumptions!$B$131+Forecast!$B$6)</f>
        <v/>
      </c>
      <c r="D1380" s="26">
        <f>C1380*(1+Assumptions!$B$132+Forecast!$B$6)</f>
        <v/>
      </c>
      <c r="E1380" s="26">
        <f>D1380*(1+Assumptions!$B$133+Forecast!$B$6)</f>
        <v/>
      </c>
      <c r="F1380" s="26">
        <f>E1380*(1+Assumptions!$B$134+Forecast!$B$6)</f>
        <v/>
      </c>
      <c r="G1380" s="26">
        <f>F1380*(1+Assumptions!$B$135+Forecast!$B$6)</f>
        <v/>
      </c>
    </row>
    <row r="1381">
      <c r="A1381" s="9" t="inlineStr">
        <is>
          <t xml:space="preserve">  Volume — Heavy fuel oil, mn t</t>
        </is>
      </c>
      <c r="C1381" s="26">
        <f>'Product and Cost'!E12*(1+Assumptions!$B$136+Forecast!$B$6)</f>
        <v/>
      </c>
      <c r="D1381" s="26">
        <f>C1381*(1+Assumptions!$B$137+Forecast!$B$6)</f>
        <v/>
      </c>
      <c r="E1381" s="26">
        <f>D1381*(1+Assumptions!$B$138+Forecast!$B$6)</f>
        <v/>
      </c>
      <c r="F1381" s="26">
        <f>E1381*(1+Assumptions!$B$139+Forecast!$B$6)</f>
        <v/>
      </c>
      <c r="G1381" s="26">
        <f>F1381*(1+Assumptions!$B$140+Forecast!$B$6)</f>
        <v/>
      </c>
    </row>
    <row r="1382">
      <c r="A1382" s="9" t="inlineStr">
        <is>
          <t xml:space="preserve">  Volume — Waste, mn t</t>
        </is>
      </c>
      <c r="C1382" s="26">
        <f>'Product and Cost'!E13*(1+Assumptions!$B$141+Forecast!$B$6)</f>
        <v/>
      </c>
      <c r="D1382" s="26">
        <f>C1382*(1+Assumptions!$B$142+Forecast!$B$6)</f>
        <v/>
      </c>
      <c r="E1382" s="26">
        <f>D1382*(1+Assumptions!$B$143+Forecast!$B$6)</f>
        <v/>
      </c>
      <c r="F1382" s="26">
        <f>E1382*(1+Assumptions!$B$144+Forecast!$B$6)</f>
        <v/>
      </c>
      <c r="G1382" s="26">
        <f>F1382*(1+Assumptions!$B$145+Forecast!$B$6)</f>
        <v/>
      </c>
    </row>
    <row r="1383">
      <c r="A1383" s="17" t="inlineStr">
        <is>
          <t>Total volume, mn t</t>
        </is>
      </c>
      <c r="C1383" s="28">
        <f>SUM(C1375:C1382)</f>
        <v/>
      </c>
      <c r="D1383" s="28">
        <f>SUM(D1375:D1382)</f>
        <v/>
      </c>
      <c r="E1383" s="28">
        <f>SUM(E1375:E1382)</f>
        <v/>
      </c>
      <c r="F1383" s="28">
        <f>SUM(F1375:F1382)</f>
        <v/>
      </c>
      <c r="G1383" s="28">
        <f>SUM(G1375:G1382)</f>
        <v/>
      </c>
    </row>
    <row r="1384">
      <c r="A1384" s="17" t="inlineStr">
        <is>
          <t>REVENUE</t>
        </is>
      </c>
      <c r="C1384" s="20">
        <f>C1375*'Product and Cost'!$F$6*C1374+C1376*'Product and Cost'!$F$7*C1374+C1377*'Product and Cost'!$F$8*C1374+C1378*'Product and Cost'!$F$9*C1374+C1379*'Product and Cost'!$F$10*C1374+C1380*'Product and Cost'!$F$11*C1374+C1381*'Product and Cost'!$F$12*C1374+C1382*'Product and Cost'!$F$13*C1374</f>
        <v/>
      </c>
      <c r="D1384" s="20">
        <f>D1375*'Product and Cost'!$F$6*D1374+D1376*'Product and Cost'!$F$7*D1374+D1377*'Product and Cost'!$F$8*D1374+D1378*'Product and Cost'!$F$9*D1374+D1379*'Product and Cost'!$F$10*D1374+D1380*'Product and Cost'!$F$11*D1374+D1381*'Product and Cost'!$F$12*D1374+D1382*'Product and Cost'!$F$13*D1374</f>
        <v/>
      </c>
      <c r="E1384" s="20">
        <f>E1375*'Product and Cost'!$F$6*E1374+E1376*'Product and Cost'!$F$7*E1374+E1377*'Product and Cost'!$F$8*E1374+E1378*'Product and Cost'!$F$9*E1374+E1379*'Product and Cost'!$F$10*E1374+E1380*'Product and Cost'!$F$11*E1374+E1381*'Product and Cost'!$F$12*E1374+E1382*'Product and Cost'!$F$13*E1374</f>
        <v/>
      </c>
      <c r="F1384" s="20">
        <f>F1375*'Product and Cost'!$F$6*F1374+F1376*'Product and Cost'!$F$7*F1374+F1377*'Product and Cost'!$F$8*F1374+F1378*'Product and Cost'!$F$9*F1374+F1379*'Product and Cost'!$F$10*F1374+F1380*'Product and Cost'!$F$11*F1374+F1381*'Product and Cost'!$F$12*F1374+F1382*'Product and Cost'!$F$13*F1374</f>
        <v/>
      </c>
      <c r="G1384" s="20">
        <f>G1375*'Product and Cost'!$F$6*G1374+G1376*'Product and Cost'!$F$7*G1374+G1377*'Product and Cost'!$F$8*G1374+G1378*'Product and Cost'!$F$9*G1374+G1379*'Product and Cost'!$F$10*G1374+G1380*'Product and Cost'!$F$11*G1374+G1381*'Product and Cost'!$F$12*G1374+G1382*'Product and Cost'!$F$13*G1374</f>
        <v/>
      </c>
    </row>
    <row r="1385">
      <c r="A1385" s="9" t="inlineStr">
        <is>
          <t>Cost of sales</t>
        </is>
      </c>
      <c r="C1385" s="18">
        <f>C1375*('Product and Cost'!$D$27*C1374*Assumptions!$B$88+'Product and Cost'!$B$27*(0.4863620081*C1373+0.4455809638*C1373+0.0356254898*C1374+0.0324315384))+C1376*('Product and Cost'!$D$28*C1374*Assumptions!$B$88+'Product and Cost'!$B$28*(0.4863620081*C1373+0.4455809638*C1373+0.0356254898*C1374+0.0324315384))+C1377*('Product and Cost'!$D$29*C1374*Assumptions!$B$88+'Product and Cost'!$B$29*(0.4863620081*C1373+0.4455809638*C1373+0.0356254898*C1374+0.0324315384))+C1378*('Product and Cost'!$D$30*C1374*Assumptions!$B$88+'Product and Cost'!$B$30*(0.4863620081*C1373+0.4455809638*C1373+0.0356254898*C1374+0.0324315384))+C1379*('Product and Cost'!$D$31*C1374*Assumptions!$B$88+'Product and Cost'!$B$31*(0.4863620081*C1373+0.4455809638*C1373+0.0356254898*C1374+0.0324315384))+C1380*('Product and Cost'!$D$32*C1374*Assumptions!$B$88+'Product and Cost'!$B$32*(0.4863620081*C1373+0.4455809638*C1373+0.0356254898*C1374+0.0324315384))+C1381*('Product and Cost'!$D$33*C1374*Assumptions!$B$88+'Product and Cost'!$B$33*(0.4863620081*C1373+0.4455809638*C1373+0.0356254898*C1374+0.0324315384))+C1382*('Product and Cost'!$D$34*C1374*Assumptions!$B$88+'Product and Cost'!$B$34*(0.4863620081*C1373+0.4455809638*C1373+0.0356254898*C1374+0.0324315384))</f>
        <v/>
      </c>
      <c r="D1385" s="18">
        <f>D1375*('Product and Cost'!$D$27*D1374*Assumptions!$B$88+'Product and Cost'!$B$27*(0.4863620081*D1373+0.4455809638*D1373+0.0356254898*D1374+0.0324315384))+D1376*('Product and Cost'!$D$28*D1374*Assumptions!$B$88+'Product and Cost'!$B$28*(0.4863620081*D1373+0.4455809638*D1373+0.0356254898*D1374+0.0324315384))+D1377*('Product and Cost'!$D$29*D1374*Assumptions!$B$88+'Product and Cost'!$B$29*(0.4863620081*D1373+0.4455809638*D1373+0.0356254898*D1374+0.0324315384))+D1378*('Product and Cost'!$D$30*D1374*Assumptions!$B$88+'Product and Cost'!$B$30*(0.4863620081*D1373+0.4455809638*D1373+0.0356254898*D1374+0.0324315384))+D1379*('Product and Cost'!$D$31*D1374*Assumptions!$B$88+'Product and Cost'!$B$31*(0.4863620081*D1373+0.4455809638*D1373+0.0356254898*D1374+0.0324315384))+D1380*('Product and Cost'!$D$32*D1374*Assumptions!$B$88+'Product and Cost'!$B$32*(0.4863620081*D1373+0.4455809638*D1373+0.0356254898*D1374+0.0324315384))+D1381*('Product and Cost'!$D$33*D1374*Assumptions!$B$88+'Product and Cost'!$B$33*(0.4863620081*D1373+0.4455809638*D1373+0.0356254898*D1374+0.0324315384))+D1382*('Product and Cost'!$D$34*D1374*Assumptions!$B$88+'Product and Cost'!$B$34*(0.4863620081*D1373+0.4455809638*D1373+0.0356254898*D1374+0.0324315384))</f>
        <v/>
      </c>
      <c r="E1385" s="18">
        <f>E1375*('Product and Cost'!$D$27*E1374*Assumptions!$B$88+'Product and Cost'!$B$27*(0.4863620081*E1373+0.4455809638*E1373+0.0356254898*E1374+0.0324315384))+E1376*('Product and Cost'!$D$28*E1374*Assumptions!$B$88+'Product and Cost'!$B$28*(0.4863620081*E1373+0.4455809638*E1373+0.0356254898*E1374+0.0324315384))+E1377*('Product and Cost'!$D$29*E1374*Assumptions!$B$88+'Product and Cost'!$B$29*(0.4863620081*E1373+0.4455809638*E1373+0.0356254898*E1374+0.0324315384))+E1378*('Product and Cost'!$D$30*E1374*Assumptions!$B$88+'Product and Cost'!$B$30*(0.4863620081*E1373+0.4455809638*E1373+0.0356254898*E1374+0.0324315384))+E1379*('Product and Cost'!$D$31*E1374*Assumptions!$B$88+'Product and Cost'!$B$31*(0.4863620081*E1373+0.4455809638*E1373+0.0356254898*E1374+0.0324315384))+E1380*('Product and Cost'!$D$32*E1374*Assumptions!$B$88+'Product and Cost'!$B$32*(0.4863620081*E1373+0.4455809638*E1373+0.0356254898*E1374+0.0324315384))+E1381*('Product and Cost'!$D$33*E1374*Assumptions!$B$88+'Product and Cost'!$B$33*(0.4863620081*E1373+0.4455809638*E1373+0.0356254898*E1374+0.0324315384))+E1382*('Product and Cost'!$D$34*E1374*Assumptions!$B$88+'Product and Cost'!$B$34*(0.4863620081*E1373+0.4455809638*E1373+0.0356254898*E1374+0.0324315384))</f>
        <v/>
      </c>
      <c r="F1385" s="18">
        <f>F1375*('Product and Cost'!$D$27*F1374*Assumptions!$B$88+'Product and Cost'!$B$27*(0.4863620081*F1373+0.4455809638*F1373+0.0356254898*F1374+0.0324315384))+F1376*('Product and Cost'!$D$28*F1374*Assumptions!$B$88+'Product and Cost'!$B$28*(0.4863620081*F1373+0.4455809638*F1373+0.0356254898*F1374+0.0324315384))+F1377*('Product and Cost'!$D$29*F1374*Assumptions!$B$88+'Product and Cost'!$B$29*(0.4863620081*F1373+0.4455809638*F1373+0.0356254898*F1374+0.0324315384))+F1378*('Product and Cost'!$D$30*F1374*Assumptions!$B$88+'Product and Cost'!$B$30*(0.4863620081*F1373+0.4455809638*F1373+0.0356254898*F1374+0.0324315384))+F1379*('Product and Cost'!$D$31*F1374*Assumptions!$B$88+'Product and Cost'!$B$31*(0.4863620081*F1373+0.4455809638*F1373+0.0356254898*F1374+0.0324315384))+F1380*('Product and Cost'!$D$32*F1374*Assumptions!$B$88+'Product and Cost'!$B$32*(0.4863620081*F1373+0.4455809638*F1373+0.0356254898*F1374+0.0324315384))+F1381*('Product and Cost'!$D$33*F1374*Assumptions!$B$88+'Product and Cost'!$B$33*(0.4863620081*F1373+0.4455809638*F1373+0.0356254898*F1374+0.0324315384))+F1382*('Product and Cost'!$D$34*F1374*Assumptions!$B$88+'Product and Cost'!$B$34*(0.4863620081*F1373+0.4455809638*F1373+0.0356254898*F1374+0.0324315384))</f>
        <v/>
      </c>
      <c r="G1385" s="18">
        <f>G1375*('Product and Cost'!$D$27*G1374*Assumptions!$B$88+'Product and Cost'!$B$27*(0.4863620081*G1373+0.4455809638*G1373+0.0356254898*G1374+0.0324315384))+G1376*('Product and Cost'!$D$28*G1374*Assumptions!$B$88+'Product and Cost'!$B$28*(0.4863620081*G1373+0.4455809638*G1373+0.0356254898*G1374+0.0324315384))+G1377*('Product and Cost'!$D$29*G1374*Assumptions!$B$88+'Product and Cost'!$B$29*(0.4863620081*G1373+0.4455809638*G1373+0.0356254898*G1374+0.0324315384))+G1378*('Product and Cost'!$D$30*G1374*Assumptions!$B$88+'Product and Cost'!$B$30*(0.4863620081*G1373+0.4455809638*G1373+0.0356254898*G1374+0.0324315384))+G1379*('Product and Cost'!$D$31*G1374*Assumptions!$B$88+'Product and Cost'!$B$31*(0.4863620081*G1373+0.4455809638*G1373+0.0356254898*G1374+0.0324315384))+G1380*('Product and Cost'!$D$32*G1374*Assumptions!$B$88+'Product and Cost'!$B$32*(0.4863620081*G1373+0.4455809638*G1373+0.0356254898*G1374+0.0324315384))+G1381*('Product and Cost'!$D$33*G1374*Assumptions!$B$88+'Product and Cost'!$B$33*(0.4863620081*G1373+0.4455809638*G1373+0.0356254898*G1374+0.0324315384))+G1382*('Product and Cost'!$D$34*G1374*Assumptions!$B$88+'Product and Cost'!$B$34*(0.4863620081*G1373+0.4455809638*G1373+0.0356254898*G1374+0.0324315384))</f>
        <v/>
      </c>
    </row>
    <row r="1386">
      <c r="A1386" s="17" t="inlineStr">
        <is>
          <t>GROSS PROFIT</t>
        </is>
      </c>
      <c r="C1386" s="20">
        <f>C1384-C1385+Forecast!$B$7*C1384</f>
        <v/>
      </c>
      <c r="D1386" s="20">
        <f>D1384-D1385+Forecast!$B$7*D1384</f>
        <v/>
      </c>
      <c r="E1386" s="20">
        <f>E1384-E1385+Forecast!$B$7*E1384</f>
        <v/>
      </c>
      <c r="F1386" s="20">
        <f>F1384-F1385+Forecast!$B$7*F1384</f>
        <v/>
      </c>
      <c r="G1386" s="20">
        <f>G1384-G1385+Forecast!$B$7*G1384</f>
        <v/>
      </c>
    </row>
    <row r="1387">
      <c r="A1387" s="9" t="inlineStr">
        <is>
          <t>Gross margin</t>
        </is>
      </c>
      <c r="C1387" s="19">
        <f>C1386/C1384</f>
        <v/>
      </c>
      <c r="D1387" s="19">
        <f>D1386/D1384</f>
        <v/>
      </c>
      <c r="E1387" s="19">
        <f>E1386/E1384</f>
        <v/>
      </c>
      <c r="F1387" s="19">
        <f>F1386/F1384</f>
        <v/>
      </c>
      <c r="G1387" s="19">
        <f>G1386/G1384</f>
        <v/>
      </c>
    </row>
    <row r="1388">
      <c r="A1388" s="9" t="inlineStr">
        <is>
          <t>Operating expense</t>
        </is>
      </c>
      <c r="C1388" s="18">
        <f>('Base Year'!$B$28*C1373)+('Base Year'!$B$29*C1373*C1383/'Product and Cost'!$E$14)+('Base Year'!$B$30*C1373)+('Base Year'!$B$31*C1373)</f>
        <v/>
      </c>
      <c r="D1388" s="18">
        <f>('Base Year'!$B$28*D1373)+('Base Year'!$B$29*D1373*D1383/'Product and Cost'!$E$14)+('Base Year'!$B$30*D1373)+('Base Year'!$B$31*D1373)</f>
        <v/>
      </c>
      <c r="E1388" s="18">
        <f>('Base Year'!$B$28*E1373)+('Base Year'!$B$29*E1373*E1383/'Product and Cost'!$E$14)+('Base Year'!$B$30*E1373)+('Base Year'!$B$31*E1373)</f>
        <v/>
      </c>
      <c r="F1388" s="18">
        <f>('Base Year'!$B$28*F1373)+('Base Year'!$B$29*F1373*F1383/'Product and Cost'!$E$14)+('Base Year'!$B$30*F1373)+('Base Year'!$B$31*F1373)</f>
        <v/>
      </c>
      <c r="G1388" s="18">
        <f>('Base Year'!$B$28*G1373)+('Base Year'!$B$29*G1373*G1383/'Product and Cost'!$E$14)+('Base Year'!$B$30*G1373)+('Base Year'!$B$31*G1373)</f>
        <v/>
      </c>
    </row>
    <row r="1389">
      <c r="A1389" s="17" t="inlineStr">
        <is>
          <t>EBITDA</t>
        </is>
      </c>
      <c r="C1389" s="20">
        <f>C1386-C1388</f>
        <v/>
      </c>
      <c r="D1389" s="20">
        <f>D1386-D1388</f>
        <v/>
      </c>
      <c r="E1389" s="20">
        <f>E1386-E1388</f>
        <v/>
      </c>
      <c r="F1389" s="20">
        <f>F1386-F1388</f>
        <v/>
      </c>
      <c r="G1389" s="20">
        <f>G1386-G1388</f>
        <v/>
      </c>
    </row>
    <row r="1390">
      <c r="A1390" s="9" t="inlineStr">
        <is>
          <t>Capital expenditure — maintenance + growth</t>
        </is>
      </c>
      <c r="C1390" s="18">
        <f>'Base Year'!$B$43*C1373+MAX(C1383-'Product and Cost'!$E$14,0)*1947.901031*C1373</f>
        <v/>
      </c>
      <c r="D1390" s="18">
        <f>'Base Year'!$B$43*D1373+MAX(D1383-C1383,0)*1947.901031*D1373</f>
        <v/>
      </c>
      <c r="E1390" s="18">
        <f>'Base Year'!$B$43*E1373+MAX(E1383-D1383,0)*1947.901031*E1373</f>
        <v/>
      </c>
      <c r="F1390" s="18">
        <f>'Base Year'!$B$43*F1373+MAX(F1383-E1383,0)*1947.901031*F1373</f>
        <v/>
      </c>
      <c r="G1390" s="18">
        <f>'Base Year'!$B$43*G1373+MAX(G1383-F1383,0)*1947.901031*G1373</f>
        <v/>
      </c>
    </row>
    <row r="1391">
      <c r="A1391" s="9" t="inlineStr">
        <is>
          <t>Fixed assets at cost, closing</t>
        </is>
      </c>
      <c r="C1391" s="18">
        <f>(Assumptions!$B$70+Assumptions!$B$71)/10^6+C1390</f>
        <v/>
      </c>
      <c r="D1391" s="18">
        <f>C1391+D1390</f>
        <v/>
      </c>
      <c r="E1391" s="18">
        <f>D1391+E1390</f>
        <v/>
      </c>
      <c r="F1391" s="18">
        <f>E1391+F1390</f>
        <v/>
      </c>
      <c r="G1391" s="18">
        <f>F1391+G1390</f>
        <v/>
      </c>
    </row>
    <row r="1392">
      <c r="A1392" s="9" t="inlineStr">
        <is>
          <t>Depreciation — rolls off the asset register</t>
        </is>
      </c>
      <c r="C1392" s="18">
        <f>(Assumptions!$B$70+Assumptions!$B$71)/10^6/'Base Year'!$B$42</f>
        <v/>
      </c>
      <c r="D1392" s="18">
        <f>C1391/'Base Year'!$B$42</f>
        <v/>
      </c>
      <c r="E1392" s="18">
        <f>D1391/'Base Year'!$B$42</f>
        <v/>
      </c>
      <c r="F1392" s="18">
        <f>E1391/'Base Year'!$B$42</f>
        <v/>
      </c>
      <c r="G1392" s="18">
        <f>F1391/'Base Year'!$B$42</f>
        <v/>
      </c>
    </row>
    <row r="1393">
      <c r="A1393" s="9" t="inlineStr">
        <is>
          <t>Fixed assets, net book, closing</t>
        </is>
      </c>
      <c r="C1393" s="18">
        <f>(Assumptions!$B$69+Assumptions!$B$71)/10^6+C1390-C1392</f>
        <v/>
      </c>
      <c r="D1393" s="18">
        <f>C1393+D1390-D1392</f>
        <v/>
      </c>
      <c r="E1393" s="18">
        <f>D1393+E1390-E1392</f>
        <v/>
      </c>
      <c r="F1393" s="18">
        <f>E1393+F1390-F1392</f>
        <v/>
      </c>
      <c r="G1393" s="18">
        <f>F1393+G1390-G1392</f>
        <v/>
      </c>
    </row>
    <row r="1394">
      <c r="A1394" s="17" t="inlineStr">
        <is>
          <t>EBIT</t>
        </is>
      </c>
      <c r="C1394" s="20">
        <f>C1389-C1392</f>
        <v/>
      </c>
      <c r="D1394" s="20">
        <f>D1389-D1392</f>
        <v/>
      </c>
      <c r="E1394" s="20">
        <f>E1389-E1392</f>
        <v/>
      </c>
      <c r="F1394" s="20">
        <f>F1389-F1392</f>
        <v/>
      </c>
      <c r="G1394" s="20">
        <f>G1389-G1392</f>
        <v/>
      </c>
    </row>
    <row r="1395">
      <c r="A1395" s="9" t="inlineStr">
        <is>
          <t>NOPAT before the profit share</t>
        </is>
      </c>
      <c r="C1395" s="18">
        <f>C1394*(1-Assumptions!$B$87)</f>
        <v/>
      </c>
      <c r="D1395" s="18">
        <f>D1394*(1-Assumptions!$B$87)</f>
        <v/>
      </c>
      <c r="E1395" s="18">
        <f>E1394*(1-Assumptions!$B$87)</f>
        <v/>
      </c>
      <c r="F1395" s="18">
        <f>F1394*(1-Assumptions!$B$87)</f>
        <v/>
      </c>
      <c r="G1395" s="18">
        <f>G1394*(1-Assumptions!$B$87)</f>
        <v/>
      </c>
    </row>
    <row r="1396">
      <c r="A1396" s="9" t="inlineStr">
        <is>
          <t xml:space="preserve">  less employees' profit share and board bonuses</t>
        </is>
      </c>
      <c r="C1396" s="18">
        <f>MAX(C1395,0)*'Base Year'!$B$40</f>
        <v/>
      </c>
      <c r="D1396" s="18">
        <f>MAX(D1395,0)*'Base Year'!$B$40</f>
        <v/>
      </c>
      <c r="E1396" s="18">
        <f>MAX(E1395,0)*'Base Year'!$B$40</f>
        <v/>
      </c>
      <c r="F1396" s="18">
        <f>MAX(F1395,0)*'Base Year'!$B$40</f>
        <v/>
      </c>
      <c r="G1396" s="18">
        <f>MAX(G1395,0)*'Base Year'!$B$40</f>
        <v/>
      </c>
    </row>
    <row r="1397">
      <c r="A1397" s="17" t="inlineStr">
        <is>
          <t>NOPAT</t>
        </is>
      </c>
      <c r="C1397" s="20">
        <f>C1395-C1396</f>
        <v/>
      </c>
      <c r="D1397" s="20">
        <f>D1395-D1396</f>
        <v/>
      </c>
      <c r="E1397" s="20">
        <f>E1395-E1396</f>
        <v/>
      </c>
      <c r="F1397" s="20">
        <f>F1395-F1396</f>
        <v/>
      </c>
      <c r="G1397" s="20">
        <f>G1395-G1396</f>
        <v/>
      </c>
    </row>
    <row r="1398">
      <c r="A1398" s="9" t="inlineStr">
        <is>
          <t>Net working capital — on days</t>
        </is>
      </c>
      <c r="C1398" s="18">
        <f>'Base Year'!$B$44*Forecast!$B$9/365*C1385+'Base Year'!$B$45*Forecast!$B$9/365*C1384-'Base Year'!$B$46*Forecast!$B$9/365*C1385</f>
        <v/>
      </c>
      <c r="D1398" s="18">
        <f>'Base Year'!$B$44*Forecast!$B$9/365*D1385+'Base Year'!$B$45*Forecast!$B$9/365*D1384-'Base Year'!$B$46*Forecast!$B$9/365*D1385</f>
        <v/>
      </c>
      <c r="E1398" s="18">
        <f>'Base Year'!$B$44*Forecast!$B$9/365*E1385+'Base Year'!$B$45*Forecast!$B$9/365*E1384-'Base Year'!$B$46*Forecast!$B$9/365*E1385</f>
        <v/>
      </c>
      <c r="F1398" s="18">
        <f>'Base Year'!$B$44*Forecast!$B$9/365*F1385+'Base Year'!$B$45*Forecast!$B$9/365*F1384-'Base Year'!$B$46*Forecast!$B$9/365*F1385</f>
        <v/>
      </c>
      <c r="G1398" s="18">
        <f>'Base Year'!$B$44*Forecast!$B$9/365*G1385+'Base Year'!$B$45*Forecast!$B$9/365*G1384-'Base Year'!$B$46*Forecast!$B$9/365*G1385</f>
        <v/>
      </c>
    </row>
    <row r="1399">
      <c r="A1399" s="9" t="inlineStr">
        <is>
          <t xml:space="preserve">  change in working capital</t>
        </is>
      </c>
      <c r="C1399" s="18">
        <f>C1398-('Base Year'!$B$44/365*'Base Year'!$B$21+'Base Year'!$B$45/365*'Base Year'!$B$19-'Base Year'!$B$46/365*'Base Year'!$B$21)</f>
        <v/>
      </c>
      <c r="D1399" s="18">
        <f>D1398-C1398</f>
        <v/>
      </c>
      <c r="E1399" s="18">
        <f>E1398-D1398</f>
        <v/>
      </c>
      <c r="F1399" s="18">
        <f>F1398-E1398</f>
        <v/>
      </c>
      <c r="G1399" s="18">
        <f>G1398-F1398</f>
        <v/>
      </c>
    </row>
    <row r="1400">
      <c r="A1400" s="17" t="inlineStr">
        <is>
          <t>FREE CASH FLOW TO THE FIRM</t>
        </is>
      </c>
      <c r="C1400" s="20">
        <f>C1397+C1392-C1390-C1399</f>
        <v/>
      </c>
      <c r="D1400" s="20">
        <f>D1397+D1392-D1390-D1399</f>
        <v/>
      </c>
      <c r="E1400" s="20">
        <f>E1397+E1392-E1390-E1399</f>
        <v/>
      </c>
      <c r="F1400" s="20">
        <f>F1397+F1392-F1390-F1399</f>
        <v/>
      </c>
      <c r="G1400" s="20">
        <f>G1397+G1392-G1390-G1399</f>
        <v/>
      </c>
    </row>
    <row r="1401">
      <c r="A1401" s="9" t="inlineStr">
        <is>
          <t>Glide fraction</t>
        </is>
      </c>
      <c r="C1401" s="26">
        <f>0.0000000000</f>
        <v/>
      </c>
      <c r="D1401" s="26">
        <f>0.3571428571</f>
        <v/>
      </c>
      <c r="E1401" s="26">
        <f>0.6428571429</f>
        <v/>
      </c>
      <c r="F1401" s="26">
        <f>0.8571428571</f>
        <v/>
      </c>
      <c r="G1401" s="26">
        <f>1.0000000000</f>
        <v/>
      </c>
    </row>
    <row r="1402">
      <c r="A1402" s="9" t="inlineStr">
        <is>
          <t>Forward cost of capital</t>
        </is>
      </c>
      <c r="C1402" s="19">
        <f>Forecast!$B$14-(Forecast!$B$14-Forecast!$B$17)*C1401</f>
        <v/>
      </c>
      <c r="D1402" s="19">
        <f>Forecast!$B$14-(Forecast!$B$14-Forecast!$B$17)*D1401</f>
        <v/>
      </c>
      <c r="E1402" s="19">
        <f>Forecast!$B$14-(Forecast!$B$14-Forecast!$B$17)*E1401</f>
        <v/>
      </c>
      <c r="F1402" s="19">
        <f>Forecast!$B$14-(Forecast!$B$14-Forecast!$B$17)*F1401</f>
        <v/>
      </c>
      <c r="G1402" s="19">
        <f>Forecast!$B$14-(Forecast!$B$14-Forecast!$B$17)*G1401</f>
        <v/>
      </c>
    </row>
    <row r="1403">
      <c r="A1403" s="9" t="inlineStr">
        <is>
          <t>Cumulative discount factor</t>
        </is>
      </c>
      <c r="C1403" s="29">
        <f>1/(1+C1402)</f>
        <v/>
      </c>
      <c r="D1403" s="29">
        <f>C1403/(1+D1402)</f>
        <v/>
      </c>
      <c r="E1403" s="29">
        <f>D1403/(1+E1402)</f>
        <v/>
      </c>
      <c r="F1403" s="29">
        <f>E1403/(1+F1402)</f>
        <v/>
      </c>
      <c r="G1403" s="29">
        <f>F1403/(1+G1402)</f>
        <v/>
      </c>
    </row>
    <row r="1404">
      <c r="A1404" s="9" t="inlineStr">
        <is>
          <t>Present value</t>
        </is>
      </c>
      <c r="C1404" s="18">
        <f>C1400*C1403</f>
        <v/>
      </c>
      <c r="D1404" s="18">
        <f>D1400*D1403</f>
        <v/>
      </c>
      <c r="E1404" s="18">
        <f>E1400*E1403</f>
        <v/>
      </c>
      <c r="F1404" s="18">
        <f>F1400*F1403</f>
        <v/>
      </c>
      <c r="G1404" s="18">
        <f>G1400*G1403</f>
        <v/>
      </c>
    </row>
    <row r="1405">
      <c r="A1405" s="17" t="inlineStr">
        <is>
          <t>PV of the explicit window</t>
        </is>
      </c>
      <c r="B1405" s="20">
        <f>SUM(C1404:G1404)</f>
        <v/>
      </c>
      <c r="C1405" s="18">
        <f>C1398+C1391</f>
        <v/>
      </c>
      <c r="D1405" s="18">
        <f>D1398+D1391</f>
        <v/>
      </c>
      <c r="E1405" s="18">
        <f>E1398+E1391</f>
        <v/>
      </c>
      <c r="F1405" s="18">
        <f>F1398+F1391</f>
        <v/>
      </c>
      <c r="G1405" s="18">
        <f>G1398+G1391</f>
        <v/>
      </c>
    </row>
    <row r="1406">
      <c r="A1406" s="9" t="inlineStr">
        <is>
          <t>Terminal return on invested capital, at REPLACEMENT cost</t>
        </is>
      </c>
      <c r="B1406" s="19">
        <f>G1397*(1+$H$43)/G1405</f>
        <v/>
      </c>
    </row>
    <row r="1407">
      <c r="A1407" s="9" t="inlineStr">
        <is>
          <t>Required reinvestment = growth / return</t>
        </is>
      </c>
      <c r="B1407" s="19">
        <f>MIN($H$43/B1406,0.95)</f>
        <v/>
      </c>
    </row>
    <row r="1408">
      <c r="A1408" s="9" t="inlineStr">
        <is>
          <t>Terminal value</t>
        </is>
      </c>
      <c r="B1408" s="18">
        <f>G1397*(1+$H$43)*(1-B1407)/MAX(Forecast!$B$17-$H$43,0.02)</f>
        <v/>
      </c>
    </row>
    <row r="1409">
      <c r="A1409" s="9" t="inlineStr">
        <is>
          <t>PV of the terminal block</t>
        </is>
      </c>
      <c r="B1409" s="18">
        <f>B1408*G1403</f>
        <v/>
      </c>
    </row>
    <row r="1410">
      <c r="A1410" s="17" t="inlineStr">
        <is>
          <t>ENTERPRISE VALUE</t>
        </is>
      </c>
      <c r="B1410" s="20">
        <f>B1405+B1409</f>
        <v/>
      </c>
    </row>
    <row r="1411">
      <c r="A1411" s="9" t="inlineStr">
        <is>
          <t>plus net cash</t>
        </is>
      </c>
      <c r="B1411" s="18">
        <f>(Assumptions!$B$79-Assumptions!$B$82-Assumptions!$B$83)/10^6</f>
        <v/>
      </c>
    </row>
    <row r="1412">
      <c r="A1412" s="9" t="inlineStr">
        <is>
          <t>Enterprise value including cash</t>
        </is>
      </c>
      <c r="B1412" s="18">
        <f>B1410+B1411</f>
        <v/>
      </c>
    </row>
    <row r="1413">
      <c r="A1413" s="9" t="inlineStr">
        <is>
          <t>less minority — on the WHOLE enterprise, cash included</t>
        </is>
      </c>
      <c r="B1413" s="18">
        <f>B1412*'Base Year'!$B$41</f>
        <v/>
      </c>
    </row>
    <row r="1414">
      <c r="A1414" s="9" t="inlineStr">
        <is>
          <t>less the tax-disputes provision</t>
        </is>
      </c>
      <c r="B1414" s="18">
        <f>Assumptions!$B$78/10^6</f>
        <v/>
      </c>
    </row>
    <row r="1415">
      <c r="A1415" s="9" t="inlineStr">
        <is>
          <t>less dividends payable — declared, out of working capital</t>
        </is>
      </c>
      <c r="B1415" s="18">
        <f>Assumptions!$B$77/10^6</f>
        <v/>
      </c>
    </row>
    <row r="1416">
      <c r="A1416" s="9" t="inlineStr">
        <is>
          <t>plus non-operating investments and pledged deposits</t>
        </is>
      </c>
      <c r="B1416" s="18">
        <f>(Assumptions!$B$81+Assumptions!$B$80)/10^6</f>
        <v/>
      </c>
    </row>
    <row r="1417">
      <c r="A1417" s="17" t="inlineStr">
        <is>
          <t>EQUITY ATTRIBUTABLE</t>
        </is>
      </c>
      <c r="B1417" s="20">
        <f>B1412-B1413-B1414-B1415+B1416</f>
        <v/>
      </c>
    </row>
    <row r="1418">
      <c r="A1418" s="17" t="inlineStr">
        <is>
          <t>VALUE PER SHARE, EGP</t>
        </is>
      </c>
      <c r="B1418" s="30">
        <f>B1417/Assumptions!$B$8</f>
        <v/>
      </c>
    </row>
    <row r="1421">
      <c r="A1421" s="6" t="inlineStr">
        <is>
          <t>Terminal growth — 6.0%</t>
        </is>
      </c>
      <c r="B1421" s="6" t="inlineStr">
        <is>
          <t>2026E</t>
        </is>
      </c>
      <c r="C1421" s="6" t="inlineStr">
        <is>
          <t>2027E</t>
        </is>
      </c>
      <c r="D1421" s="6" t="inlineStr">
        <is>
          <t>2028E</t>
        </is>
      </c>
      <c r="E1421" s="6" t="inlineStr">
        <is>
          <t>2029E</t>
        </is>
      </c>
      <c r="F1421" s="6" t="inlineStr">
        <is>
          <t>2030E</t>
        </is>
      </c>
    </row>
    <row r="1422">
      <c r="A1422" s="9" t="inlineStr">
        <is>
          <t>Inflation index, cumulative</t>
        </is>
      </c>
      <c r="C1422" s="26">
        <f>Assumptions!$B$146</f>
        <v/>
      </c>
      <c r="D1422" s="26">
        <f>C1422*Assumptions!$B$147</f>
        <v/>
      </c>
      <c r="E1422" s="26">
        <f>D1422*Assumptions!$B$148</f>
        <v/>
      </c>
      <c r="F1422" s="26">
        <f>E1422*Assumptions!$B$149</f>
        <v/>
      </c>
      <c r="G1422" s="26">
        <f>F1422*Assumptions!$B$150</f>
        <v/>
      </c>
    </row>
    <row r="1423">
      <c r="A1423" s="9" t="inlineStr">
        <is>
          <t>Realisation index, cumulative</t>
        </is>
      </c>
      <c r="C1423" s="26">
        <f>(1+Assumptions!$B$101*Forecast!$B$8)</f>
        <v/>
      </c>
      <c r="D1423" s="26">
        <f>C1423*(1+Assumptions!$B$102*Forecast!$B$8)</f>
        <v/>
      </c>
      <c r="E1423" s="26">
        <f>D1423*(1+Assumptions!$B$103*Forecast!$B$8)</f>
        <v/>
      </c>
      <c r="F1423" s="26">
        <f>E1423*(1+Assumptions!$B$104*Forecast!$B$8)</f>
        <v/>
      </c>
      <c r="G1423" s="26">
        <f>F1423*(1+Assumptions!$B$105*Forecast!$B$8)</f>
        <v/>
      </c>
    </row>
    <row r="1424">
      <c r="A1424" s="9" t="inlineStr">
        <is>
          <t xml:space="preserve">  Volume — Base and special oils, mn t</t>
        </is>
      </c>
      <c r="C1424" s="26">
        <f>'Product and Cost'!E6*(1+Assumptions!$B$106+Forecast!$B$6)</f>
        <v/>
      </c>
      <c r="D1424" s="26">
        <f>C1424*(1+Assumptions!$B$107+Forecast!$B$6)</f>
        <v/>
      </c>
      <c r="E1424" s="26">
        <f>D1424*(1+Assumptions!$B$108+Forecast!$B$6)</f>
        <v/>
      </c>
      <c r="F1424" s="26">
        <f>E1424*(1+Assumptions!$B$109+Forecast!$B$6)</f>
        <v/>
      </c>
      <c r="G1424" s="26">
        <f>F1424*(1+Assumptions!$B$110+Forecast!$B$6)</f>
        <v/>
      </c>
    </row>
    <row r="1425">
      <c r="A1425" s="9" t="inlineStr">
        <is>
          <t xml:space="preserve">  Volume — Paraffin wax, mn t</t>
        </is>
      </c>
      <c r="C1425" s="26">
        <f>'Product and Cost'!E7*(1+Assumptions!$B$111+Forecast!$B$6)</f>
        <v/>
      </c>
      <c r="D1425" s="26">
        <f>C1425*(1+Assumptions!$B$112+Forecast!$B$6)</f>
        <v/>
      </c>
      <c r="E1425" s="26">
        <f>D1425*(1+Assumptions!$B$113+Forecast!$B$6)</f>
        <v/>
      </c>
      <c r="F1425" s="26">
        <f>E1425*(1+Assumptions!$B$114+Forecast!$B$6)</f>
        <v/>
      </c>
      <c r="G1425" s="26">
        <f>F1425*(1+Assumptions!$B$115+Forecast!$B$6)</f>
        <v/>
      </c>
    </row>
    <row r="1426">
      <c r="A1426" s="9" t="inlineStr">
        <is>
          <t xml:space="preserve">  Volume — Gas oil, mn t</t>
        </is>
      </c>
      <c r="C1426" s="26">
        <f>'Product and Cost'!E8*(1+Assumptions!$B$116+Forecast!$B$6)</f>
        <v/>
      </c>
      <c r="D1426" s="26">
        <f>C1426*(1+Assumptions!$B$117+Forecast!$B$6)</f>
        <v/>
      </c>
      <c r="E1426" s="26">
        <f>D1426*(1+Assumptions!$B$118+Forecast!$B$6)</f>
        <v/>
      </c>
      <c r="F1426" s="26">
        <f>E1426*(1+Assumptions!$B$119+Forecast!$B$6)</f>
        <v/>
      </c>
      <c r="G1426" s="26">
        <f>F1426*(1+Assumptions!$B$120+Forecast!$B$6)</f>
        <v/>
      </c>
    </row>
    <row r="1427">
      <c r="A1427" s="9" t="inlineStr">
        <is>
          <t xml:space="preserve">  Volume — Naphtha, mn t</t>
        </is>
      </c>
      <c r="C1427" s="26">
        <f>'Product and Cost'!E9*(1+Assumptions!$B$121+Forecast!$B$6)</f>
        <v/>
      </c>
      <c r="D1427" s="26">
        <f>C1427*(1+Assumptions!$B$122+Forecast!$B$6)</f>
        <v/>
      </c>
      <c r="E1427" s="26">
        <f>D1427*(1+Assumptions!$B$123+Forecast!$B$6)</f>
        <v/>
      </c>
      <c r="F1427" s="26">
        <f>E1427*(1+Assumptions!$B$124+Forecast!$B$6)</f>
        <v/>
      </c>
      <c r="G1427" s="26">
        <f>F1427*(1+Assumptions!$B$125+Forecast!$B$6)</f>
        <v/>
      </c>
    </row>
    <row r="1428">
      <c r="A1428" s="9" t="inlineStr">
        <is>
          <t xml:space="preserve">  Volume — Liquefied petroleum gas, mn t</t>
        </is>
      </c>
      <c r="C1428" s="26">
        <f>'Product and Cost'!E10*(1+Assumptions!$B$126+Forecast!$B$6)</f>
        <v/>
      </c>
      <c r="D1428" s="26">
        <f>C1428*(1+Assumptions!$B$127+Forecast!$B$6)</f>
        <v/>
      </c>
      <c r="E1428" s="26">
        <f>D1428*(1+Assumptions!$B$128+Forecast!$B$6)</f>
        <v/>
      </c>
      <c r="F1428" s="26">
        <f>E1428*(1+Assumptions!$B$129+Forecast!$B$6)</f>
        <v/>
      </c>
      <c r="G1428" s="26">
        <f>F1428*(1+Assumptions!$B$130+Forecast!$B$6)</f>
        <v/>
      </c>
    </row>
    <row r="1429">
      <c r="A1429" s="9" t="inlineStr">
        <is>
          <t xml:space="preserve">  Volume — Fuel oil (mix), mn t</t>
        </is>
      </c>
      <c r="C1429" s="26">
        <f>'Product and Cost'!E11*(1+Assumptions!$B$131+Forecast!$B$6)</f>
        <v/>
      </c>
      <c r="D1429" s="26">
        <f>C1429*(1+Assumptions!$B$132+Forecast!$B$6)</f>
        <v/>
      </c>
      <c r="E1429" s="26">
        <f>D1429*(1+Assumptions!$B$133+Forecast!$B$6)</f>
        <v/>
      </c>
      <c r="F1429" s="26">
        <f>E1429*(1+Assumptions!$B$134+Forecast!$B$6)</f>
        <v/>
      </c>
      <c r="G1429" s="26">
        <f>F1429*(1+Assumptions!$B$135+Forecast!$B$6)</f>
        <v/>
      </c>
    </row>
    <row r="1430">
      <c r="A1430" s="9" t="inlineStr">
        <is>
          <t xml:space="preserve">  Volume — Heavy fuel oil, mn t</t>
        </is>
      </c>
      <c r="C1430" s="26">
        <f>'Product and Cost'!E12*(1+Assumptions!$B$136+Forecast!$B$6)</f>
        <v/>
      </c>
      <c r="D1430" s="26">
        <f>C1430*(1+Assumptions!$B$137+Forecast!$B$6)</f>
        <v/>
      </c>
      <c r="E1430" s="26">
        <f>D1430*(1+Assumptions!$B$138+Forecast!$B$6)</f>
        <v/>
      </c>
      <c r="F1430" s="26">
        <f>E1430*(1+Assumptions!$B$139+Forecast!$B$6)</f>
        <v/>
      </c>
      <c r="G1430" s="26">
        <f>F1430*(1+Assumptions!$B$140+Forecast!$B$6)</f>
        <v/>
      </c>
    </row>
    <row r="1431">
      <c r="A1431" s="9" t="inlineStr">
        <is>
          <t xml:space="preserve">  Volume — Waste, mn t</t>
        </is>
      </c>
      <c r="C1431" s="26">
        <f>'Product and Cost'!E13*(1+Assumptions!$B$141+Forecast!$B$6)</f>
        <v/>
      </c>
      <c r="D1431" s="26">
        <f>C1431*(1+Assumptions!$B$142+Forecast!$B$6)</f>
        <v/>
      </c>
      <c r="E1431" s="26">
        <f>D1431*(1+Assumptions!$B$143+Forecast!$B$6)</f>
        <v/>
      </c>
      <c r="F1431" s="26">
        <f>E1431*(1+Assumptions!$B$144+Forecast!$B$6)</f>
        <v/>
      </c>
      <c r="G1431" s="26">
        <f>F1431*(1+Assumptions!$B$145+Forecast!$B$6)</f>
        <v/>
      </c>
    </row>
    <row r="1432">
      <c r="A1432" s="17" t="inlineStr">
        <is>
          <t>Total volume, mn t</t>
        </is>
      </c>
      <c r="C1432" s="28">
        <f>SUM(C1424:C1431)</f>
        <v/>
      </c>
      <c r="D1432" s="28">
        <f>SUM(D1424:D1431)</f>
        <v/>
      </c>
      <c r="E1432" s="28">
        <f>SUM(E1424:E1431)</f>
        <v/>
      </c>
      <c r="F1432" s="28">
        <f>SUM(F1424:F1431)</f>
        <v/>
      </c>
      <c r="G1432" s="28">
        <f>SUM(G1424:G1431)</f>
        <v/>
      </c>
    </row>
    <row r="1433">
      <c r="A1433" s="17" t="inlineStr">
        <is>
          <t>REVENUE</t>
        </is>
      </c>
      <c r="C1433" s="20">
        <f>C1424*'Product and Cost'!$F$6*C1423+C1425*'Product and Cost'!$F$7*C1423+C1426*'Product and Cost'!$F$8*C1423+C1427*'Product and Cost'!$F$9*C1423+C1428*'Product and Cost'!$F$10*C1423+C1429*'Product and Cost'!$F$11*C1423+C1430*'Product and Cost'!$F$12*C1423+C1431*'Product and Cost'!$F$13*C1423</f>
        <v/>
      </c>
      <c r="D1433" s="20">
        <f>D1424*'Product and Cost'!$F$6*D1423+D1425*'Product and Cost'!$F$7*D1423+D1426*'Product and Cost'!$F$8*D1423+D1427*'Product and Cost'!$F$9*D1423+D1428*'Product and Cost'!$F$10*D1423+D1429*'Product and Cost'!$F$11*D1423+D1430*'Product and Cost'!$F$12*D1423+D1431*'Product and Cost'!$F$13*D1423</f>
        <v/>
      </c>
      <c r="E1433" s="20">
        <f>E1424*'Product and Cost'!$F$6*E1423+E1425*'Product and Cost'!$F$7*E1423+E1426*'Product and Cost'!$F$8*E1423+E1427*'Product and Cost'!$F$9*E1423+E1428*'Product and Cost'!$F$10*E1423+E1429*'Product and Cost'!$F$11*E1423+E1430*'Product and Cost'!$F$12*E1423+E1431*'Product and Cost'!$F$13*E1423</f>
        <v/>
      </c>
      <c r="F1433" s="20">
        <f>F1424*'Product and Cost'!$F$6*F1423+F1425*'Product and Cost'!$F$7*F1423+F1426*'Product and Cost'!$F$8*F1423+F1427*'Product and Cost'!$F$9*F1423+F1428*'Product and Cost'!$F$10*F1423+F1429*'Product and Cost'!$F$11*F1423+F1430*'Product and Cost'!$F$12*F1423+F1431*'Product and Cost'!$F$13*F1423</f>
        <v/>
      </c>
      <c r="G1433" s="20">
        <f>G1424*'Product and Cost'!$F$6*G1423+G1425*'Product and Cost'!$F$7*G1423+G1426*'Product and Cost'!$F$8*G1423+G1427*'Product and Cost'!$F$9*G1423+G1428*'Product and Cost'!$F$10*G1423+G1429*'Product and Cost'!$F$11*G1423+G1430*'Product and Cost'!$F$12*G1423+G1431*'Product and Cost'!$F$13*G1423</f>
        <v/>
      </c>
    </row>
    <row r="1434">
      <c r="A1434" s="9" t="inlineStr">
        <is>
          <t>Cost of sales</t>
        </is>
      </c>
      <c r="C1434" s="18">
        <f>C1424*('Product and Cost'!$D$27*C1423*Assumptions!$B$88+'Product and Cost'!$B$27*(0.4863620081*C1422+0.4455809638*C1422+0.0356254898*C1423+0.0324315384))+C1425*('Product and Cost'!$D$28*C1423*Assumptions!$B$88+'Product and Cost'!$B$28*(0.4863620081*C1422+0.4455809638*C1422+0.0356254898*C1423+0.0324315384))+C1426*('Product and Cost'!$D$29*C1423*Assumptions!$B$88+'Product and Cost'!$B$29*(0.4863620081*C1422+0.4455809638*C1422+0.0356254898*C1423+0.0324315384))+C1427*('Product and Cost'!$D$30*C1423*Assumptions!$B$88+'Product and Cost'!$B$30*(0.4863620081*C1422+0.4455809638*C1422+0.0356254898*C1423+0.0324315384))+C1428*('Product and Cost'!$D$31*C1423*Assumptions!$B$88+'Product and Cost'!$B$31*(0.4863620081*C1422+0.4455809638*C1422+0.0356254898*C1423+0.0324315384))+C1429*('Product and Cost'!$D$32*C1423*Assumptions!$B$88+'Product and Cost'!$B$32*(0.4863620081*C1422+0.4455809638*C1422+0.0356254898*C1423+0.0324315384))+C1430*('Product and Cost'!$D$33*C1423*Assumptions!$B$88+'Product and Cost'!$B$33*(0.4863620081*C1422+0.4455809638*C1422+0.0356254898*C1423+0.0324315384))+C1431*('Product and Cost'!$D$34*C1423*Assumptions!$B$88+'Product and Cost'!$B$34*(0.4863620081*C1422+0.4455809638*C1422+0.0356254898*C1423+0.0324315384))</f>
        <v/>
      </c>
      <c r="D1434" s="18">
        <f>D1424*('Product and Cost'!$D$27*D1423*Assumptions!$B$88+'Product and Cost'!$B$27*(0.4863620081*D1422+0.4455809638*D1422+0.0356254898*D1423+0.0324315384))+D1425*('Product and Cost'!$D$28*D1423*Assumptions!$B$88+'Product and Cost'!$B$28*(0.4863620081*D1422+0.4455809638*D1422+0.0356254898*D1423+0.0324315384))+D1426*('Product and Cost'!$D$29*D1423*Assumptions!$B$88+'Product and Cost'!$B$29*(0.4863620081*D1422+0.4455809638*D1422+0.0356254898*D1423+0.0324315384))+D1427*('Product and Cost'!$D$30*D1423*Assumptions!$B$88+'Product and Cost'!$B$30*(0.4863620081*D1422+0.4455809638*D1422+0.0356254898*D1423+0.0324315384))+D1428*('Product and Cost'!$D$31*D1423*Assumptions!$B$88+'Product and Cost'!$B$31*(0.4863620081*D1422+0.4455809638*D1422+0.0356254898*D1423+0.0324315384))+D1429*('Product and Cost'!$D$32*D1423*Assumptions!$B$88+'Product and Cost'!$B$32*(0.4863620081*D1422+0.4455809638*D1422+0.0356254898*D1423+0.0324315384))+D1430*('Product and Cost'!$D$33*D1423*Assumptions!$B$88+'Product and Cost'!$B$33*(0.4863620081*D1422+0.4455809638*D1422+0.0356254898*D1423+0.0324315384))+D1431*('Product and Cost'!$D$34*D1423*Assumptions!$B$88+'Product and Cost'!$B$34*(0.4863620081*D1422+0.4455809638*D1422+0.0356254898*D1423+0.0324315384))</f>
        <v/>
      </c>
      <c r="E1434" s="18">
        <f>E1424*('Product and Cost'!$D$27*E1423*Assumptions!$B$88+'Product and Cost'!$B$27*(0.4863620081*E1422+0.4455809638*E1422+0.0356254898*E1423+0.0324315384))+E1425*('Product and Cost'!$D$28*E1423*Assumptions!$B$88+'Product and Cost'!$B$28*(0.4863620081*E1422+0.4455809638*E1422+0.0356254898*E1423+0.0324315384))+E1426*('Product and Cost'!$D$29*E1423*Assumptions!$B$88+'Product and Cost'!$B$29*(0.4863620081*E1422+0.4455809638*E1422+0.0356254898*E1423+0.0324315384))+E1427*('Product and Cost'!$D$30*E1423*Assumptions!$B$88+'Product and Cost'!$B$30*(0.4863620081*E1422+0.4455809638*E1422+0.0356254898*E1423+0.0324315384))+E1428*('Product and Cost'!$D$31*E1423*Assumptions!$B$88+'Product and Cost'!$B$31*(0.4863620081*E1422+0.4455809638*E1422+0.0356254898*E1423+0.0324315384))+E1429*('Product and Cost'!$D$32*E1423*Assumptions!$B$88+'Product and Cost'!$B$32*(0.4863620081*E1422+0.4455809638*E1422+0.0356254898*E1423+0.0324315384))+E1430*('Product and Cost'!$D$33*E1423*Assumptions!$B$88+'Product and Cost'!$B$33*(0.4863620081*E1422+0.4455809638*E1422+0.0356254898*E1423+0.0324315384))+E1431*('Product and Cost'!$D$34*E1423*Assumptions!$B$88+'Product and Cost'!$B$34*(0.4863620081*E1422+0.4455809638*E1422+0.0356254898*E1423+0.0324315384))</f>
        <v/>
      </c>
      <c r="F1434" s="18">
        <f>F1424*('Product and Cost'!$D$27*F1423*Assumptions!$B$88+'Product and Cost'!$B$27*(0.4863620081*F1422+0.4455809638*F1422+0.0356254898*F1423+0.0324315384))+F1425*('Product and Cost'!$D$28*F1423*Assumptions!$B$88+'Product and Cost'!$B$28*(0.4863620081*F1422+0.4455809638*F1422+0.0356254898*F1423+0.0324315384))+F1426*('Product and Cost'!$D$29*F1423*Assumptions!$B$88+'Product and Cost'!$B$29*(0.4863620081*F1422+0.4455809638*F1422+0.0356254898*F1423+0.0324315384))+F1427*('Product and Cost'!$D$30*F1423*Assumptions!$B$88+'Product and Cost'!$B$30*(0.4863620081*F1422+0.4455809638*F1422+0.0356254898*F1423+0.0324315384))+F1428*('Product and Cost'!$D$31*F1423*Assumptions!$B$88+'Product and Cost'!$B$31*(0.4863620081*F1422+0.4455809638*F1422+0.0356254898*F1423+0.0324315384))+F1429*('Product and Cost'!$D$32*F1423*Assumptions!$B$88+'Product and Cost'!$B$32*(0.4863620081*F1422+0.4455809638*F1422+0.0356254898*F1423+0.0324315384))+F1430*('Product and Cost'!$D$33*F1423*Assumptions!$B$88+'Product and Cost'!$B$33*(0.4863620081*F1422+0.4455809638*F1422+0.0356254898*F1423+0.0324315384))+F1431*('Product and Cost'!$D$34*F1423*Assumptions!$B$88+'Product and Cost'!$B$34*(0.4863620081*F1422+0.4455809638*F1422+0.0356254898*F1423+0.0324315384))</f>
        <v/>
      </c>
      <c r="G1434" s="18">
        <f>G1424*('Product and Cost'!$D$27*G1423*Assumptions!$B$88+'Product and Cost'!$B$27*(0.4863620081*G1422+0.4455809638*G1422+0.0356254898*G1423+0.0324315384))+G1425*('Product and Cost'!$D$28*G1423*Assumptions!$B$88+'Product and Cost'!$B$28*(0.4863620081*G1422+0.4455809638*G1422+0.0356254898*G1423+0.0324315384))+G1426*('Product and Cost'!$D$29*G1423*Assumptions!$B$88+'Product and Cost'!$B$29*(0.4863620081*G1422+0.4455809638*G1422+0.0356254898*G1423+0.0324315384))+G1427*('Product and Cost'!$D$30*G1423*Assumptions!$B$88+'Product and Cost'!$B$30*(0.4863620081*G1422+0.4455809638*G1422+0.0356254898*G1423+0.0324315384))+G1428*('Product and Cost'!$D$31*G1423*Assumptions!$B$88+'Product and Cost'!$B$31*(0.4863620081*G1422+0.4455809638*G1422+0.0356254898*G1423+0.0324315384))+G1429*('Product and Cost'!$D$32*G1423*Assumptions!$B$88+'Product and Cost'!$B$32*(0.4863620081*G1422+0.4455809638*G1422+0.0356254898*G1423+0.0324315384))+G1430*('Product and Cost'!$D$33*G1423*Assumptions!$B$88+'Product and Cost'!$B$33*(0.4863620081*G1422+0.4455809638*G1422+0.0356254898*G1423+0.0324315384))+G1431*('Product and Cost'!$D$34*G1423*Assumptions!$B$88+'Product and Cost'!$B$34*(0.4863620081*G1422+0.4455809638*G1422+0.0356254898*G1423+0.0324315384))</f>
        <v/>
      </c>
    </row>
    <row r="1435">
      <c r="A1435" s="17" t="inlineStr">
        <is>
          <t>GROSS PROFIT</t>
        </is>
      </c>
      <c r="C1435" s="20">
        <f>C1433-C1434+Forecast!$B$7*C1433</f>
        <v/>
      </c>
      <c r="D1435" s="20">
        <f>D1433-D1434+Forecast!$B$7*D1433</f>
        <v/>
      </c>
      <c r="E1435" s="20">
        <f>E1433-E1434+Forecast!$B$7*E1433</f>
        <v/>
      </c>
      <c r="F1435" s="20">
        <f>F1433-F1434+Forecast!$B$7*F1433</f>
        <v/>
      </c>
      <c r="G1435" s="20">
        <f>G1433-G1434+Forecast!$B$7*G1433</f>
        <v/>
      </c>
    </row>
    <row r="1436">
      <c r="A1436" s="9" t="inlineStr">
        <is>
          <t>Gross margin</t>
        </is>
      </c>
      <c r="C1436" s="19">
        <f>C1435/C1433</f>
        <v/>
      </c>
      <c r="D1436" s="19">
        <f>D1435/D1433</f>
        <v/>
      </c>
      <c r="E1436" s="19">
        <f>E1435/E1433</f>
        <v/>
      </c>
      <c r="F1436" s="19">
        <f>F1435/F1433</f>
        <v/>
      </c>
      <c r="G1436" s="19">
        <f>G1435/G1433</f>
        <v/>
      </c>
    </row>
    <row r="1437">
      <c r="A1437" s="9" t="inlineStr">
        <is>
          <t>Operating expense</t>
        </is>
      </c>
      <c r="C1437" s="18">
        <f>('Base Year'!$B$28*C1422)+('Base Year'!$B$29*C1422*C1432/'Product and Cost'!$E$14)+('Base Year'!$B$30*C1422)+('Base Year'!$B$31*C1422)</f>
        <v/>
      </c>
      <c r="D1437" s="18">
        <f>('Base Year'!$B$28*D1422)+('Base Year'!$B$29*D1422*D1432/'Product and Cost'!$E$14)+('Base Year'!$B$30*D1422)+('Base Year'!$B$31*D1422)</f>
        <v/>
      </c>
      <c r="E1437" s="18">
        <f>('Base Year'!$B$28*E1422)+('Base Year'!$B$29*E1422*E1432/'Product and Cost'!$E$14)+('Base Year'!$B$30*E1422)+('Base Year'!$B$31*E1422)</f>
        <v/>
      </c>
      <c r="F1437" s="18">
        <f>('Base Year'!$B$28*F1422)+('Base Year'!$B$29*F1422*F1432/'Product and Cost'!$E$14)+('Base Year'!$B$30*F1422)+('Base Year'!$B$31*F1422)</f>
        <v/>
      </c>
      <c r="G1437" s="18">
        <f>('Base Year'!$B$28*G1422)+('Base Year'!$B$29*G1422*G1432/'Product and Cost'!$E$14)+('Base Year'!$B$30*G1422)+('Base Year'!$B$31*G1422)</f>
        <v/>
      </c>
    </row>
    <row r="1438">
      <c r="A1438" s="17" t="inlineStr">
        <is>
          <t>EBITDA</t>
        </is>
      </c>
      <c r="C1438" s="20">
        <f>C1435-C1437</f>
        <v/>
      </c>
      <c r="D1438" s="20">
        <f>D1435-D1437</f>
        <v/>
      </c>
      <c r="E1438" s="20">
        <f>E1435-E1437</f>
        <v/>
      </c>
      <c r="F1438" s="20">
        <f>F1435-F1437</f>
        <v/>
      </c>
      <c r="G1438" s="20">
        <f>G1435-G1437</f>
        <v/>
      </c>
    </row>
    <row r="1439">
      <c r="A1439" s="9" t="inlineStr">
        <is>
          <t>Capital expenditure — maintenance + growth</t>
        </is>
      </c>
      <c r="C1439" s="18">
        <f>'Base Year'!$B$43*C1422+MAX(C1432-'Product and Cost'!$E$14,0)*1947.901031*C1422</f>
        <v/>
      </c>
      <c r="D1439" s="18">
        <f>'Base Year'!$B$43*D1422+MAX(D1432-C1432,0)*1947.901031*D1422</f>
        <v/>
      </c>
      <c r="E1439" s="18">
        <f>'Base Year'!$B$43*E1422+MAX(E1432-D1432,0)*1947.901031*E1422</f>
        <v/>
      </c>
      <c r="F1439" s="18">
        <f>'Base Year'!$B$43*F1422+MAX(F1432-E1432,0)*1947.901031*F1422</f>
        <v/>
      </c>
      <c r="G1439" s="18">
        <f>'Base Year'!$B$43*G1422+MAX(G1432-F1432,0)*1947.901031*G1422</f>
        <v/>
      </c>
    </row>
    <row r="1440">
      <c r="A1440" s="9" t="inlineStr">
        <is>
          <t>Fixed assets at cost, closing</t>
        </is>
      </c>
      <c r="C1440" s="18">
        <f>(Assumptions!$B$70+Assumptions!$B$71)/10^6+C1439</f>
        <v/>
      </c>
      <c r="D1440" s="18">
        <f>C1440+D1439</f>
        <v/>
      </c>
      <c r="E1440" s="18">
        <f>D1440+E1439</f>
        <v/>
      </c>
      <c r="F1440" s="18">
        <f>E1440+F1439</f>
        <v/>
      </c>
      <c r="G1440" s="18">
        <f>F1440+G1439</f>
        <v/>
      </c>
    </row>
    <row r="1441">
      <c r="A1441" s="9" t="inlineStr">
        <is>
          <t>Depreciation — rolls off the asset register</t>
        </is>
      </c>
      <c r="C1441" s="18">
        <f>(Assumptions!$B$70+Assumptions!$B$71)/10^6/'Base Year'!$B$42</f>
        <v/>
      </c>
      <c r="D1441" s="18">
        <f>C1440/'Base Year'!$B$42</f>
        <v/>
      </c>
      <c r="E1441" s="18">
        <f>D1440/'Base Year'!$B$42</f>
        <v/>
      </c>
      <c r="F1441" s="18">
        <f>E1440/'Base Year'!$B$42</f>
        <v/>
      </c>
      <c r="G1441" s="18">
        <f>F1440/'Base Year'!$B$42</f>
        <v/>
      </c>
    </row>
    <row r="1442">
      <c r="A1442" s="9" t="inlineStr">
        <is>
          <t>Fixed assets, net book, closing</t>
        </is>
      </c>
      <c r="C1442" s="18">
        <f>(Assumptions!$B$69+Assumptions!$B$71)/10^6+C1439-C1441</f>
        <v/>
      </c>
      <c r="D1442" s="18">
        <f>C1442+D1439-D1441</f>
        <v/>
      </c>
      <c r="E1442" s="18">
        <f>D1442+E1439-E1441</f>
        <v/>
      </c>
      <c r="F1442" s="18">
        <f>E1442+F1439-F1441</f>
        <v/>
      </c>
      <c r="G1442" s="18">
        <f>F1442+G1439-G1441</f>
        <v/>
      </c>
    </row>
    <row r="1443">
      <c r="A1443" s="17" t="inlineStr">
        <is>
          <t>EBIT</t>
        </is>
      </c>
      <c r="C1443" s="20">
        <f>C1438-C1441</f>
        <v/>
      </c>
      <c r="D1443" s="20">
        <f>D1438-D1441</f>
        <v/>
      </c>
      <c r="E1443" s="20">
        <f>E1438-E1441</f>
        <v/>
      </c>
      <c r="F1443" s="20">
        <f>F1438-F1441</f>
        <v/>
      </c>
      <c r="G1443" s="20">
        <f>G1438-G1441</f>
        <v/>
      </c>
    </row>
    <row r="1444">
      <c r="A1444" s="9" t="inlineStr">
        <is>
          <t>NOPAT before the profit share</t>
        </is>
      </c>
      <c r="C1444" s="18">
        <f>C1443*(1-Assumptions!$B$87)</f>
        <v/>
      </c>
      <c r="D1444" s="18">
        <f>D1443*(1-Assumptions!$B$87)</f>
        <v/>
      </c>
      <c r="E1444" s="18">
        <f>E1443*(1-Assumptions!$B$87)</f>
        <v/>
      </c>
      <c r="F1444" s="18">
        <f>F1443*(1-Assumptions!$B$87)</f>
        <v/>
      </c>
      <c r="G1444" s="18">
        <f>G1443*(1-Assumptions!$B$87)</f>
        <v/>
      </c>
    </row>
    <row r="1445">
      <c r="A1445" s="9" t="inlineStr">
        <is>
          <t xml:space="preserve">  less employees' profit share and board bonuses</t>
        </is>
      </c>
      <c r="C1445" s="18">
        <f>MAX(C1444,0)*'Base Year'!$B$40</f>
        <v/>
      </c>
      <c r="D1445" s="18">
        <f>MAX(D1444,0)*'Base Year'!$B$40</f>
        <v/>
      </c>
      <c r="E1445" s="18">
        <f>MAX(E1444,0)*'Base Year'!$B$40</f>
        <v/>
      </c>
      <c r="F1445" s="18">
        <f>MAX(F1444,0)*'Base Year'!$B$40</f>
        <v/>
      </c>
      <c r="G1445" s="18">
        <f>MAX(G1444,0)*'Base Year'!$B$40</f>
        <v/>
      </c>
    </row>
    <row r="1446">
      <c r="A1446" s="17" t="inlineStr">
        <is>
          <t>NOPAT</t>
        </is>
      </c>
      <c r="C1446" s="20">
        <f>C1444-C1445</f>
        <v/>
      </c>
      <c r="D1446" s="20">
        <f>D1444-D1445</f>
        <v/>
      </c>
      <c r="E1446" s="20">
        <f>E1444-E1445</f>
        <v/>
      </c>
      <c r="F1446" s="20">
        <f>F1444-F1445</f>
        <v/>
      </c>
      <c r="G1446" s="20">
        <f>G1444-G1445</f>
        <v/>
      </c>
    </row>
    <row r="1447">
      <c r="A1447" s="9" t="inlineStr">
        <is>
          <t>Net working capital — on days</t>
        </is>
      </c>
      <c r="C1447" s="18">
        <f>'Base Year'!$B$44*Forecast!$B$9/365*C1434+'Base Year'!$B$45*Forecast!$B$9/365*C1433-'Base Year'!$B$46*Forecast!$B$9/365*C1434</f>
        <v/>
      </c>
      <c r="D1447" s="18">
        <f>'Base Year'!$B$44*Forecast!$B$9/365*D1434+'Base Year'!$B$45*Forecast!$B$9/365*D1433-'Base Year'!$B$46*Forecast!$B$9/365*D1434</f>
        <v/>
      </c>
      <c r="E1447" s="18">
        <f>'Base Year'!$B$44*Forecast!$B$9/365*E1434+'Base Year'!$B$45*Forecast!$B$9/365*E1433-'Base Year'!$B$46*Forecast!$B$9/365*E1434</f>
        <v/>
      </c>
      <c r="F1447" s="18">
        <f>'Base Year'!$B$44*Forecast!$B$9/365*F1434+'Base Year'!$B$45*Forecast!$B$9/365*F1433-'Base Year'!$B$46*Forecast!$B$9/365*F1434</f>
        <v/>
      </c>
      <c r="G1447" s="18">
        <f>'Base Year'!$B$44*Forecast!$B$9/365*G1434+'Base Year'!$B$45*Forecast!$B$9/365*G1433-'Base Year'!$B$46*Forecast!$B$9/365*G1434</f>
        <v/>
      </c>
    </row>
    <row r="1448">
      <c r="A1448" s="9" t="inlineStr">
        <is>
          <t xml:space="preserve">  change in working capital</t>
        </is>
      </c>
      <c r="C1448" s="18">
        <f>C1447-('Base Year'!$B$44/365*'Base Year'!$B$21+'Base Year'!$B$45/365*'Base Year'!$B$19-'Base Year'!$B$46/365*'Base Year'!$B$21)</f>
        <v/>
      </c>
      <c r="D1448" s="18">
        <f>D1447-C1447</f>
        <v/>
      </c>
      <c r="E1448" s="18">
        <f>E1447-D1447</f>
        <v/>
      </c>
      <c r="F1448" s="18">
        <f>F1447-E1447</f>
        <v/>
      </c>
      <c r="G1448" s="18">
        <f>G1447-F1447</f>
        <v/>
      </c>
    </row>
    <row r="1449">
      <c r="A1449" s="17" t="inlineStr">
        <is>
          <t>FREE CASH FLOW TO THE FIRM</t>
        </is>
      </c>
      <c r="C1449" s="20">
        <f>C1446+C1441-C1439-C1448</f>
        <v/>
      </c>
      <c r="D1449" s="20">
        <f>D1446+D1441-D1439-D1448</f>
        <v/>
      </c>
      <c r="E1449" s="20">
        <f>E1446+E1441-E1439-E1448</f>
        <v/>
      </c>
      <c r="F1449" s="20">
        <f>F1446+F1441-F1439-F1448</f>
        <v/>
      </c>
      <c r="G1449" s="20">
        <f>G1446+G1441-G1439-G1448</f>
        <v/>
      </c>
    </row>
    <row r="1450">
      <c r="A1450" s="9" t="inlineStr">
        <is>
          <t>Glide fraction</t>
        </is>
      </c>
      <c r="C1450" s="26">
        <f>0.0000000000</f>
        <v/>
      </c>
      <c r="D1450" s="26">
        <f>0.3571428571</f>
        <v/>
      </c>
      <c r="E1450" s="26">
        <f>0.6428571429</f>
        <v/>
      </c>
      <c r="F1450" s="26">
        <f>0.8571428571</f>
        <v/>
      </c>
      <c r="G1450" s="26">
        <f>1.0000000000</f>
        <v/>
      </c>
    </row>
    <row r="1451">
      <c r="A1451" s="9" t="inlineStr">
        <is>
          <t>Forward cost of capital</t>
        </is>
      </c>
      <c r="C1451" s="19">
        <f>Forecast!$B$14-(Forecast!$B$14-Forecast!$B$17)*C1450</f>
        <v/>
      </c>
      <c r="D1451" s="19">
        <f>Forecast!$B$14-(Forecast!$B$14-Forecast!$B$17)*D1450</f>
        <v/>
      </c>
      <c r="E1451" s="19">
        <f>Forecast!$B$14-(Forecast!$B$14-Forecast!$B$17)*E1450</f>
        <v/>
      </c>
      <c r="F1451" s="19">
        <f>Forecast!$B$14-(Forecast!$B$14-Forecast!$B$17)*F1450</f>
        <v/>
      </c>
      <c r="G1451" s="19">
        <f>Forecast!$B$14-(Forecast!$B$14-Forecast!$B$17)*G1450</f>
        <v/>
      </c>
    </row>
    <row r="1452">
      <c r="A1452" s="9" t="inlineStr">
        <is>
          <t>Cumulative discount factor</t>
        </is>
      </c>
      <c r="C1452" s="29">
        <f>1/(1+C1451)</f>
        <v/>
      </c>
      <c r="D1452" s="29">
        <f>C1452/(1+D1451)</f>
        <v/>
      </c>
      <c r="E1452" s="29">
        <f>D1452/(1+E1451)</f>
        <v/>
      </c>
      <c r="F1452" s="29">
        <f>E1452/(1+F1451)</f>
        <v/>
      </c>
      <c r="G1452" s="29">
        <f>F1452/(1+G1451)</f>
        <v/>
      </c>
    </row>
    <row r="1453">
      <c r="A1453" s="9" t="inlineStr">
        <is>
          <t>Present value</t>
        </is>
      </c>
      <c r="C1453" s="18">
        <f>C1449*C1452</f>
        <v/>
      </c>
      <c r="D1453" s="18">
        <f>D1449*D1452</f>
        <v/>
      </c>
      <c r="E1453" s="18">
        <f>E1449*E1452</f>
        <v/>
      </c>
      <c r="F1453" s="18">
        <f>F1449*F1452</f>
        <v/>
      </c>
      <c r="G1453" s="18">
        <f>G1449*G1452</f>
        <v/>
      </c>
    </row>
    <row r="1454">
      <c r="A1454" s="17" t="inlineStr">
        <is>
          <t>PV of the explicit window</t>
        </is>
      </c>
      <c r="B1454" s="20">
        <f>SUM(C1453:G1453)</f>
        <v/>
      </c>
      <c r="C1454" s="18">
        <f>C1447+C1440</f>
        <v/>
      </c>
      <c r="D1454" s="18">
        <f>D1447+D1440</f>
        <v/>
      </c>
      <c r="E1454" s="18">
        <f>E1447+E1440</f>
        <v/>
      </c>
      <c r="F1454" s="18">
        <f>F1447+F1440</f>
        <v/>
      </c>
      <c r="G1454" s="18">
        <f>G1447+G1440</f>
        <v/>
      </c>
    </row>
    <row r="1455">
      <c r="A1455" s="9" t="inlineStr">
        <is>
          <t>Terminal return on invested capital, at REPLACEMENT cost</t>
        </is>
      </c>
      <c r="B1455" s="19">
        <f>G1446*(1+$H$44)/G1454</f>
        <v/>
      </c>
    </row>
    <row r="1456">
      <c r="A1456" s="9" t="inlineStr">
        <is>
          <t>Required reinvestment = growth / return</t>
        </is>
      </c>
      <c r="B1456" s="19">
        <f>MIN($H$44/B1455,0.95)</f>
        <v/>
      </c>
    </row>
    <row r="1457">
      <c r="A1457" s="9" t="inlineStr">
        <is>
          <t>Terminal value</t>
        </is>
      </c>
      <c r="B1457" s="18">
        <f>G1446*(1+$H$44)*(1-B1456)/MAX(Forecast!$B$17-$H$44,0.02)</f>
        <v/>
      </c>
    </row>
    <row r="1458">
      <c r="A1458" s="9" t="inlineStr">
        <is>
          <t>PV of the terminal block</t>
        </is>
      </c>
      <c r="B1458" s="18">
        <f>B1457*G1452</f>
        <v/>
      </c>
    </row>
    <row r="1459">
      <c r="A1459" s="17" t="inlineStr">
        <is>
          <t>ENTERPRISE VALUE</t>
        </is>
      </c>
      <c r="B1459" s="20">
        <f>B1454+B1458</f>
        <v/>
      </c>
    </row>
    <row r="1460">
      <c r="A1460" s="9" t="inlineStr">
        <is>
          <t>plus net cash</t>
        </is>
      </c>
      <c r="B1460" s="18">
        <f>(Assumptions!$B$79-Assumptions!$B$82-Assumptions!$B$83)/10^6</f>
        <v/>
      </c>
    </row>
    <row r="1461">
      <c r="A1461" s="9" t="inlineStr">
        <is>
          <t>Enterprise value including cash</t>
        </is>
      </c>
      <c r="B1461" s="18">
        <f>B1459+B1460</f>
        <v/>
      </c>
    </row>
    <row r="1462">
      <c r="A1462" s="9" t="inlineStr">
        <is>
          <t>less minority — on the WHOLE enterprise, cash included</t>
        </is>
      </c>
      <c r="B1462" s="18">
        <f>B1461*'Base Year'!$B$41</f>
        <v/>
      </c>
    </row>
    <row r="1463">
      <c r="A1463" s="9" t="inlineStr">
        <is>
          <t>less the tax-disputes provision</t>
        </is>
      </c>
      <c r="B1463" s="18">
        <f>Assumptions!$B$78/10^6</f>
        <v/>
      </c>
    </row>
    <row r="1464">
      <c r="A1464" s="9" t="inlineStr">
        <is>
          <t>less dividends payable — declared, out of working capital</t>
        </is>
      </c>
      <c r="B1464" s="18">
        <f>Assumptions!$B$77/10^6</f>
        <v/>
      </c>
    </row>
    <row r="1465">
      <c r="A1465" s="9" t="inlineStr">
        <is>
          <t>plus non-operating investments and pledged deposits</t>
        </is>
      </c>
      <c r="B1465" s="18">
        <f>(Assumptions!$B$81+Assumptions!$B$80)/10^6</f>
        <v/>
      </c>
    </row>
    <row r="1466">
      <c r="A1466" s="17" t="inlineStr">
        <is>
          <t>EQUITY ATTRIBUTABLE</t>
        </is>
      </c>
      <c r="B1466" s="20">
        <f>B1461-B1462-B1463-B1464+B1465</f>
        <v/>
      </c>
    </row>
    <row r="1467">
      <c r="A1467" s="17" t="inlineStr">
        <is>
          <t>VALUE PER SHARE, EGP</t>
        </is>
      </c>
      <c r="B1467" s="30">
        <f>B1466/Assumptions!$B$8</f>
        <v/>
      </c>
    </row>
    <row r="1470">
      <c r="A1470" s="6" t="inlineStr">
        <is>
          <t>Terminal growth — 7.0%</t>
        </is>
      </c>
      <c r="B1470" s="6" t="inlineStr">
        <is>
          <t>2026E</t>
        </is>
      </c>
      <c r="C1470" s="6" t="inlineStr">
        <is>
          <t>2027E</t>
        </is>
      </c>
      <c r="D1470" s="6" t="inlineStr">
        <is>
          <t>2028E</t>
        </is>
      </c>
      <c r="E1470" s="6" t="inlineStr">
        <is>
          <t>2029E</t>
        </is>
      </c>
      <c r="F1470" s="6" t="inlineStr">
        <is>
          <t>2030E</t>
        </is>
      </c>
    </row>
    <row r="1471">
      <c r="A1471" s="9" t="inlineStr">
        <is>
          <t>Inflation index, cumulative</t>
        </is>
      </c>
      <c r="C1471" s="26">
        <f>Assumptions!$B$146</f>
        <v/>
      </c>
      <c r="D1471" s="26">
        <f>C1471*Assumptions!$B$147</f>
        <v/>
      </c>
      <c r="E1471" s="26">
        <f>D1471*Assumptions!$B$148</f>
        <v/>
      </c>
      <c r="F1471" s="26">
        <f>E1471*Assumptions!$B$149</f>
        <v/>
      </c>
      <c r="G1471" s="26">
        <f>F1471*Assumptions!$B$150</f>
        <v/>
      </c>
    </row>
    <row r="1472">
      <c r="A1472" s="9" t="inlineStr">
        <is>
          <t>Realisation index, cumulative</t>
        </is>
      </c>
      <c r="C1472" s="26">
        <f>(1+Assumptions!$B$101*Forecast!$B$8)</f>
        <v/>
      </c>
      <c r="D1472" s="26">
        <f>C1472*(1+Assumptions!$B$102*Forecast!$B$8)</f>
        <v/>
      </c>
      <c r="E1472" s="26">
        <f>D1472*(1+Assumptions!$B$103*Forecast!$B$8)</f>
        <v/>
      </c>
      <c r="F1472" s="26">
        <f>E1472*(1+Assumptions!$B$104*Forecast!$B$8)</f>
        <v/>
      </c>
      <c r="G1472" s="26">
        <f>F1472*(1+Assumptions!$B$105*Forecast!$B$8)</f>
        <v/>
      </c>
    </row>
    <row r="1473">
      <c r="A1473" s="9" t="inlineStr">
        <is>
          <t xml:space="preserve">  Volume — Base and special oils, mn t</t>
        </is>
      </c>
      <c r="C1473" s="26">
        <f>'Product and Cost'!E6*(1+Assumptions!$B$106+Forecast!$B$6)</f>
        <v/>
      </c>
      <c r="D1473" s="26">
        <f>C1473*(1+Assumptions!$B$107+Forecast!$B$6)</f>
        <v/>
      </c>
      <c r="E1473" s="26">
        <f>D1473*(1+Assumptions!$B$108+Forecast!$B$6)</f>
        <v/>
      </c>
      <c r="F1473" s="26">
        <f>E1473*(1+Assumptions!$B$109+Forecast!$B$6)</f>
        <v/>
      </c>
      <c r="G1473" s="26">
        <f>F1473*(1+Assumptions!$B$110+Forecast!$B$6)</f>
        <v/>
      </c>
    </row>
    <row r="1474">
      <c r="A1474" s="9" t="inlineStr">
        <is>
          <t xml:space="preserve">  Volume — Paraffin wax, mn t</t>
        </is>
      </c>
      <c r="C1474" s="26">
        <f>'Product and Cost'!E7*(1+Assumptions!$B$111+Forecast!$B$6)</f>
        <v/>
      </c>
      <c r="D1474" s="26">
        <f>C1474*(1+Assumptions!$B$112+Forecast!$B$6)</f>
        <v/>
      </c>
      <c r="E1474" s="26">
        <f>D1474*(1+Assumptions!$B$113+Forecast!$B$6)</f>
        <v/>
      </c>
      <c r="F1474" s="26">
        <f>E1474*(1+Assumptions!$B$114+Forecast!$B$6)</f>
        <v/>
      </c>
      <c r="G1474" s="26">
        <f>F1474*(1+Assumptions!$B$115+Forecast!$B$6)</f>
        <v/>
      </c>
    </row>
    <row r="1475">
      <c r="A1475" s="9" t="inlineStr">
        <is>
          <t xml:space="preserve">  Volume — Gas oil, mn t</t>
        </is>
      </c>
      <c r="C1475" s="26">
        <f>'Product and Cost'!E8*(1+Assumptions!$B$116+Forecast!$B$6)</f>
        <v/>
      </c>
      <c r="D1475" s="26">
        <f>C1475*(1+Assumptions!$B$117+Forecast!$B$6)</f>
        <v/>
      </c>
      <c r="E1475" s="26">
        <f>D1475*(1+Assumptions!$B$118+Forecast!$B$6)</f>
        <v/>
      </c>
      <c r="F1475" s="26">
        <f>E1475*(1+Assumptions!$B$119+Forecast!$B$6)</f>
        <v/>
      </c>
      <c r="G1475" s="26">
        <f>F1475*(1+Assumptions!$B$120+Forecast!$B$6)</f>
        <v/>
      </c>
    </row>
    <row r="1476">
      <c r="A1476" s="9" t="inlineStr">
        <is>
          <t xml:space="preserve">  Volume — Naphtha, mn t</t>
        </is>
      </c>
      <c r="C1476" s="26">
        <f>'Product and Cost'!E9*(1+Assumptions!$B$121+Forecast!$B$6)</f>
        <v/>
      </c>
      <c r="D1476" s="26">
        <f>C1476*(1+Assumptions!$B$122+Forecast!$B$6)</f>
        <v/>
      </c>
      <c r="E1476" s="26">
        <f>D1476*(1+Assumptions!$B$123+Forecast!$B$6)</f>
        <v/>
      </c>
      <c r="F1476" s="26">
        <f>E1476*(1+Assumptions!$B$124+Forecast!$B$6)</f>
        <v/>
      </c>
      <c r="G1476" s="26">
        <f>F1476*(1+Assumptions!$B$125+Forecast!$B$6)</f>
        <v/>
      </c>
    </row>
    <row r="1477">
      <c r="A1477" s="9" t="inlineStr">
        <is>
          <t xml:space="preserve">  Volume — Liquefied petroleum gas, mn t</t>
        </is>
      </c>
      <c r="C1477" s="26">
        <f>'Product and Cost'!E10*(1+Assumptions!$B$126+Forecast!$B$6)</f>
        <v/>
      </c>
      <c r="D1477" s="26">
        <f>C1477*(1+Assumptions!$B$127+Forecast!$B$6)</f>
        <v/>
      </c>
      <c r="E1477" s="26">
        <f>D1477*(1+Assumptions!$B$128+Forecast!$B$6)</f>
        <v/>
      </c>
      <c r="F1477" s="26">
        <f>E1477*(1+Assumptions!$B$129+Forecast!$B$6)</f>
        <v/>
      </c>
      <c r="G1477" s="26">
        <f>F1477*(1+Assumptions!$B$130+Forecast!$B$6)</f>
        <v/>
      </c>
    </row>
    <row r="1478">
      <c r="A1478" s="9" t="inlineStr">
        <is>
          <t xml:space="preserve">  Volume — Fuel oil (mix), mn t</t>
        </is>
      </c>
      <c r="C1478" s="26">
        <f>'Product and Cost'!E11*(1+Assumptions!$B$131+Forecast!$B$6)</f>
        <v/>
      </c>
      <c r="D1478" s="26">
        <f>C1478*(1+Assumptions!$B$132+Forecast!$B$6)</f>
        <v/>
      </c>
      <c r="E1478" s="26">
        <f>D1478*(1+Assumptions!$B$133+Forecast!$B$6)</f>
        <v/>
      </c>
      <c r="F1478" s="26">
        <f>E1478*(1+Assumptions!$B$134+Forecast!$B$6)</f>
        <v/>
      </c>
      <c r="G1478" s="26">
        <f>F1478*(1+Assumptions!$B$135+Forecast!$B$6)</f>
        <v/>
      </c>
    </row>
    <row r="1479">
      <c r="A1479" s="9" t="inlineStr">
        <is>
          <t xml:space="preserve">  Volume — Heavy fuel oil, mn t</t>
        </is>
      </c>
      <c r="C1479" s="26">
        <f>'Product and Cost'!E12*(1+Assumptions!$B$136+Forecast!$B$6)</f>
        <v/>
      </c>
      <c r="D1479" s="26">
        <f>C1479*(1+Assumptions!$B$137+Forecast!$B$6)</f>
        <v/>
      </c>
      <c r="E1479" s="26">
        <f>D1479*(1+Assumptions!$B$138+Forecast!$B$6)</f>
        <v/>
      </c>
      <c r="F1479" s="26">
        <f>E1479*(1+Assumptions!$B$139+Forecast!$B$6)</f>
        <v/>
      </c>
      <c r="G1479" s="26">
        <f>F1479*(1+Assumptions!$B$140+Forecast!$B$6)</f>
        <v/>
      </c>
    </row>
    <row r="1480">
      <c r="A1480" s="9" t="inlineStr">
        <is>
          <t xml:space="preserve">  Volume — Waste, mn t</t>
        </is>
      </c>
      <c r="C1480" s="26">
        <f>'Product and Cost'!E13*(1+Assumptions!$B$141+Forecast!$B$6)</f>
        <v/>
      </c>
      <c r="D1480" s="26">
        <f>C1480*(1+Assumptions!$B$142+Forecast!$B$6)</f>
        <v/>
      </c>
      <c r="E1480" s="26">
        <f>D1480*(1+Assumptions!$B$143+Forecast!$B$6)</f>
        <v/>
      </c>
      <c r="F1480" s="26">
        <f>E1480*(1+Assumptions!$B$144+Forecast!$B$6)</f>
        <v/>
      </c>
      <c r="G1480" s="26">
        <f>F1480*(1+Assumptions!$B$145+Forecast!$B$6)</f>
        <v/>
      </c>
    </row>
    <row r="1481">
      <c r="A1481" s="17" t="inlineStr">
        <is>
          <t>Total volume, mn t</t>
        </is>
      </c>
      <c r="C1481" s="28">
        <f>SUM(C1473:C1480)</f>
        <v/>
      </c>
      <c r="D1481" s="28">
        <f>SUM(D1473:D1480)</f>
        <v/>
      </c>
      <c r="E1481" s="28">
        <f>SUM(E1473:E1480)</f>
        <v/>
      </c>
      <c r="F1481" s="28">
        <f>SUM(F1473:F1480)</f>
        <v/>
      </c>
      <c r="G1481" s="28">
        <f>SUM(G1473:G1480)</f>
        <v/>
      </c>
    </row>
    <row r="1482">
      <c r="A1482" s="17" t="inlineStr">
        <is>
          <t>REVENUE</t>
        </is>
      </c>
      <c r="C1482" s="20">
        <f>C1473*'Product and Cost'!$F$6*C1472+C1474*'Product and Cost'!$F$7*C1472+C1475*'Product and Cost'!$F$8*C1472+C1476*'Product and Cost'!$F$9*C1472+C1477*'Product and Cost'!$F$10*C1472+C1478*'Product and Cost'!$F$11*C1472+C1479*'Product and Cost'!$F$12*C1472+C1480*'Product and Cost'!$F$13*C1472</f>
        <v/>
      </c>
      <c r="D1482" s="20">
        <f>D1473*'Product and Cost'!$F$6*D1472+D1474*'Product and Cost'!$F$7*D1472+D1475*'Product and Cost'!$F$8*D1472+D1476*'Product and Cost'!$F$9*D1472+D1477*'Product and Cost'!$F$10*D1472+D1478*'Product and Cost'!$F$11*D1472+D1479*'Product and Cost'!$F$12*D1472+D1480*'Product and Cost'!$F$13*D1472</f>
        <v/>
      </c>
      <c r="E1482" s="20">
        <f>E1473*'Product and Cost'!$F$6*E1472+E1474*'Product and Cost'!$F$7*E1472+E1475*'Product and Cost'!$F$8*E1472+E1476*'Product and Cost'!$F$9*E1472+E1477*'Product and Cost'!$F$10*E1472+E1478*'Product and Cost'!$F$11*E1472+E1479*'Product and Cost'!$F$12*E1472+E1480*'Product and Cost'!$F$13*E1472</f>
        <v/>
      </c>
      <c r="F1482" s="20">
        <f>F1473*'Product and Cost'!$F$6*F1472+F1474*'Product and Cost'!$F$7*F1472+F1475*'Product and Cost'!$F$8*F1472+F1476*'Product and Cost'!$F$9*F1472+F1477*'Product and Cost'!$F$10*F1472+F1478*'Product and Cost'!$F$11*F1472+F1479*'Product and Cost'!$F$12*F1472+F1480*'Product and Cost'!$F$13*F1472</f>
        <v/>
      </c>
      <c r="G1482" s="20">
        <f>G1473*'Product and Cost'!$F$6*G1472+G1474*'Product and Cost'!$F$7*G1472+G1475*'Product and Cost'!$F$8*G1472+G1476*'Product and Cost'!$F$9*G1472+G1477*'Product and Cost'!$F$10*G1472+G1478*'Product and Cost'!$F$11*G1472+G1479*'Product and Cost'!$F$12*G1472+G1480*'Product and Cost'!$F$13*G1472</f>
        <v/>
      </c>
    </row>
    <row r="1483">
      <c r="A1483" s="9" t="inlineStr">
        <is>
          <t>Cost of sales</t>
        </is>
      </c>
      <c r="C1483" s="18">
        <f>C1473*('Product and Cost'!$D$27*C1472*Assumptions!$B$88+'Product and Cost'!$B$27*(0.4863620081*C1471+0.4455809638*C1471+0.0356254898*C1472+0.0324315384))+C1474*('Product and Cost'!$D$28*C1472*Assumptions!$B$88+'Product and Cost'!$B$28*(0.4863620081*C1471+0.4455809638*C1471+0.0356254898*C1472+0.0324315384))+C1475*('Product and Cost'!$D$29*C1472*Assumptions!$B$88+'Product and Cost'!$B$29*(0.4863620081*C1471+0.4455809638*C1471+0.0356254898*C1472+0.0324315384))+C1476*('Product and Cost'!$D$30*C1472*Assumptions!$B$88+'Product and Cost'!$B$30*(0.4863620081*C1471+0.4455809638*C1471+0.0356254898*C1472+0.0324315384))+C1477*('Product and Cost'!$D$31*C1472*Assumptions!$B$88+'Product and Cost'!$B$31*(0.4863620081*C1471+0.4455809638*C1471+0.0356254898*C1472+0.0324315384))+C1478*('Product and Cost'!$D$32*C1472*Assumptions!$B$88+'Product and Cost'!$B$32*(0.4863620081*C1471+0.4455809638*C1471+0.0356254898*C1472+0.0324315384))+C1479*('Product and Cost'!$D$33*C1472*Assumptions!$B$88+'Product and Cost'!$B$33*(0.4863620081*C1471+0.4455809638*C1471+0.0356254898*C1472+0.0324315384))+C1480*('Product and Cost'!$D$34*C1472*Assumptions!$B$88+'Product and Cost'!$B$34*(0.4863620081*C1471+0.4455809638*C1471+0.0356254898*C1472+0.0324315384))</f>
        <v/>
      </c>
      <c r="D1483" s="18">
        <f>D1473*('Product and Cost'!$D$27*D1472*Assumptions!$B$88+'Product and Cost'!$B$27*(0.4863620081*D1471+0.4455809638*D1471+0.0356254898*D1472+0.0324315384))+D1474*('Product and Cost'!$D$28*D1472*Assumptions!$B$88+'Product and Cost'!$B$28*(0.4863620081*D1471+0.4455809638*D1471+0.0356254898*D1472+0.0324315384))+D1475*('Product and Cost'!$D$29*D1472*Assumptions!$B$88+'Product and Cost'!$B$29*(0.4863620081*D1471+0.4455809638*D1471+0.0356254898*D1472+0.0324315384))+D1476*('Product and Cost'!$D$30*D1472*Assumptions!$B$88+'Product and Cost'!$B$30*(0.4863620081*D1471+0.4455809638*D1471+0.0356254898*D1472+0.0324315384))+D1477*('Product and Cost'!$D$31*D1472*Assumptions!$B$88+'Product and Cost'!$B$31*(0.4863620081*D1471+0.4455809638*D1471+0.0356254898*D1472+0.0324315384))+D1478*('Product and Cost'!$D$32*D1472*Assumptions!$B$88+'Product and Cost'!$B$32*(0.4863620081*D1471+0.4455809638*D1471+0.0356254898*D1472+0.0324315384))+D1479*('Product and Cost'!$D$33*D1472*Assumptions!$B$88+'Product and Cost'!$B$33*(0.4863620081*D1471+0.4455809638*D1471+0.0356254898*D1472+0.0324315384))+D1480*('Product and Cost'!$D$34*D1472*Assumptions!$B$88+'Product and Cost'!$B$34*(0.4863620081*D1471+0.4455809638*D1471+0.0356254898*D1472+0.0324315384))</f>
        <v/>
      </c>
      <c r="E1483" s="18">
        <f>E1473*('Product and Cost'!$D$27*E1472*Assumptions!$B$88+'Product and Cost'!$B$27*(0.4863620081*E1471+0.4455809638*E1471+0.0356254898*E1472+0.0324315384))+E1474*('Product and Cost'!$D$28*E1472*Assumptions!$B$88+'Product and Cost'!$B$28*(0.4863620081*E1471+0.4455809638*E1471+0.0356254898*E1472+0.0324315384))+E1475*('Product and Cost'!$D$29*E1472*Assumptions!$B$88+'Product and Cost'!$B$29*(0.4863620081*E1471+0.4455809638*E1471+0.0356254898*E1472+0.0324315384))+E1476*('Product and Cost'!$D$30*E1472*Assumptions!$B$88+'Product and Cost'!$B$30*(0.4863620081*E1471+0.4455809638*E1471+0.0356254898*E1472+0.0324315384))+E1477*('Product and Cost'!$D$31*E1472*Assumptions!$B$88+'Product and Cost'!$B$31*(0.4863620081*E1471+0.4455809638*E1471+0.0356254898*E1472+0.0324315384))+E1478*('Product and Cost'!$D$32*E1472*Assumptions!$B$88+'Product and Cost'!$B$32*(0.4863620081*E1471+0.4455809638*E1471+0.0356254898*E1472+0.0324315384))+E1479*('Product and Cost'!$D$33*E1472*Assumptions!$B$88+'Product and Cost'!$B$33*(0.4863620081*E1471+0.4455809638*E1471+0.0356254898*E1472+0.0324315384))+E1480*('Product and Cost'!$D$34*E1472*Assumptions!$B$88+'Product and Cost'!$B$34*(0.4863620081*E1471+0.4455809638*E1471+0.0356254898*E1472+0.0324315384))</f>
        <v/>
      </c>
      <c r="F1483" s="18">
        <f>F1473*('Product and Cost'!$D$27*F1472*Assumptions!$B$88+'Product and Cost'!$B$27*(0.4863620081*F1471+0.4455809638*F1471+0.0356254898*F1472+0.0324315384))+F1474*('Product and Cost'!$D$28*F1472*Assumptions!$B$88+'Product and Cost'!$B$28*(0.4863620081*F1471+0.4455809638*F1471+0.0356254898*F1472+0.0324315384))+F1475*('Product and Cost'!$D$29*F1472*Assumptions!$B$88+'Product and Cost'!$B$29*(0.4863620081*F1471+0.4455809638*F1471+0.0356254898*F1472+0.0324315384))+F1476*('Product and Cost'!$D$30*F1472*Assumptions!$B$88+'Product and Cost'!$B$30*(0.4863620081*F1471+0.4455809638*F1471+0.0356254898*F1472+0.0324315384))+F1477*('Product and Cost'!$D$31*F1472*Assumptions!$B$88+'Product and Cost'!$B$31*(0.4863620081*F1471+0.4455809638*F1471+0.0356254898*F1472+0.0324315384))+F1478*('Product and Cost'!$D$32*F1472*Assumptions!$B$88+'Product and Cost'!$B$32*(0.4863620081*F1471+0.4455809638*F1471+0.0356254898*F1472+0.0324315384))+F1479*('Product and Cost'!$D$33*F1472*Assumptions!$B$88+'Product and Cost'!$B$33*(0.4863620081*F1471+0.4455809638*F1471+0.0356254898*F1472+0.0324315384))+F1480*('Product and Cost'!$D$34*F1472*Assumptions!$B$88+'Product and Cost'!$B$34*(0.4863620081*F1471+0.4455809638*F1471+0.0356254898*F1472+0.0324315384))</f>
        <v/>
      </c>
      <c r="G1483" s="18">
        <f>G1473*('Product and Cost'!$D$27*G1472*Assumptions!$B$88+'Product and Cost'!$B$27*(0.4863620081*G1471+0.4455809638*G1471+0.0356254898*G1472+0.0324315384))+G1474*('Product and Cost'!$D$28*G1472*Assumptions!$B$88+'Product and Cost'!$B$28*(0.4863620081*G1471+0.4455809638*G1471+0.0356254898*G1472+0.0324315384))+G1475*('Product and Cost'!$D$29*G1472*Assumptions!$B$88+'Product and Cost'!$B$29*(0.4863620081*G1471+0.4455809638*G1471+0.0356254898*G1472+0.0324315384))+G1476*('Product and Cost'!$D$30*G1472*Assumptions!$B$88+'Product and Cost'!$B$30*(0.4863620081*G1471+0.4455809638*G1471+0.0356254898*G1472+0.0324315384))+G1477*('Product and Cost'!$D$31*G1472*Assumptions!$B$88+'Product and Cost'!$B$31*(0.4863620081*G1471+0.4455809638*G1471+0.0356254898*G1472+0.0324315384))+G1478*('Product and Cost'!$D$32*G1472*Assumptions!$B$88+'Product and Cost'!$B$32*(0.4863620081*G1471+0.4455809638*G1471+0.0356254898*G1472+0.0324315384))+G1479*('Product and Cost'!$D$33*G1472*Assumptions!$B$88+'Product and Cost'!$B$33*(0.4863620081*G1471+0.4455809638*G1471+0.0356254898*G1472+0.0324315384))+G1480*('Product and Cost'!$D$34*G1472*Assumptions!$B$88+'Product and Cost'!$B$34*(0.4863620081*G1471+0.4455809638*G1471+0.0356254898*G1472+0.0324315384))</f>
        <v/>
      </c>
    </row>
    <row r="1484">
      <c r="A1484" s="17" t="inlineStr">
        <is>
          <t>GROSS PROFIT</t>
        </is>
      </c>
      <c r="C1484" s="20">
        <f>C1482-C1483+Forecast!$B$7*C1482</f>
        <v/>
      </c>
      <c r="D1484" s="20">
        <f>D1482-D1483+Forecast!$B$7*D1482</f>
        <v/>
      </c>
      <c r="E1484" s="20">
        <f>E1482-E1483+Forecast!$B$7*E1482</f>
        <v/>
      </c>
      <c r="F1484" s="20">
        <f>F1482-F1483+Forecast!$B$7*F1482</f>
        <v/>
      </c>
      <c r="G1484" s="20">
        <f>G1482-G1483+Forecast!$B$7*G1482</f>
        <v/>
      </c>
    </row>
    <row r="1485">
      <c r="A1485" s="9" t="inlineStr">
        <is>
          <t>Gross margin</t>
        </is>
      </c>
      <c r="C1485" s="19">
        <f>C1484/C1482</f>
        <v/>
      </c>
      <c r="D1485" s="19">
        <f>D1484/D1482</f>
        <v/>
      </c>
      <c r="E1485" s="19">
        <f>E1484/E1482</f>
        <v/>
      </c>
      <c r="F1485" s="19">
        <f>F1484/F1482</f>
        <v/>
      </c>
      <c r="G1485" s="19">
        <f>G1484/G1482</f>
        <v/>
      </c>
    </row>
    <row r="1486">
      <c r="A1486" s="9" t="inlineStr">
        <is>
          <t>Operating expense</t>
        </is>
      </c>
      <c r="C1486" s="18">
        <f>('Base Year'!$B$28*C1471)+('Base Year'!$B$29*C1471*C1481/'Product and Cost'!$E$14)+('Base Year'!$B$30*C1471)+('Base Year'!$B$31*C1471)</f>
        <v/>
      </c>
      <c r="D1486" s="18">
        <f>('Base Year'!$B$28*D1471)+('Base Year'!$B$29*D1471*D1481/'Product and Cost'!$E$14)+('Base Year'!$B$30*D1471)+('Base Year'!$B$31*D1471)</f>
        <v/>
      </c>
      <c r="E1486" s="18">
        <f>('Base Year'!$B$28*E1471)+('Base Year'!$B$29*E1471*E1481/'Product and Cost'!$E$14)+('Base Year'!$B$30*E1471)+('Base Year'!$B$31*E1471)</f>
        <v/>
      </c>
      <c r="F1486" s="18">
        <f>('Base Year'!$B$28*F1471)+('Base Year'!$B$29*F1471*F1481/'Product and Cost'!$E$14)+('Base Year'!$B$30*F1471)+('Base Year'!$B$31*F1471)</f>
        <v/>
      </c>
      <c r="G1486" s="18">
        <f>('Base Year'!$B$28*G1471)+('Base Year'!$B$29*G1471*G1481/'Product and Cost'!$E$14)+('Base Year'!$B$30*G1471)+('Base Year'!$B$31*G1471)</f>
        <v/>
      </c>
    </row>
    <row r="1487">
      <c r="A1487" s="17" t="inlineStr">
        <is>
          <t>EBITDA</t>
        </is>
      </c>
      <c r="C1487" s="20">
        <f>C1484-C1486</f>
        <v/>
      </c>
      <c r="D1487" s="20">
        <f>D1484-D1486</f>
        <v/>
      </c>
      <c r="E1487" s="20">
        <f>E1484-E1486</f>
        <v/>
      </c>
      <c r="F1487" s="20">
        <f>F1484-F1486</f>
        <v/>
      </c>
      <c r="G1487" s="20">
        <f>G1484-G1486</f>
        <v/>
      </c>
    </row>
    <row r="1488">
      <c r="A1488" s="9" t="inlineStr">
        <is>
          <t>Capital expenditure — maintenance + growth</t>
        </is>
      </c>
      <c r="C1488" s="18">
        <f>'Base Year'!$B$43*C1471+MAX(C1481-'Product and Cost'!$E$14,0)*1947.901031*C1471</f>
        <v/>
      </c>
      <c r="D1488" s="18">
        <f>'Base Year'!$B$43*D1471+MAX(D1481-C1481,0)*1947.901031*D1471</f>
        <v/>
      </c>
      <c r="E1488" s="18">
        <f>'Base Year'!$B$43*E1471+MAX(E1481-D1481,0)*1947.901031*E1471</f>
        <v/>
      </c>
      <c r="F1488" s="18">
        <f>'Base Year'!$B$43*F1471+MAX(F1481-E1481,0)*1947.901031*F1471</f>
        <v/>
      </c>
      <c r="G1488" s="18">
        <f>'Base Year'!$B$43*G1471+MAX(G1481-F1481,0)*1947.901031*G1471</f>
        <v/>
      </c>
    </row>
    <row r="1489">
      <c r="A1489" s="9" t="inlineStr">
        <is>
          <t>Fixed assets at cost, closing</t>
        </is>
      </c>
      <c r="C1489" s="18">
        <f>(Assumptions!$B$70+Assumptions!$B$71)/10^6+C1488</f>
        <v/>
      </c>
      <c r="D1489" s="18">
        <f>C1489+D1488</f>
        <v/>
      </c>
      <c r="E1489" s="18">
        <f>D1489+E1488</f>
        <v/>
      </c>
      <c r="F1489" s="18">
        <f>E1489+F1488</f>
        <v/>
      </c>
      <c r="G1489" s="18">
        <f>F1489+G1488</f>
        <v/>
      </c>
    </row>
    <row r="1490">
      <c r="A1490" s="9" t="inlineStr">
        <is>
          <t>Depreciation — rolls off the asset register</t>
        </is>
      </c>
      <c r="C1490" s="18">
        <f>(Assumptions!$B$70+Assumptions!$B$71)/10^6/'Base Year'!$B$42</f>
        <v/>
      </c>
      <c r="D1490" s="18">
        <f>C1489/'Base Year'!$B$42</f>
        <v/>
      </c>
      <c r="E1490" s="18">
        <f>D1489/'Base Year'!$B$42</f>
        <v/>
      </c>
      <c r="F1490" s="18">
        <f>E1489/'Base Year'!$B$42</f>
        <v/>
      </c>
      <c r="G1490" s="18">
        <f>F1489/'Base Year'!$B$42</f>
        <v/>
      </c>
    </row>
    <row r="1491">
      <c r="A1491" s="9" t="inlineStr">
        <is>
          <t>Fixed assets, net book, closing</t>
        </is>
      </c>
      <c r="C1491" s="18">
        <f>(Assumptions!$B$69+Assumptions!$B$71)/10^6+C1488-C1490</f>
        <v/>
      </c>
      <c r="D1491" s="18">
        <f>C1491+D1488-D1490</f>
        <v/>
      </c>
      <c r="E1491" s="18">
        <f>D1491+E1488-E1490</f>
        <v/>
      </c>
      <c r="F1491" s="18">
        <f>E1491+F1488-F1490</f>
        <v/>
      </c>
      <c r="G1491" s="18">
        <f>F1491+G1488-G1490</f>
        <v/>
      </c>
    </row>
    <row r="1492">
      <c r="A1492" s="17" t="inlineStr">
        <is>
          <t>EBIT</t>
        </is>
      </c>
      <c r="C1492" s="20">
        <f>C1487-C1490</f>
        <v/>
      </c>
      <c r="D1492" s="20">
        <f>D1487-D1490</f>
        <v/>
      </c>
      <c r="E1492" s="20">
        <f>E1487-E1490</f>
        <v/>
      </c>
      <c r="F1492" s="20">
        <f>F1487-F1490</f>
        <v/>
      </c>
      <c r="G1492" s="20">
        <f>G1487-G1490</f>
        <v/>
      </c>
    </row>
    <row r="1493">
      <c r="A1493" s="9" t="inlineStr">
        <is>
          <t>NOPAT before the profit share</t>
        </is>
      </c>
      <c r="C1493" s="18">
        <f>C1492*(1-Assumptions!$B$87)</f>
        <v/>
      </c>
      <c r="D1493" s="18">
        <f>D1492*(1-Assumptions!$B$87)</f>
        <v/>
      </c>
      <c r="E1493" s="18">
        <f>E1492*(1-Assumptions!$B$87)</f>
        <v/>
      </c>
      <c r="F1493" s="18">
        <f>F1492*(1-Assumptions!$B$87)</f>
        <v/>
      </c>
      <c r="G1493" s="18">
        <f>G1492*(1-Assumptions!$B$87)</f>
        <v/>
      </c>
    </row>
    <row r="1494">
      <c r="A1494" s="9" t="inlineStr">
        <is>
          <t xml:space="preserve">  less employees' profit share and board bonuses</t>
        </is>
      </c>
      <c r="C1494" s="18">
        <f>MAX(C1493,0)*'Base Year'!$B$40</f>
        <v/>
      </c>
      <c r="D1494" s="18">
        <f>MAX(D1493,0)*'Base Year'!$B$40</f>
        <v/>
      </c>
      <c r="E1494" s="18">
        <f>MAX(E1493,0)*'Base Year'!$B$40</f>
        <v/>
      </c>
      <c r="F1494" s="18">
        <f>MAX(F1493,0)*'Base Year'!$B$40</f>
        <v/>
      </c>
      <c r="G1494" s="18">
        <f>MAX(G1493,0)*'Base Year'!$B$40</f>
        <v/>
      </c>
    </row>
    <row r="1495">
      <c r="A1495" s="17" t="inlineStr">
        <is>
          <t>NOPAT</t>
        </is>
      </c>
      <c r="C1495" s="20">
        <f>C1493-C1494</f>
        <v/>
      </c>
      <c r="D1495" s="20">
        <f>D1493-D1494</f>
        <v/>
      </c>
      <c r="E1495" s="20">
        <f>E1493-E1494</f>
        <v/>
      </c>
      <c r="F1495" s="20">
        <f>F1493-F1494</f>
        <v/>
      </c>
      <c r="G1495" s="20">
        <f>G1493-G1494</f>
        <v/>
      </c>
    </row>
    <row r="1496">
      <c r="A1496" s="9" t="inlineStr">
        <is>
          <t>Net working capital — on days</t>
        </is>
      </c>
      <c r="C1496" s="18">
        <f>'Base Year'!$B$44*Forecast!$B$9/365*C1483+'Base Year'!$B$45*Forecast!$B$9/365*C1482-'Base Year'!$B$46*Forecast!$B$9/365*C1483</f>
        <v/>
      </c>
      <c r="D1496" s="18">
        <f>'Base Year'!$B$44*Forecast!$B$9/365*D1483+'Base Year'!$B$45*Forecast!$B$9/365*D1482-'Base Year'!$B$46*Forecast!$B$9/365*D1483</f>
        <v/>
      </c>
      <c r="E1496" s="18">
        <f>'Base Year'!$B$44*Forecast!$B$9/365*E1483+'Base Year'!$B$45*Forecast!$B$9/365*E1482-'Base Year'!$B$46*Forecast!$B$9/365*E1483</f>
        <v/>
      </c>
      <c r="F1496" s="18">
        <f>'Base Year'!$B$44*Forecast!$B$9/365*F1483+'Base Year'!$B$45*Forecast!$B$9/365*F1482-'Base Year'!$B$46*Forecast!$B$9/365*F1483</f>
        <v/>
      </c>
      <c r="G1496" s="18">
        <f>'Base Year'!$B$44*Forecast!$B$9/365*G1483+'Base Year'!$B$45*Forecast!$B$9/365*G1482-'Base Year'!$B$46*Forecast!$B$9/365*G1483</f>
        <v/>
      </c>
    </row>
    <row r="1497">
      <c r="A1497" s="9" t="inlineStr">
        <is>
          <t xml:space="preserve">  change in working capital</t>
        </is>
      </c>
      <c r="C1497" s="18">
        <f>C1496-('Base Year'!$B$44/365*'Base Year'!$B$21+'Base Year'!$B$45/365*'Base Year'!$B$19-'Base Year'!$B$46/365*'Base Year'!$B$21)</f>
        <v/>
      </c>
      <c r="D1497" s="18">
        <f>D1496-C1496</f>
        <v/>
      </c>
      <c r="E1497" s="18">
        <f>E1496-D1496</f>
        <v/>
      </c>
      <c r="F1497" s="18">
        <f>F1496-E1496</f>
        <v/>
      </c>
      <c r="G1497" s="18">
        <f>G1496-F1496</f>
        <v/>
      </c>
    </row>
    <row r="1498">
      <c r="A1498" s="17" t="inlineStr">
        <is>
          <t>FREE CASH FLOW TO THE FIRM</t>
        </is>
      </c>
      <c r="C1498" s="20">
        <f>C1495+C1490-C1488-C1497</f>
        <v/>
      </c>
      <c r="D1498" s="20">
        <f>D1495+D1490-D1488-D1497</f>
        <v/>
      </c>
      <c r="E1498" s="20">
        <f>E1495+E1490-E1488-E1497</f>
        <v/>
      </c>
      <c r="F1498" s="20">
        <f>F1495+F1490-F1488-F1497</f>
        <v/>
      </c>
      <c r="G1498" s="20">
        <f>G1495+G1490-G1488-G1497</f>
        <v/>
      </c>
    </row>
    <row r="1499">
      <c r="A1499" s="9" t="inlineStr">
        <is>
          <t>Glide fraction</t>
        </is>
      </c>
      <c r="C1499" s="26">
        <f>0.0000000000</f>
        <v/>
      </c>
      <c r="D1499" s="26">
        <f>0.3571428571</f>
        <v/>
      </c>
      <c r="E1499" s="26">
        <f>0.6428571429</f>
        <v/>
      </c>
      <c r="F1499" s="26">
        <f>0.8571428571</f>
        <v/>
      </c>
      <c r="G1499" s="26">
        <f>1.0000000000</f>
        <v/>
      </c>
    </row>
    <row r="1500">
      <c r="A1500" s="9" t="inlineStr">
        <is>
          <t>Forward cost of capital</t>
        </is>
      </c>
      <c r="C1500" s="19">
        <f>Forecast!$B$14-(Forecast!$B$14-Forecast!$B$17)*C1499</f>
        <v/>
      </c>
      <c r="D1500" s="19">
        <f>Forecast!$B$14-(Forecast!$B$14-Forecast!$B$17)*D1499</f>
        <v/>
      </c>
      <c r="E1500" s="19">
        <f>Forecast!$B$14-(Forecast!$B$14-Forecast!$B$17)*E1499</f>
        <v/>
      </c>
      <c r="F1500" s="19">
        <f>Forecast!$B$14-(Forecast!$B$14-Forecast!$B$17)*F1499</f>
        <v/>
      </c>
      <c r="G1500" s="19">
        <f>Forecast!$B$14-(Forecast!$B$14-Forecast!$B$17)*G1499</f>
        <v/>
      </c>
    </row>
    <row r="1501">
      <c r="A1501" s="9" t="inlineStr">
        <is>
          <t>Cumulative discount factor</t>
        </is>
      </c>
      <c r="C1501" s="29">
        <f>1/(1+C1500)</f>
        <v/>
      </c>
      <c r="D1501" s="29">
        <f>C1501/(1+D1500)</f>
        <v/>
      </c>
      <c r="E1501" s="29">
        <f>D1501/(1+E1500)</f>
        <v/>
      </c>
      <c r="F1501" s="29">
        <f>E1501/(1+F1500)</f>
        <v/>
      </c>
      <c r="G1501" s="29">
        <f>F1501/(1+G1500)</f>
        <v/>
      </c>
    </row>
    <row r="1502">
      <c r="A1502" s="9" t="inlineStr">
        <is>
          <t>Present value</t>
        </is>
      </c>
      <c r="C1502" s="18">
        <f>C1498*C1501</f>
        <v/>
      </c>
      <c r="D1502" s="18">
        <f>D1498*D1501</f>
        <v/>
      </c>
      <c r="E1502" s="18">
        <f>E1498*E1501</f>
        <v/>
      </c>
      <c r="F1502" s="18">
        <f>F1498*F1501</f>
        <v/>
      </c>
      <c r="G1502" s="18">
        <f>G1498*G1501</f>
        <v/>
      </c>
    </row>
    <row r="1503">
      <c r="A1503" s="17" t="inlineStr">
        <is>
          <t>PV of the explicit window</t>
        </is>
      </c>
      <c r="B1503" s="20">
        <f>SUM(C1502:G1502)</f>
        <v/>
      </c>
      <c r="C1503" s="18">
        <f>C1496+C1489</f>
        <v/>
      </c>
      <c r="D1503" s="18">
        <f>D1496+D1489</f>
        <v/>
      </c>
      <c r="E1503" s="18">
        <f>E1496+E1489</f>
        <v/>
      </c>
      <c r="F1503" s="18">
        <f>F1496+F1489</f>
        <v/>
      </c>
      <c r="G1503" s="18">
        <f>G1496+G1489</f>
        <v/>
      </c>
    </row>
    <row r="1504">
      <c r="A1504" s="9" t="inlineStr">
        <is>
          <t>Terminal return on invested capital, at REPLACEMENT cost</t>
        </is>
      </c>
      <c r="B1504" s="19">
        <f>G1495*(1+$H$45)/G1503</f>
        <v/>
      </c>
    </row>
    <row r="1505">
      <c r="A1505" s="9" t="inlineStr">
        <is>
          <t>Required reinvestment = growth / return</t>
        </is>
      </c>
      <c r="B1505" s="19">
        <f>MIN($H$45/B1504,0.95)</f>
        <v/>
      </c>
    </row>
    <row r="1506">
      <c r="A1506" s="9" t="inlineStr">
        <is>
          <t>Terminal value</t>
        </is>
      </c>
      <c r="B1506" s="18">
        <f>G1495*(1+$H$45)*(1-B1505)/MAX(Forecast!$B$17-$H$45,0.02)</f>
        <v/>
      </c>
    </row>
    <row r="1507">
      <c r="A1507" s="9" t="inlineStr">
        <is>
          <t>PV of the terminal block</t>
        </is>
      </c>
      <c r="B1507" s="18">
        <f>B1506*G1501</f>
        <v/>
      </c>
    </row>
    <row r="1508">
      <c r="A1508" s="17" t="inlineStr">
        <is>
          <t>ENTERPRISE VALUE</t>
        </is>
      </c>
      <c r="B1508" s="20">
        <f>B1503+B1507</f>
        <v/>
      </c>
    </row>
    <row r="1509">
      <c r="A1509" s="9" t="inlineStr">
        <is>
          <t>plus net cash</t>
        </is>
      </c>
      <c r="B1509" s="18">
        <f>(Assumptions!$B$79-Assumptions!$B$82-Assumptions!$B$83)/10^6</f>
        <v/>
      </c>
    </row>
    <row r="1510">
      <c r="A1510" s="9" t="inlineStr">
        <is>
          <t>Enterprise value including cash</t>
        </is>
      </c>
      <c r="B1510" s="18">
        <f>B1508+B1509</f>
        <v/>
      </c>
    </row>
    <row r="1511">
      <c r="A1511" s="9" t="inlineStr">
        <is>
          <t>less minority — on the WHOLE enterprise, cash included</t>
        </is>
      </c>
      <c r="B1511" s="18">
        <f>B1510*'Base Year'!$B$41</f>
        <v/>
      </c>
    </row>
    <row r="1512">
      <c r="A1512" s="9" t="inlineStr">
        <is>
          <t>less the tax-disputes provision</t>
        </is>
      </c>
      <c r="B1512" s="18">
        <f>Assumptions!$B$78/10^6</f>
        <v/>
      </c>
    </row>
    <row r="1513">
      <c r="A1513" s="9" t="inlineStr">
        <is>
          <t>less dividends payable — declared, out of working capital</t>
        </is>
      </c>
      <c r="B1513" s="18">
        <f>Assumptions!$B$77/10^6</f>
        <v/>
      </c>
    </row>
    <row r="1514">
      <c r="A1514" s="9" t="inlineStr">
        <is>
          <t>plus non-operating investments and pledged deposits</t>
        </is>
      </c>
      <c r="B1514" s="18">
        <f>(Assumptions!$B$81+Assumptions!$B$80)/10^6</f>
        <v/>
      </c>
    </row>
    <row r="1515">
      <c r="A1515" s="17" t="inlineStr">
        <is>
          <t>EQUITY ATTRIBUTABLE</t>
        </is>
      </c>
      <c r="B1515" s="20">
        <f>B1510-B1511-B1512-B1513+B1514</f>
        <v/>
      </c>
    </row>
    <row r="1516">
      <c r="A1516" s="17" t="inlineStr">
        <is>
          <t>VALUE PER SHARE, EGP</t>
        </is>
      </c>
      <c r="B1516" s="30">
        <f>B1515/Assumptions!$B$8</f>
        <v/>
      </c>
    </row>
  </sheetData>
  <mergeCells count="1">
    <mergeCell ref="A2:I2"/>
  </mergeCells>
  <pageMargins left="0.75" right="0.75" top="1" bottom="1" header="0.5" footer="0.5"/>
</worksheet>
</file>

<file path=xl/worksheets/sheet7.xml><?xml version="1.0" encoding="utf-8"?>
<worksheet xmlns="http://schemas.openxmlformats.org/spreadsheetml/2006/main">
  <sheetPr>
    <tabColor rgb="001C3A36"/>
    <outlinePr summaryBelow="1" summaryRight="1"/>
    <pageSetUpPr/>
  </sheetPr>
  <dimension ref="A1:I18"/>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Four lenses, one bridge, one valuation date</t>
        </is>
      </c>
    </row>
    <row r="2" ht="32" customHeight="1">
      <c r="A2" s="5" t="inlineStr">
        <is>
          <t>Lens 2 is on the TRAILING metric so it borrows no discount factor from lens 1. Lens 3 is forward-dated and is therefore DISCOUNTED to the valuation date at the cost of equity, with net cash added at face outside the multiple. Lens 4 uses the same cost-of-equity glide lens 1 uses. All formulas.</t>
        </is>
      </c>
    </row>
    <row r="3">
      <c r="A3" s="2" t="n"/>
      <c r="B3" s="2" t="n"/>
      <c r="C3" s="2" t="n"/>
      <c r="D3" s="2" t="n"/>
      <c r="E3" s="2" t="n"/>
      <c r="F3" s="2" t="n"/>
      <c r="G3" s="2" t="n"/>
    </row>
    <row r="5">
      <c r="A5" s="9" t="inlineStr">
        <is>
          <t>Base-year EBITDA</t>
        </is>
      </c>
      <c r="B5" s="18">
        <f>'Base Year'!B20-'Base Year'!B28-'Base Year'!B29-'Base Year'!B30-'Base Year'!B31+'Base Year'!B32</f>
        <v/>
      </c>
    </row>
    <row r="6">
      <c r="A6" s="9" t="inlineStr">
        <is>
          <t>Enterprise value at spot</t>
        </is>
      </c>
      <c r="B6" s="18">
        <f>Assumptions!$B$7*Assumptions!$B$8+(Assumptions!$B$82+Assumptions!$B$83-Assumptions!$B$79)/10^6</f>
        <v/>
      </c>
    </row>
    <row r="7">
      <c r="A7" s="9" t="inlineStr">
        <is>
          <t>The company's OWN trailing EV/EBITDA</t>
        </is>
      </c>
      <c r="B7" s="32">
        <f>B6/B5</f>
        <v/>
      </c>
    </row>
    <row r="8">
      <c r="A8" s="9" t="inlineStr">
        <is>
          <t>Justified multiple = trailing x (1 + re-rating)</t>
        </is>
      </c>
      <c r="B8" s="33">
        <f>B7*(1+Assumptions!$B$92)</f>
        <v/>
      </c>
    </row>
    <row r="10">
      <c r="A10" s="7" t="inlineStr">
        <is>
          <t>LENS 1 — discounted cash flow</t>
        </is>
      </c>
      <c r="B10" s="34">
        <f>Forecast!B65</f>
        <v/>
      </c>
      <c r="C10" s="8" t="n"/>
      <c r="D10" s="8" t="n"/>
      <c r="E10" s="8" t="n"/>
      <c r="F10" s="8" t="n"/>
      <c r="G10" s="8" t="n"/>
    </row>
    <row r="11">
      <c r="A11" s="17" t="inlineStr">
        <is>
          <t>LENS 2 — relative multiples, on the trailing metric</t>
        </is>
      </c>
      <c r="B11" s="18">
        <f>(B8*B5-(Assumptions!$B$82+Assumptions!$B$83-Assumptions!$B$79)/10^6)*(1-'Base Year'!B41)-(Assumptions!$B$78+Assumptions!$B$77-Assumptions!$B$81-Assumptions!$B$80)/10^6</f>
        <v/>
      </c>
      <c r="C11" s="30">
        <f>B11/Assumptions!$B$8</f>
        <v/>
      </c>
    </row>
    <row r="12">
      <c r="A12" s="17" t="inlineStr">
        <is>
          <t>LENS 3 — normalised earnings power, DISCOUNTED</t>
        </is>
      </c>
      <c r="B12" s="18">
        <f>Forecast!E41</f>
        <v/>
      </c>
      <c r="C12" s="26">
        <f>B12*(1-Assumptions!$B$87)*(1-'Base Year'!B40)*(1-'Base Year'!B41)/Assumptions!$B$8</f>
        <v/>
      </c>
      <c r="D12" s="30">
        <f>C12*Assumptions!$B$91/(1+Forecast!B10)^2.4+((Assumptions!$B$79-Assumptions!$B$82-Assumptions!$B$83-Assumptions!$B$78-Assumptions!$B$77)/10^6)/Assumptions!$B$8</f>
        <v/>
      </c>
    </row>
    <row r="13">
      <c r="A13" s="17" t="inlineStr">
        <is>
          <t>LENS 4 — book value and sustainable return</t>
        </is>
      </c>
      <c r="B13" s="35">
        <f>Assumptions!$B$84/10^6/Assumptions!$B$8</f>
        <v/>
      </c>
      <c r="C13" s="19">
        <f>0.2338665864</f>
        <v/>
      </c>
      <c r="D13" s="32">
        <f>(Assumptions!$B$90-Assumptions!$B$89)/(C13-Assumptions!$B$89)</f>
        <v/>
      </c>
      <c r="E13" s="30">
        <f>B13*D13</f>
        <v/>
      </c>
    </row>
    <row r="15">
      <c r="A15" s="7" t="inlineStr">
        <is>
          <t>WEIGHTED CENTRAL</t>
        </is>
      </c>
      <c r="B15" s="36">
        <f>B10*Assumptions!$B$168+C11*Assumptions!$B$169+D12*Assumptions!$B$170+E13*Assumptions!$B$171</f>
        <v/>
      </c>
      <c r="C15" s="8" t="n"/>
      <c r="D15" s="8" t="n"/>
      <c r="E15" s="8" t="n"/>
      <c r="F15" s="8" t="n"/>
      <c r="G15" s="8" t="n"/>
    </row>
    <row r="16">
      <c r="A16" s="9" t="inlineStr">
        <is>
          <t>against spot</t>
        </is>
      </c>
      <c r="B16" s="37">
        <f>B15/Assumptions!$B$7-1</f>
        <v/>
      </c>
    </row>
    <row r="18" ht="44" customHeight="1">
      <c r="A18" s="22" t="inlineStr">
        <is>
          <t>The weighted range on the Summary sheet is the bear and bull columns weighted with these same weights. The previous edition labelled a row "weighted central" and then took the minimum and maximum across the four lenses — both of which came from the cash-flow lens alone — so the word "weighted" applied to the centre and not to the ends, and the published spread was about two and a half times too wide.</t>
        </is>
      </c>
    </row>
  </sheetData>
  <mergeCells count="2">
    <mergeCell ref="A18:I18"/>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2026-09-01T14:26:08Z</dcterms:created>
  <dcterms:modified xmlns:dcterms="http://purl.org/dc/terms/" xmlns:xsi="http://www.w3.org/2001/XMLSchema-instance" xsi:type="dcterms:W3CDTF">2026-09-01T14:26:08Z</dcterms:modified>
</cp:coreProperties>
</file>