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ssumptions" sheetId="2" state="visible" r:id="rId2"/>
    <sheet xmlns:r="http://schemas.openxmlformats.org/officeDocument/2006/relationships" name="Base Year" sheetId="3" state="visible" r:id="rId3"/>
    <sheet xmlns:r="http://schemas.openxmlformats.org/officeDocument/2006/relationships" name="Product and Cost" sheetId="4" state="visible" r:id="rId4"/>
    <sheet xmlns:r="http://schemas.openxmlformats.org/officeDocument/2006/relationships" name="Forecast" sheetId="5" state="visible" r:id="rId5"/>
    <sheet xmlns:r="http://schemas.openxmlformats.org/officeDocument/2006/relationships" name="Sensitivity" sheetId="6" state="visible" r:id="rId6"/>
    <sheet xmlns:r="http://schemas.openxmlformats.org/officeDocument/2006/relationships" name="Lenses" sheetId="7" state="visible" r:id="rId7"/>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4" fillId="3" borderId="0" pivotButton="0" quotePrefix="0" xfId="0"/>
    <xf numFmtId="0" fontId="0" fillId="3" borderId="0" pivotButton="0" quotePrefix="0" xfId="0"/>
    <xf numFmtId="0" fontId="5" fillId="0" borderId="0" pivotButton="0" quotePrefix="0" xfId="0"/>
    <xf numFmtId="4" fontId="6" fillId="0"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0" fontId="4" fillId="0" borderId="0" pivotButton="0" quotePrefix="0" xfId="0"/>
    <xf numFmtId="3" fontId="5" fillId="0" borderId="0" pivotButton="0" quotePrefix="0" xfId="0"/>
    <xf numFmtId="10" fontId="5" fillId="0" borderId="0" pivotButton="0" quotePrefix="0" xfId="0"/>
    <xf numFmtId="3" fontId="4" fillId="0" borderId="0" pivotButton="0" quotePrefix="0" xfId="0"/>
    <xf numFmtId="10" fontId="4" fillId="0" borderId="0" pivotButton="0" quotePrefix="0" xfId="0"/>
    <xf numFmtId="0" fontId="7" fillId="0" borderId="0" applyAlignment="1" pivotButton="0" quotePrefix="0" xfId="0">
      <alignment vertical="top" wrapText="1"/>
    </xf>
    <xf numFmtId="164" fontId="5" fillId="0" borderId="0" pivotButton="0" quotePrefix="0" xfId="0"/>
    <xf numFmtId="165" fontId="8" fillId="0" borderId="0" pivotButton="0" quotePrefix="0" xfId="0"/>
    <xf numFmtId="3" fontId="8" fillId="0" borderId="0" pivotButton="0" quotePrefix="0" xfId="0"/>
    <xf numFmtId="165" fontId="5" fillId="0" borderId="0" pivotButton="0" quotePrefix="0" xfId="0"/>
    <xf numFmtId="2" fontId="8" fillId="0" borderId="0" pivotButton="0" quotePrefix="0" xfId="0"/>
    <xf numFmtId="165" fontId="4" fillId="0" borderId="0" pivotButton="0" quotePrefix="0" xfId="0"/>
    <xf numFmtId="167" fontId="5" fillId="0" borderId="0" pivotButton="0" quotePrefix="0" xfId="0"/>
    <xf numFmtId="4" fontId="4" fillId="0" borderId="0" pivotButton="0" quotePrefix="0" xfId="0"/>
    <xf numFmtId="168" fontId="5" fillId="0" borderId="0" pivotButton="0" quotePrefix="0" xfId="0"/>
    <xf numFmtId="169" fontId="5" fillId="0" borderId="0" pivotButton="0" quotePrefix="0" xfId="0"/>
    <xf numFmtId="169" fontId="4" fillId="0" borderId="0" pivotButton="0" quotePrefix="0" xfId="0"/>
    <xf numFmtId="4" fontId="9" fillId="3" borderId="0" pivotButton="0" quotePrefix="0" xfId="0"/>
    <xf numFmtId="4" fontId="5" fillId="0" borderId="0" pivotButton="0" quotePrefix="0" xfId="0"/>
    <xf numFmtId="4" fontId="4" fillId="3" borderId="0" pivotButton="0" quotePrefix="0" xfId="0"/>
    <xf numFmtId="166"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F171"/>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7" t="inlineStr">
        <is>
          <t>MARKET AND CAPITAL</t>
        </is>
      </c>
      <c r="B6" s="8" t="n"/>
      <c r="C6" s="8" t="n"/>
      <c r="D6" s="8" t="n"/>
      <c r="E6" s="8" t="n"/>
      <c r="F6" s="8" t="n"/>
    </row>
    <row r="7" ht="14" customHeight="1">
      <c r="A7" s="9" t="inlineStr">
        <is>
          <t>Spot price, EGP</t>
        </is>
      </c>
      <c r="B7" s="10" t="n">
        <v>9.1</v>
      </c>
      <c r="C7" s="9" t="inlineStr">
        <is>
          <t>Company</t>
        </is>
      </c>
      <c r="D7" s="9" t="inlineStr">
        <is>
          <t>2026-08-06</t>
        </is>
      </c>
      <c r="E7" s="4" t="inlineStr">
        <is>
          <t>AMOC closing price on the Egyptian Exchange, 6 August 2026</t>
        </is>
      </c>
    </row>
    <row r="8" ht="20" customHeight="1">
      <c r="A8" s="9" t="inlineStr">
        <is>
          <t>Shares outstanding, mn</t>
        </is>
      </c>
      <c r="B8" s="11" t="n">
        <v>1291.5</v>
      </c>
      <c r="C8" s="9" t="inlineStr">
        <is>
          <t>Company</t>
        </is>
      </c>
      <c r="D8" s="9" t="inlineStr">
        <is>
          <t>2025-12-31</t>
        </is>
      </c>
      <c r="E8" s="4" t="inlineStr">
        <is>
          <t>Issued and paid-up capital EGP 1,291,500,000 at EGP 1 par = 1,291,500,000 shares (note 18-L, share split to EGP 1 par recorded in the Commercial Register 24-Jan-2018)</t>
        </is>
      </c>
    </row>
    <row r="9">
      <c r="A9" s="7" t="inlineStr">
        <is>
          <t>THE TWELVE MONTHS TO 30 JUNE 2026 — the base year</t>
        </is>
      </c>
      <c r="B9" s="8" t="n"/>
      <c r="C9" s="8" t="n"/>
      <c r="D9" s="8" t="n"/>
      <c r="E9" s="8" t="n"/>
      <c r="F9" s="8" t="n"/>
    </row>
    <row r="10" ht="20" customHeight="1">
      <c r="A10" s="9" t="inlineStr">
        <is>
          <t>Net sales, 6M to 31-Dec-2025 (AUDITED)</t>
        </is>
      </c>
      <c r="B10" s="12" t="n">
        <v>20735725812</v>
      </c>
      <c r="C10" s="9" t="inlineStr">
        <is>
          <t>Company</t>
        </is>
      </c>
      <c r="D10" s="9" t="inlineStr">
        <is>
          <t>2025-12-31</t>
        </is>
      </c>
      <c r="E10" s="4" t="inlineStr">
        <is>
          <t>Net sales, six months to 31-Dec-2025. Audited consolidated FS, transition period 1-Jul-2025 to 31-Dec-2025, Crowe unqualified, 18-Feb-2026</t>
        </is>
      </c>
    </row>
    <row r="11" ht="20" customHeight="1">
      <c r="A11" s="9" t="inlineStr">
        <is>
          <t>Cost of sales, 6M to 31-Dec-2025 (AUDITED)</t>
        </is>
      </c>
      <c r="B11" s="12" t="n">
        <v>19461550746</v>
      </c>
      <c r="C11" s="9" t="inlineStr">
        <is>
          <t>Company</t>
        </is>
      </c>
      <c r="D11" s="9" t="inlineStr">
        <is>
          <t>2025-12-31</t>
        </is>
      </c>
      <c r="E11" s="4" t="inlineStr">
        <is>
          <t>Cost of sales, six months to 31-Dec-2025. Audited consolidated FS, transition period 1-Jul-2025 to 31-Dec-2025, Crowe unqualified, 18-Feb-2026</t>
        </is>
      </c>
    </row>
    <row r="12" ht="20" customHeight="1">
      <c r="A12" s="9" t="inlineStr">
        <is>
          <t>Net sales, 6M to 30-Jun-2026 (REPORTED)</t>
        </is>
      </c>
      <c r="B12" s="12" t="n">
        <v>26223000000</v>
      </c>
      <c r="C12" s="9" t="inlineStr">
        <is>
          <t>Company</t>
        </is>
      </c>
      <c r="D12" s="9" t="inlineStr">
        <is>
          <t>2026-06-30</t>
        </is>
      </c>
      <c r="E12" s="4" t="inlineStr">
        <is>
          <t>Net sales, six months to 30-Jun-2026. Half-year results for 1-Jan to 30-Jun-2026, disclosed to the Egyptian Exchange 29-30 July 2026. REPORTED, NOT AUDITED — a press release, not a filing</t>
        </is>
      </c>
    </row>
    <row r="13" ht="20" customHeight="1">
      <c r="A13" s="9" t="inlineStr">
        <is>
          <t>Profit after tax, 6M to 30-Jun-2026 (REPORTED)</t>
        </is>
      </c>
      <c r="B13" s="12" t="n">
        <v>1903000000</v>
      </c>
      <c r="C13" s="9" t="inlineStr">
        <is>
          <t>Company</t>
        </is>
      </c>
      <c r="D13" s="9" t="inlineStr">
        <is>
          <t>2026-06-30</t>
        </is>
      </c>
      <c r="E13" s="4" t="inlineStr">
        <is>
          <t>Net profit after tax, six months to 30-Jun-2026. Half-year results for 1-Jan to 30-Jun-2026, disclosed to the Egyptian Exchange 29-30 July 2026. REPORTED, NOT AUDITED — a press release, not a filing</t>
        </is>
      </c>
    </row>
    <row r="14" ht="50" customHeight="1">
      <c r="A14" s="9" t="inlineStr">
        <is>
          <t>Gross profit as RELEASED — rejected, see coherence test</t>
        </is>
      </c>
      <c r="B14" s="12" t="n">
        <v>3258000000</v>
      </c>
      <c r="C14" s="9" t="inlineStr">
        <is>
          <t>Company</t>
        </is>
      </c>
      <c r="D14" s="9" t="inlineStr">
        <is>
          <t>2026-06-30</t>
        </is>
      </c>
      <c r="E14"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15" ht="14" customHeight="1">
      <c r="A15" s="9" t="inlineStr">
        <is>
          <t>Net sales, 3M to 31-Mar-2026 (reviewed)</t>
        </is>
      </c>
      <c r="B15" s="12" t="n">
        <v>10510779160</v>
      </c>
      <c r="C15" s="9" t="inlineStr">
        <is>
          <t>Company</t>
        </is>
      </c>
      <c r="D15" s="9" t="inlineStr">
        <is>
          <t>2026-03-31</t>
        </is>
      </c>
      <c r="E15" s="4" t="inlineStr">
        <is>
          <t>Net sales, three months to 31-Mar-2026. Reviewed consolidated FS, three months to 31-Mar-2026</t>
        </is>
      </c>
    </row>
    <row r="16" ht="14" customHeight="1">
      <c r="A16" s="9" t="inlineStr">
        <is>
          <t>Cost of sales, 3M to 31-Mar-2026 (reviewed)</t>
        </is>
      </c>
      <c r="B16" s="12" t="n">
        <v>9439744195</v>
      </c>
      <c r="C16" s="9" t="inlineStr">
        <is>
          <t>Company</t>
        </is>
      </c>
      <c r="D16" s="9" t="inlineStr">
        <is>
          <t>2026-03-31</t>
        </is>
      </c>
      <c r="E16" s="4" t="inlineStr">
        <is>
          <t>Cost of sales, three months to 31-Mar-2026. Reviewed consolidated FS, three months to 31-Mar-2026</t>
        </is>
      </c>
    </row>
    <row r="17" ht="20" customHeight="1">
      <c r="A17" s="9" t="inlineStr">
        <is>
          <t>Administrative expense, 3M to 31-Mar-2026</t>
        </is>
      </c>
      <c r="B17" s="12" t="n">
        <v>365952237</v>
      </c>
      <c r="C17" s="9" t="inlineStr">
        <is>
          <t>Company</t>
        </is>
      </c>
      <c r="D17" s="9" t="inlineStr">
        <is>
          <t>2026-03-31</t>
        </is>
      </c>
      <c r="E17" s="4" t="inlineStr">
        <is>
          <t>General and administrative expenses, three months to 31-Mar-2026. Reviewed consolidated FS, three months to 31-Mar-2026</t>
        </is>
      </c>
    </row>
    <row r="18" ht="20" customHeight="1">
      <c r="A18" s="9" t="inlineStr">
        <is>
          <t>Selling expense, 3M to 31-Mar-2026</t>
        </is>
      </c>
      <c r="B18" s="12" t="n">
        <v>60830975</v>
      </c>
      <c r="C18" s="9" t="inlineStr">
        <is>
          <t>Company</t>
        </is>
      </c>
      <c r="D18" s="9" t="inlineStr">
        <is>
          <t>2026-03-31</t>
        </is>
      </c>
      <c r="E18" s="4" t="inlineStr">
        <is>
          <t>Marketing and selling expenses, three months to 31-Mar-2026. Reviewed consolidated FS, three months to 31-Mar-2026</t>
        </is>
      </c>
    </row>
    <row r="19" ht="20" customHeight="1">
      <c r="A19" s="9" t="inlineStr">
        <is>
          <t>Other operating expense, 3M to 31-Mar-2026</t>
        </is>
      </c>
      <c r="B19" s="12" t="n">
        <v>1080000</v>
      </c>
      <c r="C19" s="9" t="inlineStr">
        <is>
          <t>Company</t>
        </is>
      </c>
      <c r="D19" s="9" t="inlineStr">
        <is>
          <t>2026-03-31</t>
        </is>
      </c>
      <c r="E19" s="4" t="inlineStr">
        <is>
          <t>Other operating expenses, three months to 31-Mar-2026. Reviewed consolidated FS, three months to 31-Mar-2026</t>
        </is>
      </c>
    </row>
    <row r="20" ht="14" customHeight="1">
      <c r="A20" s="9" t="inlineStr">
        <is>
          <t>Other revenue, 3M to 31-Mar-2026</t>
        </is>
      </c>
      <c r="B20" s="12" t="n">
        <v>225556509</v>
      </c>
      <c r="C20" s="9" t="inlineStr">
        <is>
          <t>Company</t>
        </is>
      </c>
      <c r="D20" s="9" t="inlineStr">
        <is>
          <t>2026-03-31</t>
        </is>
      </c>
      <c r="E20" s="4" t="inlineStr">
        <is>
          <t>Other revenue, three months to 31-Mar-2026. Reviewed consolidated FS, three months to 31-Mar-2026</t>
        </is>
      </c>
    </row>
    <row r="21" ht="14" customHeight="1">
      <c r="A21" s="9" t="inlineStr">
        <is>
          <t>Formed provisions, 3M to 31-Mar-2026</t>
        </is>
      </c>
      <c r="B21" s="12" t="n">
        <v>30000000</v>
      </c>
      <c r="C21" s="9" t="inlineStr">
        <is>
          <t>Company</t>
        </is>
      </c>
      <c r="D21" s="9" t="inlineStr">
        <is>
          <t>2026-03-31</t>
        </is>
      </c>
      <c r="E21" s="4" t="inlineStr">
        <is>
          <t>Formed provisions, three months to 31-Mar-2026. Reviewed consolidated FS, three months to 31-Mar-2026</t>
        </is>
      </c>
    </row>
    <row r="22" ht="20" customHeight="1">
      <c r="A22" s="9" t="inlineStr">
        <is>
          <t>Expected credit losses, 3M to 31-Mar-2026</t>
        </is>
      </c>
      <c r="B22" s="12" t="n">
        <v>20323123</v>
      </c>
      <c r="C22" s="9" t="inlineStr">
        <is>
          <t>Company</t>
        </is>
      </c>
      <c r="D22" s="9" t="inlineStr">
        <is>
          <t>2026-03-31</t>
        </is>
      </c>
      <c r="E22" s="4" t="inlineStr">
        <is>
          <t>Expected credit losses formed, three months to 31-Mar-2026. Reviewed consolidated FS, three months to 31-Mar-2026</t>
        </is>
      </c>
    </row>
    <row r="23" ht="14" customHeight="1">
      <c r="A23" s="9" t="inlineStr">
        <is>
          <t>Finance cost, 3M to 31-Mar-2026</t>
        </is>
      </c>
      <c r="B23" s="12" t="n">
        <v>982219</v>
      </c>
      <c r="C23" s="9" t="inlineStr">
        <is>
          <t>Company</t>
        </is>
      </c>
      <c r="D23" s="9" t="inlineStr">
        <is>
          <t>2026-03-31</t>
        </is>
      </c>
      <c r="E23" s="4" t="inlineStr">
        <is>
          <t>Finance cost, three months to 31-Mar-2026. Reviewed consolidated FS, three months to 31-Mar-2026</t>
        </is>
      </c>
    </row>
    <row r="24" ht="20" customHeight="1">
      <c r="A24" s="9" t="inlineStr">
        <is>
          <t>Administrative expense, 6M to 31-Dec-2025</t>
        </is>
      </c>
      <c r="B24" s="12" t="n">
        <v>585636101</v>
      </c>
      <c r="C24" s="9" t="inlineStr">
        <is>
          <t>Company</t>
        </is>
      </c>
      <c r="D24" s="9" t="inlineStr">
        <is>
          <t>2025-12-31</t>
        </is>
      </c>
      <c r="E24" s="4" t="inlineStr">
        <is>
          <t>General and administrative expenses, six months to 31-Dec-2025 (note 15-B). Audited consolidated FS, transition period 1-Jul-2025 to 31-Dec-2025, Crowe unqualified, 18-Feb-2026</t>
        </is>
      </c>
    </row>
    <row r="25" ht="20" customHeight="1">
      <c r="A25" s="9" t="inlineStr">
        <is>
          <t>Selling expense, 6M to 31-Dec-2025</t>
        </is>
      </c>
      <c r="B25" s="12" t="n">
        <v>93729199</v>
      </c>
      <c r="C25" s="9" t="inlineStr">
        <is>
          <t>Company</t>
        </is>
      </c>
      <c r="D25" s="9" t="inlineStr">
        <is>
          <t>2025-12-31</t>
        </is>
      </c>
      <c r="E25" s="4" t="inlineStr">
        <is>
          <t>Marketing and selling expenses, six months to 31-Dec-2025 (note 15-C). Audited consolidated FS, transition period 1-Jul-2025 to 31-Dec-2025, Crowe unqualified, 18-Feb-2026</t>
        </is>
      </c>
    </row>
    <row r="26" ht="30" customHeight="1">
      <c r="A26" s="9" t="inlineStr">
        <is>
          <t>Other operating expense, 6M to 31-Dec-2025</t>
        </is>
      </c>
      <c r="B26" s="12" t="n">
        <v>108781309</v>
      </c>
      <c r="C26" s="9" t="inlineStr">
        <is>
          <t>Company</t>
        </is>
      </c>
      <c r="D26" s="9" t="inlineStr">
        <is>
          <t>2025-12-25</t>
        </is>
      </c>
      <c r="E26" s="4" t="inlineStr">
        <is>
          <t>Other operating expenses, six months to 31-Dec-2025 (note 15-D): compensation and fines 101,393,395, donations 5,162,500, board transport and attendance 2,225,414. Audited consolidated FS, transition period 1-Jul-2025 to 31-Dec-2025, Crowe unqualified, 18-Feb-2026</t>
        </is>
      </c>
    </row>
    <row r="27" ht="20" customHeight="1">
      <c r="A27" s="9" t="inlineStr">
        <is>
          <t>Formed provisions, 6M to 31-Dec-2025</t>
        </is>
      </c>
      <c r="B27" s="12" t="n">
        <v>2467769</v>
      </c>
      <c r="C27" s="9" t="inlineStr">
        <is>
          <t>Company</t>
        </is>
      </c>
      <c r="D27" s="9" t="inlineStr">
        <is>
          <t>2025-12-31</t>
        </is>
      </c>
      <c r="E27" s="4" t="inlineStr">
        <is>
          <t>Formed provisions charged in the six months to 31-Dec-2025. Audited consolidated FS, transition period 1-Jul-2025 to 31-Dec-2025, Crowe unqualified, 18-Feb-2026</t>
        </is>
      </c>
    </row>
    <row r="28" ht="40" customHeight="1">
      <c r="A28" s="9" t="inlineStr">
        <is>
          <t>Depreciation, 6M to 31-Dec-2025</t>
        </is>
      </c>
      <c r="B28" s="12" t="n">
        <v>70125269</v>
      </c>
      <c r="C28" s="9" t="inlineStr">
        <is>
          <t>Company</t>
        </is>
      </c>
      <c r="D28" s="9" t="inlineStr">
        <is>
          <t>2025-12-31</t>
        </is>
      </c>
      <c r="E28"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29" ht="20" customHeight="1">
      <c r="A29" s="9" t="inlineStr">
        <is>
          <t>Depreciation, 3M to 31-Mar-2026</t>
        </is>
      </c>
      <c r="B29" s="12" t="n">
        <v>40597611</v>
      </c>
      <c r="C29" s="9" t="inlineStr">
        <is>
          <t>Company</t>
        </is>
      </c>
      <c r="D29" s="9" t="inlineStr">
        <is>
          <t>2026-03-31</t>
        </is>
      </c>
      <c r="E29" s="4" t="inlineStr">
        <is>
          <t>Fixed-asset depreciation and right-of-use amortisation, Q1-2026. Reviewed consolidated FS, three months to 31-Mar-2026</t>
        </is>
      </c>
    </row>
    <row r="30" ht="40" customHeight="1">
      <c r="A30" s="9" t="inlineStr">
        <is>
          <t>Cash capital expenditure, 6M to 31-Dec-2025</t>
        </is>
      </c>
      <c r="B30" s="12" t="n">
        <v>30357299</v>
      </c>
      <c r="C30" s="9" t="inlineStr">
        <is>
          <t>Company</t>
        </is>
      </c>
      <c r="D30" s="9" t="inlineStr">
        <is>
          <t>2025-12-31</t>
        </is>
      </c>
      <c r="E30"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31" ht="20" customHeight="1">
      <c r="A31" s="9" t="inlineStr">
        <is>
          <t>Cash capital expenditure, 3M to 31-Mar-2026</t>
        </is>
      </c>
      <c r="B31" s="12" t="n">
        <v>64984482</v>
      </c>
      <c r="C31" s="9" t="inlineStr">
        <is>
          <t>Company</t>
        </is>
      </c>
      <c r="D31" s="9" t="inlineStr">
        <is>
          <t>2026-03-31</t>
        </is>
      </c>
      <c r="E31" s="4" t="inlineStr">
        <is>
          <t>Cash paid for projects under construction and fixed assets, Q1-2026. Reviewed consolidated FS, three months to 31-Mar-2026</t>
        </is>
      </c>
    </row>
    <row r="32" ht="20" customHeight="1">
      <c r="A32" s="9" t="inlineStr">
        <is>
          <t>Credit interest, 6M to 31-Dec-2025</t>
        </is>
      </c>
      <c r="B32" s="12" t="n">
        <v>173216413</v>
      </c>
      <c r="C32" s="9" t="inlineStr">
        <is>
          <t>Company</t>
        </is>
      </c>
      <c r="D32" s="9" t="inlineStr">
        <is>
          <t>2025-12-31</t>
        </is>
      </c>
      <c r="E32" s="4" t="inlineStr">
        <is>
          <t>Credit interest earned in the six months to 31-Dec-2025, per note 14-B and the cash-flow statement. Audited consolidated FS, transition period 1-Jul-2025 to 31-Dec-2025, Crowe unqualified, 18-Feb-2026</t>
        </is>
      </c>
    </row>
    <row r="33" ht="14" customHeight="1">
      <c r="A33" s="9" t="inlineStr">
        <is>
          <t>Credit interest, 3M to 31-Mar-2026</t>
        </is>
      </c>
      <c r="B33" s="12" t="n">
        <v>64104178</v>
      </c>
      <c r="C33" s="9" t="inlineStr">
        <is>
          <t>Company</t>
        </is>
      </c>
      <c r="D33" s="9" t="inlineStr">
        <is>
          <t>2026-03-31</t>
        </is>
      </c>
      <c r="E33" s="4" t="inlineStr">
        <is>
          <t>Credit interest earned in Q1-2026. Reviewed consolidated FS, three months to 31-Mar-2026</t>
        </is>
      </c>
    </row>
    <row r="34" ht="30" customHeight="1">
      <c r="A34" s="9" t="inlineStr">
        <is>
          <t>Employees' profit share and board bonuses, 6M</t>
        </is>
      </c>
      <c r="B34" s="12" t="n">
        <v>67467871</v>
      </c>
      <c r="C34" s="9" t="inlineStr">
        <is>
          <t>Company</t>
        </is>
      </c>
      <c r="D34" s="9" t="inlineStr">
        <is>
          <t>2025-12-31</t>
        </is>
      </c>
      <c r="E34"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35" ht="20" customHeight="1">
      <c r="A35" s="9" t="inlineStr">
        <is>
          <t>Profit after tax, 6M to 31-Dec-2025 (AUDITED)</t>
        </is>
      </c>
      <c r="B35" s="12" t="n">
        <v>656428711</v>
      </c>
      <c r="C35" s="9" t="inlineStr">
        <is>
          <t>Company</t>
        </is>
      </c>
      <c r="D35" s="9" t="inlineStr">
        <is>
          <t>2025-12-31</t>
        </is>
      </c>
      <c r="E35" s="4" t="inlineStr">
        <is>
          <t>Net profit after tax, six months to 31-Dec-2025. Audited consolidated FS, transition period 1-Jul-2025 to 31-Dec-2025, Crowe unqualified, 18-Feb-2026</t>
        </is>
      </c>
    </row>
    <row r="36" ht="20" customHeight="1">
      <c r="A36" s="9" t="inlineStr">
        <is>
          <t>Minority share of profit, 6M to 31-Dec-2025</t>
        </is>
      </c>
      <c r="B36" s="12" t="n">
        <v>30488250</v>
      </c>
      <c r="C36" s="9" t="inlineStr">
        <is>
          <t>Company</t>
        </is>
      </c>
      <c r="D36" s="9" t="inlineStr">
        <is>
          <t>2025-12-31</t>
        </is>
      </c>
      <c r="E36" s="4" t="inlineStr">
        <is>
          <t>Non-controlling interest share of profit, six months to 31-Dec-2025. Audited consolidated FS, transition period 1-Jul-2025 to 31-Dec-2025, Crowe unqualified, 18-Feb-2026</t>
        </is>
      </c>
    </row>
    <row r="37" ht="20" customHeight="1">
      <c r="A37" s="9" t="inlineStr">
        <is>
          <t>Minority share of profit, 3M to 31-Mar-2026</t>
        </is>
      </c>
      <c r="B37" s="12" t="n">
        <v>22627676</v>
      </c>
      <c r="C37" s="9" t="inlineStr">
        <is>
          <t>Company</t>
        </is>
      </c>
      <c r="D37" s="9" t="inlineStr">
        <is>
          <t>2026-03-31</t>
        </is>
      </c>
      <c r="E37" s="4" t="inlineStr">
        <is>
          <t>Non-controlling interest share of profit, three months to 31-Mar-2026. Reviewed consolidated FS, three months to 31-Mar-2026</t>
        </is>
      </c>
    </row>
    <row r="38" ht="20" customHeight="1">
      <c r="A38" s="9" t="inlineStr">
        <is>
          <t>Current tax, 6M to 31-Dec-2025</t>
        </is>
      </c>
      <c r="B38" s="12" t="n">
        <v>203945433</v>
      </c>
      <c r="C38" s="9" t="inlineStr">
        <is>
          <t>Company</t>
        </is>
      </c>
      <c r="D38" s="9" t="inlineStr">
        <is>
          <t>2025-12-31</t>
        </is>
      </c>
      <c r="E38" s="4" t="inlineStr">
        <is>
          <t>Current income tax, six months to 31-Dec-2025. Audited consolidated FS, transition period 1-Jul-2025 to 31-Dec-2025, Crowe unqualified, 18-Feb-2026</t>
        </is>
      </c>
    </row>
    <row r="39" ht="20" customHeight="1">
      <c r="A39" s="9" t="inlineStr">
        <is>
          <t>Deferred tax CREDIT, 6M to 31-Dec-2025</t>
        </is>
      </c>
      <c r="B39" s="12" t="n">
        <v>19441512</v>
      </c>
      <c r="C39" s="9" t="inlineStr">
        <is>
          <t>Company</t>
        </is>
      </c>
      <c r="D39" s="9" t="inlineStr">
        <is>
          <t>2025-12-31</t>
        </is>
      </c>
      <c r="E39" s="4" t="inlineStr">
        <is>
          <t>Deferred tax CREDIT, six months to 31-Dec-2025. Audited consolidated FS, transition period 1-Jul-2025 to 31-Dec-2025, Crowe unqualified, 18-Feb-2026</t>
        </is>
      </c>
    </row>
    <row r="40" ht="14" customHeight="1">
      <c r="A40" s="9" t="inlineStr">
        <is>
          <t>Current tax, 3M to 31-Mar-2026</t>
        </is>
      </c>
      <c r="B40" s="12" t="n">
        <v>175094101</v>
      </c>
      <c r="C40" s="9" t="inlineStr">
        <is>
          <t>Company</t>
        </is>
      </c>
      <c r="D40" s="9" t="inlineStr">
        <is>
          <t>2026-03-31</t>
        </is>
      </c>
      <c r="E40" s="4" t="inlineStr">
        <is>
          <t>Current income tax, three months to 31-Mar-2026. Reviewed consolidated FS, three months to 31-Mar-2026</t>
        </is>
      </c>
    </row>
    <row r="41" ht="20" customHeight="1">
      <c r="A41" s="9" t="inlineStr">
        <is>
          <t>Deferred tax, 3M to 31-Mar-2026</t>
        </is>
      </c>
      <c r="B41" s="12" t="n">
        <v>-7209684</v>
      </c>
      <c r="C41" s="9" t="inlineStr">
        <is>
          <t>Company</t>
        </is>
      </c>
      <c r="D41" s="9" t="inlineStr">
        <is>
          <t>2026-03-31</t>
        </is>
      </c>
      <c r="E41" s="4" t="inlineStr">
        <is>
          <t>Deferred tax EXPENSE (negative = charge), three months to 31-Mar-2026. Reviewed consolidated FS, three months to 31-Mar-2026</t>
        </is>
      </c>
    </row>
    <row r="42" ht="20" customHeight="1">
      <c r="A42" s="9" t="inlineStr">
        <is>
          <t>Investment income, 6M to 31-Dec-2025</t>
        </is>
      </c>
      <c r="B42" s="12" t="n">
        <v>13520000</v>
      </c>
      <c r="C42" s="9" t="inlineStr">
        <is>
          <t>Company</t>
        </is>
      </c>
      <c r="D42" s="9" t="inlineStr">
        <is>
          <t>2025-12-31</t>
        </is>
      </c>
      <c r="E42" s="4" t="inlineStr">
        <is>
          <t>Revenue from investments — dividend from Alexandria Specialized Petroleum Products Co (note 14-C). Audited consolidated FS, transition period 1-Jul-2025 to 31-Dec-2025, Crowe unqualified, 18-Feb-2026</t>
        </is>
      </c>
    </row>
    <row r="43" ht="50" customHeight="1">
      <c r="A43" s="9" t="inlineStr">
        <is>
          <t>Other revenue, 6M to 31-Dec-2025</t>
        </is>
      </c>
      <c r="B43" s="12" t="n">
        <v>345744052</v>
      </c>
      <c r="C43" s="9" t="inlineStr">
        <is>
          <t>Company</t>
        </is>
      </c>
      <c r="D43" s="9" t="inlineStr">
        <is>
          <t>2025-12-31</t>
        </is>
      </c>
      <c r="E43"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44" ht="30" customHeight="1">
      <c r="A44" s="9" t="inlineStr">
        <is>
          <t>Finance cost, 6M to 31-Dec-2025</t>
        </is>
      </c>
      <c r="B44" s="12" t="n">
        <v>1892108</v>
      </c>
      <c r="C44" s="9" t="inlineStr">
        <is>
          <t>Company</t>
        </is>
      </c>
      <c r="D44" s="9" t="inlineStr">
        <is>
          <t>2025-12-31</t>
        </is>
      </c>
      <c r="E44" s="4" t="inlineStr">
        <is>
          <t>Finance expenses, six months to 31-Dec-2025 (note 15-E): loan interest and charges 1,130,556, lease interest 761,552. Audited consolidated FS, transition period 1-Jul-2025 to 31-Dec-2025, Crowe unqualified, 18-Feb-2026</t>
        </is>
      </c>
    </row>
    <row r="45">
      <c r="A45" s="7" t="inlineStr">
        <is>
          <t>NOTE 14-A — the audited product table, 6M to 31-Dec-2025</t>
        </is>
      </c>
      <c r="B45" s="8" t="n"/>
      <c r="C45" s="8" t="n"/>
      <c r="D45" s="8" t="n"/>
      <c r="E45" s="8" t="n"/>
      <c r="F45" s="8" t="n"/>
    </row>
    <row r="46" ht="20" customHeight="1">
      <c r="A46" s="9" t="inlineStr">
        <is>
          <t>Base and special oils — tonnes sold</t>
        </is>
      </c>
      <c r="B46" s="13" t="n">
        <v>54968.98</v>
      </c>
      <c r="C46" s="9" t="inlineStr">
        <is>
          <t>Company</t>
        </is>
      </c>
      <c r="D46" s="9" t="inlineStr">
        <is>
          <t>2025-12-31</t>
        </is>
      </c>
      <c r="E46" s="4" t="inlineStr">
        <is>
          <t>Tonnes sold by product line, six months to 31-Dec-2025 (note 14-A). Audited consolidated FS, transition period 1-Jul-2025 to 31-Dec-2025, Crowe unqualified, 18-Feb-2026</t>
        </is>
      </c>
    </row>
    <row r="47" ht="20" customHeight="1">
      <c r="A47" s="9" t="inlineStr">
        <is>
          <t>Paraffin wax — tonnes sold</t>
        </is>
      </c>
      <c r="B47" s="13" t="n">
        <v>41774.2</v>
      </c>
      <c r="C47" s="9" t="inlineStr">
        <is>
          <t>Company</t>
        </is>
      </c>
      <c r="D47" s="9" t="inlineStr">
        <is>
          <t>2025-12-31</t>
        </is>
      </c>
      <c r="E47" s="4" t="inlineStr">
        <is>
          <t>Tonnes sold by product line, six months to 31-Dec-2025 (note 14-A). Audited consolidated FS, transition period 1-Jul-2025 to 31-Dec-2025, Crowe unqualified, 18-Feb-2026</t>
        </is>
      </c>
    </row>
    <row r="48" ht="20" customHeight="1">
      <c r="A48" s="9" t="inlineStr">
        <is>
          <t>Gas oil — tonnes sold</t>
        </is>
      </c>
      <c r="B48" s="13" t="n">
        <v>171684.881</v>
      </c>
      <c r="C48" s="9" t="inlineStr">
        <is>
          <t>Company</t>
        </is>
      </c>
      <c r="D48" s="9" t="inlineStr">
        <is>
          <t>2025-12-31</t>
        </is>
      </c>
      <c r="E48" s="4" t="inlineStr">
        <is>
          <t>Tonnes sold by product line, six months to 31-Dec-2025 (note 14-A). Audited consolidated FS, transition period 1-Jul-2025 to 31-Dec-2025, Crowe unqualified, 18-Feb-2026</t>
        </is>
      </c>
    </row>
    <row r="49" ht="20" customHeight="1">
      <c r="A49" s="9" t="inlineStr">
        <is>
          <t>Naphtha — tonnes sold</t>
        </is>
      </c>
      <c r="B49" s="13" t="n">
        <v>41430.857</v>
      </c>
      <c r="C49" s="9" t="inlineStr">
        <is>
          <t>Company</t>
        </is>
      </c>
      <c r="D49" s="9" t="inlineStr">
        <is>
          <t>2025-12-31</t>
        </is>
      </c>
      <c r="E49" s="4" t="inlineStr">
        <is>
          <t>Tonnes sold by product line, six months to 31-Dec-2025 (note 14-A). Audited consolidated FS, transition period 1-Jul-2025 to 31-Dec-2025, Crowe unqualified, 18-Feb-2026</t>
        </is>
      </c>
    </row>
    <row r="50" ht="20" customHeight="1">
      <c r="A50" s="9" t="inlineStr">
        <is>
          <t>Liquefied petroleum gas — tonnes sold</t>
        </is>
      </c>
      <c r="B50" s="13" t="n">
        <v>23735.778</v>
      </c>
      <c r="C50" s="9" t="inlineStr">
        <is>
          <t>Company</t>
        </is>
      </c>
      <c r="D50" s="9" t="inlineStr">
        <is>
          <t>2025-12-31</t>
        </is>
      </c>
      <c r="E50" s="4" t="inlineStr">
        <is>
          <t>Tonnes sold by product line, six months to 31-Dec-2025 (note 14-A). Audited consolidated FS, transition period 1-Jul-2025 to 31-Dec-2025, Crowe unqualified, 18-Feb-2026</t>
        </is>
      </c>
    </row>
    <row r="51" ht="20" customHeight="1">
      <c r="A51" s="9" t="inlineStr">
        <is>
          <t>Fuel oil (mix) — tonnes sold</t>
        </is>
      </c>
      <c r="B51" s="13" t="n">
        <v>460153.6</v>
      </c>
      <c r="C51" s="9" t="inlineStr">
        <is>
          <t>Company</t>
        </is>
      </c>
      <c r="D51" s="9" t="inlineStr">
        <is>
          <t>2025-12-31</t>
        </is>
      </c>
      <c r="E51" s="4" t="inlineStr">
        <is>
          <t>Tonnes sold by product line, six months to 31-Dec-2025 (note 14-A). Audited consolidated FS, transition period 1-Jul-2025 to 31-Dec-2025, Crowe unqualified, 18-Feb-2026</t>
        </is>
      </c>
    </row>
    <row r="52" ht="20" customHeight="1">
      <c r="A52" s="9" t="inlineStr">
        <is>
          <t>Heavy fuel oil — tonnes sold</t>
        </is>
      </c>
      <c r="B52" s="13" t="n">
        <v>14327.52</v>
      </c>
      <c r="C52" s="9" t="inlineStr">
        <is>
          <t>Company</t>
        </is>
      </c>
      <c r="D52" s="9" t="inlineStr">
        <is>
          <t>2025-12-31</t>
        </is>
      </c>
      <c r="E52" s="4" t="inlineStr">
        <is>
          <t>Tonnes sold by product line, six months to 31-Dec-2025 (note 14-A). Audited consolidated FS, transition period 1-Jul-2025 to 31-Dec-2025, Crowe unqualified, 18-Feb-2026</t>
        </is>
      </c>
    </row>
    <row r="53" ht="20" customHeight="1">
      <c r="A53" s="9" t="inlineStr">
        <is>
          <t>Waste — tonnes sold</t>
        </is>
      </c>
      <c r="B53" s="13" t="n">
        <v>7.82</v>
      </c>
      <c r="C53" s="9" t="inlineStr">
        <is>
          <t>Company</t>
        </is>
      </c>
      <c r="D53" s="9" t="inlineStr">
        <is>
          <t>2025-12-31</t>
        </is>
      </c>
      <c r="E53" s="4" t="inlineStr">
        <is>
          <t>Tonnes sold by product line, six months to 31-Dec-2025 (note 14-A). Audited consolidated FS, transition period 1-Jul-2025 to 31-Dec-2025, Crowe unqualified, 18-Feb-2026</t>
        </is>
      </c>
    </row>
    <row r="54" ht="20" customHeight="1">
      <c r="A54" s="9" t="inlineStr">
        <is>
          <t>Base and special oils — sales value, EGP</t>
        </is>
      </c>
      <c r="B54" s="12" t="n">
        <v>2597280264</v>
      </c>
      <c r="C54" s="9" t="inlineStr">
        <is>
          <t>Company</t>
        </is>
      </c>
      <c r="D54" s="9" t="inlineStr">
        <is>
          <t>2025-12-31</t>
        </is>
      </c>
      <c r="E54" s="4" t="inlineStr">
        <is>
          <t>Sales value by product line, EGP, six months to 31-Dec-2025 (note 14-A). Audited consolidated FS, transition period 1-Jul-2025 to 31-Dec-2025, Crowe unqualified, 18-Feb-2026</t>
        </is>
      </c>
    </row>
    <row r="55" ht="20" customHeight="1">
      <c r="A55" s="9" t="inlineStr">
        <is>
          <t>Paraffin wax — sales value, EGP</t>
        </is>
      </c>
      <c r="B55" s="12" t="n">
        <v>2041969329</v>
      </c>
      <c r="C55" s="9" t="inlineStr">
        <is>
          <t>Company</t>
        </is>
      </c>
      <c r="D55" s="9" t="inlineStr">
        <is>
          <t>2025-12-31</t>
        </is>
      </c>
      <c r="E55" s="4" t="inlineStr">
        <is>
          <t>Sales value by product line, EGP, six months to 31-Dec-2025 (note 14-A). Audited consolidated FS, transition period 1-Jul-2025 to 31-Dec-2025, Crowe unqualified, 18-Feb-2026</t>
        </is>
      </c>
    </row>
    <row r="56" ht="20" customHeight="1">
      <c r="A56" s="9" t="inlineStr">
        <is>
          <t>Gas oil — sales value, EGP</t>
        </is>
      </c>
      <c r="B56" s="12" t="n">
        <v>5121703599</v>
      </c>
      <c r="C56" s="9" t="inlineStr">
        <is>
          <t>Company</t>
        </is>
      </c>
      <c r="D56" s="9" t="inlineStr">
        <is>
          <t>2025-12-31</t>
        </is>
      </c>
      <c r="E56" s="4" t="inlineStr">
        <is>
          <t>Sales value by product line, EGP, six months to 31-Dec-2025 (note 14-A). Audited consolidated FS, transition period 1-Jul-2025 to 31-Dec-2025, Crowe unqualified, 18-Feb-2026</t>
        </is>
      </c>
    </row>
    <row r="57" ht="20" customHeight="1">
      <c r="A57" s="9" t="inlineStr">
        <is>
          <t>Naphtha — sales value, EGP</t>
        </is>
      </c>
      <c r="B57" s="12" t="n">
        <v>958746631</v>
      </c>
      <c r="C57" s="9" t="inlineStr">
        <is>
          <t>Company</t>
        </is>
      </c>
      <c r="D57" s="9" t="inlineStr">
        <is>
          <t>2025-12-31</t>
        </is>
      </c>
      <c r="E57" s="4" t="inlineStr">
        <is>
          <t>Sales value by product line, EGP, six months to 31-Dec-2025 (note 14-A). Audited consolidated FS, transition period 1-Jul-2025 to 31-Dec-2025, Crowe unqualified, 18-Feb-2026</t>
        </is>
      </c>
    </row>
    <row r="58" ht="20" customHeight="1">
      <c r="A58" s="9" t="inlineStr">
        <is>
          <t>Liquefied petroleum gas — sales value, EGP</t>
        </is>
      </c>
      <c r="B58" s="12" t="n">
        <v>816258520</v>
      </c>
      <c r="C58" s="9" t="inlineStr">
        <is>
          <t>Company</t>
        </is>
      </c>
      <c r="D58" s="9" t="inlineStr">
        <is>
          <t>2025-12-31</t>
        </is>
      </c>
      <c r="E58" s="4" t="inlineStr">
        <is>
          <t>Sales value by product line, EGP, six months to 31-Dec-2025 (note 14-A). Audited consolidated FS, transition period 1-Jul-2025 to 31-Dec-2025, Crowe unqualified, 18-Feb-2026</t>
        </is>
      </c>
    </row>
    <row r="59" ht="20" customHeight="1">
      <c r="A59" s="9" t="inlineStr">
        <is>
          <t>Fuel oil (mix) — sales value, EGP</t>
        </is>
      </c>
      <c r="B59" s="12" t="n">
        <v>8975569716</v>
      </c>
      <c r="C59" s="9" t="inlineStr">
        <is>
          <t>Company</t>
        </is>
      </c>
      <c r="D59" s="9" t="inlineStr">
        <is>
          <t>2025-12-31</t>
        </is>
      </c>
      <c r="E59" s="4" t="inlineStr">
        <is>
          <t>Sales value by product line, EGP, six months to 31-Dec-2025 (note 14-A). Audited consolidated FS, transition period 1-Jul-2025 to 31-Dec-2025, Crowe unqualified, 18-Feb-2026</t>
        </is>
      </c>
    </row>
    <row r="60" ht="20" customHeight="1">
      <c r="A60" s="9" t="inlineStr">
        <is>
          <t>Heavy fuel oil — sales value, EGP</t>
        </is>
      </c>
      <c r="B60" s="12" t="n">
        <v>224110353</v>
      </c>
      <c r="C60" s="9" t="inlineStr">
        <is>
          <t>Company</t>
        </is>
      </c>
      <c r="D60" s="9" t="inlineStr">
        <is>
          <t>2025-12-31</t>
        </is>
      </c>
      <c r="E60" s="4" t="inlineStr">
        <is>
          <t>Sales value by product line, EGP, six months to 31-Dec-2025 (note 14-A). Audited consolidated FS, transition period 1-Jul-2025 to 31-Dec-2025, Crowe unqualified, 18-Feb-2026</t>
        </is>
      </c>
    </row>
    <row r="61" ht="20" customHeight="1">
      <c r="A61" s="9" t="inlineStr">
        <is>
          <t>Waste — sales value, EGP</t>
        </is>
      </c>
      <c r="B61" s="12" t="n">
        <v>87400</v>
      </c>
      <c r="C61" s="9" t="inlineStr">
        <is>
          <t>Company</t>
        </is>
      </c>
      <c r="D61" s="9" t="inlineStr">
        <is>
          <t>2025-12-31</t>
        </is>
      </c>
      <c r="E61" s="4" t="inlineStr">
        <is>
          <t>Sales value by product line, EGP, six months to 31-Dec-2025 (note 14-A). Audited consolidated FS, transition period 1-Jul-2025 to 31-Dec-2025, Crowe unqualified, 18-Feb-2026</t>
        </is>
      </c>
    </row>
    <row r="62">
      <c r="A62" s="7" t="inlineStr">
        <is>
          <t>NOTE 15-A — the audited cost stack, 6M to 31-Dec-2025</t>
        </is>
      </c>
      <c r="B62" s="8" t="n"/>
      <c r="C62" s="8" t="n"/>
      <c r="D62" s="8" t="n"/>
      <c r="E62" s="8" t="n"/>
      <c r="F62" s="8" t="n"/>
    </row>
    <row r="63" ht="30" customHeight="1">
      <c r="A63" s="9" t="inlineStr">
        <is>
          <t>Raw materials</t>
        </is>
      </c>
      <c r="B63" s="12" t="n">
        <v>17650102725</v>
      </c>
      <c r="C63" s="9" t="inlineStr">
        <is>
          <t>Company</t>
        </is>
      </c>
      <c r="D63" s="9" t="inlineStr">
        <is>
          <t>2025-12-31</t>
        </is>
      </c>
      <c r="E63" s="4" t="inlineStr">
        <is>
          <t>Cost of sales — RAW MATERIALS, six months to 31-Dec-2025 (note 15-A). 90.7% of cost of sales and 85.1% of revenue: this single line is what the company is. Audited consolidated FS, transition period 1-Jul-2025 to 31-Dec-2025, Crowe unqualified, 18-Feb-2026</t>
        </is>
      </c>
    </row>
    <row r="64" ht="20" customHeight="1">
      <c r="A64" s="9" t="inlineStr">
        <is>
          <t>Salaries</t>
        </is>
      </c>
      <c r="B64" s="12" t="n">
        <v>881019497</v>
      </c>
      <c r="C64" s="9" t="inlineStr">
        <is>
          <t>Company</t>
        </is>
      </c>
      <c r="D64" s="9" t="inlineStr">
        <is>
          <t>2025-12-31</t>
        </is>
      </c>
      <c r="E64" s="4" t="inlineStr">
        <is>
          <t>Cost of sales — salaries, six months to 31-Dec-2025 (note 15-A). Audited consolidated FS, transition period 1-Jul-2025 to 31-Dec-2025, Crowe unqualified, 18-Feb-2026</t>
        </is>
      </c>
    </row>
    <row r="65" ht="40" customHeight="1">
      <c r="A65" s="9" t="inlineStr">
        <is>
          <t>Other expenses</t>
        </is>
      </c>
      <c r="B65" s="12" t="n">
        <v>807146755</v>
      </c>
      <c r="C65" s="9" t="inlineStr">
        <is>
          <t>Company</t>
        </is>
      </c>
      <c r="D65" s="9" t="inlineStr">
        <is>
          <t>2025-12-31</t>
        </is>
      </c>
      <c r="E65"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66" ht="20" customHeight="1">
      <c r="A66" s="9" t="inlineStr">
        <is>
          <t>Supporting materials (chemicals and additives)</t>
        </is>
      </c>
      <c r="B66" s="12" t="n">
        <v>64533723</v>
      </c>
      <c r="C66" s="9" t="inlineStr">
        <is>
          <t>Company</t>
        </is>
      </c>
      <c r="D66" s="9" t="inlineStr">
        <is>
          <t>2025-12-31</t>
        </is>
      </c>
      <c r="E66" s="4" t="inlineStr">
        <is>
          <t>Cost of sales — supporting materials (chemicals and additives), six months to 31-Dec-2025 (note 15-A). The previous edition estimated this charge at roughly five times the disclosed figure</t>
        </is>
      </c>
    </row>
    <row r="67" ht="20" customHeight="1">
      <c r="A67" s="9" t="inlineStr">
        <is>
          <t>Depreciation</t>
        </is>
      </c>
      <c r="B67" s="12" t="n">
        <v>58748046</v>
      </c>
      <c r="C67" s="9" t="inlineStr">
        <is>
          <t>Company</t>
        </is>
      </c>
      <c r="D67" s="9" t="inlineStr">
        <is>
          <t>2025-12-31</t>
        </is>
      </c>
      <c r="E67" s="4" t="inlineStr">
        <is>
          <t>Cost of sales — depreciation, six months to 31-Dec-2025 (note 15-A). Audited consolidated FS, transition period 1-Jul-2025 to 31-Dec-2025, Crowe unqualified, 18-Feb-2026</t>
        </is>
      </c>
    </row>
    <row r="68">
      <c r="A68" s="7" t="inlineStr">
        <is>
          <t>BALANCE SHEET AT 31 DECEMBER 2025 (AUDITED)</t>
        </is>
      </c>
      <c r="B68" s="8" t="n"/>
      <c r="C68" s="8" t="n"/>
      <c r="D68" s="8" t="n"/>
      <c r="E68" s="8" t="n"/>
      <c r="F68" s="8" t="n"/>
    </row>
    <row r="69" ht="40" customHeight="1">
      <c r="A69" s="9" t="inlineStr">
        <is>
          <t>Fixed assets, net</t>
        </is>
      </c>
      <c r="B69" s="12" t="n">
        <v>893016274</v>
      </c>
      <c r="C69" s="9" t="inlineStr">
        <is>
          <t>Company</t>
        </is>
      </c>
      <c r="D69" s="9" t="inlineStr">
        <is>
          <t>2025-12-31</t>
        </is>
      </c>
      <c r="E69" s="4" t="inlineStr">
        <is>
          <t>Fixed assets net of accumulated depreciation at 31-Dec-2025 (note 6). Cost 2,740,810,692 less accumulated depreciation 1,847,794,418 — the plant is 67% written down, and 273,466,121 of it is fully depreciated and still in use. Audited consolidated FS, transition period 1-Jul-2025 to 31-Dec-2025, Crowe unqualified, 18-Feb-2026</t>
        </is>
      </c>
    </row>
    <row r="70" ht="40" customHeight="1">
      <c r="A70" s="9" t="inlineStr">
        <is>
          <t>Fixed assets, at COST</t>
        </is>
      </c>
      <c r="B70" s="12" t="n">
        <v>2740810692</v>
      </c>
      <c r="C70" s="9" t="inlineStr">
        <is>
          <t>Company</t>
        </is>
      </c>
      <c r="D70" s="9" t="inlineStr">
        <is>
          <t>2025-12-31</t>
        </is>
      </c>
      <c r="E70"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71" ht="30" customHeight="1">
      <c r="A71" s="9" t="inlineStr">
        <is>
          <t>Projects under construction</t>
        </is>
      </c>
      <c r="B71" s="12" t="n">
        <v>407323203</v>
      </c>
      <c r="C71" s="9" t="inlineStr">
        <is>
          <t>Company</t>
        </is>
      </c>
      <c r="D71" s="9" t="inlineStr">
        <is>
          <t>2025-12-31</t>
        </is>
      </c>
      <c r="E71" s="4" t="inlineStr">
        <is>
          <t>Projects under construction at 31-Dec-2025 (note 7): assets in development 376,746,526 (administrative building, warehouses, civil projects, ERP system) plus investment expenditure 30,576,677. Audited consolidated FS, transition period 1-Jul-2025 to 31-Dec-2025, Crowe unqualified, 18-Feb-2026</t>
        </is>
      </c>
    </row>
    <row r="72" ht="40" customHeight="1">
      <c r="A72" s="9" t="inlineStr">
        <is>
          <t>Inventory</t>
        </is>
      </c>
      <c r="B72" s="12" t="n">
        <v>2847392506</v>
      </c>
      <c r="C72" s="9" t="inlineStr">
        <is>
          <t>Company</t>
        </is>
      </c>
      <c r="D72" s="9" t="inlineStr">
        <is>
          <t>2025-12-31</t>
        </is>
      </c>
      <c r="E72" s="4" t="inlineStr">
        <is>
          <t>Inventory net of impairment at 31-Dec-2025 (note 9-A): work in process 792,134,042, finished goods 1,166,168,582, spare parts 309,298,239, supporting materials 283,470,554, raw materials 118,754,225, goods for resale 155,793,361. Audited consolidated FS, transition period 1-Jul-2025 to 31-Dec-2025, Crowe unqualified, 18-Feb-2026</t>
        </is>
      </c>
    </row>
    <row r="73" ht="40" customHeight="1">
      <c r="A73" s="9" t="inlineStr">
        <is>
          <t>Trade receivables</t>
        </is>
      </c>
      <c r="B73" s="12" t="n">
        <v>573136185</v>
      </c>
      <c r="C73" s="9" t="inlineStr">
        <is>
          <t>Company</t>
        </is>
      </c>
      <c r="D73" s="9" t="inlineStr">
        <is>
          <t>2025-12-31</t>
        </is>
      </c>
      <c r="E73" s="4" t="inlineStr">
        <is>
          <t>Accounts receivable net at 31-Dec-2025 (note 9-B). 100% undue and unimpaired on the ageing analysis. Counterparties include Shell, ExxonMobil, Chevron, Total, TAQA/Castrol, Emarat Misr, OLA Energy and Petromine alongside the state companies. Audited consolidated FS, transition period 1-Jul-2025 to 31-Dec-2025, Crowe unqualified, 18-Feb-2026</t>
        </is>
      </c>
    </row>
    <row r="74" ht="20" customHeight="1">
      <c r="A74" s="9" t="inlineStr">
        <is>
          <t>Debtors and other debit balances</t>
        </is>
      </c>
      <c r="B74" s="12" t="n">
        <v>366012664</v>
      </c>
      <c r="C74" s="9" t="inlineStr">
        <is>
          <t>Company</t>
        </is>
      </c>
      <c r="D74" s="9" t="inlineStr">
        <is>
          <t>2025-12-31</t>
        </is>
      </c>
      <c r="E74" s="4" t="inlineStr">
        <is>
          <t>Debtors and other debit balances net at 31-Dec-2025 (notes 9-C, 9-D). Audited consolidated FS, transition period 1-Jul-2025 to 31-Dec-2025, Crowe unqualified, 18-Feb-2026</t>
        </is>
      </c>
    </row>
    <row r="75" ht="40" customHeight="1">
      <c r="A75" s="9" t="inlineStr">
        <is>
          <t>Accounts and notes payable</t>
        </is>
      </c>
      <c r="B75" s="12" t="n">
        <v>7942650</v>
      </c>
      <c r="C75" s="9" t="inlineStr">
        <is>
          <t>Company</t>
        </is>
      </c>
      <c r="D75" s="9" t="inlineStr">
        <is>
          <t>2025-12-31</t>
        </is>
      </c>
      <c r="E75" s="4" t="inlineStr">
        <is>
          <t>Accounts and notes payable at 31-Dec-2025 (note 10-3). The previous edition modelled a trade payable of about 2.5bn funding the working capital cycle; the actual trade payable is under 8mn and the funding sits in the EGPC current account instead. Audited consolidated FS, transition period 1-Jul-2025 to 31-Dec-2025, Crowe unqualified, 18-Feb-2026</t>
        </is>
      </c>
    </row>
    <row r="76" ht="40" customHeight="1">
      <c r="A76" s="9" t="inlineStr">
        <is>
          <t>Creditors and other credit balances</t>
        </is>
      </c>
      <c r="B76" s="12" t="n">
        <v>2044446416</v>
      </c>
      <c r="C76" s="9" t="inlineStr">
        <is>
          <t>Company</t>
        </is>
      </c>
      <c r="D76" s="9" t="inlineStr">
        <is>
          <t>2025-12-31</t>
        </is>
      </c>
      <c r="E76" s="4" t="inlineStr">
        <is>
          <t>Creditors and other credit balances at 31-Dec-2025 (note 11): EGPC current account 1,132,353,505, deposits 70,891,867, miscellaneous taxes 47,021,719, dividends payable 517,250,000, miscellaneous creditors 148,226,091, customer advances 60,028,880. Audited consolidated FS, transition period 1-Jul-2025 to 31-Dec-2025, Crowe unqualified, 18-Feb-2026</t>
        </is>
      </c>
    </row>
    <row r="77" ht="30" customHeight="1">
      <c r="A77" s="9" t="inlineStr">
        <is>
          <t>of which DIVIDENDS PAYABLE — a financing claim</t>
        </is>
      </c>
      <c r="B77" s="12" t="n">
        <v>517250000</v>
      </c>
      <c r="C77" s="9" t="inlineStr">
        <is>
          <t>Company</t>
        </is>
      </c>
      <c r="D77" s="9" t="inlineStr">
        <is>
          <t>2025-12-31</t>
        </is>
      </c>
      <c r="E77" s="4" t="inlineStr">
        <is>
          <t>Dividends payable at 31-Dec-2025 (note 11, other credit balances) — declared and not yet paid at the reporting date. Audited consolidated FS, transition period 1-Jul-2025 to 31-Dec-2025, Crowe unqualified, 18-Feb-2026</t>
        </is>
      </c>
    </row>
    <row r="78" ht="20" customHeight="1">
      <c r="A78" s="9" t="inlineStr">
        <is>
          <t>Provisions — tax disputes and claims</t>
        </is>
      </c>
      <c r="B78" s="12" t="n">
        <v>921440353</v>
      </c>
      <c r="C78" s="9" t="inlineStr">
        <is>
          <t>Company</t>
        </is>
      </c>
      <c r="D78" s="9" t="inlineStr">
        <is>
          <t>2025-12-31</t>
        </is>
      </c>
      <c r="E78" s="4" t="inlineStr">
        <is>
          <t>Provisions at 31-Dec-2025 (note 10-1): tax disputes 904,609,345 and claims and disputes 16,831,008. A contingent liability worth EGP 0.71 a share that the previous edition never carried at all</t>
        </is>
      </c>
    </row>
    <row r="79" ht="40" customHeight="1">
      <c r="A79" s="9" t="inlineStr">
        <is>
          <t>Cash at banks and on hand, free</t>
        </is>
      </c>
      <c r="B79" s="12" t="n">
        <v>2463522365</v>
      </c>
      <c r="C79" s="9" t="inlineStr">
        <is>
          <t>Company</t>
        </is>
      </c>
      <c r="D79" s="9" t="inlineStr">
        <is>
          <t>2025-12-31</t>
        </is>
      </c>
      <c r="E79" s="4" t="inlineStr">
        <is>
          <t>Cash at banks and on hand at 31-Dec-2025 (note 9-E): time deposits 883,351,250 plus current accounts 2,127,100,720 plus cash on hand 166,405, less expected credit losses 38,345,960, less PLEDGED deposits 508,750,050 which sit in other financial investments. Audited consolidated FS, transition period 1-Jul-2025 to 31-Dec-2025, Crowe unqualified, 18-Feb-2026</t>
        </is>
      </c>
    </row>
    <row r="80" ht="30" customHeight="1">
      <c r="A80" s="9" t="inlineStr">
        <is>
          <t>Deposits PLEDGED against facilities</t>
        </is>
      </c>
      <c r="B80" s="12" t="n">
        <v>508750050</v>
      </c>
      <c r="C80" s="9" t="inlineStr">
        <is>
          <t>Company</t>
        </is>
      </c>
      <c r="D80" s="9" t="inlineStr">
        <is>
          <t>2025-12-31</t>
        </is>
      </c>
      <c r="E80" s="4" t="inlineStr">
        <is>
          <t>Other financial investments at 31-Dec-2025 — deposits PLEDGED against credit facilities, so not free cash (note 9-E). Audited consolidated FS, transition period 1-Jul-2025 to 31-Dec-2025, Crowe unqualified, 18-Feb-2026</t>
        </is>
      </c>
    </row>
    <row r="81" ht="30" customHeight="1">
      <c r="A81" s="9" t="inlineStr">
        <is>
          <t>Equity investment at fair value through OCI</t>
        </is>
      </c>
      <c r="B81" s="12" t="n">
        <v>69608696</v>
      </c>
      <c r="C81" s="9" t="inlineStr">
        <is>
          <t>Company</t>
        </is>
      </c>
      <c r="D81" s="9" t="inlineStr">
        <is>
          <t>2025-12-31</t>
        </is>
      </c>
      <c r="E81" s="4" t="inlineStr">
        <is>
          <t>Financial asset through OCI at 31-Dec-2025 — 104,000 shares, 5.20% of ASCPC, fair value 69,608,696 (note 8-1). Audited consolidated FS, transition period 1-Jul-2025 to 31-Dec-2025, Crowe unqualified, 18-Feb-2026</t>
        </is>
      </c>
    </row>
    <row r="82" ht="20" customHeight="1">
      <c r="A82" s="9" t="inlineStr">
        <is>
          <t>Long-term loans</t>
        </is>
      </c>
      <c r="B82" s="12" t="n">
        <v>11805265</v>
      </c>
      <c r="C82" s="9" t="inlineStr">
        <is>
          <t>Company</t>
        </is>
      </c>
      <c r="D82" s="9" t="inlineStr">
        <is>
          <t>2025-12-31</t>
        </is>
      </c>
      <c r="E82" s="4" t="inlineStr">
        <is>
          <t>Long-term loans at 31-Dec-2025 (note 20). Audited consolidated FS, transition period 1-Jul-2025 to 31-Dec-2025, Crowe unqualified, 18-Feb-2026</t>
        </is>
      </c>
    </row>
    <row r="83" ht="20" customHeight="1">
      <c r="A83" s="9" t="inlineStr">
        <is>
          <t>Short-term loans</t>
        </is>
      </c>
      <c r="B83" s="12" t="n">
        <v>9172172</v>
      </c>
      <c r="C83" s="9" t="inlineStr">
        <is>
          <t>Company</t>
        </is>
      </c>
      <c r="D83" s="9" t="inlineStr">
        <is>
          <t>2025-12-31</t>
        </is>
      </c>
      <c r="E83" s="4" t="inlineStr">
        <is>
          <t>Short-term loans and facilities at 31-Dec-2025 (note 20). Audited consolidated FS, transition period 1-Jul-2025 to 31-Dec-2025, Crowe unqualified, 18-Feb-2026</t>
        </is>
      </c>
    </row>
    <row r="84" ht="20" customHeight="1">
      <c r="A84" s="9" t="inlineStr">
        <is>
          <t>Parent equity</t>
        </is>
      </c>
      <c r="B84" s="12" t="n">
        <v>4790695948</v>
      </c>
      <c r="C84" s="9" t="inlineStr">
        <is>
          <t>Company</t>
        </is>
      </c>
      <c r="D84" s="9" t="inlineStr">
        <is>
          <t>2025-12-31</t>
        </is>
      </c>
      <c r="E84" s="4" t="inlineStr">
        <is>
          <t>Total AMOC (parent) equity at 31-Dec-2025. Audited consolidated FS, transition period 1-Jul-2025 to 31-Dec-2025, Crowe unqualified, 18-Feb-2026</t>
        </is>
      </c>
    </row>
    <row r="85" ht="20" customHeight="1">
      <c r="A85" s="9" t="inlineStr">
        <is>
          <t>Non-controlling interest, carrying</t>
        </is>
      </c>
      <c r="B85" s="12" t="n">
        <v>34079000</v>
      </c>
      <c r="C85" s="9" t="inlineStr">
        <is>
          <t>Company</t>
        </is>
      </c>
      <c r="D85" s="9" t="inlineStr">
        <is>
          <t>2025-12-31</t>
        </is>
      </c>
      <c r="E85" s="4" t="inlineStr">
        <is>
          <t>Non-controlling interest carrying amount at 31-Dec-2025. Audited consolidated FS, transition period 1-Jul-2025 to 31-Dec-2025, Crowe unqualified, 18-Feb-2026</t>
        </is>
      </c>
    </row>
    <row r="86">
      <c r="A86" s="7" t="inlineStr">
        <is>
          <t>DRIVERS</t>
        </is>
      </c>
      <c r="B86" s="8" t="n"/>
      <c r="C86" s="8" t="n"/>
      <c r="D86" s="8" t="n"/>
      <c r="E86" s="8" t="n"/>
      <c r="F86" s="8" t="n"/>
    </row>
    <row r="87" ht="20" customHeight="1">
      <c r="A87" s="9" t="inlineStr">
        <is>
          <t>Statutory tax rate — applied to operating profit</t>
        </is>
      </c>
      <c r="B87" s="14" t="n">
        <v>0.225</v>
      </c>
      <c r="C87" s="9" t="inlineStr">
        <is>
          <t>Country</t>
        </is>
      </c>
      <c r="D87" s="9" t="inlineStr">
        <is>
          <t>2026</t>
        </is>
      </c>
      <c r="E87" s="4" t="inlineStr">
        <is>
          <t>Egypt corporate income tax 22.5%. AMOC is a downstream processor and is taxed at the ordinary corporate rate, not the ~40.55% rate that applies to exploration and production concessions</t>
        </is>
      </c>
    </row>
    <row r="88" ht="40" customHeight="1">
      <c r="A88" s="9" t="inlineStr">
        <is>
          <t>Feedstock pass-through factor</t>
        </is>
      </c>
      <c r="B88" s="11" t="n">
        <v>1</v>
      </c>
      <c r="C88" s="9" t="inlineStr">
        <is>
          <t>House</t>
        </is>
      </c>
      <c r="D88" s="9" t="inlineStr">
        <is>
          <t>2026-08-06</t>
        </is>
      </c>
      <c r="E88"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89" ht="20" customHeight="1">
      <c r="A89" s="9" t="inlineStr">
        <is>
          <t>Terminal growth</t>
        </is>
      </c>
      <c r="B89" s="14" t="n">
        <v>0.05</v>
      </c>
      <c r="C89" s="9" t="inlineStr">
        <is>
          <t>House</t>
        </is>
      </c>
      <c r="D89" s="9" t="inlineStr">
        <is>
          <t>2026-08-06</t>
        </is>
      </c>
      <c r="E89" s="4" t="inlineStr">
        <is>
          <t>Terminal growth, 5% — the standing centre for established names in this market once currency turbulence has passed, sensitised 3-7%. An EGP-nominal rate struck against an EGP-nominal terminal risk-free rate</t>
        </is>
      </c>
    </row>
    <row r="90" ht="30" customHeight="1">
      <c r="A90" s="9" t="inlineStr">
        <is>
          <t>Sustainable return on equity — book lens</t>
        </is>
      </c>
      <c r="B90" s="14" t="n">
        <v>0.28</v>
      </c>
      <c r="C90" s="9" t="inlineStr">
        <is>
          <t>House</t>
        </is>
      </c>
      <c r="D90" s="9" t="inlineStr">
        <is>
          <t>2026-08-06</t>
        </is>
      </c>
      <c r="E90"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91" ht="40" customHeight="1">
      <c r="A91" s="9" t="inlineStr">
        <is>
          <t>Justified price/earnings — normalised lens</t>
        </is>
      </c>
      <c r="B91" s="11" t="n">
        <v>7.5</v>
      </c>
      <c r="C91" s="9" t="inlineStr">
        <is>
          <t>House</t>
        </is>
      </c>
      <c r="D91" s="9" t="inlineStr">
        <is>
          <t>2026-08-06</t>
        </is>
      </c>
      <c r="E91"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92" ht="80" customHeight="1">
      <c r="A92" s="9" t="inlineStr">
        <is>
          <t>Re-rating on own trailing EV/EBITDA — relative lens</t>
        </is>
      </c>
      <c r="B92" s="14" t="n">
        <v>0</v>
      </c>
      <c r="C92" s="9" t="inlineStr">
        <is>
          <t>House</t>
        </is>
      </c>
      <c r="D92" s="9" t="inlineStr">
        <is>
          <t>2026-08-06</t>
        </is>
      </c>
      <c r="E92"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93" ht="90" customHeight="1">
      <c r="A93" s="9" t="inlineStr">
        <is>
          <t>Processing intensity — Base and special oils</t>
        </is>
      </c>
      <c r="B93" s="15" t="n">
        <v>1</v>
      </c>
      <c r="C93" s="9" t="inlineStr">
        <is>
          <t>House</t>
        </is>
      </c>
      <c r="D93" s="9" t="inlineStr">
        <is>
          <t>2026-08-06</t>
        </is>
      </c>
      <c r="E93"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4" ht="90" customHeight="1">
      <c r="A94" s="9" t="inlineStr">
        <is>
          <t>Processing intensity — Paraffin wax</t>
        </is>
      </c>
      <c r="B94" s="15" t="n">
        <v>1.15</v>
      </c>
      <c r="C94" s="9" t="inlineStr">
        <is>
          <t>House</t>
        </is>
      </c>
      <c r="D94" s="9" t="inlineStr">
        <is>
          <t>2026-08-06</t>
        </is>
      </c>
      <c r="E9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5" ht="90" customHeight="1">
      <c r="A95" s="9" t="inlineStr">
        <is>
          <t>Processing intensity — Gas oil</t>
        </is>
      </c>
      <c r="B95" s="15" t="n">
        <v>0.25</v>
      </c>
      <c r="C95" s="9" t="inlineStr">
        <is>
          <t>House</t>
        </is>
      </c>
      <c r="D95" s="9" t="inlineStr">
        <is>
          <t>2026-08-06</t>
        </is>
      </c>
      <c r="E9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6" ht="90" customHeight="1">
      <c r="A96" s="9" t="inlineStr">
        <is>
          <t>Processing intensity — Naphtha</t>
        </is>
      </c>
      <c r="B96" s="15" t="n">
        <v>0.2</v>
      </c>
      <c r="C96" s="9" t="inlineStr">
        <is>
          <t>House</t>
        </is>
      </c>
      <c r="D96" s="9" t="inlineStr">
        <is>
          <t>2026-08-06</t>
        </is>
      </c>
      <c r="E9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7" ht="90" customHeight="1">
      <c r="A97" s="9" t="inlineStr">
        <is>
          <t>Processing intensity — Liquefied petroleum gas</t>
        </is>
      </c>
      <c r="B97" s="15" t="n">
        <v>0.15</v>
      </c>
      <c r="C97" s="9" t="inlineStr">
        <is>
          <t>House</t>
        </is>
      </c>
      <c r="D97" s="9" t="inlineStr">
        <is>
          <t>2026-08-06</t>
        </is>
      </c>
      <c r="E9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8" ht="90" customHeight="1">
      <c r="A98" s="9" t="inlineStr">
        <is>
          <t>Processing intensity — Fuel oil (mix)</t>
        </is>
      </c>
      <c r="B98" s="15" t="n">
        <v>0.05</v>
      </c>
      <c r="C98" s="9" t="inlineStr">
        <is>
          <t>House</t>
        </is>
      </c>
      <c r="D98" s="9" t="inlineStr">
        <is>
          <t>2026-08-06</t>
        </is>
      </c>
      <c r="E9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99" ht="90" customHeight="1">
      <c r="A99" s="9" t="inlineStr">
        <is>
          <t>Processing intensity — Heavy fuel oil</t>
        </is>
      </c>
      <c r="B99" s="15" t="n">
        <v>0.05</v>
      </c>
      <c r="C99" s="9" t="inlineStr">
        <is>
          <t>House</t>
        </is>
      </c>
      <c r="D99" s="9" t="inlineStr">
        <is>
          <t>2026-08-06</t>
        </is>
      </c>
      <c r="E9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00" ht="90" customHeight="1">
      <c r="A100" s="9" t="inlineStr">
        <is>
          <t>Processing intensity — Waste</t>
        </is>
      </c>
      <c r="B100" s="15" t="n">
        <v>0</v>
      </c>
      <c r="C100" s="9" t="inlineStr">
        <is>
          <t>House</t>
        </is>
      </c>
      <c r="D100" s="9" t="inlineStr">
        <is>
          <t>2026-08-06</t>
        </is>
      </c>
      <c r="E10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01" ht="40" customHeight="1">
      <c r="A101" s="9" t="inlineStr">
        <is>
          <t>Realisation growth, 2026E</t>
        </is>
      </c>
      <c r="B101" s="14" t="n">
        <v>0.09</v>
      </c>
      <c r="C101" s="9" t="inlineStr">
        <is>
          <t>House</t>
        </is>
      </c>
      <c r="D101" s="9" t="inlineStr">
        <is>
          <t>2026-08-06</t>
        </is>
      </c>
      <c r="E101"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2" ht="40" customHeight="1">
      <c r="A102" s="9" t="inlineStr">
        <is>
          <t>Realisation growth, 2027E</t>
        </is>
      </c>
      <c r="B102" s="14" t="n">
        <v>0.075</v>
      </c>
      <c r="C102" s="9" t="inlineStr">
        <is>
          <t>House</t>
        </is>
      </c>
      <c r="D102" s="9" t="inlineStr">
        <is>
          <t>2026-08-06</t>
        </is>
      </c>
      <c r="E102"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3" ht="40" customHeight="1">
      <c r="A103" s="9" t="inlineStr">
        <is>
          <t>Realisation growth, 2028E</t>
        </is>
      </c>
      <c r="B103" s="14" t="n">
        <v>0.065</v>
      </c>
      <c r="C103" s="9" t="inlineStr">
        <is>
          <t>House</t>
        </is>
      </c>
      <c r="D103" s="9" t="inlineStr">
        <is>
          <t>2026-08-06</t>
        </is>
      </c>
      <c r="E103"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4" ht="40" customHeight="1">
      <c r="A104" s="9" t="inlineStr">
        <is>
          <t>Realisation growth, 2029E</t>
        </is>
      </c>
      <c r="B104" s="14" t="n">
        <v>0.058</v>
      </c>
      <c r="C104" s="9" t="inlineStr">
        <is>
          <t>House</t>
        </is>
      </c>
      <c r="D104" s="9" t="inlineStr">
        <is>
          <t>2026-08-06</t>
        </is>
      </c>
      <c r="E104"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5" ht="40" customHeight="1">
      <c r="A105" s="9" t="inlineStr">
        <is>
          <t>Realisation growth, 2030E</t>
        </is>
      </c>
      <c r="B105" s="14" t="n">
        <v>0.052</v>
      </c>
      <c r="C105" s="9" t="inlineStr">
        <is>
          <t>House</t>
        </is>
      </c>
      <c r="D105" s="9" t="inlineStr">
        <is>
          <t>2026-08-06</t>
        </is>
      </c>
      <c r="E105" s="4" t="inlineStr">
        <is>
          <t>Growth in the realised price per tonne, all lines, in EGP. The realisation ITSELF is disclosed — note 14-A value divided by note 14-A tonnes — so only its growth is forecast. Struck below the assumed exchange-rate path on the view that a pass-through processor recovers currency in price with a lag. The second and last free operating parameter</t>
        </is>
      </c>
    </row>
    <row r="106" ht="50" customHeight="1">
      <c r="A106" s="9" t="inlineStr">
        <is>
          <t>Volume growth — Base and special oils, 2026E</t>
        </is>
      </c>
      <c r="B106" s="14" t="n">
        <v>0.045</v>
      </c>
      <c r="C106" s="9" t="inlineStr">
        <is>
          <t>House</t>
        </is>
      </c>
      <c r="D106" s="9" t="inlineStr">
        <is>
          <t>2026-08-06</t>
        </is>
      </c>
      <c r="E106"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07" ht="50" customHeight="1">
      <c r="A107" s="9" t="inlineStr">
        <is>
          <t>Volume growth — Base and special oils, 2027E</t>
        </is>
      </c>
      <c r="B107" s="14" t="n">
        <v>0.04</v>
      </c>
      <c r="C107" s="9" t="inlineStr">
        <is>
          <t>House</t>
        </is>
      </c>
      <c r="D107" s="9" t="inlineStr">
        <is>
          <t>2026-08-06</t>
        </is>
      </c>
      <c r="E107"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08" ht="50" customHeight="1">
      <c r="A108" s="9" t="inlineStr">
        <is>
          <t>Volume growth — Base and special oils, 2028E</t>
        </is>
      </c>
      <c r="B108" s="14" t="n">
        <v>0.035</v>
      </c>
      <c r="C108" s="9" t="inlineStr">
        <is>
          <t>House</t>
        </is>
      </c>
      <c r="D108" s="9" t="inlineStr">
        <is>
          <t>2026-08-06</t>
        </is>
      </c>
      <c r="E108"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09" ht="50" customHeight="1">
      <c r="A109" s="9" t="inlineStr">
        <is>
          <t>Volume growth — Base and special oils, 2029E</t>
        </is>
      </c>
      <c r="B109" s="14" t="n">
        <v>0.03</v>
      </c>
      <c r="C109" s="9" t="inlineStr">
        <is>
          <t>House</t>
        </is>
      </c>
      <c r="D109" s="9" t="inlineStr">
        <is>
          <t>2026-08-06</t>
        </is>
      </c>
      <c r="E109"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0" ht="50" customHeight="1">
      <c r="A110" s="9" t="inlineStr">
        <is>
          <t>Volume growth — Base and special oils, 2030E</t>
        </is>
      </c>
      <c r="B110" s="14" t="n">
        <v>0.028</v>
      </c>
      <c r="C110" s="9" t="inlineStr">
        <is>
          <t>House</t>
        </is>
      </c>
      <c r="D110" s="9" t="inlineStr">
        <is>
          <t>2026-08-06</t>
        </is>
      </c>
      <c r="E110"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1" ht="50" customHeight="1">
      <c r="A111" s="9" t="inlineStr">
        <is>
          <t>Volume growth — Paraffin wax, 2026E</t>
        </is>
      </c>
      <c r="B111" s="14" t="n">
        <v>0.07000000000000001</v>
      </c>
      <c r="C111" s="9" t="inlineStr">
        <is>
          <t>House</t>
        </is>
      </c>
      <c r="D111" s="9" t="inlineStr">
        <is>
          <t>2026-08-06</t>
        </is>
      </c>
      <c r="E111"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2" ht="50" customHeight="1">
      <c r="A112" s="9" t="inlineStr">
        <is>
          <t>Volume growth — Paraffin wax, 2027E</t>
        </is>
      </c>
      <c r="B112" s="14" t="n">
        <v>0.055</v>
      </c>
      <c r="C112" s="9" t="inlineStr">
        <is>
          <t>House</t>
        </is>
      </c>
      <c r="D112" s="9" t="inlineStr">
        <is>
          <t>2026-08-06</t>
        </is>
      </c>
      <c r="E112"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3" ht="50" customHeight="1">
      <c r="A113" s="9" t="inlineStr">
        <is>
          <t>Volume growth — Paraffin wax, 2028E</t>
        </is>
      </c>
      <c r="B113" s="14" t="n">
        <v>0.045</v>
      </c>
      <c r="C113" s="9" t="inlineStr">
        <is>
          <t>House</t>
        </is>
      </c>
      <c r="D113" s="9" t="inlineStr">
        <is>
          <t>2026-08-06</t>
        </is>
      </c>
      <c r="E113"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4" ht="50" customHeight="1">
      <c r="A114" s="9" t="inlineStr">
        <is>
          <t>Volume growth — Paraffin wax, 2029E</t>
        </is>
      </c>
      <c r="B114" s="14" t="n">
        <v>0.038</v>
      </c>
      <c r="C114" s="9" t="inlineStr">
        <is>
          <t>House</t>
        </is>
      </c>
      <c r="D114" s="9" t="inlineStr">
        <is>
          <t>2026-08-06</t>
        </is>
      </c>
      <c r="E114"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5" ht="50" customHeight="1">
      <c r="A115" s="9" t="inlineStr">
        <is>
          <t>Volume growth — Paraffin wax, 2030E</t>
        </is>
      </c>
      <c r="B115" s="14" t="n">
        <v>0.032</v>
      </c>
      <c r="C115" s="9" t="inlineStr">
        <is>
          <t>House</t>
        </is>
      </c>
      <c r="D115" s="9" t="inlineStr">
        <is>
          <t>2026-08-06</t>
        </is>
      </c>
      <c r="E115"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6" ht="50" customHeight="1">
      <c r="A116" s="9" t="inlineStr">
        <is>
          <t>Volume growth — Gas oil, 2026E</t>
        </is>
      </c>
      <c r="B116" s="14" t="n">
        <v>0.02</v>
      </c>
      <c r="C116" s="9" t="inlineStr">
        <is>
          <t>House</t>
        </is>
      </c>
      <c r="D116" s="9" t="inlineStr">
        <is>
          <t>2026-08-06</t>
        </is>
      </c>
      <c r="E116"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7" ht="50" customHeight="1">
      <c r="A117" s="9" t="inlineStr">
        <is>
          <t>Volume growth — Gas oil, 2027E</t>
        </is>
      </c>
      <c r="B117" s="14" t="n">
        <v>0.02</v>
      </c>
      <c r="C117" s="9" t="inlineStr">
        <is>
          <t>House</t>
        </is>
      </c>
      <c r="D117" s="9" t="inlineStr">
        <is>
          <t>2026-08-06</t>
        </is>
      </c>
      <c r="E117"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8" ht="50" customHeight="1">
      <c r="A118" s="9" t="inlineStr">
        <is>
          <t>Volume growth — Gas oil, 2028E</t>
        </is>
      </c>
      <c r="B118" s="14" t="n">
        <v>0.018</v>
      </c>
      <c r="C118" s="9" t="inlineStr">
        <is>
          <t>House</t>
        </is>
      </c>
      <c r="D118" s="9" t="inlineStr">
        <is>
          <t>2026-08-06</t>
        </is>
      </c>
      <c r="E118"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19" ht="50" customHeight="1">
      <c r="A119" s="9" t="inlineStr">
        <is>
          <t>Volume growth — Gas oil, 2029E</t>
        </is>
      </c>
      <c r="B119" s="14" t="n">
        <v>0.016</v>
      </c>
      <c r="C119" s="9" t="inlineStr">
        <is>
          <t>House</t>
        </is>
      </c>
      <c r="D119" s="9" t="inlineStr">
        <is>
          <t>2026-08-06</t>
        </is>
      </c>
      <c r="E119"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0" ht="50" customHeight="1">
      <c r="A120" s="9" t="inlineStr">
        <is>
          <t>Volume growth — Gas oil, 2030E</t>
        </is>
      </c>
      <c r="B120" s="14" t="n">
        <v>0.015</v>
      </c>
      <c r="C120" s="9" t="inlineStr">
        <is>
          <t>House</t>
        </is>
      </c>
      <c r="D120" s="9" t="inlineStr">
        <is>
          <t>2026-08-06</t>
        </is>
      </c>
      <c r="E120"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1" ht="50" customHeight="1">
      <c r="A121" s="9" t="inlineStr">
        <is>
          <t>Volume growth — Naphtha, 2026E</t>
        </is>
      </c>
      <c r="B121" s="14" t="n">
        <v>0.015</v>
      </c>
      <c r="C121" s="9" t="inlineStr">
        <is>
          <t>House</t>
        </is>
      </c>
      <c r="D121" s="9" t="inlineStr">
        <is>
          <t>2026-08-06</t>
        </is>
      </c>
      <c r="E121"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2" ht="50" customHeight="1">
      <c r="A122" s="9" t="inlineStr">
        <is>
          <t>Volume growth — Naphtha, 2027E</t>
        </is>
      </c>
      <c r="B122" s="14" t="n">
        <v>0.018</v>
      </c>
      <c r="C122" s="9" t="inlineStr">
        <is>
          <t>House</t>
        </is>
      </c>
      <c r="D122" s="9" t="inlineStr">
        <is>
          <t>2026-08-06</t>
        </is>
      </c>
      <c r="E122"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3" ht="50" customHeight="1">
      <c r="A123" s="9" t="inlineStr">
        <is>
          <t>Volume growth — Naphtha, 2028E</t>
        </is>
      </c>
      <c r="B123" s="14" t="n">
        <v>0.018</v>
      </c>
      <c r="C123" s="9" t="inlineStr">
        <is>
          <t>House</t>
        </is>
      </c>
      <c r="D123" s="9" t="inlineStr">
        <is>
          <t>2026-08-06</t>
        </is>
      </c>
      <c r="E123"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4" ht="50" customHeight="1">
      <c r="A124" s="9" t="inlineStr">
        <is>
          <t>Volume growth — Naphtha, 2029E</t>
        </is>
      </c>
      <c r="B124" s="14" t="n">
        <v>0.016</v>
      </c>
      <c r="C124" s="9" t="inlineStr">
        <is>
          <t>House</t>
        </is>
      </c>
      <c r="D124" s="9" t="inlineStr">
        <is>
          <t>2026-08-06</t>
        </is>
      </c>
      <c r="E124"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5" ht="50" customHeight="1">
      <c r="A125" s="9" t="inlineStr">
        <is>
          <t>Volume growth — Naphtha, 2030E</t>
        </is>
      </c>
      <c r="B125" s="14" t="n">
        <v>0.015</v>
      </c>
      <c r="C125" s="9" t="inlineStr">
        <is>
          <t>House</t>
        </is>
      </c>
      <c r="D125" s="9" t="inlineStr">
        <is>
          <t>2026-08-06</t>
        </is>
      </c>
      <c r="E125"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6" ht="50" customHeight="1">
      <c r="A126" s="9" t="inlineStr">
        <is>
          <t>Volume growth — Liquefied petroleum gas, 2026E</t>
        </is>
      </c>
      <c r="B126" s="14" t="n">
        <v>0.025</v>
      </c>
      <c r="C126" s="9" t="inlineStr">
        <is>
          <t>House</t>
        </is>
      </c>
      <c r="D126" s="9" t="inlineStr">
        <is>
          <t>2026-08-06</t>
        </is>
      </c>
      <c r="E126"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7" ht="50" customHeight="1">
      <c r="A127" s="9" t="inlineStr">
        <is>
          <t>Volume growth — Liquefied petroleum gas, 2027E</t>
        </is>
      </c>
      <c r="B127" s="14" t="n">
        <v>0.022</v>
      </c>
      <c r="C127" s="9" t="inlineStr">
        <is>
          <t>House</t>
        </is>
      </c>
      <c r="D127" s="9" t="inlineStr">
        <is>
          <t>2026-08-06</t>
        </is>
      </c>
      <c r="E127"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8" ht="50" customHeight="1">
      <c r="A128" s="9" t="inlineStr">
        <is>
          <t>Volume growth — Liquefied petroleum gas, 2028E</t>
        </is>
      </c>
      <c r="B128" s="14" t="n">
        <v>0.02</v>
      </c>
      <c r="C128" s="9" t="inlineStr">
        <is>
          <t>House</t>
        </is>
      </c>
      <c r="D128" s="9" t="inlineStr">
        <is>
          <t>2026-08-06</t>
        </is>
      </c>
      <c r="E128"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29" ht="50" customHeight="1">
      <c r="A129" s="9" t="inlineStr">
        <is>
          <t>Volume growth — Liquefied petroleum gas, 2029E</t>
        </is>
      </c>
      <c r="B129" s="14" t="n">
        <v>0.018</v>
      </c>
      <c r="C129" s="9" t="inlineStr">
        <is>
          <t>House</t>
        </is>
      </c>
      <c r="D129" s="9" t="inlineStr">
        <is>
          <t>2026-08-06</t>
        </is>
      </c>
      <c r="E129"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0" ht="50" customHeight="1">
      <c r="A130" s="9" t="inlineStr">
        <is>
          <t>Volume growth — Liquefied petroleum gas, 2030E</t>
        </is>
      </c>
      <c r="B130" s="14" t="n">
        <v>0.016</v>
      </c>
      <c r="C130" s="9" t="inlineStr">
        <is>
          <t>House</t>
        </is>
      </c>
      <c r="D130" s="9" t="inlineStr">
        <is>
          <t>2026-08-06</t>
        </is>
      </c>
      <c r="E130"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1" ht="50" customHeight="1">
      <c r="A131" s="9" t="inlineStr">
        <is>
          <t>Volume growth — Fuel oil (mix), 2026E</t>
        </is>
      </c>
      <c r="B131" s="14" t="n">
        <v>0.03</v>
      </c>
      <c r="C131" s="9" t="inlineStr">
        <is>
          <t>House</t>
        </is>
      </c>
      <c r="D131" s="9" t="inlineStr">
        <is>
          <t>2026-08-06</t>
        </is>
      </c>
      <c r="E131"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2" ht="50" customHeight="1">
      <c r="A132" s="9" t="inlineStr">
        <is>
          <t>Volume growth — Fuel oil (mix), 2027E</t>
        </is>
      </c>
      <c r="B132" s="14" t="n">
        <v>0.026</v>
      </c>
      <c r="C132" s="9" t="inlineStr">
        <is>
          <t>House</t>
        </is>
      </c>
      <c r="D132" s="9" t="inlineStr">
        <is>
          <t>2026-08-06</t>
        </is>
      </c>
      <c r="E132"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3" ht="50" customHeight="1">
      <c r="A133" s="9" t="inlineStr">
        <is>
          <t>Volume growth — Fuel oil (mix), 2028E</t>
        </is>
      </c>
      <c r="B133" s="14" t="n">
        <v>0.022</v>
      </c>
      <c r="C133" s="9" t="inlineStr">
        <is>
          <t>House</t>
        </is>
      </c>
      <c r="D133" s="9" t="inlineStr">
        <is>
          <t>2026-08-06</t>
        </is>
      </c>
      <c r="E133"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4" ht="50" customHeight="1">
      <c r="A134" s="9" t="inlineStr">
        <is>
          <t>Volume growth — Fuel oil (mix), 2029E</t>
        </is>
      </c>
      <c r="B134" s="14" t="n">
        <v>0.02</v>
      </c>
      <c r="C134" s="9" t="inlineStr">
        <is>
          <t>House</t>
        </is>
      </c>
      <c r="D134" s="9" t="inlineStr">
        <is>
          <t>2026-08-06</t>
        </is>
      </c>
      <c r="E134"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5" ht="50" customHeight="1">
      <c r="A135" s="9" t="inlineStr">
        <is>
          <t>Volume growth — Fuel oil (mix), 2030E</t>
        </is>
      </c>
      <c r="B135" s="14" t="n">
        <v>0.018</v>
      </c>
      <c r="C135" s="9" t="inlineStr">
        <is>
          <t>House</t>
        </is>
      </c>
      <c r="D135" s="9" t="inlineStr">
        <is>
          <t>2026-08-06</t>
        </is>
      </c>
      <c r="E135"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6" ht="50" customHeight="1">
      <c r="A136" s="9" t="inlineStr">
        <is>
          <t>Volume growth — Heavy fuel oil, 2026E</t>
        </is>
      </c>
      <c r="B136" s="14" t="n">
        <v>0.02</v>
      </c>
      <c r="C136" s="9" t="inlineStr">
        <is>
          <t>House</t>
        </is>
      </c>
      <c r="D136" s="9" t="inlineStr">
        <is>
          <t>2026-08-06</t>
        </is>
      </c>
      <c r="E136"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7" ht="50" customHeight="1">
      <c r="A137" s="9" t="inlineStr">
        <is>
          <t>Volume growth — Heavy fuel oil, 2027E</t>
        </is>
      </c>
      <c r="B137" s="14" t="n">
        <v>0.018</v>
      </c>
      <c r="C137" s="9" t="inlineStr">
        <is>
          <t>House</t>
        </is>
      </c>
      <c r="D137" s="9" t="inlineStr">
        <is>
          <t>2026-08-06</t>
        </is>
      </c>
      <c r="E137"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8" ht="50" customHeight="1">
      <c r="A138" s="9" t="inlineStr">
        <is>
          <t>Volume growth — Heavy fuel oil, 2028E</t>
        </is>
      </c>
      <c r="B138" s="14" t="n">
        <v>0.016</v>
      </c>
      <c r="C138" s="9" t="inlineStr">
        <is>
          <t>House</t>
        </is>
      </c>
      <c r="D138" s="9" t="inlineStr">
        <is>
          <t>2026-08-06</t>
        </is>
      </c>
      <c r="E138"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39" ht="50" customHeight="1">
      <c r="A139" s="9" t="inlineStr">
        <is>
          <t>Volume growth — Heavy fuel oil, 2029E</t>
        </is>
      </c>
      <c r="B139" s="14" t="n">
        <v>0.015</v>
      </c>
      <c r="C139" s="9" t="inlineStr">
        <is>
          <t>House</t>
        </is>
      </c>
      <c r="D139" s="9" t="inlineStr">
        <is>
          <t>2026-08-06</t>
        </is>
      </c>
      <c r="E139"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0" ht="50" customHeight="1">
      <c r="A140" s="9" t="inlineStr">
        <is>
          <t>Volume growth — Heavy fuel oil, 2030E</t>
        </is>
      </c>
      <c r="B140" s="14" t="n">
        <v>0.014</v>
      </c>
      <c r="C140" s="9" t="inlineStr">
        <is>
          <t>House</t>
        </is>
      </c>
      <c r="D140" s="9" t="inlineStr">
        <is>
          <t>2026-08-06</t>
        </is>
      </c>
      <c r="E140"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1" ht="50" customHeight="1">
      <c r="A141" s="9" t="inlineStr">
        <is>
          <t>Volume growth — Waste, 2026E</t>
        </is>
      </c>
      <c r="B141" s="14" t="n">
        <v>0</v>
      </c>
      <c r="C141" s="9" t="inlineStr">
        <is>
          <t>House</t>
        </is>
      </c>
      <c r="D141" s="9" t="inlineStr">
        <is>
          <t>2026-08-06</t>
        </is>
      </c>
      <c r="E141"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2" ht="50" customHeight="1">
      <c r="A142" s="9" t="inlineStr">
        <is>
          <t>Volume growth — Waste, 2027E</t>
        </is>
      </c>
      <c r="B142" s="14" t="n">
        <v>0</v>
      </c>
      <c r="C142" s="9" t="inlineStr">
        <is>
          <t>House</t>
        </is>
      </c>
      <c r="D142" s="9" t="inlineStr">
        <is>
          <t>2026-08-06</t>
        </is>
      </c>
      <c r="E142"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3" ht="50" customHeight="1">
      <c r="A143" s="9" t="inlineStr">
        <is>
          <t>Volume growth — Waste, 2028E</t>
        </is>
      </c>
      <c r="B143" s="14" t="n">
        <v>0</v>
      </c>
      <c r="C143" s="9" t="inlineStr">
        <is>
          <t>House</t>
        </is>
      </c>
      <c r="D143" s="9" t="inlineStr">
        <is>
          <t>2026-08-06</t>
        </is>
      </c>
      <c r="E143"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4" ht="50" customHeight="1">
      <c r="A144" s="9" t="inlineStr">
        <is>
          <t>Volume growth — Waste, 2029E</t>
        </is>
      </c>
      <c r="B144" s="14" t="n">
        <v>0</v>
      </c>
      <c r="C144" s="9" t="inlineStr">
        <is>
          <t>House</t>
        </is>
      </c>
      <c r="D144" s="9" t="inlineStr">
        <is>
          <t>2026-08-06</t>
        </is>
      </c>
      <c r="E144"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5" ht="50" customHeight="1">
      <c r="A145" s="9" t="inlineStr">
        <is>
          <t>Volume growth — Waste, 2030E</t>
        </is>
      </c>
      <c r="B145" s="14" t="n">
        <v>0</v>
      </c>
      <c r="C145" s="9" t="inlineStr">
        <is>
          <t>House</t>
        </is>
      </c>
      <c r="D145" s="9" t="inlineStr">
        <is>
          <t>2026-08-06</t>
        </is>
      </c>
      <c r="E145" s="4" t="inlineStr">
        <is>
          <t>Volume growth by AUDITED product line. The RANKING is taken from the line-level value growth actually printed between the two disclosed halves — wax +21.3%, fuel oil +29.1%, LPG +18.7%, while gas oil (-1.9%) and naphtha (-7.3%) FELL — rather than from a view about the business. Levels are struck well below those half-on-half rates because a single half is not a trend. This is one of only two free operating parameters left and it is sensitised end to end</t>
        </is>
      </c>
    </row>
    <row r="146" ht="30" customHeight="1">
      <c r="A146" s="9" t="inlineStr">
        <is>
          <t>Egyptian inflation factor, 2026E</t>
        </is>
      </c>
      <c r="B146" s="13" t="n">
        <v>1.145</v>
      </c>
      <c r="C146" s="9" t="inlineStr">
        <is>
          <t>Country</t>
        </is>
      </c>
      <c r="D146" s="9" t="inlineStr">
        <is>
          <t>2026-08-06</t>
        </is>
      </c>
      <c r="E146"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7" ht="30" customHeight="1">
      <c r="A147" s="9" t="inlineStr">
        <is>
          <t>Egyptian inflation factor, 2027E</t>
        </is>
      </c>
      <c r="B147" s="13" t="n">
        <v>1.13</v>
      </c>
      <c r="C147" s="9" t="inlineStr">
        <is>
          <t>Country</t>
        </is>
      </c>
      <c r="D147" s="9" t="inlineStr">
        <is>
          <t>2026-08-06</t>
        </is>
      </c>
      <c r="E147"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8" ht="30" customHeight="1">
      <c r="A148" s="9" t="inlineStr">
        <is>
          <t>Egyptian inflation factor, 2028E</t>
        </is>
      </c>
      <c r="B148" s="13" t="n">
        <v>1.115</v>
      </c>
      <c r="C148" s="9" t="inlineStr">
        <is>
          <t>Country</t>
        </is>
      </c>
      <c r="D148" s="9" t="inlineStr">
        <is>
          <t>2026-08-06</t>
        </is>
      </c>
      <c r="E148"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49" ht="30" customHeight="1">
      <c r="A149" s="9" t="inlineStr">
        <is>
          <t>Egyptian inflation factor, 2029E</t>
        </is>
      </c>
      <c r="B149" s="13" t="n">
        <v>1.1</v>
      </c>
      <c r="C149" s="9" t="inlineStr">
        <is>
          <t>Country</t>
        </is>
      </c>
      <c r="D149" s="9" t="inlineStr">
        <is>
          <t>2026-08-06</t>
        </is>
      </c>
      <c r="E149"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50" ht="30" customHeight="1">
      <c r="A150" s="9" t="inlineStr">
        <is>
          <t>Egyptian inflation factor, 2030E</t>
        </is>
      </c>
      <c r="B150" s="13" t="n">
        <v>1.095</v>
      </c>
      <c r="C150" s="9" t="inlineStr">
        <is>
          <t>Country</t>
        </is>
      </c>
      <c r="D150" s="9" t="inlineStr">
        <is>
          <t>2026-08-06</t>
        </is>
      </c>
      <c r="E150"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51">
      <c r="A151" s="7" t="inlineStr">
        <is>
          <t>COST OF CAPITAL</t>
        </is>
      </c>
      <c r="B151" s="8" t="n"/>
      <c r="C151" s="8" t="n"/>
      <c r="D151" s="8" t="n"/>
      <c r="E151" s="8" t="n"/>
      <c r="F151" s="8" t="n"/>
    </row>
    <row r="152" ht="20" customHeight="1">
      <c r="A152" s="9" t="inlineStr">
        <is>
          <t>Risk-free rate, Egypt 10-year local currency</t>
        </is>
      </c>
      <c r="B152" s="14" t="n">
        <v>0.2231</v>
      </c>
      <c r="C152" s="9" t="inlineStr">
        <is>
          <t>Country</t>
        </is>
      </c>
      <c r="D152" s="9" t="inlineStr">
        <is>
          <t>2026-07-21</t>
        </is>
      </c>
      <c r="E152" s="4" t="inlineStr">
        <is>
          <t>Egypt 10-year local-currency government bond yield, 22.31% (house cost-of-capital reference, cached 21-Jul-2026 print, re-verified 06-Aug-2026)</t>
        </is>
      </c>
    </row>
    <row r="153" ht="30" customHeight="1">
      <c r="A153" s="9" t="inlineStr">
        <is>
          <t>Sovereign default spread, CDS basis</t>
        </is>
      </c>
      <c r="B153" s="14" t="n">
        <v>0.034</v>
      </c>
      <c r="C153" s="9" t="inlineStr">
        <is>
          <t>Country</t>
        </is>
      </c>
      <c r="D153" s="9" t="inlineStr">
        <is>
          <t>2026-01-05</t>
        </is>
      </c>
      <c r="E153" s="4" t="inlineStr">
        <is>
          <t>Egypt credit-default-swap-implied sovereign default spread, Damodaran January-2026 country-premium file, CDS column. Netted out of the local-currency risk-free rate so sovereign default risk is not charged twice</t>
        </is>
      </c>
    </row>
    <row r="154" ht="20" customHeight="1">
      <c r="A154" s="9" t="inlineStr">
        <is>
          <t>Equity risk premium, CDS basis</t>
        </is>
      </c>
      <c r="B154" s="14" t="n">
        <v>0.0941</v>
      </c>
      <c r="C154" s="9" t="inlineStr">
        <is>
          <t>Country</t>
        </is>
      </c>
      <c r="D154" s="9" t="inlineStr">
        <is>
          <t>2026-01-05</t>
        </is>
      </c>
      <c r="E154" s="4" t="inlineStr">
        <is>
          <t>Damodaran original country-premium file, Egypt row, CDS column, last updated 5 January 2026 — total equity risk premium</t>
        </is>
      </c>
    </row>
    <row r="155" ht="40" customHeight="1">
      <c r="A155" s="9" t="inlineStr">
        <is>
          <t>Beta</t>
        </is>
      </c>
      <c r="B155" s="13" t="n">
        <v>0.9405</v>
      </c>
      <c r="C155" s="9" t="inlineStr">
        <is>
          <t>House</t>
        </is>
      </c>
      <c r="D155" s="9" t="inlineStr">
        <is>
          <t>2026-08-06</t>
        </is>
      </c>
      <c r="E155" s="4" t="inlineStr">
        <is>
          <t>Own-stock tier-1 regression: AMOC weekly log-returns against a 33-name equal-weight Egyptian Exchange composite built from the full covered library, five-year window. R-squared 0.312, n = 257, standard error 0.087, 90% confidence interval [0.797, 1.084]. Passes the usability gate comfortably and is NOT a weak instrument: the interval spans 0.29x the point estimate, well inside the 2x flag</t>
        </is>
      </c>
    </row>
    <row r="156" ht="20" customHeight="1">
      <c r="A156" s="9" t="inlineStr">
        <is>
          <t>Yield on cash</t>
        </is>
      </c>
      <c r="B156" s="14" t="n">
        <v>0.17</v>
      </c>
      <c r="C156" s="9" t="inlineStr">
        <is>
          <t>House</t>
        </is>
      </c>
      <c r="D156" s="9" t="inlineStr">
        <is>
          <t>2026-08-06</t>
        </is>
      </c>
      <c r="E156" s="4" t="inlineStr">
        <is>
          <t>Yield earned on the cash pile. Egyptian treasury bills and corporate deposits price a few points under the 19.50% policy rate net of the 20% withholding on interest</t>
        </is>
      </c>
    </row>
    <row r="157" ht="40" customHeight="1">
      <c r="A157" s="9" t="inlineStr">
        <is>
          <t>Cost of debt</t>
        </is>
      </c>
      <c r="B157" s="14" t="n">
        <v>0.22</v>
      </c>
      <c r="C157" s="9" t="inlineStr">
        <is>
          <t>House</t>
        </is>
      </c>
      <c r="D157" s="9" t="inlineStr">
        <is>
          <t>2026-08-06</t>
        </is>
      </c>
      <c r="E157" s="4" t="inlineStr">
        <is>
          <t>Marginal cost of debt. The gross book is EGP 25mn — 0.06% of revenue — of short-dated Egyptian-pound facilities, so the rate is taken at the corridor lending rate of 20.00% plus a 200bp corporate spread rather than pretended to be observable. The integrity gate below computes what this input is actually WORTH to the answer</t>
        </is>
      </c>
    </row>
    <row r="158" ht="20" customHeight="1">
      <c r="A158" s="9" t="inlineStr">
        <is>
          <t>CBE inflation target IN FORCE for the terminal horizon</t>
        </is>
      </c>
      <c r="B158" s="14" t="n">
        <v>0.07000000000000001</v>
      </c>
      <c r="C158" s="9" t="inlineStr">
        <is>
          <t>Country</t>
        </is>
      </c>
      <c r="D158" s="9" t="inlineStr">
        <is>
          <t>2026-08-06</t>
        </is>
      </c>
      <c r="E158" s="4" t="inlineStr">
        <is>
          <t>The central bank's own stated inflation target, 7% (+/-2pp) on average for the fourth quarter of 2026, falling to 5% (+/-2pp) for the fourth quarter of 2028</t>
        </is>
      </c>
    </row>
    <row r="159" ht="60" customHeight="1">
      <c r="A159" s="9" t="inlineStr">
        <is>
          <t>Terminal real risk-free rate</t>
        </is>
      </c>
      <c r="B159" s="14" t="n">
        <v>0.055</v>
      </c>
      <c r="C159" s="9" t="inlineStr">
        <is>
          <t>House</t>
        </is>
      </c>
      <c r="D159" s="9" t="inlineStr">
        <is>
          <t>2026-08-06</t>
        </is>
      </c>
      <c r="E159" s="4" t="inlineStr">
        <is>
          <t>Terminal real risk-free rate, the standard emerging-market convention. The terminal NOMINAL risk-free rate is not an input: it is DERIVED as this real rate plus the central bank's inflation target IN FORCE for the terminal horizon (`cbe_target`), so the single most terminal-value-sensitive number in the model cannot be set by hand. The previous edition hardcoded 10.50% by adding 5.5pp to the 5% target dated Q4-2028 while describing it as 'the' medium-term target; the target in force is 7% for Q4-2026 and the July-2026 rate decision pushed even that to H2-2027</t>
        </is>
      </c>
    </row>
    <row r="160" ht="20" customHeight="1">
      <c r="A160" s="9" t="inlineStr">
        <is>
          <t>Terminal equity risk premium</t>
        </is>
      </c>
      <c r="B160" s="14" t="n">
        <v>0.07000000000000001</v>
      </c>
      <c r="C160" s="9" t="inlineStr">
        <is>
          <t>House</t>
        </is>
      </c>
      <c r="D160" s="9" t="inlineStr">
        <is>
          <t>2026-08-06</t>
        </is>
      </c>
      <c r="E160" s="4" t="inlineStr">
        <is>
          <t>Terminal equity risk premium, normalised below the currently elevated crisis-era level toward the rating-class norm; never held flat into perpetuity</t>
        </is>
      </c>
    </row>
    <row r="161" ht="20" customHeight="1">
      <c r="A161" s="9" t="inlineStr">
        <is>
          <t>Terminal cost of debt</t>
        </is>
      </c>
      <c r="B161" s="14" t="n">
        <v>0.15</v>
      </c>
      <c r="C161" s="9" t="inlineStr">
        <is>
          <t>House</t>
        </is>
      </c>
      <c r="D161" s="9" t="inlineStr">
        <is>
          <t>2026-08-06</t>
        </is>
      </c>
      <c r="E161" s="4" t="inlineStr">
        <is>
          <t>Terminal cost of debt: the midpoint of the 14-16% long-run Egyptian corporate-borrowing norm, with no name-specific reason to deviate</t>
        </is>
      </c>
    </row>
    <row r="162" ht="30" customHeight="1">
      <c r="A162" s="9" t="inlineStr">
        <is>
          <t>Terminal debt weight</t>
        </is>
      </c>
      <c r="B162" s="14" t="n">
        <v>0.1</v>
      </c>
      <c r="C162" s="9" t="inlineStr">
        <is>
          <t>House</t>
        </is>
      </c>
      <c r="D162" s="9" t="inlineStr">
        <is>
          <t>2026-08-06</t>
        </is>
      </c>
      <c r="E162"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63" ht="30" customHeight="1">
      <c r="A163" s="9" t="inlineStr">
        <is>
          <t>Cost-of-debt path, 2026E</t>
        </is>
      </c>
      <c r="B163" s="14" t="n">
        <v>0.22</v>
      </c>
      <c r="C163" s="9" t="inlineStr">
        <is>
          <t>House</t>
        </is>
      </c>
      <c r="D163" s="9" t="inlineStr">
        <is>
          <t>2026-08-06</t>
        </is>
      </c>
      <c r="E163" s="4" t="inlineStr">
        <is>
          <t>Forward cost-of-debt path 2026E-2030E, following the central bank's own disinflation path toward the long-run Egyptian corporate-borrowing norm. This path is what sets the SHAPE of the cost-of-capital glide; it is not a second free parameter</t>
        </is>
      </c>
    </row>
    <row r="164" ht="30" customHeight="1">
      <c r="A164" s="9" t="inlineStr">
        <is>
          <t>Cost-of-debt path, 2027E</t>
        </is>
      </c>
      <c r="B164" s="14" t="n">
        <v>0.195</v>
      </c>
      <c r="C164" s="9" t="inlineStr">
        <is>
          <t>House</t>
        </is>
      </c>
      <c r="D164" s="9" t="inlineStr">
        <is>
          <t>2026-08-06</t>
        </is>
      </c>
      <c r="E164" s="4" t="inlineStr">
        <is>
          <t>Forward cost-of-debt path 2026E-2030E, following the central bank's own disinflation path toward the long-run Egyptian corporate-borrowing norm. This path is what sets the SHAPE of the cost-of-capital glide; it is not a second free parameter</t>
        </is>
      </c>
    </row>
    <row r="165" ht="30" customHeight="1">
      <c r="A165" s="9" t="inlineStr">
        <is>
          <t>Cost-of-debt path, 2028E</t>
        </is>
      </c>
      <c r="B165" s="14" t="n">
        <v>0.175</v>
      </c>
      <c r="C165" s="9" t="inlineStr">
        <is>
          <t>House</t>
        </is>
      </c>
      <c r="D165" s="9" t="inlineStr">
        <is>
          <t>2026-08-06</t>
        </is>
      </c>
      <c r="E165" s="4" t="inlineStr">
        <is>
          <t>Forward cost-of-debt path 2026E-2030E, following the central bank's own disinflation path toward the long-run Egyptian corporate-borrowing norm. This path is what sets the SHAPE of the cost-of-capital glide; it is not a second free parameter</t>
        </is>
      </c>
    </row>
    <row r="166" ht="30" customHeight="1">
      <c r="A166" s="9" t="inlineStr">
        <is>
          <t>Cost-of-debt path, 2029E</t>
        </is>
      </c>
      <c r="B166" s="14" t="n">
        <v>0.16</v>
      </c>
      <c r="C166" s="9" t="inlineStr">
        <is>
          <t>House</t>
        </is>
      </c>
      <c r="D166" s="9" t="inlineStr">
        <is>
          <t>2026-08-06</t>
        </is>
      </c>
      <c r="E166" s="4" t="inlineStr">
        <is>
          <t>Forward cost-of-debt path 2026E-2030E, following the central bank's own disinflation path toward the long-run Egyptian corporate-borrowing norm. This path is what sets the SHAPE of the cost-of-capital glide; it is not a second free parameter</t>
        </is>
      </c>
    </row>
    <row r="167" ht="30" customHeight="1">
      <c r="A167" s="9" t="inlineStr">
        <is>
          <t>Cost-of-debt path, 2030E</t>
        </is>
      </c>
      <c r="B167" s="14" t="n">
        <v>0.15</v>
      </c>
      <c r="C167" s="9" t="inlineStr">
        <is>
          <t>House</t>
        </is>
      </c>
      <c r="D167" s="9" t="inlineStr">
        <is>
          <t>2026-08-06</t>
        </is>
      </c>
      <c r="E167" s="4" t="inlineStr">
        <is>
          <t>Forward cost-of-debt path 2026E-2030E, following the central bank's own disinflation path toward the long-run Egyptian corporate-borrowing norm. This path is what sets the SHAPE of the cost-of-capital glide; it is not a second free parameter</t>
        </is>
      </c>
    </row>
    <row r="168" ht="30" customHeight="1">
      <c r="A168" s="9" t="inlineStr">
        <is>
          <t>Lens weight — dcf</t>
        </is>
      </c>
      <c r="B168" s="16" t="n">
        <v>0.45</v>
      </c>
      <c r="C168" s="9" t="inlineStr">
        <is>
          <t>House</t>
        </is>
      </c>
      <c r="D168" s="9" t="inlineStr">
        <is>
          <t>2026-08-06</t>
        </is>
      </c>
      <c r="E168"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69" ht="30" customHeight="1">
      <c r="A169" s="9" t="inlineStr">
        <is>
          <t>Lens weight — relative</t>
        </is>
      </c>
      <c r="B169" s="16" t="n">
        <v>0.2</v>
      </c>
      <c r="C169" s="9" t="inlineStr">
        <is>
          <t>House</t>
        </is>
      </c>
      <c r="D169" s="9" t="inlineStr">
        <is>
          <t>2026-08-06</t>
        </is>
      </c>
      <c r="E16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70" ht="30" customHeight="1">
      <c r="A170" s="9" t="inlineStr">
        <is>
          <t>Lens weight — normalized</t>
        </is>
      </c>
      <c r="B170" s="16" t="n">
        <v>0.2</v>
      </c>
      <c r="C170" s="9" t="inlineStr">
        <is>
          <t>House</t>
        </is>
      </c>
      <c r="D170" s="9" t="inlineStr">
        <is>
          <t>2026-08-06</t>
        </is>
      </c>
      <c r="E17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71" ht="30" customHeight="1">
      <c r="A171" s="9" t="inlineStr">
        <is>
          <t>Lens weight — book</t>
        </is>
      </c>
      <c r="B171" s="16" t="n">
        <v>0.15</v>
      </c>
      <c r="C171" s="9" t="inlineStr">
        <is>
          <t>House</t>
        </is>
      </c>
      <c r="D171" s="9" t="inlineStr">
        <is>
          <t>2026-08-06</t>
        </is>
      </c>
      <c r="E17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7" t="inlineStr">
        <is>
          <t>Administrative + selling + other, 3M to 31-Mar-2026</t>
        </is>
      </c>
      <c r="B6" s="18">
        <f>Assumptions!$B$17+Assumptions!$B$18+Assumptions!$B$19</f>
        <v>427863212</v>
      </c>
    </row>
    <row r="7">
      <c r="A7" s="9" t="inlineStr">
        <is>
          <t>Scaled to the half (x2)</t>
        </is>
      </c>
      <c r="B7" s="18">
        <f>B6*2</f>
        <v>855726424</v>
      </c>
    </row>
    <row r="8">
      <c r="A8" s="9" t="inlineStr">
        <is>
          <t>Other revenue, half</t>
        </is>
      </c>
      <c r="B8" s="18">
        <f>Assumptions!$B$20*2</f>
        <v>451113018</v>
      </c>
    </row>
    <row r="9">
      <c r="A9" s="9" t="inlineStr">
        <is>
          <t>Provisions and expected credit losses, half</t>
        </is>
      </c>
      <c r="B9" s="18">
        <f>(Assumptions!$B$21+Assumptions!$B$22)*2</f>
        <v>100646246</v>
      </c>
    </row>
    <row r="10">
      <c r="A10" s="9" t="inlineStr">
        <is>
          <t>Finance cost, half</t>
        </is>
      </c>
      <c r="B10" s="18">
        <f>Assumptions!$B$23*2</f>
        <v>1964438</v>
      </c>
    </row>
    <row r="11">
      <c r="A11" s="9" t="inlineStr">
        <is>
          <t>Effective tax rate, nine months (for the solve only)</t>
        </is>
      </c>
      <c r="B11" s="19">
        <f>(Assumptions!$B$38-Assumptions!$B$39+Assumptions!$B$40-Assumptions!$B$41)/((Assumptions!$B$38-Assumptions!$B$39+Assumptions!$B$40-Assumptions!$B$41)/0.22118761296853667)</f>
        <v>0.221187612969</v>
      </c>
    </row>
    <row r="13">
      <c r="A13" s="17" t="inlineStr">
        <is>
          <t>GROSS PROFIT, 6M to 30-Jun-2026 — SOLVED from the profit</t>
        </is>
      </c>
      <c r="B13" s="20">
        <f>Assumptions!$B$13/(1-B11)+B7-B8+B9+B10</f>
        <v>2950688050.88</v>
      </c>
    </row>
    <row r="14">
      <c r="A14" s="9" t="inlineStr">
        <is>
          <t>Gross profit AS RELEASED — rejected</t>
        </is>
      </c>
      <c r="B14" s="18">
        <f>Assumptions!$B$14</f>
        <v>3258000000</v>
      </c>
    </row>
    <row r="15">
      <c r="A15" s="9" t="inlineStr">
        <is>
          <t>Profit the released gross profit would imply</t>
        </is>
      </c>
      <c r="B15" s="18">
        <f>(B14-B7+B8-B9-B10)*(1-B11)</f>
        <v>2142338352.66</v>
      </c>
    </row>
    <row r="16">
      <c r="A16" s="9" t="inlineStr">
        <is>
          <t>against the profit the same release reports</t>
        </is>
      </c>
      <c r="B16" s="18">
        <f>Assumptions!$B$13</f>
        <v>1903000000</v>
      </c>
    </row>
    <row r="17">
      <c r="A17" s="17" t="inlineStr">
        <is>
          <t>Overstatement in the released gross-profit line</t>
        </is>
      </c>
      <c r="B17" s="21">
        <f>B15/B16-1</f>
        <v>0.125768971443</v>
      </c>
    </row>
    <row r="19">
      <c r="A19" s="17" t="inlineStr">
        <is>
          <t>BASE-YEAR REVENUE — twelve months to 30-Jun-2026</t>
        </is>
      </c>
      <c r="B19" s="20">
        <f>(Assumptions!$B$10+Assumptions!$B$12)/10^6</f>
        <v>46958.725812</v>
      </c>
    </row>
    <row r="20">
      <c r="A20" s="17" t="inlineStr">
        <is>
          <t>BASE-YEAR GROSS PROFIT</t>
        </is>
      </c>
      <c r="B20" s="20">
        <f>(Assumptions!$B$10-Assumptions!$B$11+B13)/10^6</f>
        <v>4224.86311688</v>
      </c>
    </row>
    <row r="21">
      <c r="A21" s="17" t="inlineStr">
        <is>
          <t>BASE-YEAR COST OF SALES</t>
        </is>
      </c>
      <c r="B21" s="20">
        <f>B19-B20</f>
        <v>42733.8626951</v>
      </c>
    </row>
    <row r="22">
      <c r="A22" s="17" t="inlineStr">
        <is>
          <t>BASE-YEAR GROSS MARGIN</t>
        </is>
      </c>
      <c r="B22" s="21">
        <f>B20/B19</f>
        <v>0.089969713697</v>
      </c>
    </row>
    <row r="24">
      <c r="A24" s="9" t="inlineStr">
        <is>
          <t>Alternative base: nine audited months x 4/3</t>
        </is>
      </c>
      <c r="B24" s="18">
        <f>(Assumptions!$B$10+Assumptions!$B$15)/10^6*4/3</f>
        <v>41662.0066293</v>
      </c>
    </row>
    <row r="25">
      <c r="A25" s="9" t="inlineStr">
        <is>
          <t>its gross margin</t>
        </is>
      </c>
      <c r="B25" s="19">
        <f>(Assumptions!$B$10+Assumptions!$B$15-Assumptions!$B$11-Assumptions!$B$16)/(Assumptions!$B$10+Assumptions!$B$15)</f>
        <v>0.0750551152233</v>
      </c>
    </row>
    <row r="27">
      <c r="A27" s="7" t="inlineStr">
        <is>
          <t>Operating lines, SAME twelve months</t>
        </is>
      </c>
      <c r="B27" s="8" t="n"/>
      <c r="C27" s="8" t="n"/>
      <c r="D27" s="8" t="n"/>
      <c r="E27" s="8" t="n"/>
    </row>
    <row r="28">
      <c r="A28" s="9" t="inlineStr">
        <is>
          <t>Administrative expense</t>
        </is>
      </c>
      <c r="B28" s="18">
        <f>(Assumptions!$B$24+Assumptions!$B$17*2)/10^6</f>
        <v>1317.540575</v>
      </c>
    </row>
    <row r="29">
      <c r="A29" s="9" t="inlineStr">
        <is>
          <t>Selling expense</t>
        </is>
      </c>
      <c r="B29" s="18">
        <f>(Assumptions!$B$25+Assumptions!$B$18*2)/10^6</f>
        <v>215.391149</v>
      </c>
    </row>
    <row r="30">
      <c r="A30" s="9" t="inlineStr">
        <is>
          <t>Other operating expense</t>
        </is>
      </c>
      <c r="B30" s="18">
        <f>(Assumptions!$B$26+Assumptions!$B$19*2)/10^6</f>
        <v>110.941309</v>
      </c>
    </row>
    <row r="31">
      <c r="A31" s="9" t="inlineStr">
        <is>
          <t>Provisions and credit losses</t>
        </is>
      </c>
      <c r="B31" s="18">
        <f>(Assumptions!$B$27+(Assumptions!$B$21+Assumptions!$B$22)*2)/10^6</f>
        <v>103.114015</v>
      </c>
    </row>
    <row r="32">
      <c r="A32" s="9" t="inlineStr">
        <is>
          <t>Depreciation</t>
        </is>
      </c>
      <c r="B32" s="18">
        <f>(Assumptions!$B$28+Assumptions!$B$29*2)/10^6</f>
        <v>151.320491</v>
      </c>
    </row>
    <row r="33">
      <c r="A33" s="9" t="inlineStr">
        <is>
          <t>Cash capital expenditure</t>
        </is>
      </c>
      <c r="B33" s="18">
        <f>(Assumptions!$B$30+Assumptions!$B$31*2)/10^6</f>
        <v>160.326263</v>
      </c>
    </row>
    <row r="34">
      <c r="A34" s="9" t="inlineStr">
        <is>
          <t>Credit interest</t>
        </is>
      </c>
      <c r="B34" s="18">
        <f>(Assumptions!$B$32+Assumptions!$B$33*2)/10^6</f>
        <v>301.424769</v>
      </c>
    </row>
    <row r="35">
      <c r="A35" s="9" t="inlineStr">
        <is>
          <t>Employees' profit share</t>
        </is>
      </c>
      <c r="B35" s="18">
        <f>(Assumptions!$B$34*2)/10^6</f>
        <v>134.935742</v>
      </c>
    </row>
    <row r="37" ht="44" customHeight="1">
      <c r="A37" s="22"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7" t="inlineStr">
        <is>
          <t>RATES — solved, not assumed</t>
        </is>
      </c>
      <c r="B39" s="8" t="n"/>
      <c r="C39" s="8" t="n"/>
      <c r="D39" s="8" t="n"/>
      <c r="E39" s="8" t="n"/>
    </row>
    <row r="40">
      <c r="A40" s="9" t="inlineStr">
        <is>
          <t>Employees' profit share, % of profit after tax</t>
        </is>
      </c>
      <c r="B40" s="19">
        <f>B35/((Assumptions!$B$35+Assumptions!$B$13)/10^6)</f>
        <v>0.0527210394336</v>
      </c>
    </row>
    <row r="41">
      <c r="A41" s="9" t="inlineStr">
        <is>
          <t>Minority interest, % of OPERATING profit, whole base year</t>
        </is>
      </c>
      <c r="B41" s="19">
        <f>((Assumptions!$B$36+Assumptions!$B$37*2)/10^6)/((Assumptions!$B$35+Assumptions!$B$13)/10^6-B34*(1-0.22118761296853667))</f>
        <v>0.0325824427232</v>
      </c>
    </row>
    <row r="42">
      <c r="A42" s="9" t="inlineStr">
        <is>
          <t>Implied asset life, years = fixed assets at cost / depreciation</t>
        </is>
      </c>
      <c r="B42" s="23">
        <f>Assumptions!$B$70/10^6/B32</f>
        <v>18.1126209272</v>
      </c>
    </row>
    <row r="43">
      <c r="A43" s="9" t="inlineStr">
        <is>
          <t>Maintenance capital expenditure at cost over that life</t>
        </is>
      </c>
      <c r="B43" s="18">
        <f>Assumptions!$B$70/10^6/B42</f>
        <v>151.320491</v>
      </c>
    </row>
    <row r="44">
      <c r="A44" s="9" t="inlineStr">
        <is>
          <t>Inventory days of cost of sales</t>
        </is>
      </c>
      <c r="B44" s="23">
        <f>Assumptions!$B$72/10^6/B21*365</f>
        <v>24.3202509472</v>
      </c>
    </row>
    <row r="45">
      <c r="A45" s="9" t="inlineStr">
        <is>
          <t>Receivable days of revenue</t>
        </is>
      </c>
      <c r="B45" s="23">
        <f>(Assumptions!$B$73+Assumptions!$B$74)/10^6/B19*365</f>
        <v>7.29980049411</v>
      </c>
    </row>
    <row r="46">
      <c r="A46" s="9" t="inlineStr">
        <is>
          <t>Operating payable days of cost of sales — dividends payable REMOVED</t>
        </is>
      </c>
      <c r="B46" s="23">
        <f>(Assumptions!$B$75+Assumptions!$B$76-Assumptions!$B$77)/10^6/B21*365</f>
        <v>13.1119848231</v>
      </c>
    </row>
  </sheetData>
  <mergeCells count="2">
    <mergeCell ref="A2:E2"/>
    <mergeCell ref="A37:I37"/>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9" t="inlineStr">
        <is>
          <t>Base and special oils</t>
        </is>
      </c>
      <c r="B6" s="24">
        <f>Assumptions!$B$46</f>
        <v>54968.98</v>
      </c>
      <c r="C6" s="25">
        <f>Assumptions!$B$54</f>
        <v>2597280264</v>
      </c>
      <c r="D6" s="18">
        <f>C6/B6</f>
        <v>47249.9264858</v>
      </c>
      <c r="E6" s="26">
        <f>B6*2/10^6</f>
        <v>0.10993796</v>
      </c>
      <c r="F6" s="18">
        <f>D6*$B$16</f>
        <v>53501.7766583</v>
      </c>
      <c r="G6" s="18">
        <f>$B$22*H6/$B$23</f>
        <v>10957.4946804</v>
      </c>
      <c r="H6" s="27">
        <f>Assumptions!$B$93</f>
        <v>1</v>
      </c>
      <c r="I6" s="18">
        <f>F6-G6</f>
        <v>42544.281978</v>
      </c>
    </row>
    <row r="7">
      <c r="A7" s="9" t="inlineStr">
        <is>
          <t>Paraffin wax</t>
        </is>
      </c>
      <c r="B7" s="24">
        <f>Assumptions!$B$47</f>
        <v>41774.2</v>
      </c>
      <c r="C7" s="25">
        <f>Assumptions!$B$55</f>
        <v>2041969329</v>
      </c>
      <c r="D7" s="18">
        <f>C7/B7</f>
        <v>48881.1115234</v>
      </c>
      <c r="E7" s="26">
        <f>B7*2/10^6</f>
        <v>0.0835484</v>
      </c>
      <c r="F7" s="18">
        <f>D7*$B$16</f>
        <v>55348.7911208</v>
      </c>
      <c r="G7" s="18">
        <f>$B$22*H7/$B$23</f>
        <v>12601.1188824</v>
      </c>
      <c r="H7" s="27">
        <f>Assumptions!$B$94</f>
        <v>1.15</v>
      </c>
      <c r="I7" s="18">
        <f>F7-G7</f>
        <v>42747.6722384</v>
      </c>
    </row>
    <row r="8">
      <c r="A8" s="9" t="inlineStr">
        <is>
          <t>Gas oil</t>
        </is>
      </c>
      <c r="B8" s="24">
        <f>Assumptions!$B$48</f>
        <v>171684.881</v>
      </c>
      <c r="C8" s="25">
        <f>Assumptions!$B$56</f>
        <v>5121703599</v>
      </c>
      <c r="D8" s="18">
        <f>C8/B8</f>
        <v>29832.0013339</v>
      </c>
      <c r="E8" s="26">
        <f>B8*2/10^6</f>
        <v>0.343369762</v>
      </c>
      <c r="F8" s="18">
        <f>D8*$B$16</f>
        <v>33779.207532</v>
      </c>
      <c r="G8" s="18">
        <f>$B$22*H8/$B$23</f>
        <v>2739.37367009</v>
      </c>
      <c r="H8" s="27">
        <f>Assumptions!$B$95</f>
        <v>0.25</v>
      </c>
      <c r="I8" s="18">
        <f>F8-G8</f>
        <v>31039.8338619</v>
      </c>
    </row>
    <row r="9">
      <c r="A9" s="9" t="inlineStr">
        <is>
          <t>Naphtha</t>
        </is>
      </c>
      <c r="B9" s="24">
        <f>Assumptions!$B$49</f>
        <v>41430.857</v>
      </c>
      <c r="C9" s="25">
        <f>Assumptions!$B$57</f>
        <v>958746631</v>
      </c>
      <c r="D9" s="18">
        <f>C9/B9</f>
        <v>23140.8834</v>
      </c>
      <c r="E9" s="26">
        <f>B9*2/10^6</f>
        <v>0.082861714</v>
      </c>
      <c r="F9" s="18">
        <f>D9*$B$16</f>
        <v>26202.7577062</v>
      </c>
      <c r="G9" s="18">
        <f>$B$22*H9/$B$23</f>
        <v>2191.49893607</v>
      </c>
      <c r="H9" s="27">
        <f>Assumptions!$B$96</f>
        <v>0.2</v>
      </c>
      <c r="I9" s="18">
        <f>F9-G9</f>
        <v>24011.2587702</v>
      </c>
    </row>
    <row r="10">
      <c r="A10" s="9" t="inlineStr">
        <is>
          <t>Liquefied petroleum gas</t>
        </is>
      </c>
      <c r="B10" s="24">
        <f>Assumptions!$B$50</f>
        <v>23735.778</v>
      </c>
      <c r="C10" s="25">
        <f>Assumptions!$B$58</f>
        <v>816258520</v>
      </c>
      <c r="D10" s="18">
        <f>C10/B10</f>
        <v>34389.3728699</v>
      </c>
      <c r="E10" s="26">
        <f>B10*2/10^6</f>
        <v>0.047471556</v>
      </c>
      <c r="F10" s="18">
        <f>D10*$B$16</f>
        <v>38939.5853824</v>
      </c>
      <c r="G10" s="18">
        <f>$B$22*H10/$B$23</f>
        <v>1643.62420205</v>
      </c>
      <c r="H10" s="27">
        <f>Assumptions!$B$97</f>
        <v>0.15</v>
      </c>
      <c r="I10" s="18">
        <f>F10-G10</f>
        <v>37295.9611804</v>
      </c>
    </row>
    <row r="11">
      <c r="A11" s="9" t="inlineStr">
        <is>
          <t>Fuel oil (mix)</t>
        </is>
      </c>
      <c r="B11" s="24">
        <f>Assumptions!$B$51</f>
        <v>460153.6</v>
      </c>
      <c r="C11" s="25">
        <f>Assumptions!$B$59</f>
        <v>8975569716</v>
      </c>
      <c r="D11" s="18">
        <f>C11/B11</f>
        <v>19505.5949057</v>
      </c>
      <c r="E11" s="26">
        <f>B11*2/10^6</f>
        <v>0.9203072</v>
      </c>
      <c r="F11" s="18">
        <f>D11*$B$16</f>
        <v>22086.4678498</v>
      </c>
      <c r="G11" s="18">
        <f>$B$22*H11/$B$23</f>
        <v>547.874734018</v>
      </c>
      <c r="H11" s="27">
        <f>Assumptions!$B$98</f>
        <v>0.05</v>
      </c>
      <c r="I11" s="18">
        <f>F11-G11</f>
        <v>21538.5931158</v>
      </c>
    </row>
    <row r="12">
      <c r="A12" s="9" t="inlineStr">
        <is>
          <t>Heavy fuel oil</t>
        </is>
      </c>
      <c r="B12" s="24">
        <f>Assumptions!$B$52</f>
        <v>14327.52</v>
      </c>
      <c r="C12" s="25">
        <f>Assumptions!$B$60</f>
        <v>224110353</v>
      </c>
      <c r="D12" s="18">
        <f>C12/B12</f>
        <v>15641.9501072</v>
      </c>
      <c r="E12" s="26">
        <f>B12*2/10^6</f>
        <v>0.02865504</v>
      </c>
      <c r="F12" s="18">
        <f>D12*$B$16</f>
        <v>17711.60684</v>
      </c>
      <c r="G12" s="18">
        <f>$B$22*H12/$B$23</f>
        <v>547.874734018</v>
      </c>
      <c r="H12" s="27">
        <f>Assumptions!$B$99</f>
        <v>0.05</v>
      </c>
      <c r="I12" s="18">
        <f>F12-G12</f>
        <v>17163.732106</v>
      </c>
    </row>
    <row r="13">
      <c r="A13" s="9" t="inlineStr">
        <is>
          <t>Waste</t>
        </is>
      </c>
      <c r="B13" s="24">
        <f>Assumptions!$B$53</f>
        <v>7.82</v>
      </c>
      <c r="C13" s="25">
        <f>Assumptions!$B$61</f>
        <v>87400</v>
      </c>
      <c r="D13" s="18">
        <f>C13/B13</f>
        <v>11176.4705882</v>
      </c>
      <c r="E13" s="26">
        <f>B13*2/10^6</f>
        <v>1.564e-05</v>
      </c>
      <c r="F13" s="18">
        <f>D13*$B$16</f>
        <v>12655.2796525</v>
      </c>
      <c r="G13" s="18">
        <f>$B$22*H13/$B$23</f>
        <v>0</v>
      </c>
      <c r="H13" s="27">
        <f>Assumptions!$B$100</f>
        <v>0</v>
      </c>
      <c r="I13" s="18">
        <f>F13-G13</f>
        <v>12655.2796525</v>
      </c>
    </row>
    <row r="14">
      <c r="A14" s="17" t="inlineStr">
        <is>
          <t>TOTAL</t>
        </is>
      </c>
      <c r="B14" s="28">
        <f>SUM(B6:B13)</f>
        <v>808083.636</v>
      </c>
      <c r="C14" s="20">
        <f>SUM(C6:C13)</f>
        <v>20735725812</v>
      </c>
      <c r="E14" s="28">
        <f>SUM(E6:E13)</f>
        <v>1.616167272</v>
      </c>
      <c r="F14" s="20">
        <f>SUMPRODUCT(E6:E13,F6:F13)</f>
        <v>46958.725812</v>
      </c>
    </row>
    <row r="15">
      <c r="A15" s="9" t="inlineStr">
        <is>
          <t>Revenue at the disclosed realisations, annualised</t>
        </is>
      </c>
      <c r="B15" s="18">
        <f>SUMPRODUCT(E6:E13,D6:D13)</f>
        <v>41471.451624</v>
      </c>
    </row>
    <row r="16">
      <c r="A16" s="17" t="inlineStr">
        <is>
          <t>REALISATION INDEX — solved so the base year foots</t>
        </is>
      </c>
      <c r="B16" s="28">
        <f>'Base Year'!B19/B15</f>
        <v>1.13231449523</v>
      </c>
    </row>
    <row r="18">
      <c r="A18" s="7" t="inlineStr">
        <is>
          <t>COST ALLOCATION</t>
        </is>
      </c>
      <c r="B18" s="8" t="n"/>
      <c r="C18" s="8" t="n"/>
      <c r="D18" s="8" t="n"/>
      <c r="E18" s="8" t="n"/>
      <c r="F18" s="8" t="n"/>
      <c r="G18" s="8" t="n"/>
      <c r="H18" s="8" t="n"/>
      <c r="I18" s="8" t="n"/>
    </row>
    <row r="19">
      <c r="A19" s="9" t="inlineStr">
        <is>
          <t>Cost of sales, base year</t>
        </is>
      </c>
      <c r="B19" s="18">
        <f>'Base Year'!B21</f>
        <v>42733.8626951</v>
      </c>
    </row>
    <row r="20">
      <c r="A20" s="9" t="inlineStr">
        <is>
          <t>Feedstock share of cost (note 15-A)</t>
        </is>
      </c>
      <c r="B20" s="19">
        <f>Assumptions!$B$63/(Assumptions!$B$63+Assumptions!$B$64+Assumptions!$B$65+Assumptions!$B$66+Assumptions!$B$67)</f>
        <v>0.906921701942</v>
      </c>
    </row>
    <row r="21">
      <c r="A21" s="9" t="inlineStr">
        <is>
          <t>Feedstock total</t>
        </is>
      </c>
      <c r="B21" s="18">
        <f>B19*B20</f>
        <v>38756.267486</v>
      </c>
    </row>
    <row r="22">
      <c r="A22" s="9" t="inlineStr">
        <is>
          <t>Conversion total</t>
        </is>
      </c>
      <c r="B22" s="18">
        <f>B19-B21</f>
        <v>3977.59520909</v>
      </c>
    </row>
    <row r="23">
      <c r="A23" s="9" t="inlineStr">
        <is>
          <t>Processing-weighted tonnage</t>
        </is>
      </c>
      <c r="B23" s="26">
        <f>SUMPRODUCT(E6:E13,H6:H13)</f>
        <v>0.3630022487</v>
      </c>
    </row>
    <row r="24">
      <c r="A24" s="9" t="inlineStr">
        <is>
          <t>Net realisable value weighted tonnage</t>
        </is>
      </c>
      <c r="B24" s="18">
        <f>SUMPRODUCT(E6:E13,I6:I13)</f>
        <v>42981.1306029</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9" t="inlineStr">
        <is>
          <t>Base and special oils</t>
        </is>
      </c>
      <c r="B27" s="18">
        <f>G6</f>
        <v>10957.4946804</v>
      </c>
      <c r="C27" s="18">
        <f>I6</f>
        <v>42544.281978</v>
      </c>
      <c r="D27" s="18">
        <f>$B$21*I6/$B$24</f>
        <v>38362.3592309</v>
      </c>
      <c r="E27" s="18">
        <f>D27+B27</f>
        <v>49319.8539113</v>
      </c>
      <c r="F27" s="18">
        <f>F6</f>
        <v>53501.7766583</v>
      </c>
      <c r="G27" s="20">
        <f>F27-E27</f>
        <v>4181.92274707</v>
      </c>
      <c r="H27" s="19">
        <f>G27/F27</f>
        <v>0.0781641845984</v>
      </c>
    </row>
    <row r="28">
      <c r="A28" s="9" t="inlineStr">
        <is>
          <t>Paraffin wax</t>
        </is>
      </c>
      <c r="B28" s="18">
        <f>G7</f>
        <v>12601.1188824</v>
      </c>
      <c r="C28" s="18">
        <f>I7</f>
        <v>42747.6722384</v>
      </c>
      <c r="D28" s="18">
        <f>$B$21*I7/$B$24</f>
        <v>38545.75709</v>
      </c>
      <c r="E28" s="18">
        <f>D28+B28</f>
        <v>51146.8759725</v>
      </c>
      <c r="F28" s="18">
        <f>F7</f>
        <v>55348.7911208</v>
      </c>
      <c r="G28" s="20">
        <f>F28-E28</f>
        <v>4201.91514832</v>
      </c>
      <c r="H28" s="19">
        <f>G28/F28</f>
        <v>0.0759170175759</v>
      </c>
    </row>
    <row r="29">
      <c r="A29" s="9" t="inlineStr">
        <is>
          <t>Gas oil</t>
        </is>
      </c>
      <c r="B29" s="18">
        <f>G8</f>
        <v>2739.37367009</v>
      </c>
      <c r="C29" s="18">
        <f>I8</f>
        <v>31039.8338619</v>
      </c>
      <c r="D29" s="18">
        <f>$B$21*I8/$B$24</f>
        <v>27988.7496443</v>
      </c>
      <c r="E29" s="18">
        <f>D29+B29</f>
        <v>30728.1233144</v>
      </c>
      <c r="F29" s="18">
        <f>F8</f>
        <v>33779.207532</v>
      </c>
      <c r="G29" s="20">
        <f>F29-E29</f>
        <v>3051.08421761</v>
      </c>
      <c r="H29" s="19">
        <f>G29/F29</f>
        <v>0.0903243279083</v>
      </c>
    </row>
    <row r="30">
      <c r="A30" s="9" t="inlineStr">
        <is>
          <t>Naphtha</t>
        </is>
      </c>
      <c r="B30" s="18">
        <f>G9</f>
        <v>2191.49893607</v>
      </c>
      <c r="C30" s="18">
        <f>I9</f>
        <v>24011.2587702</v>
      </c>
      <c r="D30" s="18">
        <f>$B$21*I9/$B$24</f>
        <v>21651.0537187</v>
      </c>
      <c r="E30" s="18">
        <f>D30+B30</f>
        <v>23842.5526547</v>
      </c>
      <c r="F30" s="18">
        <f>F9</f>
        <v>26202.7577062</v>
      </c>
      <c r="G30" s="20">
        <f>F30-E30</f>
        <v>2360.20505149</v>
      </c>
      <c r="H30" s="19">
        <f>G30/F30</f>
        <v>0.0900746813735</v>
      </c>
    </row>
    <row r="31">
      <c r="A31" s="9" t="inlineStr">
        <is>
          <t>Liquefied petroleum gas</t>
        </is>
      </c>
      <c r="B31" s="18">
        <f>G10</f>
        <v>1643.62420205</v>
      </c>
      <c r="C31" s="18">
        <f>I10</f>
        <v>37295.9611804</v>
      </c>
      <c r="D31" s="18">
        <f>$B$21*I10/$B$24</f>
        <v>33629.9261415</v>
      </c>
      <c r="E31" s="18">
        <f>D31+B31</f>
        <v>35273.5503436</v>
      </c>
      <c r="F31" s="18">
        <f>F10</f>
        <v>38939.5853824</v>
      </c>
      <c r="G31" s="20">
        <f>F31-E31</f>
        <v>3666.03503885</v>
      </c>
      <c r="H31" s="19">
        <f>G31/F31</f>
        <v>0.0941467404659</v>
      </c>
    </row>
    <row r="32">
      <c r="A32" s="9" t="inlineStr">
        <is>
          <t>Fuel oil (mix)</t>
        </is>
      </c>
      <c r="B32" s="18">
        <f>G11</f>
        <v>547.874734018</v>
      </c>
      <c r="C32" s="18">
        <f>I11</f>
        <v>21538.5931158</v>
      </c>
      <c r="D32" s="18">
        <f>$B$21*I11/$B$24</f>
        <v>19421.4406266</v>
      </c>
      <c r="E32" s="18">
        <f>D32+B32</f>
        <v>19969.3153606</v>
      </c>
      <c r="F32" s="18">
        <f>F11</f>
        <v>22086.4678498</v>
      </c>
      <c r="G32" s="20">
        <f>F32-E32</f>
        <v>2117.15248919</v>
      </c>
      <c r="H32" s="19">
        <f>G32/F32</f>
        <v>0.0958574500728</v>
      </c>
    </row>
    <row r="33">
      <c r="A33" s="9" t="inlineStr">
        <is>
          <t>Heavy fuel oil</t>
        </is>
      </c>
      <c r="B33" s="18">
        <f>G12</f>
        <v>547.874734018</v>
      </c>
      <c r="C33" s="18">
        <f>I12</f>
        <v>17163.732106</v>
      </c>
      <c r="D33" s="18">
        <f>$B$21*I12/$B$24</f>
        <v>15476.6099269</v>
      </c>
      <c r="E33" s="18">
        <f>D33+B33</f>
        <v>16024.4846609</v>
      </c>
      <c r="F33" s="18">
        <f>F12</f>
        <v>17711.60684</v>
      </c>
      <c r="G33" s="20">
        <f>F33-E33</f>
        <v>1687.12217909</v>
      </c>
      <c r="H33" s="19">
        <f>G33/F33</f>
        <v>0.0952551733071</v>
      </c>
    </row>
    <row r="34">
      <c r="A34" s="9" t="inlineStr">
        <is>
          <t>Waste</t>
        </is>
      </c>
      <c r="B34" s="18">
        <f>G13</f>
        <v>0</v>
      </c>
      <c r="C34" s="18">
        <f>I13</f>
        <v>12655.2796525</v>
      </c>
      <c r="D34" s="18">
        <f>$B$21*I13/$B$24</f>
        <v>11411.3192567</v>
      </c>
      <c r="E34" s="18">
        <f>D34+B34</f>
        <v>11411.3192567</v>
      </c>
      <c r="F34" s="18">
        <f>F13</f>
        <v>12655.2796525</v>
      </c>
      <c r="G34" s="20">
        <f>F34-E34</f>
        <v>1243.96039583</v>
      </c>
      <c r="H34" s="19">
        <f>G34/F34</f>
        <v>0.0982957650862</v>
      </c>
    </row>
    <row r="35">
      <c r="A35" s="17" t="inlineStr">
        <is>
          <t>Cost of sales rebuilt from the per-line allocation</t>
        </is>
      </c>
      <c r="B35" s="20">
        <f>SUMPRODUCT(E6:E13,E27:E34)</f>
        <v>42733.8626951</v>
      </c>
    </row>
    <row r="36">
      <c r="A36" s="9" t="inlineStr">
        <is>
          <t>must equal the base-year cost of sales — difference</t>
        </is>
      </c>
      <c r="B36" s="28">
        <f>B35-'Base Year'!B21</f>
        <v>0</v>
      </c>
    </row>
    <row r="38" ht="55" customHeight="1">
      <c r="A38" s="22"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7" t="inlineStr">
        <is>
          <t>Levers for this block — the base case sets them all neutral</t>
        </is>
      </c>
      <c r="B5" s="8" t="n"/>
      <c r="C5" s="8" t="n"/>
      <c r="D5" s="8" t="n"/>
      <c r="E5" s="8" t="n"/>
      <c r="F5" s="8" t="n"/>
      <c r="G5" s="8" t="n"/>
      <c r="H5" s="8" t="n"/>
      <c r="I5" s="8" t="n"/>
    </row>
    <row r="6">
      <c r="A6" s="9" t="inlineStr">
        <is>
          <t>Growth-path multiplier</t>
        </is>
      </c>
      <c r="B6" s="11" t="n">
        <v>1</v>
      </c>
    </row>
    <row r="7">
      <c r="A7" s="9" t="inlineStr">
        <is>
          <t>Gross-margin shift</t>
        </is>
      </c>
      <c r="B7" s="14" t="n">
        <v>0</v>
      </c>
    </row>
    <row r="8">
      <c r="A8" s="9" t="inlineStr">
        <is>
          <t>Realisation-path multiplier</t>
        </is>
      </c>
      <c r="B8" s="11" t="n">
        <v>1</v>
      </c>
    </row>
    <row r="9">
      <c r="A9" s="9" t="inlineStr">
        <is>
          <t>Working-capital cycle multiplier</t>
        </is>
      </c>
      <c r="B9" s="11" t="n">
        <v>1</v>
      </c>
    </row>
    <row r="10">
      <c r="A10" s="9" t="inlineStr">
        <is>
          <t>Explicit cost of capital</t>
        </is>
      </c>
      <c r="B10" s="19">
        <f>Assumptions!$B$152-Assumptions!$B$153+Assumptions!$B$155*Assumptions!$B$154</f>
        <v>0.27760105</v>
      </c>
    </row>
    <row r="11">
      <c r="A11" s="9" t="inlineStr">
        <is>
          <t>Equity weight</t>
        </is>
      </c>
      <c r="B11" s="19">
        <f>Assumptions!$B$7*Assumptions!$B$8/(Assumptions!$B$7*Assumptions!$B$8+(Assumptions!$B$82+Assumptions!$B$83-Assumptions!$B$79)/10^6)</f>
        <v>1.26235417421</v>
      </c>
    </row>
    <row r="12">
      <c r="A12" s="9" t="inlineStr">
        <is>
          <t>Debt weight</t>
        </is>
      </c>
      <c r="B12" s="19">
        <f>1-B11</f>
        <v>-0.262354174213</v>
      </c>
    </row>
    <row r="13">
      <c r="A13" s="9" t="inlineStr">
        <is>
          <t>After-tax cost of net debt</t>
        </is>
      </c>
      <c r="B13" s="19">
        <f>(Assumptions!$B$157*(Assumptions!$B$82+Assumptions!$B$83)/10^6-Assumptions!$B$156*Assumptions!$B$79/10^6)/((Assumptions!$B$82+Assumptions!$B$83-Assumptions!$B$79)/10^6)*(1-0.22118761296853667)</f>
        <v>0.132063670027</v>
      </c>
    </row>
    <row r="14">
      <c r="A14" s="17" t="inlineStr">
        <is>
          <t>WACC — explicit window</t>
        </is>
      </c>
      <c r="B14" s="21">
        <f>B11*B10+B12*B13</f>
        <v>0.31578338914</v>
      </c>
    </row>
    <row r="15">
      <c r="A15" s="9" t="inlineStr">
        <is>
          <t>Terminal risk-free — DERIVED from the target in force</t>
        </is>
      </c>
      <c r="B15" s="19">
        <f>Assumptions!$B$158+Assumptions!$B$159</f>
        <v>0.125</v>
      </c>
    </row>
    <row r="16">
      <c r="A16" s="9" t="inlineStr">
        <is>
          <t>Terminal cost of equity</t>
        </is>
      </c>
      <c r="B16" s="19">
        <f>B15+Assumptions!$B$155*Assumptions!$B$160</f>
        <v>0.190835</v>
      </c>
    </row>
    <row r="17">
      <c r="A17" s="17" t="inlineStr">
        <is>
          <t>WACC — terminal</t>
        </is>
      </c>
      <c r="B17" s="21">
        <f>(1-Assumptions!$B$162)*B16+Assumptions!$B$162*Assumptions!$B$161*(1-0.22118761296853667)</f>
        <v>0.183433685805</v>
      </c>
    </row>
    <row r="19">
      <c r="A19" s="6" t="inlineStr">
        <is>
          <t>BASE CASE</t>
        </is>
      </c>
      <c r="B19" s="6" t="inlineStr">
        <is>
          <t>2026E</t>
        </is>
      </c>
      <c r="C19" s="6" t="inlineStr">
        <is>
          <t>2027E</t>
        </is>
      </c>
      <c r="D19" s="6" t="inlineStr">
        <is>
          <t>2028E</t>
        </is>
      </c>
      <c r="E19" s="6" t="inlineStr">
        <is>
          <t>2029E</t>
        </is>
      </c>
      <c r="F19" s="6" t="inlineStr">
        <is>
          <t>2030E</t>
        </is>
      </c>
    </row>
    <row r="20">
      <c r="A20" s="9" t="inlineStr">
        <is>
          <t>Inflation index, cumulative</t>
        </is>
      </c>
      <c r="C20" s="26">
        <f>Assumptions!$B$146</f>
        <v>1.145</v>
      </c>
      <c r="D20" s="26">
        <f>C20*Assumptions!$B$147</f>
        <v>1.29385</v>
      </c>
      <c r="E20" s="26">
        <f>D20*Assumptions!$B$148</f>
        <v>1.44264275</v>
      </c>
      <c r="F20" s="26">
        <f>E20*Assumptions!$B$149</f>
        <v>1.586907025</v>
      </c>
      <c r="G20" s="26">
        <f>F20*Assumptions!$B$150</f>
        <v>1.73766319237</v>
      </c>
    </row>
    <row r="21">
      <c r="A21" s="9" t="inlineStr">
        <is>
          <t>Realisation index, cumulative</t>
        </is>
      </c>
      <c r="C21" s="26">
        <f>(1+Assumptions!$B$101*$B$8)</f>
        <v>1.09</v>
      </c>
      <c r="D21" s="26">
        <f>C21*(1+Assumptions!$B$102*$B$8)</f>
        <v>1.17175</v>
      </c>
      <c r="E21" s="26">
        <f>D21*(1+Assumptions!$B$103*$B$8)</f>
        <v>1.24791375</v>
      </c>
      <c r="F21" s="26">
        <f>E21*(1+Assumptions!$B$104*$B$8)</f>
        <v>1.3202927475</v>
      </c>
      <c r="G21" s="26">
        <f>F21*(1+Assumptions!$B$105*$B$8)</f>
        <v>1.38894797037</v>
      </c>
    </row>
    <row r="22">
      <c r="A22" s="9" t="inlineStr">
        <is>
          <t xml:space="preserve">  Volume — Base and special oils, mn t</t>
        </is>
      </c>
      <c r="C22" s="26">
        <f>'Product and Cost'!E6*(1+Assumptions!$B$106*$B$6)</f>
        <v>0.1148851682</v>
      </c>
      <c r="D22" s="26">
        <f>C22*(1+Assumptions!$B$107*$B$6)</f>
        <v>0.119480574928</v>
      </c>
      <c r="E22" s="26">
        <f>D22*(1+Assumptions!$B$108*$B$6)</f>
        <v>0.12366239505</v>
      </c>
      <c r="F22" s="26">
        <f>E22*(1+Assumptions!$B$109*$B$6)</f>
        <v>0.127372266902</v>
      </c>
      <c r="G22" s="26">
        <f>F22*(1+Assumptions!$B$110*$B$6)</f>
        <v>0.130938690375</v>
      </c>
    </row>
    <row r="23">
      <c r="A23" s="9" t="inlineStr">
        <is>
          <t xml:space="preserve">  Volume — Paraffin wax, mn t</t>
        </is>
      </c>
      <c r="C23" s="26">
        <f>'Product and Cost'!E7*(1+Assumptions!$B$111*$B$6)</f>
        <v>0.089396788</v>
      </c>
      <c r="D23" s="26">
        <f>C23*(1+Assumptions!$B$112*$B$6)</f>
        <v>0.09431361134</v>
      </c>
      <c r="E23" s="26">
        <f>D23*(1+Assumptions!$B$113*$B$6)</f>
        <v>0.0985577238503</v>
      </c>
      <c r="F23" s="26">
        <f>E23*(1+Assumptions!$B$114*$B$6)</f>
        <v>0.102302917357</v>
      </c>
      <c r="G23" s="26">
        <f>F23*(1+Assumptions!$B$115*$B$6)</f>
        <v>0.105576610712</v>
      </c>
    </row>
    <row r="24">
      <c r="A24" s="9" t="inlineStr">
        <is>
          <t xml:space="preserve">  Volume — Gas oil, mn t</t>
        </is>
      </c>
      <c r="C24" s="26">
        <f>'Product and Cost'!E8*(1+Assumptions!$B$116*$B$6)</f>
        <v>0.35023715724</v>
      </c>
      <c r="D24" s="26">
        <f>C24*(1+Assumptions!$B$117*$B$6)</f>
        <v>0.357241900385</v>
      </c>
      <c r="E24" s="26">
        <f>D24*(1+Assumptions!$B$118*$B$6)</f>
        <v>0.363672254592</v>
      </c>
      <c r="F24" s="26">
        <f>E24*(1+Assumptions!$B$119*$B$6)</f>
        <v>0.369491010665</v>
      </c>
      <c r="G24" s="26">
        <f>F24*(1+Assumptions!$B$120*$B$6)</f>
        <v>0.375033375825</v>
      </c>
    </row>
    <row r="25">
      <c r="A25" s="9" t="inlineStr">
        <is>
          <t xml:space="preserve">  Volume — Naphtha, mn t</t>
        </is>
      </c>
      <c r="C25" s="26">
        <f>'Product and Cost'!E9*(1+Assumptions!$B$121*$B$6)</f>
        <v>0.08410463971</v>
      </c>
      <c r="D25" s="26">
        <f>C25*(1+Assumptions!$B$122*$B$6)</f>
        <v>0.0856185232248</v>
      </c>
      <c r="E25" s="26">
        <f>D25*(1+Assumptions!$B$123*$B$6)</f>
        <v>0.0871596566428</v>
      </c>
      <c r="F25" s="26">
        <f>E25*(1+Assumptions!$B$124*$B$6)</f>
        <v>0.0885542111491</v>
      </c>
      <c r="G25" s="26">
        <f>F25*(1+Assumptions!$B$125*$B$6)</f>
        <v>0.0898825243163</v>
      </c>
    </row>
    <row r="26">
      <c r="A26" s="9" t="inlineStr">
        <is>
          <t xml:space="preserve">  Volume — Liquefied petroleum gas, mn t</t>
        </is>
      </c>
      <c r="C26" s="26">
        <f>'Product and Cost'!E10*(1+Assumptions!$B$126*$B$6)</f>
        <v>0.0486583449</v>
      </c>
      <c r="D26" s="26">
        <f>C26*(1+Assumptions!$B$127*$B$6)</f>
        <v>0.0497288284878</v>
      </c>
      <c r="E26" s="26">
        <f>D26*(1+Assumptions!$B$128*$B$6)</f>
        <v>0.0507234050576</v>
      </c>
      <c r="F26" s="26">
        <f>E26*(1+Assumptions!$B$129*$B$6)</f>
        <v>0.0516364263486</v>
      </c>
      <c r="G26" s="26">
        <f>F26*(1+Assumptions!$B$130*$B$6)</f>
        <v>0.0524626091702</v>
      </c>
    </row>
    <row r="27">
      <c r="A27" s="9" t="inlineStr">
        <is>
          <t xml:space="preserve">  Volume — Fuel oil (mix), mn t</t>
        </is>
      </c>
      <c r="C27" s="26">
        <f>'Product and Cost'!E11*(1+Assumptions!$B$131*$B$6)</f>
        <v>0.947916416</v>
      </c>
      <c r="D27" s="26">
        <f>C27*(1+Assumptions!$B$132*$B$6)</f>
        <v>0.972562242816</v>
      </c>
      <c r="E27" s="26">
        <f>D27*(1+Assumptions!$B$133*$B$6)</f>
        <v>0.993958612158</v>
      </c>
      <c r="F27" s="26">
        <f>E27*(1+Assumptions!$B$134*$B$6)</f>
        <v>1.0138377844</v>
      </c>
      <c r="G27" s="26">
        <f>F27*(1+Assumptions!$B$135*$B$6)</f>
        <v>1.03208686452</v>
      </c>
    </row>
    <row r="28">
      <c r="A28" s="9" t="inlineStr">
        <is>
          <t xml:space="preserve">  Volume — Heavy fuel oil, mn t</t>
        </is>
      </c>
      <c r="C28" s="26">
        <f>'Product and Cost'!E12*(1+Assumptions!$B$136*$B$6)</f>
        <v>0.0292281408</v>
      </c>
      <c r="D28" s="26">
        <f>C28*(1+Assumptions!$B$137*$B$6)</f>
        <v>0.0297542473344</v>
      </c>
      <c r="E28" s="26">
        <f>D28*(1+Assumptions!$B$138*$B$6)</f>
        <v>0.0302303152918</v>
      </c>
      <c r="F28" s="26">
        <f>E28*(1+Assumptions!$B$139*$B$6)</f>
        <v>0.0306837700211</v>
      </c>
      <c r="G28" s="26">
        <f>F28*(1+Assumptions!$B$140*$B$6)</f>
        <v>0.0311133428014</v>
      </c>
    </row>
    <row r="29">
      <c r="A29" s="9" t="inlineStr">
        <is>
          <t xml:space="preserve">  Volume — Waste, mn t</t>
        </is>
      </c>
      <c r="C29" s="26">
        <f>'Product and Cost'!E13*(1+Assumptions!$B$141*$B$6)</f>
        <v>1.564e-05</v>
      </c>
      <c r="D29" s="26">
        <f>C29*(1+Assumptions!$B$142*$B$6)</f>
        <v>1.564e-05</v>
      </c>
      <c r="E29" s="26">
        <f>D29*(1+Assumptions!$B$143*$B$6)</f>
        <v>1.564e-05</v>
      </c>
      <c r="F29" s="26">
        <f>E29*(1+Assumptions!$B$144*$B$6)</f>
        <v>1.564e-05</v>
      </c>
      <c r="G29" s="26">
        <f>F29*(1+Assumptions!$B$145*$B$6)</f>
        <v>1.564e-05</v>
      </c>
    </row>
    <row r="30">
      <c r="A30" s="17" t="inlineStr">
        <is>
          <t>Total volume, mn t</t>
        </is>
      </c>
      <c r="C30" s="28">
        <f>SUM(C22:C29)</f>
        <v>1.66444229485</v>
      </c>
      <c r="D30" s="28">
        <f>SUM(D22:D29)</f>
        <v>1.70871556852</v>
      </c>
      <c r="E30" s="28">
        <f>SUM(E22:E29)</f>
        <v>1.74798000264</v>
      </c>
      <c r="F30" s="28">
        <f>SUM(F22:F29)</f>
        <v>1.78389402684</v>
      </c>
      <c r="G30" s="28">
        <f>SUM(G22:G29)</f>
        <v>1.81710965772</v>
      </c>
    </row>
    <row r="31">
      <c r="A31" s="17" t="inlineStr">
        <is>
          <t>REVENUE</t>
        </is>
      </c>
      <c r="C31" s="20">
        <f>C22*'Product and Cost'!$F$6*C21+C23*'Product and Cost'!$F$7*C21+C24*'Product and Cost'!$F$8*C21+C25*'Product and Cost'!$F$9*C21+C26*'Product and Cost'!$F$10*C21+C27*'Product and Cost'!$F$11*C21+C28*'Product and Cost'!$F$12*C21+C29*'Product and Cost'!$F$13*C21</f>
        <v>52840.8111141</v>
      </c>
      <c r="D31" s="20">
        <f>D22*'Product and Cost'!$F$6*D21+D23*'Product and Cost'!$F$7*D21+D24*'Product and Cost'!$F$8*D21+D25*'Product and Cost'!$F$9*D21+D26*'Product and Cost'!$F$10*D21+D27*'Product and Cost'!$F$11*D21+D28*'Product and Cost'!$F$12*D21+D29*'Product and Cost'!$F$13*D21</f>
        <v>58432.1672543</v>
      </c>
      <c r="E31" s="20">
        <f>E22*'Product and Cost'!$F$6*E21+E23*'Product and Cost'!$F$7*E21+E24*'Product and Cost'!$F$8*E21+E25*'Product and Cost'!$F$9*E21+E26*'Product and Cost'!$F$10*E21+E27*'Product and Cost'!$F$11*E21+E28*'Product and Cost'!$F$12*E21+E29*'Product and Cost'!$F$13*E21</f>
        <v>63772.6371781</v>
      </c>
      <c r="F31" s="20">
        <f>F22*'Product and Cost'!$F$6*F21+F23*'Product and Cost'!$F$7*F21+F24*'Product and Cost'!$F$8*F21+F25*'Product and Cost'!$F$9*F21+F26*'Product and Cost'!$F$10*F21+F27*'Product and Cost'!$F$11*F21+F28*'Product and Cost'!$F$12*F21+F29*'Product and Cost'!$F$13*F21</f>
        <v>68952.1790369</v>
      </c>
      <c r="G31" s="20">
        <f>G22*'Product and Cost'!$F$6*G21+G23*'Product and Cost'!$F$7*G21+G24*'Product and Cost'!$F$8*G21+G25*'Product and Cost'!$F$9*G21+G26*'Product and Cost'!$F$10*G21+G27*'Product and Cost'!$F$11*G21+G28*'Product and Cost'!$F$12*G21+G29*'Product and Cost'!$F$13*G21</f>
        <v>73977.8431827</v>
      </c>
    </row>
    <row r="32">
      <c r="A32" s="9" t="inlineStr">
        <is>
          <t>Cost of sales</t>
        </is>
      </c>
      <c r="C32" s="18">
        <f>C22*('Product and Cost'!$D$27*C21*Assumptions!$B$88+'Product and Cost'!$B$27*(0.4863620081*C20+0.4455809638*C20+0.0356254898*C21+0.0324315384))+C23*('Product and Cost'!$D$28*C21*Assumptions!$B$88+'Product and Cost'!$B$28*(0.4863620081*C20+0.4455809638*C20+0.0356254898*C21+0.0324315384))+C24*('Product and Cost'!$D$29*C21*Assumptions!$B$88+'Product and Cost'!$B$29*(0.4863620081*C20+0.4455809638*C20+0.0356254898*C21+0.0324315384))+C25*('Product and Cost'!$D$30*C21*Assumptions!$B$88+'Product and Cost'!$B$30*(0.4863620081*C20+0.4455809638*C20+0.0356254898*C21+0.0324315384))+C26*('Product and Cost'!$D$31*C21*Assumptions!$B$88+'Product and Cost'!$B$31*(0.4863620081*C20+0.4455809638*C20+0.0356254898*C21+0.0324315384))+C27*('Product and Cost'!$D$32*C21*Assumptions!$B$88+'Product and Cost'!$B$32*(0.4863620081*C20+0.4455809638*C20+0.0356254898*C21+0.0324315384))+C28*('Product and Cost'!$D$33*C21*Assumptions!$B$88+'Product and Cost'!$B$33*(0.4863620081*C20+0.4455809638*C20+0.0356254898*C21+0.0324315384))+C29*('Product and Cost'!$D$34*C21*Assumptions!$B$88+'Product and Cost'!$B$34*(0.4863620081*C20+0.4455809638*C20+0.0356254898*C21+0.0324315384))</f>
        <v>48291.1604712</v>
      </c>
      <c r="D32" s="18">
        <f>D22*('Product and Cost'!$D$27*D21*Assumptions!$B$88+'Product and Cost'!$B$27*(0.4863620081*D20+0.4455809638*D20+0.0356254898*D21+0.0324315384))+D23*('Product and Cost'!$D$28*D21*Assumptions!$B$88+'Product and Cost'!$B$28*(0.4863620081*D20+0.4455809638*D20+0.0356254898*D21+0.0324315384))+D24*('Product and Cost'!$D$29*D21*Assumptions!$B$88+'Product and Cost'!$B$29*(0.4863620081*D20+0.4455809638*D20+0.0356254898*D21+0.0324315384))+D25*('Product and Cost'!$D$30*D21*Assumptions!$B$88+'Product and Cost'!$B$30*(0.4863620081*D20+0.4455809638*D20+0.0356254898*D21+0.0324315384))+D26*('Product and Cost'!$D$31*D21*Assumptions!$B$88+'Product and Cost'!$B$31*(0.4863620081*D20+0.4455809638*D20+0.0356254898*D21+0.0324315384))+D27*('Product and Cost'!$D$32*D21*Assumptions!$B$88+'Product and Cost'!$B$32*(0.4863620081*D20+0.4455809638*D20+0.0356254898*D21+0.0324315384))+D28*('Product and Cost'!$D$33*D21*Assumptions!$B$88+'Product and Cost'!$B$33*(0.4863620081*D20+0.4455809638*D20+0.0356254898*D21+0.0324315384))+D29*('Product and Cost'!$D$34*D21*Assumptions!$B$88+'Product and Cost'!$B$34*(0.4863620081*D20+0.4455809638*D20+0.0356254898*D21+0.0324315384))</f>
        <v>53647.9823219</v>
      </c>
      <c r="E32" s="18">
        <f>E22*('Product and Cost'!$D$27*E21*Assumptions!$B$88+'Product and Cost'!$B$27*(0.4863620081*E20+0.4455809638*E20+0.0356254898*E21+0.0324315384))+E23*('Product and Cost'!$D$28*E21*Assumptions!$B$88+'Product and Cost'!$B$28*(0.4863620081*E20+0.4455809638*E20+0.0356254898*E21+0.0324315384))+E24*('Product and Cost'!$D$29*E21*Assumptions!$B$88+'Product and Cost'!$B$29*(0.4863620081*E20+0.4455809638*E20+0.0356254898*E21+0.0324315384))+E25*('Product and Cost'!$D$30*E21*Assumptions!$B$88+'Product and Cost'!$B$30*(0.4863620081*E20+0.4455809638*E20+0.0356254898*E21+0.0324315384))+E26*('Product and Cost'!$D$31*E21*Assumptions!$B$88+'Product and Cost'!$B$31*(0.4863620081*E20+0.4455809638*E20+0.0356254898*E21+0.0324315384))+E27*('Product and Cost'!$D$32*E21*Assumptions!$B$88+'Product and Cost'!$B$32*(0.4863620081*E20+0.4455809638*E20+0.0356254898*E21+0.0324315384))+E28*('Product and Cost'!$D$33*E21*Assumptions!$B$88+'Product and Cost'!$B$33*(0.4863620081*E20+0.4455809638*E20+0.0356254898*E21+0.0324315384))+E29*('Product and Cost'!$D$34*E21*Assumptions!$B$88+'Product and Cost'!$B$34*(0.4863620081*E20+0.4455809638*E20+0.0356254898*E21+0.0324315384))</f>
        <v>58815.4011786</v>
      </c>
      <c r="F32" s="18">
        <f>F22*('Product and Cost'!$D$27*F21*Assumptions!$B$88+'Product and Cost'!$B$27*(0.4863620081*F20+0.4455809638*F20+0.0356254898*F21+0.0324315384))+F23*('Product and Cost'!$D$28*F21*Assumptions!$B$88+'Product and Cost'!$B$28*(0.4863620081*F20+0.4455809638*F20+0.0356254898*F21+0.0324315384))+F24*('Product and Cost'!$D$29*F21*Assumptions!$B$88+'Product and Cost'!$B$29*(0.4863620081*F20+0.4455809638*F20+0.0356254898*F21+0.0324315384))+F25*('Product and Cost'!$D$30*F21*Assumptions!$B$88+'Product and Cost'!$B$30*(0.4863620081*F20+0.4455809638*F20+0.0356254898*F21+0.0324315384))+F26*('Product and Cost'!$D$31*F21*Assumptions!$B$88+'Product and Cost'!$B$31*(0.4863620081*F20+0.4455809638*F20+0.0356254898*F21+0.0324315384))+F27*('Product and Cost'!$D$32*F21*Assumptions!$B$88+'Product and Cost'!$B$32*(0.4863620081*F20+0.4455809638*F20+0.0356254898*F21+0.0324315384))+F28*('Product and Cost'!$D$33*F21*Assumptions!$B$88+'Product and Cost'!$B$33*(0.4863620081*F20+0.4455809638*F20+0.0356254898*F21+0.0324315384))+F29*('Product and Cost'!$D$34*F21*Assumptions!$B$88+'Product and Cost'!$B$34*(0.4863620081*F20+0.4455809638*F20+0.0356254898*F21+0.0324315384))</f>
        <v>63847.5732702</v>
      </c>
      <c r="G32" s="18">
        <f>G22*('Product and Cost'!$D$27*G21*Assumptions!$B$88+'Product and Cost'!$B$27*(0.4863620081*G20+0.4455809638*G20+0.0356254898*G21+0.0324315384))+G23*('Product and Cost'!$D$28*G21*Assumptions!$B$88+'Product and Cost'!$B$28*(0.4863620081*G20+0.4455809638*G20+0.0356254898*G21+0.0324315384))+G24*('Product and Cost'!$D$29*G21*Assumptions!$B$88+'Product and Cost'!$B$29*(0.4863620081*G20+0.4455809638*G20+0.0356254898*G21+0.0324315384))+G25*('Product and Cost'!$D$30*G21*Assumptions!$B$88+'Product and Cost'!$B$30*(0.4863620081*G20+0.4455809638*G20+0.0356254898*G21+0.0324315384))+G26*('Product and Cost'!$D$31*G21*Assumptions!$B$88+'Product and Cost'!$B$31*(0.4863620081*G20+0.4455809638*G20+0.0356254898*G21+0.0324315384))+G27*('Product and Cost'!$D$32*G21*Assumptions!$B$88+'Product and Cost'!$B$32*(0.4863620081*G20+0.4455809638*G20+0.0356254898*G21+0.0324315384))+G28*('Product and Cost'!$D$33*G21*Assumptions!$B$88+'Product and Cost'!$B$33*(0.4863620081*G20+0.4455809638*G20+0.0356254898*G21+0.0324315384))+G29*('Product and Cost'!$D$34*G21*Assumptions!$B$88+'Product and Cost'!$B$34*(0.4863620081*G20+0.4455809638*G20+0.0356254898*G21+0.0324315384))</f>
        <v>68797.1859175</v>
      </c>
    </row>
    <row r="33">
      <c r="A33" s="17" t="inlineStr">
        <is>
          <t>GROSS PROFIT</t>
        </is>
      </c>
      <c r="C33" s="20">
        <f>C31-C32+$B$7*C31</f>
        <v>4549.65064286</v>
      </c>
      <c r="D33" s="20">
        <f>D31-D32+$B$7*D31</f>
        <v>4784.18493236</v>
      </c>
      <c r="E33" s="20">
        <f>E31-E32+$B$7*E31</f>
        <v>4957.23599944</v>
      </c>
      <c r="F33" s="20">
        <f>F31-F32+$B$7*F31</f>
        <v>5104.60576669</v>
      </c>
      <c r="G33" s="20">
        <f>G31-G32+$B$7*G31</f>
        <v>5180.65726511</v>
      </c>
    </row>
    <row r="34">
      <c r="A34" s="9" t="inlineStr">
        <is>
          <t>Gross margin</t>
        </is>
      </c>
      <c r="C34" s="19">
        <f>C33/C31</f>
        <v>0.0861010750391</v>
      </c>
      <c r="D34" s="19">
        <f>D33/D31</f>
        <v>0.0818758768871</v>
      </c>
      <c r="E34" s="19">
        <f>E33/E31</f>
        <v>0.0777329622672</v>
      </c>
      <c r="F34" s="19">
        <f>F33/F31</f>
        <v>0.0740311015255</v>
      </c>
      <c r="G34" s="19">
        <f>G33/G31</f>
        <v>0.0700298500501</v>
      </c>
    </row>
    <row r="35">
      <c r="A35" s="9" t="inlineStr">
        <is>
          <t>Operating expense</t>
        </is>
      </c>
      <c r="C35" s="18">
        <f>('Base Year'!$B$28*C20)+('Base Year'!$B$29*C20*C30/'Product and Cost'!$E$14)+('Base Year'!$B$30*C20)+('Base Year'!$B$31*C20)</f>
        <v>2007.6668112</v>
      </c>
      <c r="D35" s="18">
        <f>('Base Year'!$B$28*D20)+('Base Year'!$B$29*D20*D30/'Product and Cost'!$E$14)+('Base Year'!$B$30*D20)+('Base Year'!$B$31*D20)</f>
        <v>2276.29775955</v>
      </c>
      <c r="E35" s="18">
        <f>('Base Year'!$B$28*E20)+('Base Year'!$B$29*E20*E30/'Product and Cost'!$E$14)+('Base Year'!$B$30*E20)+('Base Year'!$B$31*E20)</f>
        <v>2545.62118024</v>
      </c>
      <c r="F35" s="18">
        <f>('Base Year'!$B$28*F20)+('Base Year'!$B$29*F20*F30/'Product and Cost'!$E$14)+('Base Year'!$B$30*F20)+('Base Year'!$B$31*F20)</f>
        <v>2807.77881104</v>
      </c>
      <c r="G35" s="18">
        <f>('Base Year'!$B$28*G20)+('Base Year'!$B$29*G20*G30/'Product and Cost'!$E$14)+('Base Year'!$B$30*G20)+('Base Year'!$B$31*G20)</f>
        <v>3082.20998189</v>
      </c>
    </row>
    <row r="36">
      <c r="A36" s="17" t="inlineStr">
        <is>
          <t>EBITDA</t>
        </is>
      </c>
      <c r="C36" s="20">
        <f>C33-C35</f>
        <v>2541.98383166</v>
      </c>
      <c r="D36" s="20">
        <f>D33-D35</f>
        <v>2507.88717281</v>
      </c>
      <c r="E36" s="20">
        <f>E33-E35</f>
        <v>2411.6148192</v>
      </c>
      <c r="F36" s="20">
        <f>F33-F35</f>
        <v>2296.82695565</v>
      </c>
      <c r="G36" s="20">
        <f>G33-G35</f>
        <v>2098.44728323</v>
      </c>
    </row>
    <row r="37">
      <c r="A37" s="9" t="inlineStr">
        <is>
          <t>Capital expenditure — maintenance + growth</t>
        </is>
      </c>
      <c r="C37" s="18">
        <f>'Base Year'!$B$43*C20+MAX(C30-'Product and Cost'!$E$14,0)*1947.901031*C20</f>
        <v>280.931999159</v>
      </c>
      <c r="D37" s="18">
        <f>'Base Year'!$B$43*D20+MAX(D30-C30,0)*1947.901031*D20</f>
        <v>307.3675836</v>
      </c>
      <c r="E37" s="18">
        <f>'Base Year'!$B$43*E20+MAX(E30-D30,0)*1947.901031*E20</f>
        <v>328.639389001</v>
      </c>
      <c r="F37" s="18">
        <f>'Base Year'!$B$43*F20+MAX(F30-E30,0)*1947.901031*F20</f>
        <v>351.146749034</v>
      </c>
      <c r="G37" s="18">
        <f>'Base Year'!$B$43*G20+MAX(G30-F30,0)*1947.901031*G20</f>
        <v>375.372179467</v>
      </c>
    </row>
    <row r="38">
      <c r="A38" s="9" t="inlineStr">
        <is>
          <t>Fixed assets at cost, closing</t>
        </is>
      </c>
      <c r="C38" s="18">
        <f>(Assumptions!$B$70+Assumptions!$B$71)/10^6+C37</f>
        <v>3429.06589416</v>
      </c>
      <c r="D38" s="18">
        <f>C38+D37</f>
        <v>3736.43347776</v>
      </c>
      <c r="E38" s="18">
        <f>D38+E37</f>
        <v>4065.07286676</v>
      </c>
      <c r="F38" s="18">
        <f>E38+F37</f>
        <v>4416.21961579</v>
      </c>
      <c r="G38" s="18">
        <f>F38+G37</f>
        <v>4791.59179526</v>
      </c>
    </row>
    <row r="39">
      <c r="A39" s="9" t="inlineStr">
        <is>
          <t>Depreciation — rolls off the asset register</t>
        </is>
      </c>
      <c r="C39" s="18">
        <f>(Assumptions!$B$70+Assumptions!$B$71)/10^6/'Base Year'!$B$42</f>
        <v>173.808854481</v>
      </c>
      <c r="D39" s="18">
        <f>C38/'Base Year'!$B$42</f>
        <v>189.319144255</v>
      </c>
      <c r="E39" s="18">
        <f>D38/'Base Year'!$B$42</f>
        <v>206.288945856</v>
      </c>
      <c r="F39" s="18">
        <f>E38/'Base Year'!$B$42</f>
        <v>224.433166415</v>
      </c>
      <c r="G39" s="18">
        <f>F38/'Base Year'!$B$42</f>
        <v>243.820021053</v>
      </c>
    </row>
    <row r="40">
      <c r="A40" s="9" t="inlineStr">
        <is>
          <t>Fixed assets, net book, closing</t>
        </is>
      </c>
      <c r="C40" s="18">
        <f>(Assumptions!$B$69+Assumptions!$B$71)/10^6+C37-C39</f>
        <v>1407.46262168</v>
      </c>
      <c r="D40" s="18">
        <f>C40+D37-D39</f>
        <v>1525.51106102</v>
      </c>
      <c r="E40" s="18">
        <f>D40+E37-E39</f>
        <v>1647.86150417</v>
      </c>
      <c r="F40" s="18">
        <f>E40+F37-F39</f>
        <v>1774.57508679</v>
      </c>
      <c r="G40" s="18">
        <f>F40+G37-G39</f>
        <v>1906.1272452</v>
      </c>
    </row>
    <row r="41">
      <c r="A41" s="17" t="inlineStr">
        <is>
          <t>EBIT</t>
        </is>
      </c>
      <c r="C41" s="20">
        <f>C36-C39</f>
        <v>2368.17497718</v>
      </c>
      <c r="D41" s="20">
        <f>D36-D39</f>
        <v>2318.56802856</v>
      </c>
      <c r="E41" s="20">
        <f>E36-E39</f>
        <v>2205.32587334</v>
      </c>
      <c r="F41" s="20">
        <f>F36-F39</f>
        <v>2072.39378923</v>
      </c>
      <c r="G41" s="20">
        <f>G36-G39</f>
        <v>1854.62726217</v>
      </c>
    </row>
    <row r="42">
      <c r="A42" s="9" t="inlineStr">
        <is>
          <t>NOPAT before the profit share</t>
        </is>
      </c>
      <c r="C42" s="18">
        <f>C41*(1-Assumptions!$B$87)</f>
        <v>1835.33560732</v>
      </c>
      <c r="D42" s="18">
        <f>D41*(1-Assumptions!$B$87)</f>
        <v>1796.89022213</v>
      </c>
      <c r="E42" s="18">
        <f>E41*(1-Assumptions!$B$87)</f>
        <v>1709.12755184</v>
      </c>
      <c r="F42" s="18">
        <f>F41*(1-Assumptions!$B$87)</f>
        <v>1606.10518666</v>
      </c>
      <c r="G42" s="18">
        <f>G41*(1-Assumptions!$B$87)</f>
        <v>1437.33612818</v>
      </c>
    </row>
    <row r="43">
      <c r="A43" s="9" t="inlineStr">
        <is>
          <t xml:space="preserve">  less employees' profit share and board bonuses</t>
        </is>
      </c>
      <c r="C43" s="18">
        <f>MAX(C42,0)*'Base Year'!$B$40</f>
        <v>96.7608009272</v>
      </c>
      <c r="D43" s="18">
        <f>MAX(D42,0)*'Base Year'!$B$40</f>
        <v>94.7339202588</v>
      </c>
      <c r="E43" s="18">
        <f>MAX(E42,0)*'Base Year'!$B$40</f>
        <v>90.1069810576</v>
      </c>
      <c r="F43" s="18">
        <f>MAX(F42,0)*'Base Year'!$B$40</f>
        <v>84.6755348801</v>
      </c>
      <c r="G43" s="18">
        <f>MAX(G42,0)*'Base Year'!$B$40</f>
        <v>75.7778546933</v>
      </c>
    </row>
    <row r="44">
      <c r="A44" s="17" t="inlineStr">
        <is>
          <t>NOPAT</t>
        </is>
      </c>
      <c r="C44" s="20">
        <f>C42-C43</f>
        <v>1738.57480639</v>
      </c>
      <c r="D44" s="20">
        <f>D42-D43</f>
        <v>1702.15630187</v>
      </c>
      <c r="E44" s="20">
        <f>E42-E43</f>
        <v>1619.02057078</v>
      </c>
      <c r="F44" s="20">
        <f>F42-F43</f>
        <v>1521.42965178</v>
      </c>
      <c r="G44" s="20">
        <f>G42-G43</f>
        <v>1361.55827349</v>
      </c>
    </row>
    <row r="45">
      <c r="A45" s="9" t="inlineStr">
        <is>
          <t>Net working capital — on days</t>
        </is>
      </c>
      <c r="C45" s="18">
        <f>'Base Year'!$B$44*$B$9/365*C32+'Base Year'!$B$45*$B$9/365*C31-'Base Year'!$B$46*$B$9/365*C32</f>
        <v>2539.69193722</v>
      </c>
      <c r="D45" s="18">
        <f>'Base Year'!$B$44*$B$9/365*D32+'Base Year'!$B$45*$B$9/365*D31-'Base Year'!$B$46*$B$9/365*D32</f>
        <v>2816.01103091</v>
      </c>
      <c r="E45" s="18">
        <f>'Base Year'!$B$44*$B$9/365*E32+'Base Year'!$B$45*$B$9/365*E31-'Base Year'!$B$46*$B$9/365*E32</f>
        <v>3081.49643011</v>
      </c>
      <c r="F45" s="18">
        <f>'Base Year'!$B$44*$B$9/365*F32+'Base Year'!$B$45*$B$9/365*F31-'Base Year'!$B$46*$B$9/365*F32</f>
        <v>3339.61025534</v>
      </c>
      <c r="G45" s="18">
        <f>'Base Year'!$B$44*$B$9/365*G32+'Base Year'!$B$45*$B$9/365*G31-'Base Year'!$B$46*$B$9/365*G32</f>
        <v>3592.11140979</v>
      </c>
    </row>
    <row r="46">
      <c r="A46" s="9" t="inlineStr">
        <is>
          <t xml:space="preserve">  change in working capital</t>
        </is>
      </c>
      <c r="C46" s="18">
        <f>C45-('Base Year'!$B$44/365*'Base Year'!$B$21+'Base Year'!$B$45/365*'Base Year'!$B$19-'Base Year'!$B$46/365*'Base Year'!$B$21)</f>
        <v>288.28964822</v>
      </c>
      <c r="D46" s="18">
        <f>D45-C45</f>
        <v>276.319093691</v>
      </c>
      <c r="E46" s="18">
        <f>E45-D45</f>
        <v>265.485399203</v>
      </c>
      <c r="F46" s="18">
        <f>F45-E45</f>
        <v>258.113825222</v>
      </c>
      <c r="G46" s="18">
        <f>G45-F45</f>
        <v>252.501154457</v>
      </c>
    </row>
    <row r="47">
      <c r="A47" s="17" t="inlineStr">
        <is>
          <t>FREE CASH FLOW TO THE FIRM</t>
        </is>
      </c>
      <c r="C47" s="20">
        <f>C44+C39-C37-C46</f>
        <v>1343.16201349</v>
      </c>
      <c r="D47" s="20">
        <f>D44+D39-D37-D46</f>
        <v>1307.78876884</v>
      </c>
      <c r="E47" s="20">
        <f>E44+E39-E37-E46</f>
        <v>1231.18472844</v>
      </c>
      <c r="F47" s="20">
        <f>F44+F39-F37-F46</f>
        <v>1136.60224393</v>
      </c>
      <c r="G47" s="20">
        <f>G44+G39-G37-G46</f>
        <v>977.504960621</v>
      </c>
    </row>
    <row r="48">
      <c r="A48" s="9" t="inlineStr">
        <is>
          <t>Glide fraction</t>
        </is>
      </c>
      <c r="C48" s="26">
        <f>0.0000000000</f>
        <v>0</v>
      </c>
      <c r="D48" s="26">
        <f>0.3571428571</f>
        <v>0.3571428571</v>
      </c>
      <c r="E48" s="26">
        <f>0.6428571429</f>
        <v>0.6428571429</v>
      </c>
      <c r="F48" s="26">
        <f>0.8571428571</f>
        <v>0.8571428571</v>
      </c>
      <c r="G48" s="26">
        <f>1.0000000000</f>
        <v>1</v>
      </c>
    </row>
    <row r="49">
      <c r="A49" s="9" t="inlineStr">
        <is>
          <t>Forward cost of capital</t>
        </is>
      </c>
      <c r="C49" s="19">
        <f>$B$14-($B$14-$B$17)*C48</f>
        <v>0.31578338914</v>
      </c>
      <c r="D49" s="19">
        <f>$B$14-($B$14-$B$17)*D48</f>
        <v>0.268515637955</v>
      </c>
      <c r="E49" s="19">
        <f>$B$14-($B$14-$B$17)*E48</f>
        <v>0.230701436991</v>
      </c>
      <c r="F49" s="19">
        <f>$B$14-($B$14-$B$17)*F48</f>
        <v>0.202340786287</v>
      </c>
      <c r="G49" s="19">
        <f>$B$14-($B$14-$B$17)*G48</f>
        <v>0.183433685805</v>
      </c>
    </row>
    <row r="50">
      <c r="A50" s="9" t="inlineStr">
        <is>
          <t>Cumulative discount factor</t>
        </is>
      </c>
      <c r="C50" s="29">
        <f>1/(1+C49)</f>
        <v>0.760003514449</v>
      </c>
      <c r="D50" s="29">
        <f>C50/(1+D49)</f>
        <v>0.599128218612</v>
      </c>
      <c r="E50" s="29">
        <f>D50/(1+E49)</f>
        <v>0.486818492775</v>
      </c>
      <c r="F50" s="29">
        <f>E50/(1+F49)</f>
        <v>0.404892272081</v>
      </c>
      <c r="G50" s="29">
        <f>F50/(1+G49)</f>
        <v>0.342133468852</v>
      </c>
    </row>
    <row r="51">
      <c r="A51" s="9" t="inlineStr">
        <is>
          <t>Present value</t>
        </is>
      </c>
      <c r="C51" s="18">
        <f>C47*C50</f>
        <v>1020.80785073</v>
      </c>
      <c r="D51" s="18">
        <f>D47*D50</f>
        <v>783.533155394</v>
      </c>
      <c r="E51" s="18">
        <f>E47*E50</f>
        <v>599.363493825</v>
      </c>
      <c r="F51" s="18">
        <f>F47*F50</f>
        <v>460.201464998</v>
      </c>
      <c r="G51" s="18">
        <f>G47*G50</f>
        <v>334.437162997</v>
      </c>
    </row>
    <row r="52">
      <c r="A52" s="17" t="inlineStr">
        <is>
          <t>PV of the explicit window</t>
        </is>
      </c>
      <c r="B52" s="20">
        <f>SUM(C51:G51)</f>
        <v>3198.34312794</v>
      </c>
      <c r="C52" s="18">
        <f>C45+C38</f>
        <v>5968.75783138</v>
      </c>
      <c r="D52" s="18">
        <f>D45+D38</f>
        <v>6552.44450867</v>
      </c>
      <c r="E52" s="18">
        <f>E45+E38</f>
        <v>7146.56929687</v>
      </c>
      <c r="F52" s="18">
        <f>F45+F38</f>
        <v>7755.82987113</v>
      </c>
      <c r="G52" s="18">
        <f>G45+G38</f>
        <v>8383.70320505</v>
      </c>
    </row>
    <row r="53">
      <c r="A53" s="9" t="inlineStr">
        <is>
          <t>Terminal return on invested capital, at REPLACEMENT cost</t>
        </is>
      </c>
      <c r="B53" s="19">
        <f>G44*(1+Assumptions!$B$89)/G52</f>
        <v>0.170525620027</v>
      </c>
    </row>
    <row r="54">
      <c r="A54" s="9" t="inlineStr">
        <is>
          <t>Required reinvestment = growth / return</t>
        </is>
      </c>
      <c r="B54" s="19">
        <f>MIN(Assumptions!$B$89/B53,0.95)</f>
        <v>0.29321107287</v>
      </c>
    </row>
    <row r="55">
      <c r="A55" s="9" t="inlineStr">
        <is>
          <t>Terminal value</t>
        </is>
      </c>
      <c r="B55" s="18">
        <f>G44*(1+Assumptions!$B$89)*(1-B54)/MAX($B$17-Assumptions!$B$89,0.02)</f>
        <v>7572.68317077</v>
      </c>
    </row>
    <row r="56">
      <c r="A56" s="9" t="inlineStr">
        <is>
          <t>PV of the terminal block</t>
        </is>
      </c>
      <c r="B56" s="18">
        <f>B55*G50</f>
        <v>2590.86836173</v>
      </c>
    </row>
    <row r="57">
      <c r="A57" s="17" t="inlineStr">
        <is>
          <t>ENTERPRISE VALUE</t>
        </is>
      </c>
      <c r="B57" s="20">
        <f>B52+B56</f>
        <v>5789.21148967</v>
      </c>
    </row>
    <row r="58">
      <c r="A58" s="9" t="inlineStr">
        <is>
          <t>plus net cash</t>
        </is>
      </c>
      <c r="B58" s="18">
        <f>(Assumptions!$B$79-Assumptions!$B$82-Assumptions!$B$83)/10^6</f>
        <v>2442.544928</v>
      </c>
    </row>
    <row r="59">
      <c r="A59" s="9" t="inlineStr">
        <is>
          <t>Enterprise value including cash</t>
        </is>
      </c>
      <c r="B59" s="18">
        <f>B57+B58</f>
        <v>8231.75641767</v>
      </c>
    </row>
    <row r="60">
      <c r="A60" s="9" t="inlineStr">
        <is>
          <t>less minority — on the WHOLE enterprise, cash included</t>
        </is>
      </c>
      <c r="B60" s="18">
        <f>B59*'Base Year'!$B$41</f>
        <v>268.21073199</v>
      </c>
    </row>
    <row r="61">
      <c r="A61" s="9" t="inlineStr">
        <is>
          <t>less the tax-disputes provision</t>
        </is>
      </c>
      <c r="B61" s="18">
        <f>Assumptions!$B$78/10^6</f>
        <v>921.440353</v>
      </c>
    </row>
    <row r="62">
      <c r="A62" s="9" t="inlineStr">
        <is>
          <t>less dividends payable — declared, out of working capital</t>
        </is>
      </c>
      <c r="B62" s="18">
        <f>Assumptions!$B$77/10^6</f>
        <v>517.25</v>
      </c>
    </row>
    <row r="63">
      <c r="A63" s="9" t="inlineStr">
        <is>
          <t>plus non-operating investments and pledged deposits</t>
        </is>
      </c>
      <c r="B63" s="18">
        <f>(Assumptions!$B$81+Assumptions!$B$80)/10^6</f>
        <v>578.358746</v>
      </c>
    </row>
    <row r="64">
      <c r="A64" s="17" t="inlineStr">
        <is>
          <t>EQUITY ATTRIBUTABLE</t>
        </is>
      </c>
      <c r="B64" s="20">
        <f>B59-B60-B61-B62+B63</f>
        <v>7103.21407868</v>
      </c>
    </row>
    <row r="65">
      <c r="A65" s="17" t="inlineStr">
        <is>
          <t>VALUE PER SHARE, EGP</t>
        </is>
      </c>
      <c r="B65" s="30">
        <f>B64/Assumptions!$B$8</f>
        <v>5.49997218636</v>
      </c>
    </row>
  </sheetData>
  <mergeCells count="1">
    <mergeCell ref="A2:I2"/>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7" t="inlineStr">
        <is>
          <t>Summary — every cell points at its own live block below</t>
        </is>
      </c>
    </row>
    <row r="5">
      <c r="A5" s="7" t="inlineStr">
        <is>
          <t>Gross margin, shifted on every forecast year</t>
        </is>
      </c>
      <c r="B5" s="8" t="n"/>
      <c r="C5" s="8" t="n"/>
      <c r="D5" s="8" t="n"/>
      <c r="E5" s="8" t="n"/>
      <c r="F5" s="8" t="n"/>
      <c r="G5" s="8" t="n"/>
      <c r="H5" s="8" t="n"/>
      <c r="I5" s="8" t="n"/>
    </row>
    <row r="6">
      <c r="A6" s="9" t="inlineStr">
        <is>
          <t xml:space="preserve">   grid point 1: -1.0%</t>
        </is>
      </c>
      <c r="C6" s="14" t="n">
        <v>-0.01</v>
      </c>
      <c r="I6" s="30">
        <f>B95</f>
        <v>3.52790331295</v>
      </c>
    </row>
    <row r="7">
      <c r="A7" s="9" t="inlineStr">
        <is>
          <t xml:space="preserve">   grid point 2: -0.5%</t>
        </is>
      </c>
      <c r="C7" s="14" t="n">
        <v>-0.005</v>
      </c>
      <c r="I7" s="30">
        <f>B144</f>
        <v>4.51393774966</v>
      </c>
    </row>
    <row r="8">
      <c r="A8" s="9" t="inlineStr">
        <is>
          <t xml:space="preserve">   grid point 3: +0.0%</t>
        </is>
      </c>
      <c r="C8" s="14" t="n">
        <v>0</v>
      </c>
      <c r="I8" s="30">
        <f>B193</f>
        <v>5.49997218636</v>
      </c>
      <c r="J8" s="31">
        <f>B193-Forecast!B65</f>
        <v>0</v>
      </c>
    </row>
    <row r="9">
      <c r="A9" s="9" t="inlineStr">
        <is>
          <t xml:space="preserve">   grid point 4: +0.5%</t>
        </is>
      </c>
      <c r="C9" s="14" t="n">
        <v>0.005</v>
      </c>
      <c r="I9" s="30">
        <f>B242</f>
        <v>6.48600662306</v>
      </c>
    </row>
    <row r="10">
      <c r="A10" s="9" t="inlineStr">
        <is>
          <t xml:space="preserve">   grid point 5: +1.0%</t>
        </is>
      </c>
      <c r="C10" s="14" t="n">
        <v>0.01</v>
      </c>
      <c r="I10" s="30">
        <f>B291</f>
        <v>7.47204105977</v>
      </c>
    </row>
    <row r="12">
      <c r="A12" s="7" t="inlineStr">
        <is>
          <t>Volume growth path, as a multiple of the assumed path</t>
        </is>
      </c>
      <c r="B12" s="8" t="n"/>
      <c r="C12" s="8" t="n"/>
      <c r="D12" s="8" t="n"/>
      <c r="E12" s="8" t="n"/>
      <c r="F12" s="8" t="n"/>
      <c r="G12" s="8" t="n"/>
      <c r="H12" s="8" t="n"/>
      <c r="I12" s="8" t="n"/>
    </row>
    <row r="13">
      <c r="A13" s="9" t="inlineStr">
        <is>
          <t xml:space="preserve">   grid point 1: 0.00x</t>
        </is>
      </c>
      <c r="B13" s="11" t="n">
        <v>0</v>
      </c>
      <c r="I13" s="30">
        <f>B340</f>
        <v>4.82784695653</v>
      </c>
    </row>
    <row r="14">
      <c r="A14" s="9" t="inlineStr">
        <is>
          <t xml:space="preserve">   grid point 2: 0.50x</t>
        </is>
      </c>
      <c r="B14" s="11" t="n">
        <v>0.5</v>
      </c>
      <c r="I14" s="30">
        <f>B389</f>
        <v>5.15777077856</v>
      </c>
    </row>
    <row r="15">
      <c r="A15" s="9" t="inlineStr">
        <is>
          <t xml:space="preserve">   grid point 3: 1.00x</t>
        </is>
      </c>
      <c r="B15" s="11" t="n">
        <v>1</v>
      </c>
      <c r="I15" s="30">
        <f>B438</f>
        <v>5.49997218636</v>
      </c>
      <c r="J15" s="31">
        <f>B438-Forecast!B65</f>
        <v>0</v>
      </c>
    </row>
    <row r="16">
      <c r="A16" s="9" t="inlineStr">
        <is>
          <t xml:space="preserve">   grid point 4: 1.50x</t>
        </is>
      </c>
      <c r="B16" s="11" t="n">
        <v>1.5</v>
      </c>
      <c r="I16" s="30">
        <f>B487</f>
        <v>5.85483334492</v>
      </c>
    </row>
    <row r="17">
      <c r="A17" s="9" t="inlineStr">
        <is>
          <t xml:space="preserve">   grid point 5: 2.00x</t>
        </is>
      </c>
      <c r="B17" s="11" t="n">
        <v>2</v>
      </c>
      <c r="I17" s="30">
        <f>B536</f>
        <v>6.22274499078</v>
      </c>
    </row>
    <row r="19">
      <c r="A19" s="7" t="inlineStr">
        <is>
          <t>Realisation path, as a multiple of the assumed path</t>
        </is>
      </c>
      <c r="B19" s="8" t="n"/>
      <c r="C19" s="8" t="n"/>
      <c r="D19" s="8" t="n"/>
      <c r="E19" s="8" t="n"/>
      <c r="F19" s="8" t="n"/>
      <c r="G19" s="8" t="n"/>
      <c r="H19" s="8" t="n"/>
      <c r="I19" s="8" t="n"/>
    </row>
    <row r="20">
      <c r="A20" s="9" t="inlineStr">
        <is>
          <t xml:space="preserve">   grid point 1: 0.90x</t>
        </is>
      </c>
      <c r="D20" s="11" t="n">
        <v>0.9</v>
      </c>
      <c r="I20" s="30">
        <f>B585</f>
        <v>4.66118696278</v>
      </c>
    </row>
    <row r="21">
      <c r="A21" s="9" t="inlineStr">
        <is>
          <t xml:space="preserve">   grid point 2: 0.95x</t>
        </is>
      </c>
      <c r="D21" s="11" t="n">
        <v>0.95</v>
      </c>
      <c r="I21" s="30">
        <f>B634</f>
        <v>5.07825117983</v>
      </c>
    </row>
    <row r="22">
      <c r="A22" s="9" t="inlineStr">
        <is>
          <t xml:space="preserve">   grid point 3: 1.00x</t>
        </is>
      </c>
      <c r="D22" s="11" t="n">
        <v>1</v>
      </c>
      <c r="I22" s="30">
        <f>B683</f>
        <v>5.49997218636</v>
      </c>
      <c r="J22" s="31">
        <f>B683-Forecast!B65</f>
        <v>0</v>
      </c>
    </row>
    <row r="23">
      <c r="A23" s="9" t="inlineStr">
        <is>
          <t xml:space="preserve">   grid point 4: 1.05x</t>
        </is>
      </c>
      <c r="D23" s="11" t="n">
        <v>1.05</v>
      </c>
      <c r="I23" s="30">
        <f>B732</f>
        <v>5.92639087973</v>
      </c>
    </row>
    <row r="24">
      <c r="A24" s="9" t="inlineStr">
        <is>
          <t xml:space="preserve">   grid point 5: 1.10x</t>
        </is>
      </c>
      <c r="D24" s="11" t="n">
        <v>1.1</v>
      </c>
      <c r="I24" s="30">
        <f>B781</f>
        <v>6.35754840047</v>
      </c>
    </row>
    <row r="26">
      <c r="A26" s="7" t="inlineStr">
        <is>
          <t>Beta</t>
        </is>
      </c>
      <c r="B26" s="8" t="n"/>
      <c r="C26" s="8" t="n"/>
      <c r="D26" s="8" t="n"/>
      <c r="E26" s="8" t="n"/>
      <c r="F26" s="8" t="n"/>
      <c r="G26" s="8" t="n"/>
      <c r="H26" s="8" t="n"/>
      <c r="I26" s="8" t="n"/>
    </row>
    <row r="27">
      <c r="A27" s="9" t="inlineStr">
        <is>
          <t xml:space="preserve">   grid point 1: 0.6000</t>
        </is>
      </c>
      <c r="F27" s="14" t="n">
        <v>0.2753362359262052</v>
      </c>
      <c r="G27" s="14" t="n">
        <v>0.161982185805472</v>
      </c>
      <c r="I27" s="30">
        <f>B830</f>
        <v>6.33258626448</v>
      </c>
    </row>
    <row r="28">
      <c r="A28" s="9" t="inlineStr">
        <is>
          <t xml:space="preserve">   grid point 2: 0.8000</t>
        </is>
      </c>
      <c r="F28" s="14" t="n">
        <v>0.2990937414848922</v>
      </c>
      <c r="G28" s="14" t="n">
        <v>0.1745821858054719</v>
      </c>
      <c r="I28" s="30">
        <f>B879</f>
        <v>5.80892092264</v>
      </c>
    </row>
    <row r="29">
      <c r="A29" s="9" t="inlineStr">
        <is>
          <t xml:space="preserve">   grid point 3: 0.9405</t>
        </is>
      </c>
      <c r="F29" s="14" t="n">
        <v>0.3157833891398699</v>
      </c>
      <c r="G29" s="14" t="n">
        <v>0.183433685805472</v>
      </c>
      <c r="I29" s="30">
        <f>B928</f>
        <v>5.49997218636</v>
      </c>
      <c r="J29" s="31">
        <f>B928-Forecast!B65</f>
        <v>-8.881784197e-16</v>
      </c>
    </row>
    <row r="30">
      <c r="A30" s="9" t="inlineStr">
        <is>
          <t xml:space="preserve">   grid point 4: 1.1500</t>
        </is>
      </c>
      <c r="F30" s="14" t="n">
        <v>0.3406693762125945</v>
      </c>
      <c r="G30" s="14" t="n">
        <v>0.196632185805472</v>
      </c>
      <c r="I30" s="30">
        <f>B977</f>
        <v>5.10830873355</v>
      </c>
    </row>
    <row r="31">
      <c r="A31" s="9" t="inlineStr">
        <is>
          <t xml:space="preserve">   grid point 5: 1.3000</t>
        </is>
      </c>
      <c r="F31" s="14" t="n">
        <v>0.3584875053816097</v>
      </c>
      <c r="G31" s="14" t="n">
        <v>0.206082185805472</v>
      </c>
      <c r="I31" s="30">
        <f>B1026</f>
        <v>4.86841182158</v>
      </c>
    </row>
    <row r="33">
      <c r="A33" s="7" t="inlineStr">
        <is>
          <t>Working-capital cycle, as a multiple of the solved days</t>
        </is>
      </c>
      <c r="B33" s="8" t="n"/>
      <c r="C33" s="8" t="n"/>
      <c r="D33" s="8" t="n"/>
      <c r="E33" s="8" t="n"/>
      <c r="F33" s="8" t="n"/>
      <c r="G33" s="8" t="n"/>
      <c r="H33" s="8" t="n"/>
      <c r="I33" s="8" t="n"/>
    </row>
    <row r="34">
      <c r="A34" s="9" t="inlineStr">
        <is>
          <t xml:space="preserve">   grid point 1: 0.50x</t>
        </is>
      </c>
      <c r="E34" s="11" t="n">
        <v>0.5</v>
      </c>
      <c r="I34" s="30">
        <f>B1075</f>
        <v>6.57727288115</v>
      </c>
    </row>
    <row r="35">
      <c r="A35" s="9" t="inlineStr">
        <is>
          <t xml:space="preserve">   grid point 2: 0.75x</t>
        </is>
      </c>
      <c r="E35" s="11" t="n">
        <v>0.75</v>
      </c>
      <c r="I35" s="30">
        <f>B1124</f>
        <v>6.03862253375</v>
      </c>
    </row>
    <row r="36">
      <c r="A36" s="9" t="inlineStr">
        <is>
          <t xml:space="preserve">   grid point 3: 1.00x</t>
        </is>
      </c>
      <c r="E36" s="11" t="n">
        <v>1</v>
      </c>
      <c r="I36" s="30">
        <f>B1173</f>
        <v>5.49997218636</v>
      </c>
      <c r="J36" s="31">
        <f>B1173-Forecast!B65</f>
        <v>0</v>
      </c>
    </row>
    <row r="37">
      <c r="A37" s="9" t="inlineStr">
        <is>
          <t xml:space="preserve">   grid point 4: 1.25x</t>
        </is>
      </c>
      <c r="E37" s="11" t="n">
        <v>1.25</v>
      </c>
      <c r="I37" s="30">
        <f>B1222</f>
        <v>4.96132183897</v>
      </c>
    </row>
    <row r="38">
      <c r="A38" s="9" t="inlineStr">
        <is>
          <t xml:space="preserve">   grid point 5: 1.50x</t>
        </is>
      </c>
      <c r="E38" s="11" t="n">
        <v>1.5</v>
      </c>
      <c r="I38" s="30">
        <f>B1271</f>
        <v>4.42267149157</v>
      </c>
    </row>
    <row r="40">
      <c r="A40" s="7" t="inlineStr">
        <is>
          <t>Terminal growth</t>
        </is>
      </c>
      <c r="B40" s="8" t="n"/>
      <c r="C40" s="8" t="n"/>
      <c r="D40" s="8" t="n"/>
      <c r="E40" s="8" t="n"/>
      <c r="F40" s="8" t="n"/>
      <c r="G40" s="8" t="n"/>
      <c r="H40" s="8" t="n"/>
      <c r="I40" s="8" t="n"/>
    </row>
    <row r="41">
      <c r="A41" s="9" t="inlineStr">
        <is>
          <t xml:space="preserve">   grid point 1: 3.0%</t>
        </is>
      </c>
      <c r="H41" s="14" t="n">
        <v>0.03</v>
      </c>
      <c r="I41" s="30">
        <f>B1320</f>
        <v>5.48158090949</v>
      </c>
    </row>
    <row r="42">
      <c r="A42" s="9" t="inlineStr">
        <is>
          <t xml:space="preserve">   grid point 2: 4.0%</t>
        </is>
      </c>
      <c r="H42" s="14" t="n">
        <v>0.04</v>
      </c>
      <c r="I42" s="30">
        <f>B1369</f>
        <v>5.49013544062</v>
      </c>
    </row>
    <row r="43">
      <c r="A43" s="9" t="inlineStr">
        <is>
          <t xml:space="preserve">   grid point 3: 5.0%</t>
        </is>
      </c>
      <c r="H43" s="14" t="n">
        <v>0.05</v>
      </c>
      <c r="I43" s="30">
        <f>B1418</f>
        <v>5.49997218636</v>
      </c>
      <c r="J43" s="31">
        <f>B1418-Forecast!B65</f>
        <v>0</v>
      </c>
    </row>
    <row r="44">
      <c r="A44" s="9" t="inlineStr">
        <is>
          <t xml:space="preserve">   grid point 4: 6.0%</t>
        </is>
      </c>
      <c r="H44" s="14" t="n">
        <v>0.06</v>
      </c>
      <c r="I44" s="30">
        <f>B1467</f>
        <v>5.5114027832</v>
      </c>
    </row>
    <row r="45">
      <c r="A45" s="9" t="inlineStr">
        <is>
          <t xml:space="preserve">   grid point 5: 7.0%</t>
        </is>
      </c>
      <c r="H45" s="14" t="n">
        <v>0.07000000000000001</v>
      </c>
      <c r="I45" s="30">
        <f>B1516</f>
        <v>5.52484875963</v>
      </c>
    </row>
    <row r="47">
      <c r="A47" s="9"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9" t="inlineStr">
        <is>
          <t>Inflation index, cumulative</t>
        </is>
      </c>
      <c r="C50" s="26">
        <f>Assumptions!$B$146</f>
        <v>1.145</v>
      </c>
      <c r="D50" s="26">
        <f>C50*Assumptions!$B$147</f>
        <v>1.29385</v>
      </c>
      <c r="E50" s="26">
        <f>D50*Assumptions!$B$148</f>
        <v>1.44264275</v>
      </c>
      <c r="F50" s="26">
        <f>E50*Assumptions!$B$149</f>
        <v>1.586907025</v>
      </c>
      <c r="G50" s="26">
        <f>F50*Assumptions!$B$150</f>
        <v>1.73766319237</v>
      </c>
    </row>
    <row r="51">
      <c r="A51" s="9" t="inlineStr">
        <is>
          <t>Realisation index, cumulative</t>
        </is>
      </c>
      <c r="C51" s="26">
        <f>(1+Assumptions!$B$101*Forecast!$B$8)</f>
        <v>1.09</v>
      </c>
      <c r="D51" s="26">
        <f>C51*(1+Assumptions!$B$102*Forecast!$B$8)</f>
        <v>1.17175</v>
      </c>
      <c r="E51" s="26">
        <f>D51*(1+Assumptions!$B$103*Forecast!$B$8)</f>
        <v>1.24791375</v>
      </c>
      <c r="F51" s="26">
        <f>E51*(1+Assumptions!$B$104*Forecast!$B$8)</f>
        <v>1.3202927475</v>
      </c>
      <c r="G51" s="26">
        <f>F51*(1+Assumptions!$B$105*Forecast!$B$8)</f>
        <v>1.38894797037</v>
      </c>
    </row>
    <row r="52">
      <c r="A52" s="9" t="inlineStr">
        <is>
          <t xml:space="preserve">  Volume — Base and special oils, mn t</t>
        </is>
      </c>
      <c r="C52" s="26">
        <f>'Product and Cost'!E6*(1+Assumptions!$B$106*Forecast!$B$6)</f>
        <v>0.1148851682</v>
      </c>
      <c r="D52" s="26">
        <f>C52*(1+Assumptions!$B$107*Forecast!$B$6)</f>
        <v>0.119480574928</v>
      </c>
      <c r="E52" s="26">
        <f>D52*(1+Assumptions!$B$108*Forecast!$B$6)</f>
        <v>0.12366239505</v>
      </c>
      <c r="F52" s="26">
        <f>E52*(1+Assumptions!$B$109*Forecast!$B$6)</f>
        <v>0.127372266902</v>
      </c>
      <c r="G52" s="26">
        <f>F52*(1+Assumptions!$B$110*Forecast!$B$6)</f>
        <v>0.130938690375</v>
      </c>
    </row>
    <row r="53">
      <c r="A53" s="9" t="inlineStr">
        <is>
          <t xml:space="preserve">  Volume — Paraffin wax, mn t</t>
        </is>
      </c>
      <c r="C53" s="26">
        <f>'Product and Cost'!E7*(1+Assumptions!$B$111*Forecast!$B$6)</f>
        <v>0.089396788</v>
      </c>
      <c r="D53" s="26">
        <f>C53*(1+Assumptions!$B$112*Forecast!$B$6)</f>
        <v>0.09431361134</v>
      </c>
      <c r="E53" s="26">
        <f>D53*(1+Assumptions!$B$113*Forecast!$B$6)</f>
        <v>0.0985577238503</v>
      </c>
      <c r="F53" s="26">
        <f>E53*(1+Assumptions!$B$114*Forecast!$B$6)</f>
        <v>0.102302917357</v>
      </c>
      <c r="G53" s="26">
        <f>F53*(1+Assumptions!$B$115*Forecast!$B$6)</f>
        <v>0.105576610712</v>
      </c>
    </row>
    <row r="54">
      <c r="A54" s="9" t="inlineStr">
        <is>
          <t xml:space="preserve">  Volume — Gas oil, mn t</t>
        </is>
      </c>
      <c r="C54" s="26">
        <f>'Product and Cost'!E8*(1+Assumptions!$B$116*Forecast!$B$6)</f>
        <v>0.35023715724</v>
      </c>
      <c r="D54" s="26">
        <f>C54*(1+Assumptions!$B$117*Forecast!$B$6)</f>
        <v>0.357241900385</v>
      </c>
      <c r="E54" s="26">
        <f>D54*(1+Assumptions!$B$118*Forecast!$B$6)</f>
        <v>0.363672254592</v>
      </c>
      <c r="F54" s="26">
        <f>E54*(1+Assumptions!$B$119*Forecast!$B$6)</f>
        <v>0.369491010665</v>
      </c>
      <c r="G54" s="26">
        <f>F54*(1+Assumptions!$B$120*Forecast!$B$6)</f>
        <v>0.375033375825</v>
      </c>
    </row>
    <row r="55">
      <c r="A55" s="9" t="inlineStr">
        <is>
          <t xml:space="preserve">  Volume — Naphtha, mn t</t>
        </is>
      </c>
      <c r="C55" s="26">
        <f>'Product and Cost'!E9*(1+Assumptions!$B$121*Forecast!$B$6)</f>
        <v>0.08410463971</v>
      </c>
      <c r="D55" s="26">
        <f>C55*(1+Assumptions!$B$122*Forecast!$B$6)</f>
        <v>0.0856185232248</v>
      </c>
      <c r="E55" s="26">
        <f>D55*(1+Assumptions!$B$123*Forecast!$B$6)</f>
        <v>0.0871596566428</v>
      </c>
      <c r="F55" s="26">
        <f>E55*(1+Assumptions!$B$124*Forecast!$B$6)</f>
        <v>0.0885542111491</v>
      </c>
      <c r="G55" s="26">
        <f>F55*(1+Assumptions!$B$125*Forecast!$B$6)</f>
        <v>0.0898825243163</v>
      </c>
    </row>
    <row r="56">
      <c r="A56" s="9" t="inlineStr">
        <is>
          <t xml:space="preserve">  Volume — Liquefied petroleum gas, mn t</t>
        </is>
      </c>
      <c r="C56" s="26">
        <f>'Product and Cost'!E10*(1+Assumptions!$B$126*Forecast!$B$6)</f>
        <v>0.0486583449</v>
      </c>
      <c r="D56" s="26">
        <f>C56*(1+Assumptions!$B$127*Forecast!$B$6)</f>
        <v>0.0497288284878</v>
      </c>
      <c r="E56" s="26">
        <f>D56*(1+Assumptions!$B$128*Forecast!$B$6)</f>
        <v>0.0507234050576</v>
      </c>
      <c r="F56" s="26">
        <f>E56*(1+Assumptions!$B$129*Forecast!$B$6)</f>
        <v>0.0516364263486</v>
      </c>
      <c r="G56" s="26">
        <f>F56*(1+Assumptions!$B$130*Forecast!$B$6)</f>
        <v>0.0524626091702</v>
      </c>
    </row>
    <row r="57">
      <c r="A57" s="9" t="inlineStr">
        <is>
          <t xml:space="preserve">  Volume — Fuel oil (mix), mn t</t>
        </is>
      </c>
      <c r="C57" s="26">
        <f>'Product and Cost'!E11*(1+Assumptions!$B$131*Forecast!$B$6)</f>
        <v>0.947916416</v>
      </c>
      <c r="D57" s="26">
        <f>C57*(1+Assumptions!$B$132*Forecast!$B$6)</f>
        <v>0.972562242816</v>
      </c>
      <c r="E57" s="26">
        <f>D57*(1+Assumptions!$B$133*Forecast!$B$6)</f>
        <v>0.993958612158</v>
      </c>
      <c r="F57" s="26">
        <f>E57*(1+Assumptions!$B$134*Forecast!$B$6)</f>
        <v>1.0138377844</v>
      </c>
      <c r="G57" s="26">
        <f>F57*(1+Assumptions!$B$135*Forecast!$B$6)</f>
        <v>1.03208686452</v>
      </c>
    </row>
    <row r="58">
      <c r="A58" s="9" t="inlineStr">
        <is>
          <t xml:space="preserve">  Volume — Heavy fuel oil, mn t</t>
        </is>
      </c>
      <c r="C58" s="26">
        <f>'Product and Cost'!E12*(1+Assumptions!$B$136*Forecast!$B$6)</f>
        <v>0.0292281408</v>
      </c>
      <c r="D58" s="26">
        <f>C58*(1+Assumptions!$B$137*Forecast!$B$6)</f>
        <v>0.0297542473344</v>
      </c>
      <c r="E58" s="26">
        <f>D58*(1+Assumptions!$B$138*Forecast!$B$6)</f>
        <v>0.0302303152918</v>
      </c>
      <c r="F58" s="26">
        <f>E58*(1+Assumptions!$B$139*Forecast!$B$6)</f>
        <v>0.0306837700211</v>
      </c>
      <c r="G58" s="26">
        <f>F58*(1+Assumptions!$B$140*Forecast!$B$6)</f>
        <v>0.0311133428014</v>
      </c>
    </row>
    <row r="59">
      <c r="A59" s="9" t="inlineStr">
        <is>
          <t xml:space="preserve">  Volume — Waste, mn t</t>
        </is>
      </c>
      <c r="C59" s="26">
        <f>'Product and Cost'!E13*(1+Assumptions!$B$141*Forecast!$B$6)</f>
        <v>1.564e-05</v>
      </c>
      <c r="D59" s="26">
        <f>C59*(1+Assumptions!$B$142*Forecast!$B$6)</f>
        <v>1.564e-05</v>
      </c>
      <c r="E59" s="26">
        <f>D59*(1+Assumptions!$B$143*Forecast!$B$6)</f>
        <v>1.564e-05</v>
      </c>
      <c r="F59" s="26">
        <f>E59*(1+Assumptions!$B$144*Forecast!$B$6)</f>
        <v>1.564e-05</v>
      </c>
      <c r="G59" s="26">
        <f>F59*(1+Assumptions!$B$145*Forecast!$B$6)</f>
        <v>1.564e-05</v>
      </c>
    </row>
    <row r="60">
      <c r="A60" s="17" t="inlineStr">
        <is>
          <t>Total volume, mn t</t>
        </is>
      </c>
      <c r="C60" s="28">
        <f>SUM(C52:C59)</f>
        <v>1.66444229485</v>
      </c>
      <c r="D60" s="28">
        <f>SUM(D52:D59)</f>
        <v>1.70871556852</v>
      </c>
      <c r="E60" s="28">
        <f>SUM(E52:E59)</f>
        <v>1.74798000264</v>
      </c>
      <c r="F60" s="28">
        <f>SUM(F52:F59)</f>
        <v>1.78389402684</v>
      </c>
      <c r="G60" s="28">
        <f>SUM(G52:G59)</f>
        <v>1.81710965772</v>
      </c>
    </row>
    <row r="61">
      <c r="A61" s="17" t="inlineStr">
        <is>
          <t>REVENUE</t>
        </is>
      </c>
      <c r="C61" s="20">
        <f>C52*'Product and Cost'!$F$6*C51+C53*'Product and Cost'!$F$7*C51+C54*'Product and Cost'!$F$8*C51+C55*'Product and Cost'!$F$9*C51+C56*'Product and Cost'!$F$10*C51+C57*'Product and Cost'!$F$11*C51+C58*'Product and Cost'!$F$12*C51+C59*'Product and Cost'!$F$13*C51</f>
        <v>52840.8111141</v>
      </c>
      <c r="D61" s="20">
        <f>D52*'Product and Cost'!$F$6*D51+D53*'Product and Cost'!$F$7*D51+D54*'Product and Cost'!$F$8*D51+D55*'Product and Cost'!$F$9*D51+D56*'Product and Cost'!$F$10*D51+D57*'Product and Cost'!$F$11*D51+D58*'Product and Cost'!$F$12*D51+D59*'Product and Cost'!$F$13*D51</f>
        <v>58432.1672543</v>
      </c>
      <c r="E61" s="20">
        <f>E52*'Product and Cost'!$F$6*E51+E53*'Product and Cost'!$F$7*E51+E54*'Product and Cost'!$F$8*E51+E55*'Product and Cost'!$F$9*E51+E56*'Product and Cost'!$F$10*E51+E57*'Product and Cost'!$F$11*E51+E58*'Product and Cost'!$F$12*E51+E59*'Product and Cost'!$F$13*E51</f>
        <v>63772.6371781</v>
      </c>
      <c r="F61" s="20">
        <f>F52*'Product and Cost'!$F$6*F51+F53*'Product and Cost'!$F$7*F51+F54*'Product and Cost'!$F$8*F51+F55*'Product and Cost'!$F$9*F51+F56*'Product and Cost'!$F$10*F51+F57*'Product and Cost'!$F$11*F51+F58*'Product and Cost'!$F$12*F51+F59*'Product and Cost'!$F$13*F51</f>
        <v>68952.1790369</v>
      </c>
      <c r="G61" s="20">
        <f>G52*'Product and Cost'!$F$6*G51+G53*'Product and Cost'!$F$7*G51+G54*'Product and Cost'!$F$8*G51+G55*'Product and Cost'!$F$9*G51+G56*'Product and Cost'!$F$10*G51+G57*'Product and Cost'!$F$11*G51+G58*'Product and Cost'!$F$12*G51+G59*'Product and Cost'!$F$13*G51</f>
        <v>73977.8431827</v>
      </c>
    </row>
    <row r="62">
      <c r="A62" s="9" t="inlineStr">
        <is>
          <t>Cost of sales</t>
        </is>
      </c>
      <c r="C62" s="18">
        <f>C52*('Product and Cost'!$D$27*C51*Assumptions!$B$88+'Product and Cost'!$B$27*(0.4863620081*C50+0.4455809638*C50+0.0356254898*C51+0.0324315384))+C53*('Product and Cost'!$D$28*C51*Assumptions!$B$88+'Product and Cost'!$B$28*(0.4863620081*C50+0.4455809638*C50+0.0356254898*C51+0.0324315384))+C54*('Product and Cost'!$D$29*C51*Assumptions!$B$88+'Product and Cost'!$B$29*(0.4863620081*C50+0.4455809638*C50+0.0356254898*C51+0.0324315384))+C55*('Product and Cost'!$D$30*C51*Assumptions!$B$88+'Product and Cost'!$B$30*(0.4863620081*C50+0.4455809638*C50+0.0356254898*C51+0.0324315384))+C56*('Product and Cost'!$D$31*C51*Assumptions!$B$88+'Product and Cost'!$B$31*(0.4863620081*C50+0.4455809638*C50+0.0356254898*C51+0.0324315384))+C57*('Product and Cost'!$D$32*C51*Assumptions!$B$88+'Product and Cost'!$B$32*(0.4863620081*C50+0.4455809638*C50+0.0356254898*C51+0.0324315384))+C58*('Product and Cost'!$D$33*C51*Assumptions!$B$88+'Product and Cost'!$B$33*(0.4863620081*C50+0.4455809638*C50+0.0356254898*C51+0.0324315384))+C59*('Product and Cost'!$D$34*C51*Assumptions!$B$88+'Product and Cost'!$B$34*(0.4863620081*C50+0.4455809638*C50+0.0356254898*C51+0.0324315384))</f>
        <v>48291.1604712</v>
      </c>
      <c r="D62" s="18">
        <f>D52*('Product and Cost'!$D$27*D51*Assumptions!$B$88+'Product and Cost'!$B$27*(0.4863620081*D50+0.4455809638*D50+0.0356254898*D51+0.0324315384))+D53*('Product and Cost'!$D$28*D51*Assumptions!$B$88+'Product and Cost'!$B$28*(0.4863620081*D50+0.4455809638*D50+0.0356254898*D51+0.0324315384))+D54*('Product and Cost'!$D$29*D51*Assumptions!$B$88+'Product and Cost'!$B$29*(0.4863620081*D50+0.4455809638*D50+0.0356254898*D51+0.0324315384))+D55*('Product and Cost'!$D$30*D51*Assumptions!$B$88+'Product and Cost'!$B$30*(0.4863620081*D50+0.4455809638*D50+0.0356254898*D51+0.0324315384))+D56*('Product and Cost'!$D$31*D51*Assumptions!$B$88+'Product and Cost'!$B$31*(0.4863620081*D50+0.4455809638*D50+0.0356254898*D51+0.0324315384))+D57*('Product and Cost'!$D$32*D51*Assumptions!$B$88+'Product and Cost'!$B$32*(0.4863620081*D50+0.4455809638*D50+0.0356254898*D51+0.0324315384))+D58*('Product and Cost'!$D$33*D51*Assumptions!$B$88+'Product and Cost'!$B$33*(0.4863620081*D50+0.4455809638*D50+0.0356254898*D51+0.0324315384))+D59*('Product and Cost'!$D$34*D51*Assumptions!$B$88+'Product and Cost'!$B$34*(0.4863620081*D50+0.4455809638*D50+0.0356254898*D51+0.0324315384))</f>
        <v>53647.9823219</v>
      </c>
      <c r="E62" s="18">
        <f>E52*('Product and Cost'!$D$27*E51*Assumptions!$B$88+'Product and Cost'!$B$27*(0.4863620081*E50+0.4455809638*E50+0.0356254898*E51+0.0324315384))+E53*('Product and Cost'!$D$28*E51*Assumptions!$B$88+'Product and Cost'!$B$28*(0.4863620081*E50+0.4455809638*E50+0.0356254898*E51+0.0324315384))+E54*('Product and Cost'!$D$29*E51*Assumptions!$B$88+'Product and Cost'!$B$29*(0.4863620081*E50+0.4455809638*E50+0.0356254898*E51+0.0324315384))+E55*('Product and Cost'!$D$30*E51*Assumptions!$B$88+'Product and Cost'!$B$30*(0.4863620081*E50+0.4455809638*E50+0.0356254898*E51+0.0324315384))+E56*('Product and Cost'!$D$31*E51*Assumptions!$B$88+'Product and Cost'!$B$31*(0.4863620081*E50+0.4455809638*E50+0.0356254898*E51+0.0324315384))+E57*('Product and Cost'!$D$32*E51*Assumptions!$B$88+'Product and Cost'!$B$32*(0.4863620081*E50+0.4455809638*E50+0.0356254898*E51+0.0324315384))+E58*('Product and Cost'!$D$33*E51*Assumptions!$B$88+'Product and Cost'!$B$33*(0.4863620081*E50+0.4455809638*E50+0.0356254898*E51+0.0324315384))+E59*('Product and Cost'!$D$34*E51*Assumptions!$B$88+'Product and Cost'!$B$34*(0.4863620081*E50+0.4455809638*E50+0.0356254898*E51+0.0324315384))</f>
        <v>58815.4011786</v>
      </c>
      <c r="F62" s="18">
        <f>F52*('Product and Cost'!$D$27*F51*Assumptions!$B$88+'Product and Cost'!$B$27*(0.4863620081*F50+0.4455809638*F50+0.0356254898*F51+0.0324315384))+F53*('Product and Cost'!$D$28*F51*Assumptions!$B$88+'Product and Cost'!$B$28*(0.4863620081*F50+0.4455809638*F50+0.0356254898*F51+0.0324315384))+F54*('Product and Cost'!$D$29*F51*Assumptions!$B$88+'Product and Cost'!$B$29*(0.4863620081*F50+0.4455809638*F50+0.0356254898*F51+0.0324315384))+F55*('Product and Cost'!$D$30*F51*Assumptions!$B$88+'Product and Cost'!$B$30*(0.4863620081*F50+0.4455809638*F50+0.0356254898*F51+0.0324315384))+F56*('Product and Cost'!$D$31*F51*Assumptions!$B$88+'Product and Cost'!$B$31*(0.4863620081*F50+0.4455809638*F50+0.0356254898*F51+0.0324315384))+F57*('Product and Cost'!$D$32*F51*Assumptions!$B$88+'Product and Cost'!$B$32*(0.4863620081*F50+0.4455809638*F50+0.0356254898*F51+0.0324315384))+F58*('Product and Cost'!$D$33*F51*Assumptions!$B$88+'Product and Cost'!$B$33*(0.4863620081*F50+0.4455809638*F50+0.0356254898*F51+0.0324315384))+F59*('Product and Cost'!$D$34*F51*Assumptions!$B$88+'Product and Cost'!$B$34*(0.4863620081*F50+0.4455809638*F50+0.0356254898*F51+0.0324315384))</f>
        <v>63847.5732702</v>
      </c>
      <c r="G62" s="18">
        <f>G52*('Product and Cost'!$D$27*G51*Assumptions!$B$88+'Product and Cost'!$B$27*(0.4863620081*G50+0.4455809638*G50+0.0356254898*G51+0.0324315384))+G53*('Product and Cost'!$D$28*G51*Assumptions!$B$88+'Product and Cost'!$B$28*(0.4863620081*G50+0.4455809638*G50+0.0356254898*G51+0.0324315384))+G54*('Product and Cost'!$D$29*G51*Assumptions!$B$88+'Product and Cost'!$B$29*(0.4863620081*G50+0.4455809638*G50+0.0356254898*G51+0.0324315384))+G55*('Product and Cost'!$D$30*G51*Assumptions!$B$88+'Product and Cost'!$B$30*(0.4863620081*G50+0.4455809638*G50+0.0356254898*G51+0.0324315384))+G56*('Product and Cost'!$D$31*G51*Assumptions!$B$88+'Product and Cost'!$B$31*(0.4863620081*G50+0.4455809638*G50+0.0356254898*G51+0.0324315384))+G57*('Product and Cost'!$D$32*G51*Assumptions!$B$88+'Product and Cost'!$B$32*(0.4863620081*G50+0.4455809638*G50+0.0356254898*G51+0.0324315384))+G58*('Product and Cost'!$D$33*G51*Assumptions!$B$88+'Product and Cost'!$B$33*(0.4863620081*G50+0.4455809638*G50+0.0356254898*G51+0.0324315384))+G59*('Product and Cost'!$D$34*G51*Assumptions!$B$88+'Product and Cost'!$B$34*(0.4863620081*G50+0.4455809638*G50+0.0356254898*G51+0.0324315384))</f>
        <v>68797.1859175</v>
      </c>
    </row>
    <row r="63">
      <c r="A63" s="17" t="inlineStr">
        <is>
          <t>GROSS PROFIT</t>
        </is>
      </c>
      <c r="C63" s="20">
        <f>C61-C62+$C$6*C61</f>
        <v>4021.24253172</v>
      </c>
      <c r="D63" s="20">
        <f>D61-D62+$C$6*D61</f>
        <v>4199.86325981</v>
      </c>
      <c r="E63" s="20">
        <f>E61-E62+$C$6*E61</f>
        <v>4319.50962766</v>
      </c>
      <c r="F63" s="20">
        <f>F61-F62+$C$6*F61</f>
        <v>4415.08397632</v>
      </c>
      <c r="G63" s="20">
        <f>G61-G62+$C$6*G61</f>
        <v>4440.87883329</v>
      </c>
    </row>
    <row r="64">
      <c r="A64" s="9" t="inlineStr">
        <is>
          <t>Gross margin</t>
        </is>
      </c>
      <c r="C64" s="19">
        <f>C63/C61</f>
        <v>0.0761010750391</v>
      </c>
      <c r="D64" s="19">
        <f>D63/D61</f>
        <v>0.0718758768871</v>
      </c>
      <c r="E64" s="19">
        <f>E63/E61</f>
        <v>0.0677329622672</v>
      </c>
      <c r="F64" s="19">
        <f>F63/F61</f>
        <v>0.0640311015255</v>
      </c>
      <c r="G64" s="19">
        <f>G63/G61</f>
        <v>0.0600298500501</v>
      </c>
    </row>
    <row r="65">
      <c r="A65" s="9" t="inlineStr">
        <is>
          <t>Operating expense</t>
        </is>
      </c>
      <c r="C65" s="18">
        <f>('Base Year'!$B$28*C50)+('Base Year'!$B$29*C50*C60/'Product and Cost'!$E$14)+('Base Year'!$B$30*C50)+('Base Year'!$B$31*C50)</f>
        <v>2007.6668112</v>
      </c>
      <c r="D65" s="18">
        <f>('Base Year'!$B$28*D50)+('Base Year'!$B$29*D50*D60/'Product and Cost'!$E$14)+('Base Year'!$B$30*D50)+('Base Year'!$B$31*D50)</f>
        <v>2276.29775955</v>
      </c>
      <c r="E65" s="18">
        <f>('Base Year'!$B$28*E50)+('Base Year'!$B$29*E50*E60/'Product and Cost'!$E$14)+('Base Year'!$B$30*E50)+('Base Year'!$B$31*E50)</f>
        <v>2545.62118024</v>
      </c>
      <c r="F65" s="18">
        <f>('Base Year'!$B$28*F50)+('Base Year'!$B$29*F50*F60/'Product and Cost'!$E$14)+('Base Year'!$B$30*F50)+('Base Year'!$B$31*F50)</f>
        <v>2807.77881104</v>
      </c>
      <c r="G65" s="18">
        <f>('Base Year'!$B$28*G50)+('Base Year'!$B$29*G50*G60/'Product and Cost'!$E$14)+('Base Year'!$B$30*G50)+('Base Year'!$B$31*G50)</f>
        <v>3082.20998189</v>
      </c>
    </row>
    <row r="66">
      <c r="A66" s="17" t="inlineStr">
        <is>
          <t>EBITDA</t>
        </is>
      </c>
      <c r="C66" s="20">
        <f>C63-C65</f>
        <v>2013.57572052</v>
      </c>
      <c r="D66" s="20">
        <f>D63-D65</f>
        <v>1923.56550027</v>
      </c>
      <c r="E66" s="20">
        <f>E63-E65</f>
        <v>1773.88844742</v>
      </c>
      <c r="F66" s="20">
        <f>F63-F65</f>
        <v>1607.30516528</v>
      </c>
      <c r="G66" s="20">
        <f>G63-G65</f>
        <v>1358.6688514</v>
      </c>
    </row>
    <row r="67">
      <c r="A67" s="9" t="inlineStr">
        <is>
          <t>Capital expenditure — maintenance + growth</t>
        </is>
      </c>
      <c r="C67" s="18">
        <f>'Base Year'!$B$43*C50+MAX(C60-'Product and Cost'!$E$14,0)*1947.901031*C50</f>
        <v>280.931999159</v>
      </c>
      <c r="D67" s="18">
        <f>'Base Year'!$B$43*D50+MAX(D60-C60,0)*1947.901031*D50</f>
        <v>307.3675836</v>
      </c>
      <c r="E67" s="18">
        <f>'Base Year'!$B$43*E50+MAX(E60-D60,0)*1947.901031*E50</f>
        <v>328.639389001</v>
      </c>
      <c r="F67" s="18">
        <f>'Base Year'!$B$43*F50+MAX(F60-E60,0)*1947.901031*F50</f>
        <v>351.146749034</v>
      </c>
      <c r="G67" s="18">
        <f>'Base Year'!$B$43*G50+MAX(G60-F60,0)*1947.901031*G50</f>
        <v>375.372179467</v>
      </c>
    </row>
    <row r="68">
      <c r="A68" s="9" t="inlineStr">
        <is>
          <t>Fixed assets at cost, closing</t>
        </is>
      </c>
      <c r="C68" s="18">
        <f>(Assumptions!$B$70+Assumptions!$B$71)/10^6+C67</f>
        <v>3429.06589416</v>
      </c>
      <c r="D68" s="18">
        <f>C68+D67</f>
        <v>3736.43347776</v>
      </c>
      <c r="E68" s="18">
        <f>D68+E67</f>
        <v>4065.07286676</v>
      </c>
      <c r="F68" s="18">
        <f>E68+F67</f>
        <v>4416.21961579</v>
      </c>
      <c r="G68" s="18">
        <f>F68+G67</f>
        <v>4791.59179526</v>
      </c>
    </row>
    <row r="69">
      <c r="A69" s="9" t="inlineStr">
        <is>
          <t>Depreciation — rolls off the asset register</t>
        </is>
      </c>
      <c r="C69" s="18">
        <f>(Assumptions!$B$70+Assumptions!$B$71)/10^6/'Base Year'!$B$42</f>
        <v>173.808854481</v>
      </c>
      <c r="D69" s="18">
        <f>C68/'Base Year'!$B$42</f>
        <v>189.319144255</v>
      </c>
      <c r="E69" s="18">
        <f>D68/'Base Year'!$B$42</f>
        <v>206.288945856</v>
      </c>
      <c r="F69" s="18">
        <f>E68/'Base Year'!$B$42</f>
        <v>224.433166415</v>
      </c>
      <c r="G69" s="18">
        <f>F68/'Base Year'!$B$42</f>
        <v>243.820021053</v>
      </c>
    </row>
    <row r="70">
      <c r="A70" s="9" t="inlineStr">
        <is>
          <t>Fixed assets, net book, closing</t>
        </is>
      </c>
      <c r="C70" s="18">
        <f>(Assumptions!$B$69+Assumptions!$B$71)/10^6+C67-C69</f>
        <v>1407.46262168</v>
      </c>
      <c r="D70" s="18">
        <f>C70+D67-D69</f>
        <v>1525.51106102</v>
      </c>
      <c r="E70" s="18">
        <f>D70+E67-E69</f>
        <v>1647.86150417</v>
      </c>
      <c r="F70" s="18">
        <f>E70+F67-F69</f>
        <v>1774.57508679</v>
      </c>
      <c r="G70" s="18">
        <f>F70+G67-G69</f>
        <v>1906.1272452</v>
      </c>
    </row>
    <row r="71">
      <c r="A71" s="17" t="inlineStr">
        <is>
          <t>EBIT</t>
        </is>
      </c>
      <c r="C71" s="20">
        <f>C66-C69</f>
        <v>1839.76686604</v>
      </c>
      <c r="D71" s="20">
        <f>D66-D69</f>
        <v>1734.24635601</v>
      </c>
      <c r="E71" s="20">
        <f>E66-E69</f>
        <v>1567.59950156</v>
      </c>
      <c r="F71" s="20">
        <f>F66-F69</f>
        <v>1382.87199886</v>
      </c>
      <c r="G71" s="20">
        <f>G66-G69</f>
        <v>1114.84883035</v>
      </c>
    </row>
    <row r="72">
      <c r="A72" s="9" t="inlineStr">
        <is>
          <t>NOPAT before the profit share</t>
        </is>
      </c>
      <c r="C72" s="18">
        <f>C71*(1-Assumptions!$B$87)</f>
        <v>1425.81932118</v>
      </c>
      <c r="D72" s="18">
        <f>D71*(1-Assumptions!$B$87)</f>
        <v>1344.04092591</v>
      </c>
      <c r="E72" s="18">
        <f>E71*(1-Assumptions!$B$87)</f>
        <v>1214.88961371</v>
      </c>
      <c r="F72" s="18">
        <f>F71*(1-Assumptions!$B$87)</f>
        <v>1071.72579912</v>
      </c>
      <c r="G72" s="18">
        <f>G71*(1-Assumptions!$B$87)</f>
        <v>864.007843519</v>
      </c>
    </row>
    <row r="73">
      <c r="A73" s="9" t="inlineStr">
        <is>
          <t xml:space="preserve">  less employees' profit share and board bonuses</t>
        </is>
      </c>
      <c r="C73" s="18">
        <f>MAX(C72,0)*'Base Year'!$B$40</f>
        <v>75.1706766572</v>
      </c>
      <c r="D73" s="18">
        <f>MAX(D72,0)*'Base Year'!$B$40</f>
        <v>70.8592346553</v>
      </c>
      <c r="E73" s="18">
        <f>MAX(E72,0)*'Base Year'!$B$40</f>
        <v>64.0502432319</v>
      </c>
      <c r="F73" s="18">
        <f>MAX(F72,0)*'Base Year'!$B$40</f>
        <v>56.5024981173</v>
      </c>
      <c r="G73" s="18">
        <f>MAX(G72,0)*'Base Year'!$B$40</f>
        <v>45.5513915891</v>
      </c>
    </row>
    <row r="74">
      <c r="A74" s="17" t="inlineStr">
        <is>
          <t>NOPAT</t>
        </is>
      </c>
      <c r="C74" s="20">
        <f>C72-C73</f>
        <v>1350.64864453</v>
      </c>
      <c r="D74" s="20">
        <f>D72-D73</f>
        <v>1273.18169126</v>
      </c>
      <c r="E74" s="20">
        <f>E72-E73</f>
        <v>1150.83937048</v>
      </c>
      <c r="F74" s="20">
        <f>F72-F73</f>
        <v>1015.223301</v>
      </c>
      <c r="G74" s="20">
        <f>G72-G73</f>
        <v>818.45645193</v>
      </c>
    </row>
    <row r="75">
      <c r="A75" s="9" t="inlineStr">
        <is>
          <t>Net working capital — on days</t>
        </is>
      </c>
      <c r="C75" s="18">
        <f>'Base Year'!$B$44*Forecast!$B$9/365*C62+'Base Year'!$B$45*Forecast!$B$9/365*C61-'Base Year'!$B$46*Forecast!$B$9/365*C62</f>
        <v>2539.69193722</v>
      </c>
      <c r="D75" s="18">
        <f>'Base Year'!$B$44*Forecast!$B$9/365*D62+'Base Year'!$B$45*Forecast!$B$9/365*D61-'Base Year'!$B$46*Forecast!$B$9/365*D62</f>
        <v>2816.01103091</v>
      </c>
      <c r="E75" s="18">
        <f>'Base Year'!$B$44*Forecast!$B$9/365*E62+'Base Year'!$B$45*Forecast!$B$9/365*E61-'Base Year'!$B$46*Forecast!$B$9/365*E62</f>
        <v>3081.49643011</v>
      </c>
      <c r="F75" s="18">
        <f>'Base Year'!$B$44*Forecast!$B$9/365*F62+'Base Year'!$B$45*Forecast!$B$9/365*F61-'Base Year'!$B$46*Forecast!$B$9/365*F62</f>
        <v>3339.61025534</v>
      </c>
      <c r="G75" s="18">
        <f>'Base Year'!$B$44*Forecast!$B$9/365*G62+'Base Year'!$B$45*Forecast!$B$9/365*G61-'Base Year'!$B$46*Forecast!$B$9/365*G62</f>
        <v>3592.11140979</v>
      </c>
    </row>
    <row r="76">
      <c r="A76" s="9" t="inlineStr">
        <is>
          <t xml:space="preserve">  change in working capital</t>
        </is>
      </c>
      <c r="C76" s="18">
        <f>C75-('Base Year'!$B$44/365*'Base Year'!$B$21+'Base Year'!$B$45/365*'Base Year'!$B$19-'Base Year'!$B$46/365*'Base Year'!$B$21)</f>
        <v>288.28964822</v>
      </c>
      <c r="D76" s="18">
        <f>D75-C75</f>
        <v>276.319093691</v>
      </c>
      <c r="E76" s="18">
        <f>E75-D75</f>
        <v>265.485399203</v>
      </c>
      <c r="F76" s="18">
        <f>F75-E75</f>
        <v>258.113825222</v>
      </c>
      <c r="G76" s="18">
        <f>G75-F75</f>
        <v>252.501154457</v>
      </c>
    </row>
    <row r="77">
      <c r="A77" s="17" t="inlineStr">
        <is>
          <t>FREE CASH FLOW TO THE FIRM</t>
        </is>
      </c>
      <c r="C77" s="20">
        <f>C74+C69-C67-C76</f>
        <v>955.235851628</v>
      </c>
      <c r="D77" s="20">
        <f>D74+D69-D67-D76</f>
        <v>878.81415822</v>
      </c>
      <c r="E77" s="20">
        <f>E74+E69-E67-E76</f>
        <v>763.003528131</v>
      </c>
      <c r="F77" s="20">
        <f>F74+F69-F67-F76</f>
        <v>630.395893161</v>
      </c>
      <c r="G77" s="20">
        <f>G74+G69-G67-G76</f>
        <v>434.403139059</v>
      </c>
    </row>
    <row r="78">
      <c r="A78" s="9" t="inlineStr">
        <is>
          <t>Glide fraction</t>
        </is>
      </c>
      <c r="C78" s="26">
        <f>0.0000000000</f>
        <v>0</v>
      </c>
      <c r="D78" s="26">
        <f>0.3571428571</f>
        <v>0.3571428571</v>
      </c>
      <c r="E78" s="26">
        <f>0.6428571429</f>
        <v>0.6428571429</v>
      </c>
      <c r="F78" s="26">
        <f>0.8571428571</f>
        <v>0.8571428571</v>
      </c>
      <c r="G78" s="26">
        <f>1.0000000000</f>
        <v>1</v>
      </c>
    </row>
    <row r="79">
      <c r="A79" s="9" t="inlineStr">
        <is>
          <t>Forward cost of capital</t>
        </is>
      </c>
      <c r="C79" s="19">
        <f>Forecast!$B$14-(Forecast!$B$14-Forecast!$B$17)*C78</f>
        <v>0.31578338914</v>
      </c>
      <c r="D79" s="19">
        <f>Forecast!$B$14-(Forecast!$B$14-Forecast!$B$17)*D78</f>
        <v>0.268515637955</v>
      </c>
      <c r="E79" s="19">
        <f>Forecast!$B$14-(Forecast!$B$14-Forecast!$B$17)*E78</f>
        <v>0.230701436991</v>
      </c>
      <c r="F79" s="19">
        <f>Forecast!$B$14-(Forecast!$B$14-Forecast!$B$17)*F78</f>
        <v>0.202340786287</v>
      </c>
      <c r="G79" s="19">
        <f>Forecast!$B$14-(Forecast!$B$14-Forecast!$B$17)*G78</f>
        <v>0.183433685805</v>
      </c>
    </row>
    <row r="80">
      <c r="A80" s="9" t="inlineStr">
        <is>
          <t>Cumulative discount factor</t>
        </is>
      </c>
      <c r="C80" s="29">
        <f>1/(1+C79)</f>
        <v>0.760003514449</v>
      </c>
      <c r="D80" s="29">
        <f>C80/(1+D79)</f>
        <v>0.599128218612</v>
      </c>
      <c r="E80" s="29">
        <f>D80/(1+E79)</f>
        <v>0.486818492775</v>
      </c>
      <c r="F80" s="29">
        <f>E80/(1+F79)</f>
        <v>0.404892272081</v>
      </c>
      <c r="G80" s="29">
        <f>F80/(1+G79)</f>
        <v>0.342133468852</v>
      </c>
    </row>
    <row r="81">
      <c r="A81" s="9" t="inlineStr">
        <is>
          <t>Present value</t>
        </is>
      </c>
      <c r="C81" s="18">
        <f>C77*C80</f>
        <v>725.982604365</v>
      </c>
      <c r="D81" s="18">
        <f>D77*D80</f>
        <v>526.522361105</v>
      </c>
      <c r="E81" s="18">
        <f>E77*E80</f>
        <v>371.444227547</v>
      </c>
      <c r="F81" s="18">
        <f>F77*F80</f>
        <v>255.242425492</v>
      </c>
      <c r="G81" s="18">
        <f>G77*G80</f>
        <v>148.623852846</v>
      </c>
    </row>
    <row r="82">
      <c r="A82" s="17" t="inlineStr">
        <is>
          <t>PV of the explicit window</t>
        </is>
      </c>
      <c r="B82" s="20">
        <f>SUM(C81:G81)</f>
        <v>2027.81547136</v>
      </c>
      <c r="C82" s="18">
        <f>C75+C68</f>
        <v>5968.75783138</v>
      </c>
      <c r="D82" s="18">
        <f>D75+D68</f>
        <v>6552.44450867</v>
      </c>
      <c r="E82" s="18">
        <f>E75+E68</f>
        <v>7146.56929687</v>
      </c>
      <c r="F82" s="18">
        <f>F75+F68</f>
        <v>7755.82987113</v>
      </c>
      <c r="G82" s="18">
        <f>G75+G68</f>
        <v>8383.70320505</v>
      </c>
    </row>
    <row r="83">
      <c r="A83" s="9" t="inlineStr">
        <is>
          <t>Terminal return on invested capital, at REPLACEMENT cost</t>
        </is>
      </c>
      <c r="B83" s="19">
        <f>G74*(1+Assumptions!$B$89)/G82</f>
        <v>0.102505927692</v>
      </c>
    </row>
    <row r="84">
      <c r="A84" s="9" t="inlineStr">
        <is>
          <t>Required reinvestment = growth / return</t>
        </is>
      </c>
      <c r="B84" s="19">
        <f>MIN(Assumptions!$B$89/B83,0.95)</f>
        <v>0.487776669368</v>
      </c>
    </row>
    <row r="85">
      <c r="A85" s="9" t="inlineStr">
        <is>
          <t>Terminal value</t>
        </is>
      </c>
      <c r="B85" s="18">
        <f>G74*(1+Assumptions!$B$89)*(1-B84)/MAX(Forecast!$B$17-Assumptions!$B$89,0.02)</f>
        <v>3298.9729064</v>
      </c>
    </row>
    <row r="86">
      <c r="A86" s="9" t="inlineStr">
        <is>
          <t>PV of the terminal block</t>
        </is>
      </c>
      <c r="B86" s="18">
        <f>B85*G80</f>
        <v>1128.68904412</v>
      </c>
    </row>
    <row r="87">
      <c r="A87" s="17" t="inlineStr">
        <is>
          <t>ENTERPRISE VALUE</t>
        </is>
      </c>
      <c r="B87" s="20">
        <f>B82+B86</f>
        <v>3156.50451547</v>
      </c>
    </row>
    <row r="88">
      <c r="A88" s="9" t="inlineStr">
        <is>
          <t>plus net cash</t>
        </is>
      </c>
      <c r="B88" s="18">
        <f>(Assumptions!$B$79-Assumptions!$B$82-Assumptions!$B$83)/10^6</f>
        <v>2442.544928</v>
      </c>
    </row>
    <row r="89">
      <c r="A89" s="9" t="inlineStr">
        <is>
          <t>Enterprise value including cash</t>
        </is>
      </c>
      <c r="B89" s="18">
        <f>B87+B88</f>
        <v>5599.04944347</v>
      </c>
    </row>
    <row r="90">
      <c r="A90" s="9" t="inlineStr">
        <is>
          <t>less minority — on the WHOLE enterprise, cash included</t>
        </is>
      </c>
      <c r="B90" s="18">
        <f>B89*'Base Year'!$B$41</f>
        <v>182.430707796</v>
      </c>
    </row>
    <row r="91">
      <c r="A91" s="9" t="inlineStr">
        <is>
          <t>less the tax-disputes provision</t>
        </is>
      </c>
      <c r="B91" s="18">
        <f>Assumptions!$B$78/10^6</f>
        <v>921.440353</v>
      </c>
    </row>
    <row r="92">
      <c r="A92" s="9" t="inlineStr">
        <is>
          <t>less dividends payable — declared, out of working capital</t>
        </is>
      </c>
      <c r="B92" s="18">
        <f>Assumptions!$B$77/10^6</f>
        <v>517.25</v>
      </c>
    </row>
    <row r="93">
      <c r="A93" s="9" t="inlineStr">
        <is>
          <t>plus non-operating investments and pledged deposits</t>
        </is>
      </c>
      <c r="B93" s="18">
        <f>(Assumptions!$B$81+Assumptions!$B$80)/10^6</f>
        <v>578.358746</v>
      </c>
    </row>
    <row r="94">
      <c r="A94" s="17" t="inlineStr">
        <is>
          <t>EQUITY ATTRIBUTABLE</t>
        </is>
      </c>
      <c r="B94" s="20">
        <f>B89-B90-B91-B92+B93</f>
        <v>4556.28712868</v>
      </c>
    </row>
    <row r="95">
      <c r="A95" s="17" t="inlineStr">
        <is>
          <t>VALUE PER SHARE, EGP</t>
        </is>
      </c>
      <c r="B95" s="30">
        <f>B94/Assumptions!$B$8</f>
        <v>3.52790331295</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9" t="inlineStr">
        <is>
          <t>Inflation index, cumulative</t>
        </is>
      </c>
      <c r="C99" s="26">
        <f>Assumptions!$B$146</f>
        <v>1.145</v>
      </c>
      <c r="D99" s="26">
        <f>C99*Assumptions!$B$147</f>
        <v>1.29385</v>
      </c>
      <c r="E99" s="26">
        <f>D99*Assumptions!$B$148</f>
        <v>1.44264275</v>
      </c>
      <c r="F99" s="26">
        <f>E99*Assumptions!$B$149</f>
        <v>1.586907025</v>
      </c>
      <c r="G99" s="26">
        <f>F99*Assumptions!$B$150</f>
        <v>1.73766319237</v>
      </c>
    </row>
    <row r="100">
      <c r="A100" s="9" t="inlineStr">
        <is>
          <t>Realisation index, cumulative</t>
        </is>
      </c>
      <c r="C100" s="26">
        <f>(1+Assumptions!$B$101*Forecast!$B$8)</f>
        <v>1.09</v>
      </c>
      <c r="D100" s="26">
        <f>C100*(1+Assumptions!$B$102*Forecast!$B$8)</f>
        <v>1.17175</v>
      </c>
      <c r="E100" s="26">
        <f>D100*(1+Assumptions!$B$103*Forecast!$B$8)</f>
        <v>1.24791375</v>
      </c>
      <c r="F100" s="26">
        <f>E100*(1+Assumptions!$B$104*Forecast!$B$8)</f>
        <v>1.3202927475</v>
      </c>
      <c r="G100" s="26">
        <f>F100*(1+Assumptions!$B$105*Forecast!$B$8)</f>
        <v>1.38894797037</v>
      </c>
    </row>
    <row r="101">
      <c r="A101" s="9" t="inlineStr">
        <is>
          <t xml:space="preserve">  Volume — Base and special oils, mn t</t>
        </is>
      </c>
      <c r="C101" s="26">
        <f>'Product and Cost'!E6*(1+Assumptions!$B$106*Forecast!$B$6)</f>
        <v>0.1148851682</v>
      </c>
      <c r="D101" s="26">
        <f>C101*(1+Assumptions!$B$107*Forecast!$B$6)</f>
        <v>0.119480574928</v>
      </c>
      <c r="E101" s="26">
        <f>D101*(1+Assumptions!$B$108*Forecast!$B$6)</f>
        <v>0.12366239505</v>
      </c>
      <c r="F101" s="26">
        <f>E101*(1+Assumptions!$B$109*Forecast!$B$6)</f>
        <v>0.127372266902</v>
      </c>
      <c r="G101" s="26">
        <f>F101*(1+Assumptions!$B$110*Forecast!$B$6)</f>
        <v>0.130938690375</v>
      </c>
    </row>
    <row r="102">
      <c r="A102" s="9" t="inlineStr">
        <is>
          <t xml:space="preserve">  Volume — Paraffin wax, mn t</t>
        </is>
      </c>
      <c r="C102" s="26">
        <f>'Product and Cost'!E7*(1+Assumptions!$B$111*Forecast!$B$6)</f>
        <v>0.089396788</v>
      </c>
      <c r="D102" s="26">
        <f>C102*(1+Assumptions!$B$112*Forecast!$B$6)</f>
        <v>0.09431361134</v>
      </c>
      <c r="E102" s="26">
        <f>D102*(1+Assumptions!$B$113*Forecast!$B$6)</f>
        <v>0.0985577238503</v>
      </c>
      <c r="F102" s="26">
        <f>E102*(1+Assumptions!$B$114*Forecast!$B$6)</f>
        <v>0.102302917357</v>
      </c>
      <c r="G102" s="26">
        <f>F102*(1+Assumptions!$B$115*Forecast!$B$6)</f>
        <v>0.105576610712</v>
      </c>
    </row>
    <row r="103">
      <c r="A103" s="9" t="inlineStr">
        <is>
          <t xml:space="preserve">  Volume — Gas oil, mn t</t>
        </is>
      </c>
      <c r="C103" s="26">
        <f>'Product and Cost'!E8*(1+Assumptions!$B$116*Forecast!$B$6)</f>
        <v>0.35023715724</v>
      </c>
      <c r="D103" s="26">
        <f>C103*(1+Assumptions!$B$117*Forecast!$B$6)</f>
        <v>0.357241900385</v>
      </c>
      <c r="E103" s="26">
        <f>D103*(1+Assumptions!$B$118*Forecast!$B$6)</f>
        <v>0.363672254592</v>
      </c>
      <c r="F103" s="26">
        <f>E103*(1+Assumptions!$B$119*Forecast!$B$6)</f>
        <v>0.369491010665</v>
      </c>
      <c r="G103" s="26">
        <f>F103*(1+Assumptions!$B$120*Forecast!$B$6)</f>
        <v>0.375033375825</v>
      </c>
    </row>
    <row r="104">
      <c r="A104" s="9" t="inlineStr">
        <is>
          <t xml:space="preserve">  Volume — Naphtha, mn t</t>
        </is>
      </c>
      <c r="C104" s="26">
        <f>'Product and Cost'!E9*(1+Assumptions!$B$121*Forecast!$B$6)</f>
        <v>0.08410463971</v>
      </c>
      <c r="D104" s="26">
        <f>C104*(1+Assumptions!$B$122*Forecast!$B$6)</f>
        <v>0.0856185232248</v>
      </c>
      <c r="E104" s="26">
        <f>D104*(1+Assumptions!$B$123*Forecast!$B$6)</f>
        <v>0.0871596566428</v>
      </c>
      <c r="F104" s="26">
        <f>E104*(1+Assumptions!$B$124*Forecast!$B$6)</f>
        <v>0.0885542111491</v>
      </c>
      <c r="G104" s="26">
        <f>F104*(1+Assumptions!$B$125*Forecast!$B$6)</f>
        <v>0.0898825243163</v>
      </c>
    </row>
    <row r="105">
      <c r="A105" s="9" t="inlineStr">
        <is>
          <t xml:space="preserve">  Volume — Liquefied petroleum gas, mn t</t>
        </is>
      </c>
      <c r="C105" s="26">
        <f>'Product and Cost'!E10*(1+Assumptions!$B$126*Forecast!$B$6)</f>
        <v>0.0486583449</v>
      </c>
      <c r="D105" s="26">
        <f>C105*(1+Assumptions!$B$127*Forecast!$B$6)</f>
        <v>0.0497288284878</v>
      </c>
      <c r="E105" s="26">
        <f>D105*(1+Assumptions!$B$128*Forecast!$B$6)</f>
        <v>0.0507234050576</v>
      </c>
      <c r="F105" s="26">
        <f>E105*(1+Assumptions!$B$129*Forecast!$B$6)</f>
        <v>0.0516364263486</v>
      </c>
      <c r="G105" s="26">
        <f>F105*(1+Assumptions!$B$130*Forecast!$B$6)</f>
        <v>0.0524626091702</v>
      </c>
    </row>
    <row r="106">
      <c r="A106" s="9" t="inlineStr">
        <is>
          <t xml:space="preserve">  Volume — Fuel oil (mix), mn t</t>
        </is>
      </c>
      <c r="C106" s="26">
        <f>'Product and Cost'!E11*(1+Assumptions!$B$131*Forecast!$B$6)</f>
        <v>0.947916416</v>
      </c>
      <c r="D106" s="26">
        <f>C106*(1+Assumptions!$B$132*Forecast!$B$6)</f>
        <v>0.972562242816</v>
      </c>
      <c r="E106" s="26">
        <f>D106*(1+Assumptions!$B$133*Forecast!$B$6)</f>
        <v>0.993958612158</v>
      </c>
      <c r="F106" s="26">
        <f>E106*(1+Assumptions!$B$134*Forecast!$B$6)</f>
        <v>1.0138377844</v>
      </c>
      <c r="G106" s="26">
        <f>F106*(1+Assumptions!$B$135*Forecast!$B$6)</f>
        <v>1.03208686452</v>
      </c>
    </row>
    <row r="107">
      <c r="A107" s="9" t="inlineStr">
        <is>
          <t xml:space="preserve">  Volume — Heavy fuel oil, mn t</t>
        </is>
      </c>
      <c r="C107" s="26">
        <f>'Product and Cost'!E12*(1+Assumptions!$B$136*Forecast!$B$6)</f>
        <v>0.0292281408</v>
      </c>
      <c r="D107" s="26">
        <f>C107*(1+Assumptions!$B$137*Forecast!$B$6)</f>
        <v>0.0297542473344</v>
      </c>
      <c r="E107" s="26">
        <f>D107*(1+Assumptions!$B$138*Forecast!$B$6)</f>
        <v>0.0302303152918</v>
      </c>
      <c r="F107" s="26">
        <f>E107*(1+Assumptions!$B$139*Forecast!$B$6)</f>
        <v>0.0306837700211</v>
      </c>
      <c r="G107" s="26">
        <f>F107*(1+Assumptions!$B$140*Forecast!$B$6)</f>
        <v>0.0311133428014</v>
      </c>
    </row>
    <row r="108">
      <c r="A108" s="9" t="inlineStr">
        <is>
          <t xml:space="preserve">  Volume — Waste, mn t</t>
        </is>
      </c>
      <c r="C108" s="26">
        <f>'Product and Cost'!E13*(1+Assumptions!$B$141*Forecast!$B$6)</f>
        <v>1.564e-05</v>
      </c>
      <c r="D108" s="26">
        <f>C108*(1+Assumptions!$B$142*Forecast!$B$6)</f>
        <v>1.564e-05</v>
      </c>
      <c r="E108" s="26">
        <f>D108*(1+Assumptions!$B$143*Forecast!$B$6)</f>
        <v>1.564e-05</v>
      </c>
      <c r="F108" s="26">
        <f>E108*(1+Assumptions!$B$144*Forecast!$B$6)</f>
        <v>1.564e-05</v>
      </c>
      <c r="G108" s="26">
        <f>F108*(1+Assumptions!$B$145*Forecast!$B$6)</f>
        <v>1.564e-05</v>
      </c>
    </row>
    <row r="109">
      <c r="A109" s="17" t="inlineStr">
        <is>
          <t>Total volume, mn t</t>
        </is>
      </c>
      <c r="C109" s="28">
        <f>SUM(C101:C108)</f>
        <v>1.66444229485</v>
      </c>
      <c r="D109" s="28">
        <f>SUM(D101:D108)</f>
        <v>1.70871556852</v>
      </c>
      <c r="E109" s="28">
        <f>SUM(E101:E108)</f>
        <v>1.74798000264</v>
      </c>
      <c r="F109" s="28">
        <f>SUM(F101:F108)</f>
        <v>1.78389402684</v>
      </c>
      <c r="G109" s="28">
        <f>SUM(G101:G108)</f>
        <v>1.81710965772</v>
      </c>
    </row>
    <row r="110">
      <c r="A110" s="17" t="inlineStr">
        <is>
          <t>REVENUE</t>
        </is>
      </c>
      <c r="C110" s="20">
        <f>C101*'Product and Cost'!$F$6*C100+C102*'Product and Cost'!$F$7*C100+C103*'Product and Cost'!$F$8*C100+C104*'Product and Cost'!$F$9*C100+C105*'Product and Cost'!$F$10*C100+C106*'Product and Cost'!$F$11*C100+C107*'Product and Cost'!$F$12*C100+C108*'Product and Cost'!$F$13*C100</f>
        <v>52840.8111141</v>
      </c>
      <c r="D110" s="20">
        <f>D101*'Product and Cost'!$F$6*D100+D102*'Product and Cost'!$F$7*D100+D103*'Product and Cost'!$F$8*D100+D104*'Product and Cost'!$F$9*D100+D105*'Product and Cost'!$F$10*D100+D106*'Product and Cost'!$F$11*D100+D107*'Product and Cost'!$F$12*D100+D108*'Product and Cost'!$F$13*D100</f>
        <v>58432.1672543</v>
      </c>
      <c r="E110" s="20">
        <f>E101*'Product and Cost'!$F$6*E100+E102*'Product and Cost'!$F$7*E100+E103*'Product and Cost'!$F$8*E100+E104*'Product and Cost'!$F$9*E100+E105*'Product and Cost'!$F$10*E100+E106*'Product and Cost'!$F$11*E100+E107*'Product and Cost'!$F$12*E100+E108*'Product and Cost'!$F$13*E100</f>
        <v>63772.6371781</v>
      </c>
      <c r="F110" s="20">
        <f>F101*'Product and Cost'!$F$6*F100+F102*'Product and Cost'!$F$7*F100+F103*'Product and Cost'!$F$8*F100+F104*'Product and Cost'!$F$9*F100+F105*'Product and Cost'!$F$10*F100+F106*'Product and Cost'!$F$11*F100+F107*'Product and Cost'!$F$12*F100+F108*'Product and Cost'!$F$13*F100</f>
        <v>68952.1790369</v>
      </c>
      <c r="G110" s="20">
        <f>G101*'Product and Cost'!$F$6*G100+G102*'Product and Cost'!$F$7*G100+G103*'Product and Cost'!$F$8*G100+G104*'Product and Cost'!$F$9*G100+G105*'Product and Cost'!$F$10*G100+G106*'Product and Cost'!$F$11*G100+G107*'Product and Cost'!$F$12*G100+G108*'Product and Cost'!$F$13*G100</f>
        <v>73977.8431827</v>
      </c>
    </row>
    <row r="111">
      <c r="A111" s="9" t="inlineStr">
        <is>
          <t>Cost of sales</t>
        </is>
      </c>
      <c r="C111" s="18">
        <f>C101*('Product and Cost'!$D$27*C100*Assumptions!$B$88+'Product and Cost'!$B$27*(0.4863620081*C99+0.4455809638*C99+0.0356254898*C100+0.0324315384))+C102*('Product and Cost'!$D$28*C100*Assumptions!$B$88+'Product and Cost'!$B$28*(0.4863620081*C99+0.4455809638*C99+0.0356254898*C100+0.0324315384))+C103*('Product and Cost'!$D$29*C100*Assumptions!$B$88+'Product and Cost'!$B$29*(0.4863620081*C99+0.4455809638*C99+0.0356254898*C100+0.0324315384))+C104*('Product and Cost'!$D$30*C100*Assumptions!$B$88+'Product and Cost'!$B$30*(0.4863620081*C99+0.4455809638*C99+0.0356254898*C100+0.0324315384))+C105*('Product and Cost'!$D$31*C100*Assumptions!$B$88+'Product and Cost'!$B$31*(0.4863620081*C99+0.4455809638*C99+0.0356254898*C100+0.0324315384))+C106*('Product and Cost'!$D$32*C100*Assumptions!$B$88+'Product and Cost'!$B$32*(0.4863620081*C99+0.4455809638*C99+0.0356254898*C100+0.0324315384))+C107*('Product and Cost'!$D$33*C100*Assumptions!$B$88+'Product and Cost'!$B$33*(0.4863620081*C99+0.4455809638*C99+0.0356254898*C100+0.0324315384))+C108*('Product and Cost'!$D$34*C100*Assumptions!$B$88+'Product and Cost'!$B$34*(0.4863620081*C99+0.4455809638*C99+0.0356254898*C100+0.0324315384))</f>
        <v>48291.1604712</v>
      </c>
      <c r="D111" s="18">
        <f>D101*('Product and Cost'!$D$27*D100*Assumptions!$B$88+'Product and Cost'!$B$27*(0.4863620081*D99+0.4455809638*D99+0.0356254898*D100+0.0324315384))+D102*('Product and Cost'!$D$28*D100*Assumptions!$B$88+'Product and Cost'!$B$28*(0.4863620081*D99+0.4455809638*D99+0.0356254898*D100+0.0324315384))+D103*('Product and Cost'!$D$29*D100*Assumptions!$B$88+'Product and Cost'!$B$29*(0.4863620081*D99+0.4455809638*D99+0.0356254898*D100+0.0324315384))+D104*('Product and Cost'!$D$30*D100*Assumptions!$B$88+'Product and Cost'!$B$30*(0.4863620081*D99+0.4455809638*D99+0.0356254898*D100+0.0324315384))+D105*('Product and Cost'!$D$31*D100*Assumptions!$B$88+'Product and Cost'!$B$31*(0.4863620081*D99+0.4455809638*D99+0.0356254898*D100+0.0324315384))+D106*('Product and Cost'!$D$32*D100*Assumptions!$B$88+'Product and Cost'!$B$32*(0.4863620081*D99+0.4455809638*D99+0.0356254898*D100+0.0324315384))+D107*('Product and Cost'!$D$33*D100*Assumptions!$B$88+'Product and Cost'!$B$33*(0.4863620081*D99+0.4455809638*D99+0.0356254898*D100+0.0324315384))+D108*('Product and Cost'!$D$34*D100*Assumptions!$B$88+'Product and Cost'!$B$34*(0.4863620081*D99+0.4455809638*D99+0.0356254898*D100+0.0324315384))</f>
        <v>53647.9823219</v>
      </c>
      <c r="E111" s="18">
        <f>E101*('Product and Cost'!$D$27*E100*Assumptions!$B$88+'Product and Cost'!$B$27*(0.4863620081*E99+0.4455809638*E99+0.0356254898*E100+0.0324315384))+E102*('Product and Cost'!$D$28*E100*Assumptions!$B$88+'Product and Cost'!$B$28*(0.4863620081*E99+0.4455809638*E99+0.0356254898*E100+0.0324315384))+E103*('Product and Cost'!$D$29*E100*Assumptions!$B$88+'Product and Cost'!$B$29*(0.4863620081*E99+0.4455809638*E99+0.0356254898*E100+0.0324315384))+E104*('Product and Cost'!$D$30*E100*Assumptions!$B$88+'Product and Cost'!$B$30*(0.4863620081*E99+0.4455809638*E99+0.0356254898*E100+0.0324315384))+E105*('Product and Cost'!$D$31*E100*Assumptions!$B$88+'Product and Cost'!$B$31*(0.4863620081*E99+0.4455809638*E99+0.0356254898*E100+0.0324315384))+E106*('Product and Cost'!$D$32*E100*Assumptions!$B$88+'Product and Cost'!$B$32*(0.4863620081*E99+0.4455809638*E99+0.0356254898*E100+0.0324315384))+E107*('Product and Cost'!$D$33*E100*Assumptions!$B$88+'Product and Cost'!$B$33*(0.4863620081*E99+0.4455809638*E99+0.0356254898*E100+0.0324315384))+E108*('Product and Cost'!$D$34*E100*Assumptions!$B$88+'Product and Cost'!$B$34*(0.4863620081*E99+0.4455809638*E99+0.0356254898*E100+0.0324315384))</f>
        <v>58815.4011786</v>
      </c>
      <c r="F111" s="18">
        <f>F101*('Product and Cost'!$D$27*F100*Assumptions!$B$88+'Product and Cost'!$B$27*(0.4863620081*F99+0.4455809638*F99+0.0356254898*F100+0.0324315384))+F102*('Product and Cost'!$D$28*F100*Assumptions!$B$88+'Product and Cost'!$B$28*(0.4863620081*F99+0.4455809638*F99+0.0356254898*F100+0.0324315384))+F103*('Product and Cost'!$D$29*F100*Assumptions!$B$88+'Product and Cost'!$B$29*(0.4863620081*F99+0.4455809638*F99+0.0356254898*F100+0.0324315384))+F104*('Product and Cost'!$D$30*F100*Assumptions!$B$88+'Product and Cost'!$B$30*(0.4863620081*F99+0.4455809638*F99+0.0356254898*F100+0.0324315384))+F105*('Product and Cost'!$D$31*F100*Assumptions!$B$88+'Product and Cost'!$B$31*(0.4863620081*F99+0.4455809638*F99+0.0356254898*F100+0.0324315384))+F106*('Product and Cost'!$D$32*F100*Assumptions!$B$88+'Product and Cost'!$B$32*(0.4863620081*F99+0.4455809638*F99+0.0356254898*F100+0.0324315384))+F107*('Product and Cost'!$D$33*F100*Assumptions!$B$88+'Product and Cost'!$B$33*(0.4863620081*F99+0.4455809638*F99+0.0356254898*F100+0.0324315384))+F108*('Product and Cost'!$D$34*F100*Assumptions!$B$88+'Product and Cost'!$B$34*(0.4863620081*F99+0.4455809638*F99+0.0356254898*F100+0.0324315384))</f>
        <v>63847.5732702</v>
      </c>
      <c r="G111" s="18">
        <f>G101*('Product and Cost'!$D$27*G100*Assumptions!$B$88+'Product and Cost'!$B$27*(0.4863620081*G99+0.4455809638*G99+0.0356254898*G100+0.0324315384))+G102*('Product and Cost'!$D$28*G100*Assumptions!$B$88+'Product and Cost'!$B$28*(0.4863620081*G99+0.4455809638*G99+0.0356254898*G100+0.0324315384))+G103*('Product and Cost'!$D$29*G100*Assumptions!$B$88+'Product and Cost'!$B$29*(0.4863620081*G99+0.4455809638*G99+0.0356254898*G100+0.0324315384))+G104*('Product and Cost'!$D$30*G100*Assumptions!$B$88+'Product and Cost'!$B$30*(0.4863620081*G99+0.4455809638*G99+0.0356254898*G100+0.0324315384))+G105*('Product and Cost'!$D$31*G100*Assumptions!$B$88+'Product and Cost'!$B$31*(0.4863620081*G99+0.4455809638*G99+0.0356254898*G100+0.0324315384))+G106*('Product and Cost'!$D$32*G100*Assumptions!$B$88+'Product and Cost'!$B$32*(0.4863620081*G99+0.4455809638*G99+0.0356254898*G100+0.0324315384))+G107*('Product and Cost'!$D$33*G100*Assumptions!$B$88+'Product and Cost'!$B$33*(0.4863620081*G99+0.4455809638*G99+0.0356254898*G100+0.0324315384))+G108*('Product and Cost'!$D$34*G100*Assumptions!$B$88+'Product and Cost'!$B$34*(0.4863620081*G99+0.4455809638*G99+0.0356254898*G100+0.0324315384))</f>
        <v>68797.1859175</v>
      </c>
    </row>
    <row r="112">
      <c r="A112" s="17" t="inlineStr">
        <is>
          <t>GROSS PROFIT</t>
        </is>
      </c>
      <c r="C112" s="20">
        <f>C110-C111+$C$7*C110</f>
        <v>4285.44658729</v>
      </c>
      <c r="D112" s="20">
        <f>D110-D111+$C$7*D110</f>
        <v>4492.02409609</v>
      </c>
      <c r="E112" s="20">
        <f>E110-E111+$C$7*E110</f>
        <v>4638.37281355</v>
      </c>
      <c r="F112" s="20">
        <f>F110-F111+$C$7*F110</f>
        <v>4759.84487151</v>
      </c>
      <c r="G112" s="20">
        <f>G110-G111+$C$7*G110</f>
        <v>4810.7680492</v>
      </c>
    </row>
    <row r="113">
      <c r="A113" s="9" t="inlineStr">
        <is>
          <t>Gross margin</t>
        </is>
      </c>
      <c r="C113" s="19">
        <f>C112/C110</f>
        <v>0.0811010750391</v>
      </c>
      <c r="D113" s="19">
        <f>D112/D110</f>
        <v>0.0768758768871</v>
      </c>
      <c r="E113" s="19">
        <f>E112/E110</f>
        <v>0.0727329622672</v>
      </c>
      <c r="F113" s="19">
        <f>F112/F110</f>
        <v>0.0690311015255</v>
      </c>
      <c r="G113" s="19">
        <f>G112/G110</f>
        <v>0.0650298500501</v>
      </c>
    </row>
    <row r="114">
      <c r="A114" s="9" t="inlineStr">
        <is>
          <t>Operating expense</t>
        </is>
      </c>
      <c r="C114" s="18">
        <f>('Base Year'!$B$28*C99)+('Base Year'!$B$29*C99*C109/'Product and Cost'!$E$14)+('Base Year'!$B$30*C99)+('Base Year'!$B$31*C99)</f>
        <v>2007.6668112</v>
      </c>
      <c r="D114" s="18">
        <f>('Base Year'!$B$28*D99)+('Base Year'!$B$29*D99*D109/'Product and Cost'!$E$14)+('Base Year'!$B$30*D99)+('Base Year'!$B$31*D99)</f>
        <v>2276.29775955</v>
      </c>
      <c r="E114" s="18">
        <f>('Base Year'!$B$28*E99)+('Base Year'!$B$29*E99*E109/'Product and Cost'!$E$14)+('Base Year'!$B$30*E99)+('Base Year'!$B$31*E99)</f>
        <v>2545.62118024</v>
      </c>
      <c r="F114" s="18">
        <f>('Base Year'!$B$28*F99)+('Base Year'!$B$29*F99*F109/'Product and Cost'!$E$14)+('Base Year'!$B$30*F99)+('Base Year'!$B$31*F99)</f>
        <v>2807.77881104</v>
      </c>
      <c r="G114" s="18">
        <f>('Base Year'!$B$28*G99)+('Base Year'!$B$29*G99*G109/'Product and Cost'!$E$14)+('Base Year'!$B$30*G99)+('Base Year'!$B$31*G99)</f>
        <v>3082.20998189</v>
      </c>
    </row>
    <row r="115">
      <c r="A115" s="17" t="inlineStr">
        <is>
          <t>EBITDA</t>
        </is>
      </c>
      <c r="C115" s="20">
        <f>C112-C114</f>
        <v>2277.77977609</v>
      </c>
      <c r="D115" s="20">
        <f>D112-D114</f>
        <v>2215.72633654</v>
      </c>
      <c r="E115" s="20">
        <f>E112-E114</f>
        <v>2092.75163331</v>
      </c>
      <c r="F115" s="20">
        <f>F112-F114</f>
        <v>1952.06606046</v>
      </c>
      <c r="G115" s="20">
        <f>G112-G114</f>
        <v>1728.55806731</v>
      </c>
    </row>
    <row r="116">
      <c r="A116" s="9" t="inlineStr">
        <is>
          <t>Capital expenditure — maintenance + growth</t>
        </is>
      </c>
      <c r="C116" s="18">
        <f>'Base Year'!$B$43*C99+MAX(C109-'Product and Cost'!$E$14,0)*1947.901031*C99</f>
        <v>280.931999159</v>
      </c>
      <c r="D116" s="18">
        <f>'Base Year'!$B$43*D99+MAX(D109-C109,0)*1947.901031*D99</f>
        <v>307.3675836</v>
      </c>
      <c r="E116" s="18">
        <f>'Base Year'!$B$43*E99+MAX(E109-D109,0)*1947.901031*E99</f>
        <v>328.639389001</v>
      </c>
      <c r="F116" s="18">
        <f>'Base Year'!$B$43*F99+MAX(F109-E109,0)*1947.901031*F99</f>
        <v>351.146749034</v>
      </c>
      <c r="G116" s="18">
        <f>'Base Year'!$B$43*G99+MAX(G109-F109,0)*1947.901031*G99</f>
        <v>375.372179467</v>
      </c>
    </row>
    <row r="117">
      <c r="A117" s="9" t="inlineStr">
        <is>
          <t>Fixed assets at cost, closing</t>
        </is>
      </c>
      <c r="C117" s="18">
        <f>(Assumptions!$B$70+Assumptions!$B$71)/10^6+C116</f>
        <v>3429.06589416</v>
      </c>
      <c r="D117" s="18">
        <f>C117+D116</f>
        <v>3736.43347776</v>
      </c>
      <c r="E117" s="18">
        <f>D117+E116</f>
        <v>4065.07286676</v>
      </c>
      <c r="F117" s="18">
        <f>E117+F116</f>
        <v>4416.21961579</v>
      </c>
      <c r="G117" s="18">
        <f>F117+G116</f>
        <v>4791.59179526</v>
      </c>
    </row>
    <row r="118">
      <c r="A118" s="9" t="inlineStr">
        <is>
          <t>Depreciation — rolls off the asset register</t>
        </is>
      </c>
      <c r="C118" s="18">
        <f>(Assumptions!$B$70+Assumptions!$B$71)/10^6/'Base Year'!$B$42</f>
        <v>173.808854481</v>
      </c>
      <c r="D118" s="18">
        <f>C117/'Base Year'!$B$42</f>
        <v>189.319144255</v>
      </c>
      <c r="E118" s="18">
        <f>D117/'Base Year'!$B$42</f>
        <v>206.288945856</v>
      </c>
      <c r="F118" s="18">
        <f>E117/'Base Year'!$B$42</f>
        <v>224.433166415</v>
      </c>
      <c r="G118" s="18">
        <f>F117/'Base Year'!$B$42</f>
        <v>243.820021053</v>
      </c>
    </row>
    <row r="119">
      <c r="A119" s="9" t="inlineStr">
        <is>
          <t>Fixed assets, net book, closing</t>
        </is>
      </c>
      <c r="C119" s="18">
        <f>(Assumptions!$B$69+Assumptions!$B$71)/10^6+C116-C118</f>
        <v>1407.46262168</v>
      </c>
      <c r="D119" s="18">
        <f>C119+D116-D118</f>
        <v>1525.51106102</v>
      </c>
      <c r="E119" s="18">
        <f>D119+E116-E118</f>
        <v>1647.86150417</v>
      </c>
      <c r="F119" s="18">
        <f>E119+F116-F118</f>
        <v>1774.57508679</v>
      </c>
      <c r="G119" s="18">
        <f>F119+G116-G118</f>
        <v>1906.1272452</v>
      </c>
    </row>
    <row r="120">
      <c r="A120" s="17" t="inlineStr">
        <is>
          <t>EBIT</t>
        </is>
      </c>
      <c r="C120" s="20">
        <f>C115-C118</f>
        <v>2103.97092161</v>
      </c>
      <c r="D120" s="20">
        <f>D115-D118</f>
        <v>2026.40719229</v>
      </c>
      <c r="E120" s="20">
        <f>E115-E118</f>
        <v>1886.46268745</v>
      </c>
      <c r="F120" s="20">
        <f>F115-F118</f>
        <v>1727.63289405</v>
      </c>
      <c r="G120" s="20">
        <f>G115-G118</f>
        <v>1484.73804626</v>
      </c>
    </row>
    <row r="121">
      <c r="A121" s="9" t="inlineStr">
        <is>
          <t>NOPAT before the profit share</t>
        </is>
      </c>
      <c r="C121" s="18">
        <f>C120*(1-Assumptions!$B$87)</f>
        <v>1630.57746425</v>
      </c>
      <c r="D121" s="18">
        <f>D120*(1-Assumptions!$B$87)</f>
        <v>1570.46557402</v>
      </c>
      <c r="E121" s="18">
        <f>E120*(1-Assumptions!$B$87)</f>
        <v>1462.00858278</v>
      </c>
      <c r="F121" s="18">
        <f>F120*(1-Assumptions!$B$87)</f>
        <v>1338.91549289</v>
      </c>
      <c r="G121" s="18">
        <f>G120*(1-Assumptions!$B$87)</f>
        <v>1150.67198585</v>
      </c>
    </row>
    <row r="122">
      <c r="A122" s="9" t="inlineStr">
        <is>
          <t xml:space="preserve">  less employees' profit share and board bonuses</t>
        </is>
      </c>
      <c r="C122" s="18">
        <f>MAX(C121,0)*'Base Year'!$B$40</f>
        <v>85.9657387922</v>
      </c>
      <c r="D122" s="18">
        <f>MAX(D121,0)*'Base Year'!$B$40</f>
        <v>82.796577457</v>
      </c>
      <c r="E122" s="18">
        <f>MAX(E121,0)*'Base Year'!$B$40</f>
        <v>77.0786121448</v>
      </c>
      <c r="F122" s="18">
        <f>MAX(F121,0)*'Base Year'!$B$40</f>
        <v>70.5890164987</v>
      </c>
      <c r="G122" s="18">
        <f>MAX(G121,0)*'Base Year'!$B$40</f>
        <v>60.6646231412</v>
      </c>
    </row>
    <row r="123">
      <c r="A123" s="17" t="inlineStr">
        <is>
          <t>NOPAT</t>
        </is>
      </c>
      <c r="C123" s="20">
        <f>C121-C122</f>
        <v>1544.61172546</v>
      </c>
      <c r="D123" s="20">
        <f>D121-D122</f>
        <v>1487.66899656</v>
      </c>
      <c r="E123" s="20">
        <f>E121-E122</f>
        <v>1384.92997063</v>
      </c>
      <c r="F123" s="20">
        <f>F121-F122</f>
        <v>1268.32647639</v>
      </c>
      <c r="G123" s="20">
        <f>G121-G122</f>
        <v>1090.00736271</v>
      </c>
    </row>
    <row r="124">
      <c r="A124" s="9" t="inlineStr">
        <is>
          <t>Net working capital — on days</t>
        </is>
      </c>
      <c r="C124" s="18">
        <f>'Base Year'!$B$44*Forecast!$B$9/365*C111+'Base Year'!$B$45*Forecast!$B$9/365*C110-'Base Year'!$B$46*Forecast!$B$9/365*C111</f>
        <v>2539.69193722</v>
      </c>
      <c r="D124" s="18">
        <f>'Base Year'!$B$44*Forecast!$B$9/365*D111+'Base Year'!$B$45*Forecast!$B$9/365*D110-'Base Year'!$B$46*Forecast!$B$9/365*D111</f>
        <v>2816.01103091</v>
      </c>
      <c r="E124" s="18">
        <f>'Base Year'!$B$44*Forecast!$B$9/365*E111+'Base Year'!$B$45*Forecast!$B$9/365*E110-'Base Year'!$B$46*Forecast!$B$9/365*E111</f>
        <v>3081.49643011</v>
      </c>
      <c r="F124" s="18">
        <f>'Base Year'!$B$44*Forecast!$B$9/365*F111+'Base Year'!$B$45*Forecast!$B$9/365*F110-'Base Year'!$B$46*Forecast!$B$9/365*F111</f>
        <v>3339.61025534</v>
      </c>
      <c r="G124" s="18">
        <f>'Base Year'!$B$44*Forecast!$B$9/365*G111+'Base Year'!$B$45*Forecast!$B$9/365*G110-'Base Year'!$B$46*Forecast!$B$9/365*G111</f>
        <v>3592.11140979</v>
      </c>
    </row>
    <row r="125">
      <c r="A125" s="9" t="inlineStr">
        <is>
          <t xml:space="preserve">  change in working capital</t>
        </is>
      </c>
      <c r="C125" s="18">
        <f>C124-('Base Year'!$B$44/365*'Base Year'!$B$21+'Base Year'!$B$45/365*'Base Year'!$B$19-'Base Year'!$B$46/365*'Base Year'!$B$21)</f>
        <v>288.28964822</v>
      </c>
      <c r="D125" s="18">
        <f>D124-C124</f>
        <v>276.319093691</v>
      </c>
      <c r="E125" s="18">
        <f>E124-D124</f>
        <v>265.485399203</v>
      </c>
      <c r="F125" s="18">
        <f>F124-E124</f>
        <v>258.113825222</v>
      </c>
      <c r="G125" s="18">
        <f>G124-F124</f>
        <v>252.501154457</v>
      </c>
    </row>
    <row r="126">
      <c r="A126" s="17" t="inlineStr">
        <is>
          <t>FREE CASH FLOW TO THE FIRM</t>
        </is>
      </c>
      <c r="C126" s="20">
        <f>C123+C118-C116-C125</f>
        <v>1149.19893256</v>
      </c>
      <c r="D126" s="20">
        <f>D123+D118-D116-D125</f>
        <v>1093.30146353</v>
      </c>
      <c r="E126" s="20">
        <f>E123+E118-E116-E125</f>
        <v>997.094128284</v>
      </c>
      <c r="F126" s="20">
        <f>F123+F118-F116-F125</f>
        <v>883.499068548</v>
      </c>
      <c r="G126" s="20">
        <f>G123+G118-G116-G125</f>
        <v>705.95404984</v>
      </c>
    </row>
    <row r="127">
      <c r="A127" s="9" t="inlineStr">
        <is>
          <t>Glide fraction</t>
        </is>
      </c>
      <c r="C127" s="26">
        <f>0.0000000000</f>
        <v>0</v>
      </c>
      <c r="D127" s="26">
        <f>0.3571428571</f>
        <v>0.3571428571</v>
      </c>
      <c r="E127" s="26">
        <f>0.6428571429</f>
        <v>0.6428571429</v>
      </c>
      <c r="F127" s="26">
        <f>0.8571428571</f>
        <v>0.8571428571</v>
      </c>
      <c r="G127" s="26">
        <f>1.0000000000</f>
        <v>1</v>
      </c>
    </row>
    <row r="128">
      <c r="A128" s="9" t="inlineStr">
        <is>
          <t>Forward cost of capital</t>
        </is>
      </c>
      <c r="C128" s="19">
        <f>Forecast!$B$14-(Forecast!$B$14-Forecast!$B$17)*C127</f>
        <v>0.31578338914</v>
      </c>
      <c r="D128" s="19">
        <f>Forecast!$B$14-(Forecast!$B$14-Forecast!$B$17)*D127</f>
        <v>0.268515637955</v>
      </c>
      <c r="E128" s="19">
        <f>Forecast!$B$14-(Forecast!$B$14-Forecast!$B$17)*E127</f>
        <v>0.230701436991</v>
      </c>
      <c r="F128" s="19">
        <f>Forecast!$B$14-(Forecast!$B$14-Forecast!$B$17)*F127</f>
        <v>0.202340786287</v>
      </c>
      <c r="G128" s="19">
        <f>Forecast!$B$14-(Forecast!$B$14-Forecast!$B$17)*G127</f>
        <v>0.183433685805</v>
      </c>
    </row>
    <row r="129">
      <c r="A129" s="9" t="inlineStr">
        <is>
          <t>Cumulative discount factor</t>
        </is>
      </c>
      <c r="C129" s="29">
        <f>1/(1+C128)</f>
        <v>0.760003514449</v>
      </c>
      <c r="D129" s="29">
        <f>C129/(1+D128)</f>
        <v>0.599128218612</v>
      </c>
      <c r="E129" s="29">
        <f>D129/(1+E128)</f>
        <v>0.486818492775</v>
      </c>
      <c r="F129" s="29">
        <f>E129/(1+F128)</f>
        <v>0.404892272081</v>
      </c>
      <c r="G129" s="29">
        <f>F129/(1+G128)</f>
        <v>0.342133468852</v>
      </c>
    </row>
    <row r="130">
      <c r="A130" s="9" t="inlineStr">
        <is>
          <t>Present value</t>
        </is>
      </c>
      <c r="C130" s="18">
        <f>C126*C129</f>
        <v>873.395227547</v>
      </c>
      <c r="D130" s="18">
        <f>D126*D129</f>
        <v>655.02775825</v>
      </c>
      <c r="E130" s="18">
        <f>E126*E129</f>
        <v>485.403860686</v>
      </c>
      <c r="F130" s="18">
        <f>F126*F129</f>
        <v>357.721945245</v>
      </c>
      <c r="G130" s="18">
        <f>G126*G129</f>
        <v>241.530507922</v>
      </c>
    </row>
    <row r="131">
      <c r="A131" s="17" t="inlineStr">
        <is>
          <t>PV of the explicit window</t>
        </is>
      </c>
      <c r="B131" s="20">
        <f>SUM(C130:G130)</f>
        <v>2613.07929965</v>
      </c>
      <c r="C131" s="18">
        <f>C124+C117</f>
        <v>5968.75783138</v>
      </c>
      <c r="D131" s="18">
        <f>D124+D117</f>
        <v>6552.44450867</v>
      </c>
      <c r="E131" s="18">
        <f>E124+E117</f>
        <v>7146.56929687</v>
      </c>
      <c r="F131" s="18">
        <f>F124+F117</f>
        <v>7755.82987113</v>
      </c>
      <c r="G131" s="18">
        <f>G124+G117</f>
        <v>8383.70320505</v>
      </c>
    </row>
    <row r="132">
      <c r="A132" s="9" t="inlineStr">
        <is>
          <t>Terminal return on invested capital, at REPLACEMENT cost</t>
        </is>
      </c>
      <c r="B132" s="19">
        <f>G123*(1+Assumptions!$B$89)/G131</f>
        <v>0.13651577386</v>
      </c>
    </row>
    <row r="133">
      <c r="A133" s="9" t="inlineStr">
        <is>
          <t>Required reinvestment = growth / return</t>
        </is>
      </c>
      <c r="B133" s="19">
        <f>MIN(Assumptions!$B$89/B132,0.95)</f>
        <v>0.366258041737</v>
      </c>
    </row>
    <row r="134">
      <c r="A134" s="9" t="inlineStr">
        <is>
          <t>Terminal value</t>
        </is>
      </c>
      <c r="B134" s="18">
        <f>G123*(1+Assumptions!$B$89)*(1-B133)/MAX(Forecast!$B$17-Assumptions!$B$89,0.02)</f>
        <v>5435.82803859</v>
      </c>
    </row>
    <row r="135">
      <c r="A135" s="9" t="inlineStr">
        <is>
          <t>PV of the terminal block</t>
        </is>
      </c>
      <c r="B135" s="18">
        <f>B134*G129</f>
        <v>1859.77870292</v>
      </c>
    </row>
    <row r="136">
      <c r="A136" s="17" t="inlineStr">
        <is>
          <t>ENTERPRISE VALUE</t>
        </is>
      </c>
      <c r="B136" s="20">
        <f>B131+B135</f>
        <v>4472.85800257</v>
      </c>
    </row>
    <row r="137">
      <c r="A137" s="9" t="inlineStr">
        <is>
          <t>plus net cash</t>
        </is>
      </c>
      <c r="B137" s="18">
        <f>(Assumptions!$B$79-Assumptions!$B$82-Assumptions!$B$83)/10^6</f>
        <v>2442.544928</v>
      </c>
    </row>
    <row r="138">
      <c r="A138" s="9" t="inlineStr">
        <is>
          <t>Enterprise value including cash</t>
        </is>
      </c>
      <c r="B138" s="18">
        <f>B136+B137</f>
        <v>6915.40293057</v>
      </c>
    </row>
    <row r="139">
      <c r="A139" s="9" t="inlineStr">
        <is>
          <t>less minority — on the WHOLE enterprise, cash included</t>
        </is>
      </c>
      <c r="B139" s="18">
        <f>B138*'Base Year'!$B$41</f>
        <v>225.320719893</v>
      </c>
    </row>
    <row r="140">
      <c r="A140" s="9" t="inlineStr">
        <is>
          <t>less the tax-disputes provision</t>
        </is>
      </c>
      <c r="B140" s="18">
        <f>Assumptions!$B$78/10^6</f>
        <v>921.440353</v>
      </c>
    </row>
    <row r="141">
      <c r="A141" s="9" t="inlineStr">
        <is>
          <t>less dividends payable — declared, out of working capital</t>
        </is>
      </c>
      <c r="B141" s="18">
        <f>Assumptions!$B$77/10^6</f>
        <v>517.25</v>
      </c>
    </row>
    <row r="142">
      <c r="A142" s="9" t="inlineStr">
        <is>
          <t>plus non-operating investments and pledged deposits</t>
        </is>
      </c>
      <c r="B142" s="18">
        <f>(Assumptions!$B$81+Assumptions!$B$80)/10^6</f>
        <v>578.358746</v>
      </c>
    </row>
    <row r="143">
      <c r="A143" s="17" t="inlineStr">
        <is>
          <t>EQUITY ATTRIBUTABLE</t>
        </is>
      </c>
      <c r="B143" s="20">
        <f>B138-B139-B140-B141+B142</f>
        <v>5829.75060368</v>
      </c>
    </row>
    <row r="144">
      <c r="A144" s="17" t="inlineStr">
        <is>
          <t>VALUE PER SHARE, EGP</t>
        </is>
      </c>
      <c r="B144" s="30">
        <f>B143/Assumptions!$B$8</f>
        <v>4.51393774966</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9" t="inlineStr">
        <is>
          <t>Inflation index, cumulative</t>
        </is>
      </c>
      <c r="C148" s="26">
        <f>Assumptions!$B$146</f>
        <v>1.145</v>
      </c>
      <c r="D148" s="26">
        <f>C148*Assumptions!$B$147</f>
        <v>1.29385</v>
      </c>
      <c r="E148" s="26">
        <f>D148*Assumptions!$B$148</f>
        <v>1.44264275</v>
      </c>
      <c r="F148" s="26">
        <f>E148*Assumptions!$B$149</f>
        <v>1.586907025</v>
      </c>
      <c r="G148" s="26">
        <f>F148*Assumptions!$B$150</f>
        <v>1.73766319237</v>
      </c>
    </row>
    <row r="149">
      <c r="A149" s="9" t="inlineStr">
        <is>
          <t>Realisation index, cumulative</t>
        </is>
      </c>
      <c r="C149" s="26">
        <f>(1+Assumptions!$B$101*Forecast!$B$8)</f>
        <v>1.09</v>
      </c>
      <c r="D149" s="26">
        <f>C149*(1+Assumptions!$B$102*Forecast!$B$8)</f>
        <v>1.17175</v>
      </c>
      <c r="E149" s="26">
        <f>D149*(1+Assumptions!$B$103*Forecast!$B$8)</f>
        <v>1.24791375</v>
      </c>
      <c r="F149" s="26">
        <f>E149*(1+Assumptions!$B$104*Forecast!$B$8)</f>
        <v>1.3202927475</v>
      </c>
      <c r="G149" s="26">
        <f>F149*(1+Assumptions!$B$105*Forecast!$B$8)</f>
        <v>1.38894797037</v>
      </c>
    </row>
    <row r="150">
      <c r="A150" s="9" t="inlineStr">
        <is>
          <t xml:space="preserve">  Volume — Base and special oils, mn t</t>
        </is>
      </c>
      <c r="C150" s="26">
        <f>'Product and Cost'!E6*(1+Assumptions!$B$106*Forecast!$B$6)</f>
        <v>0.1148851682</v>
      </c>
      <c r="D150" s="26">
        <f>C150*(1+Assumptions!$B$107*Forecast!$B$6)</f>
        <v>0.119480574928</v>
      </c>
      <c r="E150" s="26">
        <f>D150*(1+Assumptions!$B$108*Forecast!$B$6)</f>
        <v>0.12366239505</v>
      </c>
      <c r="F150" s="26">
        <f>E150*(1+Assumptions!$B$109*Forecast!$B$6)</f>
        <v>0.127372266902</v>
      </c>
      <c r="G150" s="26">
        <f>F150*(1+Assumptions!$B$110*Forecast!$B$6)</f>
        <v>0.130938690375</v>
      </c>
    </row>
    <row r="151">
      <c r="A151" s="9" t="inlineStr">
        <is>
          <t xml:space="preserve">  Volume — Paraffin wax, mn t</t>
        </is>
      </c>
      <c r="C151" s="26">
        <f>'Product and Cost'!E7*(1+Assumptions!$B$111*Forecast!$B$6)</f>
        <v>0.089396788</v>
      </c>
      <c r="D151" s="26">
        <f>C151*(1+Assumptions!$B$112*Forecast!$B$6)</f>
        <v>0.09431361134</v>
      </c>
      <c r="E151" s="26">
        <f>D151*(1+Assumptions!$B$113*Forecast!$B$6)</f>
        <v>0.0985577238503</v>
      </c>
      <c r="F151" s="26">
        <f>E151*(1+Assumptions!$B$114*Forecast!$B$6)</f>
        <v>0.102302917357</v>
      </c>
      <c r="G151" s="26">
        <f>F151*(1+Assumptions!$B$115*Forecast!$B$6)</f>
        <v>0.105576610712</v>
      </c>
    </row>
    <row r="152">
      <c r="A152" s="9" t="inlineStr">
        <is>
          <t xml:space="preserve">  Volume — Gas oil, mn t</t>
        </is>
      </c>
      <c r="C152" s="26">
        <f>'Product and Cost'!E8*(1+Assumptions!$B$116*Forecast!$B$6)</f>
        <v>0.35023715724</v>
      </c>
      <c r="D152" s="26">
        <f>C152*(1+Assumptions!$B$117*Forecast!$B$6)</f>
        <v>0.357241900385</v>
      </c>
      <c r="E152" s="26">
        <f>D152*(1+Assumptions!$B$118*Forecast!$B$6)</f>
        <v>0.363672254592</v>
      </c>
      <c r="F152" s="26">
        <f>E152*(1+Assumptions!$B$119*Forecast!$B$6)</f>
        <v>0.369491010665</v>
      </c>
      <c r="G152" s="26">
        <f>F152*(1+Assumptions!$B$120*Forecast!$B$6)</f>
        <v>0.375033375825</v>
      </c>
    </row>
    <row r="153">
      <c r="A153" s="9" t="inlineStr">
        <is>
          <t xml:space="preserve">  Volume — Naphtha, mn t</t>
        </is>
      </c>
      <c r="C153" s="26">
        <f>'Product and Cost'!E9*(1+Assumptions!$B$121*Forecast!$B$6)</f>
        <v>0.08410463971</v>
      </c>
      <c r="D153" s="26">
        <f>C153*(1+Assumptions!$B$122*Forecast!$B$6)</f>
        <v>0.0856185232248</v>
      </c>
      <c r="E153" s="26">
        <f>D153*(1+Assumptions!$B$123*Forecast!$B$6)</f>
        <v>0.0871596566428</v>
      </c>
      <c r="F153" s="26">
        <f>E153*(1+Assumptions!$B$124*Forecast!$B$6)</f>
        <v>0.0885542111491</v>
      </c>
      <c r="G153" s="26">
        <f>F153*(1+Assumptions!$B$125*Forecast!$B$6)</f>
        <v>0.0898825243163</v>
      </c>
    </row>
    <row r="154">
      <c r="A154" s="9" t="inlineStr">
        <is>
          <t xml:space="preserve">  Volume — Liquefied petroleum gas, mn t</t>
        </is>
      </c>
      <c r="C154" s="26">
        <f>'Product and Cost'!E10*(1+Assumptions!$B$126*Forecast!$B$6)</f>
        <v>0.0486583449</v>
      </c>
      <c r="D154" s="26">
        <f>C154*(1+Assumptions!$B$127*Forecast!$B$6)</f>
        <v>0.0497288284878</v>
      </c>
      <c r="E154" s="26">
        <f>D154*(1+Assumptions!$B$128*Forecast!$B$6)</f>
        <v>0.0507234050576</v>
      </c>
      <c r="F154" s="26">
        <f>E154*(1+Assumptions!$B$129*Forecast!$B$6)</f>
        <v>0.0516364263486</v>
      </c>
      <c r="G154" s="26">
        <f>F154*(1+Assumptions!$B$130*Forecast!$B$6)</f>
        <v>0.0524626091702</v>
      </c>
    </row>
    <row r="155">
      <c r="A155" s="9" t="inlineStr">
        <is>
          <t xml:space="preserve">  Volume — Fuel oil (mix), mn t</t>
        </is>
      </c>
      <c r="C155" s="26">
        <f>'Product and Cost'!E11*(1+Assumptions!$B$131*Forecast!$B$6)</f>
        <v>0.947916416</v>
      </c>
      <c r="D155" s="26">
        <f>C155*(1+Assumptions!$B$132*Forecast!$B$6)</f>
        <v>0.972562242816</v>
      </c>
      <c r="E155" s="26">
        <f>D155*(1+Assumptions!$B$133*Forecast!$B$6)</f>
        <v>0.993958612158</v>
      </c>
      <c r="F155" s="26">
        <f>E155*(1+Assumptions!$B$134*Forecast!$B$6)</f>
        <v>1.0138377844</v>
      </c>
      <c r="G155" s="26">
        <f>F155*(1+Assumptions!$B$135*Forecast!$B$6)</f>
        <v>1.03208686452</v>
      </c>
    </row>
    <row r="156">
      <c r="A156" s="9" t="inlineStr">
        <is>
          <t xml:space="preserve">  Volume — Heavy fuel oil, mn t</t>
        </is>
      </c>
      <c r="C156" s="26">
        <f>'Product and Cost'!E12*(1+Assumptions!$B$136*Forecast!$B$6)</f>
        <v>0.0292281408</v>
      </c>
      <c r="D156" s="26">
        <f>C156*(1+Assumptions!$B$137*Forecast!$B$6)</f>
        <v>0.0297542473344</v>
      </c>
      <c r="E156" s="26">
        <f>D156*(1+Assumptions!$B$138*Forecast!$B$6)</f>
        <v>0.0302303152918</v>
      </c>
      <c r="F156" s="26">
        <f>E156*(1+Assumptions!$B$139*Forecast!$B$6)</f>
        <v>0.0306837700211</v>
      </c>
      <c r="G156" s="26">
        <f>F156*(1+Assumptions!$B$140*Forecast!$B$6)</f>
        <v>0.0311133428014</v>
      </c>
    </row>
    <row r="157">
      <c r="A157" s="9" t="inlineStr">
        <is>
          <t xml:space="preserve">  Volume — Waste, mn t</t>
        </is>
      </c>
      <c r="C157" s="26">
        <f>'Product and Cost'!E13*(1+Assumptions!$B$141*Forecast!$B$6)</f>
        <v>1.564e-05</v>
      </c>
      <c r="D157" s="26">
        <f>C157*(1+Assumptions!$B$142*Forecast!$B$6)</f>
        <v>1.564e-05</v>
      </c>
      <c r="E157" s="26">
        <f>D157*(1+Assumptions!$B$143*Forecast!$B$6)</f>
        <v>1.564e-05</v>
      </c>
      <c r="F157" s="26">
        <f>E157*(1+Assumptions!$B$144*Forecast!$B$6)</f>
        <v>1.564e-05</v>
      </c>
      <c r="G157" s="26">
        <f>F157*(1+Assumptions!$B$145*Forecast!$B$6)</f>
        <v>1.564e-05</v>
      </c>
    </row>
    <row r="158">
      <c r="A158" s="17" t="inlineStr">
        <is>
          <t>Total volume, mn t</t>
        </is>
      </c>
      <c r="C158" s="28">
        <f>SUM(C150:C157)</f>
        <v>1.66444229485</v>
      </c>
      <c r="D158" s="28">
        <f>SUM(D150:D157)</f>
        <v>1.70871556852</v>
      </c>
      <c r="E158" s="28">
        <f>SUM(E150:E157)</f>
        <v>1.74798000264</v>
      </c>
      <c r="F158" s="28">
        <f>SUM(F150:F157)</f>
        <v>1.78389402684</v>
      </c>
      <c r="G158" s="28">
        <f>SUM(G150:G157)</f>
        <v>1.81710965772</v>
      </c>
    </row>
    <row r="159">
      <c r="A159" s="17" t="inlineStr">
        <is>
          <t>REVENUE</t>
        </is>
      </c>
      <c r="C159" s="20">
        <f>C150*'Product and Cost'!$F$6*C149+C151*'Product and Cost'!$F$7*C149+C152*'Product and Cost'!$F$8*C149+C153*'Product and Cost'!$F$9*C149+C154*'Product and Cost'!$F$10*C149+C155*'Product and Cost'!$F$11*C149+C156*'Product and Cost'!$F$12*C149+C157*'Product and Cost'!$F$13*C149</f>
        <v>52840.8111141</v>
      </c>
      <c r="D159" s="20">
        <f>D150*'Product and Cost'!$F$6*D149+D151*'Product and Cost'!$F$7*D149+D152*'Product and Cost'!$F$8*D149+D153*'Product and Cost'!$F$9*D149+D154*'Product and Cost'!$F$10*D149+D155*'Product and Cost'!$F$11*D149+D156*'Product and Cost'!$F$12*D149+D157*'Product and Cost'!$F$13*D149</f>
        <v>58432.1672543</v>
      </c>
      <c r="E159" s="20">
        <f>E150*'Product and Cost'!$F$6*E149+E151*'Product and Cost'!$F$7*E149+E152*'Product and Cost'!$F$8*E149+E153*'Product and Cost'!$F$9*E149+E154*'Product and Cost'!$F$10*E149+E155*'Product and Cost'!$F$11*E149+E156*'Product and Cost'!$F$12*E149+E157*'Product and Cost'!$F$13*E149</f>
        <v>63772.6371781</v>
      </c>
      <c r="F159" s="20">
        <f>F150*'Product and Cost'!$F$6*F149+F151*'Product and Cost'!$F$7*F149+F152*'Product and Cost'!$F$8*F149+F153*'Product and Cost'!$F$9*F149+F154*'Product and Cost'!$F$10*F149+F155*'Product and Cost'!$F$11*F149+F156*'Product and Cost'!$F$12*F149+F157*'Product and Cost'!$F$13*F149</f>
        <v>68952.1790369</v>
      </c>
      <c r="G159" s="20">
        <f>G150*'Product and Cost'!$F$6*G149+G151*'Product and Cost'!$F$7*G149+G152*'Product and Cost'!$F$8*G149+G153*'Product and Cost'!$F$9*G149+G154*'Product and Cost'!$F$10*G149+G155*'Product and Cost'!$F$11*G149+G156*'Product and Cost'!$F$12*G149+G157*'Product and Cost'!$F$13*G149</f>
        <v>73977.8431827</v>
      </c>
    </row>
    <row r="160">
      <c r="A160" s="9" t="inlineStr">
        <is>
          <t>Cost of sales</t>
        </is>
      </c>
      <c r="C160" s="18">
        <f>C150*('Product and Cost'!$D$27*C149*Assumptions!$B$88+'Product and Cost'!$B$27*(0.4863620081*C148+0.4455809638*C148+0.0356254898*C149+0.0324315384))+C151*('Product and Cost'!$D$28*C149*Assumptions!$B$88+'Product and Cost'!$B$28*(0.4863620081*C148+0.4455809638*C148+0.0356254898*C149+0.0324315384))+C152*('Product and Cost'!$D$29*C149*Assumptions!$B$88+'Product and Cost'!$B$29*(0.4863620081*C148+0.4455809638*C148+0.0356254898*C149+0.0324315384))+C153*('Product and Cost'!$D$30*C149*Assumptions!$B$88+'Product and Cost'!$B$30*(0.4863620081*C148+0.4455809638*C148+0.0356254898*C149+0.0324315384))+C154*('Product and Cost'!$D$31*C149*Assumptions!$B$88+'Product and Cost'!$B$31*(0.4863620081*C148+0.4455809638*C148+0.0356254898*C149+0.0324315384))+C155*('Product and Cost'!$D$32*C149*Assumptions!$B$88+'Product and Cost'!$B$32*(0.4863620081*C148+0.4455809638*C148+0.0356254898*C149+0.0324315384))+C156*('Product and Cost'!$D$33*C149*Assumptions!$B$88+'Product and Cost'!$B$33*(0.4863620081*C148+0.4455809638*C148+0.0356254898*C149+0.0324315384))+C157*('Product and Cost'!$D$34*C149*Assumptions!$B$88+'Product and Cost'!$B$34*(0.4863620081*C148+0.4455809638*C148+0.0356254898*C149+0.0324315384))</f>
        <v>48291.1604712</v>
      </c>
      <c r="D160" s="18">
        <f>D150*('Product and Cost'!$D$27*D149*Assumptions!$B$88+'Product and Cost'!$B$27*(0.4863620081*D148+0.4455809638*D148+0.0356254898*D149+0.0324315384))+D151*('Product and Cost'!$D$28*D149*Assumptions!$B$88+'Product and Cost'!$B$28*(0.4863620081*D148+0.4455809638*D148+0.0356254898*D149+0.0324315384))+D152*('Product and Cost'!$D$29*D149*Assumptions!$B$88+'Product and Cost'!$B$29*(0.4863620081*D148+0.4455809638*D148+0.0356254898*D149+0.0324315384))+D153*('Product and Cost'!$D$30*D149*Assumptions!$B$88+'Product and Cost'!$B$30*(0.4863620081*D148+0.4455809638*D148+0.0356254898*D149+0.0324315384))+D154*('Product and Cost'!$D$31*D149*Assumptions!$B$88+'Product and Cost'!$B$31*(0.4863620081*D148+0.4455809638*D148+0.0356254898*D149+0.0324315384))+D155*('Product and Cost'!$D$32*D149*Assumptions!$B$88+'Product and Cost'!$B$32*(0.4863620081*D148+0.4455809638*D148+0.0356254898*D149+0.0324315384))+D156*('Product and Cost'!$D$33*D149*Assumptions!$B$88+'Product and Cost'!$B$33*(0.4863620081*D148+0.4455809638*D148+0.0356254898*D149+0.0324315384))+D157*('Product and Cost'!$D$34*D149*Assumptions!$B$88+'Product and Cost'!$B$34*(0.4863620081*D148+0.4455809638*D148+0.0356254898*D149+0.0324315384))</f>
        <v>53647.9823219</v>
      </c>
      <c r="E160" s="18">
        <f>E150*('Product and Cost'!$D$27*E149*Assumptions!$B$88+'Product and Cost'!$B$27*(0.4863620081*E148+0.4455809638*E148+0.0356254898*E149+0.0324315384))+E151*('Product and Cost'!$D$28*E149*Assumptions!$B$88+'Product and Cost'!$B$28*(0.4863620081*E148+0.4455809638*E148+0.0356254898*E149+0.0324315384))+E152*('Product and Cost'!$D$29*E149*Assumptions!$B$88+'Product and Cost'!$B$29*(0.4863620081*E148+0.4455809638*E148+0.0356254898*E149+0.0324315384))+E153*('Product and Cost'!$D$30*E149*Assumptions!$B$88+'Product and Cost'!$B$30*(0.4863620081*E148+0.4455809638*E148+0.0356254898*E149+0.0324315384))+E154*('Product and Cost'!$D$31*E149*Assumptions!$B$88+'Product and Cost'!$B$31*(0.4863620081*E148+0.4455809638*E148+0.0356254898*E149+0.0324315384))+E155*('Product and Cost'!$D$32*E149*Assumptions!$B$88+'Product and Cost'!$B$32*(0.4863620081*E148+0.4455809638*E148+0.0356254898*E149+0.0324315384))+E156*('Product and Cost'!$D$33*E149*Assumptions!$B$88+'Product and Cost'!$B$33*(0.4863620081*E148+0.4455809638*E148+0.0356254898*E149+0.0324315384))+E157*('Product and Cost'!$D$34*E149*Assumptions!$B$88+'Product and Cost'!$B$34*(0.4863620081*E148+0.4455809638*E148+0.0356254898*E149+0.0324315384))</f>
        <v>58815.4011786</v>
      </c>
      <c r="F160" s="18">
        <f>F150*('Product and Cost'!$D$27*F149*Assumptions!$B$88+'Product and Cost'!$B$27*(0.4863620081*F148+0.4455809638*F148+0.0356254898*F149+0.0324315384))+F151*('Product and Cost'!$D$28*F149*Assumptions!$B$88+'Product and Cost'!$B$28*(0.4863620081*F148+0.4455809638*F148+0.0356254898*F149+0.0324315384))+F152*('Product and Cost'!$D$29*F149*Assumptions!$B$88+'Product and Cost'!$B$29*(0.4863620081*F148+0.4455809638*F148+0.0356254898*F149+0.0324315384))+F153*('Product and Cost'!$D$30*F149*Assumptions!$B$88+'Product and Cost'!$B$30*(0.4863620081*F148+0.4455809638*F148+0.0356254898*F149+0.0324315384))+F154*('Product and Cost'!$D$31*F149*Assumptions!$B$88+'Product and Cost'!$B$31*(0.4863620081*F148+0.4455809638*F148+0.0356254898*F149+0.0324315384))+F155*('Product and Cost'!$D$32*F149*Assumptions!$B$88+'Product and Cost'!$B$32*(0.4863620081*F148+0.4455809638*F148+0.0356254898*F149+0.0324315384))+F156*('Product and Cost'!$D$33*F149*Assumptions!$B$88+'Product and Cost'!$B$33*(0.4863620081*F148+0.4455809638*F148+0.0356254898*F149+0.0324315384))+F157*('Product and Cost'!$D$34*F149*Assumptions!$B$88+'Product and Cost'!$B$34*(0.4863620081*F148+0.4455809638*F148+0.0356254898*F149+0.0324315384))</f>
        <v>63847.5732702</v>
      </c>
      <c r="G160" s="18">
        <f>G150*('Product and Cost'!$D$27*G149*Assumptions!$B$88+'Product and Cost'!$B$27*(0.4863620081*G148+0.4455809638*G148+0.0356254898*G149+0.0324315384))+G151*('Product and Cost'!$D$28*G149*Assumptions!$B$88+'Product and Cost'!$B$28*(0.4863620081*G148+0.4455809638*G148+0.0356254898*G149+0.0324315384))+G152*('Product and Cost'!$D$29*G149*Assumptions!$B$88+'Product and Cost'!$B$29*(0.4863620081*G148+0.4455809638*G148+0.0356254898*G149+0.0324315384))+G153*('Product and Cost'!$D$30*G149*Assumptions!$B$88+'Product and Cost'!$B$30*(0.4863620081*G148+0.4455809638*G148+0.0356254898*G149+0.0324315384))+G154*('Product and Cost'!$D$31*G149*Assumptions!$B$88+'Product and Cost'!$B$31*(0.4863620081*G148+0.4455809638*G148+0.0356254898*G149+0.0324315384))+G155*('Product and Cost'!$D$32*G149*Assumptions!$B$88+'Product and Cost'!$B$32*(0.4863620081*G148+0.4455809638*G148+0.0356254898*G149+0.0324315384))+G156*('Product and Cost'!$D$33*G149*Assumptions!$B$88+'Product and Cost'!$B$33*(0.4863620081*G148+0.4455809638*G148+0.0356254898*G149+0.0324315384))+G157*('Product and Cost'!$D$34*G149*Assumptions!$B$88+'Product and Cost'!$B$34*(0.4863620081*G148+0.4455809638*G148+0.0356254898*G149+0.0324315384))</f>
        <v>68797.1859175</v>
      </c>
    </row>
    <row r="161">
      <c r="A161" s="17" t="inlineStr">
        <is>
          <t>GROSS PROFIT</t>
        </is>
      </c>
      <c r="C161" s="20">
        <f>C159-C160+$C$8*C159</f>
        <v>4549.65064286</v>
      </c>
      <c r="D161" s="20">
        <f>D159-D160+$C$8*D159</f>
        <v>4784.18493236</v>
      </c>
      <c r="E161" s="20">
        <f>E159-E160+$C$8*E159</f>
        <v>4957.23599944</v>
      </c>
      <c r="F161" s="20">
        <f>F159-F160+$C$8*F159</f>
        <v>5104.60576669</v>
      </c>
      <c r="G161" s="20">
        <f>G159-G160+$C$8*G159</f>
        <v>5180.65726511</v>
      </c>
    </row>
    <row r="162">
      <c r="A162" s="9" t="inlineStr">
        <is>
          <t>Gross margin</t>
        </is>
      </c>
      <c r="C162" s="19">
        <f>C161/C159</f>
        <v>0.0861010750391</v>
      </c>
      <c r="D162" s="19">
        <f>D161/D159</f>
        <v>0.0818758768871</v>
      </c>
      <c r="E162" s="19">
        <f>E161/E159</f>
        <v>0.0777329622672</v>
      </c>
      <c r="F162" s="19">
        <f>F161/F159</f>
        <v>0.0740311015255</v>
      </c>
      <c r="G162" s="19">
        <f>G161/G159</f>
        <v>0.0700298500501</v>
      </c>
    </row>
    <row r="163">
      <c r="A163" s="9" t="inlineStr">
        <is>
          <t>Operating expense</t>
        </is>
      </c>
      <c r="C163" s="18">
        <f>('Base Year'!$B$28*C148)+('Base Year'!$B$29*C148*C158/'Product and Cost'!$E$14)+('Base Year'!$B$30*C148)+('Base Year'!$B$31*C148)</f>
        <v>2007.6668112</v>
      </c>
      <c r="D163" s="18">
        <f>('Base Year'!$B$28*D148)+('Base Year'!$B$29*D148*D158/'Product and Cost'!$E$14)+('Base Year'!$B$30*D148)+('Base Year'!$B$31*D148)</f>
        <v>2276.29775955</v>
      </c>
      <c r="E163" s="18">
        <f>('Base Year'!$B$28*E148)+('Base Year'!$B$29*E148*E158/'Product and Cost'!$E$14)+('Base Year'!$B$30*E148)+('Base Year'!$B$31*E148)</f>
        <v>2545.62118024</v>
      </c>
      <c r="F163" s="18">
        <f>('Base Year'!$B$28*F148)+('Base Year'!$B$29*F148*F158/'Product and Cost'!$E$14)+('Base Year'!$B$30*F148)+('Base Year'!$B$31*F148)</f>
        <v>2807.77881104</v>
      </c>
      <c r="G163" s="18">
        <f>('Base Year'!$B$28*G148)+('Base Year'!$B$29*G148*G158/'Product and Cost'!$E$14)+('Base Year'!$B$30*G148)+('Base Year'!$B$31*G148)</f>
        <v>3082.20998189</v>
      </c>
    </row>
    <row r="164">
      <c r="A164" s="17" t="inlineStr">
        <is>
          <t>EBITDA</t>
        </is>
      </c>
      <c r="C164" s="20">
        <f>C161-C163</f>
        <v>2541.98383166</v>
      </c>
      <c r="D164" s="20">
        <f>D161-D163</f>
        <v>2507.88717281</v>
      </c>
      <c r="E164" s="20">
        <f>E161-E163</f>
        <v>2411.6148192</v>
      </c>
      <c r="F164" s="20">
        <f>F161-F163</f>
        <v>2296.82695565</v>
      </c>
      <c r="G164" s="20">
        <f>G161-G163</f>
        <v>2098.44728323</v>
      </c>
    </row>
    <row r="165">
      <c r="A165" s="9" t="inlineStr">
        <is>
          <t>Capital expenditure — maintenance + growth</t>
        </is>
      </c>
      <c r="C165" s="18">
        <f>'Base Year'!$B$43*C148+MAX(C158-'Product and Cost'!$E$14,0)*1947.901031*C148</f>
        <v>280.931999159</v>
      </c>
      <c r="D165" s="18">
        <f>'Base Year'!$B$43*D148+MAX(D158-C158,0)*1947.901031*D148</f>
        <v>307.3675836</v>
      </c>
      <c r="E165" s="18">
        <f>'Base Year'!$B$43*E148+MAX(E158-D158,0)*1947.901031*E148</f>
        <v>328.639389001</v>
      </c>
      <c r="F165" s="18">
        <f>'Base Year'!$B$43*F148+MAX(F158-E158,0)*1947.901031*F148</f>
        <v>351.146749034</v>
      </c>
      <c r="G165" s="18">
        <f>'Base Year'!$B$43*G148+MAX(G158-F158,0)*1947.901031*G148</f>
        <v>375.372179467</v>
      </c>
    </row>
    <row r="166">
      <c r="A166" s="9" t="inlineStr">
        <is>
          <t>Fixed assets at cost, closing</t>
        </is>
      </c>
      <c r="C166" s="18">
        <f>(Assumptions!$B$70+Assumptions!$B$71)/10^6+C165</f>
        <v>3429.06589416</v>
      </c>
      <c r="D166" s="18">
        <f>C166+D165</f>
        <v>3736.43347776</v>
      </c>
      <c r="E166" s="18">
        <f>D166+E165</f>
        <v>4065.07286676</v>
      </c>
      <c r="F166" s="18">
        <f>E166+F165</f>
        <v>4416.21961579</v>
      </c>
      <c r="G166" s="18">
        <f>F166+G165</f>
        <v>4791.59179526</v>
      </c>
    </row>
    <row r="167">
      <c r="A167" s="9" t="inlineStr">
        <is>
          <t>Depreciation — rolls off the asset register</t>
        </is>
      </c>
      <c r="C167" s="18">
        <f>(Assumptions!$B$70+Assumptions!$B$71)/10^6/'Base Year'!$B$42</f>
        <v>173.808854481</v>
      </c>
      <c r="D167" s="18">
        <f>C166/'Base Year'!$B$42</f>
        <v>189.319144255</v>
      </c>
      <c r="E167" s="18">
        <f>D166/'Base Year'!$B$42</f>
        <v>206.288945856</v>
      </c>
      <c r="F167" s="18">
        <f>E166/'Base Year'!$B$42</f>
        <v>224.433166415</v>
      </c>
      <c r="G167" s="18">
        <f>F166/'Base Year'!$B$42</f>
        <v>243.820021053</v>
      </c>
    </row>
    <row r="168">
      <c r="A168" s="9" t="inlineStr">
        <is>
          <t>Fixed assets, net book, closing</t>
        </is>
      </c>
      <c r="C168" s="18">
        <f>(Assumptions!$B$69+Assumptions!$B$71)/10^6+C165-C167</f>
        <v>1407.46262168</v>
      </c>
      <c r="D168" s="18">
        <f>C168+D165-D167</f>
        <v>1525.51106102</v>
      </c>
      <c r="E168" s="18">
        <f>D168+E165-E167</f>
        <v>1647.86150417</v>
      </c>
      <c r="F168" s="18">
        <f>E168+F165-F167</f>
        <v>1774.57508679</v>
      </c>
      <c r="G168" s="18">
        <f>F168+G165-G167</f>
        <v>1906.1272452</v>
      </c>
    </row>
    <row r="169">
      <c r="A169" s="17" t="inlineStr">
        <is>
          <t>EBIT</t>
        </is>
      </c>
      <c r="C169" s="20">
        <f>C164-C167</f>
        <v>2368.17497718</v>
      </c>
      <c r="D169" s="20">
        <f>D164-D167</f>
        <v>2318.56802856</v>
      </c>
      <c r="E169" s="20">
        <f>E164-E167</f>
        <v>2205.32587334</v>
      </c>
      <c r="F169" s="20">
        <f>F164-F167</f>
        <v>2072.39378923</v>
      </c>
      <c r="G169" s="20">
        <f>G164-G167</f>
        <v>1854.62726217</v>
      </c>
    </row>
    <row r="170">
      <c r="A170" s="9" t="inlineStr">
        <is>
          <t>NOPAT before the profit share</t>
        </is>
      </c>
      <c r="C170" s="18">
        <f>C169*(1-Assumptions!$B$87)</f>
        <v>1835.33560732</v>
      </c>
      <c r="D170" s="18">
        <f>D169*(1-Assumptions!$B$87)</f>
        <v>1796.89022213</v>
      </c>
      <c r="E170" s="18">
        <f>E169*(1-Assumptions!$B$87)</f>
        <v>1709.12755184</v>
      </c>
      <c r="F170" s="18">
        <f>F169*(1-Assumptions!$B$87)</f>
        <v>1606.10518666</v>
      </c>
      <c r="G170" s="18">
        <f>G169*(1-Assumptions!$B$87)</f>
        <v>1437.33612818</v>
      </c>
    </row>
    <row r="171">
      <c r="A171" s="9" t="inlineStr">
        <is>
          <t xml:space="preserve">  less employees' profit share and board bonuses</t>
        </is>
      </c>
      <c r="C171" s="18">
        <f>MAX(C170,0)*'Base Year'!$B$40</f>
        <v>96.7608009272</v>
      </c>
      <c r="D171" s="18">
        <f>MAX(D170,0)*'Base Year'!$B$40</f>
        <v>94.7339202588</v>
      </c>
      <c r="E171" s="18">
        <f>MAX(E170,0)*'Base Year'!$B$40</f>
        <v>90.1069810576</v>
      </c>
      <c r="F171" s="18">
        <f>MAX(F170,0)*'Base Year'!$B$40</f>
        <v>84.6755348801</v>
      </c>
      <c r="G171" s="18">
        <f>MAX(G170,0)*'Base Year'!$B$40</f>
        <v>75.7778546933</v>
      </c>
    </row>
    <row r="172">
      <c r="A172" s="17" t="inlineStr">
        <is>
          <t>NOPAT</t>
        </is>
      </c>
      <c r="C172" s="20">
        <f>C170-C171</f>
        <v>1738.57480639</v>
      </c>
      <c r="D172" s="20">
        <f>D170-D171</f>
        <v>1702.15630187</v>
      </c>
      <c r="E172" s="20">
        <f>E170-E171</f>
        <v>1619.02057078</v>
      </c>
      <c r="F172" s="20">
        <f>F170-F171</f>
        <v>1521.42965178</v>
      </c>
      <c r="G172" s="20">
        <f>G170-G171</f>
        <v>1361.55827349</v>
      </c>
    </row>
    <row r="173">
      <c r="A173" s="9" t="inlineStr">
        <is>
          <t>Net working capital — on days</t>
        </is>
      </c>
      <c r="C173" s="18">
        <f>'Base Year'!$B$44*Forecast!$B$9/365*C160+'Base Year'!$B$45*Forecast!$B$9/365*C159-'Base Year'!$B$46*Forecast!$B$9/365*C160</f>
        <v>2539.69193722</v>
      </c>
      <c r="D173" s="18">
        <f>'Base Year'!$B$44*Forecast!$B$9/365*D160+'Base Year'!$B$45*Forecast!$B$9/365*D159-'Base Year'!$B$46*Forecast!$B$9/365*D160</f>
        <v>2816.01103091</v>
      </c>
      <c r="E173" s="18">
        <f>'Base Year'!$B$44*Forecast!$B$9/365*E160+'Base Year'!$B$45*Forecast!$B$9/365*E159-'Base Year'!$B$46*Forecast!$B$9/365*E160</f>
        <v>3081.49643011</v>
      </c>
      <c r="F173" s="18">
        <f>'Base Year'!$B$44*Forecast!$B$9/365*F160+'Base Year'!$B$45*Forecast!$B$9/365*F159-'Base Year'!$B$46*Forecast!$B$9/365*F160</f>
        <v>3339.61025534</v>
      </c>
      <c r="G173" s="18">
        <f>'Base Year'!$B$44*Forecast!$B$9/365*G160+'Base Year'!$B$45*Forecast!$B$9/365*G159-'Base Year'!$B$46*Forecast!$B$9/365*G160</f>
        <v>3592.11140979</v>
      </c>
    </row>
    <row r="174">
      <c r="A174" s="9" t="inlineStr">
        <is>
          <t xml:space="preserve">  change in working capital</t>
        </is>
      </c>
      <c r="C174" s="18">
        <f>C173-('Base Year'!$B$44/365*'Base Year'!$B$21+'Base Year'!$B$45/365*'Base Year'!$B$19-'Base Year'!$B$46/365*'Base Year'!$B$21)</f>
        <v>288.28964822</v>
      </c>
      <c r="D174" s="18">
        <f>D173-C173</f>
        <v>276.319093691</v>
      </c>
      <c r="E174" s="18">
        <f>E173-D173</f>
        <v>265.485399203</v>
      </c>
      <c r="F174" s="18">
        <f>F173-E173</f>
        <v>258.113825222</v>
      </c>
      <c r="G174" s="18">
        <f>G173-F173</f>
        <v>252.501154457</v>
      </c>
    </row>
    <row r="175">
      <c r="A175" s="17" t="inlineStr">
        <is>
          <t>FREE CASH FLOW TO THE FIRM</t>
        </is>
      </c>
      <c r="C175" s="20">
        <f>C172+C167-C165-C174</f>
        <v>1343.16201349</v>
      </c>
      <c r="D175" s="20">
        <f>D172+D167-D165-D174</f>
        <v>1307.78876884</v>
      </c>
      <c r="E175" s="20">
        <f>E172+E167-E165-E174</f>
        <v>1231.18472844</v>
      </c>
      <c r="F175" s="20">
        <f>F172+F167-F165-F174</f>
        <v>1136.60224393</v>
      </c>
      <c r="G175" s="20">
        <f>G172+G167-G165-G174</f>
        <v>977.504960621</v>
      </c>
    </row>
    <row r="176">
      <c r="A176" s="9" t="inlineStr">
        <is>
          <t>Glide fraction</t>
        </is>
      </c>
      <c r="C176" s="26">
        <f>0.0000000000</f>
        <v>0</v>
      </c>
      <c r="D176" s="26">
        <f>0.3571428571</f>
        <v>0.3571428571</v>
      </c>
      <c r="E176" s="26">
        <f>0.6428571429</f>
        <v>0.6428571429</v>
      </c>
      <c r="F176" s="26">
        <f>0.8571428571</f>
        <v>0.8571428571</v>
      </c>
      <c r="G176" s="26">
        <f>1.0000000000</f>
        <v>1</v>
      </c>
    </row>
    <row r="177">
      <c r="A177" s="9" t="inlineStr">
        <is>
          <t>Forward cost of capital</t>
        </is>
      </c>
      <c r="C177" s="19">
        <f>Forecast!$B$14-(Forecast!$B$14-Forecast!$B$17)*C176</f>
        <v>0.31578338914</v>
      </c>
      <c r="D177" s="19">
        <f>Forecast!$B$14-(Forecast!$B$14-Forecast!$B$17)*D176</f>
        <v>0.268515637955</v>
      </c>
      <c r="E177" s="19">
        <f>Forecast!$B$14-(Forecast!$B$14-Forecast!$B$17)*E176</f>
        <v>0.230701436991</v>
      </c>
      <c r="F177" s="19">
        <f>Forecast!$B$14-(Forecast!$B$14-Forecast!$B$17)*F176</f>
        <v>0.202340786287</v>
      </c>
      <c r="G177" s="19">
        <f>Forecast!$B$14-(Forecast!$B$14-Forecast!$B$17)*G176</f>
        <v>0.183433685805</v>
      </c>
    </row>
    <row r="178">
      <c r="A178" s="9" t="inlineStr">
        <is>
          <t>Cumulative discount factor</t>
        </is>
      </c>
      <c r="C178" s="29">
        <f>1/(1+C177)</f>
        <v>0.760003514449</v>
      </c>
      <c r="D178" s="29">
        <f>C178/(1+D177)</f>
        <v>0.599128218612</v>
      </c>
      <c r="E178" s="29">
        <f>D178/(1+E177)</f>
        <v>0.486818492775</v>
      </c>
      <c r="F178" s="29">
        <f>E178/(1+F177)</f>
        <v>0.404892272081</v>
      </c>
      <c r="G178" s="29">
        <f>F178/(1+G177)</f>
        <v>0.342133468852</v>
      </c>
    </row>
    <row r="179">
      <c r="A179" s="9" t="inlineStr">
        <is>
          <t>Present value</t>
        </is>
      </c>
      <c r="C179" s="18">
        <f>C175*C178</f>
        <v>1020.80785073</v>
      </c>
      <c r="D179" s="18">
        <f>D175*D178</f>
        <v>783.533155394</v>
      </c>
      <c r="E179" s="18">
        <f>E175*E178</f>
        <v>599.363493825</v>
      </c>
      <c r="F179" s="18">
        <f>F175*F178</f>
        <v>460.201464998</v>
      </c>
      <c r="G179" s="18">
        <f>G175*G178</f>
        <v>334.437162997</v>
      </c>
    </row>
    <row r="180">
      <c r="A180" s="17" t="inlineStr">
        <is>
          <t>PV of the explicit window</t>
        </is>
      </c>
      <c r="B180" s="20">
        <f>SUM(C179:G179)</f>
        <v>3198.34312794</v>
      </c>
      <c r="C180" s="18">
        <f>C173+C166</f>
        <v>5968.75783138</v>
      </c>
      <c r="D180" s="18">
        <f>D173+D166</f>
        <v>6552.44450867</v>
      </c>
      <c r="E180" s="18">
        <f>E173+E166</f>
        <v>7146.56929687</v>
      </c>
      <c r="F180" s="18">
        <f>F173+F166</f>
        <v>7755.82987113</v>
      </c>
      <c r="G180" s="18">
        <f>G173+G166</f>
        <v>8383.70320505</v>
      </c>
    </row>
    <row r="181">
      <c r="A181" s="9" t="inlineStr">
        <is>
          <t>Terminal return on invested capital, at REPLACEMENT cost</t>
        </is>
      </c>
      <c r="B181" s="19">
        <f>G172*(1+Assumptions!$B$89)/G180</f>
        <v>0.170525620027</v>
      </c>
    </row>
    <row r="182">
      <c r="A182" s="9" t="inlineStr">
        <is>
          <t>Required reinvestment = growth / return</t>
        </is>
      </c>
      <c r="B182" s="19">
        <f>MIN(Assumptions!$B$89/B181,0.95)</f>
        <v>0.29321107287</v>
      </c>
    </row>
    <row r="183">
      <c r="A183" s="9" t="inlineStr">
        <is>
          <t>Terminal value</t>
        </is>
      </c>
      <c r="B183" s="18">
        <f>G172*(1+Assumptions!$B$89)*(1-B182)/MAX(Forecast!$B$17-Assumptions!$B$89,0.02)</f>
        <v>7572.68317077</v>
      </c>
    </row>
    <row r="184">
      <c r="A184" s="9" t="inlineStr">
        <is>
          <t>PV of the terminal block</t>
        </is>
      </c>
      <c r="B184" s="18">
        <f>B183*G178</f>
        <v>2590.86836173</v>
      </c>
    </row>
    <row r="185">
      <c r="A185" s="17" t="inlineStr">
        <is>
          <t>ENTERPRISE VALUE</t>
        </is>
      </c>
      <c r="B185" s="20">
        <f>B180+B184</f>
        <v>5789.21148967</v>
      </c>
    </row>
    <row r="186">
      <c r="A186" s="9" t="inlineStr">
        <is>
          <t>plus net cash</t>
        </is>
      </c>
      <c r="B186" s="18">
        <f>(Assumptions!$B$79-Assumptions!$B$82-Assumptions!$B$83)/10^6</f>
        <v>2442.544928</v>
      </c>
    </row>
    <row r="187">
      <c r="A187" s="9" t="inlineStr">
        <is>
          <t>Enterprise value including cash</t>
        </is>
      </c>
      <c r="B187" s="18">
        <f>B185+B186</f>
        <v>8231.75641767</v>
      </c>
    </row>
    <row r="188">
      <c r="A188" s="9" t="inlineStr">
        <is>
          <t>less minority — on the WHOLE enterprise, cash included</t>
        </is>
      </c>
      <c r="B188" s="18">
        <f>B187*'Base Year'!$B$41</f>
        <v>268.21073199</v>
      </c>
    </row>
    <row r="189">
      <c r="A189" s="9" t="inlineStr">
        <is>
          <t>less the tax-disputes provision</t>
        </is>
      </c>
      <c r="B189" s="18">
        <f>Assumptions!$B$78/10^6</f>
        <v>921.440353</v>
      </c>
    </row>
    <row r="190">
      <c r="A190" s="9" t="inlineStr">
        <is>
          <t>less dividends payable — declared, out of working capital</t>
        </is>
      </c>
      <c r="B190" s="18">
        <f>Assumptions!$B$77/10^6</f>
        <v>517.25</v>
      </c>
    </row>
    <row r="191">
      <c r="A191" s="9" t="inlineStr">
        <is>
          <t>plus non-operating investments and pledged deposits</t>
        </is>
      </c>
      <c r="B191" s="18">
        <f>(Assumptions!$B$81+Assumptions!$B$80)/10^6</f>
        <v>578.358746</v>
      </c>
    </row>
    <row r="192">
      <c r="A192" s="17" t="inlineStr">
        <is>
          <t>EQUITY ATTRIBUTABLE</t>
        </is>
      </c>
      <c r="B192" s="20">
        <f>B187-B188-B189-B190+B191</f>
        <v>7103.21407868</v>
      </c>
    </row>
    <row r="193">
      <c r="A193" s="17" t="inlineStr">
        <is>
          <t>VALUE PER SHARE, EGP</t>
        </is>
      </c>
      <c r="B193" s="30">
        <f>B192/Assumptions!$B$8</f>
        <v>5.49997218636</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9" t="inlineStr">
        <is>
          <t>Inflation index, cumulative</t>
        </is>
      </c>
      <c r="C197" s="26">
        <f>Assumptions!$B$146</f>
        <v>1.145</v>
      </c>
      <c r="D197" s="26">
        <f>C197*Assumptions!$B$147</f>
        <v>1.29385</v>
      </c>
      <c r="E197" s="26">
        <f>D197*Assumptions!$B$148</f>
        <v>1.44264275</v>
      </c>
      <c r="F197" s="26">
        <f>E197*Assumptions!$B$149</f>
        <v>1.586907025</v>
      </c>
      <c r="G197" s="26">
        <f>F197*Assumptions!$B$150</f>
        <v>1.73766319237</v>
      </c>
    </row>
    <row r="198">
      <c r="A198" s="9" t="inlineStr">
        <is>
          <t>Realisation index, cumulative</t>
        </is>
      </c>
      <c r="C198" s="26">
        <f>(1+Assumptions!$B$101*Forecast!$B$8)</f>
        <v>1.09</v>
      </c>
      <c r="D198" s="26">
        <f>C198*(1+Assumptions!$B$102*Forecast!$B$8)</f>
        <v>1.17175</v>
      </c>
      <c r="E198" s="26">
        <f>D198*(1+Assumptions!$B$103*Forecast!$B$8)</f>
        <v>1.24791375</v>
      </c>
      <c r="F198" s="26">
        <f>E198*(1+Assumptions!$B$104*Forecast!$B$8)</f>
        <v>1.3202927475</v>
      </c>
      <c r="G198" s="26">
        <f>F198*(1+Assumptions!$B$105*Forecast!$B$8)</f>
        <v>1.38894797037</v>
      </c>
    </row>
    <row r="199">
      <c r="A199" s="9" t="inlineStr">
        <is>
          <t xml:space="preserve">  Volume — Base and special oils, mn t</t>
        </is>
      </c>
      <c r="C199" s="26">
        <f>'Product and Cost'!E6*(1+Assumptions!$B$106*Forecast!$B$6)</f>
        <v>0.1148851682</v>
      </c>
      <c r="D199" s="26">
        <f>C199*(1+Assumptions!$B$107*Forecast!$B$6)</f>
        <v>0.119480574928</v>
      </c>
      <c r="E199" s="26">
        <f>D199*(1+Assumptions!$B$108*Forecast!$B$6)</f>
        <v>0.12366239505</v>
      </c>
      <c r="F199" s="26">
        <f>E199*(1+Assumptions!$B$109*Forecast!$B$6)</f>
        <v>0.127372266902</v>
      </c>
      <c r="G199" s="26">
        <f>F199*(1+Assumptions!$B$110*Forecast!$B$6)</f>
        <v>0.130938690375</v>
      </c>
    </row>
    <row r="200">
      <c r="A200" s="9" t="inlineStr">
        <is>
          <t xml:space="preserve">  Volume — Paraffin wax, mn t</t>
        </is>
      </c>
      <c r="C200" s="26">
        <f>'Product and Cost'!E7*(1+Assumptions!$B$111*Forecast!$B$6)</f>
        <v>0.089396788</v>
      </c>
      <c r="D200" s="26">
        <f>C200*(1+Assumptions!$B$112*Forecast!$B$6)</f>
        <v>0.09431361134</v>
      </c>
      <c r="E200" s="26">
        <f>D200*(1+Assumptions!$B$113*Forecast!$B$6)</f>
        <v>0.0985577238503</v>
      </c>
      <c r="F200" s="26">
        <f>E200*(1+Assumptions!$B$114*Forecast!$B$6)</f>
        <v>0.102302917357</v>
      </c>
      <c r="G200" s="26">
        <f>F200*(1+Assumptions!$B$115*Forecast!$B$6)</f>
        <v>0.105576610712</v>
      </c>
    </row>
    <row r="201">
      <c r="A201" s="9" t="inlineStr">
        <is>
          <t xml:space="preserve">  Volume — Gas oil, mn t</t>
        </is>
      </c>
      <c r="C201" s="26">
        <f>'Product and Cost'!E8*(1+Assumptions!$B$116*Forecast!$B$6)</f>
        <v>0.35023715724</v>
      </c>
      <c r="D201" s="26">
        <f>C201*(1+Assumptions!$B$117*Forecast!$B$6)</f>
        <v>0.357241900385</v>
      </c>
      <c r="E201" s="26">
        <f>D201*(1+Assumptions!$B$118*Forecast!$B$6)</f>
        <v>0.363672254592</v>
      </c>
      <c r="F201" s="26">
        <f>E201*(1+Assumptions!$B$119*Forecast!$B$6)</f>
        <v>0.369491010665</v>
      </c>
      <c r="G201" s="26">
        <f>F201*(1+Assumptions!$B$120*Forecast!$B$6)</f>
        <v>0.375033375825</v>
      </c>
    </row>
    <row r="202">
      <c r="A202" s="9" t="inlineStr">
        <is>
          <t xml:space="preserve">  Volume — Naphtha, mn t</t>
        </is>
      </c>
      <c r="C202" s="26">
        <f>'Product and Cost'!E9*(1+Assumptions!$B$121*Forecast!$B$6)</f>
        <v>0.08410463971</v>
      </c>
      <c r="D202" s="26">
        <f>C202*(1+Assumptions!$B$122*Forecast!$B$6)</f>
        <v>0.0856185232248</v>
      </c>
      <c r="E202" s="26">
        <f>D202*(1+Assumptions!$B$123*Forecast!$B$6)</f>
        <v>0.0871596566428</v>
      </c>
      <c r="F202" s="26">
        <f>E202*(1+Assumptions!$B$124*Forecast!$B$6)</f>
        <v>0.0885542111491</v>
      </c>
      <c r="G202" s="26">
        <f>F202*(1+Assumptions!$B$125*Forecast!$B$6)</f>
        <v>0.0898825243163</v>
      </c>
    </row>
    <row r="203">
      <c r="A203" s="9" t="inlineStr">
        <is>
          <t xml:space="preserve">  Volume — Liquefied petroleum gas, mn t</t>
        </is>
      </c>
      <c r="C203" s="26">
        <f>'Product and Cost'!E10*(1+Assumptions!$B$126*Forecast!$B$6)</f>
        <v>0.0486583449</v>
      </c>
      <c r="D203" s="26">
        <f>C203*(1+Assumptions!$B$127*Forecast!$B$6)</f>
        <v>0.0497288284878</v>
      </c>
      <c r="E203" s="26">
        <f>D203*(1+Assumptions!$B$128*Forecast!$B$6)</f>
        <v>0.0507234050576</v>
      </c>
      <c r="F203" s="26">
        <f>E203*(1+Assumptions!$B$129*Forecast!$B$6)</f>
        <v>0.0516364263486</v>
      </c>
      <c r="G203" s="26">
        <f>F203*(1+Assumptions!$B$130*Forecast!$B$6)</f>
        <v>0.0524626091702</v>
      </c>
    </row>
    <row r="204">
      <c r="A204" s="9" t="inlineStr">
        <is>
          <t xml:space="preserve">  Volume — Fuel oil (mix), mn t</t>
        </is>
      </c>
      <c r="C204" s="26">
        <f>'Product and Cost'!E11*(1+Assumptions!$B$131*Forecast!$B$6)</f>
        <v>0.947916416</v>
      </c>
      <c r="D204" s="26">
        <f>C204*(1+Assumptions!$B$132*Forecast!$B$6)</f>
        <v>0.972562242816</v>
      </c>
      <c r="E204" s="26">
        <f>D204*(1+Assumptions!$B$133*Forecast!$B$6)</f>
        <v>0.993958612158</v>
      </c>
      <c r="F204" s="26">
        <f>E204*(1+Assumptions!$B$134*Forecast!$B$6)</f>
        <v>1.0138377844</v>
      </c>
      <c r="G204" s="26">
        <f>F204*(1+Assumptions!$B$135*Forecast!$B$6)</f>
        <v>1.03208686452</v>
      </c>
    </row>
    <row r="205">
      <c r="A205" s="9" t="inlineStr">
        <is>
          <t xml:space="preserve">  Volume — Heavy fuel oil, mn t</t>
        </is>
      </c>
      <c r="C205" s="26">
        <f>'Product and Cost'!E12*(1+Assumptions!$B$136*Forecast!$B$6)</f>
        <v>0.0292281408</v>
      </c>
      <c r="D205" s="26">
        <f>C205*(1+Assumptions!$B$137*Forecast!$B$6)</f>
        <v>0.0297542473344</v>
      </c>
      <c r="E205" s="26">
        <f>D205*(1+Assumptions!$B$138*Forecast!$B$6)</f>
        <v>0.0302303152918</v>
      </c>
      <c r="F205" s="26">
        <f>E205*(1+Assumptions!$B$139*Forecast!$B$6)</f>
        <v>0.0306837700211</v>
      </c>
      <c r="G205" s="26">
        <f>F205*(1+Assumptions!$B$140*Forecast!$B$6)</f>
        <v>0.0311133428014</v>
      </c>
    </row>
    <row r="206">
      <c r="A206" s="9" t="inlineStr">
        <is>
          <t xml:space="preserve">  Volume — Waste, mn t</t>
        </is>
      </c>
      <c r="C206" s="26">
        <f>'Product and Cost'!E13*(1+Assumptions!$B$141*Forecast!$B$6)</f>
        <v>1.564e-05</v>
      </c>
      <c r="D206" s="26">
        <f>C206*(1+Assumptions!$B$142*Forecast!$B$6)</f>
        <v>1.564e-05</v>
      </c>
      <c r="E206" s="26">
        <f>D206*(1+Assumptions!$B$143*Forecast!$B$6)</f>
        <v>1.564e-05</v>
      </c>
      <c r="F206" s="26">
        <f>E206*(1+Assumptions!$B$144*Forecast!$B$6)</f>
        <v>1.564e-05</v>
      </c>
      <c r="G206" s="26">
        <f>F206*(1+Assumptions!$B$145*Forecast!$B$6)</f>
        <v>1.564e-05</v>
      </c>
    </row>
    <row r="207">
      <c r="A207" s="17" t="inlineStr">
        <is>
          <t>Total volume, mn t</t>
        </is>
      </c>
      <c r="C207" s="28">
        <f>SUM(C199:C206)</f>
        <v>1.66444229485</v>
      </c>
      <c r="D207" s="28">
        <f>SUM(D199:D206)</f>
        <v>1.70871556852</v>
      </c>
      <c r="E207" s="28">
        <f>SUM(E199:E206)</f>
        <v>1.74798000264</v>
      </c>
      <c r="F207" s="28">
        <f>SUM(F199:F206)</f>
        <v>1.78389402684</v>
      </c>
      <c r="G207" s="28">
        <f>SUM(G199:G206)</f>
        <v>1.81710965772</v>
      </c>
    </row>
    <row r="208">
      <c r="A208" s="17" t="inlineStr">
        <is>
          <t>REVENUE</t>
        </is>
      </c>
      <c r="C208" s="20">
        <f>C199*'Product and Cost'!$F$6*C198+C200*'Product and Cost'!$F$7*C198+C201*'Product and Cost'!$F$8*C198+C202*'Product and Cost'!$F$9*C198+C203*'Product and Cost'!$F$10*C198+C204*'Product and Cost'!$F$11*C198+C205*'Product and Cost'!$F$12*C198+C206*'Product and Cost'!$F$13*C198</f>
        <v>52840.8111141</v>
      </c>
      <c r="D208" s="20">
        <f>D199*'Product and Cost'!$F$6*D198+D200*'Product and Cost'!$F$7*D198+D201*'Product and Cost'!$F$8*D198+D202*'Product and Cost'!$F$9*D198+D203*'Product and Cost'!$F$10*D198+D204*'Product and Cost'!$F$11*D198+D205*'Product and Cost'!$F$12*D198+D206*'Product and Cost'!$F$13*D198</f>
        <v>58432.1672543</v>
      </c>
      <c r="E208" s="20">
        <f>E199*'Product and Cost'!$F$6*E198+E200*'Product and Cost'!$F$7*E198+E201*'Product and Cost'!$F$8*E198+E202*'Product and Cost'!$F$9*E198+E203*'Product and Cost'!$F$10*E198+E204*'Product and Cost'!$F$11*E198+E205*'Product and Cost'!$F$12*E198+E206*'Product and Cost'!$F$13*E198</f>
        <v>63772.6371781</v>
      </c>
      <c r="F208" s="20">
        <f>F199*'Product and Cost'!$F$6*F198+F200*'Product and Cost'!$F$7*F198+F201*'Product and Cost'!$F$8*F198+F202*'Product and Cost'!$F$9*F198+F203*'Product and Cost'!$F$10*F198+F204*'Product and Cost'!$F$11*F198+F205*'Product and Cost'!$F$12*F198+F206*'Product and Cost'!$F$13*F198</f>
        <v>68952.1790369</v>
      </c>
      <c r="G208" s="20">
        <f>G199*'Product and Cost'!$F$6*G198+G200*'Product and Cost'!$F$7*G198+G201*'Product and Cost'!$F$8*G198+G202*'Product and Cost'!$F$9*G198+G203*'Product and Cost'!$F$10*G198+G204*'Product and Cost'!$F$11*G198+G205*'Product and Cost'!$F$12*G198+G206*'Product and Cost'!$F$13*G198</f>
        <v>73977.8431827</v>
      </c>
    </row>
    <row r="209">
      <c r="A209" s="9" t="inlineStr">
        <is>
          <t>Cost of sales</t>
        </is>
      </c>
      <c r="C209" s="18">
        <f>C199*('Product and Cost'!$D$27*C198*Assumptions!$B$88+'Product and Cost'!$B$27*(0.4863620081*C197+0.4455809638*C197+0.0356254898*C198+0.0324315384))+C200*('Product and Cost'!$D$28*C198*Assumptions!$B$88+'Product and Cost'!$B$28*(0.4863620081*C197+0.4455809638*C197+0.0356254898*C198+0.0324315384))+C201*('Product and Cost'!$D$29*C198*Assumptions!$B$88+'Product and Cost'!$B$29*(0.4863620081*C197+0.4455809638*C197+0.0356254898*C198+0.0324315384))+C202*('Product and Cost'!$D$30*C198*Assumptions!$B$88+'Product and Cost'!$B$30*(0.4863620081*C197+0.4455809638*C197+0.0356254898*C198+0.0324315384))+C203*('Product and Cost'!$D$31*C198*Assumptions!$B$88+'Product and Cost'!$B$31*(0.4863620081*C197+0.4455809638*C197+0.0356254898*C198+0.0324315384))+C204*('Product and Cost'!$D$32*C198*Assumptions!$B$88+'Product and Cost'!$B$32*(0.4863620081*C197+0.4455809638*C197+0.0356254898*C198+0.0324315384))+C205*('Product and Cost'!$D$33*C198*Assumptions!$B$88+'Product and Cost'!$B$33*(0.4863620081*C197+0.4455809638*C197+0.0356254898*C198+0.0324315384))+C206*('Product and Cost'!$D$34*C198*Assumptions!$B$88+'Product and Cost'!$B$34*(0.4863620081*C197+0.4455809638*C197+0.0356254898*C198+0.0324315384))</f>
        <v>48291.1604712</v>
      </c>
      <c r="D209" s="18">
        <f>D199*('Product and Cost'!$D$27*D198*Assumptions!$B$88+'Product and Cost'!$B$27*(0.4863620081*D197+0.4455809638*D197+0.0356254898*D198+0.0324315384))+D200*('Product and Cost'!$D$28*D198*Assumptions!$B$88+'Product and Cost'!$B$28*(0.4863620081*D197+0.4455809638*D197+0.0356254898*D198+0.0324315384))+D201*('Product and Cost'!$D$29*D198*Assumptions!$B$88+'Product and Cost'!$B$29*(0.4863620081*D197+0.4455809638*D197+0.0356254898*D198+0.0324315384))+D202*('Product and Cost'!$D$30*D198*Assumptions!$B$88+'Product and Cost'!$B$30*(0.4863620081*D197+0.4455809638*D197+0.0356254898*D198+0.0324315384))+D203*('Product and Cost'!$D$31*D198*Assumptions!$B$88+'Product and Cost'!$B$31*(0.4863620081*D197+0.4455809638*D197+0.0356254898*D198+0.0324315384))+D204*('Product and Cost'!$D$32*D198*Assumptions!$B$88+'Product and Cost'!$B$32*(0.4863620081*D197+0.4455809638*D197+0.0356254898*D198+0.0324315384))+D205*('Product and Cost'!$D$33*D198*Assumptions!$B$88+'Product and Cost'!$B$33*(0.4863620081*D197+0.4455809638*D197+0.0356254898*D198+0.0324315384))+D206*('Product and Cost'!$D$34*D198*Assumptions!$B$88+'Product and Cost'!$B$34*(0.4863620081*D197+0.4455809638*D197+0.0356254898*D198+0.0324315384))</f>
        <v>53647.9823219</v>
      </c>
      <c r="E209" s="18">
        <f>E199*('Product and Cost'!$D$27*E198*Assumptions!$B$88+'Product and Cost'!$B$27*(0.4863620081*E197+0.4455809638*E197+0.0356254898*E198+0.0324315384))+E200*('Product and Cost'!$D$28*E198*Assumptions!$B$88+'Product and Cost'!$B$28*(0.4863620081*E197+0.4455809638*E197+0.0356254898*E198+0.0324315384))+E201*('Product and Cost'!$D$29*E198*Assumptions!$B$88+'Product and Cost'!$B$29*(0.4863620081*E197+0.4455809638*E197+0.0356254898*E198+0.0324315384))+E202*('Product and Cost'!$D$30*E198*Assumptions!$B$88+'Product and Cost'!$B$30*(0.4863620081*E197+0.4455809638*E197+0.0356254898*E198+0.0324315384))+E203*('Product and Cost'!$D$31*E198*Assumptions!$B$88+'Product and Cost'!$B$31*(0.4863620081*E197+0.4455809638*E197+0.0356254898*E198+0.0324315384))+E204*('Product and Cost'!$D$32*E198*Assumptions!$B$88+'Product and Cost'!$B$32*(0.4863620081*E197+0.4455809638*E197+0.0356254898*E198+0.0324315384))+E205*('Product and Cost'!$D$33*E198*Assumptions!$B$88+'Product and Cost'!$B$33*(0.4863620081*E197+0.4455809638*E197+0.0356254898*E198+0.0324315384))+E206*('Product and Cost'!$D$34*E198*Assumptions!$B$88+'Product and Cost'!$B$34*(0.4863620081*E197+0.4455809638*E197+0.0356254898*E198+0.0324315384))</f>
        <v>58815.4011786</v>
      </c>
      <c r="F209" s="18">
        <f>F199*('Product and Cost'!$D$27*F198*Assumptions!$B$88+'Product and Cost'!$B$27*(0.4863620081*F197+0.4455809638*F197+0.0356254898*F198+0.0324315384))+F200*('Product and Cost'!$D$28*F198*Assumptions!$B$88+'Product and Cost'!$B$28*(0.4863620081*F197+0.4455809638*F197+0.0356254898*F198+0.0324315384))+F201*('Product and Cost'!$D$29*F198*Assumptions!$B$88+'Product and Cost'!$B$29*(0.4863620081*F197+0.4455809638*F197+0.0356254898*F198+0.0324315384))+F202*('Product and Cost'!$D$30*F198*Assumptions!$B$88+'Product and Cost'!$B$30*(0.4863620081*F197+0.4455809638*F197+0.0356254898*F198+0.0324315384))+F203*('Product and Cost'!$D$31*F198*Assumptions!$B$88+'Product and Cost'!$B$31*(0.4863620081*F197+0.4455809638*F197+0.0356254898*F198+0.0324315384))+F204*('Product and Cost'!$D$32*F198*Assumptions!$B$88+'Product and Cost'!$B$32*(0.4863620081*F197+0.4455809638*F197+0.0356254898*F198+0.0324315384))+F205*('Product and Cost'!$D$33*F198*Assumptions!$B$88+'Product and Cost'!$B$33*(0.4863620081*F197+0.4455809638*F197+0.0356254898*F198+0.0324315384))+F206*('Product and Cost'!$D$34*F198*Assumptions!$B$88+'Product and Cost'!$B$34*(0.4863620081*F197+0.4455809638*F197+0.0356254898*F198+0.0324315384))</f>
        <v>63847.5732702</v>
      </c>
      <c r="G209" s="18">
        <f>G199*('Product and Cost'!$D$27*G198*Assumptions!$B$88+'Product and Cost'!$B$27*(0.4863620081*G197+0.4455809638*G197+0.0356254898*G198+0.0324315384))+G200*('Product and Cost'!$D$28*G198*Assumptions!$B$88+'Product and Cost'!$B$28*(0.4863620081*G197+0.4455809638*G197+0.0356254898*G198+0.0324315384))+G201*('Product and Cost'!$D$29*G198*Assumptions!$B$88+'Product and Cost'!$B$29*(0.4863620081*G197+0.4455809638*G197+0.0356254898*G198+0.0324315384))+G202*('Product and Cost'!$D$30*G198*Assumptions!$B$88+'Product and Cost'!$B$30*(0.4863620081*G197+0.4455809638*G197+0.0356254898*G198+0.0324315384))+G203*('Product and Cost'!$D$31*G198*Assumptions!$B$88+'Product and Cost'!$B$31*(0.4863620081*G197+0.4455809638*G197+0.0356254898*G198+0.0324315384))+G204*('Product and Cost'!$D$32*G198*Assumptions!$B$88+'Product and Cost'!$B$32*(0.4863620081*G197+0.4455809638*G197+0.0356254898*G198+0.0324315384))+G205*('Product and Cost'!$D$33*G198*Assumptions!$B$88+'Product and Cost'!$B$33*(0.4863620081*G197+0.4455809638*G197+0.0356254898*G198+0.0324315384))+G206*('Product and Cost'!$D$34*G198*Assumptions!$B$88+'Product and Cost'!$B$34*(0.4863620081*G197+0.4455809638*G197+0.0356254898*G198+0.0324315384))</f>
        <v>68797.1859175</v>
      </c>
    </row>
    <row r="210">
      <c r="A210" s="17" t="inlineStr">
        <is>
          <t>GROSS PROFIT</t>
        </is>
      </c>
      <c r="C210" s="20">
        <f>C208-C209+$C$9*C208</f>
        <v>4813.85469843</v>
      </c>
      <c r="D210" s="20">
        <f>D208-D209+$C$9*D208</f>
        <v>5076.34576863</v>
      </c>
      <c r="E210" s="20">
        <f>E208-E209+$C$9*E208</f>
        <v>5276.09918533</v>
      </c>
      <c r="F210" s="20">
        <f>F208-F209+$C$9*F208</f>
        <v>5449.36666187</v>
      </c>
      <c r="G210" s="20">
        <f>G208-G209+$C$9*G208</f>
        <v>5550.54648103</v>
      </c>
    </row>
    <row r="211">
      <c r="A211" s="9" t="inlineStr">
        <is>
          <t>Gross margin</t>
        </is>
      </c>
      <c r="C211" s="19">
        <f>C210/C208</f>
        <v>0.0911010750391</v>
      </c>
      <c r="D211" s="19">
        <f>D210/D208</f>
        <v>0.0868758768871</v>
      </c>
      <c r="E211" s="19">
        <f>E210/E208</f>
        <v>0.0827329622672</v>
      </c>
      <c r="F211" s="19">
        <f>F210/F208</f>
        <v>0.0790311015255</v>
      </c>
      <c r="G211" s="19">
        <f>G210/G208</f>
        <v>0.0750298500501</v>
      </c>
    </row>
    <row r="212">
      <c r="A212" s="9" t="inlineStr">
        <is>
          <t>Operating expense</t>
        </is>
      </c>
      <c r="C212" s="18">
        <f>('Base Year'!$B$28*C197)+('Base Year'!$B$29*C197*C207/'Product and Cost'!$E$14)+('Base Year'!$B$30*C197)+('Base Year'!$B$31*C197)</f>
        <v>2007.6668112</v>
      </c>
      <c r="D212" s="18">
        <f>('Base Year'!$B$28*D197)+('Base Year'!$B$29*D197*D207/'Product and Cost'!$E$14)+('Base Year'!$B$30*D197)+('Base Year'!$B$31*D197)</f>
        <v>2276.29775955</v>
      </c>
      <c r="E212" s="18">
        <f>('Base Year'!$B$28*E197)+('Base Year'!$B$29*E197*E207/'Product and Cost'!$E$14)+('Base Year'!$B$30*E197)+('Base Year'!$B$31*E197)</f>
        <v>2545.62118024</v>
      </c>
      <c r="F212" s="18">
        <f>('Base Year'!$B$28*F197)+('Base Year'!$B$29*F197*F207/'Product and Cost'!$E$14)+('Base Year'!$B$30*F197)+('Base Year'!$B$31*F197)</f>
        <v>2807.77881104</v>
      </c>
      <c r="G212" s="18">
        <f>('Base Year'!$B$28*G197)+('Base Year'!$B$29*G197*G207/'Product and Cost'!$E$14)+('Base Year'!$B$30*G197)+('Base Year'!$B$31*G197)</f>
        <v>3082.20998189</v>
      </c>
    </row>
    <row r="213">
      <c r="A213" s="17" t="inlineStr">
        <is>
          <t>EBITDA</t>
        </is>
      </c>
      <c r="C213" s="20">
        <f>C210-C212</f>
        <v>2806.18788724</v>
      </c>
      <c r="D213" s="20">
        <f>D210-D212</f>
        <v>2800.04800908</v>
      </c>
      <c r="E213" s="20">
        <f>E210-E212</f>
        <v>2730.47800509</v>
      </c>
      <c r="F213" s="20">
        <f>F210-F212</f>
        <v>2641.58785083</v>
      </c>
      <c r="G213" s="20">
        <f>G210-G212</f>
        <v>2468.33649914</v>
      </c>
    </row>
    <row r="214">
      <c r="A214" s="9" t="inlineStr">
        <is>
          <t>Capital expenditure — maintenance + growth</t>
        </is>
      </c>
      <c r="C214" s="18">
        <f>'Base Year'!$B$43*C197+MAX(C207-'Product and Cost'!$E$14,0)*1947.901031*C197</f>
        <v>280.931999159</v>
      </c>
      <c r="D214" s="18">
        <f>'Base Year'!$B$43*D197+MAX(D207-C207,0)*1947.901031*D197</f>
        <v>307.3675836</v>
      </c>
      <c r="E214" s="18">
        <f>'Base Year'!$B$43*E197+MAX(E207-D207,0)*1947.901031*E197</f>
        <v>328.639389001</v>
      </c>
      <c r="F214" s="18">
        <f>'Base Year'!$B$43*F197+MAX(F207-E207,0)*1947.901031*F197</f>
        <v>351.146749034</v>
      </c>
      <c r="G214" s="18">
        <f>'Base Year'!$B$43*G197+MAX(G207-F207,0)*1947.901031*G197</f>
        <v>375.372179467</v>
      </c>
    </row>
    <row r="215">
      <c r="A215" s="9" t="inlineStr">
        <is>
          <t>Fixed assets at cost, closing</t>
        </is>
      </c>
      <c r="C215" s="18">
        <f>(Assumptions!$B$70+Assumptions!$B$71)/10^6+C214</f>
        <v>3429.06589416</v>
      </c>
      <c r="D215" s="18">
        <f>C215+D214</f>
        <v>3736.43347776</v>
      </c>
      <c r="E215" s="18">
        <f>D215+E214</f>
        <v>4065.07286676</v>
      </c>
      <c r="F215" s="18">
        <f>E215+F214</f>
        <v>4416.21961579</v>
      </c>
      <c r="G215" s="18">
        <f>F215+G214</f>
        <v>4791.59179526</v>
      </c>
    </row>
    <row r="216">
      <c r="A216" s="9" t="inlineStr">
        <is>
          <t>Depreciation — rolls off the asset register</t>
        </is>
      </c>
      <c r="C216" s="18">
        <f>(Assumptions!$B$70+Assumptions!$B$71)/10^6/'Base Year'!$B$42</f>
        <v>173.808854481</v>
      </c>
      <c r="D216" s="18">
        <f>C215/'Base Year'!$B$42</f>
        <v>189.319144255</v>
      </c>
      <c r="E216" s="18">
        <f>D215/'Base Year'!$B$42</f>
        <v>206.288945856</v>
      </c>
      <c r="F216" s="18">
        <f>E215/'Base Year'!$B$42</f>
        <v>224.433166415</v>
      </c>
      <c r="G216" s="18">
        <f>F215/'Base Year'!$B$42</f>
        <v>243.820021053</v>
      </c>
    </row>
    <row r="217">
      <c r="A217" s="9" t="inlineStr">
        <is>
          <t>Fixed assets, net book, closing</t>
        </is>
      </c>
      <c r="C217" s="18">
        <f>(Assumptions!$B$69+Assumptions!$B$71)/10^6+C214-C216</f>
        <v>1407.46262168</v>
      </c>
      <c r="D217" s="18">
        <f>C217+D214-D216</f>
        <v>1525.51106102</v>
      </c>
      <c r="E217" s="18">
        <f>D217+E214-E216</f>
        <v>1647.86150417</v>
      </c>
      <c r="F217" s="18">
        <f>E217+F214-F216</f>
        <v>1774.57508679</v>
      </c>
      <c r="G217" s="18">
        <f>F217+G214-G216</f>
        <v>1906.1272452</v>
      </c>
    </row>
    <row r="218">
      <c r="A218" s="17" t="inlineStr">
        <is>
          <t>EBIT</t>
        </is>
      </c>
      <c r="C218" s="20">
        <f>C213-C216</f>
        <v>2632.37903275</v>
      </c>
      <c r="D218" s="20">
        <f>D213-D216</f>
        <v>2610.72886483</v>
      </c>
      <c r="E218" s="20">
        <f>E213-E216</f>
        <v>2524.18905923</v>
      </c>
      <c r="F218" s="20">
        <f>F213-F216</f>
        <v>2417.15468442</v>
      </c>
      <c r="G218" s="20">
        <f>G213-G216</f>
        <v>2224.51647809</v>
      </c>
    </row>
    <row r="219">
      <c r="A219" s="9" t="inlineStr">
        <is>
          <t>NOPAT before the profit share</t>
        </is>
      </c>
      <c r="C219" s="18">
        <f>C218*(1-Assumptions!$B$87)</f>
        <v>2040.09375038</v>
      </c>
      <c r="D219" s="18">
        <f>D218*(1-Assumptions!$B$87)</f>
        <v>2023.31487024</v>
      </c>
      <c r="E219" s="18">
        <f>E218*(1-Assumptions!$B$87)</f>
        <v>1956.24652091</v>
      </c>
      <c r="F219" s="18">
        <f>F218*(1-Assumptions!$B$87)</f>
        <v>1873.29488042</v>
      </c>
      <c r="G219" s="18">
        <f>G218*(1-Assumptions!$B$87)</f>
        <v>1724.00027052</v>
      </c>
    </row>
    <row r="220">
      <c r="A220" s="9" t="inlineStr">
        <is>
          <t xml:space="preserve">  less employees' profit share and board bonuses</t>
        </is>
      </c>
      <c r="C220" s="18">
        <f>MAX(C219,0)*'Base Year'!$B$40</f>
        <v>107.555863062</v>
      </c>
      <c r="D220" s="18">
        <f>MAX(D219,0)*'Base Year'!$B$40</f>
        <v>106.671263061</v>
      </c>
      <c r="E220" s="18">
        <f>MAX(E219,0)*'Base Year'!$B$40</f>
        <v>103.13534997</v>
      </c>
      <c r="F220" s="18">
        <f>MAX(F219,0)*'Base Year'!$B$40</f>
        <v>98.7620532615</v>
      </c>
      <c r="G220" s="18">
        <f>MAX(G219,0)*'Base Year'!$B$40</f>
        <v>90.8910862454</v>
      </c>
    </row>
    <row r="221">
      <c r="A221" s="17" t="inlineStr">
        <is>
          <t>NOPAT</t>
        </is>
      </c>
      <c r="C221" s="20">
        <f>C219-C220</f>
        <v>1932.53788732</v>
      </c>
      <c r="D221" s="20">
        <f>D219-D220</f>
        <v>1916.64360718</v>
      </c>
      <c r="E221" s="20">
        <f>E219-E220</f>
        <v>1853.11117094</v>
      </c>
      <c r="F221" s="20">
        <f>F219-F220</f>
        <v>1774.53282716</v>
      </c>
      <c r="G221" s="20">
        <f>G219-G220</f>
        <v>1633.10918427</v>
      </c>
    </row>
    <row r="222">
      <c r="A222" s="9" t="inlineStr">
        <is>
          <t>Net working capital — on days</t>
        </is>
      </c>
      <c r="C222" s="18">
        <f>'Base Year'!$B$44*Forecast!$B$9/365*C209+'Base Year'!$B$45*Forecast!$B$9/365*C208-'Base Year'!$B$46*Forecast!$B$9/365*C209</f>
        <v>2539.69193722</v>
      </c>
      <c r="D222" s="18">
        <f>'Base Year'!$B$44*Forecast!$B$9/365*D209+'Base Year'!$B$45*Forecast!$B$9/365*D208-'Base Year'!$B$46*Forecast!$B$9/365*D209</f>
        <v>2816.01103091</v>
      </c>
      <c r="E222" s="18">
        <f>'Base Year'!$B$44*Forecast!$B$9/365*E209+'Base Year'!$B$45*Forecast!$B$9/365*E208-'Base Year'!$B$46*Forecast!$B$9/365*E209</f>
        <v>3081.49643011</v>
      </c>
      <c r="F222" s="18">
        <f>'Base Year'!$B$44*Forecast!$B$9/365*F209+'Base Year'!$B$45*Forecast!$B$9/365*F208-'Base Year'!$B$46*Forecast!$B$9/365*F209</f>
        <v>3339.61025534</v>
      </c>
      <c r="G222" s="18">
        <f>'Base Year'!$B$44*Forecast!$B$9/365*G209+'Base Year'!$B$45*Forecast!$B$9/365*G208-'Base Year'!$B$46*Forecast!$B$9/365*G209</f>
        <v>3592.11140979</v>
      </c>
    </row>
    <row r="223">
      <c r="A223" s="9" t="inlineStr">
        <is>
          <t xml:space="preserve">  change in working capital</t>
        </is>
      </c>
      <c r="C223" s="18">
        <f>C222-('Base Year'!$B$44/365*'Base Year'!$B$21+'Base Year'!$B$45/365*'Base Year'!$B$19-'Base Year'!$B$46/365*'Base Year'!$B$21)</f>
        <v>288.28964822</v>
      </c>
      <c r="D223" s="18">
        <f>D222-C222</f>
        <v>276.319093691</v>
      </c>
      <c r="E223" s="18">
        <f>E222-D222</f>
        <v>265.485399203</v>
      </c>
      <c r="F223" s="18">
        <f>F222-E222</f>
        <v>258.113825222</v>
      </c>
      <c r="G223" s="18">
        <f>G222-F222</f>
        <v>252.501154457</v>
      </c>
    </row>
    <row r="224">
      <c r="A224" s="17" t="inlineStr">
        <is>
          <t>FREE CASH FLOW TO THE FIRM</t>
        </is>
      </c>
      <c r="C224" s="20">
        <f>C221+C216-C214-C223</f>
        <v>1537.12509442</v>
      </c>
      <c r="D224" s="20">
        <f>D221+D216-D214-D223</f>
        <v>1522.27607415</v>
      </c>
      <c r="E224" s="20">
        <f>E221+E216-E214-E223</f>
        <v>1465.27532859</v>
      </c>
      <c r="F224" s="20">
        <f>F221+F216-F214-F223</f>
        <v>1389.70541932</v>
      </c>
      <c r="G224" s="20">
        <f>G221+G216-G214-G223</f>
        <v>1249.0558714</v>
      </c>
    </row>
    <row r="225">
      <c r="A225" s="9" t="inlineStr">
        <is>
          <t>Glide fraction</t>
        </is>
      </c>
      <c r="C225" s="26">
        <f>0.0000000000</f>
        <v>0</v>
      </c>
      <c r="D225" s="26">
        <f>0.3571428571</f>
        <v>0.3571428571</v>
      </c>
      <c r="E225" s="26">
        <f>0.6428571429</f>
        <v>0.6428571429</v>
      </c>
      <c r="F225" s="26">
        <f>0.8571428571</f>
        <v>0.8571428571</v>
      </c>
      <c r="G225" s="26">
        <f>1.0000000000</f>
        <v>1</v>
      </c>
    </row>
    <row r="226">
      <c r="A226" s="9" t="inlineStr">
        <is>
          <t>Forward cost of capital</t>
        </is>
      </c>
      <c r="C226" s="19">
        <f>Forecast!$B$14-(Forecast!$B$14-Forecast!$B$17)*C225</f>
        <v>0.31578338914</v>
      </c>
      <c r="D226" s="19">
        <f>Forecast!$B$14-(Forecast!$B$14-Forecast!$B$17)*D225</f>
        <v>0.268515637955</v>
      </c>
      <c r="E226" s="19">
        <f>Forecast!$B$14-(Forecast!$B$14-Forecast!$B$17)*E225</f>
        <v>0.230701436991</v>
      </c>
      <c r="F226" s="19">
        <f>Forecast!$B$14-(Forecast!$B$14-Forecast!$B$17)*F225</f>
        <v>0.202340786287</v>
      </c>
      <c r="G226" s="19">
        <f>Forecast!$B$14-(Forecast!$B$14-Forecast!$B$17)*G225</f>
        <v>0.183433685805</v>
      </c>
    </row>
    <row r="227">
      <c r="A227" s="9" t="inlineStr">
        <is>
          <t>Cumulative discount factor</t>
        </is>
      </c>
      <c r="C227" s="29">
        <f>1/(1+C226)</f>
        <v>0.760003514449</v>
      </c>
      <c r="D227" s="29">
        <f>C227/(1+D226)</f>
        <v>0.599128218612</v>
      </c>
      <c r="E227" s="29">
        <f>D227/(1+E226)</f>
        <v>0.486818492775</v>
      </c>
      <c r="F227" s="29">
        <f>E227/(1+F226)</f>
        <v>0.404892272081</v>
      </c>
      <c r="G227" s="29">
        <f>F227/(1+G226)</f>
        <v>0.342133468852</v>
      </c>
    </row>
    <row r="228">
      <c r="A228" s="9" t="inlineStr">
        <is>
          <t>Present value</t>
        </is>
      </c>
      <c r="C228" s="18">
        <f>C224*C227</f>
        <v>1168.22047391</v>
      </c>
      <c r="D228" s="18">
        <f>D224*D227</f>
        <v>912.038552539</v>
      </c>
      <c r="E228" s="18">
        <f>E224*E227</f>
        <v>713.323126963</v>
      </c>
      <c r="F228" s="18">
        <f>F224*F227</f>
        <v>562.680984752</v>
      </c>
      <c r="G228" s="18">
        <f>G224*G227</f>
        <v>427.343818072</v>
      </c>
    </row>
    <row r="229">
      <c r="A229" s="17" t="inlineStr">
        <is>
          <t>PV of the explicit window</t>
        </is>
      </c>
      <c r="B229" s="20">
        <f>SUM(C228:G228)</f>
        <v>3783.60695624</v>
      </c>
      <c r="C229" s="18">
        <f>C222+C215</f>
        <v>5968.75783138</v>
      </c>
      <c r="D229" s="18">
        <f>D222+D215</f>
        <v>6552.44450867</v>
      </c>
      <c r="E229" s="18">
        <f>E222+E215</f>
        <v>7146.56929687</v>
      </c>
      <c r="F229" s="18">
        <f>F222+F215</f>
        <v>7755.82987113</v>
      </c>
      <c r="G229" s="18">
        <f>G222+G215</f>
        <v>8383.70320505</v>
      </c>
    </row>
    <row r="230">
      <c r="A230" s="9" t="inlineStr">
        <is>
          <t>Terminal return on invested capital, at REPLACEMENT cost</t>
        </is>
      </c>
      <c r="B230" s="19">
        <f>G221*(1+Assumptions!$B$89)/G229</f>
        <v>0.204535466195</v>
      </c>
    </row>
    <row r="231">
      <c r="A231" s="9" t="inlineStr">
        <is>
          <t>Required reinvestment = growth / return</t>
        </is>
      </c>
      <c r="B231" s="19">
        <f>MIN(Assumptions!$B$89/B230,0.95)</f>
        <v>0.244456381723</v>
      </c>
    </row>
    <row r="232">
      <c r="A232" s="9" t="inlineStr">
        <is>
          <t>Terminal value</t>
        </is>
      </c>
      <c r="B232" s="18">
        <f>G221*(1+Assumptions!$B$89)*(1-B231)/MAX(Forecast!$B$17-Assumptions!$B$89,0.02)</f>
        <v>9709.53830296</v>
      </c>
    </row>
    <row r="233">
      <c r="A233" s="9" t="inlineStr">
        <is>
          <t>PV of the terminal block</t>
        </is>
      </c>
      <c r="B233" s="18">
        <f>B232*G227</f>
        <v>3321.95802054</v>
      </c>
    </row>
    <row r="234">
      <c r="A234" s="17" t="inlineStr">
        <is>
          <t>ENTERPRISE VALUE</t>
        </is>
      </c>
      <c r="B234" s="20">
        <f>B229+B233</f>
        <v>7105.56497678</v>
      </c>
    </row>
    <row r="235">
      <c r="A235" s="9" t="inlineStr">
        <is>
          <t>plus net cash</t>
        </is>
      </c>
      <c r="B235" s="18">
        <f>(Assumptions!$B$79-Assumptions!$B$82-Assumptions!$B$83)/10^6</f>
        <v>2442.544928</v>
      </c>
    </row>
    <row r="236">
      <c r="A236" s="9" t="inlineStr">
        <is>
          <t>Enterprise value including cash</t>
        </is>
      </c>
      <c r="B236" s="18">
        <f>B234+B235</f>
        <v>9548.10990478</v>
      </c>
    </row>
    <row r="237">
      <c r="A237" s="9" t="inlineStr">
        <is>
          <t>less minority — on the WHOLE enterprise, cash included</t>
        </is>
      </c>
      <c r="B237" s="18">
        <f>B236*'Base Year'!$B$41</f>
        <v>311.100744087</v>
      </c>
    </row>
    <row r="238">
      <c r="A238" s="9" t="inlineStr">
        <is>
          <t>less the tax-disputes provision</t>
        </is>
      </c>
      <c r="B238" s="18">
        <f>Assumptions!$B$78/10^6</f>
        <v>921.440353</v>
      </c>
    </row>
    <row r="239">
      <c r="A239" s="9" t="inlineStr">
        <is>
          <t>less dividends payable — declared, out of working capital</t>
        </is>
      </c>
      <c r="B239" s="18">
        <f>Assumptions!$B$77/10^6</f>
        <v>517.25</v>
      </c>
    </row>
    <row r="240">
      <c r="A240" s="9" t="inlineStr">
        <is>
          <t>plus non-operating investments and pledged deposits</t>
        </is>
      </c>
      <c r="B240" s="18">
        <f>(Assumptions!$B$81+Assumptions!$B$80)/10^6</f>
        <v>578.358746</v>
      </c>
    </row>
    <row r="241">
      <c r="A241" s="17" t="inlineStr">
        <is>
          <t>EQUITY ATTRIBUTABLE</t>
        </is>
      </c>
      <c r="B241" s="20">
        <f>B236-B237-B238-B239+B240</f>
        <v>8376.67755369</v>
      </c>
    </row>
    <row r="242">
      <c r="A242" s="17" t="inlineStr">
        <is>
          <t>VALUE PER SHARE, EGP</t>
        </is>
      </c>
      <c r="B242" s="30">
        <f>B241/Assumptions!$B$8</f>
        <v>6.48600662306</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9" t="inlineStr">
        <is>
          <t>Inflation index, cumulative</t>
        </is>
      </c>
      <c r="C246" s="26">
        <f>Assumptions!$B$146</f>
        <v>1.145</v>
      </c>
      <c r="D246" s="26">
        <f>C246*Assumptions!$B$147</f>
        <v>1.29385</v>
      </c>
      <c r="E246" s="26">
        <f>D246*Assumptions!$B$148</f>
        <v>1.44264275</v>
      </c>
      <c r="F246" s="26">
        <f>E246*Assumptions!$B$149</f>
        <v>1.586907025</v>
      </c>
      <c r="G246" s="26">
        <f>F246*Assumptions!$B$150</f>
        <v>1.73766319237</v>
      </c>
    </row>
    <row r="247">
      <c r="A247" s="9" t="inlineStr">
        <is>
          <t>Realisation index, cumulative</t>
        </is>
      </c>
      <c r="C247" s="26">
        <f>(1+Assumptions!$B$101*Forecast!$B$8)</f>
        <v>1.09</v>
      </c>
      <c r="D247" s="26">
        <f>C247*(1+Assumptions!$B$102*Forecast!$B$8)</f>
        <v>1.17175</v>
      </c>
      <c r="E247" s="26">
        <f>D247*(1+Assumptions!$B$103*Forecast!$B$8)</f>
        <v>1.24791375</v>
      </c>
      <c r="F247" s="26">
        <f>E247*(1+Assumptions!$B$104*Forecast!$B$8)</f>
        <v>1.3202927475</v>
      </c>
      <c r="G247" s="26">
        <f>F247*(1+Assumptions!$B$105*Forecast!$B$8)</f>
        <v>1.38894797037</v>
      </c>
    </row>
    <row r="248">
      <c r="A248" s="9" t="inlineStr">
        <is>
          <t xml:space="preserve">  Volume — Base and special oils, mn t</t>
        </is>
      </c>
      <c r="C248" s="26">
        <f>'Product and Cost'!E6*(1+Assumptions!$B$106*Forecast!$B$6)</f>
        <v>0.1148851682</v>
      </c>
      <c r="D248" s="26">
        <f>C248*(1+Assumptions!$B$107*Forecast!$B$6)</f>
        <v>0.119480574928</v>
      </c>
      <c r="E248" s="26">
        <f>D248*(1+Assumptions!$B$108*Forecast!$B$6)</f>
        <v>0.12366239505</v>
      </c>
      <c r="F248" s="26">
        <f>E248*(1+Assumptions!$B$109*Forecast!$B$6)</f>
        <v>0.127372266902</v>
      </c>
      <c r="G248" s="26">
        <f>F248*(1+Assumptions!$B$110*Forecast!$B$6)</f>
        <v>0.130938690375</v>
      </c>
    </row>
    <row r="249">
      <c r="A249" s="9" t="inlineStr">
        <is>
          <t xml:space="preserve">  Volume — Paraffin wax, mn t</t>
        </is>
      </c>
      <c r="C249" s="26">
        <f>'Product and Cost'!E7*(1+Assumptions!$B$111*Forecast!$B$6)</f>
        <v>0.089396788</v>
      </c>
      <c r="D249" s="26">
        <f>C249*(1+Assumptions!$B$112*Forecast!$B$6)</f>
        <v>0.09431361134</v>
      </c>
      <c r="E249" s="26">
        <f>D249*(1+Assumptions!$B$113*Forecast!$B$6)</f>
        <v>0.0985577238503</v>
      </c>
      <c r="F249" s="26">
        <f>E249*(1+Assumptions!$B$114*Forecast!$B$6)</f>
        <v>0.102302917357</v>
      </c>
      <c r="G249" s="26">
        <f>F249*(1+Assumptions!$B$115*Forecast!$B$6)</f>
        <v>0.105576610712</v>
      </c>
    </row>
    <row r="250">
      <c r="A250" s="9" t="inlineStr">
        <is>
          <t xml:space="preserve">  Volume — Gas oil, mn t</t>
        </is>
      </c>
      <c r="C250" s="26">
        <f>'Product and Cost'!E8*(1+Assumptions!$B$116*Forecast!$B$6)</f>
        <v>0.35023715724</v>
      </c>
      <c r="D250" s="26">
        <f>C250*(1+Assumptions!$B$117*Forecast!$B$6)</f>
        <v>0.357241900385</v>
      </c>
      <c r="E250" s="26">
        <f>D250*(1+Assumptions!$B$118*Forecast!$B$6)</f>
        <v>0.363672254592</v>
      </c>
      <c r="F250" s="26">
        <f>E250*(1+Assumptions!$B$119*Forecast!$B$6)</f>
        <v>0.369491010665</v>
      </c>
      <c r="G250" s="26">
        <f>F250*(1+Assumptions!$B$120*Forecast!$B$6)</f>
        <v>0.375033375825</v>
      </c>
    </row>
    <row r="251">
      <c r="A251" s="9" t="inlineStr">
        <is>
          <t xml:space="preserve">  Volume — Naphtha, mn t</t>
        </is>
      </c>
      <c r="C251" s="26">
        <f>'Product and Cost'!E9*(1+Assumptions!$B$121*Forecast!$B$6)</f>
        <v>0.08410463971</v>
      </c>
      <c r="D251" s="26">
        <f>C251*(1+Assumptions!$B$122*Forecast!$B$6)</f>
        <v>0.0856185232248</v>
      </c>
      <c r="E251" s="26">
        <f>D251*(1+Assumptions!$B$123*Forecast!$B$6)</f>
        <v>0.0871596566428</v>
      </c>
      <c r="F251" s="26">
        <f>E251*(1+Assumptions!$B$124*Forecast!$B$6)</f>
        <v>0.0885542111491</v>
      </c>
      <c r="G251" s="26">
        <f>F251*(1+Assumptions!$B$125*Forecast!$B$6)</f>
        <v>0.0898825243163</v>
      </c>
    </row>
    <row r="252">
      <c r="A252" s="9" t="inlineStr">
        <is>
          <t xml:space="preserve">  Volume — Liquefied petroleum gas, mn t</t>
        </is>
      </c>
      <c r="C252" s="26">
        <f>'Product and Cost'!E10*(1+Assumptions!$B$126*Forecast!$B$6)</f>
        <v>0.0486583449</v>
      </c>
      <c r="D252" s="26">
        <f>C252*(1+Assumptions!$B$127*Forecast!$B$6)</f>
        <v>0.0497288284878</v>
      </c>
      <c r="E252" s="26">
        <f>D252*(1+Assumptions!$B$128*Forecast!$B$6)</f>
        <v>0.0507234050576</v>
      </c>
      <c r="F252" s="26">
        <f>E252*(1+Assumptions!$B$129*Forecast!$B$6)</f>
        <v>0.0516364263486</v>
      </c>
      <c r="G252" s="26">
        <f>F252*(1+Assumptions!$B$130*Forecast!$B$6)</f>
        <v>0.0524626091702</v>
      </c>
    </row>
    <row r="253">
      <c r="A253" s="9" t="inlineStr">
        <is>
          <t xml:space="preserve">  Volume — Fuel oil (mix), mn t</t>
        </is>
      </c>
      <c r="C253" s="26">
        <f>'Product and Cost'!E11*(1+Assumptions!$B$131*Forecast!$B$6)</f>
        <v>0.947916416</v>
      </c>
      <c r="D253" s="26">
        <f>C253*(1+Assumptions!$B$132*Forecast!$B$6)</f>
        <v>0.972562242816</v>
      </c>
      <c r="E253" s="26">
        <f>D253*(1+Assumptions!$B$133*Forecast!$B$6)</f>
        <v>0.993958612158</v>
      </c>
      <c r="F253" s="26">
        <f>E253*(1+Assumptions!$B$134*Forecast!$B$6)</f>
        <v>1.0138377844</v>
      </c>
      <c r="G253" s="26">
        <f>F253*(1+Assumptions!$B$135*Forecast!$B$6)</f>
        <v>1.03208686452</v>
      </c>
    </row>
    <row r="254">
      <c r="A254" s="9" t="inlineStr">
        <is>
          <t xml:space="preserve">  Volume — Heavy fuel oil, mn t</t>
        </is>
      </c>
      <c r="C254" s="26">
        <f>'Product and Cost'!E12*(1+Assumptions!$B$136*Forecast!$B$6)</f>
        <v>0.0292281408</v>
      </c>
      <c r="D254" s="26">
        <f>C254*(1+Assumptions!$B$137*Forecast!$B$6)</f>
        <v>0.0297542473344</v>
      </c>
      <c r="E254" s="26">
        <f>D254*(1+Assumptions!$B$138*Forecast!$B$6)</f>
        <v>0.0302303152918</v>
      </c>
      <c r="F254" s="26">
        <f>E254*(1+Assumptions!$B$139*Forecast!$B$6)</f>
        <v>0.0306837700211</v>
      </c>
      <c r="G254" s="26">
        <f>F254*(1+Assumptions!$B$140*Forecast!$B$6)</f>
        <v>0.0311133428014</v>
      </c>
    </row>
    <row r="255">
      <c r="A255" s="9" t="inlineStr">
        <is>
          <t xml:space="preserve">  Volume — Waste, mn t</t>
        </is>
      </c>
      <c r="C255" s="26">
        <f>'Product and Cost'!E13*(1+Assumptions!$B$141*Forecast!$B$6)</f>
        <v>1.564e-05</v>
      </c>
      <c r="D255" s="26">
        <f>C255*(1+Assumptions!$B$142*Forecast!$B$6)</f>
        <v>1.564e-05</v>
      </c>
      <c r="E255" s="26">
        <f>D255*(1+Assumptions!$B$143*Forecast!$B$6)</f>
        <v>1.564e-05</v>
      </c>
      <c r="F255" s="26">
        <f>E255*(1+Assumptions!$B$144*Forecast!$B$6)</f>
        <v>1.564e-05</v>
      </c>
      <c r="G255" s="26">
        <f>F255*(1+Assumptions!$B$145*Forecast!$B$6)</f>
        <v>1.564e-05</v>
      </c>
    </row>
    <row r="256">
      <c r="A256" s="17" t="inlineStr">
        <is>
          <t>Total volume, mn t</t>
        </is>
      </c>
      <c r="C256" s="28">
        <f>SUM(C248:C255)</f>
        <v>1.66444229485</v>
      </c>
      <c r="D256" s="28">
        <f>SUM(D248:D255)</f>
        <v>1.70871556852</v>
      </c>
      <c r="E256" s="28">
        <f>SUM(E248:E255)</f>
        <v>1.74798000264</v>
      </c>
      <c r="F256" s="28">
        <f>SUM(F248:F255)</f>
        <v>1.78389402684</v>
      </c>
      <c r="G256" s="28">
        <f>SUM(G248:G255)</f>
        <v>1.81710965772</v>
      </c>
    </row>
    <row r="257">
      <c r="A257" s="17" t="inlineStr">
        <is>
          <t>REVENUE</t>
        </is>
      </c>
      <c r="C257" s="20">
        <f>C248*'Product and Cost'!$F$6*C247+C249*'Product and Cost'!$F$7*C247+C250*'Product and Cost'!$F$8*C247+C251*'Product and Cost'!$F$9*C247+C252*'Product and Cost'!$F$10*C247+C253*'Product and Cost'!$F$11*C247+C254*'Product and Cost'!$F$12*C247+C255*'Product and Cost'!$F$13*C247</f>
        <v>52840.8111141</v>
      </c>
      <c r="D257" s="20">
        <f>D248*'Product and Cost'!$F$6*D247+D249*'Product and Cost'!$F$7*D247+D250*'Product and Cost'!$F$8*D247+D251*'Product and Cost'!$F$9*D247+D252*'Product and Cost'!$F$10*D247+D253*'Product and Cost'!$F$11*D247+D254*'Product and Cost'!$F$12*D247+D255*'Product and Cost'!$F$13*D247</f>
        <v>58432.1672543</v>
      </c>
      <c r="E257" s="20">
        <f>E248*'Product and Cost'!$F$6*E247+E249*'Product and Cost'!$F$7*E247+E250*'Product and Cost'!$F$8*E247+E251*'Product and Cost'!$F$9*E247+E252*'Product and Cost'!$F$10*E247+E253*'Product and Cost'!$F$11*E247+E254*'Product and Cost'!$F$12*E247+E255*'Product and Cost'!$F$13*E247</f>
        <v>63772.6371781</v>
      </c>
      <c r="F257" s="20">
        <f>F248*'Product and Cost'!$F$6*F247+F249*'Product and Cost'!$F$7*F247+F250*'Product and Cost'!$F$8*F247+F251*'Product and Cost'!$F$9*F247+F252*'Product and Cost'!$F$10*F247+F253*'Product and Cost'!$F$11*F247+F254*'Product and Cost'!$F$12*F247+F255*'Product and Cost'!$F$13*F247</f>
        <v>68952.1790369</v>
      </c>
      <c r="G257" s="20">
        <f>G248*'Product and Cost'!$F$6*G247+G249*'Product and Cost'!$F$7*G247+G250*'Product and Cost'!$F$8*G247+G251*'Product and Cost'!$F$9*G247+G252*'Product and Cost'!$F$10*G247+G253*'Product and Cost'!$F$11*G247+G254*'Product and Cost'!$F$12*G247+G255*'Product and Cost'!$F$13*G247</f>
        <v>73977.8431827</v>
      </c>
    </row>
    <row r="258">
      <c r="A258" s="9" t="inlineStr">
        <is>
          <t>Cost of sales</t>
        </is>
      </c>
      <c r="C258" s="18">
        <f>C248*('Product and Cost'!$D$27*C247*Assumptions!$B$88+'Product and Cost'!$B$27*(0.4863620081*C246+0.4455809638*C246+0.0356254898*C247+0.0324315384))+C249*('Product and Cost'!$D$28*C247*Assumptions!$B$88+'Product and Cost'!$B$28*(0.4863620081*C246+0.4455809638*C246+0.0356254898*C247+0.0324315384))+C250*('Product and Cost'!$D$29*C247*Assumptions!$B$88+'Product and Cost'!$B$29*(0.4863620081*C246+0.4455809638*C246+0.0356254898*C247+0.0324315384))+C251*('Product and Cost'!$D$30*C247*Assumptions!$B$88+'Product and Cost'!$B$30*(0.4863620081*C246+0.4455809638*C246+0.0356254898*C247+0.0324315384))+C252*('Product and Cost'!$D$31*C247*Assumptions!$B$88+'Product and Cost'!$B$31*(0.4863620081*C246+0.4455809638*C246+0.0356254898*C247+0.0324315384))+C253*('Product and Cost'!$D$32*C247*Assumptions!$B$88+'Product and Cost'!$B$32*(0.4863620081*C246+0.4455809638*C246+0.0356254898*C247+0.0324315384))+C254*('Product and Cost'!$D$33*C247*Assumptions!$B$88+'Product and Cost'!$B$33*(0.4863620081*C246+0.4455809638*C246+0.0356254898*C247+0.0324315384))+C255*('Product and Cost'!$D$34*C247*Assumptions!$B$88+'Product and Cost'!$B$34*(0.4863620081*C246+0.4455809638*C246+0.0356254898*C247+0.0324315384))</f>
        <v>48291.1604712</v>
      </c>
      <c r="D258" s="18">
        <f>D248*('Product and Cost'!$D$27*D247*Assumptions!$B$88+'Product and Cost'!$B$27*(0.4863620081*D246+0.4455809638*D246+0.0356254898*D247+0.0324315384))+D249*('Product and Cost'!$D$28*D247*Assumptions!$B$88+'Product and Cost'!$B$28*(0.4863620081*D246+0.4455809638*D246+0.0356254898*D247+0.0324315384))+D250*('Product and Cost'!$D$29*D247*Assumptions!$B$88+'Product and Cost'!$B$29*(0.4863620081*D246+0.4455809638*D246+0.0356254898*D247+0.0324315384))+D251*('Product and Cost'!$D$30*D247*Assumptions!$B$88+'Product and Cost'!$B$30*(0.4863620081*D246+0.4455809638*D246+0.0356254898*D247+0.0324315384))+D252*('Product and Cost'!$D$31*D247*Assumptions!$B$88+'Product and Cost'!$B$31*(0.4863620081*D246+0.4455809638*D246+0.0356254898*D247+0.0324315384))+D253*('Product and Cost'!$D$32*D247*Assumptions!$B$88+'Product and Cost'!$B$32*(0.4863620081*D246+0.4455809638*D246+0.0356254898*D247+0.0324315384))+D254*('Product and Cost'!$D$33*D247*Assumptions!$B$88+'Product and Cost'!$B$33*(0.4863620081*D246+0.4455809638*D246+0.0356254898*D247+0.0324315384))+D255*('Product and Cost'!$D$34*D247*Assumptions!$B$88+'Product and Cost'!$B$34*(0.4863620081*D246+0.4455809638*D246+0.0356254898*D247+0.0324315384))</f>
        <v>53647.9823219</v>
      </c>
      <c r="E258" s="18">
        <f>E248*('Product and Cost'!$D$27*E247*Assumptions!$B$88+'Product and Cost'!$B$27*(0.4863620081*E246+0.4455809638*E246+0.0356254898*E247+0.0324315384))+E249*('Product and Cost'!$D$28*E247*Assumptions!$B$88+'Product and Cost'!$B$28*(0.4863620081*E246+0.4455809638*E246+0.0356254898*E247+0.0324315384))+E250*('Product and Cost'!$D$29*E247*Assumptions!$B$88+'Product and Cost'!$B$29*(0.4863620081*E246+0.4455809638*E246+0.0356254898*E247+0.0324315384))+E251*('Product and Cost'!$D$30*E247*Assumptions!$B$88+'Product and Cost'!$B$30*(0.4863620081*E246+0.4455809638*E246+0.0356254898*E247+0.0324315384))+E252*('Product and Cost'!$D$31*E247*Assumptions!$B$88+'Product and Cost'!$B$31*(0.4863620081*E246+0.4455809638*E246+0.0356254898*E247+0.0324315384))+E253*('Product and Cost'!$D$32*E247*Assumptions!$B$88+'Product and Cost'!$B$32*(0.4863620081*E246+0.4455809638*E246+0.0356254898*E247+0.0324315384))+E254*('Product and Cost'!$D$33*E247*Assumptions!$B$88+'Product and Cost'!$B$33*(0.4863620081*E246+0.4455809638*E246+0.0356254898*E247+0.0324315384))+E255*('Product and Cost'!$D$34*E247*Assumptions!$B$88+'Product and Cost'!$B$34*(0.4863620081*E246+0.4455809638*E246+0.0356254898*E247+0.0324315384))</f>
        <v>58815.4011786</v>
      </c>
      <c r="F258" s="18">
        <f>F248*('Product and Cost'!$D$27*F247*Assumptions!$B$88+'Product and Cost'!$B$27*(0.4863620081*F246+0.4455809638*F246+0.0356254898*F247+0.0324315384))+F249*('Product and Cost'!$D$28*F247*Assumptions!$B$88+'Product and Cost'!$B$28*(0.4863620081*F246+0.4455809638*F246+0.0356254898*F247+0.0324315384))+F250*('Product and Cost'!$D$29*F247*Assumptions!$B$88+'Product and Cost'!$B$29*(0.4863620081*F246+0.4455809638*F246+0.0356254898*F247+0.0324315384))+F251*('Product and Cost'!$D$30*F247*Assumptions!$B$88+'Product and Cost'!$B$30*(0.4863620081*F246+0.4455809638*F246+0.0356254898*F247+0.0324315384))+F252*('Product and Cost'!$D$31*F247*Assumptions!$B$88+'Product and Cost'!$B$31*(0.4863620081*F246+0.4455809638*F246+0.0356254898*F247+0.0324315384))+F253*('Product and Cost'!$D$32*F247*Assumptions!$B$88+'Product and Cost'!$B$32*(0.4863620081*F246+0.4455809638*F246+0.0356254898*F247+0.0324315384))+F254*('Product and Cost'!$D$33*F247*Assumptions!$B$88+'Product and Cost'!$B$33*(0.4863620081*F246+0.4455809638*F246+0.0356254898*F247+0.0324315384))+F255*('Product and Cost'!$D$34*F247*Assumptions!$B$88+'Product and Cost'!$B$34*(0.4863620081*F246+0.4455809638*F246+0.0356254898*F247+0.0324315384))</f>
        <v>63847.5732702</v>
      </c>
      <c r="G258" s="18">
        <f>G248*('Product and Cost'!$D$27*G247*Assumptions!$B$88+'Product and Cost'!$B$27*(0.4863620081*G246+0.4455809638*G246+0.0356254898*G247+0.0324315384))+G249*('Product and Cost'!$D$28*G247*Assumptions!$B$88+'Product and Cost'!$B$28*(0.4863620081*G246+0.4455809638*G246+0.0356254898*G247+0.0324315384))+G250*('Product and Cost'!$D$29*G247*Assumptions!$B$88+'Product and Cost'!$B$29*(0.4863620081*G246+0.4455809638*G246+0.0356254898*G247+0.0324315384))+G251*('Product and Cost'!$D$30*G247*Assumptions!$B$88+'Product and Cost'!$B$30*(0.4863620081*G246+0.4455809638*G246+0.0356254898*G247+0.0324315384))+G252*('Product and Cost'!$D$31*G247*Assumptions!$B$88+'Product and Cost'!$B$31*(0.4863620081*G246+0.4455809638*G246+0.0356254898*G247+0.0324315384))+G253*('Product and Cost'!$D$32*G247*Assumptions!$B$88+'Product and Cost'!$B$32*(0.4863620081*G246+0.4455809638*G246+0.0356254898*G247+0.0324315384))+G254*('Product and Cost'!$D$33*G247*Assumptions!$B$88+'Product and Cost'!$B$33*(0.4863620081*G246+0.4455809638*G246+0.0356254898*G247+0.0324315384))+G255*('Product and Cost'!$D$34*G247*Assumptions!$B$88+'Product and Cost'!$B$34*(0.4863620081*G246+0.4455809638*G246+0.0356254898*G247+0.0324315384))</f>
        <v>68797.1859175</v>
      </c>
    </row>
    <row r="259">
      <c r="A259" s="17" t="inlineStr">
        <is>
          <t>GROSS PROFIT</t>
        </is>
      </c>
      <c r="C259" s="20">
        <f>C257-C258+$C$10*C257</f>
        <v>5078.058754</v>
      </c>
      <c r="D259" s="20">
        <f>D257-D258+$C$10*D257</f>
        <v>5368.5066049</v>
      </c>
      <c r="E259" s="20">
        <f>E257-E258+$C$10*E257</f>
        <v>5594.96237122</v>
      </c>
      <c r="F259" s="20">
        <f>F257-F258+$C$10*F257</f>
        <v>5794.12755706</v>
      </c>
      <c r="G259" s="20">
        <f>G257-G258+$C$10*G257</f>
        <v>5920.43569694</v>
      </c>
    </row>
    <row r="260">
      <c r="A260" s="9" t="inlineStr">
        <is>
          <t>Gross margin</t>
        </is>
      </c>
      <c r="C260" s="19">
        <f>C259/C257</f>
        <v>0.0961010750391</v>
      </c>
      <c r="D260" s="19">
        <f>D259/D257</f>
        <v>0.0918758768871</v>
      </c>
      <c r="E260" s="19">
        <f>E259/E257</f>
        <v>0.0877329622672</v>
      </c>
      <c r="F260" s="19">
        <f>F259/F257</f>
        <v>0.0840311015255</v>
      </c>
      <c r="G260" s="19">
        <f>G259/G257</f>
        <v>0.0800298500501</v>
      </c>
    </row>
    <row r="261">
      <c r="A261" s="9" t="inlineStr">
        <is>
          <t>Operating expense</t>
        </is>
      </c>
      <c r="C261" s="18">
        <f>('Base Year'!$B$28*C246)+('Base Year'!$B$29*C246*C256/'Product and Cost'!$E$14)+('Base Year'!$B$30*C246)+('Base Year'!$B$31*C246)</f>
        <v>2007.6668112</v>
      </c>
      <c r="D261" s="18">
        <f>('Base Year'!$B$28*D246)+('Base Year'!$B$29*D246*D256/'Product and Cost'!$E$14)+('Base Year'!$B$30*D246)+('Base Year'!$B$31*D246)</f>
        <v>2276.29775955</v>
      </c>
      <c r="E261" s="18">
        <f>('Base Year'!$B$28*E246)+('Base Year'!$B$29*E246*E256/'Product and Cost'!$E$14)+('Base Year'!$B$30*E246)+('Base Year'!$B$31*E246)</f>
        <v>2545.62118024</v>
      </c>
      <c r="F261" s="18">
        <f>('Base Year'!$B$28*F246)+('Base Year'!$B$29*F246*F256/'Product and Cost'!$E$14)+('Base Year'!$B$30*F246)+('Base Year'!$B$31*F246)</f>
        <v>2807.77881104</v>
      </c>
      <c r="G261" s="18">
        <f>('Base Year'!$B$28*G246)+('Base Year'!$B$29*G246*G256/'Product and Cost'!$E$14)+('Base Year'!$B$30*G246)+('Base Year'!$B$31*G246)</f>
        <v>3082.20998189</v>
      </c>
    </row>
    <row r="262">
      <c r="A262" s="17" t="inlineStr">
        <is>
          <t>EBITDA</t>
        </is>
      </c>
      <c r="C262" s="20">
        <f>C259-C261</f>
        <v>3070.39194281</v>
      </c>
      <c r="D262" s="20">
        <f>D259-D261</f>
        <v>3092.20884535</v>
      </c>
      <c r="E262" s="20">
        <f>E259-E261</f>
        <v>3049.34119098</v>
      </c>
      <c r="F262" s="20">
        <f>F259-F261</f>
        <v>2986.34874602</v>
      </c>
      <c r="G262" s="20">
        <f>G259-G261</f>
        <v>2838.22571505</v>
      </c>
    </row>
    <row r="263">
      <c r="A263" s="9" t="inlineStr">
        <is>
          <t>Capital expenditure — maintenance + growth</t>
        </is>
      </c>
      <c r="C263" s="18">
        <f>'Base Year'!$B$43*C246+MAX(C256-'Product and Cost'!$E$14,0)*1947.901031*C246</f>
        <v>280.931999159</v>
      </c>
      <c r="D263" s="18">
        <f>'Base Year'!$B$43*D246+MAX(D256-C256,0)*1947.901031*D246</f>
        <v>307.3675836</v>
      </c>
      <c r="E263" s="18">
        <f>'Base Year'!$B$43*E246+MAX(E256-D256,0)*1947.901031*E246</f>
        <v>328.639389001</v>
      </c>
      <c r="F263" s="18">
        <f>'Base Year'!$B$43*F246+MAX(F256-E256,0)*1947.901031*F246</f>
        <v>351.146749034</v>
      </c>
      <c r="G263" s="18">
        <f>'Base Year'!$B$43*G246+MAX(G256-F256,0)*1947.901031*G246</f>
        <v>375.372179467</v>
      </c>
    </row>
    <row r="264">
      <c r="A264" s="9" t="inlineStr">
        <is>
          <t>Fixed assets at cost, closing</t>
        </is>
      </c>
      <c r="C264" s="18">
        <f>(Assumptions!$B$70+Assumptions!$B$71)/10^6+C263</f>
        <v>3429.06589416</v>
      </c>
      <c r="D264" s="18">
        <f>C264+D263</f>
        <v>3736.43347776</v>
      </c>
      <c r="E264" s="18">
        <f>D264+E263</f>
        <v>4065.07286676</v>
      </c>
      <c r="F264" s="18">
        <f>E264+F263</f>
        <v>4416.21961579</v>
      </c>
      <c r="G264" s="18">
        <f>F264+G263</f>
        <v>4791.59179526</v>
      </c>
    </row>
    <row r="265">
      <c r="A265" s="9" t="inlineStr">
        <is>
          <t>Depreciation — rolls off the asset register</t>
        </is>
      </c>
      <c r="C265" s="18">
        <f>(Assumptions!$B$70+Assumptions!$B$71)/10^6/'Base Year'!$B$42</f>
        <v>173.808854481</v>
      </c>
      <c r="D265" s="18">
        <f>C264/'Base Year'!$B$42</f>
        <v>189.319144255</v>
      </c>
      <c r="E265" s="18">
        <f>D264/'Base Year'!$B$42</f>
        <v>206.288945856</v>
      </c>
      <c r="F265" s="18">
        <f>E264/'Base Year'!$B$42</f>
        <v>224.433166415</v>
      </c>
      <c r="G265" s="18">
        <f>F264/'Base Year'!$B$42</f>
        <v>243.820021053</v>
      </c>
    </row>
    <row r="266">
      <c r="A266" s="9" t="inlineStr">
        <is>
          <t>Fixed assets, net book, closing</t>
        </is>
      </c>
      <c r="C266" s="18">
        <f>(Assumptions!$B$69+Assumptions!$B$71)/10^6+C263-C265</f>
        <v>1407.46262168</v>
      </c>
      <c r="D266" s="18">
        <f>C266+D263-D265</f>
        <v>1525.51106102</v>
      </c>
      <c r="E266" s="18">
        <f>D266+E263-E265</f>
        <v>1647.86150417</v>
      </c>
      <c r="F266" s="18">
        <f>E266+F263-F265</f>
        <v>1774.57508679</v>
      </c>
      <c r="G266" s="18">
        <f>F266+G263-G265</f>
        <v>1906.1272452</v>
      </c>
    </row>
    <row r="267">
      <c r="A267" s="17" t="inlineStr">
        <is>
          <t>EBIT</t>
        </is>
      </c>
      <c r="C267" s="20">
        <f>C262-C265</f>
        <v>2896.58308832</v>
      </c>
      <c r="D267" s="20">
        <f>D262-D265</f>
        <v>2902.8897011</v>
      </c>
      <c r="E267" s="20">
        <f>E262-E265</f>
        <v>2843.05224512</v>
      </c>
      <c r="F267" s="20">
        <f>F262-F265</f>
        <v>2761.9155796</v>
      </c>
      <c r="G267" s="20">
        <f>G262-G265</f>
        <v>2594.405694</v>
      </c>
    </row>
    <row r="268">
      <c r="A268" s="9" t="inlineStr">
        <is>
          <t>NOPAT before the profit share</t>
        </is>
      </c>
      <c r="C268" s="18">
        <f>C267*(1-Assumptions!$B$87)</f>
        <v>2244.85189345</v>
      </c>
      <c r="D268" s="18">
        <f>D267*(1-Assumptions!$B$87)</f>
        <v>2249.73951835</v>
      </c>
      <c r="E268" s="18">
        <f>E267*(1-Assumptions!$B$87)</f>
        <v>2203.36548997</v>
      </c>
      <c r="F268" s="18">
        <f>F267*(1-Assumptions!$B$87)</f>
        <v>2140.48457419</v>
      </c>
      <c r="G268" s="18">
        <f>G267*(1-Assumptions!$B$87)</f>
        <v>2010.66441285</v>
      </c>
    </row>
    <row r="269">
      <c r="A269" s="9" t="inlineStr">
        <is>
          <t xml:space="preserve">  less employees' profit share and board bonuses</t>
        </is>
      </c>
      <c r="C269" s="18">
        <f>MAX(C268,0)*'Base Year'!$B$40</f>
        <v>118.350925197</v>
      </c>
      <c r="D269" s="18">
        <f>MAX(D268,0)*'Base Year'!$B$40</f>
        <v>118.608605862</v>
      </c>
      <c r="E269" s="18">
        <f>MAX(E268,0)*'Base Year'!$B$40</f>
        <v>116.163718883</v>
      </c>
      <c r="F269" s="18">
        <f>MAX(F268,0)*'Base Year'!$B$40</f>
        <v>112.848571643</v>
      </c>
      <c r="G269" s="18">
        <f>MAX(G268,0)*'Base Year'!$B$40</f>
        <v>106.004317798</v>
      </c>
    </row>
    <row r="270">
      <c r="A270" s="17" t="inlineStr">
        <is>
          <t>NOPAT</t>
        </is>
      </c>
      <c r="C270" s="20">
        <f>C268-C269</f>
        <v>2126.50096825</v>
      </c>
      <c r="D270" s="20">
        <f>D268-D269</f>
        <v>2131.13091249</v>
      </c>
      <c r="E270" s="20">
        <f>E268-E269</f>
        <v>2087.20177109</v>
      </c>
      <c r="F270" s="20">
        <f>F268-F269</f>
        <v>2027.63600255</v>
      </c>
      <c r="G270" s="20">
        <f>G268-G269</f>
        <v>1904.66009505</v>
      </c>
    </row>
    <row r="271">
      <c r="A271" s="9" t="inlineStr">
        <is>
          <t>Net working capital — on days</t>
        </is>
      </c>
      <c r="C271" s="18">
        <f>'Base Year'!$B$44*Forecast!$B$9/365*C258+'Base Year'!$B$45*Forecast!$B$9/365*C257-'Base Year'!$B$46*Forecast!$B$9/365*C258</f>
        <v>2539.69193722</v>
      </c>
      <c r="D271" s="18">
        <f>'Base Year'!$B$44*Forecast!$B$9/365*D258+'Base Year'!$B$45*Forecast!$B$9/365*D257-'Base Year'!$B$46*Forecast!$B$9/365*D258</f>
        <v>2816.01103091</v>
      </c>
      <c r="E271" s="18">
        <f>'Base Year'!$B$44*Forecast!$B$9/365*E258+'Base Year'!$B$45*Forecast!$B$9/365*E257-'Base Year'!$B$46*Forecast!$B$9/365*E258</f>
        <v>3081.49643011</v>
      </c>
      <c r="F271" s="18">
        <f>'Base Year'!$B$44*Forecast!$B$9/365*F258+'Base Year'!$B$45*Forecast!$B$9/365*F257-'Base Year'!$B$46*Forecast!$B$9/365*F258</f>
        <v>3339.61025534</v>
      </c>
      <c r="G271" s="18">
        <f>'Base Year'!$B$44*Forecast!$B$9/365*G258+'Base Year'!$B$45*Forecast!$B$9/365*G257-'Base Year'!$B$46*Forecast!$B$9/365*G258</f>
        <v>3592.11140979</v>
      </c>
    </row>
    <row r="272">
      <c r="A272" s="9" t="inlineStr">
        <is>
          <t xml:space="preserve">  change in working capital</t>
        </is>
      </c>
      <c r="C272" s="18">
        <f>C271-('Base Year'!$B$44/365*'Base Year'!$B$21+'Base Year'!$B$45/365*'Base Year'!$B$19-'Base Year'!$B$46/365*'Base Year'!$B$21)</f>
        <v>288.28964822</v>
      </c>
      <c r="D272" s="18">
        <f>D271-C271</f>
        <v>276.319093691</v>
      </c>
      <c r="E272" s="18">
        <f>E271-D271</f>
        <v>265.485399203</v>
      </c>
      <c r="F272" s="18">
        <f>F271-E271</f>
        <v>258.113825222</v>
      </c>
      <c r="G272" s="18">
        <f>G271-F271</f>
        <v>252.501154457</v>
      </c>
    </row>
    <row r="273">
      <c r="A273" s="17" t="inlineStr">
        <is>
          <t>FREE CASH FLOW TO THE FIRM</t>
        </is>
      </c>
      <c r="C273" s="20">
        <f>C270+C265-C263-C272</f>
        <v>1731.08817536</v>
      </c>
      <c r="D273" s="20">
        <f>D270+D265-D263-D272</f>
        <v>1736.76337945</v>
      </c>
      <c r="E273" s="20">
        <f>E270+E265-E263-E272</f>
        <v>1699.36592874</v>
      </c>
      <c r="F273" s="20">
        <f>F270+F265-F263-F272</f>
        <v>1642.80859471</v>
      </c>
      <c r="G273" s="20">
        <f>G270+G265-G263-G272</f>
        <v>1520.60678218</v>
      </c>
    </row>
    <row r="274">
      <c r="A274" s="9" t="inlineStr">
        <is>
          <t>Glide fraction</t>
        </is>
      </c>
      <c r="C274" s="26">
        <f>0.0000000000</f>
        <v>0</v>
      </c>
      <c r="D274" s="26">
        <f>0.3571428571</f>
        <v>0.3571428571</v>
      </c>
      <c r="E274" s="26">
        <f>0.6428571429</f>
        <v>0.6428571429</v>
      </c>
      <c r="F274" s="26">
        <f>0.8571428571</f>
        <v>0.8571428571</v>
      </c>
      <c r="G274" s="26">
        <f>1.0000000000</f>
        <v>1</v>
      </c>
    </row>
    <row r="275">
      <c r="A275" s="9" t="inlineStr">
        <is>
          <t>Forward cost of capital</t>
        </is>
      </c>
      <c r="C275" s="19">
        <f>Forecast!$B$14-(Forecast!$B$14-Forecast!$B$17)*C274</f>
        <v>0.31578338914</v>
      </c>
      <c r="D275" s="19">
        <f>Forecast!$B$14-(Forecast!$B$14-Forecast!$B$17)*D274</f>
        <v>0.268515637955</v>
      </c>
      <c r="E275" s="19">
        <f>Forecast!$B$14-(Forecast!$B$14-Forecast!$B$17)*E274</f>
        <v>0.230701436991</v>
      </c>
      <c r="F275" s="19">
        <f>Forecast!$B$14-(Forecast!$B$14-Forecast!$B$17)*F274</f>
        <v>0.202340786287</v>
      </c>
      <c r="G275" s="19">
        <f>Forecast!$B$14-(Forecast!$B$14-Forecast!$B$17)*G274</f>
        <v>0.183433685805</v>
      </c>
    </row>
    <row r="276">
      <c r="A276" s="9" t="inlineStr">
        <is>
          <t>Cumulative discount factor</t>
        </is>
      </c>
      <c r="C276" s="29">
        <f>1/(1+C275)</f>
        <v>0.760003514449</v>
      </c>
      <c r="D276" s="29">
        <f>C276/(1+D275)</f>
        <v>0.599128218612</v>
      </c>
      <c r="E276" s="29">
        <f>D276/(1+E275)</f>
        <v>0.486818492775</v>
      </c>
      <c r="F276" s="29">
        <f>E276/(1+F275)</f>
        <v>0.404892272081</v>
      </c>
      <c r="G276" s="29">
        <f>F276/(1+G275)</f>
        <v>0.342133468852</v>
      </c>
    </row>
    <row r="277">
      <c r="A277" s="9" t="inlineStr">
        <is>
          <t>Present value</t>
        </is>
      </c>
      <c r="C277" s="18">
        <f>C273*C276</f>
        <v>1315.63309709</v>
      </c>
      <c r="D277" s="18">
        <f>D273*D276</f>
        <v>1040.54394968</v>
      </c>
      <c r="E277" s="18">
        <f>E273*E276</f>
        <v>827.282760102</v>
      </c>
      <c r="F277" s="18">
        <f>F273*F276</f>
        <v>665.160504505</v>
      </c>
      <c r="G277" s="18">
        <f>G273*G276</f>
        <v>520.250473147</v>
      </c>
    </row>
    <row r="278">
      <c r="A278" s="17" t="inlineStr">
        <is>
          <t>PV of the explicit window</t>
        </is>
      </c>
      <c r="B278" s="20">
        <f>SUM(C277:G277)</f>
        <v>4368.87078453</v>
      </c>
      <c r="C278" s="18">
        <f>C271+C264</f>
        <v>5968.75783138</v>
      </c>
      <c r="D278" s="18">
        <f>D271+D264</f>
        <v>6552.44450867</v>
      </c>
      <c r="E278" s="18">
        <f>E271+E264</f>
        <v>7146.56929687</v>
      </c>
      <c r="F278" s="18">
        <f>F271+F264</f>
        <v>7755.82987113</v>
      </c>
      <c r="G278" s="18">
        <f>G271+G264</f>
        <v>8383.70320505</v>
      </c>
    </row>
    <row r="279">
      <c r="A279" s="9" t="inlineStr">
        <is>
          <t>Terminal return on invested capital, at REPLACEMENT cost</t>
        </is>
      </c>
      <c r="B279" s="19">
        <f>G270*(1+Assumptions!$B$89)/G278</f>
        <v>0.238545312363</v>
      </c>
    </row>
    <row r="280">
      <c r="A280" s="9" t="inlineStr">
        <is>
          <t>Required reinvestment = growth / return</t>
        </is>
      </c>
      <c r="B280" s="19">
        <f>MIN(Assumptions!$B$89/B279,0.95)</f>
        <v>0.209603783469</v>
      </c>
    </row>
    <row r="281">
      <c r="A281" s="9" t="inlineStr">
        <is>
          <t>Terminal value</t>
        </is>
      </c>
      <c r="B281" s="18">
        <f>G270*(1+Assumptions!$B$89)*(1-B280)/MAX(Forecast!$B$17-Assumptions!$B$89,0.02)</f>
        <v>11846.3934351</v>
      </c>
    </row>
    <row r="282">
      <c r="A282" s="9" t="inlineStr">
        <is>
          <t>PV of the terminal block</t>
        </is>
      </c>
      <c r="B282" s="18">
        <f>B281*G276</f>
        <v>4053.04767935</v>
      </c>
    </row>
    <row r="283">
      <c r="A283" s="17" t="inlineStr">
        <is>
          <t>ENTERPRISE VALUE</t>
        </is>
      </c>
      <c r="B283" s="20">
        <f>B278+B282</f>
        <v>8421.91846388</v>
      </c>
    </row>
    <row r="284">
      <c r="A284" s="9" t="inlineStr">
        <is>
          <t>plus net cash</t>
        </is>
      </c>
      <c r="B284" s="18">
        <f>(Assumptions!$B$79-Assumptions!$B$82-Assumptions!$B$83)/10^6</f>
        <v>2442.544928</v>
      </c>
    </row>
    <row r="285">
      <c r="A285" s="9" t="inlineStr">
        <is>
          <t>Enterprise value including cash</t>
        </is>
      </c>
      <c r="B285" s="18">
        <f>B283+B284</f>
        <v>10864.4633919</v>
      </c>
    </row>
    <row r="286">
      <c r="A286" s="9" t="inlineStr">
        <is>
          <t>less minority — on the WHOLE enterprise, cash included</t>
        </is>
      </c>
      <c r="B286" s="18">
        <f>B285*'Base Year'!$B$41</f>
        <v>353.990756184</v>
      </c>
    </row>
    <row r="287">
      <c r="A287" s="9" t="inlineStr">
        <is>
          <t>less the tax-disputes provision</t>
        </is>
      </c>
      <c r="B287" s="18">
        <f>Assumptions!$B$78/10^6</f>
        <v>921.440353</v>
      </c>
    </row>
    <row r="288">
      <c r="A288" s="9" t="inlineStr">
        <is>
          <t>less dividends payable — declared, out of working capital</t>
        </is>
      </c>
      <c r="B288" s="18">
        <f>Assumptions!$B$77/10^6</f>
        <v>517.25</v>
      </c>
    </row>
    <row r="289">
      <c r="A289" s="9" t="inlineStr">
        <is>
          <t>plus non-operating investments and pledged deposits</t>
        </is>
      </c>
      <c r="B289" s="18">
        <f>(Assumptions!$B$81+Assumptions!$B$80)/10^6</f>
        <v>578.358746</v>
      </c>
    </row>
    <row r="290">
      <c r="A290" s="17" t="inlineStr">
        <is>
          <t>EQUITY ATTRIBUTABLE</t>
        </is>
      </c>
      <c r="B290" s="20">
        <f>B285-B286-B287-B288+B289</f>
        <v>9650.14102869</v>
      </c>
    </row>
    <row r="291">
      <c r="A291" s="17" t="inlineStr">
        <is>
          <t>VALUE PER SHARE, EGP</t>
        </is>
      </c>
      <c r="B291" s="30">
        <f>B290/Assumptions!$B$8</f>
        <v>7.47204105977</v>
      </c>
    </row>
    <row r="294">
      <c r="A294" s="6" t="inlineStr">
        <is>
          <t>Volume growth path, as a multiple of the assumed path — 0.00x</t>
        </is>
      </c>
      <c r="B294" s="6" t="inlineStr">
        <is>
          <t>2026E</t>
        </is>
      </c>
      <c r="C294" s="6" t="inlineStr">
        <is>
          <t>2027E</t>
        </is>
      </c>
      <c r="D294" s="6" t="inlineStr">
        <is>
          <t>2028E</t>
        </is>
      </c>
      <c r="E294" s="6" t="inlineStr">
        <is>
          <t>2029E</t>
        </is>
      </c>
      <c r="F294" s="6" t="inlineStr">
        <is>
          <t>2030E</t>
        </is>
      </c>
    </row>
    <row r="295">
      <c r="A295" s="9" t="inlineStr">
        <is>
          <t>Inflation index, cumulative</t>
        </is>
      </c>
      <c r="C295" s="26">
        <f>Assumptions!$B$146</f>
        <v>1.145</v>
      </c>
      <c r="D295" s="26">
        <f>C295*Assumptions!$B$147</f>
        <v>1.29385</v>
      </c>
      <c r="E295" s="26">
        <f>D295*Assumptions!$B$148</f>
        <v>1.44264275</v>
      </c>
      <c r="F295" s="26">
        <f>E295*Assumptions!$B$149</f>
        <v>1.586907025</v>
      </c>
      <c r="G295" s="26">
        <f>F295*Assumptions!$B$150</f>
        <v>1.73766319237</v>
      </c>
    </row>
    <row r="296">
      <c r="A296" s="9" t="inlineStr">
        <is>
          <t>Realisation index, cumulative</t>
        </is>
      </c>
      <c r="C296" s="26">
        <f>(1+Assumptions!$B$101*Forecast!$B$8)</f>
        <v>1.09</v>
      </c>
      <c r="D296" s="26">
        <f>C296*(1+Assumptions!$B$102*Forecast!$B$8)</f>
        <v>1.17175</v>
      </c>
      <c r="E296" s="26">
        <f>D296*(1+Assumptions!$B$103*Forecast!$B$8)</f>
        <v>1.24791375</v>
      </c>
      <c r="F296" s="26">
        <f>E296*(1+Assumptions!$B$104*Forecast!$B$8)</f>
        <v>1.3202927475</v>
      </c>
      <c r="G296" s="26">
        <f>F296*(1+Assumptions!$B$105*Forecast!$B$8)</f>
        <v>1.38894797037</v>
      </c>
    </row>
    <row r="297">
      <c r="A297" s="9" t="inlineStr">
        <is>
          <t xml:space="preserve">  Volume — Base and special oils, mn t</t>
        </is>
      </c>
      <c r="C297" s="26">
        <f>'Product and Cost'!E6*(1+Assumptions!$B$106*$B$13)</f>
        <v>0.10993796</v>
      </c>
      <c r="D297" s="26">
        <f>C297*(1+Assumptions!$B$107*$B$13)</f>
        <v>0.10993796</v>
      </c>
      <c r="E297" s="26">
        <f>D297*(1+Assumptions!$B$108*$B$13)</f>
        <v>0.10993796</v>
      </c>
      <c r="F297" s="26">
        <f>E297*(1+Assumptions!$B$109*$B$13)</f>
        <v>0.10993796</v>
      </c>
      <c r="G297" s="26">
        <f>F297*(1+Assumptions!$B$110*$B$13)</f>
        <v>0.10993796</v>
      </c>
    </row>
    <row r="298">
      <c r="A298" s="9" t="inlineStr">
        <is>
          <t xml:space="preserve">  Volume — Paraffin wax, mn t</t>
        </is>
      </c>
      <c r="C298" s="26">
        <f>'Product and Cost'!E7*(1+Assumptions!$B$111*$B$13)</f>
        <v>0.0835484</v>
      </c>
      <c r="D298" s="26">
        <f>C298*(1+Assumptions!$B$112*$B$13)</f>
        <v>0.0835484</v>
      </c>
      <c r="E298" s="26">
        <f>D298*(1+Assumptions!$B$113*$B$13)</f>
        <v>0.0835484</v>
      </c>
      <c r="F298" s="26">
        <f>E298*(1+Assumptions!$B$114*$B$13)</f>
        <v>0.0835484</v>
      </c>
      <c r="G298" s="26">
        <f>F298*(1+Assumptions!$B$115*$B$13)</f>
        <v>0.0835484</v>
      </c>
    </row>
    <row r="299">
      <c r="A299" s="9" t="inlineStr">
        <is>
          <t xml:space="preserve">  Volume — Gas oil, mn t</t>
        </is>
      </c>
      <c r="C299" s="26">
        <f>'Product and Cost'!E8*(1+Assumptions!$B$116*$B$13)</f>
        <v>0.343369762</v>
      </c>
      <c r="D299" s="26">
        <f>C299*(1+Assumptions!$B$117*$B$13)</f>
        <v>0.343369762</v>
      </c>
      <c r="E299" s="26">
        <f>D299*(1+Assumptions!$B$118*$B$13)</f>
        <v>0.343369762</v>
      </c>
      <c r="F299" s="26">
        <f>E299*(1+Assumptions!$B$119*$B$13)</f>
        <v>0.343369762</v>
      </c>
      <c r="G299" s="26">
        <f>F299*(1+Assumptions!$B$120*$B$13)</f>
        <v>0.343369762</v>
      </c>
    </row>
    <row r="300">
      <c r="A300" s="9" t="inlineStr">
        <is>
          <t xml:space="preserve">  Volume — Naphtha, mn t</t>
        </is>
      </c>
      <c r="C300" s="26">
        <f>'Product and Cost'!E9*(1+Assumptions!$B$121*$B$13)</f>
        <v>0.082861714</v>
      </c>
      <c r="D300" s="26">
        <f>C300*(1+Assumptions!$B$122*$B$13)</f>
        <v>0.082861714</v>
      </c>
      <c r="E300" s="26">
        <f>D300*(1+Assumptions!$B$123*$B$13)</f>
        <v>0.082861714</v>
      </c>
      <c r="F300" s="26">
        <f>E300*(1+Assumptions!$B$124*$B$13)</f>
        <v>0.082861714</v>
      </c>
      <c r="G300" s="26">
        <f>F300*(1+Assumptions!$B$125*$B$13)</f>
        <v>0.082861714</v>
      </c>
    </row>
    <row r="301">
      <c r="A301" s="9" t="inlineStr">
        <is>
          <t xml:space="preserve">  Volume — Liquefied petroleum gas, mn t</t>
        </is>
      </c>
      <c r="C301" s="26">
        <f>'Product and Cost'!E10*(1+Assumptions!$B$126*$B$13)</f>
        <v>0.047471556</v>
      </c>
      <c r="D301" s="26">
        <f>C301*(1+Assumptions!$B$127*$B$13)</f>
        <v>0.047471556</v>
      </c>
      <c r="E301" s="26">
        <f>D301*(1+Assumptions!$B$128*$B$13)</f>
        <v>0.047471556</v>
      </c>
      <c r="F301" s="26">
        <f>E301*(1+Assumptions!$B$129*$B$13)</f>
        <v>0.047471556</v>
      </c>
      <c r="G301" s="26">
        <f>F301*(1+Assumptions!$B$130*$B$13)</f>
        <v>0.047471556</v>
      </c>
    </row>
    <row r="302">
      <c r="A302" s="9" t="inlineStr">
        <is>
          <t xml:space="preserve">  Volume — Fuel oil (mix), mn t</t>
        </is>
      </c>
      <c r="C302" s="26">
        <f>'Product and Cost'!E11*(1+Assumptions!$B$131*$B$13)</f>
        <v>0.9203072</v>
      </c>
      <c r="D302" s="26">
        <f>C302*(1+Assumptions!$B$132*$B$13)</f>
        <v>0.9203072</v>
      </c>
      <c r="E302" s="26">
        <f>D302*(1+Assumptions!$B$133*$B$13)</f>
        <v>0.9203072</v>
      </c>
      <c r="F302" s="26">
        <f>E302*(1+Assumptions!$B$134*$B$13)</f>
        <v>0.9203072</v>
      </c>
      <c r="G302" s="26">
        <f>F302*(1+Assumptions!$B$135*$B$13)</f>
        <v>0.9203072</v>
      </c>
    </row>
    <row r="303">
      <c r="A303" s="9" t="inlineStr">
        <is>
          <t xml:space="preserve">  Volume — Heavy fuel oil, mn t</t>
        </is>
      </c>
      <c r="C303" s="26">
        <f>'Product and Cost'!E12*(1+Assumptions!$B$136*$B$13)</f>
        <v>0.02865504</v>
      </c>
      <c r="D303" s="26">
        <f>C303*(1+Assumptions!$B$137*$B$13)</f>
        <v>0.02865504</v>
      </c>
      <c r="E303" s="26">
        <f>D303*(1+Assumptions!$B$138*$B$13)</f>
        <v>0.02865504</v>
      </c>
      <c r="F303" s="26">
        <f>E303*(1+Assumptions!$B$139*$B$13)</f>
        <v>0.02865504</v>
      </c>
      <c r="G303" s="26">
        <f>F303*(1+Assumptions!$B$140*$B$13)</f>
        <v>0.02865504</v>
      </c>
    </row>
    <row r="304">
      <c r="A304" s="9" t="inlineStr">
        <is>
          <t xml:space="preserve">  Volume — Waste, mn t</t>
        </is>
      </c>
      <c r="C304" s="26">
        <f>'Product and Cost'!E13*(1+Assumptions!$B$141*$B$13)</f>
        <v>1.564e-05</v>
      </c>
      <c r="D304" s="26">
        <f>C304*(1+Assumptions!$B$142*$B$13)</f>
        <v>1.564e-05</v>
      </c>
      <c r="E304" s="26">
        <f>D304*(1+Assumptions!$B$143*$B$13)</f>
        <v>1.564e-05</v>
      </c>
      <c r="F304" s="26">
        <f>E304*(1+Assumptions!$B$144*$B$13)</f>
        <v>1.564e-05</v>
      </c>
      <c r="G304" s="26">
        <f>F304*(1+Assumptions!$B$145*$B$13)</f>
        <v>1.564e-05</v>
      </c>
    </row>
    <row r="305">
      <c r="A305" s="17" t="inlineStr">
        <is>
          <t>Total volume, mn t</t>
        </is>
      </c>
      <c r="C305" s="28">
        <f>SUM(C297:C304)</f>
        <v>1.616167272</v>
      </c>
      <c r="D305" s="28">
        <f>SUM(D297:D304)</f>
        <v>1.616167272</v>
      </c>
      <c r="E305" s="28">
        <f>SUM(E297:E304)</f>
        <v>1.616167272</v>
      </c>
      <c r="F305" s="28">
        <f>SUM(F297:F304)</f>
        <v>1.616167272</v>
      </c>
      <c r="G305" s="28">
        <f>SUM(G297:G304)</f>
        <v>1.616167272</v>
      </c>
    </row>
    <row r="306">
      <c r="A306" s="17" t="inlineStr">
        <is>
          <t>REVENUE</t>
        </is>
      </c>
      <c r="C306" s="20">
        <f>C297*'Product and Cost'!$F$6*C296+C298*'Product and Cost'!$F$7*C296+C299*'Product and Cost'!$F$8*C296+C300*'Product and Cost'!$F$9*C296+C301*'Product and Cost'!$F$10*C296+C302*'Product and Cost'!$F$11*C296+C303*'Product and Cost'!$F$12*C296+C304*'Product and Cost'!$F$13*C296</f>
        <v>51185.0111351</v>
      </c>
      <c r="D306" s="20">
        <f>D297*'Product and Cost'!$F$6*D296+D298*'Product and Cost'!$F$7*D296+D299*'Product and Cost'!$F$8*D296+D300*'Product and Cost'!$F$9*D296+D301*'Product and Cost'!$F$10*D296+D302*'Product and Cost'!$F$11*D296+D303*'Product and Cost'!$F$12*D296+D304*'Product and Cost'!$F$13*D296</f>
        <v>55023.8869702</v>
      </c>
      <c r="E306" s="20">
        <f>E297*'Product and Cost'!$F$6*E296+E298*'Product and Cost'!$F$7*E296+E299*'Product and Cost'!$F$8*E296+E300*'Product and Cost'!$F$9*E296+E301*'Product and Cost'!$F$10*E296+E302*'Product and Cost'!$F$11*E296+E303*'Product and Cost'!$F$12*E296+E304*'Product and Cost'!$F$13*E296</f>
        <v>58600.4396233</v>
      </c>
      <c r="F306" s="20">
        <f>F297*'Product and Cost'!$F$6*F296+F298*'Product and Cost'!$F$7*F296+F299*'Product and Cost'!$F$8*F296+F300*'Product and Cost'!$F$9*F296+F301*'Product and Cost'!$F$10*F296+F302*'Product and Cost'!$F$11*F296+F303*'Product and Cost'!$F$12*F296+F304*'Product and Cost'!$F$13*F296</f>
        <v>61999.2651214</v>
      </c>
      <c r="G306" s="20">
        <f>G297*'Product and Cost'!$F$6*G296+G298*'Product and Cost'!$F$7*G296+G299*'Product and Cost'!$F$8*G296+G300*'Product and Cost'!$F$9*G296+G301*'Product and Cost'!$F$10*G296+G302*'Product and Cost'!$F$11*G296+G303*'Product and Cost'!$F$12*G296+G304*'Product and Cost'!$F$13*G296</f>
        <v>65223.2269077</v>
      </c>
    </row>
    <row r="307">
      <c r="A307" s="9" t="inlineStr">
        <is>
          <t>Cost of sales</t>
        </is>
      </c>
      <c r="C307" s="18">
        <f>C297*('Product and Cost'!$D$27*C296*Assumptions!$B$88+'Product and Cost'!$B$27*(0.4863620081*C295+0.4455809638*C295+0.0356254898*C296+0.0324315384))+C298*('Product and Cost'!$D$28*C296*Assumptions!$B$88+'Product and Cost'!$B$28*(0.4863620081*C295+0.4455809638*C295+0.0356254898*C296+0.0324315384))+C299*('Product and Cost'!$D$29*C296*Assumptions!$B$88+'Product and Cost'!$B$29*(0.4863620081*C295+0.4455809638*C295+0.0356254898*C296+0.0324315384))+C300*('Product and Cost'!$D$30*C296*Assumptions!$B$88+'Product and Cost'!$B$30*(0.4863620081*C295+0.4455809638*C295+0.0356254898*C296+0.0324315384))+C301*('Product and Cost'!$D$31*C296*Assumptions!$B$88+'Product and Cost'!$B$31*(0.4863620081*C295+0.4455809638*C295+0.0356254898*C296+0.0324315384))+C302*('Product and Cost'!$D$32*C296*Assumptions!$B$88+'Product and Cost'!$B$32*(0.4863620081*C295+0.4455809638*C295+0.0356254898*C296+0.0324315384))+C303*('Product and Cost'!$D$33*C296*Assumptions!$B$88+'Product and Cost'!$B$33*(0.4863620081*C295+0.4455809638*C295+0.0356254898*C296+0.0324315384))+C304*('Product and Cost'!$D$34*C296*Assumptions!$B$88+'Product and Cost'!$B$34*(0.4863620081*C295+0.4455809638*C295+0.0356254898*C296+0.0324315384))</f>
        <v>46772.1794348</v>
      </c>
      <c r="D307" s="18">
        <f>D297*('Product and Cost'!$D$27*D296*Assumptions!$B$88+'Product and Cost'!$B$27*(0.4863620081*D295+0.4455809638*D295+0.0356254898*D296+0.0324315384))+D298*('Product and Cost'!$D$28*D296*Assumptions!$B$88+'Product and Cost'!$B$28*(0.4863620081*D295+0.4455809638*D295+0.0356254898*D296+0.0324315384))+D299*('Product and Cost'!$D$29*D296*Assumptions!$B$88+'Product and Cost'!$B$29*(0.4863620081*D295+0.4455809638*D295+0.0356254898*D296+0.0324315384))+D300*('Product and Cost'!$D$30*D296*Assumptions!$B$88+'Product and Cost'!$B$30*(0.4863620081*D295+0.4455809638*D295+0.0356254898*D296+0.0324315384))+D301*('Product and Cost'!$D$31*D296*Assumptions!$B$88+'Product and Cost'!$B$31*(0.4863620081*D295+0.4455809638*D295+0.0356254898*D296+0.0324315384))+D302*('Product and Cost'!$D$32*D296*Assumptions!$B$88+'Product and Cost'!$B$32*(0.4863620081*D295+0.4455809638*D295+0.0356254898*D296+0.0324315384))+D303*('Product and Cost'!$D$33*D296*Assumptions!$B$88+'Product and Cost'!$B$33*(0.4863620081*D295+0.4455809638*D295+0.0356254898*D296+0.0324315384))+D304*('Product and Cost'!$D$34*D296*Assumptions!$B$88+'Product and Cost'!$B$34*(0.4863620081*D295+0.4455809638*D295+0.0356254898*D296+0.0324315384))</f>
        <v>50503.8594449</v>
      </c>
      <c r="E307" s="18">
        <f>E297*('Product and Cost'!$D$27*E296*Assumptions!$B$88+'Product and Cost'!$B$27*(0.4863620081*E295+0.4455809638*E295+0.0356254898*E296+0.0324315384))+E298*('Product and Cost'!$D$28*E296*Assumptions!$B$88+'Product and Cost'!$B$28*(0.4863620081*E295+0.4455809638*E295+0.0356254898*E296+0.0324315384))+E299*('Product and Cost'!$D$29*E296*Assumptions!$B$88+'Product and Cost'!$B$29*(0.4863620081*E295+0.4455809638*E295+0.0356254898*E296+0.0324315384))+E300*('Product and Cost'!$D$30*E296*Assumptions!$B$88+'Product and Cost'!$B$30*(0.4863620081*E295+0.4455809638*E295+0.0356254898*E296+0.0324315384))+E301*('Product and Cost'!$D$31*E296*Assumptions!$B$88+'Product and Cost'!$B$31*(0.4863620081*E295+0.4455809638*E295+0.0356254898*E296+0.0324315384))+E302*('Product and Cost'!$D$32*E296*Assumptions!$B$88+'Product and Cost'!$B$32*(0.4863620081*E295+0.4455809638*E295+0.0356254898*E296+0.0324315384))+E303*('Product and Cost'!$D$33*E296*Assumptions!$B$88+'Product and Cost'!$B$33*(0.4863620081*E295+0.4455809638*E295+0.0356254898*E296+0.0324315384))+E304*('Product and Cost'!$D$34*E296*Assumptions!$B$88+'Product and Cost'!$B$34*(0.4863620081*E295+0.4455809638*E295+0.0356254898*E296+0.0324315384))</f>
        <v>54018.0334435</v>
      </c>
      <c r="F307" s="18">
        <f>F297*('Product and Cost'!$D$27*F296*Assumptions!$B$88+'Product and Cost'!$B$27*(0.4863620081*F295+0.4455809638*F295+0.0356254898*F296+0.0324315384))+F298*('Product and Cost'!$D$28*F296*Assumptions!$B$88+'Product and Cost'!$B$28*(0.4863620081*F295+0.4455809638*F295+0.0356254898*F296+0.0324315384))+F299*('Product and Cost'!$D$29*F296*Assumptions!$B$88+'Product and Cost'!$B$29*(0.4863620081*F295+0.4455809638*F295+0.0356254898*F296+0.0324315384))+F300*('Product and Cost'!$D$30*F296*Assumptions!$B$88+'Product and Cost'!$B$30*(0.4863620081*F295+0.4455809638*F295+0.0356254898*F296+0.0324315384))+F301*('Product and Cost'!$D$31*F296*Assumptions!$B$88+'Product and Cost'!$B$31*(0.4863620081*F295+0.4455809638*F295+0.0356254898*F296+0.0324315384))+F302*('Product and Cost'!$D$32*F296*Assumptions!$B$88+'Product and Cost'!$B$32*(0.4863620081*F295+0.4455809638*F295+0.0356254898*F296+0.0324315384))+F303*('Product and Cost'!$D$33*F296*Assumptions!$B$88+'Product and Cost'!$B$33*(0.4863620081*F295+0.4455809638*F295+0.0356254898*F296+0.0324315384))+F304*('Product and Cost'!$D$34*F296*Assumptions!$B$88+'Product and Cost'!$B$34*(0.4863620081*F295+0.4455809638*F295+0.0356254898*F296+0.0324315384))</f>
        <v>57368.2016808</v>
      </c>
      <c r="G307" s="18">
        <f>G297*('Product and Cost'!$D$27*G296*Assumptions!$B$88+'Product and Cost'!$B$27*(0.4863620081*G295+0.4455809638*G295+0.0356254898*G296+0.0324315384))+G298*('Product and Cost'!$D$28*G296*Assumptions!$B$88+'Product and Cost'!$B$28*(0.4863620081*G295+0.4455809638*G295+0.0356254898*G296+0.0324315384))+G299*('Product and Cost'!$D$29*G296*Assumptions!$B$88+'Product and Cost'!$B$29*(0.4863620081*G295+0.4455809638*G295+0.0356254898*G296+0.0324315384))+G300*('Product and Cost'!$D$30*G296*Assumptions!$B$88+'Product and Cost'!$B$30*(0.4863620081*G295+0.4455809638*G295+0.0356254898*G296+0.0324315384))+G301*('Product and Cost'!$D$31*G296*Assumptions!$B$88+'Product and Cost'!$B$31*(0.4863620081*G295+0.4455809638*G295+0.0356254898*G296+0.0324315384))+G302*('Product and Cost'!$D$32*G296*Assumptions!$B$88+'Product and Cost'!$B$32*(0.4863620081*G295+0.4455809638*G295+0.0356254898*G296+0.0324315384))+G303*('Product and Cost'!$D$33*G296*Assumptions!$B$88+'Product and Cost'!$B$33*(0.4863620081*G295+0.4455809638*G295+0.0356254898*G296+0.0324315384))+G304*('Product and Cost'!$D$34*G296*Assumptions!$B$88+'Product and Cost'!$B$34*(0.4863620081*G295+0.4455809638*G295+0.0356254898*G296+0.0324315384))</f>
        <v>60597.5873829</v>
      </c>
    </row>
    <row r="308">
      <c r="A308" s="17" t="inlineStr">
        <is>
          <t>GROSS PROFIT</t>
        </is>
      </c>
      <c r="C308" s="20">
        <f>C306-C307+Forecast!$B$7*C306</f>
        <v>4412.83170032</v>
      </c>
      <c r="D308" s="20">
        <f>D306-D307+Forecast!$B$7*D306</f>
        <v>4520.02752531</v>
      </c>
      <c r="E308" s="20">
        <f>E306-E307+Forecast!$B$7*E306</f>
        <v>4582.40617977</v>
      </c>
      <c r="F308" s="20">
        <f>F306-F307+Forecast!$B$7*F306</f>
        <v>4631.06344059</v>
      </c>
      <c r="G308" s="20">
        <f>G306-G307+Forecast!$B$7*G306</f>
        <v>4625.63952487</v>
      </c>
    </row>
    <row r="309">
      <c r="A309" s="9" t="inlineStr">
        <is>
          <t>Gross margin</t>
        </is>
      </c>
      <c r="C309" s="19">
        <f>C308/C306</f>
        <v>0.0862133582168</v>
      </c>
      <c r="D309" s="19">
        <f>D308/D306</f>
        <v>0.0821466416532</v>
      </c>
      <c r="E309" s="19">
        <f>E308/E306</f>
        <v>0.0781974710297</v>
      </c>
      <c r="F309" s="19">
        <f>F308/F306</f>
        <v>0.0746954569788</v>
      </c>
      <c r="G309" s="19">
        <f>G308/G306</f>
        <v>0.0709201268348</v>
      </c>
    </row>
    <row r="310">
      <c r="A310" s="9" t="inlineStr">
        <is>
          <t>Operating expense</t>
        </is>
      </c>
      <c r="C310" s="18">
        <f>('Base Year'!$B$28*C295)+('Base Year'!$B$29*C295*C305/'Product and Cost'!$E$14)+('Base Year'!$B$30*C295)+('Base Year'!$B$31*C295)</f>
        <v>2000.30016996</v>
      </c>
      <c r="D310" s="18">
        <f>('Base Year'!$B$28*D295)+('Base Year'!$B$29*D295*D305/'Product and Cost'!$E$14)+('Base Year'!$B$30*D295)+('Base Year'!$B$31*D295)</f>
        <v>2260.33919205</v>
      </c>
      <c r="E310" s="18">
        <f>('Base Year'!$B$28*E295)+('Base Year'!$B$29*E295*E305/'Product and Cost'!$E$14)+('Base Year'!$B$30*E295)+('Base Year'!$B$31*E295)</f>
        <v>2520.27819914</v>
      </c>
      <c r="F310" s="18">
        <f>('Base Year'!$B$28*F295)+('Base Year'!$B$29*F295*F305/'Product and Cost'!$E$14)+('Base Year'!$B$30*F295)+('Base Year'!$B$31*F295)</f>
        <v>2772.30601906</v>
      </c>
      <c r="G310" s="18">
        <f>('Base Year'!$B$28*G295)+('Base Year'!$B$29*G295*G305/'Product and Cost'!$E$14)+('Base Year'!$B$30*G295)+('Base Year'!$B$31*G295)</f>
        <v>3035.67509087</v>
      </c>
    </row>
    <row r="311">
      <c r="A311" s="17" t="inlineStr">
        <is>
          <t>EBITDA</t>
        </is>
      </c>
      <c r="C311" s="20">
        <f>C308-C310</f>
        <v>2412.53153036</v>
      </c>
      <c r="D311" s="20">
        <f>D308-D310</f>
        <v>2259.68833325</v>
      </c>
      <c r="E311" s="20">
        <f>E308-E310</f>
        <v>2062.12798063</v>
      </c>
      <c r="F311" s="20">
        <f>F308-F310</f>
        <v>1858.75742154</v>
      </c>
      <c r="G311" s="20">
        <f>G308-G310</f>
        <v>1589.96443401</v>
      </c>
    </row>
    <row r="312">
      <c r="A312" s="9" t="inlineStr">
        <is>
          <t>Capital expenditure — maintenance + growth</t>
        </is>
      </c>
      <c r="C312" s="18">
        <f>'Base Year'!$B$43*C295+MAX(C305-'Product and Cost'!$E$14,0)*1947.901031*C295</f>
        <v>173.261962195</v>
      </c>
      <c r="D312" s="18">
        <f>'Base Year'!$B$43*D295+MAX(D305-C305,0)*1947.901031*D295</f>
        <v>195.78601728</v>
      </c>
      <c r="E312" s="18">
        <f>'Base Year'!$B$43*E295+MAX(E305-D305,0)*1947.901031*E295</f>
        <v>218.301409268</v>
      </c>
      <c r="F312" s="18">
        <f>'Base Year'!$B$43*F295+MAX(F305-E305,0)*1947.901031*F295</f>
        <v>240.131550194</v>
      </c>
      <c r="G312" s="18">
        <f>'Base Year'!$B$43*G295+MAX(G305-F305,0)*1947.901031*G295</f>
        <v>262.944047463</v>
      </c>
    </row>
    <row r="313">
      <c r="A313" s="9" t="inlineStr">
        <is>
          <t>Fixed assets at cost, closing</t>
        </is>
      </c>
      <c r="C313" s="18">
        <f>(Assumptions!$B$70+Assumptions!$B$71)/10^6+C312</f>
        <v>3321.39585719</v>
      </c>
      <c r="D313" s="18">
        <f>C313+D312</f>
        <v>3517.18187448</v>
      </c>
      <c r="E313" s="18">
        <f>D313+E312</f>
        <v>3735.48328374</v>
      </c>
      <c r="F313" s="18">
        <f>E313+F312</f>
        <v>3975.61483394</v>
      </c>
      <c r="G313" s="18">
        <f>F313+G312</f>
        <v>4238.5588814</v>
      </c>
    </row>
    <row r="314">
      <c r="A314" s="9" t="inlineStr">
        <is>
          <t>Depreciation — rolls off the asset register</t>
        </is>
      </c>
      <c r="C314" s="18">
        <f>(Assumptions!$B$70+Assumptions!$B$71)/10^6/'Base Year'!$B$42</f>
        <v>173.808854481</v>
      </c>
      <c r="D314" s="18">
        <f>C313/'Base Year'!$B$42</f>
        <v>183.374668445</v>
      </c>
      <c r="E314" s="18">
        <f>D313/'Base Year'!$B$42</f>
        <v>194.184038225</v>
      </c>
      <c r="F314" s="18">
        <f>E313/'Base Year'!$B$42</f>
        <v>206.236485529</v>
      </c>
      <c r="G314" s="18">
        <f>F313/'Base Year'!$B$42</f>
        <v>219.494177564</v>
      </c>
    </row>
    <row r="315">
      <c r="A315" s="9" t="inlineStr">
        <is>
          <t>Fixed assets, net book, closing</t>
        </is>
      </c>
      <c r="C315" s="18">
        <f>(Assumptions!$B$69+Assumptions!$B$71)/10^6+C312-C314</f>
        <v>1299.79258471</v>
      </c>
      <c r="D315" s="18">
        <f>C315+D312-D314</f>
        <v>1312.20393355</v>
      </c>
      <c r="E315" s="18">
        <f>D315+E312-E314</f>
        <v>1336.32130459</v>
      </c>
      <c r="F315" s="18">
        <f>E315+F312-F314</f>
        <v>1370.21636926</v>
      </c>
      <c r="G315" s="18">
        <f>F315+G312-G314</f>
        <v>1413.66623916</v>
      </c>
    </row>
    <row r="316">
      <c r="A316" s="17" t="inlineStr">
        <is>
          <t>EBIT</t>
        </is>
      </c>
      <c r="C316" s="20">
        <f>C311-C314</f>
        <v>2238.72267588</v>
      </c>
      <c r="D316" s="20">
        <f>D311-D314</f>
        <v>2076.31366481</v>
      </c>
      <c r="E316" s="20">
        <f>E311-E314</f>
        <v>1867.9439424</v>
      </c>
      <c r="F316" s="20">
        <f>F311-F314</f>
        <v>1652.52093601</v>
      </c>
      <c r="G316" s="20">
        <f>G311-G314</f>
        <v>1370.47025644</v>
      </c>
    </row>
    <row r="317">
      <c r="A317" s="9" t="inlineStr">
        <is>
          <t>NOPAT before the profit share</t>
        </is>
      </c>
      <c r="C317" s="18">
        <f>C316*(1-Assumptions!$B$87)</f>
        <v>1735.0100738</v>
      </c>
      <c r="D317" s="18">
        <f>D316*(1-Assumptions!$B$87)</f>
        <v>1609.14309023</v>
      </c>
      <c r="E317" s="18">
        <f>E316*(1-Assumptions!$B$87)</f>
        <v>1447.65655536</v>
      </c>
      <c r="F317" s="18">
        <f>F316*(1-Assumptions!$B$87)</f>
        <v>1280.70372541</v>
      </c>
      <c r="G317" s="18">
        <f>G316*(1-Assumptions!$B$87)</f>
        <v>1062.11444874</v>
      </c>
    </row>
    <row r="318">
      <c r="A318" s="9" t="inlineStr">
        <is>
          <t xml:space="preserve">  less employees' profit share and board bonuses</t>
        </is>
      </c>
      <c r="C318" s="18">
        <f>MAX(C317,0)*'Base Year'!$B$40</f>
        <v>91.4715345186</v>
      </c>
      <c r="D318" s="18">
        <f>MAX(D317,0)*'Base Year'!$B$40</f>
        <v>84.8356963141</v>
      </c>
      <c r="E318" s="18">
        <f>MAX(E317,0)*'Base Year'!$B$40</f>
        <v>76.3219583414</v>
      </c>
      <c r="F318" s="18">
        <f>MAX(F317,0)*'Base Year'!$B$40</f>
        <v>67.5200316099</v>
      </c>
      <c r="G318" s="18">
        <f>MAX(G317,0)*'Base Year'!$B$40</f>
        <v>55.9957777351</v>
      </c>
    </row>
    <row r="319">
      <c r="A319" s="17" t="inlineStr">
        <is>
          <t>NOPAT</t>
        </is>
      </c>
      <c r="C319" s="20">
        <f>C317-C318</f>
        <v>1643.53853929</v>
      </c>
      <c r="D319" s="20">
        <f>D317-D318</f>
        <v>1524.30739391</v>
      </c>
      <c r="E319" s="20">
        <f>E317-E318</f>
        <v>1371.33459702</v>
      </c>
      <c r="F319" s="20">
        <f>F317-F318</f>
        <v>1213.1836938</v>
      </c>
      <c r="G319" s="20">
        <f>G317-G318</f>
        <v>1006.11867101</v>
      </c>
    </row>
    <row r="320">
      <c r="A320" s="9" t="inlineStr">
        <is>
          <t>Net working capital — on days</t>
        </is>
      </c>
      <c r="C320" s="18">
        <f>'Base Year'!$B$44*Forecast!$B$9/365*C307+'Base Year'!$B$45*Forecast!$B$9/365*C306-'Base Year'!$B$46*Forecast!$B$9/365*C307</f>
        <v>2459.93261339</v>
      </c>
      <c r="D320" s="18">
        <f>'Base Year'!$B$44*Forecast!$B$9/365*D307+'Base Year'!$B$45*Forecast!$B$9/365*D306-'Base Year'!$B$46*Forecast!$B$9/365*D307</f>
        <v>2651.29888835</v>
      </c>
      <c r="E320" s="18">
        <f>'Base Year'!$B$44*Forecast!$B$9/365*E307+'Base Year'!$B$45*Forecast!$B$9/365*E306-'Base Year'!$B$46*Forecast!$B$9/365*E307</f>
        <v>2830.73976015</v>
      </c>
      <c r="F320" s="18">
        <f>'Base Year'!$B$44*Forecast!$B$9/365*F307+'Base Year'!$B$45*Forecast!$B$9/365*F306-'Base Year'!$B$46*Forecast!$B$9/365*F307</f>
        <v>3001.58996622</v>
      </c>
      <c r="G320" s="18">
        <f>'Base Year'!$B$44*Forecast!$B$9/365*G307+'Base Year'!$B$45*Forecast!$B$9/365*G306-'Base Year'!$B$46*Forecast!$B$9/365*G307</f>
        <v>3165.23405446</v>
      </c>
    </row>
    <row r="321">
      <c r="A321" s="9" t="inlineStr">
        <is>
          <t xml:space="preserve">  change in working capital</t>
        </is>
      </c>
      <c r="C321" s="18">
        <f>C320-('Base Year'!$B$44/365*'Base Year'!$B$21+'Base Year'!$B$45/365*'Base Year'!$B$19-'Base Year'!$B$46/365*'Base Year'!$B$21)</f>
        <v>208.530324387</v>
      </c>
      <c r="D321" s="18">
        <f>D320-C320</f>
        <v>191.366274964</v>
      </c>
      <c r="E321" s="18">
        <f>E320-D320</f>
        <v>179.4408718</v>
      </c>
      <c r="F321" s="18">
        <f>F320-E320</f>
        <v>170.85020607</v>
      </c>
      <c r="G321" s="18">
        <f>G320-F320</f>
        <v>163.644088237</v>
      </c>
    </row>
    <row r="322">
      <c r="A322" s="17" t="inlineStr">
        <is>
          <t>FREE CASH FLOW TO THE FIRM</t>
        </is>
      </c>
      <c r="C322" s="20">
        <f>C319+C314-C312-C321</f>
        <v>1435.55510718</v>
      </c>
      <c r="D322" s="20">
        <f>D319+D314-D312-D321</f>
        <v>1320.52977011</v>
      </c>
      <c r="E322" s="20">
        <f>E319+E314-E312-E321</f>
        <v>1167.77635418</v>
      </c>
      <c r="F322" s="20">
        <f>F319+F314-F312-F321</f>
        <v>1008.43842306</v>
      </c>
      <c r="G322" s="20">
        <f>G319+G314-G312-G321</f>
        <v>799.024712872</v>
      </c>
    </row>
    <row r="323">
      <c r="A323" s="9" t="inlineStr">
        <is>
          <t>Glide fraction</t>
        </is>
      </c>
      <c r="C323" s="26">
        <f>0.0000000000</f>
        <v>0</v>
      </c>
      <c r="D323" s="26">
        <f>0.3571428571</f>
        <v>0.3571428571</v>
      </c>
      <c r="E323" s="26">
        <f>0.6428571429</f>
        <v>0.6428571429</v>
      </c>
      <c r="F323" s="26">
        <f>0.8571428571</f>
        <v>0.8571428571</v>
      </c>
      <c r="G323" s="26">
        <f>1.0000000000</f>
        <v>1</v>
      </c>
    </row>
    <row r="324">
      <c r="A324" s="9" t="inlineStr">
        <is>
          <t>Forward cost of capital</t>
        </is>
      </c>
      <c r="C324" s="19">
        <f>Forecast!$B$14-(Forecast!$B$14-Forecast!$B$17)*C323</f>
        <v>0.31578338914</v>
      </c>
      <c r="D324" s="19">
        <f>Forecast!$B$14-(Forecast!$B$14-Forecast!$B$17)*D323</f>
        <v>0.268515637955</v>
      </c>
      <c r="E324" s="19">
        <f>Forecast!$B$14-(Forecast!$B$14-Forecast!$B$17)*E323</f>
        <v>0.230701436991</v>
      </c>
      <c r="F324" s="19">
        <f>Forecast!$B$14-(Forecast!$B$14-Forecast!$B$17)*F323</f>
        <v>0.202340786287</v>
      </c>
      <c r="G324" s="19">
        <f>Forecast!$B$14-(Forecast!$B$14-Forecast!$B$17)*G323</f>
        <v>0.183433685805</v>
      </c>
    </row>
    <row r="325">
      <c r="A325" s="9" t="inlineStr">
        <is>
          <t>Cumulative discount factor</t>
        </is>
      </c>
      <c r="C325" s="29">
        <f>1/(1+C324)</f>
        <v>0.760003514449</v>
      </c>
      <c r="D325" s="29">
        <f>C325/(1+D324)</f>
        <v>0.599128218612</v>
      </c>
      <c r="E325" s="29">
        <f>D325/(1+E324)</f>
        <v>0.486818492775</v>
      </c>
      <c r="F325" s="29">
        <f>E325/(1+F324)</f>
        <v>0.404892272081</v>
      </c>
      <c r="G325" s="29">
        <f>F325/(1+G324)</f>
        <v>0.342133468852</v>
      </c>
    </row>
    <row r="326">
      <c r="A326" s="9" t="inlineStr">
        <is>
          <t>Present value</t>
        </is>
      </c>
      <c r="C326" s="18">
        <f>C322*C325</f>
        <v>1091.02692665</v>
      </c>
      <c r="D326" s="18">
        <f>D322*D325</f>
        <v>791.166648792</v>
      </c>
      <c r="E326" s="18">
        <f>E322*E325</f>
        <v>568.495124639</v>
      </c>
      <c r="F326" s="18">
        <f>F322*F325</f>
        <v>408.308924367</v>
      </c>
      <c r="G326" s="18">
        <f>G322*G325</f>
        <v>273.373096713</v>
      </c>
    </row>
    <row r="327">
      <c r="A327" s="17" t="inlineStr">
        <is>
          <t>PV of the explicit window</t>
        </is>
      </c>
      <c r="B327" s="20">
        <f>SUM(C326:G326)</f>
        <v>3132.37072116</v>
      </c>
      <c r="C327" s="18">
        <f>C320+C313</f>
        <v>5781.32847058</v>
      </c>
      <c r="D327" s="18">
        <f>D320+D313</f>
        <v>6168.48076283</v>
      </c>
      <c r="E327" s="18">
        <f>E320+E313</f>
        <v>6566.22304389</v>
      </c>
      <c r="F327" s="18">
        <f>F320+F313</f>
        <v>6977.20480016</v>
      </c>
      <c r="G327" s="18">
        <f>G320+G313</f>
        <v>7403.79293586</v>
      </c>
    </row>
    <row r="328">
      <c r="A328" s="9" t="inlineStr">
        <is>
          <t>Terminal return on invested capital, at REPLACEMENT cost</t>
        </is>
      </c>
      <c r="B328" s="19">
        <f>G319*(1+Assumptions!$B$89)/G327</f>
        <v>0.142686946233</v>
      </c>
    </row>
    <row r="329">
      <c r="A329" s="9" t="inlineStr">
        <is>
          <t>Required reinvestment = growth / return</t>
        </is>
      </c>
      <c r="B329" s="19">
        <f>MIN(Assumptions!$B$89/B328,0.95)</f>
        <v>0.350417479104</v>
      </c>
    </row>
    <row r="330">
      <c r="A330" s="9" t="inlineStr">
        <is>
          <t>Terminal value</t>
        </is>
      </c>
      <c r="B330" s="18">
        <f>G319*(1+Assumptions!$B$89)*(1-B329)/MAX(Forecast!$B$17-Assumptions!$B$89,0.02)</f>
        <v>5142.89141923</v>
      </c>
    </row>
    <row r="331">
      <c r="A331" s="9" t="inlineStr">
        <is>
          <t>PV of the terminal block</t>
        </is>
      </c>
      <c r="B331" s="18">
        <f>B330*G325</f>
        <v>1759.55528119</v>
      </c>
    </row>
    <row r="332">
      <c r="A332" s="17" t="inlineStr">
        <is>
          <t>ENTERPRISE VALUE</t>
        </is>
      </c>
      <c r="B332" s="20">
        <f>B327+B331</f>
        <v>4891.92600235</v>
      </c>
    </row>
    <row r="333">
      <c r="A333" s="9" t="inlineStr">
        <is>
          <t>plus net cash</t>
        </is>
      </c>
      <c r="B333" s="18">
        <f>(Assumptions!$B$79-Assumptions!$B$82-Assumptions!$B$83)/10^6</f>
        <v>2442.544928</v>
      </c>
    </row>
    <row r="334">
      <c r="A334" s="9" t="inlineStr">
        <is>
          <t>Enterprise value including cash</t>
        </is>
      </c>
      <c r="B334" s="18">
        <f>B332+B333</f>
        <v>7334.47093035</v>
      </c>
    </row>
    <row r="335">
      <c r="A335" s="9" t="inlineStr">
        <is>
          <t>less minority — on the WHOLE enterprise, cash included</t>
        </is>
      </c>
      <c r="B335" s="18">
        <f>B334*'Base Year'!$B$41</f>
        <v>238.974978993</v>
      </c>
    </row>
    <row r="336">
      <c r="A336" s="9" t="inlineStr">
        <is>
          <t>less the tax-disputes provision</t>
        </is>
      </c>
      <c r="B336" s="18">
        <f>Assumptions!$B$78/10^6</f>
        <v>921.440353</v>
      </c>
    </row>
    <row r="337">
      <c r="A337" s="9" t="inlineStr">
        <is>
          <t>less dividends payable — declared, out of working capital</t>
        </is>
      </c>
      <c r="B337" s="18">
        <f>Assumptions!$B$77/10^6</f>
        <v>517.25</v>
      </c>
    </row>
    <row r="338">
      <c r="A338" s="9" t="inlineStr">
        <is>
          <t>plus non-operating investments and pledged deposits</t>
        </is>
      </c>
      <c r="B338" s="18">
        <f>(Assumptions!$B$81+Assumptions!$B$80)/10^6</f>
        <v>578.358746</v>
      </c>
    </row>
    <row r="339">
      <c r="A339" s="17" t="inlineStr">
        <is>
          <t>EQUITY ATTRIBUTABLE</t>
        </is>
      </c>
      <c r="B339" s="20">
        <f>B334-B335-B336-B337+B338</f>
        <v>6235.16434435</v>
      </c>
    </row>
    <row r="340">
      <c r="A340" s="17" t="inlineStr">
        <is>
          <t>VALUE PER SHARE, EGP</t>
        </is>
      </c>
      <c r="B340" s="30">
        <f>B339/Assumptions!$B$8</f>
        <v>4.82784695653</v>
      </c>
    </row>
    <row r="343">
      <c r="A343" s="6" t="inlineStr">
        <is>
          <t>Volume growth path, as a multiple of the assumed path — 0.50x</t>
        </is>
      </c>
      <c r="B343" s="6" t="inlineStr">
        <is>
          <t>2026E</t>
        </is>
      </c>
      <c r="C343" s="6" t="inlineStr">
        <is>
          <t>2027E</t>
        </is>
      </c>
      <c r="D343" s="6" t="inlineStr">
        <is>
          <t>2028E</t>
        </is>
      </c>
      <c r="E343" s="6" t="inlineStr">
        <is>
          <t>2029E</t>
        </is>
      </c>
      <c r="F343" s="6" t="inlineStr">
        <is>
          <t>2030E</t>
        </is>
      </c>
    </row>
    <row r="344">
      <c r="A344" s="9" t="inlineStr">
        <is>
          <t>Inflation index, cumulative</t>
        </is>
      </c>
      <c r="C344" s="26">
        <f>Assumptions!$B$146</f>
        <v>1.145</v>
      </c>
      <c r="D344" s="26">
        <f>C344*Assumptions!$B$147</f>
        <v>1.29385</v>
      </c>
      <c r="E344" s="26">
        <f>D344*Assumptions!$B$148</f>
        <v>1.44264275</v>
      </c>
      <c r="F344" s="26">
        <f>E344*Assumptions!$B$149</f>
        <v>1.586907025</v>
      </c>
      <c r="G344" s="26">
        <f>F344*Assumptions!$B$150</f>
        <v>1.73766319237</v>
      </c>
    </row>
    <row r="345">
      <c r="A345" s="9" t="inlineStr">
        <is>
          <t>Realisation index, cumulative</t>
        </is>
      </c>
      <c r="C345" s="26">
        <f>(1+Assumptions!$B$101*Forecast!$B$8)</f>
        <v>1.09</v>
      </c>
      <c r="D345" s="26">
        <f>C345*(1+Assumptions!$B$102*Forecast!$B$8)</f>
        <v>1.17175</v>
      </c>
      <c r="E345" s="26">
        <f>D345*(1+Assumptions!$B$103*Forecast!$B$8)</f>
        <v>1.24791375</v>
      </c>
      <c r="F345" s="26">
        <f>E345*(1+Assumptions!$B$104*Forecast!$B$8)</f>
        <v>1.3202927475</v>
      </c>
      <c r="G345" s="26">
        <f>F345*(1+Assumptions!$B$105*Forecast!$B$8)</f>
        <v>1.38894797037</v>
      </c>
    </row>
    <row r="346">
      <c r="A346" s="9" t="inlineStr">
        <is>
          <t xml:space="preserve">  Volume — Base and special oils, mn t</t>
        </is>
      </c>
      <c r="C346" s="26">
        <f>'Product and Cost'!E6*(1+Assumptions!$B$106*$B$14)</f>
        <v>0.1124115641</v>
      </c>
      <c r="D346" s="26">
        <f>C346*(1+Assumptions!$B$107*$B$14)</f>
        <v>0.114659795382</v>
      </c>
      <c r="E346" s="26">
        <f>D346*(1+Assumptions!$B$108*$B$14)</f>
        <v>0.116666341801</v>
      </c>
      <c r="F346" s="26">
        <f>E346*(1+Assumptions!$B$109*$B$14)</f>
        <v>0.118416336928</v>
      </c>
      <c r="G346" s="26">
        <f>F346*(1+Assumptions!$B$110*$B$14)</f>
        <v>0.120074165645</v>
      </c>
    </row>
    <row r="347">
      <c r="A347" s="9" t="inlineStr">
        <is>
          <t xml:space="preserve">  Volume — Paraffin wax, mn t</t>
        </is>
      </c>
      <c r="C347" s="26">
        <f>'Product and Cost'!E7*(1+Assumptions!$B$111*$B$14)</f>
        <v>0.086472594</v>
      </c>
      <c r="D347" s="26">
        <f>C347*(1+Assumptions!$B$112*$B$14)</f>
        <v>0.088850590335</v>
      </c>
      <c r="E347" s="26">
        <f>D347*(1+Assumptions!$B$113*$B$14)</f>
        <v>0.0908497286175</v>
      </c>
      <c r="F347" s="26">
        <f>E347*(1+Assumptions!$B$114*$B$14)</f>
        <v>0.0925758734613</v>
      </c>
      <c r="G347" s="26">
        <f>F347*(1+Assumptions!$B$115*$B$14)</f>
        <v>0.0940570874367</v>
      </c>
    </row>
    <row r="348">
      <c r="A348" s="9" t="inlineStr">
        <is>
          <t xml:space="preserve">  Volume — Gas oil, mn t</t>
        </is>
      </c>
      <c r="C348" s="26">
        <f>'Product and Cost'!E8*(1+Assumptions!$B$116*$B$14)</f>
        <v>0.34680345962</v>
      </c>
      <c r="D348" s="26">
        <f>C348*(1+Assumptions!$B$117*$B$14)</f>
        <v>0.350271494216</v>
      </c>
      <c r="E348" s="26">
        <f>D348*(1+Assumptions!$B$118*$B$14)</f>
        <v>0.353423937664</v>
      </c>
      <c r="F348" s="26">
        <f>E348*(1+Assumptions!$B$119*$B$14)</f>
        <v>0.356251329165</v>
      </c>
      <c r="G348" s="26">
        <f>F348*(1+Assumptions!$B$120*$B$14)</f>
        <v>0.358923214134</v>
      </c>
    </row>
    <row r="349">
      <c r="A349" s="9" t="inlineStr">
        <is>
          <t xml:space="preserve">  Volume — Naphtha, mn t</t>
        </is>
      </c>
      <c r="C349" s="26">
        <f>'Product and Cost'!E9*(1+Assumptions!$B$121*$B$14)</f>
        <v>0.083483176855</v>
      </c>
      <c r="D349" s="26">
        <f>C349*(1+Assumptions!$B$122*$B$14)</f>
        <v>0.0842345254467</v>
      </c>
      <c r="E349" s="26">
        <f>D349*(1+Assumptions!$B$123*$B$14)</f>
        <v>0.0849926361757</v>
      </c>
      <c r="F349" s="26">
        <f>E349*(1+Assumptions!$B$124*$B$14)</f>
        <v>0.0856725772651</v>
      </c>
      <c r="G349" s="26">
        <f>F349*(1+Assumptions!$B$125*$B$14)</f>
        <v>0.0863151215946</v>
      </c>
    </row>
    <row r="350">
      <c r="A350" s="9" t="inlineStr">
        <is>
          <t xml:space="preserve">  Volume — Liquefied petroleum gas, mn t</t>
        </is>
      </c>
      <c r="C350" s="26">
        <f>'Product and Cost'!E10*(1+Assumptions!$B$126*$B$14)</f>
        <v>0.04806495045</v>
      </c>
      <c r="D350" s="26">
        <f>C350*(1+Assumptions!$B$127*$B$14)</f>
        <v>0.0485936649049</v>
      </c>
      <c r="E350" s="26">
        <f>D350*(1+Assumptions!$B$128*$B$14)</f>
        <v>0.049079601554</v>
      </c>
      <c r="F350" s="26">
        <f>E350*(1+Assumptions!$B$129*$B$14)</f>
        <v>0.049521317968</v>
      </c>
      <c r="G350" s="26">
        <f>F350*(1+Assumptions!$B$130*$B$14)</f>
        <v>0.0499174885117</v>
      </c>
    </row>
    <row r="351">
      <c r="A351" s="9" t="inlineStr">
        <is>
          <t xml:space="preserve">  Volume — Fuel oil (mix), mn t</t>
        </is>
      </c>
      <c r="C351" s="26">
        <f>'Product and Cost'!E11*(1+Assumptions!$B$131*$B$14)</f>
        <v>0.934111808</v>
      </c>
      <c r="D351" s="26">
        <f>C351*(1+Assumptions!$B$132*$B$14)</f>
        <v>0.946255261504</v>
      </c>
      <c r="E351" s="26">
        <f>D351*(1+Assumptions!$B$133*$B$14)</f>
        <v>0.956664069381</v>
      </c>
      <c r="F351" s="26">
        <f>E351*(1+Assumptions!$B$134*$B$14)</f>
        <v>0.966230710074</v>
      </c>
      <c r="G351" s="26">
        <f>F351*(1+Assumptions!$B$135*$B$14)</f>
        <v>0.974926786465</v>
      </c>
    </row>
    <row r="352">
      <c r="A352" s="9" t="inlineStr">
        <is>
          <t xml:space="preserve">  Volume — Heavy fuel oil, mn t</t>
        </is>
      </c>
      <c r="C352" s="26">
        <f>'Product and Cost'!E12*(1+Assumptions!$B$136*$B$14)</f>
        <v>0.0289415904</v>
      </c>
      <c r="D352" s="26">
        <f>C352*(1+Assumptions!$B$137*$B$14)</f>
        <v>0.0292020647136</v>
      </c>
      <c r="E352" s="26">
        <f>D352*(1+Assumptions!$B$138*$B$14)</f>
        <v>0.0294356812313</v>
      </c>
      <c r="F352" s="26">
        <f>E352*(1+Assumptions!$B$139*$B$14)</f>
        <v>0.0296564488405</v>
      </c>
      <c r="G352" s="26">
        <f>F352*(1+Assumptions!$B$140*$B$14)</f>
        <v>0.0298640439824</v>
      </c>
    </row>
    <row r="353">
      <c r="A353" s="9" t="inlineStr">
        <is>
          <t xml:space="preserve">  Volume — Waste, mn t</t>
        </is>
      </c>
      <c r="C353" s="26">
        <f>'Product and Cost'!E13*(1+Assumptions!$B$141*$B$14)</f>
        <v>1.564e-05</v>
      </c>
      <c r="D353" s="26">
        <f>C353*(1+Assumptions!$B$142*$B$14)</f>
        <v>1.564e-05</v>
      </c>
      <c r="E353" s="26">
        <f>D353*(1+Assumptions!$B$143*$B$14)</f>
        <v>1.564e-05</v>
      </c>
      <c r="F353" s="26">
        <f>E353*(1+Assumptions!$B$144*$B$14)</f>
        <v>1.564e-05</v>
      </c>
      <c r="G353" s="26">
        <f>F353*(1+Assumptions!$B$145*$B$14)</f>
        <v>1.564e-05</v>
      </c>
    </row>
    <row r="354">
      <c r="A354" s="17" t="inlineStr">
        <is>
          <t>Total volume, mn t</t>
        </is>
      </c>
      <c r="C354" s="28">
        <f>SUM(C346:C353)</f>
        <v>1.64030478342</v>
      </c>
      <c r="D354" s="28">
        <f>SUM(D346:D353)</f>
        <v>1.6620830365</v>
      </c>
      <c r="E354" s="28">
        <f>SUM(E346:E353)</f>
        <v>1.68112763642</v>
      </c>
      <c r="F354" s="28">
        <f>SUM(F346:F353)</f>
        <v>1.6983402337</v>
      </c>
      <c r="G354" s="28">
        <f>SUM(G346:G353)</f>
        <v>1.71409354777</v>
      </c>
    </row>
    <row r="355">
      <c r="A355" s="17" t="inlineStr">
        <is>
          <t>REVENUE</t>
        </is>
      </c>
      <c r="C355" s="20">
        <f>C346*'Product and Cost'!$F$6*C345+C347*'Product and Cost'!$F$7*C345+C348*'Product and Cost'!$F$8*C345+C349*'Product and Cost'!$F$9*C345+C350*'Product and Cost'!$F$10*C345+C351*'Product and Cost'!$F$11*C345+C352*'Product and Cost'!$F$12*C345+C353*'Product and Cost'!$F$13*C345</f>
        <v>52012.9111246</v>
      </c>
      <c r="D355" s="20">
        <f>D346*'Product and Cost'!$F$6*D345+D347*'Product and Cost'!$F$7*D345+D348*'Product and Cost'!$F$8*D345+D349*'Product and Cost'!$F$9*D345+D350*'Product and Cost'!$F$10*D345+D351*'Product and Cost'!$F$11*D345+D352*'Product and Cost'!$F$12*D345+D353*'Product and Cost'!$F$13*D345</f>
        <v>56713.1837901</v>
      </c>
      <c r="E355" s="20">
        <f>E346*'Product and Cost'!$F$6*E345+E347*'Product and Cost'!$F$7*E345+E348*'Product and Cost'!$F$8*E345+E349*'Product and Cost'!$F$9*E345+E350*'Product and Cost'!$F$10*E345+E351*'Product and Cost'!$F$11*E345+E352*'Product and Cost'!$F$12*E345+E353*'Product and Cost'!$F$13*E345</f>
        <v>61144.9308691</v>
      </c>
      <c r="F355" s="20">
        <f>F346*'Product and Cost'!$F$6*F345+F347*'Product and Cost'!$F$7*F345+F348*'Product and Cost'!$F$8*F345+F349*'Product and Cost'!$F$9*F345+F350*'Product and Cost'!$F$10*F345+F351*'Product and Cost'!$F$11*F345+F352*'Product and Cost'!$F$12*F345+F353*'Product and Cost'!$F$13*F345</f>
        <v>65397.5547959</v>
      </c>
      <c r="G355" s="20">
        <f>G346*'Product and Cost'!$F$6*G345+G347*'Product and Cost'!$F$7*G345+G348*'Product and Cost'!$F$8*G345+G349*'Product and Cost'!$F$9*G345+G350*'Product and Cost'!$F$10*G345+G351*'Product and Cost'!$F$11*G345+G352*'Product and Cost'!$F$12*G345+G353*'Product and Cost'!$F$13*G345</f>
        <v>69477.339792</v>
      </c>
    </row>
    <row r="356">
      <c r="A356" s="9" t="inlineStr">
        <is>
          <t>Cost of sales</t>
        </is>
      </c>
      <c r="C356" s="18">
        <f>C346*('Product and Cost'!$D$27*C345*Assumptions!$B$88+'Product and Cost'!$B$27*(0.4863620081*C344+0.4455809638*C344+0.0356254898*C345+0.0324315384))+C347*('Product and Cost'!$D$28*C345*Assumptions!$B$88+'Product and Cost'!$B$28*(0.4863620081*C344+0.4455809638*C344+0.0356254898*C345+0.0324315384))+C348*('Product and Cost'!$D$29*C345*Assumptions!$B$88+'Product and Cost'!$B$29*(0.4863620081*C344+0.4455809638*C344+0.0356254898*C345+0.0324315384))+C349*('Product and Cost'!$D$30*C345*Assumptions!$B$88+'Product and Cost'!$B$30*(0.4863620081*C344+0.4455809638*C344+0.0356254898*C345+0.0324315384))+C350*('Product and Cost'!$D$31*C345*Assumptions!$B$88+'Product and Cost'!$B$31*(0.4863620081*C344+0.4455809638*C344+0.0356254898*C345+0.0324315384))+C351*('Product and Cost'!$D$32*C345*Assumptions!$B$88+'Product and Cost'!$B$32*(0.4863620081*C344+0.4455809638*C344+0.0356254898*C345+0.0324315384))+C352*('Product and Cost'!$D$33*C345*Assumptions!$B$88+'Product and Cost'!$B$33*(0.4863620081*C344+0.4455809638*C344+0.0356254898*C345+0.0324315384))+C353*('Product and Cost'!$D$34*C345*Assumptions!$B$88+'Product and Cost'!$B$34*(0.4863620081*C344+0.4455809638*C344+0.0356254898*C345+0.0324315384))</f>
        <v>47531.669953</v>
      </c>
      <c r="D356" s="18">
        <f>D346*('Product and Cost'!$D$27*D345*Assumptions!$B$88+'Product and Cost'!$B$27*(0.4863620081*D344+0.4455809638*D344+0.0356254898*D345+0.0324315384))+D347*('Product and Cost'!$D$28*D345*Assumptions!$B$88+'Product and Cost'!$B$28*(0.4863620081*D344+0.4455809638*D344+0.0356254898*D345+0.0324315384))+D348*('Product and Cost'!$D$29*D345*Assumptions!$B$88+'Product and Cost'!$B$29*(0.4863620081*D344+0.4455809638*D344+0.0356254898*D345+0.0324315384))+D349*('Product and Cost'!$D$30*D345*Assumptions!$B$88+'Product and Cost'!$B$30*(0.4863620081*D344+0.4455809638*D344+0.0356254898*D345+0.0324315384))+D350*('Product and Cost'!$D$31*D345*Assumptions!$B$88+'Product and Cost'!$B$31*(0.4863620081*D344+0.4455809638*D344+0.0356254898*D345+0.0324315384))+D351*('Product and Cost'!$D$32*D345*Assumptions!$B$88+'Product and Cost'!$B$32*(0.4863620081*D344+0.4455809638*D344+0.0356254898*D345+0.0324315384))+D352*('Product and Cost'!$D$33*D345*Assumptions!$B$88+'Product and Cost'!$B$33*(0.4863620081*D344+0.4455809638*D344+0.0356254898*D345+0.0324315384))+D353*('Product and Cost'!$D$34*D345*Assumptions!$B$88+'Product and Cost'!$B$34*(0.4863620081*D344+0.4455809638*D344+0.0356254898*D345+0.0324315384))</f>
        <v>52062.1406917</v>
      </c>
      <c r="E356" s="18">
        <f>E346*('Product and Cost'!$D$27*E345*Assumptions!$B$88+'Product and Cost'!$B$27*(0.4863620081*E344+0.4455809638*E344+0.0356254898*E345+0.0324315384))+E347*('Product and Cost'!$D$28*E345*Assumptions!$B$88+'Product and Cost'!$B$28*(0.4863620081*E344+0.4455809638*E344+0.0356254898*E345+0.0324315384))+E348*('Product and Cost'!$D$29*E345*Assumptions!$B$88+'Product and Cost'!$B$29*(0.4863620081*E344+0.4455809638*E344+0.0356254898*E345+0.0324315384))+E349*('Product and Cost'!$D$30*E345*Assumptions!$B$88+'Product and Cost'!$B$30*(0.4863620081*E344+0.4455809638*E344+0.0356254898*E345+0.0324315384))+E350*('Product and Cost'!$D$31*E345*Assumptions!$B$88+'Product and Cost'!$B$31*(0.4863620081*E344+0.4455809638*E344+0.0356254898*E345+0.0324315384))+E351*('Product and Cost'!$D$32*E345*Assumptions!$B$88+'Product and Cost'!$B$32*(0.4863620081*E344+0.4455809638*E344+0.0356254898*E345+0.0324315384))+E352*('Product and Cost'!$D$33*E345*Assumptions!$B$88+'Product and Cost'!$B$33*(0.4863620081*E344+0.4455809638*E344+0.0356254898*E345+0.0324315384))+E353*('Product and Cost'!$D$34*E345*Assumptions!$B$88+'Product and Cost'!$B$34*(0.4863620081*E344+0.4455809638*E344+0.0356254898*E345+0.0324315384))</f>
        <v>56377.8303704</v>
      </c>
      <c r="F356" s="18">
        <f>F346*('Product and Cost'!$D$27*F345*Assumptions!$B$88+'Product and Cost'!$B$27*(0.4863620081*F344+0.4455809638*F344+0.0356254898*F345+0.0324315384))+F347*('Product and Cost'!$D$28*F345*Assumptions!$B$88+'Product and Cost'!$B$28*(0.4863620081*F344+0.4455809638*F344+0.0356254898*F345+0.0324315384))+F348*('Product and Cost'!$D$29*F345*Assumptions!$B$88+'Product and Cost'!$B$29*(0.4863620081*F344+0.4455809638*F344+0.0356254898*F345+0.0324315384))+F349*('Product and Cost'!$D$30*F345*Assumptions!$B$88+'Product and Cost'!$B$30*(0.4863620081*F344+0.4455809638*F344+0.0356254898*F345+0.0324315384))+F350*('Product and Cost'!$D$31*F345*Assumptions!$B$88+'Product and Cost'!$B$31*(0.4863620081*F344+0.4455809638*F344+0.0356254898*F345+0.0324315384))+F351*('Product and Cost'!$D$32*F345*Assumptions!$B$88+'Product and Cost'!$B$32*(0.4863620081*F344+0.4455809638*F344+0.0356254898*F345+0.0324315384))+F352*('Product and Cost'!$D$33*F345*Assumptions!$B$88+'Product and Cost'!$B$33*(0.4863620081*F344+0.4455809638*F344+0.0356254898*F345+0.0324315384))+F353*('Product and Cost'!$D$34*F345*Assumptions!$B$88+'Product and Cost'!$B$34*(0.4863620081*F344+0.4455809638*F344+0.0356254898*F345+0.0324315384))</f>
        <v>60534.4188373</v>
      </c>
      <c r="G356" s="18">
        <f>G346*('Product and Cost'!$D$27*G345*Assumptions!$B$88+'Product and Cost'!$B$27*(0.4863620081*G344+0.4455809638*G344+0.0356254898*G345+0.0324315384))+G347*('Product and Cost'!$D$28*G345*Assumptions!$B$88+'Product and Cost'!$B$28*(0.4863620081*G344+0.4455809638*G344+0.0356254898*G345+0.0324315384))+G348*('Product and Cost'!$D$29*G345*Assumptions!$B$88+'Product and Cost'!$B$29*(0.4863620081*G344+0.4455809638*G344+0.0356254898*G345+0.0324315384))+G349*('Product and Cost'!$D$30*G345*Assumptions!$B$88+'Product and Cost'!$B$30*(0.4863620081*G344+0.4455809638*G344+0.0356254898*G345+0.0324315384))+G350*('Product and Cost'!$D$31*G345*Assumptions!$B$88+'Product and Cost'!$B$31*(0.4863620081*G344+0.4455809638*G344+0.0356254898*G345+0.0324315384))+G351*('Product and Cost'!$D$32*G345*Assumptions!$B$88+'Product and Cost'!$B$32*(0.4863620081*G344+0.4455809638*G344+0.0356254898*G345+0.0324315384))+G352*('Product and Cost'!$D$33*G345*Assumptions!$B$88+'Product and Cost'!$B$33*(0.4863620081*G344+0.4455809638*G344+0.0356254898*G345+0.0324315384))+G353*('Product and Cost'!$D$34*G345*Assumptions!$B$88+'Product and Cost'!$B$34*(0.4863620081*G344+0.4455809638*G344+0.0356254898*G345+0.0324315384))</f>
        <v>64580.8984922</v>
      </c>
    </row>
    <row r="357">
      <c r="A357" s="17" t="inlineStr">
        <is>
          <t>GROSS PROFIT</t>
        </is>
      </c>
      <c r="C357" s="20">
        <f>C355-C356+Forecast!$B$7*C355</f>
        <v>4481.24117159</v>
      </c>
      <c r="D357" s="20">
        <f>D355-D356+Forecast!$B$7*D355</f>
        <v>4651.04309838</v>
      </c>
      <c r="E357" s="20">
        <f>E355-E356+Forecast!$B$7*E355</f>
        <v>4767.10049879</v>
      </c>
      <c r="F357" s="20">
        <f>F355-F356+Forecast!$B$7*F355</f>
        <v>4863.13595857</v>
      </c>
      <c r="G357" s="20">
        <f>G355-G356+Forecast!$B$7*G355</f>
        <v>4896.4412998</v>
      </c>
    </row>
    <row r="358">
      <c r="A358" s="9" t="inlineStr">
        <is>
          <t>Gross margin</t>
        </is>
      </c>
      <c r="C358" s="19">
        <f>C357/C355</f>
        <v>0.086156323011</v>
      </c>
      <c r="D358" s="19">
        <f>D357/D355</f>
        <v>0.0820099099989</v>
      </c>
      <c r="E358" s="19">
        <f>E357/E355</f>
        <v>0.0779639527108</v>
      </c>
      <c r="F358" s="19">
        <f>F357/F355</f>
        <v>0.0743626573462</v>
      </c>
      <c r="G358" s="19">
        <f>G357/G355</f>
        <v>0.0704753710269</v>
      </c>
    </row>
    <row r="359">
      <c r="A359" s="9" t="inlineStr">
        <is>
          <t>Operating expense</t>
        </is>
      </c>
      <c r="C359" s="18">
        <f>('Base Year'!$B$28*C344)+('Base Year'!$B$29*C344*C354/'Product and Cost'!$E$14)+('Base Year'!$B$30*C344)+('Base Year'!$B$31*C344)</f>
        <v>2003.98349058</v>
      </c>
      <c r="D359" s="18">
        <f>('Base Year'!$B$28*D344)+('Base Year'!$B$29*D344*D354/'Product and Cost'!$E$14)+('Base Year'!$B$30*D344)+('Base Year'!$B$31*D344)</f>
        <v>2268.25667789</v>
      </c>
      <c r="E359" s="18">
        <f>('Base Year'!$B$28*E344)+('Base Year'!$B$29*E344*E354/'Product and Cost'!$E$14)+('Base Year'!$B$30*E344)+('Base Year'!$B$31*E344)</f>
        <v>2532.76780678</v>
      </c>
      <c r="F359" s="18">
        <f>('Base Year'!$B$28*F344)+('Base Year'!$B$29*F344*F354/'Product and Cost'!$E$14)+('Base Year'!$B$30*F344)+('Base Year'!$B$31*F344)</f>
        <v>2789.6849064</v>
      </c>
      <c r="G359" s="18">
        <f>('Base Year'!$B$28*G344)+('Base Year'!$B$29*G344*G354/'Product and Cost'!$E$14)+('Base Year'!$B$30*G344)+('Base Year'!$B$31*G344)</f>
        <v>3058.3531762</v>
      </c>
    </row>
    <row r="360">
      <c r="A360" s="17" t="inlineStr">
        <is>
          <t>EBITDA</t>
        </is>
      </c>
      <c r="C360" s="20">
        <f>C357-C359</f>
        <v>2477.25768101</v>
      </c>
      <c r="D360" s="20">
        <f>D357-D359</f>
        <v>2382.78642049</v>
      </c>
      <c r="E360" s="20">
        <f>E357-E359</f>
        <v>2234.33269201</v>
      </c>
      <c r="F360" s="20">
        <f>F357-F359</f>
        <v>2073.45105216</v>
      </c>
      <c r="G360" s="20">
        <f>G357-G359</f>
        <v>1838.0881236</v>
      </c>
    </row>
    <row r="361">
      <c r="A361" s="9" t="inlineStr">
        <is>
          <t>Capital expenditure — maintenance + growth</t>
        </is>
      </c>
      <c r="C361" s="18">
        <f>'Base Year'!$B$43*C344+MAX(C354-'Product and Cost'!$E$14,0)*1947.901031*C344</f>
        <v>227.096980677</v>
      </c>
      <c r="D361" s="18">
        <f>'Base Year'!$B$43*D344+MAX(D354-C354,0)*1947.901031*D344</f>
        <v>250.673568818</v>
      </c>
      <c r="E361" s="18">
        <f>'Base Year'!$B$43*E344+MAX(E354-D354,0)*1947.901031*E344</f>
        <v>271.819121338</v>
      </c>
      <c r="F361" s="18">
        <f>'Base Year'!$B$43*F344+MAX(F354-E354,0)*1947.901031*F344</f>
        <v>293.338060796</v>
      </c>
      <c r="G361" s="18">
        <f>'Base Year'!$B$43*G344+MAX(G354-F354,0)*1947.901031*G344</f>
        <v>316.265800705</v>
      </c>
    </row>
    <row r="362">
      <c r="A362" s="9" t="inlineStr">
        <is>
          <t>Fixed assets at cost, closing</t>
        </is>
      </c>
      <c r="C362" s="18">
        <f>(Assumptions!$B$70+Assumptions!$B$71)/10^6+C361</f>
        <v>3375.23087568</v>
      </c>
      <c r="D362" s="18">
        <f>C362+D361</f>
        <v>3625.9044445</v>
      </c>
      <c r="E362" s="18">
        <f>D362+E361</f>
        <v>3897.72356583</v>
      </c>
      <c r="F362" s="18">
        <f>E362+F361</f>
        <v>4191.06162663</v>
      </c>
      <c r="G362" s="18">
        <f>F362+G361</f>
        <v>4507.32742734</v>
      </c>
    </row>
    <row r="363">
      <c r="A363" s="9" t="inlineStr">
        <is>
          <t>Depreciation — rolls off the asset register</t>
        </is>
      </c>
      <c r="C363" s="18">
        <f>(Assumptions!$B$70+Assumptions!$B$71)/10^6/'Base Year'!$B$42</f>
        <v>173.808854481</v>
      </c>
      <c r="D363" s="18">
        <f>C362/'Base Year'!$B$42</f>
        <v>186.34690635</v>
      </c>
      <c r="E363" s="18">
        <f>D362/'Base Year'!$B$42</f>
        <v>200.186624513</v>
      </c>
      <c r="F363" s="18">
        <f>E362/'Base Year'!$B$42</f>
        <v>215.193791197</v>
      </c>
      <c r="G363" s="18">
        <f>F362/'Base Year'!$B$42</f>
        <v>231.38902114</v>
      </c>
    </row>
    <row r="364">
      <c r="A364" s="9" t="inlineStr">
        <is>
          <t>Fixed assets, net book, closing</t>
        </is>
      </c>
      <c r="C364" s="18">
        <f>(Assumptions!$B$69+Assumptions!$B$71)/10^6+C361-C363</f>
        <v>1353.6276032</v>
      </c>
      <c r="D364" s="18">
        <f>C364+D361-D363</f>
        <v>1417.95426566</v>
      </c>
      <c r="E364" s="18">
        <f>D364+E361-E363</f>
        <v>1489.58676249</v>
      </c>
      <c r="F364" s="18">
        <f>E364+F361-F363</f>
        <v>1567.73103209</v>
      </c>
      <c r="G364" s="18">
        <f>F364+G361-G363</f>
        <v>1652.60781165</v>
      </c>
    </row>
    <row r="365">
      <c r="A365" s="17" t="inlineStr">
        <is>
          <t>EBIT</t>
        </is>
      </c>
      <c r="C365" s="20">
        <f>C360-C363</f>
        <v>2303.44882653</v>
      </c>
      <c r="D365" s="20">
        <f>D360-D363</f>
        <v>2196.43951414</v>
      </c>
      <c r="E365" s="20">
        <f>E360-E363</f>
        <v>2034.14606749</v>
      </c>
      <c r="F365" s="20">
        <f>F360-F363</f>
        <v>1858.25726097</v>
      </c>
      <c r="G365" s="20">
        <f>G360-G363</f>
        <v>1606.69910246</v>
      </c>
    </row>
    <row r="366">
      <c r="A366" s="9" t="inlineStr">
        <is>
          <t>NOPAT before the profit share</t>
        </is>
      </c>
      <c r="C366" s="18">
        <f>C365*(1-Assumptions!$B$87)</f>
        <v>1785.17284056</v>
      </c>
      <c r="D366" s="18">
        <f>D365*(1-Assumptions!$B$87)</f>
        <v>1702.24062346</v>
      </c>
      <c r="E366" s="18">
        <f>E365*(1-Assumptions!$B$87)</f>
        <v>1576.46320231</v>
      </c>
      <c r="F366" s="18">
        <f>F365*(1-Assumptions!$B$87)</f>
        <v>1440.14937725</v>
      </c>
      <c r="G366" s="18">
        <f>G365*(1-Assumptions!$B$87)</f>
        <v>1245.19180441</v>
      </c>
    </row>
    <row r="367">
      <c r="A367" s="9" t="inlineStr">
        <is>
          <t xml:space="preserve">  less employees' profit share and board bonuses</t>
        </is>
      </c>
      <c r="C367" s="18">
        <f>MAX(C366,0)*'Base Year'!$B$40</f>
        <v>94.1161677229</v>
      </c>
      <c r="D367" s="18">
        <f>MAX(D366,0)*'Base Year'!$B$40</f>
        <v>89.7438950347</v>
      </c>
      <c r="E367" s="18">
        <f>MAX(E366,0)*'Base Year'!$B$40</f>
        <v>83.1127786544</v>
      </c>
      <c r="F367" s="18">
        <f>MAX(F366,0)*'Base Year'!$B$40</f>
        <v>75.9261721082</v>
      </c>
      <c r="G367" s="18">
        <f>MAX(G366,0)*'Base Year'!$B$40</f>
        <v>65.6478062225</v>
      </c>
    </row>
    <row r="368">
      <c r="A368" s="17" t="inlineStr">
        <is>
          <t>NOPAT</t>
        </is>
      </c>
      <c r="C368" s="20">
        <f>C366-C367</f>
        <v>1691.05667284</v>
      </c>
      <c r="D368" s="20">
        <f>D366-D367</f>
        <v>1612.49672842</v>
      </c>
      <c r="E368" s="20">
        <f>E366-E367</f>
        <v>1493.35042365</v>
      </c>
      <c r="F368" s="20">
        <f>F366-F367</f>
        <v>1364.22320514</v>
      </c>
      <c r="G368" s="20">
        <f>G366-G367</f>
        <v>1179.54399818</v>
      </c>
    </row>
    <row r="369">
      <c r="A369" s="9" t="inlineStr">
        <is>
          <t>Net working capital — on days</t>
        </is>
      </c>
      <c r="C369" s="18">
        <f>'Base Year'!$B$44*Forecast!$B$9/365*C356+'Base Year'!$B$45*Forecast!$B$9/365*C355-'Base Year'!$B$46*Forecast!$B$9/365*C356</f>
        <v>2499.8122753</v>
      </c>
      <c r="D369" s="18">
        <f>'Base Year'!$B$44*Forecast!$B$9/365*D356+'Base Year'!$B$45*Forecast!$B$9/365*D355-'Base Year'!$B$46*Forecast!$B$9/365*D356</f>
        <v>2732.93494499</v>
      </c>
      <c r="E369" s="18">
        <f>'Base Year'!$B$44*Forecast!$B$9/365*E356+'Base Year'!$B$45*Forecast!$B$9/365*E355-'Base Year'!$B$46*Forecast!$B$9/365*E356</f>
        <v>2954.09184346</v>
      </c>
      <c r="F369" s="18">
        <f>'Base Year'!$B$44*Forecast!$B$9/365*F356+'Base Year'!$B$45*Forecast!$B$9/365*F355-'Base Year'!$B$46*Forecast!$B$9/365*F356</f>
        <v>3166.78076387</v>
      </c>
      <c r="G369" s="18">
        <f>'Base Year'!$B$44*Forecast!$B$9/365*G356+'Base Year'!$B$45*Forecast!$B$9/365*G355-'Base Year'!$B$46*Forecast!$B$9/365*G356</f>
        <v>3372.63182515</v>
      </c>
    </row>
    <row r="370">
      <c r="A370" s="9" t="inlineStr">
        <is>
          <t xml:space="preserve">  change in working capital</t>
        </is>
      </c>
      <c r="C370" s="18">
        <f>C369-('Base Year'!$B$44/365*'Base Year'!$B$21+'Base Year'!$B$45/365*'Base Year'!$B$19-'Base Year'!$B$46/365*'Base Year'!$B$21)</f>
        <v>248.409986303</v>
      </c>
      <c r="D370" s="18">
        <f>D369-C369</f>
        <v>233.122669682</v>
      </c>
      <c r="E370" s="18">
        <f>E369-D369</f>
        <v>221.156898477</v>
      </c>
      <c r="F370" s="18">
        <f>F369-E369</f>
        <v>212.688920406</v>
      </c>
      <c r="G370" s="18">
        <f>G369-F369</f>
        <v>205.851061283</v>
      </c>
    </row>
    <row r="371">
      <c r="A371" s="17" t="inlineStr">
        <is>
          <t>FREE CASH FLOW TO THE FIRM</t>
        </is>
      </c>
      <c r="C371" s="20">
        <f>C368+C363-C361-C370</f>
        <v>1389.35856034</v>
      </c>
      <c r="D371" s="20">
        <f>D368+D363-D361-D370</f>
        <v>1315.04739627</v>
      </c>
      <c r="E371" s="20">
        <f>E368+E363-E361-E370</f>
        <v>1200.56102835</v>
      </c>
      <c r="F371" s="20">
        <f>F368+F363-F361-F370</f>
        <v>1073.39001514</v>
      </c>
      <c r="G371" s="20">
        <f>G368+G363-G361-G370</f>
        <v>888.816157336</v>
      </c>
    </row>
    <row r="372">
      <c r="A372" s="9" t="inlineStr">
        <is>
          <t>Glide fraction</t>
        </is>
      </c>
      <c r="C372" s="26">
        <f>0.0000000000</f>
        <v>0</v>
      </c>
      <c r="D372" s="26">
        <f>0.3571428571</f>
        <v>0.3571428571</v>
      </c>
      <c r="E372" s="26">
        <f>0.6428571429</f>
        <v>0.6428571429</v>
      </c>
      <c r="F372" s="26">
        <f>0.8571428571</f>
        <v>0.8571428571</v>
      </c>
      <c r="G372" s="26">
        <f>1.0000000000</f>
        <v>1</v>
      </c>
    </row>
    <row r="373">
      <c r="A373" s="9" t="inlineStr">
        <is>
          <t>Forward cost of capital</t>
        </is>
      </c>
      <c r="C373" s="19">
        <f>Forecast!$B$14-(Forecast!$B$14-Forecast!$B$17)*C372</f>
        <v>0.31578338914</v>
      </c>
      <c r="D373" s="19">
        <f>Forecast!$B$14-(Forecast!$B$14-Forecast!$B$17)*D372</f>
        <v>0.268515637955</v>
      </c>
      <c r="E373" s="19">
        <f>Forecast!$B$14-(Forecast!$B$14-Forecast!$B$17)*E372</f>
        <v>0.230701436991</v>
      </c>
      <c r="F373" s="19">
        <f>Forecast!$B$14-(Forecast!$B$14-Forecast!$B$17)*F372</f>
        <v>0.202340786287</v>
      </c>
      <c r="G373" s="19">
        <f>Forecast!$B$14-(Forecast!$B$14-Forecast!$B$17)*G372</f>
        <v>0.183433685805</v>
      </c>
    </row>
    <row r="374">
      <c r="A374" s="9" t="inlineStr">
        <is>
          <t>Cumulative discount factor</t>
        </is>
      </c>
      <c r="C374" s="29">
        <f>1/(1+C373)</f>
        <v>0.760003514449</v>
      </c>
      <c r="D374" s="29">
        <f>C374/(1+D373)</f>
        <v>0.599128218612</v>
      </c>
      <c r="E374" s="29">
        <f>D374/(1+E373)</f>
        <v>0.486818492775</v>
      </c>
      <c r="F374" s="29">
        <f>E374/(1+F373)</f>
        <v>0.404892272081</v>
      </c>
      <c r="G374" s="29">
        <f>F374/(1+G373)</f>
        <v>0.342133468852</v>
      </c>
    </row>
    <row r="375">
      <c r="A375" s="9" t="inlineStr">
        <is>
          <t>Present value</t>
        </is>
      </c>
      <c r="C375" s="18">
        <f>C371*C374</f>
        <v>1055.91738869</v>
      </c>
      <c r="D375" s="18">
        <f>D371*D374</f>
        <v>787.882003919</v>
      </c>
      <c r="E375" s="18">
        <f>E371*E374</f>
        <v>584.455310305</v>
      </c>
      <c r="F375" s="18">
        <f>F371*F374</f>
        <v>434.607322057</v>
      </c>
      <c r="G375" s="18">
        <f>G371*G374</f>
        <v>304.093755081</v>
      </c>
    </row>
    <row r="376">
      <c r="A376" s="17" t="inlineStr">
        <is>
          <t>PV of the explicit window</t>
        </is>
      </c>
      <c r="B376" s="20">
        <f>SUM(C375:G375)</f>
        <v>3166.95578005</v>
      </c>
      <c r="C376" s="18">
        <f>C369+C362</f>
        <v>5875.04315098</v>
      </c>
      <c r="D376" s="18">
        <f>D369+D362</f>
        <v>6358.83938948</v>
      </c>
      <c r="E376" s="18">
        <f>E369+E362</f>
        <v>6851.8154093</v>
      </c>
      <c r="F376" s="18">
        <f>F369+F362</f>
        <v>7357.8423905</v>
      </c>
      <c r="G376" s="18">
        <f>G369+G362</f>
        <v>7879.95925249</v>
      </c>
    </row>
    <row r="377">
      <c r="A377" s="9" t="inlineStr">
        <is>
          <t>Terminal return on invested capital, at REPLACEMENT cost</t>
        </is>
      </c>
      <c r="B377" s="19">
        <f>G368*(1+Assumptions!$B$89)/G376</f>
        <v>0.15717355362</v>
      </c>
    </row>
    <row r="378">
      <c r="A378" s="9" t="inlineStr">
        <is>
          <t>Required reinvestment = growth / return</t>
        </is>
      </c>
      <c r="B378" s="19">
        <f>MIN(Assumptions!$B$89/B377,0.95)</f>
        <v>0.318119676297</v>
      </c>
    </row>
    <row r="379">
      <c r="A379" s="9" t="inlineStr">
        <is>
          <t>Terminal value</t>
        </is>
      </c>
      <c r="B379" s="18">
        <f>G368*(1+Assumptions!$B$89)*(1-B378)/MAX(Forecast!$B$17-Assumptions!$B$89,0.02)</f>
        <v>6329.16066412</v>
      </c>
    </row>
    <row r="380">
      <c r="A380" s="9" t="inlineStr">
        <is>
          <t>PV of the terminal block</t>
        </is>
      </c>
      <c r="B380" s="18">
        <f>B379*G374</f>
        <v>2165.41769294</v>
      </c>
    </row>
    <row r="381">
      <c r="A381" s="17" t="inlineStr">
        <is>
          <t>ENTERPRISE VALUE</t>
        </is>
      </c>
      <c r="B381" s="20">
        <f>B376+B380</f>
        <v>5332.37347299</v>
      </c>
    </row>
    <row r="382">
      <c r="A382" s="9" t="inlineStr">
        <is>
          <t>plus net cash</t>
        </is>
      </c>
      <c r="B382" s="18">
        <f>(Assumptions!$B$79-Assumptions!$B$82-Assumptions!$B$83)/10^6</f>
        <v>2442.544928</v>
      </c>
    </row>
    <row r="383">
      <c r="A383" s="9" t="inlineStr">
        <is>
          <t>Enterprise value including cash</t>
        </is>
      </c>
      <c r="B383" s="18">
        <f>B381+B382</f>
        <v>7774.91840099</v>
      </c>
    </row>
    <row r="384">
      <c r="A384" s="9" t="inlineStr">
        <is>
          <t>less minority — on the WHOLE enterprise, cash included</t>
        </is>
      </c>
      <c r="B384" s="18">
        <f>B383*'Base Year'!$B$41</f>
        <v>253.325833478</v>
      </c>
    </row>
    <row r="385">
      <c r="A385" s="9" t="inlineStr">
        <is>
          <t>less the tax-disputes provision</t>
        </is>
      </c>
      <c r="B385" s="18">
        <f>Assumptions!$B$78/10^6</f>
        <v>921.440353</v>
      </c>
    </row>
    <row r="386">
      <c r="A386" s="9" t="inlineStr">
        <is>
          <t>less dividends payable — declared, out of working capital</t>
        </is>
      </c>
      <c r="B386" s="18">
        <f>Assumptions!$B$77/10^6</f>
        <v>517.25</v>
      </c>
    </row>
    <row r="387">
      <c r="A387" s="9" t="inlineStr">
        <is>
          <t>plus non-operating investments and pledged deposits</t>
        </is>
      </c>
      <c r="B387" s="18">
        <f>(Assumptions!$B$81+Assumptions!$B$80)/10^6</f>
        <v>578.358746</v>
      </c>
    </row>
    <row r="388">
      <c r="A388" s="17" t="inlineStr">
        <is>
          <t>EQUITY ATTRIBUTABLE</t>
        </is>
      </c>
      <c r="B388" s="20">
        <f>B383-B384-B385-B386+B387</f>
        <v>6661.26096051</v>
      </c>
    </row>
    <row r="389">
      <c r="A389" s="17" t="inlineStr">
        <is>
          <t>VALUE PER SHARE, EGP</t>
        </is>
      </c>
      <c r="B389" s="30">
        <f>B388/Assumptions!$B$8</f>
        <v>5.15777077856</v>
      </c>
    </row>
    <row r="392">
      <c r="A392" s="6" t="inlineStr">
        <is>
          <t>Volume growth path, as a multiple of the assumed path — 1.00x</t>
        </is>
      </c>
      <c r="B392" s="6" t="inlineStr">
        <is>
          <t>2026E</t>
        </is>
      </c>
      <c r="C392" s="6" t="inlineStr">
        <is>
          <t>2027E</t>
        </is>
      </c>
      <c r="D392" s="6" t="inlineStr">
        <is>
          <t>2028E</t>
        </is>
      </c>
      <c r="E392" s="6" t="inlineStr">
        <is>
          <t>2029E</t>
        </is>
      </c>
      <c r="F392" s="6" t="inlineStr">
        <is>
          <t>2030E</t>
        </is>
      </c>
    </row>
    <row r="393">
      <c r="A393" s="9" t="inlineStr">
        <is>
          <t>Inflation index, cumulative</t>
        </is>
      </c>
      <c r="C393" s="26">
        <f>Assumptions!$B$146</f>
        <v>1.145</v>
      </c>
      <c r="D393" s="26">
        <f>C393*Assumptions!$B$147</f>
        <v>1.29385</v>
      </c>
      <c r="E393" s="26">
        <f>D393*Assumptions!$B$148</f>
        <v>1.44264275</v>
      </c>
      <c r="F393" s="26">
        <f>E393*Assumptions!$B$149</f>
        <v>1.586907025</v>
      </c>
      <c r="G393" s="26">
        <f>F393*Assumptions!$B$150</f>
        <v>1.73766319237</v>
      </c>
    </row>
    <row r="394">
      <c r="A394" s="9" t="inlineStr">
        <is>
          <t>Realisation index, cumulative</t>
        </is>
      </c>
      <c r="C394" s="26">
        <f>(1+Assumptions!$B$101*Forecast!$B$8)</f>
        <v>1.09</v>
      </c>
      <c r="D394" s="26">
        <f>C394*(1+Assumptions!$B$102*Forecast!$B$8)</f>
        <v>1.17175</v>
      </c>
      <c r="E394" s="26">
        <f>D394*(1+Assumptions!$B$103*Forecast!$B$8)</f>
        <v>1.24791375</v>
      </c>
      <c r="F394" s="26">
        <f>E394*(1+Assumptions!$B$104*Forecast!$B$8)</f>
        <v>1.3202927475</v>
      </c>
      <c r="G394" s="26">
        <f>F394*(1+Assumptions!$B$105*Forecast!$B$8)</f>
        <v>1.38894797037</v>
      </c>
    </row>
    <row r="395">
      <c r="A395" s="9" t="inlineStr">
        <is>
          <t xml:space="preserve">  Volume — Base and special oils, mn t</t>
        </is>
      </c>
      <c r="C395" s="26">
        <f>'Product and Cost'!E6*(1+Assumptions!$B$106*$B$15)</f>
        <v>0.1148851682</v>
      </c>
      <c r="D395" s="26">
        <f>C395*(1+Assumptions!$B$107*$B$15)</f>
        <v>0.119480574928</v>
      </c>
      <c r="E395" s="26">
        <f>D395*(1+Assumptions!$B$108*$B$15)</f>
        <v>0.12366239505</v>
      </c>
      <c r="F395" s="26">
        <f>E395*(1+Assumptions!$B$109*$B$15)</f>
        <v>0.127372266902</v>
      </c>
      <c r="G395" s="26">
        <f>F395*(1+Assumptions!$B$110*$B$15)</f>
        <v>0.130938690375</v>
      </c>
    </row>
    <row r="396">
      <c r="A396" s="9" t="inlineStr">
        <is>
          <t xml:space="preserve">  Volume — Paraffin wax, mn t</t>
        </is>
      </c>
      <c r="C396" s="26">
        <f>'Product and Cost'!E7*(1+Assumptions!$B$111*$B$15)</f>
        <v>0.089396788</v>
      </c>
      <c r="D396" s="26">
        <f>C396*(1+Assumptions!$B$112*$B$15)</f>
        <v>0.09431361134</v>
      </c>
      <c r="E396" s="26">
        <f>D396*(1+Assumptions!$B$113*$B$15)</f>
        <v>0.0985577238503</v>
      </c>
      <c r="F396" s="26">
        <f>E396*(1+Assumptions!$B$114*$B$15)</f>
        <v>0.102302917357</v>
      </c>
      <c r="G396" s="26">
        <f>F396*(1+Assumptions!$B$115*$B$15)</f>
        <v>0.105576610712</v>
      </c>
    </row>
    <row r="397">
      <c r="A397" s="9" t="inlineStr">
        <is>
          <t xml:space="preserve">  Volume — Gas oil, mn t</t>
        </is>
      </c>
      <c r="C397" s="26">
        <f>'Product and Cost'!E8*(1+Assumptions!$B$116*$B$15)</f>
        <v>0.35023715724</v>
      </c>
      <c r="D397" s="26">
        <f>C397*(1+Assumptions!$B$117*$B$15)</f>
        <v>0.357241900385</v>
      </c>
      <c r="E397" s="26">
        <f>D397*(1+Assumptions!$B$118*$B$15)</f>
        <v>0.363672254592</v>
      </c>
      <c r="F397" s="26">
        <f>E397*(1+Assumptions!$B$119*$B$15)</f>
        <v>0.369491010665</v>
      </c>
      <c r="G397" s="26">
        <f>F397*(1+Assumptions!$B$120*$B$15)</f>
        <v>0.375033375825</v>
      </c>
    </row>
    <row r="398">
      <c r="A398" s="9" t="inlineStr">
        <is>
          <t xml:space="preserve">  Volume — Naphtha, mn t</t>
        </is>
      </c>
      <c r="C398" s="26">
        <f>'Product and Cost'!E9*(1+Assumptions!$B$121*$B$15)</f>
        <v>0.08410463971</v>
      </c>
      <c r="D398" s="26">
        <f>C398*(1+Assumptions!$B$122*$B$15)</f>
        <v>0.0856185232248</v>
      </c>
      <c r="E398" s="26">
        <f>D398*(1+Assumptions!$B$123*$B$15)</f>
        <v>0.0871596566428</v>
      </c>
      <c r="F398" s="26">
        <f>E398*(1+Assumptions!$B$124*$B$15)</f>
        <v>0.0885542111491</v>
      </c>
      <c r="G398" s="26">
        <f>F398*(1+Assumptions!$B$125*$B$15)</f>
        <v>0.0898825243163</v>
      </c>
    </row>
    <row r="399">
      <c r="A399" s="9" t="inlineStr">
        <is>
          <t xml:space="preserve">  Volume — Liquefied petroleum gas, mn t</t>
        </is>
      </c>
      <c r="C399" s="26">
        <f>'Product and Cost'!E10*(1+Assumptions!$B$126*$B$15)</f>
        <v>0.0486583449</v>
      </c>
      <c r="D399" s="26">
        <f>C399*(1+Assumptions!$B$127*$B$15)</f>
        <v>0.0497288284878</v>
      </c>
      <c r="E399" s="26">
        <f>D399*(1+Assumptions!$B$128*$B$15)</f>
        <v>0.0507234050576</v>
      </c>
      <c r="F399" s="26">
        <f>E399*(1+Assumptions!$B$129*$B$15)</f>
        <v>0.0516364263486</v>
      </c>
      <c r="G399" s="26">
        <f>F399*(1+Assumptions!$B$130*$B$15)</f>
        <v>0.0524626091702</v>
      </c>
    </row>
    <row r="400">
      <c r="A400" s="9" t="inlineStr">
        <is>
          <t xml:space="preserve">  Volume — Fuel oil (mix), mn t</t>
        </is>
      </c>
      <c r="C400" s="26">
        <f>'Product and Cost'!E11*(1+Assumptions!$B$131*$B$15)</f>
        <v>0.947916416</v>
      </c>
      <c r="D400" s="26">
        <f>C400*(1+Assumptions!$B$132*$B$15)</f>
        <v>0.972562242816</v>
      </c>
      <c r="E400" s="26">
        <f>D400*(1+Assumptions!$B$133*$B$15)</f>
        <v>0.993958612158</v>
      </c>
      <c r="F400" s="26">
        <f>E400*(1+Assumptions!$B$134*$B$15)</f>
        <v>1.0138377844</v>
      </c>
      <c r="G400" s="26">
        <f>F400*(1+Assumptions!$B$135*$B$15)</f>
        <v>1.03208686452</v>
      </c>
    </row>
    <row r="401">
      <c r="A401" s="9" t="inlineStr">
        <is>
          <t xml:space="preserve">  Volume — Heavy fuel oil, mn t</t>
        </is>
      </c>
      <c r="C401" s="26">
        <f>'Product and Cost'!E12*(1+Assumptions!$B$136*$B$15)</f>
        <v>0.0292281408</v>
      </c>
      <c r="D401" s="26">
        <f>C401*(1+Assumptions!$B$137*$B$15)</f>
        <v>0.0297542473344</v>
      </c>
      <c r="E401" s="26">
        <f>D401*(1+Assumptions!$B$138*$B$15)</f>
        <v>0.0302303152918</v>
      </c>
      <c r="F401" s="26">
        <f>E401*(1+Assumptions!$B$139*$B$15)</f>
        <v>0.0306837700211</v>
      </c>
      <c r="G401" s="26">
        <f>F401*(1+Assumptions!$B$140*$B$15)</f>
        <v>0.0311133428014</v>
      </c>
    </row>
    <row r="402">
      <c r="A402" s="9" t="inlineStr">
        <is>
          <t xml:space="preserve">  Volume — Waste, mn t</t>
        </is>
      </c>
      <c r="C402" s="26">
        <f>'Product and Cost'!E13*(1+Assumptions!$B$141*$B$15)</f>
        <v>1.564e-05</v>
      </c>
      <c r="D402" s="26">
        <f>C402*(1+Assumptions!$B$142*$B$15)</f>
        <v>1.564e-05</v>
      </c>
      <c r="E402" s="26">
        <f>D402*(1+Assumptions!$B$143*$B$15)</f>
        <v>1.564e-05</v>
      </c>
      <c r="F402" s="26">
        <f>E402*(1+Assumptions!$B$144*$B$15)</f>
        <v>1.564e-05</v>
      </c>
      <c r="G402" s="26">
        <f>F402*(1+Assumptions!$B$145*$B$15)</f>
        <v>1.564e-05</v>
      </c>
    </row>
    <row r="403">
      <c r="A403" s="17" t="inlineStr">
        <is>
          <t>Total volume, mn t</t>
        </is>
      </c>
      <c r="C403" s="28">
        <f>SUM(C395:C402)</f>
        <v>1.66444229485</v>
      </c>
      <c r="D403" s="28">
        <f>SUM(D395:D402)</f>
        <v>1.70871556852</v>
      </c>
      <c r="E403" s="28">
        <f>SUM(E395:E402)</f>
        <v>1.74798000264</v>
      </c>
      <c r="F403" s="28">
        <f>SUM(F395:F402)</f>
        <v>1.78389402684</v>
      </c>
      <c r="G403" s="28">
        <f>SUM(G395:G402)</f>
        <v>1.81710965772</v>
      </c>
    </row>
    <row r="404">
      <c r="A404" s="17" t="inlineStr">
        <is>
          <t>REVENUE</t>
        </is>
      </c>
      <c r="C404" s="20">
        <f>C395*'Product and Cost'!$F$6*C394+C396*'Product and Cost'!$F$7*C394+C397*'Product and Cost'!$F$8*C394+C398*'Product and Cost'!$F$9*C394+C399*'Product and Cost'!$F$10*C394+C400*'Product and Cost'!$F$11*C394+C401*'Product and Cost'!$F$12*C394+C402*'Product and Cost'!$F$13*C394</f>
        <v>52840.8111141</v>
      </c>
      <c r="D404" s="20">
        <f>D395*'Product and Cost'!$F$6*D394+D396*'Product and Cost'!$F$7*D394+D397*'Product and Cost'!$F$8*D394+D398*'Product and Cost'!$F$9*D394+D399*'Product and Cost'!$F$10*D394+D400*'Product and Cost'!$F$11*D394+D401*'Product and Cost'!$F$12*D394+D402*'Product and Cost'!$F$13*D394</f>
        <v>58432.1672543</v>
      </c>
      <c r="E404" s="20">
        <f>E395*'Product and Cost'!$F$6*E394+E396*'Product and Cost'!$F$7*E394+E397*'Product and Cost'!$F$8*E394+E398*'Product and Cost'!$F$9*E394+E399*'Product and Cost'!$F$10*E394+E400*'Product and Cost'!$F$11*E394+E401*'Product and Cost'!$F$12*E394+E402*'Product and Cost'!$F$13*E394</f>
        <v>63772.6371781</v>
      </c>
      <c r="F404" s="20">
        <f>F395*'Product and Cost'!$F$6*F394+F396*'Product and Cost'!$F$7*F394+F397*'Product and Cost'!$F$8*F394+F398*'Product and Cost'!$F$9*F394+F399*'Product and Cost'!$F$10*F394+F400*'Product and Cost'!$F$11*F394+F401*'Product and Cost'!$F$12*F394+F402*'Product and Cost'!$F$13*F394</f>
        <v>68952.1790369</v>
      </c>
      <c r="G404" s="20">
        <f>G395*'Product and Cost'!$F$6*G394+G396*'Product and Cost'!$F$7*G394+G397*'Product and Cost'!$F$8*G394+G398*'Product and Cost'!$F$9*G394+G399*'Product and Cost'!$F$10*G394+G400*'Product and Cost'!$F$11*G394+G401*'Product and Cost'!$F$12*G394+G402*'Product and Cost'!$F$13*G394</f>
        <v>73977.8431827</v>
      </c>
    </row>
    <row r="405">
      <c r="A405" s="9" t="inlineStr">
        <is>
          <t>Cost of sales</t>
        </is>
      </c>
      <c r="C405" s="18">
        <f>C395*('Product and Cost'!$D$27*C394*Assumptions!$B$88+'Product and Cost'!$B$27*(0.4863620081*C393+0.4455809638*C393+0.0356254898*C394+0.0324315384))+C396*('Product and Cost'!$D$28*C394*Assumptions!$B$88+'Product and Cost'!$B$28*(0.4863620081*C393+0.4455809638*C393+0.0356254898*C394+0.0324315384))+C397*('Product and Cost'!$D$29*C394*Assumptions!$B$88+'Product and Cost'!$B$29*(0.4863620081*C393+0.4455809638*C393+0.0356254898*C394+0.0324315384))+C398*('Product and Cost'!$D$30*C394*Assumptions!$B$88+'Product and Cost'!$B$30*(0.4863620081*C393+0.4455809638*C393+0.0356254898*C394+0.0324315384))+C399*('Product and Cost'!$D$31*C394*Assumptions!$B$88+'Product and Cost'!$B$31*(0.4863620081*C393+0.4455809638*C393+0.0356254898*C394+0.0324315384))+C400*('Product and Cost'!$D$32*C394*Assumptions!$B$88+'Product and Cost'!$B$32*(0.4863620081*C393+0.4455809638*C393+0.0356254898*C394+0.0324315384))+C401*('Product and Cost'!$D$33*C394*Assumptions!$B$88+'Product and Cost'!$B$33*(0.4863620081*C393+0.4455809638*C393+0.0356254898*C394+0.0324315384))+C402*('Product and Cost'!$D$34*C394*Assumptions!$B$88+'Product and Cost'!$B$34*(0.4863620081*C393+0.4455809638*C393+0.0356254898*C394+0.0324315384))</f>
        <v>48291.1604712</v>
      </c>
      <c r="D405" s="18">
        <f>D395*('Product and Cost'!$D$27*D394*Assumptions!$B$88+'Product and Cost'!$B$27*(0.4863620081*D393+0.4455809638*D393+0.0356254898*D394+0.0324315384))+D396*('Product and Cost'!$D$28*D394*Assumptions!$B$88+'Product and Cost'!$B$28*(0.4863620081*D393+0.4455809638*D393+0.0356254898*D394+0.0324315384))+D397*('Product and Cost'!$D$29*D394*Assumptions!$B$88+'Product and Cost'!$B$29*(0.4863620081*D393+0.4455809638*D393+0.0356254898*D394+0.0324315384))+D398*('Product and Cost'!$D$30*D394*Assumptions!$B$88+'Product and Cost'!$B$30*(0.4863620081*D393+0.4455809638*D393+0.0356254898*D394+0.0324315384))+D399*('Product and Cost'!$D$31*D394*Assumptions!$B$88+'Product and Cost'!$B$31*(0.4863620081*D393+0.4455809638*D393+0.0356254898*D394+0.0324315384))+D400*('Product and Cost'!$D$32*D394*Assumptions!$B$88+'Product and Cost'!$B$32*(0.4863620081*D393+0.4455809638*D393+0.0356254898*D394+0.0324315384))+D401*('Product and Cost'!$D$33*D394*Assumptions!$B$88+'Product and Cost'!$B$33*(0.4863620081*D393+0.4455809638*D393+0.0356254898*D394+0.0324315384))+D402*('Product and Cost'!$D$34*D394*Assumptions!$B$88+'Product and Cost'!$B$34*(0.4863620081*D393+0.4455809638*D393+0.0356254898*D394+0.0324315384))</f>
        <v>53647.9823219</v>
      </c>
      <c r="E405" s="18">
        <f>E395*('Product and Cost'!$D$27*E394*Assumptions!$B$88+'Product and Cost'!$B$27*(0.4863620081*E393+0.4455809638*E393+0.0356254898*E394+0.0324315384))+E396*('Product and Cost'!$D$28*E394*Assumptions!$B$88+'Product and Cost'!$B$28*(0.4863620081*E393+0.4455809638*E393+0.0356254898*E394+0.0324315384))+E397*('Product and Cost'!$D$29*E394*Assumptions!$B$88+'Product and Cost'!$B$29*(0.4863620081*E393+0.4455809638*E393+0.0356254898*E394+0.0324315384))+E398*('Product and Cost'!$D$30*E394*Assumptions!$B$88+'Product and Cost'!$B$30*(0.4863620081*E393+0.4455809638*E393+0.0356254898*E394+0.0324315384))+E399*('Product and Cost'!$D$31*E394*Assumptions!$B$88+'Product and Cost'!$B$31*(0.4863620081*E393+0.4455809638*E393+0.0356254898*E394+0.0324315384))+E400*('Product and Cost'!$D$32*E394*Assumptions!$B$88+'Product and Cost'!$B$32*(0.4863620081*E393+0.4455809638*E393+0.0356254898*E394+0.0324315384))+E401*('Product and Cost'!$D$33*E394*Assumptions!$B$88+'Product and Cost'!$B$33*(0.4863620081*E393+0.4455809638*E393+0.0356254898*E394+0.0324315384))+E402*('Product and Cost'!$D$34*E394*Assumptions!$B$88+'Product and Cost'!$B$34*(0.4863620081*E393+0.4455809638*E393+0.0356254898*E394+0.0324315384))</f>
        <v>58815.4011786</v>
      </c>
      <c r="F405" s="18">
        <f>F395*('Product and Cost'!$D$27*F394*Assumptions!$B$88+'Product and Cost'!$B$27*(0.4863620081*F393+0.4455809638*F393+0.0356254898*F394+0.0324315384))+F396*('Product and Cost'!$D$28*F394*Assumptions!$B$88+'Product and Cost'!$B$28*(0.4863620081*F393+0.4455809638*F393+0.0356254898*F394+0.0324315384))+F397*('Product and Cost'!$D$29*F394*Assumptions!$B$88+'Product and Cost'!$B$29*(0.4863620081*F393+0.4455809638*F393+0.0356254898*F394+0.0324315384))+F398*('Product and Cost'!$D$30*F394*Assumptions!$B$88+'Product and Cost'!$B$30*(0.4863620081*F393+0.4455809638*F393+0.0356254898*F394+0.0324315384))+F399*('Product and Cost'!$D$31*F394*Assumptions!$B$88+'Product and Cost'!$B$31*(0.4863620081*F393+0.4455809638*F393+0.0356254898*F394+0.0324315384))+F400*('Product and Cost'!$D$32*F394*Assumptions!$B$88+'Product and Cost'!$B$32*(0.4863620081*F393+0.4455809638*F393+0.0356254898*F394+0.0324315384))+F401*('Product and Cost'!$D$33*F394*Assumptions!$B$88+'Product and Cost'!$B$33*(0.4863620081*F393+0.4455809638*F393+0.0356254898*F394+0.0324315384))+F402*('Product and Cost'!$D$34*F394*Assumptions!$B$88+'Product and Cost'!$B$34*(0.4863620081*F393+0.4455809638*F393+0.0356254898*F394+0.0324315384))</f>
        <v>63847.5732702</v>
      </c>
      <c r="G405" s="18">
        <f>G395*('Product and Cost'!$D$27*G394*Assumptions!$B$88+'Product and Cost'!$B$27*(0.4863620081*G393+0.4455809638*G393+0.0356254898*G394+0.0324315384))+G396*('Product and Cost'!$D$28*G394*Assumptions!$B$88+'Product and Cost'!$B$28*(0.4863620081*G393+0.4455809638*G393+0.0356254898*G394+0.0324315384))+G397*('Product and Cost'!$D$29*G394*Assumptions!$B$88+'Product and Cost'!$B$29*(0.4863620081*G393+0.4455809638*G393+0.0356254898*G394+0.0324315384))+G398*('Product and Cost'!$D$30*G394*Assumptions!$B$88+'Product and Cost'!$B$30*(0.4863620081*G393+0.4455809638*G393+0.0356254898*G394+0.0324315384))+G399*('Product and Cost'!$D$31*G394*Assumptions!$B$88+'Product and Cost'!$B$31*(0.4863620081*G393+0.4455809638*G393+0.0356254898*G394+0.0324315384))+G400*('Product and Cost'!$D$32*G394*Assumptions!$B$88+'Product and Cost'!$B$32*(0.4863620081*G393+0.4455809638*G393+0.0356254898*G394+0.0324315384))+G401*('Product and Cost'!$D$33*G394*Assumptions!$B$88+'Product and Cost'!$B$33*(0.4863620081*G393+0.4455809638*G393+0.0356254898*G394+0.0324315384))+G402*('Product and Cost'!$D$34*G394*Assumptions!$B$88+'Product and Cost'!$B$34*(0.4863620081*G393+0.4455809638*G393+0.0356254898*G394+0.0324315384))</f>
        <v>68797.1859175</v>
      </c>
    </row>
    <row r="406">
      <c r="A406" s="17" t="inlineStr">
        <is>
          <t>GROSS PROFIT</t>
        </is>
      </c>
      <c r="C406" s="20">
        <f>C404-C405+Forecast!$B$7*C404</f>
        <v>4549.65064286</v>
      </c>
      <c r="D406" s="20">
        <f>D404-D405+Forecast!$B$7*D404</f>
        <v>4784.18493236</v>
      </c>
      <c r="E406" s="20">
        <f>E404-E405+Forecast!$B$7*E404</f>
        <v>4957.23599944</v>
      </c>
      <c r="F406" s="20">
        <f>F404-F405+Forecast!$B$7*F404</f>
        <v>5104.60576669</v>
      </c>
      <c r="G406" s="20">
        <f>G404-G405+Forecast!$B$7*G404</f>
        <v>5180.65726511</v>
      </c>
    </row>
    <row r="407">
      <c r="A407" s="9" t="inlineStr">
        <is>
          <t>Gross margin</t>
        </is>
      </c>
      <c r="C407" s="19">
        <f>C406/C404</f>
        <v>0.0861010750391</v>
      </c>
      <c r="D407" s="19">
        <f>D406/D404</f>
        <v>0.0818758768871</v>
      </c>
      <c r="E407" s="19">
        <f>E406/E404</f>
        <v>0.0777329622672</v>
      </c>
      <c r="F407" s="19">
        <f>F406/F404</f>
        <v>0.0740311015255</v>
      </c>
      <c r="G407" s="19">
        <f>G406/G404</f>
        <v>0.0700298500501</v>
      </c>
    </row>
    <row r="408">
      <c r="A408" s="9" t="inlineStr">
        <is>
          <t>Operating expense</t>
        </is>
      </c>
      <c r="C408" s="18">
        <f>('Base Year'!$B$28*C393)+('Base Year'!$B$29*C393*C403/'Product and Cost'!$E$14)+('Base Year'!$B$30*C393)+('Base Year'!$B$31*C393)</f>
        <v>2007.6668112</v>
      </c>
      <c r="D408" s="18">
        <f>('Base Year'!$B$28*D393)+('Base Year'!$B$29*D393*D403/'Product and Cost'!$E$14)+('Base Year'!$B$30*D393)+('Base Year'!$B$31*D393)</f>
        <v>2276.29775955</v>
      </c>
      <c r="E408" s="18">
        <f>('Base Year'!$B$28*E393)+('Base Year'!$B$29*E393*E403/'Product and Cost'!$E$14)+('Base Year'!$B$30*E393)+('Base Year'!$B$31*E393)</f>
        <v>2545.62118024</v>
      </c>
      <c r="F408" s="18">
        <f>('Base Year'!$B$28*F393)+('Base Year'!$B$29*F393*F403/'Product and Cost'!$E$14)+('Base Year'!$B$30*F393)+('Base Year'!$B$31*F393)</f>
        <v>2807.77881104</v>
      </c>
      <c r="G408" s="18">
        <f>('Base Year'!$B$28*G393)+('Base Year'!$B$29*G393*G403/'Product and Cost'!$E$14)+('Base Year'!$B$30*G393)+('Base Year'!$B$31*G393)</f>
        <v>3082.20998189</v>
      </c>
    </row>
    <row r="409">
      <c r="A409" s="17" t="inlineStr">
        <is>
          <t>EBITDA</t>
        </is>
      </c>
      <c r="C409" s="20">
        <f>C406-C408</f>
        <v>2541.98383166</v>
      </c>
      <c r="D409" s="20">
        <f>D406-D408</f>
        <v>2507.88717281</v>
      </c>
      <c r="E409" s="20">
        <f>E406-E408</f>
        <v>2411.6148192</v>
      </c>
      <c r="F409" s="20">
        <f>F406-F408</f>
        <v>2296.82695565</v>
      </c>
      <c r="G409" s="20">
        <f>G406-G408</f>
        <v>2098.44728323</v>
      </c>
    </row>
    <row r="410">
      <c r="A410" s="9" t="inlineStr">
        <is>
          <t>Capital expenditure — maintenance + growth</t>
        </is>
      </c>
      <c r="C410" s="18">
        <f>'Base Year'!$B$43*C393+MAX(C403-'Product and Cost'!$E$14,0)*1947.901031*C393</f>
        <v>280.931999159</v>
      </c>
      <c r="D410" s="18">
        <f>'Base Year'!$B$43*D393+MAX(D403-C403,0)*1947.901031*D393</f>
        <v>307.3675836</v>
      </c>
      <c r="E410" s="18">
        <f>'Base Year'!$B$43*E393+MAX(E403-D403,0)*1947.901031*E393</f>
        <v>328.639389001</v>
      </c>
      <c r="F410" s="18">
        <f>'Base Year'!$B$43*F393+MAX(F403-E403,0)*1947.901031*F393</f>
        <v>351.146749034</v>
      </c>
      <c r="G410" s="18">
        <f>'Base Year'!$B$43*G393+MAX(G403-F403,0)*1947.901031*G393</f>
        <v>375.372179467</v>
      </c>
    </row>
    <row r="411">
      <c r="A411" s="9" t="inlineStr">
        <is>
          <t>Fixed assets at cost, closing</t>
        </is>
      </c>
      <c r="C411" s="18">
        <f>(Assumptions!$B$70+Assumptions!$B$71)/10^6+C410</f>
        <v>3429.06589416</v>
      </c>
      <c r="D411" s="18">
        <f>C411+D410</f>
        <v>3736.43347776</v>
      </c>
      <c r="E411" s="18">
        <f>D411+E410</f>
        <v>4065.07286676</v>
      </c>
      <c r="F411" s="18">
        <f>E411+F410</f>
        <v>4416.21961579</v>
      </c>
      <c r="G411" s="18">
        <f>F411+G410</f>
        <v>4791.59179526</v>
      </c>
    </row>
    <row r="412">
      <c r="A412" s="9" t="inlineStr">
        <is>
          <t>Depreciation — rolls off the asset register</t>
        </is>
      </c>
      <c r="C412" s="18">
        <f>(Assumptions!$B$70+Assumptions!$B$71)/10^6/'Base Year'!$B$42</f>
        <v>173.808854481</v>
      </c>
      <c r="D412" s="18">
        <f>C411/'Base Year'!$B$42</f>
        <v>189.319144255</v>
      </c>
      <c r="E412" s="18">
        <f>D411/'Base Year'!$B$42</f>
        <v>206.288945856</v>
      </c>
      <c r="F412" s="18">
        <f>E411/'Base Year'!$B$42</f>
        <v>224.433166415</v>
      </c>
      <c r="G412" s="18">
        <f>F411/'Base Year'!$B$42</f>
        <v>243.820021053</v>
      </c>
    </row>
    <row r="413">
      <c r="A413" s="9" t="inlineStr">
        <is>
          <t>Fixed assets, net book, closing</t>
        </is>
      </c>
      <c r="C413" s="18">
        <f>(Assumptions!$B$69+Assumptions!$B$71)/10^6+C410-C412</f>
        <v>1407.46262168</v>
      </c>
      <c r="D413" s="18">
        <f>C413+D410-D412</f>
        <v>1525.51106102</v>
      </c>
      <c r="E413" s="18">
        <f>D413+E410-E412</f>
        <v>1647.86150417</v>
      </c>
      <c r="F413" s="18">
        <f>E413+F410-F412</f>
        <v>1774.57508679</v>
      </c>
      <c r="G413" s="18">
        <f>F413+G410-G412</f>
        <v>1906.1272452</v>
      </c>
    </row>
    <row r="414">
      <c r="A414" s="17" t="inlineStr">
        <is>
          <t>EBIT</t>
        </is>
      </c>
      <c r="C414" s="20">
        <f>C409-C412</f>
        <v>2368.17497718</v>
      </c>
      <c r="D414" s="20">
        <f>D409-D412</f>
        <v>2318.56802856</v>
      </c>
      <c r="E414" s="20">
        <f>E409-E412</f>
        <v>2205.32587334</v>
      </c>
      <c r="F414" s="20">
        <f>F409-F412</f>
        <v>2072.39378923</v>
      </c>
      <c r="G414" s="20">
        <f>G409-G412</f>
        <v>1854.62726217</v>
      </c>
    </row>
    <row r="415">
      <c r="A415" s="9" t="inlineStr">
        <is>
          <t>NOPAT before the profit share</t>
        </is>
      </c>
      <c r="C415" s="18">
        <f>C414*(1-Assumptions!$B$87)</f>
        <v>1835.33560732</v>
      </c>
      <c r="D415" s="18">
        <f>D414*(1-Assumptions!$B$87)</f>
        <v>1796.89022213</v>
      </c>
      <c r="E415" s="18">
        <f>E414*(1-Assumptions!$B$87)</f>
        <v>1709.12755184</v>
      </c>
      <c r="F415" s="18">
        <f>F414*(1-Assumptions!$B$87)</f>
        <v>1606.10518666</v>
      </c>
      <c r="G415" s="18">
        <f>G414*(1-Assumptions!$B$87)</f>
        <v>1437.33612818</v>
      </c>
    </row>
    <row r="416">
      <c r="A416" s="9" t="inlineStr">
        <is>
          <t xml:space="preserve">  less employees' profit share and board bonuses</t>
        </is>
      </c>
      <c r="C416" s="18">
        <f>MAX(C415,0)*'Base Year'!$B$40</f>
        <v>96.7608009272</v>
      </c>
      <c r="D416" s="18">
        <f>MAX(D415,0)*'Base Year'!$B$40</f>
        <v>94.7339202588</v>
      </c>
      <c r="E416" s="18">
        <f>MAX(E415,0)*'Base Year'!$B$40</f>
        <v>90.1069810576</v>
      </c>
      <c r="F416" s="18">
        <f>MAX(F415,0)*'Base Year'!$B$40</f>
        <v>84.6755348801</v>
      </c>
      <c r="G416" s="18">
        <f>MAX(G415,0)*'Base Year'!$B$40</f>
        <v>75.7778546933</v>
      </c>
    </row>
    <row r="417">
      <c r="A417" s="17" t="inlineStr">
        <is>
          <t>NOPAT</t>
        </is>
      </c>
      <c r="C417" s="20">
        <f>C415-C416</f>
        <v>1738.57480639</v>
      </c>
      <c r="D417" s="20">
        <f>D415-D416</f>
        <v>1702.15630187</v>
      </c>
      <c r="E417" s="20">
        <f>E415-E416</f>
        <v>1619.02057078</v>
      </c>
      <c r="F417" s="20">
        <f>F415-F416</f>
        <v>1521.42965178</v>
      </c>
      <c r="G417" s="20">
        <f>G415-G416</f>
        <v>1361.55827349</v>
      </c>
    </row>
    <row r="418">
      <c r="A418" s="9" t="inlineStr">
        <is>
          <t>Net working capital — on days</t>
        </is>
      </c>
      <c r="C418" s="18">
        <f>'Base Year'!$B$44*Forecast!$B$9/365*C405+'Base Year'!$B$45*Forecast!$B$9/365*C404-'Base Year'!$B$46*Forecast!$B$9/365*C405</f>
        <v>2539.69193722</v>
      </c>
      <c r="D418" s="18">
        <f>'Base Year'!$B$44*Forecast!$B$9/365*D405+'Base Year'!$B$45*Forecast!$B$9/365*D404-'Base Year'!$B$46*Forecast!$B$9/365*D405</f>
        <v>2816.01103091</v>
      </c>
      <c r="E418" s="18">
        <f>'Base Year'!$B$44*Forecast!$B$9/365*E405+'Base Year'!$B$45*Forecast!$B$9/365*E404-'Base Year'!$B$46*Forecast!$B$9/365*E405</f>
        <v>3081.49643011</v>
      </c>
      <c r="F418" s="18">
        <f>'Base Year'!$B$44*Forecast!$B$9/365*F405+'Base Year'!$B$45*Forecast!$B$9/365*F404-'Base Year'!$B$46*Forecast!$B$9/365*F405</f>
        <v>3339.61025534</v>
      </c>
      <c r="G418" s="18">
        <f>'Base Year'!$B$44*Forecast!$B$9/365*G405+'Base Year'!$B$45*Forecast!$B$9/365*G404-'Base Year'!$B$46*Forecast!$B$9/365*G405</f>
        <v>3592.11140979</v>
      </c>
    </row>
    <row r="419">
      <c r="A419" s="9" t="inlineStr">
        <is>
          <t xml:space="preserve">  change in working capital</t>
        </is>
      </c>
      <c r="C419" s="18">
        <f>C418-('Base Year'!$B$44/365*'Base Year'!$B$21+'Base Year'!$B$45/365*'Base Year'!$B$19-'Base Year'!$B$46/365*'Base Year'!$B$21)</f>
        <v>288.28964822</v>
      </c>
      <c r="D419" s="18">
        <f>D418-C418</f>
        <v>276.319093691</v>
      </c>
      <c r="E419" s="18">
        <f>E418-D418</f>
        <v>265.485399203</v>
      </c>
      <c r="F419" s="18">
        <f>F418-E418</f>
        <v>258.113825222</v>
      </c>
      <c r="G419" s="18">
        <f>G418-F418</f>
        <v>252.501154457</v>
      </c>
    </row>
    <row r="420">
      <c r="A420" s="17" t="inlineStr">
        <is>
          <t>FREE CASH FLOW TO THE FIRM</t>
        </is>
      </c>
      <c r="C420" s="20">
        <f>C417+C412-C410-C419</f>
        <v>1343.16201349</v>
      </c>
      <c r="D420" s="20">
        <f>D417+D412-D410-D419</f>
        <v>1307.78876884</v>
      </c>
      <c r="E420" s="20">
        <f>E417+E412-E410-E419</f>
        <v>1231.18472844</v>
      </c>
      <c r="F420" s="20">
        <f>F417+F412-F410-F419</f>
        <v>1136.60224393</v>
      </c>
      <c r="G420" s="20">
        <f>G417+G412-G410-G419</f>
        <v>977.504960621</v>
      </c>
    </row>
    <row r="421">
      <c r="A421" s="9" t="inlineStr">
        <is>
          <t>Glide fraction</t>
        </is>
      </c>
      <c r="C421" s="26">
        <f>0.0000000000</f>
        <v>0</v>
      </c>
      <c r="D421" s="26">
        <f>0.3571428571</f>
        <v>0.3571428571</v>
      </c>
      <c r="E421" s="26">
        <f>0.6428571429</f>
        <v>0.6428571429</v>
      </c>
      <c r="F421" s="26">
        <f>0.8571428571</f>
        <v>0.8571428571</v>
      </c>
      <c r="G421" s="26">
        <f>1.0000000000</f>
        <v>1</v>
      </c>
    </row>
    <row r="422">
      <c r="A422" s="9" t="inlineStr">
        <is>
          <t>Forward cost of capital</t>
        </is>
      </c>
      <c r="C422" s="19">
        <f>Forecast!$B$14-(Forecast!$B$14-Forecast!$B$17)*C421</f>
        <v>0.31578338914</v>
      </c>
      <c r="D422" s="19">
        <f>Forecast!$B$14-(Forecast!$B$14-Forecast!$B$17)*D421</f>
        <v>0.268515637955</v>
      </c>
      <c r="E422" s="19">
        <f>Forecast!$B$14-(Forecast!$B$14-Forecast!$B$17)*E421</f>
        <v>0.230701436991</v>
      </c>
      <c r="F422" s="19">
        <f>Forecast!$B$14-(Forecast!$B$14-Forecast!$B$17)*F421</f>
        <v>0.202340786287</v>
      </c>
      <c r="G422" s="19">
        <f>Forecast!$B$14-(Forecast!$B$14-Forecast!$B$17)*G421</f>
        <v>0.183433685805</v>
      </c>
    </row>
    <row r="423">
      <c r="A423" s="9" t="inlineStr">
        <is>
          <t>Cumulative discount factor</t>
        </is>
      </c>
      <c r="C423" s="29">
        <f>1/(1+C422)</f>
        <v>0.760003514449</v>
      </c>
      <c r="D423" s="29">
        <f>C423/(1+D422)</f>
        <v>0.599128218612</v>
      </c>
      <c r="E423" s="29">
        <f>D423/(1+E422)</f>
        <v>0.486818492775</v>
      </c>
      <c r="F423" s="29">
        <f>E423/(1+F422)</f>
        <v>0.404892272081</v>
      </c>
      <c r="G423" s="29">
        <f>F423/(1+G422)</f>
        <v>0.342133468852</v>
      </c>
    </row>
    <row r="424">
      <c r="A424" s="9" t="inlineStr">
        <is>
          <t>Present value</t>
        </is>
      </c>
      <c r="C424" s="18">
        <f>C420*C423</f>
        <v>1020.80785073</v>
      </c>
      <c r="D424" s="18">
        <f>D420*D423</f>
        <v>783.533155394</v>
      </c>
      <c r="E424" s="18">
        <f>E420*E423</f>
        <v>599.363493825</v>
      </c>
      <c r="F424" s="18">
        <f>F420*F423</f>
        <v>460.201464998</v>
      </c>
      <c r="G424" s="18">
        <f>G420*G423</f>
        <v>334.437162997</v>
      </c>
    </row>
    <row r="425">
      <c r="A425" s="17" t="inlineStr">
        <is>
          <t>PV of the explicit window</t>
        </is>
      </c>
      <c r="B425" s="20">
        <f>SUM(C424:G424)</f>
        <v>3198.34312794</v>
      </c>
      <c r="C425" s="18">
        <f>C418+C411</f>
        <v>5968.75783138</v>
      </c>
      <c r="D425" s="18">
        <f>D418+D411</f>
        <v>6552.44450867</v>
      </c>
      <c r="E425" s="18">
        <f>E418+E411</f>
        <v>7146.56929687</v>
      </c>
      <c r="F425" s="18">
        <f>F418+F411</f>
        <v>7755.82987113</v>
      </c>
      <c r="G425" s="18">
        <f>G418+G411</f>
        <v>8383.70320505</v>
      </c>
    </row>
    <row r="426">
      <c r="A426" s="9" t="inlineStr">
        <is>
          <t>Terminal return on invested capital, at REPLACEMENT cost</t>
        </is>
      </c>
      <c r="B426" s="19">
        <f>G417*(1+Assumptions!$B$89)/G425</f>
        <v>0.170525620027</v>
      </c>
    </row>
    <row r="427">
      <c r="A427" s="9" t="inlineStr">
        <is>
          <t>Required reinvestment = growth / return</t>
        </is>
      </c>
      <c r="B427" s="19">
        <f>MIN(Assumptions!$B$89/B426,0.95)</f>
        <v>0.29321107287</v>
      </c>
    </row>
    <row r="428">
      <c r="A428" s="9" t="inlineStr">
        <is>
          <t>Terminal value</t>
        </is>
      </c>
      <c r="B428" s="18">
        <f>G417*(1+Assumptions!$B$89)*(1-B427)/MAX(Forecast!$B$17-Assumptions!$B$89,0.02)</f>
        <v>7572.68317077</v>
      </c>
    </row>
    <row r="429">
      <c r="A429" s="9" t="inlineStr">
        <is>
          <t>PV of the terminal block</t>
        </is>
      </c>
      <c r="B429" s="18">
        <f>B428*G423</f>
        <v>2590.86836173</v>
      </c>
    </row>
    <row r="430">
      <c r="A430" s="17" t="inlineStr">
        <is>
          <t>ENTERPRISE VALUE</t>
        </is>
      </c>
      <c r="B430" s="20">
        <f>B425+B429</f>
        <v>5789.21148967</v>
      </c>
    </row>
    <row r="431">
      <c r="A431" s="9" t="inlineStr">
        <is>
          <t>plus net cash</t>
        </is>
      </c>
      <c r="B431" s="18">
        <f>(Assumptions!$B$79-Assumptions!$B$82-Assumptions!$B$83)/10^6</f>
        <v>2442.544928</v>
      </c>
    </row>
    <row r="432">
      <c r="A432" s="9" t="inlineStr">
        <is>
          <t>Enterprise value including cash</t>
        </is>
      </c>
      <c r="B432" s="18">
        <f>B430+B431</f>
        <v>8231.75641767</v>
      </c>
    </row>
    <row r="433">
      <c r="A433" s="9" t="inlineStr">
        <is>
          <t>less minority — on the WHOLE enterprise, cash included</t>
        </is>
      </c>
      <c r="B433" s="18">
        <f>B432*'Base Year'!$B$41</f>
        <v>268.21073199</v>
      </c>
    </row>
    <row r="434">
      <c r="A434" s="9" t="inlineStr">
        <is>
          <t>less the tax-disputes provision</t>
        </is>
      </c>
      <c r="B434" s="18">
        <f>Assumptions!$B$78/10^6</f>
        <v>921.440353</v>
      </c>
    </row>
    <row r="435">
      <c r="A435" s="9" t="inlineStr">
        <is>
          <t>less dividends payable — declared, out of working capital</t>
        </is>
      </c>
      <c r="B435" s="18">
        <f>Assumptions!$B$77/10^6</f>
        <v>517.25</v>
      </c>
    </row>
    <row r="436">
      <c r="A436" s="9" t="inlineStr">
        <is>
          <t>plus non-operating investments and pledged deposits</t>
        </is>
      </c>
      <c r="B436" s="18">
        <f>(Assumptions!$B$81+Assumptions!$B$80)/10^6</f>
        <v>578.358746</v>
      </c>
    </row>
    <row r="437">
      <c r="A437" s="17" t="inlineStr">
        <is>
          <t>EQUITY ATTRIBUTABLE</t>
        </is>
      </c>
      <c r="B437" s="20">
        <f>B432-B433-B434-B435+B436</f>
        <v>7103.21407868</v>
      </c>
    </row>
    <row r="438">
      <c r="A438" s="17" t="inlineStr">
        <is>
          <t>VALUE PER SHARE, EGP</t>
        </is>
      </c>
      <c r="B438" s="30">
        <f>B437/Assumptions!$B$8</f>
        <v>5.49997218636</v>
      </c>
    </row>
    <row r="441">
      <c r="A441" s="6" t="inlineStr">
        <is>
          <t>Volume growth path, as a multiple of the assumed path — 1.50x</t>
        </is>
      </c>
      <c r="B441" s="6" t="inlineStr">
        <is>
          <t>2026E</t>
        </is>
      </c>
      <c r="C441" s="6" t="inlineStr">
        <is>
          <t>2027E</t>
        </is>
      </c>
      <c r="D441" s="6" t="inlineStr">
        <is>
          <t>2028E</t>
        </is>
      </c>
      <c r="E441" s="6" t="inlineStr">
        <is>
          <t>2029E</t>
        </is>
      </c>
      <c r="F441" s="6" t="inlineStr">
        <is>
          <t>2030E</t>
        </is>
      </c>
    </row>
    <row r="442">
      <c r="A442" s="9" t="inlineStr">
        <is>
          <t>Inflation index, cumulative</t>
        </is>
      </c>
      <c r="C442" s="26">
        <f>Assumptions!$B$146</f>
        <v>1.145</v>
      </c>
      <c r="D442" s="26">
        <f>C442*Assumptions!$B$147</f>
        <v>1.29385</v>
      </c>
      <c r="E442" s="26">
        <f>D442*Assumptions!$B$148</f>
        <v>1.44264275</v>
      </c>
      <c r="F442" s="26">
        <f>E442*Assumptions!$B$149</f>
        <v>1.586907025</v>
      </c>
      <c r="G442" s="26">
        <f>F442*Assumptions!$B$150</f>
        <v>1.73766319237</v>
      </c>
    </row>
    <row r="443">
      <c r="A443" s="9" t="inlineStr">
        <is>
          <t>Realisation index, cumulative</t>
        </is>
      </c>
      <c r="C443" s="26">
        <f>(1+Assumptions!$B$101*Forecast!$B$8)</f>
        <v>1.09</v>
      </c>
      <c r="D443" s="26">
        <f>C443*(1+Assumptions!$B$102*Forecast!$B$8)</f>
        <v>1.17175</v>
      </c>
      <c r="E443" s="26">
        <f>D443*(1+Assumptions!$B$103*Forecast!$B$8)</f>
        <v>1.24791375</v>
      </c>
      <c r="F443" s="26">
        <f>E443*(1+Assumptions!$B$104*Forecast!$B$8)</f>
        <v>1.3202927475</v>
      </c>
      <c r="G443" s="26">
        <f>F443*(1+Assumptions!$B$105*Forecast!$B$8)</f>
        <v>1.38894797037</v>
      </c>
    </row>
    <row r="444">
      <c r="A444" s="9" t="inlineStr">
        <is>
          <t xml:space="preserve">  Volume — Base and special oils, mn t</t>
        </is>
      </c>
      <c r="C444" s="26">
        <f>'Product and Cost'!E6*(1+Assumptions!$B$106*$B$16)</f>
        <v>0.1173587723</v>
      </c>
      <c r="D444" s="26">
        <f>C444*(1+Assumptions!$B$107*$B$16)</f>
        <v>0.124400298638</v>
      </c>
      <c r="E444" s="26">
        <f>D444*(1+Assumptions!$B$108*$B$16)</f>
        <v>0.130931314316</v>
      </c>
      <c r="F444" s="26">
        <f>E444*(1+Assumptions!$B$109*$B$16)</f>
        <v>0.136823223461</v>
      </c>
      <c r="G444" s="26">
        <f>F444*(1+Assumptions!$B$110*$B$16)</f>
        <v>0.142569798846</v>
      </c>
    </row>
    <row r="445">
      <c r="A445" s="9" t="inlineStr">
        <is>
          <t xml:space="preserve">  Volume — Paraffin wax, mn t</t>
        </is>
      </c>
      <c r="C445" s="26">
        <f>'Product and Cost'!E7*(1+Assumptions!$B$111*$B$16)</f>
        <v>0.092320982</v>
      </c>
      <c r="D445" s="26">
        <f>C445*(1+Assumptions!$B$112*$B$16)</f>
        <v>0.099937463015</v>
      </c>
      <c r="E445" s="26">
        <f>D445*(1+Assumptions!$B$113*$B$16)</f>
        <v>0.106683241769</v>
      </c>
      <c r="F445" s="26">
        <f>E445*(1+Assumptions!$B$114*$B$16)</f>
        <v>0.112764186549</v>
      </c>
      <c r="G445" s="26">
        <f>F445*(1+Assumptions!$B$115*$B$16)</f>
        <v>0.118176867504</v>
      </c>
    </row>
    <row r="446">
      <c r="A446" s="9" t="inlineStr">
        <is>
          <t xml:space="preserve">  Volume — Gas oil, mn t</t>
        </is>
      </c>
      <c r="C446" s="26">
        <f>'Product and Cost'!E8*(1+Assumptions!$B$116*$B$16)</f>
        <v>0.35367085486</v>
      </c>
      <c r="D446" s="26">
        <f>C446*(1+Assumptions!$B$117*$B$16)</f>
        <v>0.364280980506</v>
      </c>
      <c r="E446" s="26">
        <f>D446*(1+Assumptions!$B$118*$B$16)</f>
        <v>0.374116566979</v>
      </c>
      <c r="F446" s="26">
        <f>E446*(1+Assumptions!$B$119*$B$16)</f>
        <v>0.383095364587</v>
      </c>
      <c r="G446" s="26">
        <f>F446*(1+Assumptions!$B$120*$B$16)</f>
        <v>0.39171501029</v>
      </c>
    </row>
    <row r="447">
      <c r="A447" s="9" t="inlineStr">
        <is>
          <t xml:space="preserve">  Volume — Naphtha, mn t</t>
        </is>
      </c>
      <c r="C447" s="26">
        <f>'Product and Cost'!E9*(1+Assumptions!$B$121*$B$16)</f>
        <v>0.084726102565</v>
      </c>
      <c r="D447" s="26">
        <f>C447*(1+Assumptions!$B$122*$B$16)</f>
        <v>0.0870137073343</v>
      </c>
      <c r="E447" s="26">
        <f>D447*(1+Assumptions!$B$123*$B$16)</f>
        <v>0.0893630774323</v>
      </c>
      <c r="F447" s="26">
        <f>E447*(1+Assumptions!$B$124*$B$16)</f>
        <v>0.0915077912907</v>
      </c>
      <c r="G447" s="26">
        <f>F447*(1+Assumptions!$B$125*$B$16)</f>
        <v>0.0935667165947</v>
      </c>
    </row>
    <row r="448">
      <c r="A448" s="9" t="inlineStr">
        <is>
          <t xml:space="preserve">  Volume — Liquefied petroleum gas, mn t</t>
        </is>
      </c>
      <c r="C448" s="26">
        <f>'Product and Cost'!E10*(1+Assumptions!$B$126*$B$16)</f>
        <v>0.04925173935</v>
      </c>
      <c r="D448" s="26">
        <f>C448*(1+Assumptions!$B$127*$B$16)</f>
        <v>0.0508770467486</v>
      </c>
      <c r="E448" s="26">
        <f>D448*(1+Assumptions!$B$128*$B$16)</f>
        <v>0.052403358151</v>
      </c>
      <c r="F448" s="26">
        <f>E448*(1+Assumptions!$B$129*$B$16)</f>
        <v>0.0538182488211</v>
      </c>
      <c r="G448" s="26">
        <f>F448*(1+Assumptions!$B$130*$B$16)</f>
        <v>0.0551098867928</v>
      </c>
    </row>
    <row r="449">
      <c r="A449" s="9" t="inlineStr">
        <is>
          <t xml:space="preserve">  Volume — Fuel oil (mix), mn t</t>
        </is>
      </c>
      <c r="C449" s="26">
        <f>'Product and Cost'!E11*(1+Assumptions!$B$131*$B$16)</f>
        <v>0.961721024</v>
      </c>
      <c r="D449" s="26">
        <f>C449*(1+Assumptions!$B$132*$B$16)</f>
        <v>0.999228143936</v>
      </c>
      <c r="E449" s="26">
        <f>D449*(1+Assumptions!$B$133*$B$16)</f>
        <v>1.03220267269</v>
      </c>
      <c r="F449" s="26">
        <f>E449*(1+Assumptions!$B$134*$B$16)</f>
        <v>1.06316875287</v>
      </c>
      <c r="G449" s="26">
        <f>F449*(1+Assumptions!$B$135*$B$16)</f>
        <v>1.09187430919</v>
      </c>
    </row>
    <row r="450">
      <c r="A450" s="9" t="inlineStr">
        <is>
          <t xml:space="preserve">  Volume — Heavy fuel oil, mn t</t>
        </is>
      </c>
      <c r="C450" s="26">
        <f>'Product and Cost'!E12*(1+Assumptions!$B$136*$B$16)</f>
        <v>0.0295146912</v>
      </c>
      <c r="D450" s="26">
        <f>C450*(1+Assumptions!$B$137*$B$16)</f>
        <v>0.0303115878624</v>
      </c>
      <c r="E450" s="26">
        <f>D450*(1+Assumptions!$B$138*$B$16)</f>
        <v>0.0310390659711</v>
      </c>
      <c r="F450" s="26">
        <f>E450*(1+Assumptions!$B$139*$B$16)</f>
        <v>0.0317374449554</v>
      </c>
      <c r="G450" s="26">
        <f>F450*(1+Assumptions!$B$140*$B$16)</f>
        <v>0.0324039312995</v>
      </c>
    </row>
    <row r="451">
      <c r="A451" s="9" t="inlineStr">
        <is>
          <t xml:space="preserve">  Volume — Waste, mn t</t>
        </is>
      </c>
      <c r="C451" s="26">
        <f>'Product and Cost'!E13*(1+Assumptions!$B$141*$B$16)</f>
        <v>1.564e-05</v>
      </c>
      <c r="D451" s="26">
        <f>C451*(1+Assumptions!$B$142*$B$16)</f>
        <v>1.564e-05</v>
      </c>
      <c r="E451" s="26">
        <f>D451*(1+Assumptions!$B$143*$B$16)</f>
        <v>1.564e-05</v>
      </c>
      <c r="F451" s="26">
        <f>E451*(1+Assumptions!$B$144*$B$16)</f>
        <v>1.564e-05</v>
      </c>
      <c r="G451" s="26">
        <f>F451*(1+Assumptions!$B$145*$B$16)</f>
        <v>1.564e-05</v>
      </c>
    </row>
    <row r="452">
      <c r="A452" s="17" t="inlineStr">
        <is>
          <t>Total volume, mn t</t>
        </is>
      </c>
      <c r="C452" s="28">
        <f>SUM(C444:C451)</f>
        <v>1.68857980627</v>
      </c>
      <c r="D452" s="28">
        <f>SUM(D444:D451)</f>
        <v>1.75606486804</v>
      </c>
      <c r="E452" s="28">
        <f>SUM(E444:E451)</f>
        <v>1.8167549373</v>
      </c>
      <c r="F452" s="28">
        <f>SUM(F444:F451)</f>
        <v>1.87293065253</v>
      </c>
      <c r="G452" s="28">
        <f>SUM(G444:G451)</f>
        <v>1.92543216052</v>
      </c>
    </row>
    <row r="453">
      <c r="A453" s="17" t="inlineStr">
        <is>
          <t>REVENUE</t>
        </is>
      </c>
      <c r="C453" s="20">
        <f>C444*'Product and Cost'!$F$6*C443+C445*'Product and Cost'!$F$7*C443+C446*'Product and Cost'!$F$8*C443+C447*'Product and Cost'!$F$9*C443+C448*'Product and Cost'!$F$10*C443+C449*'Product and Cost'!$F$11*C443+C450*'Product and Cost'!$F$12*C443+C451*'Product and Cost'!$F$13*C443</f>
        <v>53668.7111036</v>
      </c>
      <c r="D453" s="20">
        <f>D444*'Product and Cost'!$F$6*D443+D445*'Product and Cost'!$F$7*D443+D446*'Product and Cost'!$F$8*D443+D447*'Product and Cost'!$F$9*D443+D448*'Product and Cost'!$F$10*D443+D449*'Product and Cost'!$F$11*D443+D450*'Product and Cost'!$F$12*D443+D451*'Product and Cost'!$F$13*D443</f>
        <v>60180.8373627</v>
      </c>
      <c r="E453" s="20">
        <f>E444*'Product and Cost'!$F$6*E443+E445*'Product and Cost'!$F$7*E443+E446*'Product and Cost'!$F$8*E443+E447*'Product and Cost'!$F$9*E443+E448*'Product and Cost'!$F$10*E443+E449*'Product and Cost'!$F$11*E443+E450*'Product and Cost'!$F$12*E443+E451*'Product and Cost'!$F$13*E443</f>
        <v>66485.0914612</v>
      </c>
      <c r="F453" s="20">
        <f>F444*'Product and Cost'!$F$6*F443+F445*'Product and Cost'!$F$7*F443+F446*'Product and Cost'!$F$8*F443+F447*'Product and Cost'!$F$9*F443+F448*'Product and Cost'!$F$10*F443+F449*'Product and Cost'!$F$11*F443+F450*'Product and Cost'!$F$12*F443+F451*'Product and Cost'!$F$13*F443</f>
        <v>72668.4944332</v>
      </c>
      <c r="G453" s="20">
        <f>G444*'Product and Cost'!$F$6*G443+G445*'Product and Cost'!$F$7*G443+G446*'Product and Cost'!$F$8*G443+G447*'Product and Cost'!$F$9*G443+G448*'Product and Cost'!$F$10*G443+G449*'Product and Cost'!$F$11*G443+G450*'Product and Cost'!$F$12*G443+G451*'Product and Cost'!$F$13*G443</f>
        <v>78736.5985257</v>
      </c>
    </row>
    <row r="454">
      <c r="A454" s="9" t="inlineStr">
        <is>
          <t>Cost of sales</t>
        </is>
      </c>
      <c r="C454" s="18">
        <f>C444*('Product and Cost'!$D$27*C443*Assumptions!$B$88+'Product and Cost'!$B$27*(0.4863620081*C442+0.4455809638*C442+0.0356254898*C443+0.0324315384))+C445*('Product and Cost'!$D$28*C443*Assumptions!$B$88+'Product and Cost'!$B$28*(0.4863620081*C442+0.4455809638*C442+0.0356254898*C443+0.0324315384))+C446*('Product and Cost'!$D$29*C443*Assumptions!$B$88+'Product and Cost'!$B$29*(0.4863620081*C442+0.4455809638*C442+0.0356254898*C443+0.0324315384))+C447*('Product and Cost'!$D$30*C443*Assumptions!$B$88+'Product and Cost'!$B$30*(0.4863620081*C442+0.4455809638*C442+0.0356254898*C443+0.0324315384))+C448*('Product and Cost'!$D$31*C443*Assumptions!$B$88+'Product and Cost'!$B$31*(0.4863620081*C442+0.4455809638*C442+0.0356254898*C443+0.0324315384))+C449*('Product and Cost'!$D$32*C443*Assumptions!$B$88+'Product and Cost'!$B$32*(0.4863620081*C442+0.4455809638*C442+0.0356254898*C443+0.0324315384))+C450*('Product and Cost'!$D$33*C443*Assumptions!$B$88+'Product and Cost'!$B$33*(0.4863620081*C442+0.4455809638*C442+0.0356254898*C443+0.0324315384))+C451*('Product and Cost'!$D$34*C443*Assumptions!$B$88+'Product and Cost'!$B$34*(0.4863620081*C442+0.4455809638*C442+0.0356254898*C443+0.0324315384))</f>
        <v>49050.6509894</v>
      </c>
      <c r="D454" s="18">
        <f>D444*('Product and Cost'!$D$27*D443*Assumptions!$B$88+'Product and Cost'!$B$27*(0.4863620081*D442+0.4455809638*D442+0.0356254898*D443+0.0324315384))+D445*('Product and Cost'!$D$28*D443*Assumptions!$B$88+'Product and Cost'!$B$28*(0.4863620081*D442+0.4455809638*D442+0.0356254898*D443+0.0324315384))+D446*('Product and Cost'!$D$29*D443*Assumptions!$B$88+'Product and Cost'!$B$29*(0.4863620081*D442+0.4455809638*D442+0.0356254898*D443+0.0324315384))+D447*('Product and Cost'!$D$30*D443*Assumptions!$B$88+'Product and Cost'!$B$30*(0.4863620081*D442+0.4455809638*D442+0.0356254898*D443+0.0324315384))+D448*('Product and Cost'!$D$31*D443*Assumptions!$B$88+'Product and Cost'!$B$31*(0.4863620081*D442+0.4455809638*D442+0.0356254898*D443+0.0324315384))+D449*('Product and Cost'!$D$32*D443*Assumptions!$B$88+'Product and Cost'!$B$32*(0.4863620081*D442+0.4455809638*D442+0.0356254898*D443+0.0324315384))+D450*('Product and Cost'!$D$33*D443*Assumptions!$B$88+'Product and Cost'!$B$33*(0.4863620081*D442+0.4455809638*D442+0.0356254898*D443+0.0324315384))+D451*('Product and Cost'!$D$34*D443*Assumptions!$B$88+'Product and Cost'!$B$34*(0.4863620081*D442+0.4455809638*D442+0.0356254898*D443+0.0324315384))</f>
        <v>55261.3843354</v>
      </c>
      <c r="E454" s="18">
        <f>E444*('Product and Cost'!$D$27*E443*Assumptions!$B$88+'Product and Cost'!$B$27*(0.4863620081*E442+0.4455809638*E442+0.0356254898*E443+0.0324315384))+E445*('Product and Cost'!$D$28*E443*Assumptions!$B$88+'Product and Cost'!$B$28*(0.4863620081*E442+0.4455809638*E442+0.0356254898*E443+0.0324315384))+E446*('Product and Cost'!$D$29*E443*Assumptions!$B$88+'Product and Cost'!$B$29*(0.4863620081*E442+0.4455809638*E442+0.0356254898*E443+0.0324315384))+E447*('Product and Cost'!$D$30*E443*Assumptions!$B$88+'Product and Cost'!$B$30*(0.4863620081*E442+0.4455809638*E442+0.0356254898*E443+0.0324315384))+E448*('Product and Cost'!$D$31*E443*Assumptions!$B$88+'Product and Cost'!$B$31*(0.4863620081*E442+0.4455809638*E442+0.0356254898*E443+0.0324315384))+E449*('Product and Cost'!$D$32*E443*Assumptions!$B$88+'Product and Cost'!$B$32*(0.4863620081*E442+0.4455809638*E442+0.0356254898*E443+0.0324315384))+E450*('Product and Cost'!$D$33*E443*Assumptions!$B$88+'Product and Cost'!$B$33*(0.4863620081*E442+0.4455809638*E442+0.0356254898*E443+0.0324315384))+E451*('Product and Cost'!$D$34*E443*Assumptions!$B$88+'Product and Cost'!$B$34*(0.4863620081*E442+0.4455809638*E442+0.0356254898*E443+0.0324315384))</f>
        <v>61332.189293</v>
      </c>
      <c r="F454" s="18">
        <f>F444*('Product and Cost'!$D$27*F443*Assumptions!$B$88+'Product and Cost'!$B$27*(0.4863620081*F442+0.4455809638*F442+0.0356254898*F443+0.0324315384))+F445*('Product and Cost'!$D$28*F443*Assumptions!$B$88+'Product and Cost'!$B$28*(0.4863620081*F442+0.4455809638*F442+0.0356254898*F443+0.0324315384))+F446*('Product and Cost'!$D$29*F443*Assumptions!$B$88+'Product and Cost'!$B$29*(0.4863620081*F442+0.4455809638*F442+0.0356254898*F443+0.0324315384))+F447*('Product and Cost'!$D$30*F443*Assumptions!$B$88+'Product and Cost'!$B$30*(0.4863620081*F442+0.4455809638*F442+0.0356254898*F443+0.0324315384))+F448*('Product and Cost'!$D$31*F443*Assumptions!$B$88+'Product and Cost'!$B$31*(0.4863620081*F442+0.4455809638*F442+0.0356254898*F443+0.0324315384))+F449*('Product and Cost'!$D$32*F443*Assumptions!$B$88+'Product and Cost'!$B$32*(0.4863620081*F442+0.4455809638*F442+0.0356254898*F443+0.0324315384))+F450*('Product and Cost'!$D$33*F443*Assumptions!$B$88+'Product and Cost'!$B$33*(0.4863620081*F442+0.4455809638*F442+0.0356254898*F443+0.0324315384))+F451*('Product and Cost'!$D$34*F443*Assumptions!$B$88+'Product and Cost'!$B$34*(0.4863620081*F442+0.4455809638*F442+0.0356254898*F443+0.0324315384))</f>
        <v>67312.7427128</v>
      </c>
      <c r="G454" s="18">
        <f>G444*('Product and Cost'!$D$27*G443*Assumptions!$B$88+'Product and Cost'!$B$27*(0.4863620081*G442+0.4455809638*G442+0.0356254898*G443+0.0324315384))+G445*('Product and Cost'!$D$28*G443*Assumptions!$B$88+'Product and Cost'!$B$28*(0.4863620081*G442+0.4455809638*G442+0.0356254898*G443+0.0324315384))+G446*('Product and Cost'!$D$29*G443*Assumptions!$B$88+'Product and Cost'!$B$29*(0.4863620081*G442+0.4455809638*G442+0.0356254898*G443+0.0324315384))+G447*('Product and Cost'!$D$30*G443*Assumptions!$B$88+'Product and Cost'!$B$30*(0.4863620081*G442+0.4455809638*G442+0.0356254898*G443+0.0324315384))+G448*('Product and Cost'!$D$31*G443*Assumptions!$B$88+'Product and Cost'!$B$31*(0.4863620081*G442+0.4455809638*G442+0.0356254898*G443+0.0324315384))+G449*('Product and Cost'!$D$32*G443*Assumptions!$B$88+'Product and Cost'!$B$32*(0.4863620081*G442+0.4455809638*G442+0.0356254898*G443+0.0324315384))+G450*('Product and Cost'!$D$33*G443*Assumptions!$B$88+'Product and Cost'!$B$33*(0.4863620081*G442+0.4455809638*G442+0.0356254898*G443+0.0324315384))+G451*('Product and Cost'!$D$34*G443*Assumptions!$B$88+'Product and Cost'!$B$34*(0.4863620081*G442+0.4455809638*G442+0.0356254898*G443+0.0324315384))</f>
        <v>73257.7734775</v>
      </c>
    </row>
    <row r="455">
      <c r="A455" s="17" t="inlineStr">
        <is>
          <t>GROSS PROFIT</t>
        </is>
      </c>
      <c r="C455" s="20">
        <f>C453-C454+Forecast!$B$7*C453</f>
        <v>4618.06011413</v>
      </c>
      <c r="D455" s="20">
        <f>D453-D454+Forecast!$B$7*D453</f>
        <v>4919.45302724</v>
      </c>
      <c r="E455" s="20">
        <f>E453-E454+Forecast!$B$7*E453</f>
        <v>5152.9021682</v>
      </c>
      <c r="F455" s="20">
        <f>F453-F454+Forecast!$B$7*F453</f>
        <v>5355.75172036</v>
      </c>
      <c r="G455" s="20">
        <f>G453-G454+Forecast!$B$7*G453</f>
        <v>5478.82504819</v>
      </c>
    </row>
    <row r="456">
      <c r="A456" s="9" t="inlineStr">
        <is>
          <t>Gross margin</t>
        </is>
      </c>
      <c r="C456" s="19">
        <f>C455/C453</f>
        <v>0.086047531591</v>
      </c>
      <c r="D456" s="19">
        <f>D455/D453</f>
        <v>0.0817445094291</v>
      </c>
      <c r="E456" s="19">
        <f>E455/E453</f>
        <v>0.0775046262997</v>
      </c>
      <c r="F456" s="19">
        <f>F455/F453</f>
        <v>0.0737011515394</v>
      </c>
      <c r="G456" s="19">
        <f>G455/G453</f>
        <v>0.0695842232301</v>
      </c>
    </row>
    <row r="457">
      <c r="A457" s="9" t="inlineStr">
        <is>
          <t>Operating expense</t>
        </is>
      </c>
      <c r="C457" s="18">
        <f>('Base Year'!$B$28*C442)+('Base Year'!$B$29*C442*C452/'Product and Cost'!$E$14)+('Base Year'!$B$30*C442)+('Base Year'!$B$31*C442)</f>
        <v>2011.35013182</v>
      </c>
      <c r="D457" s="18">
        <f>('Base Year'!$B$28*D442)+('Base Year'!$B$29*D442*D452/'Product and Cost'!$E$14)+('Base Year'!$B$30*D442)+('Base Year'!$B$31*D442)</f>
        <v>2284.46243702</v>
      </c>
      <c r="E457" s="18">
        <f>('Base Year'!$B$28*E442)+('Base Year'!$B$29*E442*E452/'Product and Cost'!$E$14)+('Base Year'!$B$30*E442)+('Base Year'!$B$31*E442)</f>
        <v>2558.84419641</v>
      </c>
      <c r="F457" s="18">
        <f>('Base Year'!$B$28*F442)+('Base Year'!$B$29*F442*F452/'Product and Cost'!$E$14)+('Base Year'!$B$30*F442)+('Base Year'!$B$31*F442)</f>
        <v>2826.60930535</v>
      </c>
      <c r="G457" s="18">
        <f>('Base Year'!$B$28*G442)+('Base Year'!$B$29*G442*G452/'Product and Cost'!$E$14)+('Base Year'!$B$30*G442)+('Base Year'!$B$31*G442)</f>
        <v>3107.29565928</v>
      </c>
    </row>
    <row r="458">
      <c r="A458" s="17" t="inlineStr">
        <is>
          <t>EBITDA</t>
        </is>
      </c>
      <c r="C458" s="20">
        <f>C455-C457</f>
        <v>2606.70998232</v>
      </c>
      <c r="D458" s="20">
        <f>D455-D457</f>
        <v>2634.99059022</v>
      </c>
      <c r="E458" s="20">
        <f>E455-E457</f>
        <v>2594.05797179</v>
      </c>
      <c r="F458" s="20">
        <f>F455-F457</f>
        <v>2529.14241501</v>
      </c>
      <c r="G458" s="20">
        <f>G455-G457</f>
        <v>2371.52938891</v>
      </c>
    </row>
    <row r="459">
      <c r="A459" s="9" t="inlineStr">
        <is>
          <t>Capital expenditure — maintenance + growth</t>
        </is>
      </c>
      <c r="C459" s="18">
        <f>'Base Year'!$B$43*C442+MAX(C452-'Product and Cost'!$E$14,0)*1947.901031*C442</f>
        <v>334.767017641</v>
      </c>
      <c r="D459" s="18">
        <f>'Base Year'!$B$43*D442+MAX(D452-C452,0)*1947.901031*D442</f>
        <v>365.868061625</v>
      </c>
      <c r="E459" s="18">
        <f>'Base Year'!$B$43*E442+MAX(E452-D452,0)*1947.901031*E442</f>
        <v>388.848108373</v>
      </c>
      <c r="F459" s="18">
        <f>'Base Year'!$B$43*F442+MAX(F452-E452,0)*1947.901031*F442</f>
        <v>413.778428662</v>
      </c>
      <c r="G459" s="18">
        <f>'Base Year'!$B$43*G442+MAX(G452-F452,0)*1947.901031*G442</f>
        <v>440.650937709</v>
      </c>
    </row>
    <row r="460">
      <c r="A460" s="9" t="inlineStr">
        <is>
          <t>Fixed assets at cost, closing</t>
        </is>
      </c>
      <c r="C460" s="18">
        <f>(Assumptions!$B$70+Assumptions!$B$71)/10^6+C459</f>
        <v>3482.90091264</v>
      </c>
      <c r="D460" s="18">
        <f>C460+D459</f>
        <v>3848.76897427</v>
      </c>
      <c r="E460" s="18">
        <f>D460+E459</f>
        <v>4237.61708264</v>
      </c>
      <c r="F460" s="18">
        <f>E460+F459</f>
        <v>4651.3955113</v>
      </c>
      <c r="G460" s="18">
        <f>F460+G459</f>
        <v>5092.04644901</v>
      </c>
    </row>
    <row r="461">
      <c r="A461" s="9" t="inlineStr">
        <is>
          <t>Depreciation — rolls off the asset register</t>
        </is>
      </c>
      <c r="C461" s="18">
        <f>(Assumptions!$B$70+Assumptions!$B$71)/10^6/'Base Year'!$B$42</f>
        <v>173.808854481</v>
      </c>
      <c r="D461" s="18">
        <f>C460/'Base Year'!$B$42</f>
        <v>192.291382161</v>
      </c>
      <c r="E461" s="18">
        <f>D460/'Base Year'!$B$42</f>
        <v>212.491002254</v>
      </c>
      <c r="F461" s="18">
        <f>E460/'Base Year'!$B$42</f>
        <v>233.959353518</v>
      </c>
      <c r="G461" s="18">
        <f>F460/'Base Year'!$B$42</f>
        <v>256.804110791</v>
      </c>
    </row>
    <row r="462">
      <c r="A462" s="9" t="inlineStr">
        <is>
          <t>Fixed assets, net book, closing</t>
        </is>
      </c>
      <c r="C462" s="18">
        <f>(Assumptions!$B$69+Assumptions!$B$71)/10^6+C459-C461</f>
        <v>1461.29764016</v>
      </c>
      <c r="D462" s="18">
        <f>C462+D459-D461</f>
        <v>1634.87431962</v>
      </c>
      <c r="E462" s="18">
        <f>D462+E459-E461</f>
        <v>1811.23142574</v>
      </c>
      <c r="F462" s="18">
        <f>E462+F459-F461</f>
        <v>1991.05050089</v>
      </c>
      <c r="G462" s="18">
        <f>F462+G459-G461</f>
        <v>2174.89732781</v>
      </c>
    </row>
    <row r="463">
      <c r="A463" s="17" t="inlineStr">
        <is>
          <t>EBIT</t>
        </is>
      </c>
      <c r="C463" s="20">
        <f>C458-C461</f>
        <v>2432.90112784</v>
      </c>
      <c r="D463" s="20">
        <f>D458-D461</f>
        <v>2442.69920806</v>
      </c>
      <c r="E463" s="20">
        <f>E458-E461</f>
        <v>2381.56696953</v>
      </c>
      <c r="F463" s="20">
        <f>F458-F461</f>
        <v>2295.1830615</v>
      </c>
      <c r="G463" s="20">
        <f>G458-G461</f>
        <v>2114.72527812</v>
      </c>
    </row>
    <row r="464">
      <c r="A464" s="9" t="inlineStr">
        <is>
          <t>NOPAT before the profit share</t>
        </is>
      </c>
      <c r="C464" s="18">
        <f>C463*(1-Assumptions!$B$87)</f>
        <v>1885.49837407</v>
      </c>
      <c r="D464" s="18">
        <f>D463*(1-Assumptions!$B$87)</f>
        <v>1893.09188625</v>
      </c>
      <c r="E464" s="18">
        <f>E463*(1-Assumptions!$B$87)</f>
        <v>1845.71440139</v>
      </c>
      <c r="F464" s="18">
        <f>F463*(1-Assumptions!$B$87)</f>
        <v>1778.76687266</v>
      </c>
      <c r="G464" s="18">
        <f>G463*(1-Assumptions!$B$87)</f>
        <v>1638.91209055</v>
      </c>
    </row>
    <row r="465">
      <c r="A465" s="9" t="inlineStr">
        <is>
          <t xml:space="preserve">  less employees' profit share and board bonuses</t>
        </is>
      </c>
      <c r="C465" s="18">
        <f>MAX(C464,0)*'Base Year'!$B$40</f>
        <v>99.4054341315</v>
      </c>
      <c r="D465" s="18">
        <f>MAX(D464,0)*'Base Year'!$B$40</f>
        <v>99.8057719862</v>
      </c>
      <c r="E465" s="18">
        <f>MAX(E464,0)*'Base Year'!$B$40</f>
        <v>97.3079817387</v>
      </c>
      <c r="F465" s="18">
        <f>MAX(F464,0)*'Base Year'!$B$40</f>
        <v>93.7784384366</v>
      </c>
      <c r="G465" s="18">
        <f>MAX(G464,0)*'Base Year'!$B$40</f>
        <v>86.4051489538</v>
      </c>
    </row>
    <row r="466">
      <c r="A466" s="17" t="inlineStr">
        <is>
          <t>NOPAT</t>
        </is>
      </c>
      <c r="C466" s="20">
        <f>C464-C465</f>
        <v>1786.09293994</v>
      </c>
      <c r="D466" s="20">
        <f>D464-D465</f>
        <v>1793.28611426</v>
      </c>
      <c r="E466" s="20">
        <f>E464-E465</f>
        <v>1748.40641965</v>
      </c>
      <c r="F466" s="20">
        <f>F464-F465</f>
        <v>1684.98843422</v>
      </c>
      <c r="G466" s="20">
        <f>G464-G465</f>
        <v>1552.50694159</v>
      </c>
    </row>
    <row r="467">
      <c r="A467" s="9" t="inlineStr">
        <is>
          <t>Net working capital — on days</t>
        </is>
      </c>
      <c r="C467" s="18">
        <f>'Base Year'!$B$44*Forecast!$B$9/365*C454+'Base Year'!$B$45*Forecast!$B$9/365*C453-'Base Year'!$B$46*Forecast!$B$9/365*C454</f>
        <v>2579.57159914</v>
      </c>
      <c r="D467" s="18">
        <f>'Base Year'!$B$44*Forecast!$B$9/365*D454+'Base Year'!$B$45*Forecast!$B$9/365*D453-'Base Year'!$B$46*Forecast!$B$9/365*D454</f>
        <v>2900.52714613</v>
      </c>
      <c r="E467" s="18">
        <f>'Base Year'!$B$44*Forecast!$B$9/365*E454+'Base Year'!$B$45*Forecast!$B$9/365*E453-'Base Year'!$B$46*Forecast!$B$9/365*E454</f>
        <v>3213.02850157</v>
      </c>
      <c r="F467" s="18">
        <f>'Base Year'!$B$44*Forecast!$B$9/365*F454+'Base Year'!$B$45*Forecast!$B$9/365*F453-'Base Year'!$B$46*Forecast!$B$9/365*F454</f>
        <v>3520.34149436</v>
      </c>
      <c r="G467" s="18">
        <f>'Base Year'!$B$44*Forecast!$B$9/365*G454+'Base Year'!$B$45*Forecast!$B$9/365*G453-'Base Year'!$B$46*Forecast!$B$9/365*G454</f>
        <v>3824.25775787</v>
      </c>
    </row>
    <row r="468">
      <c r="A468" s="9" t="inlineStr">
        <is>
          <t xml:space="preserve">  change in working capital</t>
        </is>
      </c>
      <c r="C468" s="18">
        <f>C467-('Base Year'!$B$44/365*'Base Year'!$B$21+'Base Year'!$B$45/365*'Base Year'!$B$19-'Base Year'!$B$46/365*'Base Year'!$B$21)</f>
        <v>328.169310136</v>
      </c>
      <c r="D468" s="18">
        <f>D467-C467</f>
        <v>320.95554699</v>
      </c>
      <c r="E468" s="18">
        <f>E467-D467</f>
        <v>312.501355441</v>
      </c>
      <c r="F468" s="18">
        <f>F467-E467</f>
        <v>307.312992792</v>
      </c>
      <c r="G468" s="18">
        <f>G467-F467</f>
        <v>303.916263506</v>
      </c>
    </row>
    <row r="469">
      <c r="A469" s="17" t="inlineStr">
        <is>
          <t>FREE CASH FLOW TO THE FIRM</t>
        </is>
      </c>
      <c r="C469" s="20">
        <f>C466+C461-C459-C468</f>
        <v>1296.96546665</v>
      </c>
      <c r="D469" s="20">
        <f>D466+D461-D459-D468</f>
        <v>1298.75388781</v>
      </c>
      <c r="E469" s="20">
        <f>E466+E461-E459-E468</f>
        <v>1259.54795809</v>
      </c>
      <c r="F469" s="20">
        <f>F466+F461-F459-F468</f>
        <v>1197.85636629</v>
      </c>
      <c r="G469" s="20">
        <f>G466+G461-G459-G468</f>
        <v>1064.74385117</v>
      </c>
    </row>
    <row r="470">
      <c r="A470" s="9" t="inlineStr">
        <is>
          <t>Glide fraction</t>
        </is>
      </c>
      <c r="C470" s="26">
        <f>0.0000000000</f>
        <v>0</v>
      </c>
      <c r="D470" s="26">
        <f>0.3571428571</f>
        <v>0.3571428571</v>
      </c>
      <c r="E470" s="26">
        <f>0.6428571429</f>
        <v>0.6428571429</v>
      </c>
      <c r="F470" s="26">
        <f>0.8571428571</f>
        <v>0.8571428571</v>
      </c>
      <c r="G470" s="26">
        <f>1.0000000000</f>
        <v>1</v>
      </c>
    </row>
    <row r="471">
      <c r="A471" s="9" t="inlineStr">
        <is>
          <t>Forward cost of capital</t>
        </is>
      </c>
      <c r="C471" s="19">
        <f>Forecast!$B$14-(Forecast!$B$14-Forecast!$B$17)*C470</f>
        <v>0.31578338914</v>
      </c>
      <c r="D471" s="19">
        <f>Forecast!$B$14-(Forecast!$B$14-Forecast!$B$17)*D470</f>
        <v>0.268515637955</v>
      </c>
      <c r="E471" s="19">
        <f>Forecast!$B$14-(Forecast!$B$14-Forecast!$B$17)*E470</f>
        <v>0.230701436991</v>
      </c>
      <c r="F471" s="19">
        <f>Forecast!$B$14-(Forecast!$B$14-Forecast!$B$17)*F470</f>
        <v>0.202340786287</v>
      </c>
      <c r="G471" s="19">
        <f>Forecast!$B$14-(Forecast!$B$14-Forecast!$B$17)*G470</f>
        <v>0.183433685805</v>
      </c>
    </row>
    <row r="472">
      <c r="A472" s="9" t="inlineStr">
        <is>
          <t>Cumulative discount factor</t>
        </is>
      </c>
      <c r="C472" s="29">
        <f>1/(1+C471)</f>
        <v>0.760003514449</v>
      </c>
      <c r="D472" s="29">
        <f>C472/(1+D471)</f>
        <v>0.599128218612</v>
      </c>
      <c r="E472" s="29">
        <f>D472/(1+E471)</f>
        <v>0.486818492775</v>
      </c>
      <c r="F472" s="29">
        <f>E472/(1+F471)</f>
        <v>0.404892272081</v>
      </c>
      <c r="G472" s="29">
        <f>F472/(1+G471)</f>
        <v>0.342133468852</v>
      </c>
    </row>
    <row r="473">
      <c r="A473" s="9" t="inlineStr">
        <is>
          <t>Present value</t>
        </is>
      </c>
      <c r="C473" s="18">
        <f>C469*C472</f>
        <v>985.69831277</v>
      </c>
      <c r="D473" s="18">
        <f>D469*D472</f>
        <v>778.120103216</v>
      </c>
      <c r="E473" s="18">
        <f>E469*E472</f>
        <v>613.171238535</v>
      </c>
      <c r="F473" s="18">
        <f>F469*F472</f>
        <v>485.002785772</v>
      </c>
      <c r="G473" s="18">
        <f>G469*G472</f>
        <v>364.284507238</v>
      </c>
    </row>
    <row r="474">
      <c r="A474" s="17" t="inlineStr">
        <is>
          <t>PV of the explicit window</t>
        </is>
      </c>
      <c r="B474" s="20">
        <f>SUM(C473:G473)</f>
        <v>3226.27694753</v>
      </c>
      <c r="C474" s="18">
        <f>C467+C460</f>
        <v>6062.47251178</v>
      </c>
      <c r="D474" s="18">
        <f>D467+D460</f>
        <v>6749.29612039</v>
      </c>
      <c r="E474" s="18">
        <f>E467+E460</f>
        <v>7450.64558421</v>
      </c>
      <c r="F474" s="18">
        <f>F467+F460</f>
        <v>8171.73700566</v>
      </c>
      <c r="G474" s="18">
        <f>G467+G460</f>
        <v>8916.30420688</v>
      </c>
    </row>
    <row r="475">
      <c r="A475" s="9" t="inlineStr">
        <is>
          <t>Terminal return on invested capital, at REPLACEMENT cost</t>
        </is>
      </c>
      <c r="B475" s="19">
        <f>G466*(1+Assumptions!$B$89)/G474</f>
        <v>0.182826006252</v>
      </c>
    </row>
    <row r="476">
      <c r="A476" s="9" t="inlineStr">
        <is>
          <t>Required reinvestment = growth / return</t>
        </is>
      </c>
      <c r="B476" s="19">
        <f>MIN(Assumptions!$B$89/B475,0.95)</f>
        <v>0.273484068405</v>
      </c>
    </row>
    <row r="477">
      <c r="A477" s="9" t="inlineStr">
        <is>
          <t>Terminal value</t>
        </is>
      </c>
      <c r="B477" s="18">
        <f>G466*(1+Assumptions!$B$89)*(1-B476)/MAX(Forecast!$B$17-Assumptions!$B$89,0.02)</f>
        <v>8875.6978508</v>
      </c>
    </row>
    <row r="478">
      <c r="A478" s="9" t="inlineStr">
        <is>
          <t>PV of the terminal block</t>
        </is>
      </c>
      <c r="B478" s="18">
        <f>B477*G472</f>
        <v>3036.67329417</v>
      </c>
    </row>
    <row r="479">
      <c r="A479" s="17" t="inlineStr">
        <is>
          <t>ENTERPRISE VALUE</t>
        </is>
      </c>
      <c r="B479" s="20">
        <f>B474+B478</f>
        <v>6262.95024171</v>
      </c>
    </row>
    <row r="480">
      <c r="A480" s="9" t="inlineStr">
        <is>
          <t>plus net cash</t>
        </is>
      </c>
      <c r="B480" s="18">
        <f>(Assumptions!$B$79-Assumptions!$B$82-Assumptions!$B$83)/10^6</f>
        <v>2442.544928</v>
      </c>
    </row>
    <row r="481">
      <c r="A481" s="9" t="inlineStr">
        <is>
          <t>Enterprise value including cash</t>
        </is>
      </c>
      <c r="B481" s="18">
        <f>B479+B480</f>
        <v>8705.49516971</v>
      </c>
    </row>
    <row r="482">
      <c r="A482" s="9" t="inlineStr">
        <is>
          <t>less minority — on the WHOLE enterprise, cash included</t>
        </is>
      </c>
      <c r="B482" s="18">
        <f>B481*'Base Year'!$B$41</f>
        <v>283.646297744</v>
      </c>
    </row>
    <row r="483">
      <c r="A483" s="9" t="inlineStr">
        <is>
          <t>less the tax-disputes provision</t>
        </is>
      </c>
      <c r="B483" s="18">
        <f>Assumptions!$B$78/10^6</f>
        <v>921.440353</v>
      </c>
    </row>
    <row r="484">
      <c r="A484" s="9" t="inlineStr">
        <is>
          <t>less dividends payable — declared, out of working capital</t>
        </is>
      </c>
      <c r="B484" s="18">
        <f>Assumptions!$B$77/10^6</f>
        <v>517.25</v>
      </c>
    </row>
    <row r="485">
      <c r="A485" s="9" t="inlineStr">
        <is>
          <t>plus non-operating investments and pledged deposits</t>
        </is>
      </c>
      <c r="B485" s="18">
        <f>(Assumptions!$B$81+Assumptions!$B$80)/10^6</f>
        <v>578.358746</v>
      </c>
    </row>
    <row r="486">
      <c r="A486" s="17" t="inlineStr">
        <is>
          <t>EQUITY ATTRIBUTABLE</t>
        </is>
      </c>
      <c r="B486" s="20">
        <f>B481-B482-B483-B484+B485</f>
        <v>7561.51726496</v>
      </c>
    </row>
    <row r="487">
      <c r="A487" s="17" t="inlineStr">
        <is>
          <t>VALUE PER SHARE, EGP</t>
        </is>
      </c>
      <c r="B487" s="30">
        <f>B486/Assumptions!$B$8</f>
        <v>5.85483334492</v>
      </c>
    </row>
    <row r="490">
      <c r="A490" s="6" t="inlineStr">
        <is>
          <t>Volume growth path, as a multiple of the assumed path — 2.00x</t>
        </is>
      </c>
      <c r="B490" s="6" t="inlineStr">
        <is>
          <t>2026E</t>
        </is>
      </c>
      <c r="C490" s="6" t="inlineStr">
        <is>
          <t>2027E</t>
        </is>
      </c>
      <c r="D490" s="6" t="inlineStr">
        <is>
          <t>2028E</t>
        </is>
      </c>
      <c r="E490" s="6" t="inlineStr">
        <is>
          <t>2029E</t>
        </is>
      </c>
      <c r="F490" s="6" t="inlineStr">
        <is>
          <t>2030E</t>
        </is>
      </c>
    </row>
    <row r="491">
      <c r="A491" s="9" t="inlineStr">
        <is>
          <t>Inflation index, cumulative</t>
        </is>
      </c>
      <c r="C491" s="26">
        <f>Assumptions!$B$146</f>
        <v>1.145</v>
      </c>
      <c r="D491" s="26">
        <f>C491*Assumptions!$B$147</f>
        <v>1.29385</v>
      </c>
      <c r="E491" s="26">
        <f>D491*Assumptions!$B$148</f>
        <v>1.44264275</v>
      </c>
      <c r="F491" s="26">
        <f>E491*Assumptions!$B$149</f>
        <v>1.586907025</v>
      </c>
      <c r="G491" s="26">
        <f>F491*Assumptions!$B$150</f>
        <v>1.73766319237</v>
      </c>
    </row>
    <row r="492">
      <c r="A492" s="9" t="inlineStr">
        <is>
          <t>Realisation index, cumulative</t>
        </is>
      </c>
      <c r="C492" s="26">
        <f>(1+Assumptions!$B$101*Forecast!$B$8)</f>
        <v>1.09</v>
      </c>
      <c r="D492" s="26">
        <f>C492*(1+Assumptions!$B$102*Forecast!$B$8)</f>
        <v>1.17175</v>
      </c>
      <c r="E492" s="26">
        <f>D492*(1+Assumptions!$B$103*Forecast!$B$8)</f>
        <v>1.24791375</v>
      </c>
      <c r="F492" s="26">
        <f>E492*(1+Assumptions!$B$104*Forecast!$B$8)</f>
        <v>1.3202927475</v>
      </c>
      <c r="G492" s="26">
        <f>F492*(1+Assumptions!$B$105*Forecast!$B$8)</f>
        <v>1.38894797037</v>
      </c>
    </row>
    <row r="493">
      <c r="A493" s="9" t="inlineStr">
        <is>
          <t xml:space="preserve">  Volume — Base and special oils, mn t</t>
        </is>
      </c>
      <c r="C493" s="26">
        <f>'Product and Cost'!E6*(1+Assumptions!$B$106*$B$17)</f>
        <v>0.1198323764</v>
      </c>
      <c r="D493" s="26">
        <f>C493*(1+Assumptions!$B$107*$B$17)</f>
        <v>0.129418966512</v>
      </c>
      <c r="E493" s="26">
        <f>D493*(1+Assumptions!$B$108*$B$17)</f>
        <v>0.138478294168</v>
      </c>
      <c r="F493" s="26">
        <f>E493*(1+Assumptions!$B$109*$B$17)</f>
        <v>0.146786991818</v>
      </c>
      <c r="G493" s="26">
        <f>F493*(1+Assumptions!$B$110*$B$17)</f>
        <v>0.15500706336</v>
      </c>
    </row>
    <row r="494">
      <c r="A494" s="9" t="inlineStr">
        <is>
          <t xml:space="preserve">  Volume — Paraffin wax, mn t</t>
        </is>
      </c>
      <c r="C494" s="26">
        <f>'Product and Cost'!E7*(1+Assumptions!$B$111*$B$17)</f>
        <v>0.095245176</v>
      </c>
      <c r="D494" s="26">
        <f>C494*(1+Assumptions!$B$112*$B$17)</f>
        <v>0.10572214536</v>
      </c>
      <c r="E494" s="26">
        <f>D494*(1+Assumptions!$B$113*$B$17)</f>
        <v>0.115237138442</v>
      </c>
      <c r="F494" s="26">
        <f>E494*(1+Assumptions!$B$114*$B$17)</f>
        <v>0.123995160964</v>
      </c>
      <c r="G494" s="26">
        <f>F494*(1+Assumptions!$B$115*$B$17)</f>
        <v>0.131930851266</v>
      </c>
    </row>
    <row r="495">
      <c r="A495" s="9" t="inlineStr">
        <is>
          <t xml:space="preserve">  Volume — Gas oil, mn t</t>
        </is>
      </c>
      <c r="C495" s="26">
        <f>'Product and Cost'!E8*(1+Assumptions!$B$116*$B$17)</f>
        <v>0.35710455248</v>
      </c>
      <c r="D495" s="26">
        <f>C495*(1+Assumptions!$B$117*$B$17)</f>
        <v>0.371388734579</v>
      </c>
      <c r="E495" s="26">
        <f>D495*(1+Assumptions!$B$118*$B$17)</f>
        <v>0.384758729024</v>
      </c>
      <c r="F495" s="26">
        <f>E495*(1+Assumptions!$B$119*$B$17)</f>
        <v>0.397071008353</v>
      </c>
      <c r="G495" s="26">
        <f>F495*(1+Assumptions!$B$120*$B$17)</f>
        <v>0.408983138603</v>
      </c>
    </row>
    <row r="496">
      <c r="A496" s="9" t="inlineStr">
        <is>
          <t xml:space="preserve">  Volume — Naphtha, mn t</t>
        </is>
      </c>
      <c r="C496" s="26">
        <f>'Product and Cost'!E9*(1+Assumptions!$B$121*$B$17)</f>
        <v>0.08534756542</v>
      </c>
      <c r="D496" s="26">
        <f>C496*(1+Assumptions!$B$122*$B$17)</f>
        <v>0.0884200777751</v>
      </c>
      <c r="E496" s="26">
        <f>D496*(1+Assumptions!$B$123*$B$17)</f>
        <v>0.091603200575</v>
      </c>
      <c r="F496" s="26">
        <f>E496*(1+Assumptions!$B$124*$B$17)</f>
        <v>0.0945345029934</v>
      </c>
      <c r="G496" s="26">
        <f>F496*(1+Assumptions!$B$125*$B$17)</f>
        <v>0.0973705380832</v>
      </c>
    </row>
    <row r="497">
      <c r="A497" s="9" t="inlineStr">
        <is>
          <t xml:space="preserve">  Volume — Liquefied petroleum gas, mn t</t>
        </is>
      </c>
      <c r="C497" s="26">
        <f>'Product and Cost'!E10*(1+Assumptions!$B$126*$B$17)</f>
        <v>0.0498451338</v>
      </c>
      <c r="D497" s="26">
        <f>C497*(1+Assumptions!$B$127*$B$17)</f>
        <v>0.0520383196872</v>
      </c>
      <c r="E497" s="26">
        <f>D497*(1+Assumptions!$B$128*$B$17)</f>
        <v>0.0541198524747</v>
      </c>
      <c r="F497" s="26">
        <f>E497*(1+Assumptions!$B$129*$B$17)</f>
        <v>0.0560681671638</v>
      </c>
      <c r="G497" s="26">
        <f>F497*(1+Assumptions!$B$130*$B$17)</f>
        <v>0.057862348513</v>
      </c>
    </row>
    <row r="498">
      <c r="A498" s="9" t="inlineStr">
        <is>
          <t xml:space="preserve">  Volume — Fuel oil (mix), mn t</t>
        </is>
      </c>
      <c r="C498" s="26">
        <f>'Product and Cost'!E11*(1+Assumptions!$B$131*$B$17)</f>
        <v>0.975525632</v>
      </c>
      <c r="D498" s="26">
        <f>C498*(1+Assumptions!$B$132*$B$17)</f>
        <v>1.02625296486</v>
      </c>
      <c r="E498" s="26">
        <f>D498*(1+Assumptions!$B$133*$B$17)</f>
        <v>1.07140809532</v>
      </c>
      <c r="F498" s="26">
        <f>E498*(1+Assumptions!$B$134*$B$17)</f>
        <v>1.11426441913</v>
      </c>
      <c r="G498" s="26">
        <f>F498*(1+Assumptions!$B$135*$B$17)</f>
        <v>1.15437793822</v>
      </c>
    </row>
    <row r="499">
      <c r="A499" s="9" t="inlineStr">
        <is>
          <t xml:space="preserve">  Volume — Heavy fuel oil, mn t</t>
        </is>
      </c>
      <c r="C499" s="26">
        <f>'Product and Cost'!E12*(1+Assumptions!$B$136*$B$17)</f>
        <v>0.0298012416</v>
      </c>
      <c r="D499" s="26">
        <f>C499*(1+Assumptions!$B$137*$B$17)</f>
        <v>0.0308740862976</v>
      </c>
      <c r="E499" s="26">
        <f>D499*(1+Assumptions!$B$138*$B$17)</f>
        <v>0.0318620570591</v>
      </c>
      <c r="F499" s="26">
        <f>E499*(1+Assumptions!$B$139*$B$17)</f>
        <v>0.0328179187709</v>
      </c>
      <c r="G499" s="26">
        <f>F499*(1+Assumptions!$B$140*$B$17)</f>
        <v>0.0337368204965</v>
      </c>
    </row>
    <row r="500">
      <c r="A500" s="9" t="inlineStr">
        <is>
          <t xml:space="preserve">  Volume — Waste, mn t</t>
        </is>
      </c>
      <c r="C500" s="26">
        <f>'Product and Cost'!E13*(1+Assumptions!$B$141*$B$17)</f>
        <v>1.564e-05</v>
      </c>
      <c r="D500" s="26">
        <f>C500*(1+Assumptions!$B$142*$B$17)</f>
        <v>1.564e-05</v>
      </c>
      <c r="E500" s="26">
        <f>D500*(1+Assumptions!$B$143*$B$17)</f>
        <v>1.564e-05</v>
      </c>
      <c r="F500" s="26">
        <f>E500*(1+Assumptions!$B$144*$B$17)</f>
        <v>1.564e-05</v>
      </c>
      <c r="G500" s="26">
        <f>F500*(1+Assumptions!$B$145*$B$17)</f>
        <v>1.564e-05</v>
      </c>
    </row>
    <row r="501">
      <c r="A501" s="17" t="inlineStr">
        <is>
          <t>Total volume, mn t</t>
        </is>
      </c>
      <c r="C501" s="28">
        <f>SUM(C493:C500)</f>
        <v>1.7127173177</v>
      </c>
      <c r="D501" s="28">
        <f>SUM(D493:D500)</f>
        <v>1.80413093508</v>
      </c>
      <c r="E501" s="28">
        <f>SUM(E493:E500)</f>
        <v>1.88748300706</v>
      </c>
      <c r="F501" s="28">
        <f>SUM(F493:F500)</f>
        <v>1.96555380919</v>
      </c>
      <c r="G501" s="28">
        <f>SUM(G493:G500)</f>
        <v>2.03928433854</v>
      </c>
    </row>
    <row r="502">
      <c r="A502" s="17" t="inlineStr">
        <is>
          <t>REVENUE</t>
        </is>
      </c>
      <c r="C502" s="20">
        <f>C493*'Product and Cost'!$F$6*C492+C494*'Product and Cost'!$F$7*C492+C495*'Product and Cost'!$F$8*C492+C496*'Product and Cost'!$F$9*C492+C497*'Product and Cost'!$F$10*C492+C498*'Product and Cost'!$F$11*C492+C499*'Product and Cost'!$F$12*C492+C500*'Product and Cost'!$F$13*C492</f>
        <v>54496.6110931</v>
      </c>
      <c r="D502" s="20">
        <f>D493*'Product and Cost'!$F$6*D492+D494*'Product and Cost'!$F$7*D492+D495*'Product and Cost'!$F$8*D492+D496*'Product and Cost'!$F$9*D492+D497*'Product and Cost'!$F$10*D492+D498*'Product and Cost'!$F$11*D492+D499*'Product and Cost'!$F$12*D492+D500*'Product and Cost'!$F$13*D492</f>
        <v>61959.1941153</v>
      </c>
      <c r="E502" s="20">
        <f>E493*'Product and Cost'!$F$6*E492+E494*'Product and Cost'!$F$7*E492+E495*'Product and Cost'!$F$8*E492+E496*'Product and Cost'!$F$9*E492+E497*'Product and Cost'!$F$10*E492+E498*'Product and Cost'!$F$11*E492+E499*'Product and Cost'!$F$12*E492+E500*'Product and Cost'!$F$13*E492</f>
        <v>69283.8266298</v>
      </c>
      <c r="F502" s="20">
        <f>F493*'Product and Cost'!$F$6*F492+F494*'Product and Cost'!$F$7*F492+F495*'Product and Cost'!$F$8*F492+F496*'Product and Cost'!$F$9*F492+F497*'Product and Cost'!$F$10*F492+F498*'Product and Cost'!$F$11*F492+F499*'Product and Cost'!$F$12*F492+F500*'Product and Cost'!$F$13*F492</f>
        <v>76551.9574898</v>
      </c>
      <c r="G502" s="20">
        <f>G493*'Product and Cost'!$F$6*G492+G494*'Product and Cost'!$F$7*G492+G495*'Product and Cost'!$F$8*G492+G496*'Product and Cost'!$F$9*G492+G497*'Product and Cost'!$F$10*G492+G498*'Product and Cost'!$F$11*G492+G499*'Product and Cost'!$F$12*G492+G500*'Product and Cost'!$F$13*G492</f>
        <v>83765.8793248</v>
      </c>
    </row>
    <row r="503">
      <c r="A503" s="9" t="inlineStr">
        <is>
          <t>Cost of sales</t>
        </is>
      </c>
      <c r="C503" s="18">
        <f>C493*('Product and Cost'!$D$27*C492*Assumptions!$B$88+'Product and Cost'!$B$27*(0.4863620081*C491+0.4455809638*C491+0.0356254898*C492+0.0324315384))+C494*('Product and Cost'!$D$28*C492*Assumptions!$B$88+'Product and Cost'!$B$28*(0.4863620081*C491+0.4455809638*C491+0.0356254898*C492+0.0324315384))+C495*('Product and Cost'!$D$29*C492*Assumptions!$B$88+'Product and Cost'!$B$29*(0.4863620081*C491+0.4455809638*C491+0.0356254898*C492+0.0324315384))+C496*('Product and Cost'!$D$30*C492*Assumptions!$B$88+'Product and Cost'!$B$30*(0.4863620081*C491+0.4455809638*C491+0.0356254898*C492+0.0324315384))+C497*('Product and Cost'!$D$31*C492*Assumptions!$B$88+'Product and Cost'!$B$31*(0.4863620081*C491+0.4455809638*C491+0.0356254898*C492+0.0324315384))+C498*('Product and Cost'!$D$32*C492*Assumptions!$B$88+'Product and Cost'!$B$32*(0.4863620081*C491+0.4455809638*C491+0.0356254898*C492+0.0324315384))+C499*('Product and Cost'!$D$33*C492*Assumptions!$B$88+'Product and Cost'!$B$33*(0.4863620081*C491+0.4455809638*C491+0.0356254898*C492+0.0324315384))+C500*('Product and Cost'!$D$34*C492*Assumptions!$B$88+'Product and Cost'!$B$34*(0.4863620081*C491+0.4455809638*C491+0.0356254898*C492+0.0324315384))</f>
        <v>49810.1415077</v>
      </c>
      <c r="D503" s="18">
        <f>D493*('Product and Cost'!$D$27*D492*Assumptions!$B$88+'Product and Cost'!$B$27*(0.4863620081*D491+0.4455809638*D491+0.0356254898*D492+0.0324315384))+D494*('Product and Cost'!$D$28*D492*Assumptions!$B$88+'Product and Cost'!$B$28*(0.4863620081*D491+0.4455809638*D491+0.0356254898*D492+0.0324315384))+D495*('Product and Cost'!$D$29*D492*Assumptions!$B$88+'Product and Cost'!$B$29*(0.4863620081*D491+0.4455809638*D491+0.0356254898*D492+0.0324315384))+D496*('Product and Cost'!$D$30*D492*Assumptions!$B$88+'Product and Cost'!$B$30*(0.4863620081*D491+0.4455809638*D491+0.0356254898*D492+0.0324315384))+D497*('Product and Cost'!$D$31*D492*Assumptions!$B$88+'Product and Cost'!$B$31*(0.4863620081*D491+0.4455809638*D491+0.0356254898*D492+0.0324315384))+D498*('Product and Cost'!$D$32*D492*Assumptions!$B$88+'Product and Cost'!$B$32*(0.4863620081*D491+0.4455809638*D491+0.0356254898*D492+0.0324315384))+D499*('Product and Cost'!$D$33*D492*Assumptions!$B$88+'Product and Cost'!$B$33*(0.4863620081*D491+0.4455809638*D491+0.0356254898*D492+0.0324315384))+D500*('Product and Cost'!$D$34*D492*Assumptions!$B$88+'Product and Cost'!$B$34*(0.4863620081*D491+0.4455809638*D491+0.0356254898*D492+0.0324315384))</f>
        <v>56902.3467322</v>
      </c>
      <c r="E503" s="18">
        <f>E493*('Product and Cost'!$D$27*E492*Assumptions!$B$88+'Product and Cost'!$B$27*(0.4863620081*E491+0.4455809638*E491+0.0356254898*E492+0.0324315384))+E494*('Product and Cost'!$D$28*E492*Assumptions!$B$88+'Product and Cost'!$B$28*(0.4863620081*E491+0.4455809638*E491+0.0356254898*E492+0.0324315384))+E495*('Product and Cost'!$D$29*E492*Assumptions!$B$88+'Product and Cost'!$B$29*(0.4863620081*E491+0.4455809638*E491+0.0356254898*E492+0.0324315384))+E496*('Product and Cost'!$D$30*E492*Assumptions!$B$88+'Product and Cost'!$B$30*(0.4863620081*E491+0.4455809638*E491+0.0356254898*E492+0.0324315384))+E497*('Product and Cost'!$D$31*E492*Assumptions!$B$88+'Product and Cost'!$B$31*(0.4863620081*E491+0.4455809638*E491+0.0356254898*E492+0.0324315384))+E498*('Product and Cost'!$D$32*E492*Assumptions!$B$88+'Product and Cost'!$B$32*(0.4863620081*E491+0.4455809638*E491+0.0356254898*E492+0.0324315384))+E499*('Product and Cost'!$D$33*E492*Assumptions!$B$88+'Product and Cost'!$B$33*(0.4863620081*E491+0.4455809638*E491+0.0356254898*E492+0.0324315384))+E500*('Product and Cost'!$D$34*E492*Assumptions!$B$88+'Product and Cost'!$B$34*(0.4863620081*E491+0.4455809638*E491+0.0356254898*E492+0.0324315384))</f>
        <v>63929.6381382</v>
      </c>
      <c r="F503" s="18">
        <f>F493*('Product and Cost'!$D$27*F492*Assumptions!$B$88+'Product and Cost'!$B$27*(0.4863620081*F491+0.4455809638*F491+0.0356254898*F492+0.0324315384))+F494*('Product and Cost'!$D$28*F492*Assumptions!$B$88+'Product and Cost'!$B$28*(0.4863620081*F491+0.4455809638*F491+0.0356254898*F492+0.0324315384))+F495*('Product and Cost'!$D$29*F492*Assumptions!$B$88+'Product and Cost'!$B$29*(0.4863620081*F491+0.4455809638*F491+0.0356254898*F492+0.0324315384))+F496*('Product and Cost'!$D$30*F492*Assumptions!$B$88+'Product and Cost'!$B$30*(0.4863620081*F491+0.4455809638*F491+0.0356254898*F492+0.0324315384))+F497*('Product and Cost'!$D$31*F492*Assumptions!$B$88+'Product and Cost'!$B$31*(0.4863620081*F491+0.4455809638*F491+0.0356254898*F492+0.0324315384))+F498*('Product and Cost'!$D$32*F492*Assumptions!$B$88+'Product and Cost'!$B$32*(0.4863620081*F491+0.4455809638*F491+0.0356254898*F492+0.0324315384))+F499*('Product and Cost'!$D$33*F492*Assumptions!$B$88+'Product and Cost'!$B$33*(0.4863620081*F491+0.4455809638*F491+0.0356254898*F492+0.0324315384))+F500*('Product and Cost'!$D$34*F492*Assumptions!$B$88+'Product and Cost'!$B$34*(0.4863620081*F491+0.4455809638*F491+0.0356254898*F492+0.0324315384))</f>
        <v>70935.1002467</v>
      </c>
      <c r="G503" s="18">
        <f>G493*('Product and Cost'!$D$27*G492*Assumptions!$B$88+'Product and Cost'!$B$27*(0.4863620081*G491+0.4455809638*G491+0.0356254898*G492+0.0324315384))+G494*('Product and Cost'!$D$28*G492*Assumptions!$B$88+'Product and Cost'!$B$28*(0.4863620081*G491+0.4455809638*G491+0.0356254898*G492+0.0324315384))+G495*('Product and Cost'!$D$29*G492*Assumptions!$B$88+'Product and Cost'!$B$29*(0.4863620081*G491+0.4455809638*G491+0.0356254898*G492+0.0324315384))+G496*('Product and Cost'!$D$30*G492*Assumptions!$B$88+'Product and Cost'!$B$30*(0.4863620081*G491+0.4455809638*G491+0.0356254898*G492+0.0324315384))+G497*('Product and Cost'!$D$31*G492*Assumptions!$B$88+'Product and Cost'!$B$31*(0.4863620081*G491+0.4455809638*G491+0.0356254898*G492+0.0324315384))+G498*('Product and Cost'!$D$32*G492*Assumptions!$B$88+'Product and Cost'!$B$32*(0.4863620081*G491+0.4455809638*G491+0.0356254898*G492+0.0324315384))+G499*('Product and Cost'!$D$33*G492*Assumptions!$B$88+'Product and Cost'!$B$33*(0.4863620081*G491+0.4455809638*G491+0.0356254898*G492+0.0324315384))+G500*('Product and Cost'!$D$34*G492*Assumptions!$B$88+'Product and Cost'!$B$34*(0.4863620081*G491+0.4455809638*G491+0.0356254898*G492+0.0324315384))</f>
        <v>77974.3813748</v>
      </c>
    </row>
    <row r="504">
      <c r="A504" s="17" t="inlineStr">
        <is>
          <t>GROSS PROFIT</t>
        </is>
      </c>
      <c r="C504" s="20">
        <f>C502-C503+Forecast!$B$7*C502</f>
        <v>4686.46958541</v>
      </c>
      <c r="D504" s="20">
        <f>D502-D503+Forecast!$B$7*D502</f>
        <v>5056.84738304</v>
      </c>
      <c r="E504" s="20">
        <f>E502-E503+Forecast!$B$7*E502</f>
        <v>5354.18849155</v>
      </c>
      <c r="F504" s="20">
        <f>F502-F503+Forecast!$B$7*F502</f>
        <v>5616.85724317</v>
      </c>
      <c r="G504" s="20">
        <f>G502-G503+Forecast!$B$7*G502</f>
        <v>5791.49795002</v>
      </c>
    </row>
    <row r="505">
      <c r="A505" s="9" t="inlineStr">
        <is>
          <t>Gross margin</t>
        </is>
      </c>
      <c r="C505" s="19">
        <f>C504/C502</f>
        <v>0.0859956149824</v>
      </c>
      <c r="D505" s="19">
        <f>D504/D502</f>
        <v>0.0816157707543</v>
      </c>
      <c r="E505" s="19">
        <f>E504/E502</f>
        <v>0.0772790527313</v>
      </c>
      <c r="F505" s="19">
        <f>F504/F502</f>
        <v>0.0733731367211</v>
      </c>
      <c r="G505" s="19">
        <f>G504/G502</f>
        <v>0.0691391052861</v>
      </c>
    </row>
    <row r="506">
      <c r="A506" s="9" t="inlineStr">
        <is>
          <t>Operating expense</t>
        </is>
      </c>
      <c r="C506" s="18">
        <f>('Base Year'!$B$28*C491)+('Base Year'!$B$29*C491*C501/'Product and Cost'!$E$14)+('Base Year'!$B$30*C491)+('Base Year'!$B$31*C491)</f>
        <v>2015.03345243</v>
      </c>
      <c r="D506" s="18">
        <f>('Base Year'!$B$28*D491)+('Base Year'!$B$29*D491*D501/'Product and Cost'!$E$14)+('Base Year'!$B$30*D491)+('Base Year'!$B$31*D491)</f>
        <v>2292.75071032</v>
      </c>
      <c r="E506" s="18">
        <f>('Base Year'!$B$28*E491)+('Base Year'!$B$29*E491*E501/'Product and Cost'!$E$14)+('Base Year'!$B$30*E491)+('Base Year'!$B$31*E491)</f>
        <v>2572.4427322</v>
      </c>
      <c r="F506" s="18">
        <f>('Base Year'!$B$28*F491)+('Base Year'!$B$29*F491*F501/'Product and Cost'!$E$14)+('Base Year'!$B$30*F491)+('Base Year'!$B$31*F491)</f>
        <v>2846.19832066</v>
      </c>
      <c r="G506" s="18">
        <f>('Base Year'!$B$28*G491)+('Base Year'!$B$29*G491*G501/'Product and Cost'!$E$14)+('Base Year'!$B$30*G491)+('Base Year'!$B$31*G491)</f>
        <v>3133.66191684</v>
      </c>
    </row>
    <row r="507">
      <c r="A507" s="17" t="inlineStr">
        <is>
          <t>EBITDA</t>
        </is>
      </c>
      <c r="C507" s="20">
        <f>C504-C506</f>
        <v>2671.43613297</v>
      </c>
      <c r="D507" s="20">
        <f>D504-D506</f>
        <v>2764.09667272</v>
      </c>
      <c r="E507" s="20">
        <f>E504-E506</f>
        <v>2781.74575935</v>
      </c>
      <c r="F507" s="20">
        <f>F504-F506</f>
        <v>2770.6589225</v>
      </c>
      <c r="G507" s="20">
        <f>G504-G506</f>
        <v>2657.83603318</v>
      </c>
    </row>
    <row r="508">
      <c r="A508" s="9" t="inlineStr">
        <is>
          <t>Capital expenditure — maintenance + growth</t>
        </is>
      </c>
      <c r="C508" s="18">
        <f>'Base Year'!$B$43*C491+MAX(C501-'Product and Cost'!$E$14,0)*1947.901031*C491</f>
        <v>388.602036124</v>
      </c>
      <c r="D508" s="18">
        <f>'Base Year'!$B$43*D491+MAX(D501-C501,0)*1947.901031*D491</f>
        <v>426.175002893</v>
      </c>
      <c r="E508" s="18">
        <f>'Base Year'!$B$43*E491+MAX(E501-D501,0)*1947.901031*E491</f>
        <v>452.53117557</v>
      </c>
      <c r="F508" s="18">
        <f>'Base Year'!$B$43*F491+MAX(F501-E501,0)*1947.901031*F491</f>
        <v>481.459160092</v>
      </c>
      <c r="G508" s="18">
        <f>'Base Year'!$B$43*G491+MAX(G501-F501,0)*1947.901031*G491</f>
        <v>512.506842669</v>
      </c>
    </row>
    <row r="509">
      <c r="A509" s="9" t="inlineStr">
        <is>
          <t>Fixed assets at cost, closing</t>
        </is>
      </c>
      <c r="C509" s="18">
        <f>(Assumptions!$B$70+Assumptions!$B$71)/10^6+C508</f>
        <v>3536.73593112</v>
      </c>
      <c r="D509" s="18">
        <f>C509+D508</f>
        <v>3962.91093402</v>
      </c>
      <c r="E509" s="18">
        <f>D509+E508</f>
        <v>4415.44210959</v>
      </c>
      <c r="F509" s="18">
        <f>E509+F508</f>
        <v>4896.90126968</v>
      </c>
      <c r="G509" s="18">
        <f>F509+G508</f>
        <v>5409.40811235</v>
      </c>
    </row>
    <row r="510">
      <c r="A510" s="9" t="inlineStr">
        <is>
          <t>Depreciation — rolls off the asset register</t>
        </is>
      </c>
      <c r="C510" s="18">
        <f>(Assumptions!$B$70+Assumptions!$B$71)/10^6/'Base Year'!$B$42</f>
        <v>173.808854481</v>
      </c>
      <c r="D510" s="18">
        <f>C509/'Base Year'!$B$42</f>
        <v>195.263620066</v>
      </c>
      <c r="E510" s="18">
        <f>D509/'Base Year'!$B$42</f>
        <v>218.792793707</v>
      </c>
      <c r="F510" s="18">
        <f>E509/'Base Year'!$B$42</f>
        <v>243.777094841</v>
      </c>
      <c r="G510" s="18">
        <f>F509/'Base Year'!$B$42</f>
        <v>270.358513512</v>
      </c>
    </row>
    <row r="511">
      <c r="A511" s="9" t="inlineStr">
        <is>
          <t>Fixed assets, net book, closing</t>
        </is>
      </c>
      <c r="C511" s="18">
        <f>(Assumptions!$B$69+Assumptions!$B$71)/10^6+C508-C510</f>
        <v>1515.13265864</v>
      </c>
      <c r="D511" s="18">
        <f>C511+D508-D510</f>
        <v>1746.04404147</v>
      </c>
      <c r="E511" s="18">
        <f>D511+E508-E510</f>
        <v>1979.78242333</v>
      </c>
      <c r="F511" s="18">
        <f>E511+F508-F510</f>
        <v>2217.46448858</v>
      </c>
      <c r="G511" s="18">
        <f>F511+G508-G510</f>
        <v>2459.61281774</v>
      </c>
    </row>
    <row r="512">
      <c r="A512" s="17" t="inlineStr">
        <is>
          <t>EBIT</t>
        </is>
      </c>
      <c r="C512" s="20">
        <f>C507-C510</f>
        <v>2497.62727849</v>
      </c>
      <c r="D512" s="20">
        <f>D507-D510</f>
        <v>2568.83305265</v>
      </c>
      <c r="E512" s="20">
        <f>E507-E510</f>
        <v>2562.95296564</v>
      </c>
      <c r="F512" s="20">
        <f>F507-F510</f>
        <v>2526.88182766</v>
      </c>
      <c r="G512" s="20">
        <f>G507-G510</f>
        <v>2387.47751967</v>
      </c>
    </row>
    <row r="513">
      <c r="A513" s="9" t="inlineStr">
        <is>
          <t>NOPAT before the profit share</t>
        </is>
      </c>
      <c r="C513" s="18">
        <f>C512*(1-Assumptions!$B$87)</f>
        <v>1935.66114083</v>
      </c>
      <c r="D513" s="18">
        <f>D512*(1-Assumptions!$B$87)</f>
        <v>1990.8456158</v>
      </c>
      <c r="E513" s="18">
        <f>E512*(1-Assumptions!$B$87)</f>
        <v>1986.28854837</v>
      </c>
      <c r="F513" s="18">
        <f>F512*(1-Assumptions!$B$87)</f>
        <v>1958.33341644</v>
      </c>
      <c r="G513" s="18">
        <f>G512*(1-Assumptions!$B$87)</f>
        <v>1850.29507774</v>
      </c>
    </row>
    <row r="514">
      <c r="A514" s="9" t="inlineStr">
        <is>
          <t xml:space="preserve">  less employees' profit share and board bonuses</t>
        </is>
      </c>
      <c r="C514" s="18">
        <f>MAX(C513,0)*'Base Year'!$B$40</f>
        <v>102.050067336</v>
      </c>
      <c r="D514" s="18">
        <f>MAX(D513,0)*'Base Year'!$B$40</f>
        <v>104.959450217</v>
      </c>
      <c r="E514" s="18">
        <f>MAX(E513,0)*'Base Year'!$B$40</f>
        <v>104.719196885</v>
      </c>
      <c r="F514" s="18">
        <f>MAX(F513,0)*'Base Year'!$B$40</f>
        <v>103.245373272</v>
      </c>
      <c r="G514" s="18">
        <f>MAX(G513,0)*'Base Year'!$B$40</f>
        <v>97.5494797574</v>
      </c>
    </row>
    <row r="515">
      <c r="A515" s="17" t="inlineStr">
        <is>
          <t>NOPAT</t>
        </is>
      </c>
      <c r="C515" s="20">
        <f>C513-C514</f>
        <v>1833.6110735</v>
      </c>
      <c r="D515" s="20">
        <f>D513-D514</f>
        <v>1885.88616559</v>
      </c>
      <c r="E515" s="20">
        <f>E513-E514</f>
        <v>1881.56935149</v>
      </c>
      <c r="F515" s="20">
        <f>F513-F514</f>
        <v>1855.08804317</v>
      </c>
      <c r="G515" s="20">
        <f>G513-G514</f>
        <v>1752.74559799</v>
      </c>
    </row>
    <row r="516">
      <c r="A516" s="9" t="inlineStr">
        <is>
          <t>Net working capital — on days</t>
        </is>
      </c>
      <c r="C516" s="18">
        <f>'Base Year'!$B$44*Forecast!$B$9/365*C503+'Base Year'!$B$45*Forecast!$B$9/365*C502-'Base Year'!$B$46*Forecast!$B$9/365*C503</f>
        <v>2619.45126105</v>
      </c>
      <c r="D516" s="18">
        <f>'Base Year'!$B$44*Forecast!$B$9/365*D503+'Base Year'!$B$45*Forecast!$B$9/365*D502-'Base Year'!$B$46*Forecast!$B$9/365*D503</f>
        <v>2986.48329063</v>
      </c>
      <c r="E516" s="18">
        <f>'Base Year'!$B$44*Forecast!$B$9/365*E503+'Base Year'!$B$45*Forecast!$B$9/365*E502-'Base Year'!$B$46*Forecast!$B$9/365*E503</f>
        <v>3348.76303929</v>
      </c>
      <c r="F516" s="18">
        <f>'Base Year'!$B$44*Forecast!$B$9/365*F503+'Base Year'!$B$45*Forecast!$B$9/365*F502-'Base Year'!$B$46*Forecast!$B$9/365*F503</f>
        <v>3709.24246087</v>
      </c>
      <c r="G516" s="18">
        <f>'Base Year'!$B$44*Forecast!$B$9/365*G503+'Base Year'!$B$45*Forecast!$B$9/365*G502-'Base Year'!$B$46*Forecast!$B$9/365*G503</f>
        <v>4069.67623178</v>
      </c>
    </row>
    <row r="517">
      <c r="A517" s="9" t="inlineStr">
        <is>
          <t xml:space="preserve">  change in working capital</t>
        </is>
      </c>
      <c r="C517" s="18">
        <f>C516-('Base Year'!$B$44/365*'Base Year'!$B$21+'Base Year'!$B$45/365*'Base Year'!$B$19-'Base Year'!$B$46/365*'Base Year'!$B$21)</f>
        <v>368.048972052</v>
      </c>
      <c r="D517" s="18">
        <f>D516-C516</f>
        <v>367.032029581</v>
      </c>
      <c r="E517" s="18">
        <f>E516-D516</f>
        <v>362.279748654</v>
      </c>
      <c r="F517" s="18">
        <f>F516-E516</f>
        <v>360.479421582</v>
      </c>
      <c r="G517" s="18">
        <f>G516-F516</f>
        <v>360.433770912</v>
      </c>
    </row>
    <row r="518">
      <c r="A518" s="17" t="inlineStr">
        <is>
          <t>FREE CASH FLOW TO THE FIRM</t>
        </is>
      </c>
      <c r="C518" s="20">
        <f>C515+C510-C508-C517</f>
        <v>1250.7689198</v>
      </c>
      <c r="D518" s="20">
        <f>D515+D510-D508-D517</f>
        <v>1287.94275318</v>
      </c>
      <c r="E518" s="20">
        <f>E515+E510-E508-E517</f>
        <v>1285.55122097</v>
      </c>
      <c r="F518" s="20">
        <f>F515+F510-F508-F517</f>
        <v>1256.92655633</v>
      </c>
      <c r="G518" s="20">
        <f>G515+G510-G508-G517</f>
        <v>1150.16349792</v>
      </c>
    </row>
    <row r="519">
      <c r="A519" s="9" t="inlineStr">
        <is>
          <t>Glide fraction</t>
        </is>
      </c>
      <c r="C519" s="26">
        <f>0.0000000000</f>
        <v>0</v>
      </c>
      <c r="D519" s="26">
        <f>0.3571428571</f>
        <v>0.3571428571</v>
      </c>
      <c r="E519" s="26">
        <f>0.6428571429</f>
        <v>0.6428571429</v>
      </c>
      <c r="F519" s="26">
        <f>0.8571428571</f>
        <v>0.8571428571</v>
      </c>
      <c r="G519" s="26">
        <f>1.0000000000</f>
        <v>1</v>
      </c>
    </row>
    <row r="520">
      <c r="A520" s="9" t="inlineStr">
        <is>
          <t>Forward cost of capital</t>
        </is>
      </c>
      <c r="C520" s="19">
        <f>Forecast!$B$14-(Forecast!$B$14-Forecast!$B$17)*C519</f>
        <v>0.31578338914</v>
      </c>
      <c r="D520" s="19">
        <f>Forecast!$B$14-(Forecast!$B$14-Forecast!$B$17)*D519</f>
        <v>0.268515637955</v>
      </c>
      <c r="E520" s="19">
        <f>Forecast!$B$14-(Forecast!$B$14-Forecast!$B$17)*E519</f>
        <v>0.230701436991</v>
      </c>
      <c r="F520" s="19">
        <f>Forecast!$B$14-(Forecast!$B$14-Forecast!$B$17)*F519</f>
        <v>0.202340786287</v>
      </c>
      <c r="G520" s="19">
        <f>Forecast!$B$14-(Forecast!$B$14-Forecast!$B$17)*G519</f>
        <v>0.183433685805</v>
      </c>
    </row>
    <row r="521">
      <c r="A521" s="9" t="inlineStr">
        <is>
          <t>Cumulative discount factor</t>
        </is>
      </c>
      <c r="C521" s="29">
        <f>1/(1+C520)</f>
        <v>0.760003514449</v>
      </c>
      <c r="D521" s="29">
        <f>C521/(1+D520)</f>
        <v>0.599128218612</v>
      </c>
      <c r="E521" s="29">
        <f>D521/(1+E520)</f>
        <v>0.486818492775</v>
      </c>
      <c r="F521" s="29">
        <f>E521/(1+F520)</f>
        <v>0.404892272081</v>
      </c>
      <c r="G521" s="29">
        <f>F521/(1+G520)</f>
        <v>0.342133468852</v>
      </c>
    </row>
    <row r="522">
      <c r="A522" s="9" t="inlineStr">
        <is>
          <t>Present value</t>
        </is>
      </c>
      <c r="C522" s="18">
        <f>C518*C521</f>
        <v>950.588774812</v>
      </c>
      <c r="D522" s="18">
        <f>D518*D521</f>
        <v>771.642847386</v>
      </c>
      <c r="E522" s="18">
        <f>E518*E521</f>
        <v>625.830107777</v>
      </c>
      <c r="F522" s="18">
        <f>F518*F521</f>
        <v>508.919849232</v>
      </c>
      <c r="G522" s="18">
        <f>G518*G521</f>
        <v>393.509427289</v>
      </c>
    </row>
    <row r="523">
      <c r="A523" s="17" t="inlineStr">
        <is>
          <t>PV of the explicit window</t>
        </is>
      </c>
      <c r="B523" s="20">
        <f>SUM(C522:G522)</f>
        <v>3250.4910065</v>
      </c>
      <c r="C523" s="18">
        <f>C516+C509</f>
        <v>6156.18719218</v>
      </c>
      <c r="D523" s="18">
        <f>D516+D509</f>
        <v>6949.39422465</v>
      </c>
      <c r="E523" s="18">
        <f>E516+E509</f>
        <v>7764.20514887</v>
      </c>
      <c r="F523" s="18">
        <f>F516+F509</f>
        <v>8606.14373055</v>
      </c>
      <c r="G523" s="18">
        <f>G516+G509</f>
        <v>9479.08434413</v>
      </c>
    </row>
    <row r="524">
      <c r="A524" s="9" t="inlineStr">
        <is>
          <t>Terminal return on invested capital, at REPLACEMENT cost</t>
        </is>
      </c>
      <c r="B524" s="19">
        <f>G515*(1+Assumptions!$B$89)/G523</f>
        <v>0.19415196775</v>
      </c>
    </row>
    <row r="525">
      <c r="A525" s="9" t="inlineStr">
        <is>
          <t>Required reinvestment = growth / return</t>
        </is>
      </c>
      <c r="B525" s="19">
        <f>MIN(Assumptions!$B$89/B524,0.95)</f>
        <v>0.257530225314</v>
      </c>
    </row>
    <row r="526">
      <c r="A526" s="9" t="inlineStr">
        <is>
          <t>Terminal value</t>
        </is>
      </c>
      <c r="B526" s="18">
        <f>G515*(1+Assumptions!$B$89)*(1-B525)/MAX(Forecast!$B$17-Assumptions!$B$89,0.02)</f>
        <v>10240.5075033</v>
      </c>
    </row>
    <row r="527">
      <c r="A527" s="9" t="inlineStr">
        <is>
          <t>PV of the terminal block</t>
        </is>
      </c>
      <c r="B527" s="18">
        <f>B526*G521</f>
        <v>3503.62035489</v>
      </c>
    </row>
    <row r="528">
      <c r="A528" s="17" t="inlineStr">
        <is>
          <t>ENTERPRISE VALUE</t>
        </is>
      </c>
      <c r="B528" s="20">
        <f>B523+B527</f>
        <v>6754.11136139</v>
      </c>
    </row>
    <row r="529">
      <c r="A529" s="9" t="inlineStr">
        <is>
          <t>plus net cash</t>
        </is>
      </c>
      <c r="B529" s="18">
        <f>(Assumptions!$B$79-Assumptions!$B$82-Assumptions!$B$83)/10^6</f>
        <v>2442.544928</v>
      </c>
    </row>
    <row r="530">
      <c r="A530" s="9" t="inlineStr">
        <is>
          <t>Enterprise value including cash</t>
        </is>
      </c>
      <c r="B530" s="18">
        <f>B528+B529</f>
        <v>9196.65628939</v>
      </c>
    </row>
    <row r="531">
      <c r="A531" s="9" t="inlineStr">
        <is>
          <t>less minority — on the WHOLE enterprise, cash included</t>
        </is>
      </c>
      <c r="B531" s="18">
        <f>B530*'Base Year'!$B$41</f>
        <v>299.649526794</v>
      </c>
    </row>
    <row r="532">
      <c r="A532" s="9" t="inlineStr">
        <is>
          <t>less the tax-disputes provision</t>
        </is>
      </c>
      <c r="B532" s="18">
        <f>Assumptions!$B$78/10^6</f>
        <v>921.440353</v>
      </c>
    </row>
    <row r="533">
      <c r="A533" s="9" t="inlineStr">
        <is>
          <t>less dividends payable — declared, out of working capital</t>
        </is>
      </c>
      <c r="B533" s="18">
        <f>Assumptions!$B$77/10^6</f>
        <v>517.25</v>
      </c>
    </row>
    <row r="534">
      <c r="A534" s="9" t="inlineStr">
        <is>
          <t>plus non-operating investments and pledged deposits</t>
        </is>
      </c>
      <c r="B534" s="18">
        <f>(Assumptions!$B$81+Assumptions!$B$80)/10^6</f>
        <v>578.358746</v>
      </c>
    </row>
    <row r="535">
      <c r="A535" s="17" t="inlineStr">
        <is>
          <t>EQUITY ATTRIBUTABLE</t>
        </is>
      </c>
      <c r="B535" s="20">
        <f>B530-B531-B532-B533+B534</f>
        <v>8036.6751556</v>
      </c>
    </row>
    <row r="536">
      <c r="A536" s="17" t="inlineStr">
        <is>
          <t>VALUE PER SHARE, EGP</t>
        </is>
      </c>
      <c r="B536" s="30">
        <f>B535/Assumptions!$B$8</f>
        <v>6.22274499078</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9" t="inlineStr">
        <is>
          <t>Inflation index, cumulative</t>
        </is>
      </c>
      <c r="C540" s="26">
        <f>Assumptions!$B$146</f>
        <v>1.145</v>
      </c>
      <c r="D540" s="26">
        <f>C540*Assumptions!$B$147</f>
        <v>1.29385</v>
      </c>
      <c r="E540" s="26">
        <f>D540*Assumptions!$B$148</f>
        <v>1.44264275</v>
      </c>
      <c r="F540" s="26">
        <f>E540*Assumptions!$B$149</f>
        <v>1.586907025</v>
      </c>
      <c r="G540" s="26">
        <f>F540*Assumptions!$B$150</f>
        <v>1.73766319237</v>
      </c>
    </row>
    <row r="541">
      <c r="A541" s="9" t="inlineStr">
        <is>
          <t>Realisation index, cumulative</t>
        </is>
      </c>
      <c r="C541" s="26">
        <f>(1+Assumptions!$B$101*$D$20)</f>
        <v>1.081</v>
      </c>
      <c r="D541" s="26">
        <f>C541*(1+Assumptions!$B$102*$D$20)</f>
        <v>1.1539675</v>
      </c>
      <c r="E541" s="26">
        <f>D541*(1+Assumptions!$B$103*$D$20)</f>
        <v>1.22147459875</v>
      </c>
      <c r="F541" s="26">
        <f>E541*(1+Assumptions!$B$104*$D$20)</f>
        <v>1.2852355728</v>
      </c>
      <c r="G541" s="26">
        <f>F541*(1+Assumptions!$B$105*$D$20)</f>
        <v>1.34538459761</v>
      </c>
    </row>
    <row r="542">
      <c r="A542" s="9" t="inlineStr">
        <is>
          <t xml:space="preserve">  Volume — Base and special oils, mn t</t>
        </is>
      </c>
      <c r="C542" s="26">
        <f>'Product and Cost'!E6*(1+Assumptions!$B$106*Forecast!$B$6)</f>
        <v>0.1148851682</v>
      </c>
      <c r="D542" s="26">
        <f>C542*(1+Assumptions!$B$107*Forecast!$B$6)</f>
        <v>0.119480574928</v>
      </c>
      <c r="E542" s="26">
        <f>D542*(1+Assumptions!$B$108*Forecast!$B$6)</f>
        <v>0.12366239505</v>
      </c>
      <c r="F542" s="26">
        <f>E542*(1+Assumptions!$B$109*Forecast!$B$6)</f>
        <v>0.127372266902</v>
      </c>
      <c r="G542" s="26">
        <f>F542*(1+Assumptions!$B$110*Forecast!$B$6)</f>
        <v>0.130938690375</v>
      </c>
    </row>
    <row r="543">
      <c r="A543" s="9" t="inlineStr">
        <is>
          <t xml:space="preserve">  Volume — Paraffin wax, mn t</t>
        </is>
      </c>
      <c r="C543" s="26">
        <f>'Product and Cost'!E7*(1+Assumptions!$B$111*Forecast!$B$6)</f>
        <v>0.089396788</v>
      </c>
      <c r="D543" s="26">
        <f>C543*(1+Assumptions!$B$112*Forecast!$B$6)</f>
        <v>0.09431361134</v>
      </c>
      <c r="E543" s="26">
        <f>D543*(1+Assumptions!$B$113*Forecast!$B$6)</f>
        <v>0.0985577238503</v>
      </c>
      <c r="F543" s="26">
        <f>E543*(1+Assumptions!$B$114*Forecast!$B$6)</f>
        <v>0.102302917357</v>
      </c>
      <c r="G543" s="26">
        <f>F543*(1+Assumptions!$B$115*Forecast!$B$6)</f>
        <v>0.105576610712</v>
      </c>
    </row>
    <row r="544">
      <c r="A544" s="9" t="inlineStr">
        <is>
          <t xml:space="preserve">  Volume — Gas oil, mn t</t>
        </is>
      </c>
      <c r="C544" s="26">
        <f>'Product and Cost'!E8*(1+Assumptions!$B$116*Forecast!$B$6)</f>
        <v>0.35023715724</v>
      </c>
      <c r="D544" s="26">
        <f>C544*(1+Assumptions!$B$117*Forecast!$B$6)</f>
        <v>0.357241900385</v>
      </c>
      <c r="E544" s="26">
        <f>D544*(1+Assumptions!$B$118*Forecast!$B$6)</f>
        <v>0.363672254592</v>
      </c>
      <c r="F544" s="26">
        <f>E544*(1+Assumptions!$B$119*Forecast!$B$6)</f>
        <v>0.369491010665</v>
      </c>
      <c r="G544" s="26">
        <f>F544*(1+Assumptions!$B$120*Forecast!$B$6)</f>
        <v>0.375033375825</v>
      </c>
    </row>
    <row r="545">
      <c r="A545" s="9" t="inlineStr">
        <is>
          <t xml:space="preserve">  Volume — Naphtha, mn t</t>
        </is>
      </c>
      <c r="C545" s="26">
        <f>'Product and Cost'!E9*(1+Assumptions!$B$121*Forecast!$B$6)</f>
        <v>0.08410463971</v>
      </c>
      <c r="D545" s="26">
        <f>C545*(1+Assumptions!$B$122*Forecast!$B$6)</f>
        <v>0.0856185232248</v>
      </c>
      <c r="E545" s="26">
        <f>D545*(1+Assumptions!$B$123*Forecast!$B$6)</f>
        <v>0.0871596566428</v>
      </c>
      <c r="F545" s="26">
        <f>E545*(1+Assumptions!$B$124*Forecast!$B$6)</f>
        <v>0.0885542111491</v>
      </c>
      <c r="G545" s="26">
        <f>F545*(1+Assumptions!$B$125*Forecast!$B$6)</f>
        <v>0.0898825243163</v>
      </c>
    </row>
    <row r="546">
      <c r="A546" s="9" t="inlineStr">
        <is>
          <t xml:space="preserve">  Volume — Liquefied petroleum gas, mn t</t>
        </is>
      </c>
      <c r="C546" s="26">
        <f>'Product and Cost'!E10*(1+Assumptions!$B$126*Forecast!$B$6)</f>
        <v>0.0486583449</v>
      </c>
      <c r="D546" s="26">
        <f>C546*(1+Assumptions!$B$127*Forecast!$B$6)</f>
        <v>0.0497288284878</v>
      </c>
      <c r="E546" s="26">
        <f>D546*(1+Assumptions!$B$128*Forecast!$B$6)</f>
        <v>0.0507234050576</v>
      </c>
      <c r="F546" s="26">
        <f>E546*(1+Assumptions!$B$129*Forecast!$B$6)</f>
        <v>0.0516364263486</v>
      </c>
      <c r="G546" s="26">
        <f>F546*(1+Assumptions!$B$130*Forecast!$B$6)</f>
        <v>0.0524626091702</v>
      </c>
    </row>
    <row r="547">
      <c r="A547" s="9" t="inlineStr">
        <is>
          <t xml:space="preserve">  Volume — Fuel oil (mix), mn t</t>
        </is>
      </c>
      <c r="C547" s="26">
        <f>'Product and Cost'!E11*(1+Assumptions!$B$131*Forecast!$B$6)</f>
        <v>0.947916416</v>
      </c>
      <c r="D547" s="26">
        <f>C547*(1+Assumptions!$B$132*Forecast!$B$6)</f>
        <v>0.972562242816</v>
      </c>
      <c r="E547" s="26">
        <f>D547*(1+Assumptions!$B$133*Forecast!$B$6)</f>
        <v>0.993958612158</v>
      </c>
      <c r="F547" s="26">
        <f>E547*(1+Assumptions!$B$134*Forecast!$B$6)</f>
        <v>1.0138377844</v>
      </c>
      <c r="G547" s="26">
        <f>F547*(1+Assumptions!$B$135*Forecast!$B$6)</f>
        <v>1.03208686452</v>
      </c>
    </row>
    <row r="548">
      <c r="A548" s="9" t="inlineStr">
        <is>
          <t xml:space="preserve">  Volume — Heavy fuel oil, mn t</t>
        </is>
      </c>
      <c r="C548" s="26">
        <f>'Product and Cost'!E12*(1+Assumptions!$B$136*Forecast!$B$6)</f>
        <v>0.0292281408</v>
      </c>
      <c r="D548" s="26">
        <f>C548*(1+Assumptions!$B$137*Forecast!$B$6)</f>
        <v>0.0297542473344</v>
      </c>
      <c r="E548" s="26">
        <f>D548*(1+Assumptions!$B$138*Forecast!$B$6)</f>
        <v>0.0302303152918</v>
      </c>
      <c r="F548" s="26">
        <f>E548*(1+Assumptions!$B$139*Forecast!$B$6)</f>
        <v>0.0306837700211</v>
      </c>
      <c r="G548" s="26">
        <f>F548*(1+Assumptions!$B$140*Forecast!$B$6)</f>
        <v>0.0311133428014</v>
      </c>
    </row>
    <row r="549">
      <c r="A549" s="9" t="inlineStr">
        <is>
          <t xml:space="preserve">  Volume — Waste, mn t</t>
        </is>
      </c>
      <c r="C549" s="26">
        <f>'Product and Cost'!E13*(1+Assumptions!$B$141*Forecast!$B$6)</f>
        <v>1.564e-05</v>
      </c>
      <c r="D549" s="26">
        <f>C549*(1+Assumptions!$B$142*Forecast!$B$6)</f>
        <v>1.564e-05</v>
      </c>
      <c r="E549" s="26">
        <f>D549*(1+Assumptions!$B$143*Forecast!$B$6)</f>
        <v>1.564e-05</v>
      </c>
      <c r="F549" s="26">
        <f>E549*(1+Assumptions!$B$144*Forecast!$B$6)</f>
        <v>1.564e-05</v>
      </c>
      <c r="G549" s="26">
        <f>F549*(1+Assumptions!$B$145*Forecast!$B$6)</f>
        <v>1.564e-05</v>
      </c>
    </row>
    <row r="550">
      <c r="A550" s="17" t="inlineStr">
        <is>
          <t>Total volume, mn t</t>
        </is>
      </c>
      <c r="C550" s="28">
        <f>SUM(C542:C549)</f>
        <v>1.66444229485</v>
      </c>
      <c r="D550" s="28">
        <f>SUM(D542:D549)</f>
        <v>1.70871556852</v>
      </c>
      <c r="E550" s="28">
        <f>SUM(E542:E549)</f>
        <v>1.74798000264</v>
      </c>
      <c r="F550" s="28">
        <f>SUM(F542:F549)</f>
        <v>1.78389402684</v>
      </c>
      <c r="G550" s="28">
        <f>SUM(G542:G549)</f>
        <v>1.81710965772</v>
      </c>
    </row>
    <row r="551">
      <c r="A551" s="17" t="inlineStr">
        <is>
          <t>REVENUE</t>
        </is>
      </c>
      <c r="C551" s="20">
        <f>C542*'Product and Cost'!$F$6*C541+C543*'Product and Cost'!$F$7*C541+C544*'Product and Cost'!$F$8*C541+C545*'Product and Cost'!$F$9*C541+C546*'Product and Cost'!$F$10*C541+C547*'Product and Cost'!$F$11*C541+C548*'Product and Cost'!$F$12*C541+C549*'Product and Cost'!$F$13*C541</f>
        <v>52404.5108388</v>
      </c>
      <c r="D551" s="20">
        <f>D542*'Product and Cost'!$F$6*D541+D543*'Product and Cost'!$F$7*D541+D544*'Product and Cost'!$F$8*D541+D545*'Product and Cost'!$F$9*D541+D546*'Product and Cost'!$F$10*D541+D547*'Product and Cost'!$F$11*D541+D548*'Product and Cost'!$F$12*D541+D549*'Product and Cost'!$F$13*D541</f>
        <v>57545.3995869</v>
      </c>
      <c r="E551" s="20">
        <f>E542*'Product and Cost'!$F$6*E541+E543*'Product and Cost'!$F$7*E541+E544*'Product and Cost'!$F$8*E541+E545*'Product and Cost'!$F$9*E541+E546*'Product and Cost'!$F$10*E541+E547*'Product and Cost'!$F$11*E541+E548*'Product and Cost'!$F$12*E541+E549*'Product and Cost'!$F$13*E541</f>
        <v>62421.5066212</v>
      </c>
      <c r="F551" s="20">
        <f>F542*'Product and Cost'!$F$6*F541+F543*'Product and Cost'!$F$7*F541+F544*'Product and Cost'!$F$8*F541+F545*'Product and Cost'!$F$9*F541+F546*'Product and Cost'!$F$10*F541+F547*'Product and Cost'!$F$11*F541+F548*'Product and Cost'!$F$12*F541+F549*'Product and Cost'!$F$13*F541</f>
        <v>67121.3210013</v>
      </c>
      <c r="G551" s="20">
        <f>G542*'Product and Cost'!$F$6*G541+G543*'Product and Cost'!$F$7*G541+G544*'Product and Cost'!$F$8*G541+G545*'Product and Cost'!$F$9*G541+G546*'Product and Cost'!$F$10*G541+G547*'Product and Cost'!$F$11*G541+G548*'Product and Cost'!$F$12*G541+G549*'Product and Cost'!$F$13*G541</f>
        <v>71657.5803455</v>
      </c>
    </row>
    <row r="552">
      <c r="A552" s="9" t="inlineStr">
        <is>
          <t>Cost of sales</t>
        </is>
      </c>
      <c r="C552" s="18">
        <f>C542*('Product and Cost'!$D$27*C541*Assumptions!$B$88+'Product and Cost'!$B$27*(0.4863620081*C540+0.4455809638*C540+0.0356254898*C541+0.0324315384))+C543*('Product and Cost'!$D$28*C541*Assumptions!$B$88+'Product and Cost'!$B$28*(0.4863620081*C540+0.4455809638*C540+0.0356254898*C541+0.0324315384))+C544*('Product and Cost'!$D$29*C541*Assumptions!$B$88+'Product and Cost'!$B$29*(0.4863620081*C540+0.4455809638*C540+0.0356254898*C541+0.0324315384))+C545*('Product and Cost'!$D$30*C541*Assumptions!$B$88+'Product and Cost'!$B$30*(0.4863620081*C540+0.4455809638*C540+0.0356254898*C541+0.0324315384))+C546*('Product and Cost'!$D$31*C541*Assumptions!$B$88+'Product and Cost'!$B$31*(0.4863620081*C540+0.4455809638*C540+0.0356254898*C541+0.0324315384))+C547*('Product and Cost'!$D$32*C541*Assumptions!$B$88+'Product and Cost'!$B$32*(0.4863620081*C540+0.4455809638*C540+0.0356254898*C541+0.0324315384))+C548*('Product and Cost'!$D$33*C541*Assumptions!$B$88+'Product and Cost'!$B$33*(0.4863620081*C540+0.4455809638*C540+0.0356254898*C541+0.0324315384))+C549*('Product and Cost'!$D$34*C541*Assumptions!$B$88+'Product and Cost'!$B$34*(0.4863620081*C540+0.4455809638*C540+0.0356254898*C541+0.0324315384))</f>
        <v>47930.051272</v>
      </c>
      <c r="D552" s="18">
        <f>D542*('Product and Cost'!$D$27*D541*Assumptions!$B$88+'Product and Cost'!$B$27*(0.4863620081*D540+0.4455809638*D540+0.0356254898*D541+0.0324315384))+D543*('Product and Cost'!$D$28*D541*Assumptions!$B$88+'Product and Cost'!$B$28*(0.4863620081*D540+0.4455809638*D540+0.0356254898*D541+0.0324315384))+D544*('Product and Cost'!$D$29*D541*Assumptions!$B$88+'Product and Cost'!$B$29*(0.4863620081*D540+0.4455809638*D540+0.0356254898*D541+0.0324315384))+D545*('Product and Cost'!$D$30*D541*Assumptions!$B$88+'Product and Cost'!$B$30*(0.4863620081*D540+0.4455809638*D540+0.0356254898*D541+0.0324315384))+D546*('Product and Cost'!$D$31*D541*Assumptions!$B$88+'Product and Cost'!$B$31*(0.4863620081*D540+0.4455809638*D540+0.0356254898*D541+0.0324315384))+D547*('Product and Cost'!$D$32*D541*Assumptions!$B$88+'Product and Cost'!$B$32*(0.4863620081*D540+0.4455809638*D540+0.0356254898*D541+0.0324315384))+D548*('Product and Cost'!$D$33*D541*Assumptions!$B$88+'Product and Cost'!$B$33*(0.4863620081*D540+0.4455809638*D540+0.0356254898*D541+0.0324315384))+D549*('Product and Cost'!$D$34*D541*Assumptions!$B$88+'Product and Cost'!$B$34*(0.4863620081*D540+0.4455809638*D540+0.0356254898*D541+0.0324315384))</f>
        <v>52914.5245107</v>
      </c>
      <c r="E552" s="18">
        <f>E542*('Product and Cost'!$D$27*E541*Assumptions!$B$88+'Product and Cost'!$B$27*(0.4863620081*E540+0.4455809638*E540+0.0356254898*E541+0.0324315384))+E543*('Product and Cost'!$D$28*E541*Assumptions!$B$88+'Product and Cost'!$B$28*(0.4863620081*E540+0.4455809638*E540+0.0356254898*E541+0.0324315384))+E544*('Product and Cost'!$D$29*E541*Assumptions!$B$88+'Product and Cost'!$B$29*(0.4863620081*E540+0.4455809638*E540+0.0356254898*E541+0.0324315384))+E545*('Product and Cost'!$D$30*E541*Assumptions!$B$88+'Product and Cost'!$B$30*(0.4863620081*E540+0.4455809638*E540+0.0356254898*E541+0.0324315384))+E546*('Product and Cost'!$D$31*E541*Assumptions!$B$88+'Product and Cost'!$B$31*(0.4863620081*E540+0.4455809638*E540+0.0356254898*E541+0.0324315384))+E547*('Product and Cost'!$D$32*E541*Assumptions!$B$88+'Product and Cost'!$B$32*(0.4863620081*E540+0.4455809638*E540+0.0356254898*E541+0.0324315384))+E548*('Product and Cost'!$D$33*E541*Assumptions!$B$88+'Product and Cost'!$B$33*(0.4863620081*E540+0.4455809638*E540+0.0356254898*E541+0.0324315384))+E549*('Product and Cost'!$D$34*E541*Assumptions!$B$88+'Product and Cost'!$B$34*(0.4863620081*E540+0.4455809638*E540+0.0356254898*E541+0.0324315384))</f>
        <v>57698.4913391</v>
      </c>
      <c r="F552" s="18">
        <f>F542*('Product and Cost'!$D$27*F541*Assumptions!$B$88+'Product and Cost'!$B$27*(0.4863620081*F540+0.4455809638*F540+0.0356254898*F541+0.0324315384))+F543*('Product and Cost'!$D$28*F541*Assumptions!$B$88+'Product and Cost'!$B$28*(0.4863620081*F540+0.4455809638*F540+0.0356254898*F541+0.0324315384))+F544*('Product and Cost'!$D$29*F541*Assumptions!$B$88+'Product and Cost'!$B$29*(0.4863620081*F540+0.4455809638*F540+0.0356254898*F541+0.0324315384))+F545*('Product and Cost'!$D$30*F541*Assumptions!$B$88+'Product and Cost'!$B$30*(0.4863620081*F540+0.4455809638*F540+0.0356254898*F541+0.0324315384))+F546*('Product and Cost'!$D$31*F541*Assumptions!$B$88+'Product and Cost'!$B$31*(0.4863620081*F540+0.4455809638*F540+0.0356254898*F541+0.0324315384))+F547*('Product and Cost'!$D$32*F541*Assumptions!$B$88+'Product and Cost'!$B$32*(0.4863620081*F540+0.4455809638*F540+0.0356254898*F541+0.0324315384))+F548*('Product and Cost'!$D$33*F541*Assumptions!$B$88+'Product and Cost'!$B$33*(0.4863620081*F540+0.4455809638*F540+0.0356254898*F541+0.0324315384))+F549*('Product and Cost'!$D$34*F541*Assumptions!$B$88+'Product and Cost'!$B$34*(0.4863620081*F540+0.4455809638*F540+0.0356254898*F541+0.0324315384))</f>
        <v>62334.774229</v>
      </c>
      <c r="G552" s="18">
        <f>G542*('Product and Cost'!$D$27*G541*Assumptions!$B$88+'Product and Cost'!$B$27*(0.4863620081*G540+0.4455809638*G540+0.0356254898*G541+0.0324315384))+G543*('Product and Cost'!$D$28*G541*Assumptions!$B$88+'Product and Cost'!$B$28*(0.4863620081*G540+0.4455809638*G540+0.0356254898*G541+0.0324315384))+G544*('Product and Cost'!$D$29*G541*Assumptions!$B$88+'Product and Cost'!$B$29*(0.4863620081*G540+0.4455809638*G540+0.0356254898*G541+0.0324315384))+G545*('Product and Cost'!$D$30*G541*Assumptions!$B$88+'Product and Cost'!$B$30*(0.4863620081*G540+0.4455809638*G540+0.0356254898*G541+0.0324315384))+G546*('Product and Cost'!$D$31*G541*Assumptions!$B$88+'Product and Cost'!$B$31*(0.4863620081*G540+0.4455809638*G540+0.0356254898*G541+0.0324315384))+G547*('Product and Cost'!$D$32*G541*Assumptions!$B$88+'Product and Cost'!$B$32*(0.4863620081*G540+0.4455809638*G540+0.0356254898*G541+0.0324315384))+G548*('Product and Cost'!$D$33*G541*Assumptions!$B$88+'Product and Cost'!$B$33*(0.4863620081*G540+0.4455809638*G540+0.0356254898*G541+0.0324315384))+G549*('Product and Cost'!$D$34*G541*Assumptions!$B$88+'Product and Cost'!$B$34*(0.4863620081*G540+0.4455809638*G540+0.0356254898*G541+0.0324315384))</f>
        <v>66880.7460246</v>
      </c>
    </row>
    <row r="553">
      <c r="A553" s="17" t="inlineStr">
        <is>
          <t>GROSS PROFIT</t>
        </is>
      </c>
      <c r="C553" s="20">
        <f>C551-C552+Forecast!$B$7*C551</f>
        <v>4474.45956686</v>
      </c>
      <c r="D553" s="20">
        <f>D551-D552+Forecast!$B$7*D551</f>
        <v>4630.87507624</v>
      </c>
      <c r="E553" s="20">
        <f>E551-E552+Forecast!$B$7*E551</f>
        <v>4723.0152821</v>
      </c>
      <c r="F553" s="20">
        <f>F551-F552+Forecast!$B$7*F551</f>
        <v>4786.54677234</v>
      </c>
      <c r="G553" s="20">
        <f>G551-G552+Forecast!$B$7*G551</f>
        <v>4776.83432095</v>
      </c>
    </row>
    <row r="554">
      <c r="A554" s="9" t="inlineStr">
        <is>
          <t>Gross margin</t>
        </is>
      </c>
      <c r="C554" s="19">
        <f>C553/C551</f>
        <v>0.0853830995698</v>
      </c>
      <c r="D554" s="19">
        <f>D553/D551</f>
        <v>0.0804734194128</v>
      </c>
      <c r="E554" s="19">
        <f>E553/E551</f>
        <v>0.0756632695645</v>
      </c>
      <c r="F554" s="19">
        <f>F553/F551</f>
        <v>0.0713118678377</v>
      </c>
      <c r="G554" s="19">
        <f>G553/G551</f>
        <v>0.0666619539471</v>
      </c>
    </row>
    <row r="555">
      <c r="A555" s="9" t="inlineStr">
        <is>
          <t>Operating expense</t>
        </is>
      </c>
      <c r="C555" s="18">
        <f>('Base Year'!$B$28*C540)+('Base Year'!$B$29*C540*C550/'Product and Cost'!$E$14)+('Base Year'!$B$30*C540)+('Base Year'!$B$31*C540)</f>
        <v>2007.6668112</v>
      </c>
      <c r="D555" s="18">
        <f>('Base Year'!$B$28*D540)+('Base Year'!$B$29*D540*D550/'Product and Cost'!$E$14)+('Base Year'!$B$30*D540)+('Base Year'!$B$31*D540)</f>
        <v>2276.29775955</v>
      </c>
      <c r="E555" s="18">
        <f>('Base Year'!$B$28*E540)+('Base Year'!$B$29*E540*E550/'Product and Cost'!$E$14)+('Base Year'!$B$30*E540)+('Base Year'!$B$31*E540)</f>
        <v>2545.62118024</v>
      </c>
      <c r="F555" s="18">
        <f>('Base Year'!$B$28*F540)+('Base Year'!$B$29*F540*F550/'Product and Cost'!$E$14)+('Base Year'!$B$30*F540)+('Base Year'!$B$31*F540)</f>
        <v>2807.77881104</v>
      </c>
      <c r="G555" s="18">
        <f>('Base Year'!$B$28*G540)+('Base Year'!$B$29*G540*G550/'Product and Cost'!$E$14)+('Base Year'!$B$30*G540)+('Base Year'!$B$31*G540)</f>
        <v>3082.20998189</v>
      </c>
    </row>
    <row r="556">
      <c r="A556" s="17" t="inlineStr">
        <is>
          <t>EBITDA</t>
        </is>
      </c>
      <c r="C556" s="20">
        <f>C553-C555</f>
        <v>2466.79275566</v>
      </c>
      <c r="D556" s="20">
        <f>D553-D555</f>
        <v>2354.57731669</v>
      </c>
      <c r="E556" s="20">
        <f>E553-E555</f>
        <v>2177.39410186</v>
      </c>
      <c r="F556" s="20">
        <f>F553-F555</f>
        <v>1978.76796129</v>
      </c>
      <c r="G556" s="20">
        <f>G553-G555</f>
        <v>1694.62433906</v>
      </c>
    </row>
    <row r="557">
      <c r="A557" s="9" t="inlineStr">
        <is>
          <t>Capital expenditure — maintenance + growth</t>
        </is>
      </c>
      <c r="C557" s="18">
        <f>'Base Year'!$B$43*C540+MAX(C550-'Product and Cost'!$E$14,0)*1947.901031*C540</f>
        <v>280.931999159</v>
      </c>
      <c r="D557" s="18">
        <f>'Base Year'!$B$43*D540+MAX(D550-C550,0)*1947.901031*D540</f>
        <v>307.3675836</v>
      </c>
      <c r="E557" s="18">
        <f>'Base Year'!$B$43*E540+MAX(E550-D550,0)*1947.901031*E540</f>
        <v>328.639389001</v>
      </c>
      <c r="F557" s="18">
        <f>'Base Year'!$B$43*F540+MAX(F550-E550,0)*1947.901031*F540</f>
        <v>351.146749034</v>
      </c>
      <c r="G557" s="18">
        <f>'Base Year'!$B$43*G540+MAX(G550-F550,0)*1947.901031*G540</f>
        <v>375.372179467</v>
      </c>
    </row>
    <row r="558">
      <c r="A558" s="9" t="inlineStr">
        <is>
          <t>Fixed assets at cost, closing</t>
        </is>
      </c>
      <c r="C558" s="18">
        <f>(Assumptions!$B$70+Assumptions!$B$71)/10^6+C557</f>
        <v>3429.06589416</v>
      </c>
      <c r="D558" s="18">
        <f>C558+D557</f>
        <v>3736.43347776</v>
      </c>
      <c r="E558" s="18">
        <f>D558+E557</f>
        <v>4065.07286676</v>
      </c>
      <c r="F558" s="18">
        <f>E558+F557</f>
        <v>4416.21961579</v>
      </c>
      <c r="G558" s="18">
        <f>F558+G557</f>
        <v>4791.59179526</v>
      </c>
    </row>
    <row r="559">
      <c r="A559" s="9" t="inlineStr">
        <is>
          <t>Depreciation — rolls off the asset register</t>
        </is>
      </c>
      <c r="C559" s="18">
        <f>(Assumptions!$B$70+Assumptions!$B$71)/10^6/'Base Year'!$B$42</f>
        <v>173.808854481</v>
      </c>
      <c r="D559" s="18">
        <f>C558/'Base Year'!$B$42</f>
        <v>189.319144255</v>
      </c>
      <c r="E559" s="18">
        <f>D558/'Base Year'!$B$42</f>
        <v>206.288945856</v>
      </c>
      <c r="F559" s="18">
        <f>E558/'Base Year'!$B$42</f>
        <v>224.433166415</v>
      </c>
      <c r="G559" s="18">
        <f>F558/'Base Year'!$B$42</f>
        <v>243.820021053</v>
      </c>
    </row>
    <row r="560">
      <c r="A560" s="9" t="inlineStr">
        <is>
          <t>Fixed assets, net book, closing</t>
        </is>
      </c>
      <c r="C560" s="18">
        <f>(Assumptions!$B$69+Assumptions!$B$71)/10^6+C557-C559</f>
        <v>1407.46262168</v>
      </c>
      <c r="D560" s="18">
        <f>C560+D557-D559</f>
        <v>1525.51106102</v>
      </c>
      <c r="E560" s="18">
        <f>D560+E557-E559</f>
        <v>1647.86150417</v>
      </c>
      <c r="F560" s="18">
        <f>E560+F557-F559</f>
        <v>1774.57508679</v>
      </c>
      <c r="G560" s="18">
        <f>F560+G557-G559</f>
        <v>1906.1272452</v>
      </c>
    </row>
    <row r="561">
      <c r="A561" s="17" t="inlineStr">
        <is>
          <t>EBIT</t>
        </is>
      </c>
      <c r="C561" s="20">
        <f>C556-C559</f>
        <v>2292.98390118</v>
      </c>
      <c r="D561" s="20">
        <f>D556-D559</f>
        <v>2165.25817244</v>
      </c>
      <c r="E561" s="20">
        <f>E556-E559</f>
        <v>1971.105156</v>
      </c>
      <c r="F561" s="20">
        <f>F556-F559</f>
        <v>1754.33479488</v>
      </c>
      <c r="G561" s="20">
        <f>G556-G559</f>
        <v>1450.80431801</v>
      </c>
    </row>
    <row r="562">
      <c r="A562" s="9" t="inlineStr">
        <is>
          <t>NOPAT before the profit share</t>
        </is>
      </c>
      <c r="C562" s="18">
        <f>C561*(1-Assumptions!$B$87)</f>
        <v>1777.06252342</v>
      </c>
      <c r="D562" s="18">
        <f>D561*(1-Assumptions!$B$87)</f>
        <v>1678.07508364</v>
      </c>
      <c r="E562" s="18">
        <f>E561*(1-Assumptions!$B$87)</f>
        <v>1527.6064959</v>
      </c>
      <c r="F562" s="18">
        <f>F561*(1-Assumptions!$B$87)</f>
        <v>1359.60946603</v>
      </c>
      <c r="G562" s="18">
        <f>G561*(1-Assumptions!$B$87)</f>
        <v>1124.37334646</v>
      </c>
    </row>
    <row r="563">
      <c r="A563" s="9" t="inlineStr">
        <is>
          <t xml:space="preserve">  less employees' profit share and board bonuses</t>
        </is>
      </c>
      <c r="C563" s="18">
        <f>MAX(C562,0)*'Base Year'!$B$40</f>
        <v>93.6885833729</v>
      </c>
      <c r="D563" s="18">
        <f>MAX(D562,0)*'Base Year'!$B$40</f>
        <v>88.4698626569</v>
      </c>
      <c r="E563" s="18">
        <f>MAX(E562,0)*'Base Year'!$B$40</f>
        <v>80.5370023095</v>
      </c>
      <c r="F563" s="18">
        <f>MAX(F562,0)*'Base Year'!$B$40</f>
        <v>71.6800242729</v>
      </c>
      <c r="G563" s="18">
        <f>MAX(G562,0)*'Base Year'!$B$40</f>
        <v>59.2781315367</v>
      </c>
    </row>
    <row r="564">
      <c r="A564" s="17" t="inlineStr">
        <is>
          <t>NOPAT</t>
        </is>
      </c>
      <c r="C564" s="20">
        <f>C562-C563</f>
        <v>1683.37394004</v>
      </c>
      <c r="D564" s="20">
        <f>D562-D563</f>
        <v>1589.60522098</v>
      </c>
      <c r="E564" s="20">
        <f>E562-E563</f>
        <v>1447.06949359</v>
      </c>
      <c r="F564" s="20">
        <f>F562-F563</f>
        <v>1287.92944176</v>
      </c>
      <c r="G564" s="20">
        <f>G562-G563</f>
        <v>1065.09521492</v>
      </c>
    </row>
    <row r="565">
      <c r="A565" s="9" t="inlineStr">
        <is>
          <t>Net working capital — on days</t>
        </is>
      </c>
      <c r="C565" s="18">
        <f>'Base Year'!$B$44*Forecast!$B$9/365*C552+'Base Year'!$B$45*Forecast!$B$9/365*C551-'Base Year'!$B$46*Forecast!$B$9/365*C552</f>
        <v>2519.87738114</v>
      </c>
      <c r="D565" s="18">
        <f>'Base Year'!$B$44*Forecast!$B$9/365*D552+'Base Year'!$B$45*Forecast!$B$9/365*D551-'Base Year'!$B$46*Forecast!$B$9/365*D552</f>
        <v>2775.75344901</v>
      </c>
      <c r="E565" s="18">
        <f>'Base Year'!$B$44*Forecast!$B$9/365*E552+'Base Year'!$B$45*Forecast!$B$9/365*E551-'Base Year'!$B$46*Forecast!$B$9/365*E552</f>
        <v>3020.176961</v>
      </c>
      <c r="F565" s="18">
        <f>'Base Year'!$B$44*Forecast!$B$9/365*F552+'Base Year'!$B$45*Forecast!$B$9/365*F551-'Base Year'!$B$46*Forecast!$B$9/365*F552</f>
        <v>3256.53970016</v>
      </c>
      <c r="G565" s="18">
        <f>'Base Year'!$B$44*Forecast!$B$9/365*G552+'Base Year'!$B$45*Forecast!$B$9/365*G551-'Base Year'!$B$46*Forecast!$B$9/365*G552</f>
        <v>3486.85819298</v>
      </c>
    </row>
    <row r="566">
      <c r="A566" s="9" t="inlineStr">
        <is>
          <t xml:space="preserve">  change in working capital</t>
        </is>
      </c>
      <c r="C566" s="18">
        <f>C565-('Base Year'!$B$44/365*'Base Year'!$B$21+'Base Year'!$B$45/365*'Base Year'!$B$19-'Base Year'!$B$46/365*'Base Year'!$B$21)</f>
        <v>268.475092138</v>
      </c>
      <c r="D566" s="18">
        <f>D565-C565</f>
        <v>255.876067869</v>
      </c>
      <c r="E566" s="18">
        <f>E565-D565</f>
        <v>244.423511999</v>
      </c>
      <c r="F566" s="18">
        <f>F565-E565</f>
        <v>236.362739154</v>
      </c>
      <c r="G566" s="18">
        <f>G565-F565</f>
        <v>230.318492821</v>
      </c>
    </row>
    <row r="567">
      <c r="A567" s="17" t="inlineStr">
        <is>
          <t>FREE CASH FLOW TO THE FIRM</t>
        </is>
      </c>
      <c r="C567" s="20">
        <f>C564+C559-C557-C566</f>
        <v>1307.77570323</v>
      </c>
      <c r="D567" s="20">
        <f>D564+D559-D557-D566</f>
        <v>1215.68071377</v>
      </c>
      <c r="E567" s="20">
        <f>E564+E559-E557-E566</f>
        <v>1080.29553845</v>
      </c>
      <c r="F567" s="20">
        <f>F564+F559-F557-F566</f>
        <v>924.853119986</v>
      </c>
      <c r="G567" s="20">
        <f>G564+G559-G557-G566</f>
        <v>703.224563687</v>
      </c>
    </row>
    <row r="568">
      <c r="A568" s="9" t="inlineStr">
        <is>
          <t>Glide fraction</t>
        </is>
      </c>
      <c r="C568" s="26">
        <f>0.0000000000</f>
        <v>0</v>
      </c>
      <c r="D568" s="26">
        <f>0.3571428571</f>
        <v>0.3571428571</v>
      </c>
      <c r="E568" s="26">
        <f>0.6428571429</f>
        <v>0.6428571429</v>
      </c>
      <c r="F568" s="26">
        <f>0.8571428571</f>
        <v>0.8571428571</v>
      </c>
      <c r="G568" s="26">
        <f>1.0000000000</f>
        <v>1</v>
      </c>
    </row>
    <row r="569">
      <c r="A569" s="9" t="inlineStr">
        <is>
          <t>Forward cost of capital</t>
        </is>
      </c>
      <c r="C569" s="19">
        <f>Forecast!$B$14-(Forecast!$B$14-Forecast!$B$17)*C568</f>
        <v>0.31578338914</v>
      </c>
      <c r="D569" s="19">
        <f>Forecast!$B$14-(Forecast!$B$14-Forecast!$B$17)*D568</f>
        <v>0.268515637955</v>
      </c>
      <c r="E569" s="19">
        <f>Forecast!$B$14-(Forecast!$B$14-Forecast!$B$17)*E568</f>
        <v>0.230701436991</v>
      </c>
      <c r="F569" s="19">
        <f>Forecast!$B$14-(Forecast!$B$14-Forecast!$B$17)*F568</f>
        <v>0.202340786287</v>
      </c>
      <c r="G569" s="19">
        <f>Forecast!$B$14-(Forecast!$B$14-Forecast!$B$17)*G568</f>
        <v>0.183433685805</v>
      </c>
    </row>
    <row r="570">
      <c r="A570" s="9" t="inlineStr">
        <is>
          <t>Cumulative discount factor</t>
        </is>
      </c>
      <c r="C570" s="29">
        <f>1/(1+C569)</f>
        <v>0.760003514449</v>
      </c>
      <c r="D570" s="29">
        <f>C570/(1+D569)</f>
        <v>0.599128218612</v>
      </c>
      <c r="E570" s="29">
        <f>D570/(1+E569)</f>
        <v>0.486818492775</v>
      </c>
      <c r="F570" s="29">
        <f>E570/(1+F569)</f>
        <v>0.404892272081</v>
      </c>
      <c r="G570" s="29">
        <f>F570/(1+G569)</f>
        <v>0.342133468852</v>
      </c>
    </row>
    <row r="571">
      <c r="A571" s="9" t="inlineStr">
        <is>
          <t>Present value</t>
        </is>
      </c>
      <c r="C571" s="18">
        <f>C567*C570</f>
        <v>993.914130563</v>
      </c>
      <c r="D571" s="18">
        <f>D567*D570</f>
        <v>728.34862044</v>
      </c>
      <c r="E571" s="18">
        <f>E567*E570</f>
        <v>525.90784578</v>
      </c>
      <c r="F571" s="18">
        <f>F567*F570</f>
        <v>374.465881092</v>
      </c>
      <c r="G571" s="18">
        <f>G567*G570</f>
        <v>240.596659356</v>
      </c>
    </row>
    <row r="572">
      <c r="A572" s="17" t="inlineStr">
        <is>
          <t>PV of the explicit window</t>
        </is>
      </c>
      <c r="B572" s="20">
        <f>SUM(C571:G571)</f>
        <v>2863.23313723</v>
      </c>
      <c r="C572" s="18">
        <f>C565+C558</f>
        <v>5948.9432753</v>
      </c>
      <c r="D572" s="18">
        <f>D565+D558</f>
        <v>6512.18692677</v>
      </c>
      <c r="E572" s="18">
        <f>E565+E558</f>
        <v>7085.24982776</v>
      </c>
      <c r="F572" s="18">
        <f>F565+F558</f>
        <v>7672.75931595</v>
      </c>
      <c r="G572" s="18">
        <f>G565+G558</f>
        <v>8278.44998824</v>
      </c>
    </row>
    <row r="573">
      <c r="A573" s="9" t="inlineStr">
        <is>
          <t>Terminal return on invested capital, at REPLACEMENT cost</t>
        </is>
      </c>
      <c r="B573" s="19">
        <f>G564*(1+Assumptions!$B$89)/G572</f>
        <v>0.135091711281</v>
      </c>
    </row>
    <row r="574">
      <c r="A574" s="9" t="inlineStr">
        <is>
          <t>Required reinvestment = growth / return</t>
        </is>
      </c>
      <c r="B574" s="19">
        <f>MIN(Assumptions!$B$89/B573,0.95)</f>
        <v>0.370118932729</v>
      </c>
    </row>
    <row r="575">
      <c r="A575" s="9" t="inlineStr">
        <is>
          <t>Terminal value</t>
        </is>
      </c>
      <c r="B575" s="18">
        <f>G564*(1+Assumptions!$B$89)*(1-B574)/MAX(Forecast!$B$17-Assumptions!$B$89,0.02)</f>
        <v>5279.23269153</v>
      </c>
    </row>
    <row r="576">
      <c r="A576" s="9" t="inlineStr">
        <is>
          <t>PV of the terminal block</t>
        </is>
      </c>
      <c r="B576" s="18">
        <f>B575*G570</f>
        <v>1806.20219363</v>
      </c>
    </row>
    <row r="577">
      <c r="A577" s="17" t="inlineStr">
        <is>
          <t>ENTERPRISE VALUE</t>
        </is>
      </c>
      <c r="B577" s="20">
        <f>B572+B576</f>
        <v>4669.43533086</v>
      </c>
    </row>
    <row r="578">
      <c r="A578" s="9" t="inlineStr">
        <is>
          <t>plus net cash</t>
        </is>
      </c>
      <c r="B578" s="18">
        <f>(Assumptions!$B$79-Assumptions!$B$82-Assumptions!$B$83)/10^6</f>
        <v>2442.544928</v>
      </c>
    </row>
    <row r="579">
      <c r="A579" s="9" t="inlineStr">
        <is>
          <t>Enterprise value including cash</t>
        </is>
      </c>
      <c r="B579" s="18">
        <f>B577+B578</f>
        <v>7111.98025886</v>
      </c>
    </row>
    <row r="580">
      <c r="A580" s="9" t="inlineStr">
        <is>
          <t>less minority — on the WHOLE enterprise, cash included</t>
        </is>
      </c>
      <c r="B580" s="18">
        <f>B579*'Base Year'!$B$41</f>
        <v>231.725689433</v>
      </c>
    </row>
    <row r="581">
      <c r="A581" s="9" t="inlineStr">
        <is>
          <t>less the tax-disputes provision</t>
        </is>
      </c>
      <c r="B581" s="18">
        <f>Assumptions!$B$78/10^6</f>
        <v>921.440353</v>
      </c>
    </row>
    <row r="582">
      <c r="A582" s="9" t="inlineStr">
        <is>
          <t>less dividends payable — declared, out of working capital</t>
        </is>
      </c>
      <c r="B582" s="18">
        <f>Assumptions!$B$77/10^6</f>
        <v>517.25</v>
      </c>
    </row>
    <row r="583">
      <c r="A583" s="9" t="inlineStr">
        <is>
          <t>plus non-operating investments and pledged deposits</t>
        </is>
      </c>
      <c r="B583" s="18">
        <f>(Assumptions!$B$81+Assumptions!$B$80)/10^6</f>
        <v>578.358746</v>
      </c>
    </row>
    <row r="584">
      <c r="A584" s="17" t="inlineStr">
        <is>
          <t>EQUITY ATTRIBUTABLE</t>
        </is>
      </c>
      <c r="B584" s="20">
        <f>B579-B580-B581-B582+B583</f>
        <v>6019.92296243</v>
      </c>
    </row>
    <row r="585">
      <c r="A585" s="17" t="inlineStr">
        <is>
          <t>VALUE PER SHARE, EGP</t>
        </is>
      </c>
      <c r="B585" s="30">
        <f>B584/Assumptions!$B$8</f>
        <v>4.66118696278</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9" t="inlineStr">
        <is>
          <t>Inflation index, cumulative</t>
        </is>
      </c>
      <c r="C589" s="26">
        <f>Assumptions!$B$146</f>
        <v>1.145</v>
      </c>
      <c r="D589" s="26">
        <f>C589*Assumptions!$B$147</f>
        <v>1.29385</v>
      </c>
      <c r="E589" s="26">
        <f>D589*Assumptions!$B$148</f>
        <v>1.44264275</v>
      </c>
      <c r="F589" s="26">
        <f>E589*Assumptions!$B$149</f>
        <v>1.586907025</v>
      </c>
      <c r="G589" s="26">
        <f>F589*Assumptions!$B$150</f>
        <v>1.73766319237</v>
      </c>
    </row>
    <row r="590">
      <c r="A590" s="9" t="inlineStr">
        <is>
          <t>Realisation index, cumulative</t>
        </is>
      </c>
      <c r="C590" s="26">
        <f>(1+Assumptions!$B$101*$D$21)</f>
        <v>1.0855</v>
      </c>
      <c r="D590" s="26">
        <f>C590*(1+Assumptions!$B$102*$D$21)</f>
        <v>1.162841875</v>
      </c>
      <c r="E590" s="26">
        <f>D590*(1+Assumptions!$B$103*$D$21)</f>
        <v>1.23464736078</v>
      </c>
      <c r="F590" s="26">
        <f>E590*(1+Assumptions!$B$104*$D$21)</f>
        <v>1.30267643036</v>
      </c>
      <c r="G590" s="26">
        <f>F590*(1+Assumptions!$B$105*$D$21)</f>
        <v>1.36702864602</v>
      </c>
    </row>
    <row r="591">
      <c r="A591" s="9" t="inlineStr">
        <is>
          <t xml:space="preserve">  Volume — Base and special oils, mn t</t>
        </is>
      </c>
      <c r="C591" s="26">
        <f>'Product and Cost'!E6*(1+Assumptions!$B$106*Forecast!$B$6)</f>
        <v>0.1148851682</v>
      </c>
      <c r="D591" s="26">
        <f>C591*(1+Assumptions!$B$107*Forecast!$B$6)</f>
        <v>0.119480574928</v>
      </c>
      <c r="E591" s="26">
        <f>D591*(1+Assumptions!$B$108*Forecast!$B$6)</f>
        <v>0.12366239505</v>
      </c>
      <c r="F591" s="26">
        <f>E591*(1+Assumptions!$B$109*Forecast!$B$6)</f>
        <v>0.127372266902</v>
      </c>
      <c r="G591" s="26">
        <f>F591*(1+Assumptions!$B$110*Forecast!$B$6)</f>
        <v>0.130938690375</v>
      </c>
    </row>
    <row r="592">
      <c r="A592" s="9" t="inlineStr">
        <is>
          <t xml:space="preserve">  Volume — Paraffin wax, mn t</t>
        </is>
      </c>
      <c r="C592" s="26">
        <f>'Product and Cost'!E7*(1+Assumptions!$B$111*Forecast!$B$6)</f>
        <v>0.089396788</v>
      </c>
      <c r="D592" s="26">
        <f>C592*(1+Assumptions!$B$112*Forecast!$B$6)</f>
        <v>0.09431361134</v>
      </c>
      <c r="E592" s="26">
        <f>D592*(1+Assumptions!$B$113*Forecast!$B$6)</f>
        <v>0.0985577238503</v>
      </c>
      <c r="F592" s="26">
        <f>E592*(1+Assumptions!$B$114*Forecast!$B$6)</f>
        <v>0.102302917357</v>
      </c>
      <c r="G592" s="26">
        <f>F592*(1+Assumptions!$B$115*Forecast!$B$6)</f>
        <v>0.105576610712</v>
      </c>
    </row>
    <row r="593">
      <c r="A593" s="9" t="inlineStr">
        <is>
          <t xml:space="preserve">  Volume — Gas oil, mn t</t>
        </is>
      </c>
      <c r="C593" s="26">
        <f>'Product and Cost'!E8*(1+Assumptions!$B$116*Forecast!$B$6)</f>
        <v>0.35023715724</v>
      </c>
      <c r="D593" s="26">
        <f>C593*(1+Assumptions!$B$117*Forecast!$B$6)</f>
        <v>0.357241900385</v>
      </c>
      <c r="E593" s="26">
        <f>D593*(1+Assumptions!$B$118*Forecast!$B$6)</f>
        <v>0.363672254592</v>
      </c>
      <c r="F593" s="26">
        <f>E593*(1+Assumptions!$B$119*Forecast!$B$6)</f>
        <v>0.369491010665</v>
      </c>
      <c r="G593" s="26">
        <f>F593*(1+Assumptions!$B$120*Forecast!$B$6)</f>
        <v>0.375033375825</v>
      </c>
    </row>
    <row r="594">
      <c r="A594" s="9" t="inlineStr">
        <is>
          <t xml:space="preserve">  Volume — Naphtha, mn t</t>
        </is>
      </c>
      <c r="C594" s="26">
        <f>'Product and Cost'!E9*(1+Assumptions!$B$121*Forecast!$B$6)</f>
        <v>0.08410463971</v>
      </c>
      <c r="D594" s="26">
        <f>C594*(1+Assumptions!$B$122*Forecast!$B$6)</f>
        <v>0.0856185232248</v>
      </c>
      <c r="E594" s="26">
        <f>D594*(1+Assumptions!$B$123*Forecast!$B$6)</f>
        <v>0.0871596566428</v>
      </c>
      <c r="F594" s="26">
        <f>E594*(1+Assumptions!$B$124*Forecast!$B$6)</f>
        <v>0.0885542111491</v>
      </c>
      <c r="G594" s="26">
        <f>F594*(1+Assumptions!$B$125*Forecast!$B$6)</f>
        <v>0.0898825243163</v>
      </c>
    </row>
    <row r="595">
      <c r="A595" s="9" t="inlineStr">
        <is>
          <t xml:space="preserve">  Volume — Liquefied petroleum gas, mn t</t>
        </is>
      </c>
      <c r="C595" s="26">
        <f>'Product and Cost'!E10*(1+Assumptions!$B$126*Forecast!$B$6)</f>
        <v>0.0486583449</v>
      </c>
      <c r="D595" s="26">
        <f>C595*(1+Assumptions!$B$127*Forecast!$B$6)</f>
        <v>0.0497288284878</v>
      </c>
      <c r="E595" s="26">
        <f>D595*(1+Assumptions!$B$128*Forecast!$B$6)</f>
        <v>0.0507234050576</v>
      </c>
      <c r="F595" s="26">
        <f>E595*(1+Assumptions!$B$129*Forecast!$B$6)</f>
        <v>0.0516364263486</v>
      </c>
      <c r="G595" s="26">
        <f>F595*(1+Assumptions!$B$130*Forecast!$B$6)</f>
        <v>0.0524626091702</v>
      </c>
    </row>
    <row r="596">
      <c r="A596" s="9" t="inlineStr">
        <is>
          <t xml:space="preserve">  Volume — Fuel oil (mix), mn t</t>
        </is>
      </c>
      <c r="C596" s="26">
        <f>'Product and Cost'!E11*(1+Assumptions!$B$131*Forecast!$B$6)</f>
        <v>0.947916416</v>
      </c>
      <c r="D596" s="26">
        <f>C596*(1+Assumptions!$B$132*Forecast!$B$6)</f>
        <v>0.972562242816</v>
      </c>
      <c r="E596" s="26">
        <f>D596*(1+Assumptions!$B$133*Forecast!$B$6)</f>
        <v>0.993958612158</v>
      </c>
      <c r="F596" s="26">
        <f>E596*(1+Assumptions!$B$134*Forecast!$B$6)</f>
        <v>1.0138377844</v>
      </c>
      <c r="G596" s="26">
        <f>F596*(1+Assumptions!$B$135*Forecast!$B$6)</f>
        <v>1.03208686452</v>
      </c>
    </row>
    <row r="597">
      <c r="A597" s="9" t="inlineStr">
        <is>
          <t xml:space="preserve">  Volume — Heavy fuel oil, mn t</t>
        </is>
      </c>
      <c r="C597" s="26">
        <f>'Product and Cost'!E12*(1+Assumptions!$B$136*Forecast!$B$6)</f>
        <v>0.0292281408</v>
      </c>
      <c r="D597" s="26">
        <f>C597*(1+Assumptions!$B$137*Forecast!$B$6)</f>
        <v>0.0297542473344</v>
      </c>
      <c r="E597" s="26">
        <f>D597*(1+Assumptions!$B$138*Forecast!$B$6)</f>
        <v>0.0302303152918</v>
      </c>
      <c r="F597" s="26">
        <f>E597*(1+Assumptions!$B$139*Forecast!$B$6)</f>
        <v>0.0306837700211</v>
      </c>
      <c r="G597" s="26">
        <f>F597*(1+Assumptions!$B$140*Forecast!$B$6)</f>
        <v>0.0311133428014</v>
      </c>
    </row>
    <row r="598">
      <c r="A598" s="9" t="inlineStr">
        <is>
          <t xml:space="preserve">  Volume — Waste, mn t</t>
        </is>
      </c>
      <c r="C598" s="26">
        <f>'Product and Cost'!E13*(1+Assumptions!$B$141*Forecast!$B$6)</f>
        <v>1.564e-05</v>
      </c>
      <c r="D598" s="26">
        <f>C598*(1+Assumptions!$B$142*Forecast!$B$6)</f>
        <v>1.564e-05</v>
      </c>
      <c r="E598" s="26">
        <f>D598*(1+Assumptions!$B$143*Forecast!$B$6)</f>
        <v>1.564e-05</v>
      </c>
      <c r="F598" s="26">
        <f>E598*(1+Assumptions!$B$144*Forecast!$B$6)</f>
        <v>1.564e-05</v>
      </c>
      <c r="G598" s="26">
        <f>F598*(1+Assumptions!$B$145*Forecast!$B$6)</f>
        <v>1.564e-05</v>
      </c>
    </row>
    <row r="599">
      <c r="A599" s="17" t="inlineStr">
        <is>
          <t>Total volume, mn t</t>
        </is>
      </c>
      <c r="C599" s="28">
        <f>SUM(C591:C598)</f>
        <v>1.66444229485</v>
      </c>
      <c r="D599" s="28">
        <f>SUM(D591:D598)</f>
        <v>1.70871556852</v>
      </c>
      <c r="E599" s="28">
        <f>SUM(E591:E598)</f>
        <v>1.74798000264</v>
      </c>
      <c r="F599" s="28">
        <f>SUM(F591:F598)</f>
        <v>1.78389402684</v>
      </c>
      <c r="G599" s="28">
        <f>SUM(G591:G598)</f>
        <v>1.81710965772</v>
      </c>
    </row>
    <row r="600">
      <c r="A600" s="17" t="inlineStr">
        <is>
          <t>REVENUE</t>
        </is>
      </c>
      <c r="C600" s="20">
        <f>C591*'Product and Cost'!$F$6*C590+C592*'Product and Cost'!$F$7*C590+C593*'Product and Cost'!$F$8*C590+C594*'Product and Cost'!$F$9*C590+C595*'Product and Cost'!$F$10*C590+C596*'Product and Cost'!$F$11*C590+C597*'Product and Cost'!$F$12*C590+C598*'Product and Cost'!$F$13*C590</f>
        <v>52622.6609765</v>
      </c>
      <c r="D600" s="20">
        <f>D591*'Product and Cost'!$F$6*D590+D592*'Product and Cost'!$F$7*D590+D593*'Product and Cost'!$F$8*D590+D594*'Product and Cost'!$F$9*D590+D595*'Product and Cost'!$F$10*D590+D596*'Product and Cost'!$F$11*D590+D597*'Product and Cost'!$F$12*D590+D598*'Product and Cost'!$F$13*D590</f>
        <v>57987.9419076</v>
      </c>
      <c r="E600" s="20">
        <f>E591*'Product and Cost'!$F$6*E590+E592*'Product and Cost'!$F$7*E590+E593*'Product and Cost'!$F$8*E590+E594*'Product and Cost'!$F$9*E590+E595*'Product and Cost'!$F$10*E590+E596*'Product and Cost'!$F$11*E590+E597*'Product and Cost'!$F$12*E590+E598*'Product and Cost'!$F$13*E590</f>
        <v>63094.6795657</v>
      </c>
      <c r="F600" s="20">
        <f>F591*'Product and Cost'!$F$6*F590+F592*'Product and Cost'!$F$7*F590+F593*'Product and Cost'!$F$8*F590+F594*'Product and Cost'!$F$9*F590+F595*'Product and Cost'!$F$10*F590+F596*'Product and Cost'!$F$11*F590+F597*'Product and Cost'!$F$12*F590+F598*'Product and Cost'!$F$13*F590</f>
        <v>68032.168338</v>
      </c>
      <c r="G600" s="20">
        <f>G591*'Product and Cost'!$F$6*G590+G592*'Product and Cost'!$F$7*G590+G593*'Product and Cost'!$F$8*G590+G594*'Product and Cost'!$F$9*G590+G595*'Product and Cost'!$F$10*G590+G596*'Product and Cost'!$F$11*G590+G597*'Product and Cost'!$F$12*G590+G598*'Product and Cost'!$F$13*G590</f>
        <v>72810.3809206</v>
      </c>
    </row>
    <row r="601">
      <c r="A601" s="9" t="inlineStr">
        <is>
          <t>Cost of sales</t>
        </is>
      </c>
      <c r="C601" s="18">
        <f>C591*('Product and Cost'!$D$27*C590*Assumptions!$B$88+'Product and Cost'!$B$27*(0.4863620081*C589+0.4455809638*C589+0.0356254898*C590+0.0324315384))+C592*('Product and Cost'!$D$28*C590*Assumptions!$B$88+'Product and Cost'!$B$28*(0.4863620081*C589+0.4455809638*C589+0.0356254898*C590+0.0324315384))+C593*('Product and Cost'!$D$29*C590*Assumptions!$B$88+'Product and Cost'!$B$29*(0.4863620081*C589+0.4455809638*C589+0.0356254898*C590+0.0324315384))+C594*('Product and Cost'!$D$30*C590*Assumptions!$B$88+'Product and Cost'!$B$30*(0.4863620081*C589+0.4455809638*C589+0.0356254898*C590+0.0324315384))+C595*('Product and Cost'!$D$31*C590*Assumptions!$B$88+'Product and Cost'!$B$31*(0.4863620081*C589+0.4455809638*C589+0.0356254898*C590+0.0324315384))+C596*('Product and Cost'!$D$32*C590*Assumptions!$B$88+'Product and Cost'!$B$32*(0.4863620081*C589+0.4455809638*C589+0.0356254898*C590+0.0324315384))+C597*('Product and Cost'!$D$33*C590*Assumptions!$B$88+'Product and Cost'!$B$33*(0.4863620081*C589+0.4455809638*C589+0.0356254898*C590+0.0324315384))+C598*('Product and Cost'!$D$34*C590*Assumptions!$B$88+'Product and Cost'!$B$34*(0.4863620081*C589+0.4455809638*C589+0.0356254898*C590+0.0324315384))</f>
        <v>48110.6058716</v>
      </c>
      <c r="D601" s="18">
        <f>D591*('Product and Cost'!$D$27*D590*Assumptions!$B$88+'Product and Cost'!$B$27*(0.4863620081*D589+0.4455809638*D589+0.0356254898*D590+0.0324315384))+D592*('Product and Cost'!$D$28*D590*Assumptions!$B$88+'Product and Cost'!$B$28*(0.4863620081*D589+0.4455809638*D589+0.0356254898*D590+0.0324315384))+D593*('Product and Cost'!$D$29*D590*Assumptions!$B$88+'Product and Cost'!$B$29*(0.4863620081*D589+0.4455809638*D589+0.0356254898*D590+0.0324315384))+D594*('Product and Cost'!$D$30*D590*Assumptions!$B$88+'Product and Cost'!$B$30*(0.4863620081*D589+0.4455809638*D589+0.0356254898*D590+0.0324315384))+D595*('Product and Cost'!$D$31*D590*Assumptions!$B$88+'Product and Cost'!$B$31*(0.4863620081*D589+0.4455809638*D589+0.0356254898*D590+0.0324315384))+D596*('Product and Cost'!$D$32*D590*Assumptions!$B$88+'Product and Cost'!$B$32*(0.4863620081*D589+0.4455809638*D589+0.0356254898*D590+0.0324315384))+D597*('Product and Cost'!$D$33*D590*Assumptions!$B$88+'Product and Cost'!$B$33*(0.4863620081*D589+0.4455809638*D589+0.0356254898*D590+0.0324315384))+D598*('Product and Cost'!$D$34*D590*Assumptions!$B$88+'Product and Cost'!$B$34*(0.4863620081*D589+0.4455809638*D589+0.0356254898*D590+0.0324315384))</f>
        <v>53280.5573893</v>
      </c>
      <c r="E601" s="18">
        <f>E591*('Product and Cost'!$D$27*E590*Assumptions!$B$88+'Product and Cost'!$B$27*(0.4863620081*E589+0.4455809638*E589+0.0356254898*E590+0.0324315384))+E592*('Product and Cost'!$D$28*E590*Assumptions!$B$88+'Product and Cost'!$B$28*(0.4863620081*E589+0.4455809638*E589+0.0356254898*E590+0.0324315384))+E593*('Product and Cost'!$D$29*E590*Assumptions!$B$88+'Product and Cost'!$B$29*(0.4863620081*E589+0.4455809638*E589+0.0356254898*E590+0.0324315384))+E594*('Product and Cost'!$D$30*E590*Assumptions!$B$88+'Product and Cost'!$B$30*(0.4863620081*E589+0.4455809638*E589+0.0356254898*E590+0.0324315384))+E595*('Product and Cost'!$D$31*E590*Assumptions!$B$88+'Product and Cost'!$B$31*(0.4863620081*E589+0.4455809638*E589+0.0356254898*E590+0.0324315384))+E596*('Product and Cost'!$D$32*E590*Assumptions!$B$88+'Product and Cost'!$B$32*(0.4863620081*E589+0.4455809638*E589+0.0356254898*E590+0.0324315384))+E597*('Product and Cost'!$D$33*E590*Assumptions!$B$88+'Product and Cost'!$B$33*(0.4863620081*E589+0.4455809638*E589+0.0356254898*E590+0.0324315384))+E598*('Product and Cost'!$D$34*E590*Assumptions!$B$88+'Product and Cost'!$B$34*(0.4863620081*E589+0.4455809638*E589+0.0356254898*E590+0.0324315384))</f>
        <v>58254.96864</v>
      </c>
      <c r="F601" s="18">
        <f>F591*('Product and Cost'!$D$27*F590*Assumptions!$B$88+'Product and Cost'!$B$27*(0.4863620081*F589+0.4455809638*F589+0.0356254898*F590+0.0324315384))+F592*('Product and Cost'!$D$28*F590*Assumptions!$B$88+'Product and Cost'!$B$28*(0.4863620081*F589+0.4455809638*F589+0.0356254898*F590+0.0324315384))+F593*('Product and Cost'!$D$29*F590*Assumptions!$B$88+'Product and Cost'!$B$29*(0.4863620081*F589+0.4455809638*F589+0.0356254898*F590+0.0324315384))+F594*('Product and Cost'!$D$30*F590*Assumptions!$B$88+'Product and Cost'!$B$30*(0.4863620081*F589+0.4455809638*F589+0.0356254898*F590+0.0324315384))+F595*('Product and Cost'!$D$31*F590*Assumptions!$B$88+'Product and Cost'!$B$31*(0.4863620081*F589+0.4455809638*F589+0.0356254898*F590+0.0324315384))+F596*('Product and Cost'!$D$32*F590*Assumptions!$B$88+'Product and Cost'!$B$32*(0.4863620081*F589+0.4455809638*F589+0.0356254898*F590+0.0324315384))+F597*('Product and Cost'!$D$33*F590*Assumptions!$B$88+'Product and Cost'!$B$33*(0.4863620081*F589+0.4455809638*F589+0.0356254898*F590+0.0324315384))+F598*('Product and Cost'!$D$34*F590*Assumptions!$B$88+'Product and Cost'!$B$34*(0.4863620081*F589+0.4455809638*F589+0.0356254898*F590+0.0324315384))</f>
        <v>63087.388004</v>
      </c>
      <c r="G601" s="18">
        <f>G591*('Product and Cost'!$D$27*G590*Assumptions!$B$88+'Product and Cost'!$B$27*(0.4863620081*G589+0.4455809638*G589+0.0356254898*G590+0.0324315384))+G592*('Product and Cost'!$D$28*G590*Assumptions!$B$88+'Product and Cost'!$B$28*(0.4863620081*G589+0.4455809638*G589+0.0356254898*G590+0.0324315384))+G593*('Product and Cost'!$D$29*G590*Assumptions!$B$88+'Product and Cost'!$B$29*(0.4863620081*G589+0.4455809638*G589+0.0356254898*G590+0.0324315384))+G594*('Product and Cost'!$D$30*G590*Assumptions!$B$88+'Product and Cost'!$B$30*(0.4863620081*G589+0.4455809638*G589+0.0356254898*G590+0.0324315384))+G595*('Product and Cost'!$D$31*G590*Assumptions!$B$88+'Product and Cost'!$B$31*(0.4863620081*G589+0.4455809638*G589+0.0356254898*G590+0.0324315384))+G596*('Product and Cost'!$D$32*G590*Assumptions!$B$88+'Product and Cost'!$B$32*(0.4863620081*G589+0.4455809638*G589+0.0356254898*G590+0.0324315384))+G597*('Product and Cost'!$D$33*G590*Assumptions!$B$88+'Product and Cost'!$B$33*(0.4863620081*G589+0.4455809638*G589+0.0356254898*G590+0.0324315384))+G598*('Product and Cost'!$D$34*G590*Assumptions!$B$88+'Product and Cost'!$B$34*(0.4863620081*G589+0.4455809638*G589+0.0356254898*G590+0.0324315384))</f>
        <v>67832.9110014</v>
      </c>
    </row>
    <row r="602">
      <c r="A602" s="17" t="inlineStr">
        <is>
          <t>GROSS PROFIT</t>
        </is>
      </c>
      <c r="C602" s="20">
        <f>C600-C601+Forecast!$B$7*C600</f>
        <v>4512.05510486</v>
      </c>
      <c r="D602" s="20">
        <f>D600-D601+Forecast!$B$7*D600</f>
        <v>4707.38451835</v>
      </c>
      <c r="E602" s="20">
        <f>E600-E601+Forecast!$B$7*E600</f>
        <v>4839.71092573</v>
      </c>
      <c r="F602" s="20">
        <f>F600-F601+Forecast!$B$7*F600</f>
        <v>4944.78033403</v>
      </c>
      <c r="G602" s="20">
        <f>G600-G601+Forecast!$B$7*G600</f>
        <v>4977.46991912</v>
      </c>
    </row>
    <row r="603">
      <c r="A603" s="9" t="inlineStr">
        <is>
          <t>Gross margin</t>
        </is>
      </c>
      <c r="C603" s="19">
        <f>C602/C600</f>
        <v>0.0857435755079</v>
      </c>
      <c r="D603" s="19">
        <f>D602/D600</f>
        <v>0.0811786789372</v>
      </c>
      <c r="E603" s="19">
        <f>E602/E600</f>
        <v>0.0767055314179</v>
      </c>
      <c r="F603" s="19">
        <f>F602/F600</f>
        <v>0.0726829741698</v>
      </c>
      <c r="G603" s="19">
        <f>G602/G600</f>
        <v>0.0683620914517</v>
      </c>
    </row>
    <row r="604">
      <c r="A604" s="9" t="inlineStr">
        <is>
          <t>Operating expense</t>
        </is>
      </c>
      <c r="C604" s="18">
        <f>('Base Year'!$B$28*C589)+('Base Year'!$B$29*C589*C599/'Product and Cost'!$E$14)+('Base Year'!$B$30*C589)+('Base Year'!$B$31*C589)</f>
        <v>2007.6668112</v>
      </c>
      <c r="D604" s="18">
        <f>('Base Year'!$B$28*D589)+('Base Year'!$B$29*D589*D599/'Product and Cost'!$E$14)+('Base Year'!$B$30*D589)+('Base Year'!$B$31*D589)</f>
        <v>2276.29775955</v>
      </c>
      <c r="E604" s="18">
        <f>('Base Year'!$B$28*E589)+('Base Year'!$B$29*E589*E599/'Product and Cost'!$E$14)+('Base Year'!$B$30*E589)+('Base Year'!$B$31*E589)</f>
        <v>2545.62118024</v>
      </c>
      <c r="F604" s="18">
        <f>('Base Year'!$B$28*F589)+('Base Year'!$B$29*F589*F599/'Product and Cost'!$E$14)+('Base Year'!$B$30*F589)+('Base Year'!$B$31*F589)</f>
        <v>2807.77881104</v>
      </c>
      <c r="G604" s="18">
        <f>('Base Year'!$B$28*G589)+('Base Year'!$B$29*G589*G599/'Product and Cost'!$E$14)+('Base Year'!$B$30*G589)+('Base Year'!$B$31*G589)</f>
        <v>3082.20998189</v>
      </c>
    </row>
    <row r="605">
      <c r="A605" s="17" t="inlineStr">
        <is>
          <t>EBITDA</t>
        </is>
      </c>
      <c r="C605" s="20">
        <f>C602-C604</f>
        <v>2504.38829366</v>
      </c>
      <c r="D605" s="20">
        <f>D602-D604</f>
        <v>2431.08675881</v>
      </c>
      <c r="E605" s="20">
        <f>E602-E604</f>
        <v>2294.0897455</v>
      </c>
      <c r="F605" s="20">
        <f>F602-F604</f>
        <v>2137.00152298</v>
      </c>
      <c r="G605" s="20">
        <f>G602-G604</f>
        <v>1895.25993724</v>
      </c>
    </row>
    <row r="606">
      <c r="A606" s="9" t="inlineStr">
        <is>
          <t>Capital expenditure — maintenance + growth</t>
        </is>
      </c>
      <c r="C606" s="18">
        <f>'Base Year'!$B$43*C589+MAX(C599-'Product and Cost'!$E$14,0)*1947.901031*C589</f>
        <v>280.931999159</v>
      </c>
      <c r="D606" s="18">
        <f>'Base Year'!$B$43*D589+MAX(D599-C599,0)*1947.901031*D589</f>
        <v>307.3675836</v>
      </c>
      <c r="E606" s="18">
        <f>'Base Year'!$B$43*E589+MAX(E599-D599,0)*1947.901031*E589</f>
        <v>328.639389001</v>
      </c>
      <c r="F606" s="18">
        <f>'Base Year'!$B$43*F589+MAX(F599-E599,0)*1947.901031*F589</f>
        <v>351.146749034</v>
      </c>
      <c r="G606" s="18">
        <f>'Base Year'!$B$43*G589+MAX(G599-F599,0)*1947.901031*G589</f>
        <v>375.372179467</v>
      </c>
    </row>
    <row r="607">
      <c r="A607" s="9" t="inlineStr">
        <is>
          <t>Fixed assets at cost, closing</t>
        </is>
      </c>
      <c r="C607" s="18">
        <f>(Assumptions!$B$70+Assumptions!$B$71)/10^6+C606</f>
        <v>3429.06589416</v>
      </c>
      <c r="D607" s="18">
        <f>C607+D606</f>
        <v>3736.43347776</v>
      </c>
      <c r="E607" s="18">
        <f>D607+E606</f>
        <v>4065.07286676</v>
      </c>
      <c r="F607" s="18">
        <f>E607+F606</f>
        <v>4416.21961579</v>
      </c>
      <c r="G607" s="18">
        <f>F607+G606</f>
        <v>4791.59179526</v>
      </c>
    </row>
    <row r="608">
      <c r="A608" s="9" t="inlineStr">
        <is>
          <t>Depreciation — rolls off the asset register</t>
        </is>
      </c>
      <c r="C608" s="18">
        <f>(Assumptions!$B$70+Assumptions!$B$71)/10^6/'Base Year'!$B$42</f>
        <v>173.808854481</v>
      </c>
      <c r="D608" s="18">
        <f>C607/'Base Year'!$B$42</f>
        <v>189.319144255</v>
      </c>
      <c r="E608" s="18">
        <f>D607/'Base Year'!$B$42</f>
        <v>206.288945856</v>
      </c>
      <c r="F608" s="18">
        <f>E607/'Base Year'!$B$42</f>
        <v>224.433166415</v>
      </c>
      <c r="G608" s="18">
        <f>F607/'Base Year'!$B$42</f>
        <v>243.820021053</v>
      </c>
    </row>
    <row r="609">
      <c r="A609" s="9" t="inlineStr">
        <is>
          <t>Fixed assets, net book, closing</t>
        </is>
      </c>
      <c r="C609" s="18">
        <f>(Assumptions!$B$69+Assumptions!$B$71)/10^6+C606-C608</f>
        <v>1407.46262168</v>
      </c>
      <c r="D609" s="18">
        <f>C609+D606-D608</f>
        <v>1525.51106102</v>
      </c>
      <c r="E609" s="18">
        <f>D609+E606-E608</f>
        <v>1647.86150417</v>
      </c>
      <c r="F609" s="18">
        <f>E609+F606-F608</f>
        <v>1774.57508679</v>
      </c>
      <c r="G609" s="18">
        <f>F609+G606-G608</f>
        <v>1906.1272452</v>
      </c>
    </row>
    <row r="610">
      <c r="A610" s="17" t="inlineStr">
        <is>
          <t>EBIT</t>
        </is>
      </c>
      <c r="C610" s="20">
        <f>C605-C608</f>
        <v>2330.57943918</v>
      </c>
      <c r="D610" s="20">
        <f>D605-D608</f>
        <v>2241.76761455</v>
      </c>
      <c r="E610" s="20">
        <f>E605-E608</f>
        <v>2087.80079964</v>
      </c>
      <c r="F610" s="20">
        <f>F605-F608</f>
        <v>1912.56835657</v>
      </c>
      <c r="G610" s="20">
        <f>G605-G608</f>
        <v>1651.43991618</v>
      </c>
    </row>
    <row r="611">
      <c r="A611" s="9" t="inlineStr">
        <is>
          <t>NOPAT before the profit share</t>
        </is>
      </c>
      <c r="C611" s="18">
        <f>C610*(1-Assumptions!$B$87)</f>
        <v>1806.19906537</v>
      </c>
      <c r="D611" s="18">
        <f>D610*(1-Assumptions!$B$87)</f>
        <v>1737.36990128</v>
      </c>
      <c r="E611" s="18">
        <f>E610*(1-Assumptions!$B$87)</f>
        <v>1618.04561972</v>
      </c>
      <c r="F611" s="18">
        <f>F610*(1-Assumptions!$B$87)</f>
        <v>1482.24047634</v>
      </c>
      <c r="G611" s="18">
        <f>G610*(1-Assumptions!$B$87)</f>
        <v>1279.86593504</v>
      </c>
    </row>
    <row r="612">
      <c r="A612" s="9" t="inlineStr">
        <is>
          <t xml:space="preserve">  less employees' profit share and board bonuses</t>
        </is>
      </c>
      <c r="C612" s="18">
        <f>MAX(C611,0)*'Base Year'!$B$40</f>
        <v>95.22469215</v>
      </c>
      <c r="D612" s="18">
        <f>MAX(D611,0)*'Base Year'!$B$40</f>
        <v>91.5959470759</v>
      </c>
      <c r="E612" s="18">
        <f>MAX(E611,0)*'Base Year'!$B$40</f>
        <v>85.3050469226</v>
      </c>
      <c r="F612" s="18">
        <f>MAX(F611,0)*'Base Year'!$B$40</f>
        <v>78.1452586032</v>
      </c>
      <c r="G612" s="18">
        <f>MAX(G611,0)*'Base Year'!$B$40</f>
        <v>67.4758624311</v>
      </c>
    </row>
    <row r="613">
      <c r="A613" s="17" t="inlineStr">
        <is>
          <t>NOPAT</t>
        </is>
      </c>
      <c r="C613" s="20">
        <f>C611-C612</f>
        <v>1710.97437322</v>
      </c>
      <c r="D613" s="20">
        <f>D611-D612</f>
        <v>1645.7739542</v>
      </c>
      <c r="E613" s="20">
        <f>E611-E612</f>
        <v>1532.7405728</v>
      </c>
      <c r="F613" s="20">
        <f>F611-F612</f>
        <v>1404.09521774</v>
      </c>
      <c r="G613" s="20">
        <f>G611-G612</f>
        <v>1212.39007261</v>
      </c>
    </row>
    <row r="614">
      <c r="A614" s="9" t="inlineStr">
        <is>
          <t>Net working capital — on days</t>
        </is>
      </c>
      <c r="C614" s="18">
        <f>'Base Year'!$B$44*Forecast!$B$9/365*C601+'Base Year'!$B$45*Forecast!$B$9/365*C600-'Base Year'!$B$46*Forecast!$B$9/365*C601</f>
        <v>2529.78465918</v>
      </c>
      <c r="D614" s="18">
        <f>'Base Year'!$B$44*Forecast!$B$9/365*D601+'Base Year'!$B$45*Forecast!$B$9/365*D600-'Base Year'!$B$46*Forecast!$B$9/365*D601</f>
        <v>2795.84403685</v>
      </c>
      <c r="E614" s="18">
        <f>'Base Year'!$B$44*Forecast!$B$9/365*E601+'Base Year'!$B$45*Forecast!$B$9/365*E600-'Base Year'!$B$46*Forecast!$B$9/365*E601</f>
        <v>3050.7281223</v>
      </c>
      <c r="F614" s="18">
        <f>'Base Year'!$B$44*Forecast!$B$9/365*F601+'Base Year'!$B$45*Forecast!$B$9/365*F600-'Base Year'!$B$46*Forecast!$B$9/365*F601</f>
        <v>3297.86709555</v>
      </c>
      <c r="G614" s="18">
        <f>'Base Year'!$B$44*Forecast!$B$9/365*G601+'Base Year'!$B$45*Forecast!$B$9/365*G600-'Base Year'!$B$46*Forecast!$B$9/365*G601</f>
        <v>3539.15225507</v>
      </c>
    </row>
    <row r="615">
      <c r="A615" s="9" t="inlineStr">
        <is>
          <t xml:space="preserve">  change in working capital</t>
        </is>
      </c>
      <c r="C615" s="18">
        <f>C614-('Base Year'!$B$44/365*'Base Year'!$B$21+'Base Year'!$B$45/365*'Base Year'!$B$19-'Base Year'!$B$46/365*'Base Year'!$B$21)</f>
        <v>278.382370179</v>
      </c>
      <c r="D615" s="18">
        <f>D614-C614</f>
        <v>266.059377676</v>
      </c>
      <c r="E615" s="18">
        <f>E614-D614</f>
        <v>254.88408545</v>
      </c>
      <c r="F615" s="18">
        <f>F614-E614</f>
        <v>247.138973245</v>
      </c>
      <c r="G615" s="18">
        <f>G614-F614</f>
        <v>241.285159519</v>
      </c>
    </row>
    <row r="616">
      <c r="A616" s="17" t="inlineStr">
        <is>
          <t>FREE CASH FLOW TO THE FIRM</t>
        </is>
      </c>
      <c r="C616" s="20">
        <f>C613+C608-C606-C615</f>
        <v>1325.46885836</v>
      </c>
      <c r="D616" s="20">
        <f>D613+D608-D606-D615</f>
        <v>1261.66613718</v>
      </c>
      <c r="E616" s="20">
        <f>E613+E608-E606-E615</f>
        <v>1155.5060442</v>
      </c>
      <c r="F616" s="20">
        <f>F613+F608-F606-F615</f>
        <v>1030.24266187</v>
      </c>
      <c r="G616" s="20">
        <f>G613+G608-G606-G615</f>
        <v>839.552754679</v>
      </c>
    </row>
    <row r="617">
      <c r="A617" s="9" t="inlineStr">
        <is>
          <t>Glide fraction</t>
        </is>
      </c>
      <c r="C617" s="26">
        <f>0.0000000000</f>
        <v>0</v>
      </c>
      <c r="D617" s="26">
        <f>0.3571428571</f>
        <v>0.3571428571</v>
      </c>
      <c r="E617" s="26">
        <f>0.6428571429</f>
        <v>0.6428571429</v>
      </c>
      <c r="F617" s="26">
        <f>0.8571428571</f>
        <v>0.8571428571</v>
      </c>
      <c r="G617" s="26">
        <f>1.0000000000</f>
        <v>1</v>
      </c>
    </row>
    <row r="618">
      <c r="A618" s="9" t="inlineStr">
        <is>
          <t>Forward cost of capital</t>
        </is>
      </c>
      <c r="C618" s="19">
        <f>Forecast!$B$14-(Forecast!$B$14-Forecast!$B$17)*C617</f>
        <v>0.31578338914</v>
      </c>
      <c r="D618" s="19">
        <f>Forecast!$B$14-(Forecast!$B$14-Forecast!$B$17)*D617</f>
        <v>0.268515637955</v>
      </c>
      <c r="E618" s="19">
        <f>Forecast!$B$14-(Forecast!$B$14-Forecast!$B$17)*E617</f>
        <v>0.230701436991</v>
      </c>
      <c r="F618" s="19">
        <f>Forecast!$B$14-(Forecast!$B$14-Forecast!$B$17)*F617</f>
        <v>0.202340786287</v>
      </c>
      <c r="G618" s="19">
        <f>Forecast!$B$14-(Forecast!$B$14-Forecast!$B$17)*G617</f>
        <v>0.183433685805</v>
      </c>
    </row>
    <row r="619">
      <c r="A619" s="9" t="inlineStr">
        <is>
          <t>Cumulative discount factor</t>
        </is>
      </c>
      <c r="C619" s="29">
        <f>1/(1+C618)</f>
        <v>0.760003514449</v>
      </c>
      <c r="D619" s="29">
        <f>C619/(1+D618)</f>
        <v>0.599128218612</v>
      </c>
      <c r="E619" s="29">
        <f>D619/(1+E618)</f>
        <v>0.486818492775</v>
      </c>
      <c r="F619" s="29">
        <f>E619/(1+F618)</f>
        <v>0.404892272081</v>
      </c>
      <c r="G619" s="29">
        <f>F619/(1+G618)</f>
        <v>0.342133468852</v>
      </c>
    </row>
    <row r="620">
      <c r="A620" s="9" t="inlineStr">
        <is>
          <t>Present value</t>
        </is>
      </c>
      <c r="C620" s="18">
        <f>C616*C619</f>
        <v>1007.36099065</v>
      </c>
      <c r="D620" s="18">
        <f>D616*D619</f>
        <v>755.899785252</v>
      </c>
      <c r="E620" s="18">
        <f>E616*E619</f>
        <v>562.521710832</v>
      </c>
      <c r="F620" s="18">
        <f>F616*F619</f>
        <v>417.13729216</v>
      </c>
      <c r="G620" s="18">
        <f>G616*G619</f>
        <v>287.239096242</v>
      </c>
    </row>
    <row r="621">
      <c r="A621" s="17" t="inlineStr">
        <is>
          <t>PV of the explicit window</t>
        </is>
      </c>
      <c r="B621" s="20">
        <f>SUM(C620:G620)</f>
        <v>3030.15887513</v>
      </c>
      <c r="C621" s="18">
        <f>C614+C607</f>
        <v>5958.85055334</v>
      </c>
      <c r="D621" s="18">
        <f>D614+D607</f>
        <v>6532.27751461</v>
      </c>
      <c r="E621" s="18">
        <f>E614+E607</f>
        <v>7115.80098906</v>
      </c>
      <c r="F621" s="18">
        <f>F614+F607</f>
        <v>7714.08671134</v>
      </c>
      <c r="G621" s="18">
        <f>G614+G607</f>
        <v>8330.74405033</v>
      </c>
    </row>
    <row r="622">
      <c r="A622" s="9" t="inlineStr">
        <is>
          <t>Terminal return on invested capital, at REPLACEMENT cost</t>
        </is>
      </c>
      <c r="B622" s="19">
        <f>G613*(1+Assumptions!$B$89)/G621</f>
        <v>0.152808628923</v>
      </c>
    </row>
    <row r="623">
      <c r="A623" s="9" t="inlineStr">
        <is>
          <t>Required reinvestment = growth / return</t>
        </is>
      </c>
      <c r="B623" s="19">
        <f>MIN(Assumptions!$B$89/B622,0.95)</f>
        <v>0.327206652872</v>
      </c>
    </row>
    <row r="624">
      <c r="A624" s="9" t="inlineStr">
        <is>
          <t>Terminal value</t>
        </is>
      </c>
      <c r="B624" s="18">
        <f>G613*(1+Assumptions!$B$89)*(1-B623)/MAX(Forecast!$B$17-Assumptions!$B$89,0.02)</f>
        <v>6418.71180097</v>
      </c>
    </row>
    <row r="625">
      <c r="A625" s="9" t="inlineStr">
        <is>
          <t>PV of the terminal block</t>
        </is>
      </c>
      <c r="B625" s="18">
        <f>B624*G619</f>
        <v>2196.05613402</v>
      </c>
    </row>
    <row r="626">
      <c r="A626" s="17" t="inlineStr">
        <is>
          <t>ENTERPRISE VALUE</t>
        </is>
      </c>
      <c r="B626" s="20">
        <f>B621+B625</f>
        <v>5226.21500916</v>
      </c>
    </row>
    <row r="627">
      <c r="A627" s="9" t="inlineStr">
        <is>
          <t>plus net cash</t>
        </is>
      </c>
      <c r="B627" s="18">
        <f>(Assumptions!$B$79-Assumptions!$B$82-Assumptions!$B$83)/10^6</f>
        <v>2442.544928</v>
      </c>
    </row>
    <row r="628">
      <c r="A628" s="9" t="inlineStr">
        <is>
          <t>Enterprise value including cash</t>
        </is>
      </c>
      <c r="B628" s="18">
        <f>B626+B627</f>
        <v>7668.75993716</v>
      </c>
    </row>
    <row r="629">
      <c r="A629" s="9" t="inlineStr">
        <is>
          <t>less minority — on the WHOLE enterprise, cash included</t>
        </is>
      </c>
      <c r="B629" s="18">
        <f>B628*'Base Year'!$B$41</f>
        <v>249.86693141</v>
      </c>
    </row>
    <row r="630">
      <c r="A630" s="9" t="inlineStr">
        <is>
          <t>less the tax-disputes provision</t>
        </is>
      </c>
      <c r="B630" s="18">
        <f>Assumptions!$B$78/10^6</f>
        <v>921.440353</v>
      </c>
    </row>
    <row r="631">
      <c r="A631" s="9" t="inlineStr">
        <is>
          <t>less dividends payable — declared, out of working capital</t>
        </is>
      </c>
      <c r="B631" s="18">
        <f>Assumptions!$B$77/10^6</f>
        <v>517.25</v>
      </c>
    </row>
    <row r="632">
      <c r="A632" s="9" t="inlineStr">
        <is>
          <t>plus non-operating investments and pledged deposits</t>
        </is>
      </c>
      <c r="B632" s="18">
        <f>(Assumptions!$B$81+Assumptions!$B$80)/10^6</f>
        <v>578.358746</v>
      </c>
    </row>
    <row r="633">
      <c r="A633" s="17" t="inlineStr">
        <is>
          <t>EQUITY ATTRIBUTABLE</t>
        </is>
      </c>
      <c r="B633" s="20">
        <f>B628-B629-B630-B631+B632</f>
        <v>6558.56139875</v>
      </c>
    </row>
    <row r="634">
      <c r="A634" s="17" t="inlineStr">
        <is>
          <t>VALUE PER SHARE, EGP</t>
        </is>
      </c>
      <c r="B634" s="30">
        <f>B633/Assumptions!$B$8</f>
        <v>5.07825117983</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9" t="inlineStr">
        <is>
          <t>Inflation index, cumulative</t>
        </is>
      </c>
      <c r="C638" s="26">
        <f>Assumptions!$B$146</f>
        <v>1.145</v>
      </c>
      <c r="D638" s="26">
        <f>C638*Assumptions!$B$147</f>
        <v>1.29385</v>
      </c>
      <c r="E638" s="26">
        <f>D638*Assumptions!$B$148</f>
        <v>1.44264275</v>
      </c>
      <c r="F638" s="26">
        <f>E638*Assumptions!$B$149</f>
        <v>1.586907025</v>
      </c>
      <c r="G638" s="26">
        <f>F638*Assumptions!$B$150</f>
        <v>1.73766319237</v>
      </c>
    </row>
    <row r="639">
      <c r="A639" s="9" t="inlineStr">
        <is>
          <t>Realisation index, cumulative</t>
        </is>
      </c>
      <c r="C639" s="26">
        <f>(1+Assumptions!$B$101*$D$22)</f>
        <v>1.09</v>
      </c>
      <c r="D639" s="26">
        <f>C639*(1+Assumptions!$B$102*$D$22)</f>
        <v>1.17175</v>
      </c>
      <c r="E639" s="26">
        <f>D639*(1+Assumptions!$B$103*$D$22)</f>
        <v>1.24791375</v>
      </c>
      <c r="F639" s="26">
        <f>E639*(1+Assumptions!$B$104*$D$22)</f>
        <v>1.3202927475</v>
      </c>
      <c r="G639" s="26">
        <f>F639*(1+Assumptions!$B$105*$D$22)</f>
        <v>1.38894797037</v>
      </c>
    </row>
    <row r="640">
      <c r="A640" s="9" t="inlineStr">
        <is>
          <t xml:space="preserve">  Volume — Base and special oils, mn t</t>
        </is>
      </c>
      <c r="C640" s="26">
        <f>'Product and Cost'!E6*(1+Assumptions!$B$106*Forecast!$B$6)</f>
        <v>0.1148851682</v>
      </c>
      <c r="D640" s="26">
        <f>C640*(1+Assumptions!$B$107*Forecast!$B$6)</f>
        <v>0.119480574928</v>
      </c>
      <c r="E640" s="26">
        <f>D640*(1+Assumptions!$B$108*Forecast!$B$6)</f>
        <v>0.12366239505</v>
      </c>
      <c r="F640" s="26">
        <f>E640*(1+Assumptions!$B$109*Forecast!$B$6)</f>
        <v>0.127372266902</v>
      </c>
      <c r="G640" s="26">
        <f>F640*(1+Assumptions!$B$110*Forecast!$B$6)</f>
        <v>0.130938690375</v>
      </c>
    </row>
    <row r="641">
      <c r="A641" s="9" t="inlineStr">
        <is>
          <t xml:space="preserve">  Volume — Paraffin wax, mn t</t>
        </is>
      </c>
      <c r="C641" s="26">
        <f>'Product and Cost'!E7*(1+Assumptions!$B$111*Forecast!$B$6)</f>
        <v>0.089396788</v>
      </c>
      <c r="D641" s="26">
        <f>C641*(1+Assumptions!$B$112*Forecast!$B$6)</f>
        <v>0.09431361134</v>
      </c>
      <c r="E641" s="26">
        <f>D641*(1+Assumptions!$B$113*Forecast!$B$6)</f>
        <v>0.0985577238503</v>
      </c>
      <c r="F641" s="26">
        <f>E641*(1+Assumptions!$B$114*Forecast!$B$6)</f>
        <v>0.102302917357</v>
      </c>
      <c r="G641" s="26">
        <f>F641*(1+Assumptions!$B$115*Forecast!$B$6)</f>
        <v>0.105576610712</v>
      </c>
    </row>
    <row r="642">
      <c r="A642" s="9" t="inlineStr">
        <is>
          <t xml:space="preserve">  Volume — Gas oil, mn t</t>
        </is>
      </c>
      <c r="C642" s="26">
        <f>'Product and Cost'!E8*(1+Assumptions!$B$116*Forecast!$B$6)</f>
        <v>0.35023715724</v>
      </c>
      <c r="D642" s="26">
        <f>C642*(1+Assumptions!$B$117*Forecast!$B$6)</f>
        <v>0.357241900385</v>
      </c>
      <c r="E642" s="26">
        <f>D642*(1+Assumptions!$B$118*Forecast!$B$6)</f>
        <v>0.363672254592</v>
      </c>
      <c r="F642" s="26">
        <f>E642*(1+Assumptions!$B$119*Forecast!$B$6)</f>
        <v>0.369491010665</v>
      </c>
      <c r="G642" s="26">
        <f>F642*(1+Assumptions!$B$120*Forecast!$B$6)</f>
        <v>0.375033375825</v>
      </c>
    </row>
    <row r="643">
      <c r="A643" s="9" t="inlineStr">
        <is>
          <t xml:space="preserve">  Volume — Naphtha, mn t</t>
        </is>
      </c>
      <c r="C643" s="26">
        <f>'Product and Cost'!E9*(1+Assumptions!$B$121*Forecast!$B$6)</f>
        <v>0.08410463971</v>
      </c>
      <c r="D643" s="26">
        <f>C643*(1+Assumptions!$B$122*Forecast!$B$6)</f>
        <v>0.0856185232248</v>
      </c>
      <c r="E643" s="26">
        <f>D643*(1+Assumptions!$B$123*Forecast!$B$6)</f>
        <v>0.0871596566428</v>
      </c>
      <c r="F643" s="26">
        <f>E643*(1+Assumptions!$B$124*Forecast!$B$6)</f>
        <v>0.0885542111491</v>
      </c>
      <c r="G643" s="26">
        <f>F643*(1+Assumptions!$B$125*Forecast!$B$6)</f>
        <v>0.0898825243163</v>
      </c>
    </row>
    <row r="644">
      <c r="A644" s="9" t="inlineStr">
        <is>
          <t xml:space="preserve">  Volume — Liquefied petroleum gas, mn t</t>
        </is>
      </c>
      <c r="C644" s="26">
        <f>'Product and Cost'!E10*(1+Assumptions!$B$126*Forecast!$B$6)</f>
        <v>0.0486583449</v>
      </c>
      <c r="D644" s="26">
        <f>C644*(1+Assumptions!$B$127*Forecast!$B$6)</f>
        <v>0.0497288284878</v>
      </c>
      <c r="E644" s="26">
        <f>D644*(1+Assumptions!$B$128*Forecast!$B$6)</f>
        <v>0.0507234050576</v>
      </c>
      <c r="F644" s="26">
        <f>E644*(1+Assumptions!$B$129*Forecast!$B$6)</f>
        <v>0.0516364263486</v>
      </c>
      <c r="G644" s="26">
        <f>F644*(1+Assumptions!$B$130*Forecast!$B$6)</f>
        <v>0.0524626091702</v>
      </c>
    </row>
    <row r="645">
      <c r="A645" s="9" t="inlineStr">
        <is>
          <t xml:space="preserve">  Volume — Fuel oil (mix), mn t</t>
        </is>
      </c>
      <c r="C645" s="26">
        <f>'Product and Cost'!E11*(1+Assumptions!$B$131*Forecast!$B$6)</f>
        <v>0.947916416</v>
      </c>
      <c r="D645" s="26">
        <f>C645*(1+Assumptions!$B$132*Forecast!$B$6)</f>
        <v>0.972562242816</v>
      </c>
      <c r="E645" s="26">
        <f>D645*(1+Assumptions!$B$133*Forecast!$B$6)</f>
        <v>0.993958612158</v>
      </c>
      <c r="F645" s="26">
        <f>E645*(1+Assumptions!$B$134*Forecast!$B$6)</f>
        <v>1.0138377844</v>
      </c>
      <c r="G645" s="26">
        <f>F645*(1+Assumptions!$B$135*Forecast!$B$6)</f>
        <v>1.03208686452</v>
      </c>
    </row>
    <row r="646">
      <c r="A646" s="9" t="inlineStr">
        <is>
          <t xml:space="preserve">  Volume — Heavy fuel oil, mn t</t>
        </is>
      </c>
      <c r="C646" s="26">
        <f>'Product and Cost'!E12*(1+Assumptions!$B$136*Forecast!$B$6)</f>
        <v>0.0292281408</v>
      </c>
      <c r="D646" s="26">
        <f>C646*(1+Assumptions!$B$137*Forecast!$B$6)</f>
        <v>0.0297542473344</v>
      </c>
      <c r="E646" s="26">
        <f>D646*(1+Assumptions!$B$138*Forecast!$B$6)</f>
        <v>0.0302303152918</v>
      </c>
      <c r="F646" s="26">
        <f>E646*(1+Assumptions!$B$139*Forecast!$B$6)</f>
        <v>0.0306837700211</v>
      </c>
      <c r="G646" s="26">
        <f>F646*(1+Assumptions!$B$140*Forecast!$B$6)</f>
        <v>0.0311133428014</v>
      </c>
    </row>
    <row r="647">
      <c r="A647" s="9" t="inlineStr">
        <is>
          <t xml:space="preserve">  Volume — Waste, mn t</t>
        </is>
      </c>
      <c r="C647" s="26">
        <f>'Product and Cost'!E13*(1+Assumptions!$B$141*Forecast!$B$6)</f>
        <v>1.564e-05</v>
      </c>
      <c r="D647" s="26">
        <f>C647*(1+Assumptions!$B$142*Forecast!$B$6)</f>
        <v>1.564e-05</v>
      </c>
      <c r="E647" s="26">
        <f>D647*(1+Assumptions!$B$143*Forecast!$B$6)</f>
        <v>1.564e-05</v>
      </c>
      <c r="F647" s="26">
        <f>E647*(1+Assumptions!$B$144*Forecast!$B$6)</f>
        <v>1.564e-05</v>
      </c>
      <c r="G647" s="26">
        <f>F647*(1+Assumptions!$B$145*Forecast!$B$6)</f>
        <v>1.564e-05</v>
      </c>
    </row>
    <row r="648">
      <c r="A648" s="17" t="inlineStr">
        <is>
          <t>Total volume, mn t</t>
        </is>
      </c>
      <c r="C648" s="28">
        <f>SUM(C640:C647)</f>
        <v>1.66444229485</v>
      </c>
      <c r="D648" s="28">
        <f>SUM(D640:D647)</f>
        <v>1.70871556852</v>
      </c>
      <c r="E648" s="28">
        <f>SUM(E640:E647)</f>
        <v>1.74798000264</v>
      </c>
      <c r="F648" s="28">
        <f>SUM(F640:F647)</f>
        <v>1.78389402684</v>
      </c>
      <c r="G648" s="28">
        <f>SUM(G640:G647)</f>
        <v>1.81710965772</v>
      </c>
    </row>
    <row r="649">
      <c r="A649" s="17" t="inlineStr">
        <is>
          <t>REVENUE</t>
        </is>
      </c>
      <c r="C649" s="20">
        <f>C640*'Product and Cost'!$F$6*C639+C641*'Product and Cost'!$F$7*C639+C642*'Product and Cost'!$F$8*C639+C643*'Product and Cost'!$F$9*C639+C644*'Product and Cost'!$F$10*C639+C645*'Product and Cost'!$F$11*C639+C646*'Product and Cost'!$F$12*C639+C647*'Product and Cost'!$F$13*C639</f>
        <v>52840.8111141</v>
      </c>
      <c r="D649" s="20">
        <f>D640*'Product and Cost'!$F$6*D639+D641*'Product and Cost'!$F$7*D639+D642*'Product and Cost'!$F$8*D639+D643*'Product and Cost'!$F$9*D639+D644*'Product and Cost'!$F$10*D639+D645*'Product and Cost'!$F$11*D639+D646*'Product and Cost'!$F$12*D639+D647*'Product and Cost'!$F$13*D639</f>
        <v>58432.1672543</v>
      </c>
      <c r="E649" s="20">
        <f>E640*'Product and Cost'!$F$6*E639+E641*'Product and Cost'!$F$7*E639+E642*'Product and Cost'!$F$8*E639+E643*'Product and Cost'!$F$9*E639+E644*'Product and Cost'!$F$10*E639+E645*'Product and Cost'!$F$11*E639+E646*'Product and Cost'!$F$12*E639+E647*'Product and Cost'!$F$13*E639</f>
        <v>63772.6371781</v>
      </c>
      <c r="F649" s="20">
        <f>F640*'Product and Cost'!$F$6*F639+F641*'Product and Cost'!$F$7*F639+F642*'Product and Cost'!$F$8*F639+F643*'Product and Cost'!$F$9*F639+F644*'Product and Cost'!$F$10*F639+F645*'Product and Cost'!$F$11*F639+F646*'Product and Cost'!$F$12*F639+F647*'Product and Cost'!$F$13*F639</f>
        <v>68952.1790369</v>
      </c>
      <c r="G649" s="20">
        <f>G640*'Product and Cost'!$F$6*G639+G641*'Product and Cost'!$F$7*G639+G642*'Product and Cost'!$F$8*G639+G643*'Product and Cost'!$F$9*G639+G644*'Product and Cost'!$F$10*G639+G645*'Product and Cost'!$F$11*G639+G646*'Product and Cost'!$F$12*G639+G647*'Product and Cost'!$F$13*G639</f>
        <v>73977.8431827</v>
      </c>
    </row>
    <row r="650">
      <c r="A650" s="9" t="inlineStr">
        <is>
          <t>Cost of sales</t>
        </is>
      </c>
      <c r="C650" s="18">
        <f>C640*('Product and Cost'!$D$27*C639*Assumptions!$B$88+'Product and Cost'!$B$27*(0.4863620081*C638+0.4455809638*C638+0.0356254898*C639+0.0324315384))+C641*('Product and Cost'!$D$28*C639*Assumptions!$B$88+'Product and Cost'!$B$28*(0.4863620081*C638+0.4455809638*C638+0.0356254898*C639+0.0324315384))+C642*('Product and Cost'!$D$29*C639*Assumptions!$B$88+'Product and Cost'!$B$29*(0.4863620081*C638+0.4455809638*C638+0.0356254898*C639+0.0324315384))+C643*('Product and Cost'!$D$30*C639*Assumptions!$B$88+'Product and Cost'!$B$30*(0.4863620081*C638+0.4455809638*C638+0.0356254898*C639+0.0324315384))+C644*('Product and Cost'!$D$31*C639*Assumptions!$B$88+'Product and Cost'!$B$31*(0.4863620081*C638+0.4455809638*C638+0.0356254898*C639+0.0324315384))+C645*('Product and Cost'!$D$32*C639*Assumptions!$B$88+'Product and Cost'!$B$32*(0.4863620081*C638+0.4455809638*C638+0.0356254898*C639+0.0324315384))+C646*('Product and Cost'!$D$33*C639*Assumptions!$B$88+'Product and Cost'!$B$33*(0.4863620081*C638+0.4455809638*C638+0.0356254898*C639+0.0324315384))+C647*('Product and Cost'!$D$34*C639*Assumptions!$B$88+'Product and Cost'!$B$34*(0.4863620081*C638+0.4455809638*C638+0.0356254898*C639+0.0324315384))</f>
        <v>48291.1604712</v>
      </c>
      <c r="D650" s="18">
        <f>D640*('Product and Cost'!$D$27*D639*Assumptions!$B$88+'Product and Cost'!$B$27*(0.4863620081*D638+0.4455809638*D638+0.0356254898*D639+0.0324315384))+D641*('Product and Cost'!$D$28*D639*Assumptions!$B$88+'Product and Cost'!$B$28*(0.4863620081*D638+0.4455809638*D638+0.0356254898*D639+0.0324315384))+D642*('Product and Cost'!$D$29*D639*Assumptions!$B$88+'Product and Cost'!$B$29*(0.4863620081*D638+0.4455809638*D638+0.0356254898*D639+0.0324315384))+D643*('Product and Cost'!$D$30*D639*Assumptions!$B$88+'Product and Cost'!$B$30*(0.4863620081*D638+0.4455809638*D638+0.0356254898*D639+0.0324315384))+D644*('Product and Cost'!$D$31*D639*Assumptions!$B$88+'Product and Cost'!$B$31*(0.4863620081*D638+0.4455809638*D638+0.0356254898*D639+0.0324315384))+D645*('Product and Cost'!$D$32*D639*Assumptions!$B$88+'Product and Cost'!$B$32*(0.4863620081*D638+0.4455809638*D638+0.0356254898*D639+0.0324315384))+D646*('Product and Cost'!$D$33*D639*Assumptions!$B$88+'Product and Cost'!$B$33*(0.4863620081*D638+0.4455809638*D638+0.0356254898*D639+0.0324315384))+D647*('Product and Cost'!$D$34*D639*Assumptions!$B$88+'Product and Cost'!$B$34*(0.4863620081*D638+0.4455809638*D638+0.0356254898*D639+0.0324315384))</f>
        <v>53647.9823219</v>
      </c>
      <c r="E650" s="18">
        <f>E640*('Product and Cost'!$D$27*E639*Assumptions!$B$88+'Product and Cost'!$B$27*(0.4863620081*E638+0.4455809638*E638+0.0356254898*E639+0.0324315384))+E641*('Product and Cost'!$D$28*E639*Assumptions!$B$88+'Product and Cost'!$B$28*(0.4863620081*E638+0.4455809638*E638+0.0356254898*E639+0.0324315384))+E642*('Product and Cost'!$D$29*E639*Assumptions!$B$88+'Product and Cost'!$B$29*(0.4863620081*E638+0.4455809638*E638+0.0356254898*E639+0.0324315384))+E643*('Product and Cost'!$D$30*E639*Assumptions!$B$88+'Product and Cost'!$B$30*(0.4863620081*E638+0.4455809638*E638+0.0356254898*E639+0.0324315384))+E644*('Product and Cost'!$D$31*E639*Assumptions!$B$88+'Product and Cost'!$B$31*(0.4863620081*E638+0.4455809638*E638+0.0356254898*E639+0.0324315384))+E645*('Product and Cost'!$D$32*E639*Assumptions!$B$88+'Product and Cost'!$B$32*(0.4863620081*E638+0.4455809638*E638+0.0356254898*E639+0.0324315384))+E646*('Product and Cost'!$D$33*E639*Assumptions!$B$88+'Product and Cost'!$B$33*(0.4863620081*E638+0.4455809638*E638+0.0356254898*E639+0.0324315384))+E647*('Product and Cost'!$D$34*E639*Assumptions!$B$88+'Product and Cost'!$B$34*(0.4863620081*E638+0.4455809638*E638+0.0356254898*E639+0.0324315384))</f>
        <v>58815.4011786</v>
      </c>
      <c r="F650" s="18">
        <f>F640*('Product and Cost'!$D$27*F639*Assumptions!$B$88+'Product and Cost'!$B$27*(0.4863620081*F638+0.4455809638*F638+0.0356254898*F639+0.0324315384))+F641*('Product and Cost'!$D$28*F639*Assumptions!$B$88+'Product and Cost'!$B$28*(0.4863620081*F638+0.4455809638*F638+0.0356254898*F639+0.0324315384))+F642*('Product and Cost'!$D$29*F639*Assumptions!$B$88+'Product and Cost'!$B$29*(0.4863620081*F638+0.4455809638*F638+0.0356254898*F639+0.0324315384))+F643*('Product and Cost'!$D$30*F639*Assumptions!$B$88+'Product and Cost'!$B$30*(0.4863620081*F638+0.4455809638*F638+0.0356254898*F639+0.0324315384))+F644*('Product and Cost'!$D$31*F639*Assumptions!$B$88+'Product and Cost'!$B$31*(0.4863620081*F638+0.4455809638*F638+0.0356254898*F639+0.0324315384))+F645*('Product and Cost'!$D$32*F639*Assumptions!$B$88+'Product and Cost'!$B$32*(0.4863620081*F638+0.4455809638*F638+0.0356254898*F639+0.0324315384))+F646*('Product and Cost'!$D$33*F639*Assumptions!$B$88+'Product and Cost'!$B$33*(0.4863620081*F638+0.4455809638*F638+0.0356254898*F639+0.0324315384))+F647*('Product and Cost'!$D$34*F639*Assumptions!$B$88+'Product and Cost'!$B$34*(0.4863620081*F638+0.4455809638*F638+0.0356254898*F639+0.0324315384))</f>
        <v>63847.5732702</v>
      </c>
      <c r="G650" s="18">
        <f>G640*('Product and Cost'!$D$27*G639*Assumptions!$B$88+'Product and Cost'!$B$27*(0.4863620081*G638+0.4455809638*G638+0.0356254898*G639+0.0324315384))+G641*('Product and Cost'!$D$28*G639*Assumptions!$B$88+'Product and Cost'!$B$28*(0.4863620081*G638+0.4455809638*G638+0.0356254898*G639+0.0324315384))+G642*('Product and Cost'!$D$29*G639*Assumptions!$B$88+'Product and Cost'!$B$29*(0.4863620081*G638+0.4455809638*G638+0.0356254898*G639+0.0324315384))+G643*('Product and Cost'!$D$30*G639*Assumptions!$B$88+'Product and Cost'!$B$30*(0.4863620081*G638+0.4455809638*G638+0.0356254898*G639+0.0324315384))+G644*('Product and Cost'!$D$31*G639*Assumptions!$B$88+'Product and Cost'!$B$31*(0.4863620081*G638+0.4455809638*G638+0.0356254898*G639+0.0324315384))+G645*('Product and Cost'!$D$32*G639*Assumptions!$B$88+'Product and Cost'!$B$32*(0.4863620081*G638+0.4455809638*G638+0.0356254898*G639+0.0324315384))+G646*('Product and Cost'!$D$33*G639*Assumptions!$B$88+'Product and Cost'!$B$33*(0.4863620081*G638+0.4455809638*G638+0.0356254898*G639+0.0324315384))+G647*('Product and Cost'!$D$34*G639*Assumptions!$B$88+'Product and Cost'!$B$34*(0.4863620081*G638+0.4455809638*G638+0.0356254898*G639+0.0324315384))</f>
        <v>68797.1859175</v>
      </c>
    </row>
    <row r="651">
      <c r="A651" s="17" t="inlineStr">
        <is>
          <t>GROSS PROFIT</t>
        </is>
      </c>
      <c r="C651" s="20">
        <f>C649-C650+Forecast!$B$7*C649</f>
        <v>4549.65064286</v>
      </c>
      <c r="D651" s="20">
        <f>D649-D650+Forecast!$B$7*D649</f>
        <v>4784.18493236</v>
      </c>
      <c r="E651" s="20">
        <f>E649-E650+Forecast!$B$7*E649</f>
        <v>4957.23599944</v>
      </c>
      <c r="F651" s="20">
        <f>F649-F650+Forecast!$B$7*F649</f>
        <v>5104.60576669</v>
      </c>
      <c r="G651" s="20">
        <f>G649-G650+Forecast!$B$7*G649</f>
        <v>5180.65726511</v>
      </c>
    </row>
    <row r="652">
      <c r="A652" s="9" t="inlineStr">
        <is>
          <t>Gross margin</t>
        </is>
      </c>
      <c r="C652" s="19">
        <f>C651/C649</f>
        <v>0.0861010750391</v>
      </c>
      <c r="D652" s="19">
        <f>D651/D649</f>
        <v>0.0818758768871</v>
      </c>
      <c r="E652" s="19">
        <f>E651/E649</f>
        <v>0.0777329622672</v>
      </c>
      <c r="F652" s="19">
        <f>F651/F649</f>
        <v>0.0740311015255</v>
      </c>
      <c r="G652" s="19">
        <f>G651/G649</f>
        <v>0.0700298500501</v>
      </c>
    </row>
    <row r="653">
      <c r="A653" s="9" t="inlineStr">
        <is>
          <t>Operating expense</t>
        </is>
      </c>
      <c r="C653" s="18">
        <f>('Base Year'!$B$28*C638)+('Base Year'!$B$29*C638*C648/'Product and Cost'!$E$14)+('Base Year'!$B$30*C638)+('Base Year'!$B$31*C638)</f>
        <v>2007.6668112</v>
      </c>
      <c r="D653" s="18">
        <f>('Base Year'!$B$28*D638)+('Base Year'!$B$29*D638*D648/'Product and Cost'!$E$14)+('Base Year'!$B$30*D638)+('Base Year'!$B$31*D638)</f>
        <v>2276.29775955</v>
      </c>
      <c r="E653" s="18">
        <f>('Base Year'!$B$28*E638)+('Base Year'!$B$29*E638*E648/'Product and Cost'!$E$14)+('Base Year'!$B$30*E638)+('Base Year'!$B$31*E638)</f>
        <v>2545.62118024</v>
      </c>
      <c r="F653" s="18">
        <f>('Base Year'!$B$28*F638)+('Base Year'!$B$29*F638*F648/'Product and Cost'!$E$14)+('Base Year'!$B$30*F638)+('Base Year'!$B$31*F638)</f>
        <v>2807.77881104</v>
      </c>
      <c r="G653" s="18">
        <f>('Base Year'!$B$28*G638)+('Base Year'!$B$29*G638*G648/'Product and Cost'!$E$14)+('Base Year'!$B$30*G638)+('Base Year'!$B$31*G638)</f>
        <v>3082.20998189</v>
      </c>
    </row>
    <row r="654">
      <c r="A654" s="17" t="inlineStr">
        <is>
          <t>EBITDA</t>
        </is>
      </c>
      <c r="C654" s="20">
        <f>C651-C653</f>
        <v>2541.98383166</v>
      </c>
      <c r="D654" s="20">
        <f>D651-D653</f>
        <v>2507.88717281</v>
      </c>
      <c r="E654" s="20">
        <f>E651-E653</f>
        <v>2411.6148192</v>
      </c>
      <c r="F654" s="20">
        <f>F651-F653</f>
        <v>2296.82695565</v>
      </c>
      <c r="G654" s="20">
        <f>G651-G653</f>
        <v>2098.44728323</v>
      </c>
    </row>
    <row r="655">
      <c r="A655" s="9" t="inlineStr">
        <is>
          <t>Capital expenditure — maintenance + growth</t>
        </is>
      </c>
      <c r="C655" s="18">
        <f>'Base Year'!$B$43*C638+MAX(C648-'Product and Cost'!$E$14,0)*1947.901031*C638</f>
        <v>280.931999159</v>
      </c>
      <c r="D655" s="18">
        <f>'Base Year'!$B$43*D638+MAX(D648-C648,0)*1947.901031*D638</f>
        <v>307.3675836</v>
      </c>
      <c r="E655" s="18">
        <f>'Base Year'!$B$43*E638+MAX(E648-D648,0)*1947.901031*E638</f>
        <v>328.639389001</v>
      </c>
      <c r="F655" s="18">
        <f>'Base Year'!$B$43*F638+MAX(F648-E648,0)*1947.901031*F638</f>
        <v>351.146749034</v>
      </c>
      <c r="G655" s="18">
        <f>'Base Year'!$B$43*G638+MAX(G648-F648,0)*1947.901031*G638</f>
        <v>375.372179467</v>
      </c>
    </row>
    <row r="656">
      <c r="A656" s="9" t="inlineStr">
        <is>
          <t>Fixed assets at cost, closing</t>
        </is>
      </c>
      <c r="C656" s="18">
        <f>(Assumptions!$B$70+Assumptions!$B$71)/10^6+C655</f>
        <v>3429.06589416</v>
      </c>
      <c r="D656" s="18">
        <f>C656+D655</f>
        <v>3736.43347776</v>
      </c>
      <c r="E656" s="18">
        <f>D656+E655</f>
        <v>4065.07286676</v>
      </c>
      <c r="F656" s="18">
        <f>E656+F655</f>
        <v>4416.21961579</v>
      </c>
      <c r="G656" s="18">
        <f>F656+G655</f>
        <v>4791.59179526</v>
      </c>
    </row>
    <row r="657">
      <c r="A657" s="9" t="inlineStr">
        <is>
          <t>Depreciation — rolls off the asset register</t>
        </is>
      </c>
      <c r="C657" s="18">
        <f>(Assumptions!$B$70+Assumptions!$B$71)/10^6/'Base Year'!$B$42</f>
        <v>173.808854481</v>
      </c>
      <c r="D657" s="18">
        <f>C656/'Base Year'!$B$42</f>
        <v>189.319144255</v>
      </c>
      <c r="E657" s="18">
        <f>D656/'Base Year'!$B$42</f>
        <v>206.288945856</v>
      </c>
      <c r="F657" s="18">
        <f>E656/'Base Year'!$B$42</f>
        <v>224.433166415</v>
      </c>
      <c r="G657" s="18">
        <f>F656/'Base Year'!$B$42</f>
        <v>243.820021053</v>
      </c>
    </row>
    <row r="658">
      <c r="A658" s="9" t="inlineStr">
        <is>
          <t>Fixed assets, net book, closing</t>
        </is>
      </c>
      <c r="C658" s="18">
        <f>(Assumptions!$B$69+Assumptions!$B$71)/10^6+C655-C657</f>
        <v>1407.46262168</v>
      </c>
      <c r="D658" s="18">
        <f>C658+D655-D657</f>
        <v>1525.51106102</v>
      </c>
      <c r="E658" s="18">
        <f>D658+E655-E657</f>
        <v>1647.86150417</v>
      </c>
      <c r="F658" s="18">
        <f>E658+F655-F657</f>
        <v>1774.57508679</v>
      </c>
      <c r="G658" s="18">
        <f>F658+G655-G657</f>
        <v>1906.1272452</v>
      </c>
    </row>
    <row r="659">
      <c r="A659" s="17" t="inlineStr">
        <is>
          <t>EBIT</t>
        </is>
      </c>
      <c r="C659" s="20">
        <f>C654-C657</f>
        <v>2368.17497718</v>
      </c>
      <c r="D659" s="20">
        <f>D654-D657</f>
        <v>2318.56802856</v>
      </c>
      <c r="E659" s="20">
        <f>E654-E657</f>
        <v>2205.32587334</v>
      </c>
      <c r="F659" s="20">
        <f>F654-F657</f>
        <v>2072.39378923</v>
      </c>
      <c r="G659" s="20">
        <f>G654-G657</f>
        <v>1854.62726217</v>
      </c>
    </row>
    <row r="660">
      <c r="A660" s="9" t="inlineStr">
        <is>
          <t>NOPAT before the profit share</t>
        </is>
      </c>
      <c r="C660" s="18">
        <f>C659*(1-Assumptions!$B$87)</f>
        <v>1835.33560732</v>
      </c>
      <c r="D660" s="18">
        <f>D659*(1-Assumptions!$B$87)</f>
        <v>1796.89022213</v>
      </c>
      <c r="E660" s="18">
        <f>E659*(1-Assumptions!$B$87)</f>
        <v>1709.12755184</v>
      </c>
      <c r="F660" s="18">
        <f>F659*(1-Assumptions!$B$87)</f>
        <v>1606.10518666</v>
      </c>
      <c r="G660" s="18">
        <f>G659*(1-Assumptions!$B$87)</f>
        <v>1437.33612818</v>
      </c>
    </row>
    <row r="661">
      <c r="A661" s="9" t="inlineStr">
        <is>
          <t xml:space="preserve">  less employees' profit share and board bonuses</t>
        </is>
      </c>
      <c r="C661" s="18">
        <f>MAX(C660,0)*'Base Year'!$B$40</f>
        <v>96.7608009272</v>
      </c>
      <c r="D661" s="18">
        <f>MAX(D660,0)*'Base Year'!$B$40</f>
        <v>94.7339202588</v>
      </c>
      <c r="E661" s="18">
        <f>MAX(E660,0)*'Base Year'!$B$40</f>
        <v>90.1069810576</v>
      </c>
      <c r="F661" s="18">
        <f>MAX(F660,0)*'Base Year'!$B$40</f>
        <v>84.6755348801</v>
      </c>
      <c r="G661" s="18">
        <f>MAX(G660,0)*'Base Year'!$B$40</f>
        <v>75.7778546933</v>
      </c>
    </row>
    <row r="662">
      <c r="A662" s="17" t="inlineStr">
        <is>
          <t>NOPAT</t>
        </is>
      </c>
      <c r="C662" s="20">
        <f>C660-C661</f>
        <v>1738.57480639</v>
      </c>
      <c r="D662" s="20">
        <f>D660-D661</f>
        <v>1702.15630187</v>
      </c>
      <c r="E662" s="20">
        <f>E660-E661</f>
        <v>1619.02057078</v>
      </c>
      <c r="F662" s="20">
        <f>F660-F661</f>
        <v>1521.42965178</v>
      </c>
      <c r="G662" s="20">
        <f>G660-G661</f>
        <v>1361.55827349</v>
      </c>
    </row>
    <row r="663">
      <c r="A663" s="9" t="inlineStr">
        <is>
          <t>Net working capital — on days</t>
        </is>
      </c>
      <c r="C663" s="18">
        <f>'Base Year'!$B$44*Forecast!$B$9/365*C650+'Base Year'!$B$45*Forecast!$B$9/365*C649-'Base Year'!$B$46*Forecast!$B$9/365*C650</f>
        <v>2539.69193722</v>
      </c>
      <c r="D663" s="18">
        <f>'Base Year'!$B$44*Forecast!$B$9/365*D650+'Base Year'!$B$45*Forecast!$B$9/365*D649-'Base Year'!$B$46*Forecast!$B$9/365*D650</f>
        <v>2816.01103091</v>
      </c>
      <c r="E663" s="18">
        <f>'Base Year'!$B$44*Forecast!$B$9/365*E650+'Base Year'!$B$45*Forecast!$B$9/365*E649-'Base Year'!$B$46*Forecast!$B$9/365*E650</f>
        <v>3081.49643011</v>
      </c>
      <c r="F663" s="18">
        <f>'Base Year'!$B$44*Forecast!$B$9/365*F650+'Base Year'!$B$45*Forecast!$B$9/365*F649-'Base Year'!$B$46*Forecast!$B$9/365*F650</f>
        <v>3339.61025534</v>
      </c>
      <c r="G663" s="18">
        <f>'Base Year'!$B$44*Forecast!$B$9/365*G650+'Base Year'!$B$45*Forecast!$B$9/365*G649-'Base Year'!$B$46*Forecast!$B$9/365*G650</f>
        <v>3592.11140979</v>
      </c>
    </row>
    <row r="664">
      <c r="A664" s="9" t="inlineStr">
        <is>
          <t xml:space="preserve">  change in working capital</t>
        </is>
      </c>
      <c r="C664" s="18">
        <f>C663-('Base Year'!$B$44/365*'Base Year'!$B$21+'Base Year'!$B$45/365*'Base Year'!$B$19-'Base Year'!$B$46/365*'Base Year'!$B$21)</f>
        <v>288.28964822</v>
      </c>
      <c r="D664" s="18">
        <f>D663-C663</f>
        <v>276.319093691</v>
      </c>
      <c r="E664" s="18">
        <f>E663-D663</f>
        <v>265.485399203</v>
      </c>
      <c r="F664" s="18">
        <f>F663-E663</f>
        <v>258.113825222</v>
      </c>
      <c r="G664" s="18">
        <f>G663-F663</f>
        <v>252.501154457</v>
      </c>
    </row>
    <row r="665">
      <c r="A665" s="17" t="inlineStr">
        <is>
          <t>FREE CASH FLOW TO THE FIRM</t>
        </is>
      </c>
      <c r="C665" s="20">
        <f>C662+C657-C655-C664</f>
        <v>1343.16201349</v>
      </c>
      <c r="D665" s="20">
        <f>D662+D657-D655-D664</f>
        <v>1307.78876884</v>
      </c>
      <c r="E665" s="20">
        <f>E662+E657-E655-E664</f>
        <v>1231.18472844</v>
      </c>
      <c r="F665" s="20">
        <f>F662+F657-F655-F664</f>
        <v>1136.60224393</v>
      </c>
      <c r="G665" s="20">
        <f>G662+G657-G655-G664</f>
        <v>977.504960621</v>
      </c>
    </row>
    <row r="666">
      <c r="A666" s="9" t="inlineStr">
        <is>
          <t>Glide fraction</t>
        </is>
      </c>
      <c r="C666" s="26">
        <f>0.0000000000</f>
        <v>0</v>
      </c>
      <c r="D666" s="26">
        <f>0.3571428571</f>
        <v>0.3571428571</v>
      </c>
      <c r="E666" s="26">
        <f>0.6428571429</f>
        <v>0.6428571429</v>
      </c>
      <c r="F666" s="26">
        <f>0.8571428571</f>
        <v>0.8571428571</v>
      </c>
      <c r="G666" s="26">
        <f>1.0000000000</f>
        <v>1</v>
      </c>
    </row>
    <row r="667">
      <c r="A667" s="9" t="inlineStr">
        <is>
          <t>Forward cost of capital</t>
        </is>
      </c>
      <c r="C667" s="19">
        <f>Forecast!$B$14-(Forecast!$B$14-Forecast!$B$17)*C666</f>
        <v>0.31578338914</v>
      </c>
      <c r="D667" s="19">
        <f>Forecast!$B$14-(Forecast!$B$14-Forecast!$B$17)*D666</f>
        <v>0.268515637955</v>
      </c>
      <c r="E667" s="19">
        <f>Forecast!$B$14-(Forecast!$B$14-Forecast!$B$17)*E666</f>
        <v>0.230701436991</v>
      </c>
      <c r="F667" s="19">
        <f>Forecast!$B$14-(Forecast!$B$14-Forecast!$B$17)*F666</f>
        <v>0.202340786287</v>
      </c>
      <c r="G667" s="19">
        <f>Forecast!$B$14-(Forecast!$B$14-Forecast!$B$17)*G666</f>
        <v>0.183433685805</v>
      </c>
    </row>
    <row r="668">
      <c r="A668" s="9" t="inlineStr">
        <is>
          <t>Cumulative discount factor</t>
        </is>
      </c>
      <c r="C668" s="29">
        <f>1/(1+C667)</f>
        <v>0.760003514449</v>
      </c>
      <c r="D668" s="29">
        <f>C668/(1+D667)</f>
        <v>0.599128218612</v>
      </c>
      <c r="E668" s="29">
        <f>D668/(1+E667)</f>
        <v>0.486818492775</v>
      </c>
      <c r="F668" s="29">
        <f>E668/(1+F667)</f>
        <v>0.404892272081</v>
      </c>
      <c r="G668" s="29">
        <f>F668/(1+G667)</f>
        <v>0.342133468852</v>
      </c>
    </row>
    <row r="669">
      <c r="A669" s="9" t="inlineStr">
        <is>
          <t>Present value</t>
        </is>
      </c>
      <c r="C669" s="18">
        <f>C665*C668</f>
        <v>1020.80785073</v>
      </c>
      <c r="D669" s="18">
        <f>D665*D668</f>
        <v>783.533155394</v>
      </c>
      <c r="E669" s="18">
        <f>E665*E668</f>
        <v>599.363493825</v>
      </c>
      <c r="F669" s="18">
        <f>F665*F668</f>
        <v>460.201464998</v>
      </c>
      <c r="G669" s="18">
        <f>G665*G668</f>
        <v>334.437162997</v>
      </c>
    </row>
    <row r="670">
      <c r="A670" s="17" t="inlineStr">
        <is>
          <t>PV of the explicit window</t>
        </is>
      </c>
      <c r="B670" s="20">
        <f>SUM(C669:G669)</f>
        <v>3198.34312794</v>
      </c>
      <c r="C670" s="18">
        <f>C663+C656</f>
        <v>5968.75783138</v>
      </c>
      <c r="D670" s="18">
        <f>D663+D656</f>
        <v>6552.44450867</v>
      </c>
      <c r="E670" s="18">
        <f>E663+E656</f>
        <v>7146.56929687</v>
      </c>
      <c r="F670" s="18">
        <f>F663+F656</f>
        <v>7755.82987113</v>
      </c>
      <c r="G670" s="18">
        <f>G663+G656</f>
        <v>8383.70320505</v>
      </c>
    </row>
    <row r="671">
      <c r="A671" s="9" t="inlineStr">
        <is>
          <t>Terminal return on invested capital, at REPLACEMENT cost</t>
        </is>
      </c>
      <c r="B671" s="19">
        <f>G662*(1+Assumptions!$B$89)/G670</f>
        <v>0.170525620027</v>
      </c>
    </row>
    <row r="672">
      <c r="A672" s="9" t="inlineStr">
        <is>
          <t>Required reinvestment = growth / return</t>
        </is>
      </c>
      <c r="B672" s="19">
        <f>MIN(Assumptions!$B$89/B671,0.95)</f>
        <v>0.29321107287</v>
      </c>
    </row>
    <row r="673">
      <c r="A673" s="9" t="inlineStr">
        <is>
          <t>Terminal value</t>
        </is>
      </c>
      <c r="B673" s="18">
        <f>G662*(1+Assumptions!$B$89)*(1-B672)/MAX(Forecast!$B$17-Assumptions!$B$89,0.02)</f>
        <v>7572.68317077</v>
      </c>
    </row>
    <row r="674">
      <c r="A674" s="9" t="inlineStr">
        <is>
          <t>PV of the terminal block</t>
        </is>
      </c>
      <c r="B674" s="18">
        <f>B673*G668</f>
        <v>2590.86836173</v>
      </c>
    </row>
    <row r="675">
      <c r="A675" s="17" t="inlineStr">
        <is>
          <t>ENTERPRISE VALUE</t>
        </is>
      </c>
      <c r="B675" s="20">
        <f>B670+B674</f>
        <v>5789.21148967</v>
      </c>
    </row>
    <row r="676">
      <c r="A676" s="9" t="inlineStr">
        <is>
          <t>plus net cash</t>
        </is>
      </c>
      <c r="B676" s="18">
        <f>(Assumptions!$B$79-Assumptions!$B$82-Assumptions!$B$83)/10^6</f>
        <v>2442.544928</v>
      </c>
    </row>
    <row r="677">
      <c r="A677" s="9" t="inlineStr">
        <is>
          <t>Enterprise value including cash</t>
        </is>
      </c>
      <c r="B677" s="18">
        <f>B675+B676</f>
        <v>8231.75641767</v>
      </c>
    </row>
    <row r="678">
      <c r="A678" s="9" t="inlineStr">
        <is>
          <t>less minority — on the WHOLE enterprise, cash included</t>
        </is>
      </c>
      <c r="B678" s="18">
        <f>B677*'Base Year'!$B$41</f>
        <v>268.21073199</v>
      </c>
    </row>
    <row r="679">
      <c r="A679" s="9" t="inlineStr">
        <is>
          <t>less the tax-disputes provision</t>
        </is>
      </c>
      <c r="B679" s="18">
        <f>Assumptions!$B$78/10^6</f>
        <v>921.440353</v>
      </c>
    </row>
    <row r="680">
      <c r="A680" s="9" t="inlineStr">
        <is>
          <t>less dividends payable — declared, out of working capital</t>
        </is>
      </c>
      <c r="B680" s="18">
        <f>Assumptions!$B$77/10^6</f>
        <v>517.25</v>
      </c>
    </row>
    <row r="681">
      <c r="A681" s="9" t="inlineStr">
        <is>
          <t>plus non-operating investments and pledged deposits</t>
        </is>
      </c>
      <c r="B681" s="18">
        <f>(Assumptions!$B$81+Assumptions!$B$80)/10^6</f>
        <v>578.358746</v>
      </c>
    </row>
    <row r="682">
      <c r="A682" s="17" t="inlineStr">
        <is>
          <t>EQUITY ATTRIBUTABLE</t>
        </is>
      </c>
      <c r="B682" s="20">
        <f>B677-B678-B679-B680+B681</f>
        <v>7103.21407868</v>
      </c>
    </row>
    <row r="683">
      <c r="A683" s="17" t="inlineStr">
        <is>
          <t>VALUE PER SHARE, EGP</t>
        </is>
      </c>
      <c r="B683" s="30">
        <f>B682/Assumptions!$B$8</f>
        <v>5.49997218636</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9" t="inlineStr">
        <is>
          <t>Inflation index, cumulative</t>
        </is>
      </c>
      <c r="C687" s="26">
        <f>Assumptions!$B$146</f>
        <v>1.145</v>
      </c>
      <c r="D687" s="26">
        <f>C687*Assumptions!$B$147</f>
        <v>1.29385</v>
      </c>
      <c r="E687" s="26">
        <f>D687*Assumptions!$B$148</f>
        <v>1.44264275</v>
      </c>
      <c r="F687" s="26">
        <f>E687*Assumptions!$B$149</f>
        <v>1.586907025</v>
      </c>
      <c r="G687" s="26">
        <f>F687*Assumptions!$B$150</f>
        <v>1.73766319237</v>
      </c>
    </row>
    <row r="688">
      <c r="A688" s="9" t="inlineStr">
        <is>
          <t>Realisation index, cumulative</t>
        </is>
      </c>
      <c r="C688" s="26">
        <f>(1+Assumptions!$B$101*$D$23)</f>
        <v>1.0945</v>
      </c>
      <c r="D688" s="26">
        <f>C688*(1+Assumptions!$B$102*$D$23)</f>
        <v>1.180691875</v>
      </c>
      <c r="E688" s="26">
        <f>D688*(1+Assumptions!$B$103*$D$23)</f>
        <v>1.26127409547</v>
      </c>
      <c r="F688" s="26">
        <f>E688*(1+Assumptions!$B$104*$D$23)</f>
        <v>1.33808568788</v>
      </c>
      <c r="G688" s="26">
        <f>F688*(1+Assumptions!$B$105*$D$23)</f>
        <v>1.41114516644</v>
      </c>
    </row>
    <row r="689">
      <c r="A689" s="9" t="inlineStr">
        <is>
          <t xml:space="preserve">  Volume — Base and special oils, mn t</t>
        </is>
      </c>
      <c r="C689" s="26">
        <f>'Product and Cost'!E6*(1+Assumptions!$B$106*Forecast!$B$6)</f>
        <v>0.1148851682</v>
      </c>
      <c r="D689" s="26">
        <f>C689*(1+Assumptions!$B$107*Forecast!$B$6)</f>
        <v>0.119480574928</v>
      </c>
      <c r="E689" s="26">
        <f>D689*(1+Assumptions!$B$108*Forecast!$B$6)</f>
        <v>0.12366239505</v>
      </c>
      <c r="F689" s="26">
        <f>E689*(1+Assumptions!$B$109*Forecast!$B$6)</f>
        <v>0.127372266902</v>
      </c>
      <c r="G689" s="26">
        <f>F689*(1+Assumptions!$B$110*Forecast!$B$6)</f>
        <v>0.130938690375</v>
      </c>
    </row>
    <row r="690">
      <c r="A690" s="9" t="inlineStr">
        <is>
          <t xml:space="preserve">  Volume — Paraffin wax, mn t</t>
        </is>
      </c>
      <c r="C690" s="26">
        <f>'Product and Cost'!E7*(1+Assumptions!$B$111*Forecast!$B$6)</f>
        <v>0.089396788</v>
      </c>
      <c r="D690" s="26">
        <f>C690*(1+Assumptions!$B$112*Forecast!$B$6)</f>
        <v>0.09431361134</v>
      </c>
      <c r="E690" s="26">
        <f>D690*(1+Assumptions!$B$113*Forecast!$B$6)</f>
        <v>0.0985577238503</v>
      </c>
      <c r="F690" s="26">
        <f>E690*(1+Assumptions!$B$114*Forecast!$B$6)</f>
        <v>0.102302917357</v>
      </c>
      <c r="G690" s="26">
        <f>F690*(1+Assumptions!$B$115*Forecast!$B$6)</f>
        <v>0.105576610712</v>
      </c>
    </row>
    <row r="691">
      <c r="A691" s="9" t="inlineStr">
        <is>
          <t xml:space="preserve">  Volume — Gas oil, mn t</t>
        </is>
      </c>
      <c r="C691" s="26">
        <f>'Product and Cost'!E8*(1+Assumptions!$B$116*Forecast!$B$6)</f>
        <v>0.35023715724</v>
      </c>
      <c r="D691" s="26">
        <f>C691*(1+Assumptions!$B$117*Forecast!$B$6)</f>
        <v>0.357241900385</v>
      </c>
      <c r="E691" s="26">
        <f>D691*(1+Assumptions!$B$118*Forecast!$B$6)</f>
        <v>0.363672254592</v>
      </c>
      <c r="F691" s="26">
        <f>E691*(1+Assumptions!$B$119*Forecast!$B$6)</f>
        <v>0.369491010665</v>
      </c>
      <c r="G691" s="26">
        <f>F691*(1+Assumptions!$B$120*Forecast!$B$6)</f>
        <v>0.375033375825</v>
      </c>
    </row>
    <row r="692">
      <c r="A692" s="9" t="inlineStr">
        <is>
          <t xml:space="preserve">  Volume — Naphtha, mn t</t>
        </is>
      </c>
      <c r="C692" s="26">
        <f>'Product and Cost'!E9*(1+Assumptions!$B$121*Forecast!$B$6)</f>
        <v>0.08410463971</v>
      </c>
      <c r="D692" s="26">
        <f>C692*(1+Assumptions!$B$122*Forecast!$B$6)</f>
        <v>0.0856185232248</v>
      </c>
      <c r="E692" s="26">
        <f>D692*(1+Assumptions!$B$123*Forecast!$B$6)</f>
        <v>0.0871596566428</v>
      </c>
      <c r="F692" s="26">
        <f>E692*(1+Assumptions!$B$124*Forecast!$B$6)</f>
        <v>0.0885542111491</v>
      </c>
      <c r="G692" s="26">
        <f>F692*(1+Assumptions!$B$125*Forecast!$B$6)</f>
        <v>0.0898825243163</v>
      </c>
    </row>
    <row r="693">
      <c r="A693" s="9" t="inlineStr">
        <is>
          <t xml:space="preserve">  Volume — Liquefied petroleum gas, mn t</t>
        </is>
      </c>
      <c r="C693" s="26">
        <f>'Product and Cost'!E10*(1+Assumptions!$B$126*Forecast!$B$6)</f>
        <v>0.0486583449</v>
      </c>
      <c r="D693" s="26">
        <f>C693*(1+Assumptions!$B$127*Forecast!$B$6)</f>
        <v>0.0497288284878</v>
      </c>
      <c r="E693" s="26">
        <f>D693*(1+Assumptions!$B$128*Forecast!$B$6)</f>
        <v>0.0507234050576</v>
      </c>
      <c r="F693" s="26">
        <f>E693*(1+Assumptions!$B$129*Forecast!$B$6)</f>
        <v>0.0516364263486</v>
      </c>
      <c r="G693" s="26">
        <f>F693*(1+Assumptions!$B$130*Forecast!$B$6)</f>
        <v>0.0524626091702</v>
      </c>
    </row>
    <row r="694">
      <c r="A694" s="9" t="inlineStr">
        <is>
          <t xml:space="preserve">  Volume — Fuel oil (mix), mn t</t>
        </is>
      </c>
      <c r="C694" s="26">
        <f>'Product and Cost'!E11*(1+Assumptions!$B$131*Forecast!$B$6)</f>
        <v>0.947916416</v>
      </c>
      <c r="D694" s="26">
        <f>C694*(1+Assumptions!$B$132*Forecast!$B$6)</f>
        <v>0.972562242816</v>
      </c>
      <c r="E694" s="26">
        <f>D694*(1+Assumptions!$B$133*Forecast!$B$6)</f>
        <v>0.993958612158</v>
      </c>
      <c r="F694" s="26">
        <f>E694*(1+Assumptions!$B$134*Forecast!$B$6)</f>
        <v>1.0138377844</v>
      </c>
      <c r="G694" s="26">
        <f>F694*(1+Assumptions!$B$135*Forecast!$B$6)</f>
        <v>1.03208686452</v>
      </c>
    </row>
    <row r="695">
      <c r="A695" s="9" t="inlineStr">
        <is>
          <t xml:space="preserve">  Volume — Heavy fuel oil, mn t</t>
        </is>
      </c>
      <c r="C695" s="26">
        <f>'Product and Cost'!E12*(1+Assumptions!$B$136*Forecast!$B$6)</f>
        <v>0.0292281408</v>
      </c>
      <c r="D695" s="26">
        <f>C695*(1+Assumptions!$B$137*Forecast!$B$6)</f>
        <v>0.0297542473344</v>
      </c>
      <c r="E695" s="26">
        <f>D695*(1+Assumptions!$B$138*Forecast!$B$6)</f>
        <v>0.0302303152918</v>
      </c>
      <c r="F695" s="26">
        <f>E695*(1+Assumptions!$B$139*Forecast!$B$6)</f>
        <v>0.0306837700211</v>
      </c>
      <c r="G695" s="26">
        <f>F695*(1+Assumptions!$B$140*Forecast!$B$6)</f>
        <v>0.0311133428014</v>
      </c>
    </row>
    <row r="696">
      <c r="A696" s="9" t="inlineStr">
        <is>
          <t xml:space="preserve">  Volume — Waste, mn t</t>
        </is>
      </c>
      <c r="C696" s="26">
        <f>'Product and Cost'!E13*(1+Assumptions!$B$141*Forecast!$B$6)</f>
        <v>1.564e-05</v>
      </c>
      <c r="D696" s="26">
        <f>C696*(1+Assumptions!$B$142*Forecast!$B$6)</f>
        <v>1.564e-05</v>
      </c>
      <c r="E696" s="26">
        <f>D696*(1+Assumptions!$B$143*Forecast!$B$6)</f>
        <v>1.564e-05</v>
      </c>
      <c r="F696" s="26">
        <f>E696*(1+Assumptions!$B$144*Forecast!$B$6)</f>
        <v>1.564e-05</v>
      </c>
      <c r="G696" s="26">
        <f>F696*(1+Assumptions!$B$145*Forecast!$B$6)</f>
        <v>1.564e-05</v>
      </c>
    </row>
    <row r="697">
      <c r="A697" s="17" t="inlineStr">
        <is>
          <t>Total volume, mn t</t>
        </is>
      </c>
      <c r="C697" s="28">
        <f>SUM(C689:C696)</f>
        <v>1.66444229485</v>
      </c>
      <c r="D697" s="28">
        <f>SUM(D689:D696)</f>
        <v>1.70871556852</v>
      </c>
      <c r="E697" s="28">
        <f>SUM(E689:E696)</f>
        <v>1.74798000264</v>
      </c>
      <c r="F697" s="28">
        <f>SUM(F689:F696)</f>
        <v>1.78389402684</v>
      </c>
      <c r="G697" s="28">
        <f>SUM(G689:G696)</f>
        <v>1.81710965772</v>
      </c>
    </row>
    <row r="698">
      <c r="A698" s="17" t="inlineStr">
        <is>
          <t>REVENUE</t>
        </is>
      </c>
      <c r="C698" s="20">
        <f>C689*'Product and Cost'!$F$6*C688+C690*'Product and Cost'!$F$7*C688+C691*'Product and Cost'!$F$8*C688+C692*'Product and Cost'!$F$9*C688+C693*'Product and Cost'!$F$10*C688+C694*'Product and Cost'!$F$11*C688+C695*'Product and Cost'!$F$12*C688+C696*'Product and Cost'!$F$13*C688</f>
        <v>53058.9612517</v>
      </c>
      <c r="D698" s="20">
        <f>D689*'Product and Cost'!$F$6*D688+D690*'Product and Cost'!$F$7*D688+D691*'Product and Cost'!$F$8*D688+D692*'Product and Cost'!$F$9*D688+D693*'Product and Cost'!$F$10*D688+D694*'Product and Cost'!$F$11*D688+D695*'Product and Cost'!$F$12*D688+D696*'Product and Cost'!$F$13*D688</f>
        <v>58878.0756268</v>
      </c>
      <c r="E698" s="20">
        <f>E689*'Product and Cost'!$F$6*E688+E690*'Product and Cost'!$F$7*E688+E691*'Product and Cost'!$F$8*E688+E692*'Product and Cost'!$F$9*E688+E693*'Product and Cost'!$F$10*E688+E694*'Product and Cost'!$F$11*E688+E695*'Product and Cost'!$F$12*E688+E696*'Product and Cost'!$F$13*E688</f>
        <v>64455.3962743</v>
      </c>
      <c r="F698" s="20">
        <f>F689*'Product and Cost'!$F$6*F688+F690*'Product and Cost'!$F$7*F688+F691*'Product and Cost'!$F$8*F688+F692*'Product and Cost'!$F$9*F688+F693*'Product and Cost'!$F$10*F688+F694*'Product and Cost'!$F$11*F688+F695*'Product and Cost'!$F$12*F688+F696*'Product and Cost'!$F$13*F688</f>
        <v>69881.41387</v>
      </c>
      <c r="G698" s="20">
        <f>G689*'Product and Cost'!$F$6*G688+G690*'Product and Cost'!$F$7*G688+G691*'Product and Cost'!$F$8*G688+G692*'Product and Cost'!$F$9*G688+G693*'Product and Cost'!$F$10*G688+G694*'Product and Cost'!$F$11*G688+G695*'Product and Cost'!$F$12*G688+G696*'Product and Cost'!$F$13*G688</f>
        <v>75160.1053876</v>
      </c>
    </row>
    <row r="699">
      <c r="A699" s="9" t="inlineStr">
        <is>
          <t>Cost of sales</t>
        </is>
      </c>
      <c r="C699" s="18">
        <f>C689*('Product and Cost'!$D$27*C688*Assumptions!$B$88+'Product and Cost'!$B$27*(0.4863620081*C687+0.4455809638*C687+0.0356254898*C688+0.0324315384))+C690*('Product and Cost'!$D$28*C688*Assumptions!$B$88+'Product and Cost'!$B$28*(0.4863620081*C687+0.4455809638*C687+0.0356254898*C688+0.0324315384))+C691*('Product and Cost'!$D$29*C688*Assumptions!$B$88+'Product and Cost'!$B$29*(0.4863620081*C687+0.4455809638*C687+0.0356254898*C688+0.0324315384))+C692*('Product and Cost'!$D$30*C688*Assumptions!$B$88+'Product and Cost'!$B$30*(0.4863620081*C687+0.4455809638*C687+0.0356254898*C688+0.0324315384))+C693*('Product and Cost'!$D$31*C688*Assumptions!$B$88+'Product and Cost'!$B$31*(0.4863620081*C687+0.4455809638*C687+0.0356254898*C688+0.0324315384))+C694*('Product and Cost'!$D$32*C688*Assumptions!$B$88+'Product and Cost'!$B$32*(0.4863620081*C687+0.4455809638*C687+0.0356254898*C688+0.0324315384))+C695*('Product and Cost'!$D$33*C688*Assumptions!$B$88+'Product and Cost'!$B$33*(0.4863620081*C687+0.4455809638*C687+0.0356254898*C688+0.0324315384))+C696*('Product and Cost'!$D$34*C688*Assumptions!$B$88+'Product and Cost'!$B$34*(0.4863620081*C687+0.4455809638*C687+0.0356254898*C688+0.0324315384))</f>
        <v>48471.7150708</v>
      </c>
      <c r="D699" s="18">
        <f>D689*('Product and Cost'!$D$27*D688*Assumptions!$B$88+'Product and Cost'!$B$27*(0.4863620081*D687+0.4455809638*D687+0.0356254898*D688+0.0324315384))+D690*('Product and Cost'!$D$28*D688*Assumptions!$B$88+'Product and Cost'!$B$28*(0.4863620081*D687+0.4455809638*D687+0.0356254898*D688+0.0324315384))+D691*('Product and Cost'!$D$29*D688*Assumptions!$B$88+'Product and Cost'!$B$29*(0.4863620081*D687+0.4455809638*D687+0.0356254898*D688+0.0324315384))+D692*('Product and Cost'!$D$30*D688*Assumptions!$B$88+'Product and Cost'!$B$30*(0.4863620081*D687+0.4455809638*D687+0.0356254898*D688+0.0324315384))+D693*('Product and Cost'!$D$31*D688*Assumptions!$B$88+'Product and Cost'!$B$31*(0.4863620081*D687+0.4455809638*D687+0.0356254898*D688+0.0324315384))+D694*('Product and Cost'!$D$32*D688*Assumptions!$B$88+'Product and Cost'!$B$32*(0.4863620081*D687+0.4455809638*D687+0.0356254898*D688+0.0324315384))+D695*('Product and Cost'!$D$33*D688*Assumptions!$B$88+'Product and Cost'!$B$33*(0.4863620081*D687+0.4455809638*D687+0.0356254898*D688+0.0324315384))+D696*('Product and Cost'!$D$34*D688*Assumptions!$B$88+'Product and Cost'!$B$34*(0.4863620081*D687+0.4455809638*D687+0.0356254898*D688+0.0324315384))</f>
        <v>54016.7993086</v>
      </c>
      <c r="E699" s="18">
        <f>E689*('Product and Cost'!$D$27*E688*Assumptions!$B$88+'Product and Cost'!$B$27*(0.4863620081*E687+0.4455809638*E687+0.0356254898*E688+0.0324315384))+E690*('Product and Cost'!$D$28*E688*Assumptions!$B$88+'Product and Cost'!$B$28*(0.4863620081*E687+0.4455809638*E687+0.0356254898*E688+0.0324315384))+E691*('Product and Cost'!$D$29*E688*Assumptions!$B$88+'Product and Cost'!$B$29*(0.4863620081*E687+0.4455809638*E687+0.0356254898*E688+0.0324315384))+E692*('Product and Cost'!$D$30*E688*Assumptions!$B$88+'Product and Cost'!$B$30*(0.4863620081*E687+0.4455809638*E687+0.0356254898*E688+0.0324315384))+E693*('Product and Cost'!$D$31*E688*Assumptions!$B$88+'Product and Cost'!$B$31*(0.4863620081*E687+0.4455809638*E687+0.0356254898*E688+0.0324315384))+E694*('Product and Cost'!$D$32*E688*Assumptions!$B$88+'Product and Cost'!$B$32*(0.4863620081*E687+0.4455809638*E687+0.0356254898*E688+0.0324315384))+E695*('Product and Cost'!$D$33*E688*Assumptions!$B$88+'Product and Cost'!$B$33*(0.4863620081*E687+0.4455809638*E687+0.0356254898*E688+0.0324315384))+E696*('Product and Cost'!$D$34*E688*Assumptions!$B$88+'Product and Cost'!$B$34*(0.4863620081*E687+0.4455809638*E687+0.0356254898*E688+0.0324315384))</f>
        <v>59379.802856</v>
      </c>
      <c r="F699" s="18">
        <f>F689*('Product and Cost'!$D$27*F688*Assumptions!$B$88+'Product and Cost'!$B$27*(0.4863620081*F687+0.4455809638*F687+0.0356254898*F688+0.0324315384))+F690*('Product and Cost'!$D$28*F688*Assumptions!$B$88+'Product and Cost'!$B$28*(0.4863620081*F687+0.4455809638*F687+0.0356254898*F688+0.0324315384))+F691*('Product and Cost'!$D$29*F688*Assumptions!$B$88+'Product and Cost'!$B$29*(0.4863620081*F687+0.4455809638*F687+0.0356254898*F688+0.0324315384))+F692*('Product and Cost'!$D$30*F688*Assumptions!$B$88+'Product and Cost'!$B$30*(0.4863620081*F687+0.4455809638*F687+0.0356254898*F688+0.0324315384))+F693*('Product and Cost'!$D$31*F688*Assumptions!$B$88+'Product and Cost'!$B$31*(0.4863620081*F687+0.4455809638*F687+0.0356254898*F688+0.0324315384))+F694*('Product and Cost'!$D$32*F688*Assumptions!$B$88+'Product and Cost'!$B$32*(0.4863620081*F687+0.4455809638*F687+0.0356254898*F688+0.0324315384))+F695*('Product and Cost'!$D$33*F688*Assumptions!$B$88+'Product and Cost'!$B$33*(0.4863620081*F687+0.4455809638*F687+0.0356254898*F688+0.0324315384))+F696*('Product and Cost'!$D$34*F688*Assumptions!$B$88+'Product and Cost'!$B$34*(0.4863620081*F687+0.4455809638*F687+0.0356254898*F688+0.0324315384))</f>
        <v>64615.3802423</v>
      </c>
      <c r="G699" s="18">
        <f>G689*('Product and Cost'!$D$27*G688*Assumptions!$B$88+'Product and Cost'!$B$27*(0.4863620081*G687+0.4455809638*G687+0.0356254898*G688+0.0324315384))+G690*('Product and Cost'!$D$28*G688*Assumptions!$B$88+'Product and Cost'!$B$28*(0.4863620081*G687+0.4455809638*G687+0.0356254898*G688+0.0324315384))+G691*('Product and Cost'!$D$29*G688*Assumptions!$B$88+'Product and Cost'!$B$29*(0.4863620081*G687+0.4455809638*G687+0.0356254898*G688+0.0324315384))+G692*('Product and Cost'!$D$30*G688*Assumptions!$B$88+'Product and Cost'!$B$30*(0.4863620081*G687+0.4455809638*G687+0.0356254898*G688+0.0324315384))+G693*('Product and Cost'!$D$31*G688*Assumptions!$B$88+'Product and Cost'!$B$31*(0.4863620081*G687+0.4455809638*G687+0.0356254898*G688+0.0324315384))+G694*('Product and Cost'!$D$32*G688*Assumptions!$B$88+'Product and Cost'!$B$32*(0.4863620081*G687+0.4455809638*G687+0.0356254898*G688+0.0324315384))+G695*('Product and Cost'!$D$33*G688*Assumptions!$B$88+'Product and Cost'!$B$33*(0.4863620081*G687+0.4455809638*G687+0.0356254898*G688+0.0324315384))+G696*('Product and Cost'!$D$34*G688*Assumptions!$B$88+'Product and Cost'!$B$34*(0.4863620081*G687+0.4455809638*G687+0.0356254898*G688+0.0324315384))</f>
        <v>69773.6849664</v>
      </c>
    </row>
    <row r="700">
      <c r="A700" s="17" t="inlineStr">
        <is>
          <t>GROSS PROFIT</t>
        </is>
      </c>
      <c r="C700" s="20">
        <f>C698-C699+Forecast!$B$7*C698</f>
        <v>4587.24618086</v>
      </c>
      <c r="D700" s="20">
        <f>D698-D699+Forecast!$B$7*D698</f>
        <v>4861.27631825</v>
      </c>
      <c r="E700" s="20">
        <f>E698-E699+Forecast!$B$7*E698</f>
        <v>5075.59341833</v>
      </c>
      <c r="F700" s="20">
        <f>F698-F699+Forecast!$B$7*F698</f>
        <v>5266.03362772</v>
      </c>
      <c r="G700" s="20">
        <f>G698-G699+Forecast!$B$7*G698</f>
        <v>5386.42042123</v>
      </c>
    </row>
    <row r="701">
      <c r="A701" s="9" t="inlineStr">
        <is>
          <t>Gross margin</t>
        </is>
      </c>
      <c r="C701" s="19">
        <f>C700/C698</f>
        <v>0.0864556348757</v>
      </c>
      <c r="D701" s="19">
        <f>D700/D698</f>
        <v>0.082565135944</v>
      </c>
      <c r="E701" s="19">
        <f>E700/E698</f>
        <v>0.0787458259775</v>
      </c>
      <c r="F701" s="19">
        <f>F700/F698</f>
        <v>0.0753567126949</v>
      </c>
      <c r="G701" s="19">
        <f>G700/G698</f>
        <v>0.0716659508851</v>
      </c>
    </row>
    <row r="702">
      <c r="A702" s="9" t="inlineStr">
        <is>
          <t>Operating expense</t>
        </is>
      </c>
      <c r="C702" s="18">
        <f>('Base Year'!$B$28*C687)+('Base Year'!$B$29*C687*C697/'Product and Cost'!$E$14)+('Base Year'!$B$30*C687)+('Base Year'!$B$31*C687)</f>
        <v>2007.6668112</v>
      </c>
      <c r="D702" s="18">
        <f>('Base Year'!$B$28*D687)+('Base Year'!$B$29*D687*D697/'Product and Cost'!$E$14)+('Base Year'!$B$30*D687)+('Base Year'!$B$31*D687)</f>
        <v>2276.29775955</v>
      </c>
      <c r="E702" s="18">
        <f>('Base Year'!$B$28*E687)+('Base Year'!$B$29*E687*E697/'Product and Cost'!$E$14)+('Base Year'!$B$30*E687)+('Base Year'!$B$31*E687)</f>
        <v>2545.62118024</v>
      </c>
      <c r="F702" s="18">
        <f>('Base Year'!$B$28*F687)+('Base Year'!$B$29*F687*F697/'Product and Cost'!$E$14)+('Base Year'!$B$30*F687)+('Base Year'!$B$31*F687)</f>
        <v>2807.77881104</v>
      </c>
      <c r="G702" s="18">
        <f>('Base Year'!$B$28*G687)+('Base Year'!$B$29*G687*G697/'Product and Cost'!$E$14)+('Base Year'!$B$30*G687)+('Base Year'!$B$31*G687)</f>
        <v>3082.20998189</v>
      </c>
    </row>
    <row r="703">
      <c r="A703" s="17" t="inlineStr">
        <is>
          <t>EBITDA</t>
        </is>
      </c>
      <c r="C703" s="20">
        <f>C700-C702</f>
        <v>2579.57936967</v>
      </c>
      <c r="D703" s="20">
        <f>D700-D702</f>
        <v>2584.97855871</v>
      </c>
      <c r="E703" s="20">
        <f>E700-E702</f>
        <v>2529.97223809</v>
      </c>
      <c r="F703" s="20">
        <f>F700-F702</f>
        <v>2458.25481668</v>
      </c>
      <c r="G703" s="20">
        <f>G700-G702</f>
        <v>2304.21043934</v>
      </c>
    </row>
    <row r="704">
      <c r="A704" s="9" t="inlineStr">
        <is>
          <t>Capital expenditure — maintenance + growth</t>
        </is>
      </c>
      <c r="C704" s="18">
        <f>'Base Year'!$B$43*C687+MAX(C697-'Product and Cost'!$E$14,0)*1947.901031*C687</f>
        <v>280.931999159</v>
      </c>
      <c r="D704" s="18">
        <f>'Base Year'!$B$43*D687+MAX(D697-C697,0)*1947.901031*D687</f>
        <v>307.3675836</v>
      </c>
      <c r="E704" s="18">
        <f>'Base Year'!$B$43*E687+MAX(E697-D697,0)*1947.901031*E687</f>
        <v>328.639389001</v>
      </c>
      <c r="F704" s="18">
        <f>'Base Year'!$B$43*F687+MAX(F697-E697,0)*1947.901031*F687</f>
        <v>351.146749034</v>
      </c>
      <c r="G704" s="18">
        <f>'Base Year'!$B$43*G687+MAX(G697-F697,0)*1947.901031*G687</f>
        <v>375.372179467</v>
      </c>
    </row>
    <row r="705">
      <c r="A705" s="9" t="inlineStr">
        <is>
          <t>Fixed assets at cost, closing</t>
        </is>
      </c>
      <c r="C705" s="18">
        <f>(Assumptions!$B$70+Assumptions!$B$71)/10^6+C704</f>
        <v>3429.06589416</v>
      </c>
      <c r="D705" s="18">
        <f>C705+D704</f>
        <v>3736.43347776</v>
      </c>
      <c r="E705" s="18">
        <f>D705+E704</f>
        <v>4065.07286676</v>
      </c>
      <c r="F705" s="18">
        <f>E705+F704</f>
        <v>4416.21961579</v>
      </c>
      <c r="G705" s="18">
        <f>F705+G704</f>
        <v>4791.59179526</v>
      </c>
    </row>
    <row r="706">
      <c r="A706" s="9" t="inlineStr">
        <is>
          <t>Depreciation — rolls off the asset register</t>
        </is>
      </c>
      <c r="C706" s="18">
        <f>(Assumptions!$B$70+Assumptions!$B$71)/10^6/'Base Year'!$B$42</f>
        <v>173.808854481</v>
      </c>
      <c r="D706" s="18">
        <f>C705/'Base Year'!$B$42</f>
        <v>189.319144255</v>
      </c>
      <c r="E706" s="18">
        <f>D705/'Base Year'!$B$42</f>
        <v>206.288945856</v>
      </c>
      <c r="F706" s="18">
        <f>E705/'Base Year'!$B$42</f>
        <v>224.433166415</v>
      </c>
      <c r="G706" s="18">
        <f>F705/'Base Year'!$B$42</f>
        <v>243.820021053</v>
      </c>
    </row>
    <row r="707">
      <c r="A707" s="9" t="inlineStr">
        <is>
          <t>Fixed assets, net book, closing</t>
        </is>
      </c>
      <c r="C707" s="18">
        <f>(Assumptions!$B$69+Assumptions!$B$71)/10^6+C704-C706</f>
        <v>1407.46262168</v>
      </c>
      <c r="D707" s="18">
        <f>C707+D704-D706</f>
        <v>1525.51106102</v>
      </c>
      <c r="E707" s="18">
        <f>D707+E704-E706</f>
        <v>1647.86150417</v>
      </c>
      <c r="F707" s="18">
        <f>E707+F704-F706</f>
        <v>1774.57508679</v>
      </c>
      <c r="G707" s="18">
        <f>F707+G704-G706</f>
        <v>1906.1272452</v>
      </c>
    </row>
    <row r="708">
      <c r="A708" s="17" t="inlineStr">
        <is>
          <t>EBIT</t>
        </is>
      </c>
      <c r="C708" s="20">
        <f>C703-C706</f>
        <v>2405.77051519</v>
      </c>
      <c r="D708" s="20">
        <f>D703-D706</f>
        <v>2395.65941445</v>
      </c>
      <c r="E708" s="20">
        <f>E703-E706</f>
        <v>2323.68329223</v>
      </c>
      <c r="F708" s="20">
        <f>F703-F706</f>
        <v>2233.82165026</v>
      </c>
      <c r="G708" s="20">
        <f>G703-G706</f>
        <v>2060.39041829</v>
      </c>
    </row>
    <row r="709">
      <c r="A709" s="9" t="inlineStr">
        <is>
          <t>NOPAT before the profit share</t>
        </is>
      </c>
      <c r="C709" s="18">
        <f>C708*(1-Assumptions!$B$87)</f>
        <v>1864.47214927</v>
      </c>
      <c r="D709" s="18">
        <f>D708*(1-Assumptions!$B$87)</f>
        <v>1856.6360462</v>
      </c>
      <c r="E709" s="18">
        <f>E708*(1-Assumptions!$B$87)</f>
        <v>1800.85455148</v>
      </c>
      <c r="F709" s="18">
        <f>F708*(1-Assumptions!$B$87)</f>
        <v>1731.21177895</v>
      </c>
      <c r="G709" s="18">
        <f>G708*(1-Assumptions!$B$87)</f>
        <v>1596.80257417</v>
      </c>
    </row>
    <row r="710">
      <c r="A710" s="9" t="inlineStr">
        <is>
          <t xml:space="preserve">  less employees' profit share and board bonuses</t>
        </is>
      </c>
      <c r="C710" s="18">
        <f>MAX(C709,0)*'Base Year'!$B$40</f>
        <v>98.2969097044</v>
      </c>
      <c r="D710" s="18">
        <f>MAX(D709,0)*'Base Year'!$B$40</f>
        <v>97.8837822055</v>
      </c>
      <c r="E710" s="18">
        <f>MAX(E709,0)*'Base Year'!$B$40</f>
        <v>94.9429238227</v>
      </c>
      <c r="F710" s="18">
        <f>MAX(F709,0)*'Base Year'!$B$40</f>
        <v>91.271284466</v>
      </c>
      <c r="G710" s="18">
        <f>MAX(G709,0)*'Base Year'!$B$40</f>
        <v>84.1850914806</v>
      </c>
    </row>
    <row r="711">
      <c r="A711" s="17" t="inlineStr">
        <is>
          <t>NOPAT</t>
        </is>
      </c>
      <c r="C711" s="20">
        <f>C709-C710</f>
        <v>1766.17523956</v>
      </c>
      <c r="D711" s="20">
        <f>D709-D710</f>
        <v>1758.752264</v>
      </c>
      <c r="E711" s="20">
        <f>E709-E710</f>
        <v>1705.91162766</v>
      </c>
      <c r="F711" s="20">
        <f>F709-F710</f>
        <v>1639.94049449</v>
      </c>
      <c r="G711" s="20">
        <f>G709-G710</f>
        <v>1512.61748269</v>
      </c>
    </row>
    <row r="712">
      <c r="A712" s="9" t="inlineStr">
        <is>
          <t>Net working capital — on days</t>
        </is>
      </c>
      <c r="C712" s="18">
        <f>'Base Year'!$B$44*Forecast!$B$9/365*C699+'Base Year'!$B$45*Forecast!$B$9/365*C698-'Base Year'!$B$46*Forecast!$B$9/365*C699</f>
        <v>2549.59921526</v>
      </c>
      <c r="D712" s="18">
        <f>'Base Year'!$B$44*Forecast!$B$9/365*D699+'Base Year'!$B$45*Forecast!$B$9/365*D698-'Base Year'!$B$46*Forecast!$B$9/365*D699</f>
        <v>2836.25443117</v>
      </c>
      <c r="E712" s="18">
        <f>'Base Year'!$B$44*Forecast!$B$9/365*E699+'Base Year'!$B$45*Forecast!$B$9/365*E698-'Base Year'!$B$46*Forecast!$B$9/365*E699</f>
        <v>3112.48264762</v>
      </c>
      <c r="F712" s="18">
        <f>'Base Year'!$B$44*Forecast!$B$9/365*F699+'Base Year'!$B$45*Forecast!$B$9/365*F698-'Base Year'!$B$46*Forecast!$B$9/365*F699</f>
        <v>3381.77193689</v>
      </c>
      <c r="G712" s="18">
        <f>'Base Year'!$B$44*Forecast!$B$9/365*G699+'Base Year'!$B$45*Forecast!$B$9/365*G698-'Base Year'!$B$46*Forecast!$B$9/365*G699</f>
        <v>3645.7419288</v>
      </c>
    </row>
    <row r="713">
      <c r="A713" s="9" t="inlineStr">
        <is>
          <t xml:space="preserve">  change in working capital</t>
        </is>
      </c>
      <c r="C713" s="18">
        <f>C712-('Base Year'!$B$44/365*'Base Year'!$B$21+'Base Year'!$B$45/365*'Base Year'!$B$19-'Base Year'!$B$46/365*'Base Year'!$B$21)</f>
        <v>298.196926261</v>
      </c>
      <c r="D713" s="18">
        <f>D712-C712</f>
        <v>286.655215914</v>
      </c>
      <c r="E713" s="18">
        <f>E712-D712</f>
        <v>276.228216444</v>
      </c>
      <c r="F713" s="18">
        <f>F712-E712</f>
        <v>269.289289277</v>
      </c>
      <c r="G713" s="18">
        <f>G712-F712</f>
        <v>263.969991906</v>
      </c>
    </row>
    <row r="714">
      <c r="A714" s="17" t="inlineStr">
        <is>
          <t>FREE CASH FLOW TO THE FIRM</t>
        </is>
      </c>
      <c r="C714" s="20">
        <f>C711+C706-C704-C713</f>
        <v>1360.85516863</v>
      </c>
      <c r="D714" s="20">
        <f>D711+D706-D704-D713</f>
        <v>1354.04860874</v>
      </c>
      <c r="E714" s="20">
        <f>E711+E706-E704-E713</f>
        <v>1307.33296807</v>
      </c>
      <c r="F714" s="20">
        <f>F711+F706-F704-F713</f>
        <v>1243.93762259</v>
      </c>
      <c r="G714" s="20">
        <f>G711+G706-G704-G713</f>
        <v>1117.09533237</v>
      </c>
    </row>
    <row r="715">
      <c r="A715" s="9" t="inlineStr">
        <is>
          <t>Glide fraction</t>
        </is>
      </c>
      <c r="C715" s="26">
        <f>0.0000000000</f>
        <v>0</v>
      </c>
      <c r="D715" s="26">
        <f>0.3571428571</f>
        <v>0.3571428571</v>
      </c>
      <c r="E715" s="26">
        <f>0.6428571429</f>
        <v>0.6428571429</v>
      </c>
      <c r="F715" s="26">
        <f>0.8571428571</f>
        <v>0.8571428571</v>
      </c>
      <c r="G715" s="26">
        <f>1.0000000000</f>
        <v>1</v>
      </c>
    </row>
    <row r="716">
      <c r="A716" s="9" t="inlineStr">
        <is>
          <t>Forward cost of capital</t>
        </is>
      </c>
      <c r="C716" s="19">
        <f>Forecast!$B$14-(Forecast!$B$14-Forecast!$B$17)*C715</f>
        <v>0.31578338914</v>
      </c>
      <c r="D716" s="19">
        <f>Forecast!$B$14-(Forecast!$B$14-Forecast!$B$17)*D715</f>
        <v>0.268515637955</v>
      </c>
      <c r="E716" s="19">
        <f>Forecast!$B$14-(Forecast!$B$14-Forecast!$B$17)*E715</f>
        <v>0.230701436991</v>
      </c>
      <c r="F716" s="19">
        <f>Forecast!$B$14-(Forecast!$B$14-Forecast!$B$17)*F715</f>
        <v>0.202340786287</v>
      </c>
      <c r="G716" s="19">
        <f>Forecast!$B$14-(Forecast!$B$14-Forecast!$B$17)*G715</f>
        <v>0.183433685805</v>
      </c>
    </row>
    <row r="717">
      <c r="A717" s="9" t="inlineStr">
        <is>
          <t>Cumulative discount factor</t>
        </is>
      </c>
      <c r="C717" s="29">
        <f>1/(1+C716)</f>
        <v>0.760003514449</v>
      </c>
      <c r="D717" s="29">
        <f>C717/(1+D716)</f>
        <v>0.599128218612</v>
      </c>
      <c r="E717" s="29">
        <f>D717/(1+E716)</f>
        <v>0.486818492775</v>
      </c>
      <c r="F717" s="29">
        <f>E717/(1+F716)</f>
        <v>0.404892272081</v>
      </c>
      <c r="G717" s="29">
        <f>F717/(1+G716)</f>
        <v>0.342133468852</v>
      </c>
    </row>
    <row r="718">
      <c r="A718" s="9" t="inlineStr">
        <is>
          <t>Present value</t>
        </is>
      </c>
      <c r="C718" s="18">
        <f>C714*C717</f>
        <v>1034.25471081</v>
      </c>
      <c r="D718" s="18">
        <f>D714*D717</f>
        <v>811.248730867</v>
      </c>
      <c r="E718" s="18">
        <f>E714*E717</f>
        <v>636.433865071</v>
      </c>
      <c r="F718" s="18">
        <f>F714*F717</f>
        <v>503.660730337</v>
      </c>
      <c r="G718" s="18">
        <f>G714*G717</f>
        <v>382.195701103</v>
      </c>
    </row>
    <row r="719">
      <c r="A719" s="17" t="inlineStr">
        <is>
          <t>PV of the explicit window</t>
        </is>
      </c>
      <c r="B719" s="20">
        <f>SUM(C718:G718)</f>
        <v>3367.79373819</v>
      </c>
      <c r="C719" s="18">
        <f>C712+C705</f>
        <v>5978.66510942</v>
      </c>
      <c r="D719" s="18">
        <f>D712+D705</f>
        <v>6572.68790893</v>
      </c>
      <c r="E719" s="18">
        <f>E712+E705</f>
        <v>7177.55551438</v>
      </c>
      <c r="F719" s="18">
        <f>F712+F705</f>
        <v>7797.99155269</v>
      </c>
      <c r="G719" s="18">
        <f>G712+G705</f>
        <v>8437.33372406</v>
      </c>
    </row>
    <row r="720">
      <c r="A720" s="9" t="inlineStr">
        <is>
          <t>Terminal return on invested capital, at REPLACEMENT cost</t>
        </is>
      </c>
      <c r="B720" s="19">
        <f>G711*(1+Assumptions!$B$89)/G719</f>
        <v>0.188240551905</v>
      </c>
    </row>
    <row r="721">
      <c r="A721" s="9" t="inlineStr">
        <is>
          <t>Required reinvestment = growth / return</t>
        </is>
      </c>
      <c r="B721" s="19">
        <f>MIN(Assumptions!$B$89/B720,0.95)</f>
        <v>0.265617580771</v>
      </c>
    </row>
    <row r="722">
      <c r="A722" s="9" t="inlineStr">
        <is>
          <t>Terminal value</t>
        </is>
      </c>
      <c r="B722" s="18">
        <f>G711*(1+Assumptions!$B$89)*(1-B721)/MAX(Forecast!$B$17-Assumptions!$B$89,0.02)</f>
        <v>8741.28345914</v>
      </c>
    </row>
    <row r="723">
      <c r="A723" s="9" t="inlineStr">
        <is>
          <t>PV of the terminal block</t>
        </is>
      </c>
      <c r="B723" s="18">
        <f>B722*G717</f>
        <v>2990.68563209</v>
      </c>
    </row>
    <row r="724">
      <c r="A724" s="17" t="inlineStr">
        <is>
          <t>ENTERPRISE VALUE</t>
        </is>
      </c>
      <c r="B724" s="20">
        <f>B719+B723</f>
        <v>6358.47937028</v>
      </c>
    </row>
    <row r="725">
      <c r="A725" s="9" t="inlineStr">
        <is>
          <t>plus net cash</t>
        </is>
      </c>
      <c r="B725" s="18">
        <f>(Assumptions!$B$79-Assumptions!$B$82-Assumptions!$B$83)/10^6</f>
        <v>2442.544928</v>
      </c>
    </row>
    <row r="726">
      <c r="A726" s="9" t="inlineStr">
        <is>
          <t>Enterprise value including cash</t>
        </is>
      </c>
      <c r="B726" s="18">
        <f>B724+B725</f>
        <v>8801.02429828</v>
      </c>
    </row>
    <row r="727">
      <c r="A727" s="9" t="inlineStr">
        <is>
          <t>less minority — on the WHOLE enterprise, cash included</t>
        </is>
      </c>
      <c r="B727" s="18">
        <f>B726*'Base Year'!$B$41</f>
        <v>286.758870104</v>
      </c>
    </row>
    <row r="728">
      <c r="A728" s="9" t="inlineStr">
        <is>
          <t>less the tax-disputes provision</t>
        </is>
      </c>
      <c r="B728" s="18">
        <f>Assumptions!$B$78/10^6</f>
        <v>921.440353</v>
      </c>
    </row>
    <row r="729">
      <c r="A729" s="9" t="inlineStr">
        <is>
          <t>less dividends payable — declared, out of working capital</t>
        </is>
      </c>
      <c r="B729" s="18">
        <f>Assumptions!$B$77/10^6</f>
        <v>517.25</v>
      </c>
    </row>
    <row r="730">
      <c r="A730" s="9" t="inlineStr">
        <is>
          <t>plus non-operating investments and pledged deposits</t>
        </is>
      </c>
      <c r="B730" s="18">
        <f>(Assumptions!$B$81+Assumptions!$B$80)/10^6</f>
        <v>578.358746</v>
      </c>
    </row>
    <row r="731">
      <c r="A731" s="17" t="inlineStr">
        <is>
          <t>EQUITY ATTRIBUTABLE</t>
        </is>
      </c>
      <c r="B731" s="20">
        <f>B726-B727-B728-B729+B730</f>
        <v>7653.93382118</v>
      </c>
    </row>
    <row r="732">
      <c r="A732" s="17" t="inlineStr">
        <is>
          <t>VALUE PER SHARE, EGP</t>
        </is>
      </c>
      <c r="B732" s="30">
        <f>B731/Assumptions!$B$8</f>
        <v>5.92639087973</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9" t="inlineStr">
        <is>
          <t>Inflation index, cumulative</t>
        </is>
      </c>
      <c r="C736" s="26">
        <f>Assumptions!$B$146</f>
        <v>1.145</v>
      </c>
      <c r="D736" s="26">
        <f>C736*Assumptions!$B$147</f>
        <v>1.29385</v>
      </c>
      <c r="E736" s="26">
        <f>D736*Assumptions!$B$148</f>
        <v>1.44264275</v>
      </c>
      <c r="F736" s="26">
        <f>E736*Assumptions!$B$149</f>
        <v>1.586907025</v>
      </c>
      <c r="G736" s="26">
        <f>F736*Assumptions!$B$150</f>
        <v>1.73766319237</v>
      </c>
    </row>
    <row r="737">
      <c r="A737" s="9" t="inlineStr">
        <is>
          <t>Realisation index, cumulative</t>
        </is>
      </c>
      <c r="C737" s="26">
        <f>(1+Assumptions!$B$101*$D$24)</f>
        <v>1.099</v>
      </c>
      <c r="D737" s="26">
        <f>C737*(1+Assumptions!$B$102*$D$24)</f>
        <v>1.1896675</v>
      </c>
      <c r="E737" s="26">
        <f>D737*(1+Assumptions!$B$103*$D$24)</f>
        <v>1.27472872625</v>
      </c>
      <c r="F737" s="26">
        <f>E737*(1+Assumptions!$B$104*$D$24)</f>
        <v>1.35605641898</v>
      </c>
      <c r="G737" s="26">
        <f>F737*(1+Assumptions!$B$105*$D$24)</f>
        <v>1.43362284615</v>
      </c>
    </row>
    <row r="738">
      <c r="A738" s="9" t="inlineStr">
        <is>
          <t xml:space="preserve">  Volume — Base and special oils, mn t</t>
        </is>
      </c>
      <c r="C738" s="26">
        <f>'Product and Cost'!E6*(1+Assumptions!$B$106*Forecast!$B$6)</f>
        <v>0.1148851682</v>
      </c>
      <c r="D738" s="26">
        <f>C738*(1+Assumptions!$B$107*Forecast!$B$6)</f>
        <v>0.119480574928</v>
      </c>
      <c r="E738" s="26">
        <f>D738*(1+Assumptions!$B$108*Forecast!$B$6)</f>
        <v>0.12366239505</v>
      </c>
      <c r="F738" s="26">
        <f>E738*(1+Assumptions!$B$109*Forecast!$B$6)</f>
        <v>0.127372266902</v>
      </c>
      <c r="G738" s="26">
        <f>F738*(1+Assumptions!$B$110*Forecast!$B$6)</f>
        <v>0.130938690375</v>
      </c>
    </row>
    <row r="739">
      <c r="A739" s="9" t="inlineStr">
        <is>
          <t xml:space="preserve">  Volume — Paraffin wax, mn t</t>
        </is>
      </c>
      <c r="C739" s="26">
        <f>'Product and Cost'!E7*(1+Assumptions!$B$111*Forecast!$B$6)</f>
        <v>0.089396788</v>
      </c>
      <c r="D739" s="26">
        <f>C739*(1+Assumptions!$B$112*Forecast!$B$6)</f>
        <v>0.09431361134</v>
      </c>
      <c r="E739" s="26">
        <f>D739*(1+Assumptions!$B$113*Forecast!$B$6)</f>
        <v>0.0985577238503</v>
      </c>
      <c r="F739" s="26">
        <f>E739*(1+Assumptions!$B$114*Forecast!$B$6)</f>
        <v>0.102302917357</v>
      </c>
      <c r="G739" s="26">
        <f>F739*(1+Assumptions!$B$115*Forecast!$B$6)</f>
        <v>0.105576610712</v>
      </c>
    </row>
    <row r="740">
      <c r="A740" s="9" t="inlineStr">
        <is>
          <t xml:space="preserve">  Volume — Gas oil, mn t</t>
        </is>
      </c>
      <c r="C740" s="26">
        <f>'Product and Cost'!E8*(1+Assumptions!$B$116*Forecast!$B$6)</f>
        <v>0.35023715724</v>
      </c>
      <c r="D740" s="26">
        <f>C740*(1+Assumptions!$B$117*Forecast!$B$6)</f>
        <v>0.357241900385</v>
      </c>
      <c r="E740" s="26">
        <f>D740*(1+Assumptions!$B$118*Forecast!$B$6)</f>
        <v>0.363672254592</v>
      </c>
      <c r="F740" s="26">
        <f>E740*(1+Assumptions!$B$119*Forecast!$B$6)</f>
        <v>0.369491010665</v>
      </c>
      <c r="G740" s="26">
        <f>F740*(1+Assumptions!$B$120*Forecast!$B$6)</f>
        <v>0.375033375825</v>
      </c>
    </row>
    <row r="741">
      <c r="A741" s="9" t="inlineStr">
        <is>
          <t xml:space="preserve">  Volume — Naphtha, mn t</t>
        </is>
      </c>
      <c r="C741" s="26">
        <f>'Product and Cost'!E9*(1+Assumptions!$B$121*Forecast!$B$6)</f>
        <v>0.08410463971</v>
      </c>
      <c r="D741" s="26">
        <f>C741*(1+Assumptions!$B$122*Forecast!$B$6)</f>
        <v>0.0856185232248</v>
      </c>
      <c r="E741" s="26">
        <f>D741*(1+Assumptions!$B$123*Forecast!$B$6)</f>
        <v>0.0871596566428</v>
      </c>
      <c r="F741" s="26">
        <f>E741*(1+Assumptions!$B$124*Forecast!$B$6)</f>
        <v>0.0885542111491</v>
      </c>
      <c r="G741" s="26">
        <f>F741*(1+Assumptions!$B$125*Forecast!$B$6)</f>
        <v>0.0898825243163</v>
      </c>
    </row>
    <row r="742">
      <c r="A742" s="9" t="inlineStr">
        <is>
          <t xml:space="preserve">  Volume — Liquefied petroleum gas, mn t</t>
        </is>
      </c>
      <c r="C742" s="26">
        <f>'Product and Cost'!E10*(1+Assumptions!$B$126*Forecast!$B$6)</f>
        <v>0.0486583449</v>
      </c>
      <c r="D742" s="26">
        <f>C742*(1+Assumptions!$B$127*Forecast!$B$6)</f>
        <v>0.0497288284878</v>
      </c>
      <c r="E742" s="26">
        <f>D742*(1+Assumptions!$B$128*Forecast!$B$6)</f>
        <v>0.0507234050576</v>
      </c>
      <c r="F742" s="26">
        <f>E742*(1+Assumptions!$B$129*Forecast!$B$6)</f>
        <v>0.0516364263486</v>
      </c>
      <c r="G742" s="26">
        <f>F742*(1+Assumptions!$B$130*Forecast!$B$6)</f>
        <v>0.0524626091702</v>
      </c>
    </row>
    <row r="743">
      <c r="A743" s="9" t="inlineStr">
        <is>
          <t xml:space="preserve">  Volume — Fuel oil (mix), mn t</t>
        </is>
      </c>
      <c r="C743" s="26">
        <f>'Product and Cost'!E11*(1+Assumptions!$B$131*Forecast!$B$6)</f>
        <v>0.947916416</v>
      </c>
      <c r="D743" s="26">
        <f>C743*(1+Assumptions!$B$132*Forecast!$B$6)</f>
        <v>0.972562242816</v>
      </c>
      <c r="E743" s="26">
        <f>D743*(1+Assumptions!$B$133*Forecast!$B$6)</f>
        <v>0.993958612158</v>
      </c>
      <c r="F743" s="26">
        <f>E743*(1+Assumptions!$B$134*Forecast!$B$6)</f>
        <v>1.0138377844</v>
      </c>
      <c r="G743" s="26">
        <f>F743*(1+Assumptions!$B$135*Forecast!$B$6)</f>
        <v>1.03208686452</v>
      </c>
    </row>
    <row r="744">
      <c r="A744" s="9" t="inlineStr">
        <is>
          <t xml:space="preserve">  Volume — Heavy fuel oil, mn t</t>
        </is>
      </c>
      <c r="C744" s="26">
        <f>'Product and Cost'!E12*(1+Assumptions!$B$136*Forecast!$B$6)</f>
        <v>0.0292281408</v>
      </c>
      <c r="D744" s="26">
        <f>C744*(1+Assumptions!$B$137*Forecast!$B$6)</f>
        <v>0.0297542473344</v>
      </c>
      <c r="E744" s="26">
        <f>D744*(1+Assumptions!$B$138*Forecast!$B$6)</f>
        <v>0.0302303152918</v>
      </c>
      <c r="F744" s="26">
        <f>E744*(1+Assumptions!$B$139*Forecast!$B$6)</f>
        <v>0.0306837700211</v>
      </c>
      <c r="G744" s="26">
        <f>F744*(1+Assumptions!$B$140*Forecast!$B$6)</f>
        <v>0.0311133428014</v>
      </c>
    </row>
    <row r="745">
      <c r="A745" s="9" t="inlineStr">
        <is>
          <t xml:space="preserve">  Volume — Waste, mn t</t>
        </is>
      </c>
      <c r="C745" s="26">
        <f>'Product and Cost'!E13*(1+Assumptions!$B$141*Forecast!$B$6)</f>
        <v>1.564e-05</v>
      </c>
      <c r="D745" s="26">
        <f>C745*(1+Assumptions!$B$142*Forecast!$B$6)</f>
        <v>1.564e-05</v>
      </c>
      <c r="E745" s="26">
        <f>D745*(1+Assumptions!$B$143*Forecast!$B$6)</f>
        <v>1.564e-05</v>
      </c>
      <c r="F745" s="26">
        <f>E745*(1+Assumptions!$B$144*Forecast!$B$6)</f>
        <v>1.564e-05</v>
      </c>
      <c r="G745" s="26">
        <f>F745*(1+Assumptions!$B$145*Forecast!$B$6)</f>
        <v>1.564e-05</v>
      </c>
    </row>
    <row r="746">
      <c r="A746" s="17" t="inlineStr">
        <is>
          <t>Total volume, mn t</t>
        </is>
      </c>
      <c r="C746" s="28">
        <f>SUM(C738:C745)</f>
        <v>1.66444229485</v>
      </c>
      <c r="D746" s="28">
        <f>SUM(D738:D745)</f>
        <v>1.70871556852</v>
      </c>
      <c r="E746" s="28">
        <f>SUM(E738:E745)</f>
        <v>1.74798000264</v>
      </c>
      <c r="F746" s="28">
        <f>SUM(F738:F745)</f>
        <v>1.78389402684</v>
      </c>
      <c r="G746" s="28">
        <f>SUM(G738:G745)</f>
        <v>1.81710965772</v>
      </c>
    </row>
    <row r="747">
      <c r="A747" s="17" t="inlineStr">
        <is>
          <t>REVENUE</t>
        </is>
      </c>
      <c r="C747" s="20">
        <f>C738*'Product and Cost'!$F$6*C737+C739*'Product and Cost'!$F$7*C737+C740*'Product and Cost'!$F$8*C737+C741*'Product and Cost'!$F$9*C737+C742*'Product and Cost'!$F$10*C737+C743*'Product and Cost'!$F$11*C737+C744*'Product and Cost'!$F$12*C737+C745*'Product and Cost'!$F$13*C737</f>
        <v>53277.1113893</v>
      </c>
      <c r="D747" s="20">
        <f>D738*'Product and Cost'!$F$6*D737+D739*'Product and Cost'!$F$7*D737+D740*'Product and Cost'!$F$8*D737+D741*'Product and Cost'!$F$9*D737+D742*'Product and Cost'!$F$10*D737+D743*'Product and Cost'!$F$11*D737+D744*'Product and Cost'!$F$12*D737+D745*'Product and Cost'!$F$13*D737</f>
        <v>59325.6670254</v>
      </c>
      <c r="E747" s="20">
        <f>E738*'Product and Cost'!$F$6*E737+E739*'Product and Cost'!$F$7*E737+E740*'Product and Cost'!$F$8*E737+E741*'Product and Cost'!$F$9*E737+E742*'Product and Cost'!$F$10*E737+E743*'Product and Cost'!$F$11*E737+E744*'Product and Cost'!$F$12*E737+E745*'Product and Cost'!$F$13*E737</f>
        <v>65142.9736707</v>
      </c>
      <c r="F747" s="20">
        <f>F738*'Product and Cost'!$F$6*F737+F739*'Product and Cost'!$F$7*F737+F740*'Product and Cost'!$F$8*F737+F741*'Product and Cost'!$F$9*F737+F742*'Product and Cost'!$F$10*F737+F743*'Product and Cost'!$F$11*F737+F744*'Product and Cost'!$F$12*F737+F745*'Product and Cost'!$F$13*F737</f>
        <v>70819.9338087</v>
      </c>
      <c r="G747" s="20">
        <f>G738*'Product and Cost'!$F$6*G737+G739*'Product and Cost'!$F$7*G737+G740*'Product and Cost'!$F$8*G737+G741*'Product and Cost'!$F$9*G737+G742*'Product and Cost'!$F$10*G737+G743*'Product and Cost'!$F$11*G737+G744*'Product and Cost'!$F$12*G737+G745*'Product and Cost'!$F$13*G737</f>
        <v>76357.3066508</v>
      </c>
    </row>
    <row r="748">
      <c r="A748" s="9" t="inlineStr">
        <is>
          <t>Cost of sales</t>
        </is>
      </c>
      <c r="C748" s="18">
        <f>C738*('Product and Cost'!$D$27*C737*Assumptions!$B$88+'Product and Cost'!$B$27*(0.4863620081*C736+0.4455809638*C736+0.0356254898*C737+0.0324315384))+C739*('Product and Cost'!$D$28*C737*Assumptions!$B$88+'Product and Cost'!$B$28*(0.4863620081*C736+0.4455809638*C736+0.0356254898*C737+0.0324315384))+C740*('Product and Cost'!$D$29*C737*Assumptions!$B$88+'Product and Cost'!$B$29*(0.4863620081*C736+0.4455809638*C736+0.0356254898*C737+0.0324315384))+C741*('Product and Cost'!$D$30*C737*Assumptions!$B$88+'Product and Cost'!$B$30*(0.4863620081*C736+0.4455809638*C736+0.0356254898*C737+0.0324315384))+C742*('Product and Cost'!$D$31*C737*Assumptions!$B$88+'Product and Cost'!$B$31*(0.4863620081*C736+0.4455809638*C736+0.0356254898*C737+0.0324315384))+C743*('Product and Cost'!$D$32*C737*Assumptions!$B$88+'Product and Cost'!$B$32*(0.4863620081*C736+0.4455809638*C736+0.0356254898*C737+0.0324315384))+C744*('Product and Cost'!$D$33*C737*Assumptions!$B$88+'Product and Cost'!$B$33*(0.4863620081*C736+0.4455809638*C736+0.0356254898*C737+0.0324315384))+C745*('Product and Cost'!$D$34*C737*Assumptions!$B$88+'Product and Cost'!$B$34*(0.4863620081*C736+0.4455809638*C736+0.0356254898*C737+0.0324315384))</f>
        <v>48652.2696705</v>
      </c>
      <c r="D748" s="18">
        <f>D738*('Product and Cost'!$D$27*D737*Assumptions!$B$88+'Product and Cost'!$B$27*(0.4863620081*D736+0.4455809638*D736+0.0356254898*D737+0.0324315384))+D739*('Product and Cost'!$D$28*D737*Assumptions!$B$88+'Product and Cost'!$B$28*(0.4863620081*D736+0.4455809638*D736+0.0356254898*D737+0.0324315384))+D740*('Product and Cost'!$D$29*D737*Assumptions!$B$88+'Product and Cost'!$B$29*(0.4863620081*D736+0.4455809638*D736+0.0356254898*D737+0.0324315384))+D741*('Product and Cost'!$D$30*D737*Assumptions!$B$88+'Product and Cost'!$B$30*(0.4863620081*D736+0.4455809638*D736+0.0356254898*D737+0.0324315384))+D742*('Product and Cost'!$D$31*D737*Assumptions!$B$88+'Product and Cost'!$B$31*(0.4863620081*D736+0.4455809638*D736+0.0356254898*D737+0.0324315384))+D743*('Product and Cost'!$D$32*D737*Assumptions!$B$88+'Product and Cost'!$B$32*(0.4863620081*D736+0.4455809638*D736+0.0356254898*D737+0.0324315384))+D744*('Product and Cost'!$D$33*D737*Assumptions!$B$88+'Product and Cost'!$B$33*(0.4863620081*D736+0.4455809638*D736+0.0356254898*D737+0.0324315384))+D745*('Product and Cost'!$D$34*D737*Assumptions!$B$88+'Product and Cost'!$B$34*(0.4863620081*D736+0.4455809638*D736+0.0356254898*D737+0.0324315384))</f>
        <v>54387.0083493</v>
      </c>
      <c r="E748" s="18">
        <f>E738*('Product and Cost'!$D$27*E737*Assumptions!$B$88+'Product and Cost'!$B$27*(0.4863620081*E736+0.4455809638*E736+0.0356254898*E737+0.0324315384))+E739*('Product and Cost'!$D$28*E737*Assumptions!$B$88+'Product and Cost'!$B$28*(0.4863620081*E736+0.4455809638*E736+0.0356254898*E737+0.0324315384))+E740*('Product and Cost'!$D$29*E737*Assumptions!$B$88+'Product and Cost'!$B$29*(0.4863620081*E736+0.4455809638*E736+0.0356254898*E737+0.0324315384))+E741*('Product and Cost'!$D$30*E737*Assumptions!$B$88+'Product and Cost'!$B$30*(0.4863620081*E736+0.4455809638*E736+0.0356254898*E737+0.0324315384))+E742*('Product and Cost'!$D$31*E737*Assumptions!$B$88+'Product and Cost'!$B$31*(0.4863620081*E736+0.4455809638*E736+0.0356254898*E737+0.0324315384))+E743*('Product and Cost'!$D$32*E737*Assumptions!$B$88+'Product and Cost'!$B$32*(0.4863620081*E736+0.4455809638*E736+0.0356254898*E737+0.0324315384))+E744*('Product and Cost'!$D$33*E737*Assumptions!$B$88+'Product and Cost'!$B$33*(0.4863620081*E736+0.4455809638*E736+0.0356254898*E737+0.0324315384))+E745*('Product and Cost'!$D$34*E737*Assumptions!$B$88+'Product and Cost'!$B$34*(0.4863620081*E736+0.4455809638*E736+0.0356254898*E737+0.0324315384))</f>
        <v>59948.1875732</v>
      </c>
      <c r="F748" s="18">
        <f>F738*('Product and Cost'!$D$27*F737*Assumptions!$B$88+'Product and Cost'!$B$27*(0.4863620081*F736+0.4455809638*F736+0.0356254898*F737+0.0324315384))+F739*('Product and Cost'!$D$28*F737*Assumptions!$B$88+'Product and Cost'!$B$28*(0.4863620081*F736+0.4455809638*F736+0.0356254898*F737+0.0324315384))+F740*('Product and Cost'!$D$29*F737*Assumptions!$B$88+'Product and Cost'!$B$29*(0.4863620081*F736+0.4455809638*F736+0.0356254898*F737+0.0324315384))+F741*('Product and Cost'!$D$30*F737*Assumptions!$B$88+'Product and Cost'!$B$30*(0.4863620081*F736+0.4455809638*F736+0.0356254898*F737+0.0324315384))+F742*('Product and Cost'!$D$31*F737*Assumptions!$B$88+'Product and Cost'!$B$31*(0.4863620081*F736+0.4455809638*F736+0.0356254898*F737+0.0324315384))+F743*('Product and Cost'!$D$32*F737*Assumptions!$B$88+'Product and Cost'!$B$32*(0.4863620081*F736+0.4455809638*F736+0.0356254898*F737+0.0324315384))+F744*('Product and Cost'!$D$33*F737*Assumptions!$B$88+'Product and Cost'!$B$33*(0.4863620081*F736+0.4455809638*F736+0.0356254898*F737+0.0324315384))+F745*('Product and Cost'!$D$34*F737*Assumptions!$B$88+'Product and Cost'!$B$34*(0.4863620081*F736+0.4455809638*F736+0.0356254898*F737+0.0324315384))</f>
        <v>65390.8592995</v>
      </c>
      <c r="G748" s="18">
        <f>G738*('Product and Cost'!$D$27*G737*Assumptions!$B$88+'Product and Cost'!$B$27*(0.4863620081*G736+0.4455809638*G736+0.0356254898*G737+0.0324315384))+G739*('Product and Cost'!$D$28*G737*Assumptions!$B$88+'Product and Cost'!$B$28*(0.4863620081*G736+0.4455809638*G736+0.0356254898*G737+0.0324315384))+G740*('Product and Cost'!$D$29*G737*Assumptions!$B$88+'Product and Cost'!$B$29*(0.4863620081*G736+0.4455809638*G736+0.0356254898*G737+0.0324315384))+G741*('Product and Cost'!$D$30*G737*Assumptions!$B$88+'Product and Cost'!$B$30*(0.4863620081*G736+0.4455809638*G736+0.0356254898*G737+0.0324315384))+G742*('Product and Cost'!$D$31*G737*Assumptions!$B$88+'Product and Cost'!$B$31*(0.4863620081*G736+0.4455809638*G736+0.0356254898*G737+0.0324315384))+G743*('Product and Cost'!$D$32*G737*Assumptions!$B$88+'Product and Cost'!$B$32*(0.4863620081*G736+0.4455809638*G736+0.0356254898*G737+0.0324315384))+G744*('Product and Cost'!$D$33*G737*Assumptions!$B$88+'Product and Cost'!$B$33*(0.4863620081*G736+0.4455809638*G736+0.0356254898*G737+0.0324315384))+G745*('Product and Cost'!$D$34*G737*Assumptions!$B$88+'Product and Cost'!$B$34*(0.4863620081*G736+0.4455809638*G736+0.0356254898*G737+0.0324315384))</f>
        <v>70762.5230515</v>
      </c>
    </row>
    <row r="749">
      <c r="A749" s="17" t="inlineStr">
        <is>
          <t>GROSS PROFIT</t>
        </is>
      </c>
      <c r="C749" s="20">
        <f>C747-C748+Forecast!$B$7*C747</f>
        <v>4624.84171886</v>
      </c>
      <c r="D749" s="20">
        <f>D747-D748+Forecast!$B$7*D747</f>
        <v>4938.65867604</v>
      </c>
      <c r="E749" s="20">
        <f>E747-E748+Forecast!$B$7*E747</f>
        <v>5194.78609752</v>
      </c>
      <c r="F749" s="20">
        <f>F747-F748+Forecast!$B$7*F747</f>
        <v>5429.07450913</v>
      </c>
      <c r="G749" s="20">
        <f>G747-G748+Forecast!$B$7*G747</f>
        <v>5594.78359936</v>
      </c>
    </row>
    <row r="750">
      <c r="A750" s="9" t="inlineStr">
        <is>
          <t>Gross margin</t>
        </is>
      </c>
      <c r="C750" s="19">
        <f>C749/C747</f>
        <v>0.0868072911286</v>
      </c>
      <c r="D750" s="19">
        <f>D749/D747</f>
        <v>0.0832465764595</v>
      </c>
      <c r="E750" s="19">
        <f>E749/E747</f>
        <v>0.0797443807798</v>
      </c>
      <c r="F750" s="19">
        <f>F749/F747</f>
        <v>0.0766602595789</v>
      </c>
      <c r="G750" s="19">
        <f>G749/G747</f>
        <v>0.0732710967</v>
      </c>
    </row>
    <row r="751">
      <c r="A751" s="9" t="inlineStr">
        <is>
          <t>Operating expense</t>
        </is>
      </c>
      <c r="C751" s="18">
        <f>('Base Year'!$B$28*C736)+('Base Year'!$B$29*C736*C746/'Product and Cost'!$E$14)+('Base Year'!$B$30*C736)+('Base Year'!$B$31*C736)</f>
        <v>2007.6668112</v>
      </c>
      <c r="D751" s="18">
        <f>('Base Year'!$B$28*D736)+('Base Year'!$B$29*D736*D746/'Product and Cost'!$E$14)+('Base Year'!$B$30*D736)+('Base Year'!$B$31*D736)</f>
        <v>2276.29775955</v>
      </c>
      <c r="E751" s="18">
        <f>('Base Year'!$B$28*E736)+('Base Year'!$B$29*E736*E746/'Product and Cost'!$E$14)+('Base Year'!$B$30*E736)+('Base Year'!$B$31*E736)</f>
        <v>2545.62118024</v>
      </c>
      <c r="F751" s="18">
        <f>('Base Year'!$B$28*F736)+('Base Year'!$B$29*F736*F746/'Product and Cost'!$E$14)+('Base Year'!$B$30*F736)+('Base Year'!$B$31*F736)</f>
        <v>2807.77881104</v>
      </c>
      <c r="G751" s="18">
        <f>('Base Year'!$B$28*G736)+('Base Year'!$B$29*G736*G746/'Product and Cost'!$E$14)+('Base Year'!$B$30*G736)+('Base Year'!$B$31*G736)</f>
        <v>3082.20998189</v>
      </c>
    </row>
    <row r="752">
      <c r="A752" s="17" t="inlineStr">
        <is>
          <t>EBITDA</t>
        </is>
      </c>
      <c r="C752" s="20">
        <f>C749-C751</f>
        <v>2617.17490767</v>
      </c>
      <c r="D752" s="20">
        <f>D749-D751</f>
        <v>2662.3609165</v>
      </c>
      <c r="E752" s="20">
        <f>E749-E751</f>
        <v>2649.16491728</v>
      </c>
      <c r="F752" s="20">
        <f>F749-F751</f>
        <v>2621.29569809</v>
      </c>
      <c r="G752" s="20">
        <f>G749-G751</f>
        <v>2512.57361748</v>
      </c>
    </row>
    <row r="753">
      <c r="A753" s="9" t="inlineStr">
        <is>
          <t>Capital expenditure — maintenance + growth</t>
        </is>
      </c>
      <c r="C753" s="18">
        <f>'Base Year'!$B$43*C736+MAX(C746-'Product and Cost'!$E$14,0)*1947.901031*C736</f>
        <v>280.931999159</v>
      </c>
      <c r="D753" s="18">
        <f>'Base Year'!$B$43*D736+MAX(D746-C746,0)*1947.901031*D736</f>
        <v>307.3675836</v>
      </c>
      <c r="E753" s="18">
        <f>'Base Year'!$B$43*E736+MAX(E746-D746,0)*1947.901031*E736</f>
        <v>328.639389001</v>
      </c>
      <c r="F753" s="18">
        <f>'Base Year'!$B$43*F736+MAX(F746-E746,0)*1947.901031*F736</f>
        <v>351.146749034</v>
      </c>
      <c r="G753" s="18">
        <f>'Base Year'!$B$43*G736+MAX(G746-F746,0)*1947.901031*G736</f>
        <v>375.372179467</v>
      </c>
    </row>
    <row r="754">
      <c r="A754" s="9" t="inlineStr">
        <is>
          <t>Fixed assets at cost, closing</t>
        </is>
      </c>
      <c r="C754" s="18">
        <f>(Assumptions!$B$70+Assumptions!$B$71)/10^6+C753</f>
        <v>3429.06589416</v>
      </c>
      <c r="D754" s="18">
        <f>C754+D753</f>
        <v>3736.43347776</v>
      </c>
      <c r="E754" s="18">
        <f>D754+E753</f>
        <v>4065.07286676</v>
      </c>
      <c r="F754" s="18">
        <f>E754+F753</f>
        <v>4416.21961579</v>
      </c>
      <c r="G754" s="18">
        <f>F754+G753</f>
        <v>4791.59179526</v>
      </c>
    </row>
    <row r="755">
      <c r="A755" s="9" t="inlineStr">
        <is>
          <t>Depreciation — rolls off the asset register</t>
        </is>
      </c>
      <c r="C755" s="18">
        <f>(Assumptions!$B$70+Assumptions!$B$71)/10^6/'Base Year'!$B$42</f>
        <v>173.808854481</v>
      </c>
      <c r="D755" s="18">
        <f>C754/'Base Year'!$B$42</f>
        <v>189.319144255</v>
      </c>
      <c r="E755" s="18">
        <f>D754/'Base Year'!$B$42</f>
        <v>206.288945856</v>
      </c>
      <c r="F755" s="18">
        <f>E754/'Base Year'!$B$42</f>
        <v>224.433166415</v>
      </c>
      <c r="G755" s="18">
        <f>F754/'Base Year'!$B$42</f>
        <v>243.820021053</v>
      </c>
    </row>
    <row r="756">
      <c r="A756" s="9" t="inlineStr">
        <is>
          <t>Fixed assets, net book, closing</t>
        </is>
      </c>
      <c r="C756" s="18">
        <f>(Assumptions!$B$69+Assumptions!$B$71)/10^6+C753-C755</f>
        <v>1407.46262168</v>
      </c>
      <c r="D756" s="18">
        <f>C756+D753-D755</f>
        <v>1525.51106102</v>
      </c>
      <c r="E756" s="18">
        <f>D756+E753-E755</f>
        <v>1647.86150417</v>
      </c>
      <c r="F756" s="18">
        <f>E756+F753-F755</f>
        <v>1774.57508679</v>
      </c>
      <c r="G756" s="18">
        <f>F756+G753-G755</f>
        <v>1906.1272452</v>
      </c>
    </row>
    <row r="757">
      <c r="A757" s="17" t="inlineStr">
        <is>
          <t>EBIT</t>
        </is>
      </c>
      <c r="C757" s="20">
        <f>C752-C755</f>
        <v>2443.36605319</v>
      </c>
      <c r="D757" s="20">
        <f>D752-D755</f>
        <v>2473.04177224</v>
      </c>
      <c r="E757" s="20">
        <f>E752-E755</f>
        <v>2442.87597143</v>
      </c>
      <c r="F757" s="20">
        <f>F752-F755</f>
        <v>2396.86253167</v>
      </c>
      <c r="G757" s="20">
        <f>G752-G755</f>
        <v>2268.75359642</v>
      </c>
    </row>
    <row r="758">
      <c r="A758" s="9" t="inlineStr">
        <is>
          <t>NOPAT before the profit share</t>
        </is>
      </c>
      <c r="C758" s="18">
        <f>C757*(1-Assumptions!$B$87)</f>
        <v>1893.60869122</v>
      </c>
      <c r="D758" s="18">
        <f>D757*(1-Assumptions!$B$87)</f>
        <v>1916.60737349</v>
      </c>
      <c r="E758" s="18">
        <f>E757*(1-Assumptions!$B$87)</f>
        <v>1893.22887786</v>
      </c>
      <c r="F758" s="18">
        <f>F757*(1-Assumptions!$B$87)</f>
        <v>1857.56846205</v>
      </c>
      <c r="G758" s="18">
        <f>G757*(1-Assumptions!$B$87)</f>
        <v>1758.28403723</v>
      </c>
    </row>
    <row r="759">
      <c r="A759" s="9" t="inlineStr">
        <is>
          <t xml:space="preserve">  less employees' profit share and board bonuses</t>
        </is>
      </c>
      <c r="C759" s="18">
        <f>MAX(C758,0)*'Base Year'!$B$40</f>
        <v>99.8330184815</v>
      </c>
      <c r="D759" s="18">
        <f>MAX(D758,0)*'Base Year'!$B$40</f>
        <v>101.045532916</v>
      </c>
      <c r="E759" s="18">
        <f>MAX(E758,0)*'Base Year'!$B$40</f>
        <v>99.8129943263</v>
      </c>
      <c r="F759" s="18">
        <f>MAX(F758,0)*'Base Year'!$B$40</f>
        <v>97.9329401381</v>
      </c>
      <c r="G759" s="18">
        <f>MAX(G758,0)*'Base Year'!$B$40</f>
        <v>92.6985620621</v>
      </c>
    </row>
    <row r="760">
      <c r="A760" s="17" t="inlineStr">
        <is>
          <t>NOPAT</t>
        </is>
      </c>
      <c r="C760" s="20">
        <f>C758-C759</f>
        <v>1793.77567274</v>
      </c>
      <c r="D760" s="20">
        <f>D758-D759</f>
        <v>1815.56184057</v>
      </c>
      <c r="E760" s="20">
        <f>E758-E759</f>
        <v>1793.41588353</v>
      </c>
      <c r="F760" s="20">
        <f>F758-F759</f>
        <v>1759.63552191</v>
      </c>
      <c r="G760" s="20">
        <f>G758-G759</f>
        <v>1665.58547517</v>
      </c>
    </row>
    <row r="761">
      <c r="A761" s="9" t="inlineStr">
        <is>
          <t>Net working capital — on days</t>
        </is>
      </c>
      <c r="C761" s="18">
        <f>'Base Year'!$B$44*Forecast!$B$9/365*C748+'Base Year'!$B$45*Forecast!$B$9/365*C747-'Base Year'!$B$46*Forecast!$B$9/365*C748</f>
        <v>2559.5064933</v>
      </c>
      <c r="D761" s="18">
        <f>'Base Year'!$B$44*Forecast!$B$9/365*D748+'Base Year'!$B$45*Forecast!$B$9/365*D747-'Base Year'!$B$46*Forecast!$B$9/365*D748</f>
        <v>2856.57423765</v>
      </c>
      <c r="E761" s="18">
        <f>'Base Year'!$B$44*Forecast!$B$9/365*E748+'Base Year'!$B$45*Forecast!$B$9/365*E747-'Base Year'!$B$46*Forecast!$B$9/365*E748</f>
        <v>3143.687538</v>
      </c>
      <c r="F761" s="18">
        <f>'Base Year'!$B$44*Forecast!$B$9/365*F748+'Base Year'!$B$45*Forecast!$B$9/365*F747-'Base Year'!$B$46*Forecast!$B$9/365*F748</f>
        <v>3424.35490665</v>
      </c>
      <c r="G761" s="18">
        <f>'Base Year'!$B$44*Forecast!$B$9/365*G748+'Base Year'!$B$45*Forecast!$B$9/365*G747-'Base Year'!$B$46*Forecast!$B$9/365*G748</f>
        <v>3700.05012273</v>
      </c>
    </row>
    <row r="762">
      <c r="A762" s="9" t="inlineStr">
        <is>
          <t xml:space="preserve">  change in working capital</t>
        </is>
      </c>
      <c r="C762" s="18">
        <f>C761-('Base Year'!$B$44/365*'Base Year'!$B$21+'Base Year'!$B$45/365*'Base Year'!$B$19-'Base Year'!$B$46/365*'Base Year'!$B$21)</f>
        <v>308.104204302</v>
      </c>
      <c r="D762" s="18">
        <f>D761-C761</f>
        <v>297.067744344</v>
      </c>
      <c r="E762" s="18">
        <f>E761-D761</f>
        <v>287.113300355</v>
      </c>
      <c r="F762" s="18">
        <f>F761-E761</f>
        <v>280.667368645</v>
      </c>
      <c r="G762" s="18">
        <f>G761-F761</f>
        <v>275.695216084</v>
      </c>
    </row>
    <row r="763">
      <c r="A763" s="17" t="inlineStr">
        <is>
          <t>FREE CASH FLOW TO THE FIRM</t>
        </is>
      </c>
      <c r="C763" s="20">
        <f>C760+C755-C753-C762</f>
        <v>1378.54832376</v>
      </c>
      <c r="D763" s="20">
        <f>D760+D755-D753-D762</f>
        <v>1400.44565688</v>
      </c>
      <c r="E763" s="20">
        <f>E760+E755-E753-E762</f>
        <v>1383.95214003</v>
      </c>
      <c r="F763" s="20">
        <f>F760+F755-F753-F762</f>
        <v>1352.25457064</v>
      </c>
      <c r="G763" s="20">
        <f>G760+G755-G753-G762</f>
        <v>1258.33810067</v>
      </c>
    </row>
    <row r="764">
      <c r="A764" s="9" t="inlineStr">
        <is>
          <t>Glide fraction</t>
        </is>
      </c>
      <c r="C764" s="26">
        <f>0.0000000000</f>
        <v>0</v>
      </c>
      <c r="D764" s="26">
        <f>0.3571428571</f>
        <v>0.3571428571</v>
      </c>
      <c r="E764" s="26">
        <f>0.6428571429</f>
        <v>0.6428571429</v>
      </c>
      <c r="F764" s="26">
        <f>0.8571428571</f>
        <v>0.8571428571</v>
      </c>
      <c r="G764" s="26">
        <f>1.0000000000</f>
        <v>1</v>
      </c>
    </row>
    <row r="765">
      <c r="A765" s="9" t="inlineStr">
        <is>
          <t>Forward cost of capital</t>
        </is>
      </c>
      <c r="C765" s="19">
        <f>Forecast!$B$14-(Forecast!$B$14-Forecast!$B$17)*C764</f>
        <v>0.31578338914</v>
      </c>
      <c r="D765" s="19">
        <f>Forecast!$B$14-(Forecast!$B$14-Forecast!$B$17)*D764</f>
        <v>0.268515637955</v>
      </c>
      <c r="E765" s="19">
        <f>Forecast!$B$14-(Forecast!$B$14-Forecast!$B$17)*E764</f>
        <v>0.230701436991</v>
      </c>
      <c r="F765" s="19">
        <f>Forecast!$B$14-(Forecast!$B$14-Forecast!$B$17)*F764</f>
        <v>0.202340786287</v>
      </c>
      <c r="G765" s="19">
        <f>Forecast!$B$14-(Forecast!$B$14-Forecast!$B$17)*G764</f>
        <v>0.183433685805</v>
      </c>
    </row>
    <row r="766">
      <c r="A766" s="9" t="inlineStr">
        <is>
          <t>Cumulative discount factor</t>
        </is>
      </c>
      <c r="C766" s="29">
        <f>1/(1+C765)</f>
        <v>0.760003514449</v>
      </c>
      <c r="D766" s="29">
        <f>C766/(1+D765)</f>
        <v>0.599128218612</v>
      </c>
      <c r="E766" s="29">
        <f>D766/(1+E765)</f>
        <v>0.486818492775</v>
      </c>
      <c r="F766" s="29">
        <f>E766/(1+F765)</f>
        <v>0.404892272081</v>
      </c>
      <c r="G766" s="29">
        <f>F766/(1+G765)</f>
        <v>0.342133468852</v>
      </c>
    </row>
    <row r="767">
      <c r="A767" s="9" t="inlineStr">
        <is>
          <t>Present value</t>
        </is>
      </c>
      <c r="C767" s="18">
        <f>C763*C766</f>
        <v>1047.70157089</v>
      </c>
      <c r="D767" s="18">
        <f>D763*D766</f>
        <v>839.04651167</v>
      </c>
      <c r="E767" s="18">
        <f>E763*E766</f>
        <v>673.733494883</v>
      </c>
      <c r="F767" s="18">
        <f>F763*F766</f>
        <v>547.51742554</v>
      </c>
      <c r="G767" s="18">
        <f>G763*G766</f>
        <v>430.51957937</v>
      </c>
    </row>
    <row r="768">
      <c r="A768" s="17" t="inlineStr">
        <is>
          <t>PV of the explicit window</t>
        </is>
      </c>
      <c r="B768" s="20">
        <f>SUM(C767:G767)</f>
        <v>3538.51858236</v>
      </c>
      <c r="C768" s="18">
        <f>C761+C754</f>
        <v>5988.57238746</v>
      </c>
      <c r="D768" s="18">
        <f>D761+D754</f>
        <v>6593.0077154</v>
      </c>
      <c r="E768" s="18">
        <f>E761+E754</f>
        <v>7208.76040476</v>
      </c>
      <c r="F768" s="18">
        <f>F761+F754</f>
        <v>7840.57452244</v>
      </c>
      <c r="G768" s="18">
        <f>G761+G754</f>
        <v>8491.64191799</v>
      </c>
    </row>
    <row r="769">
      <c r="A769" s="9" t="inlineStr">
        <is>
          <t>Terminal return on invested capital, at REPLACEMENT cost</t>
        </is>
      </c>
      <c r="B769" s="19">
        <f>G760*(1+Assumptions!$B$89)/G768</f>
        <v>0.205951306687</v>
      </c>
    </row>
    <row r="770">
      <c r="A770" s="9" t="inlineStr">
        <is>
          <t>Required reinvestment = growth / return</t>
        </is>
      </c>
      <c r="B770" s="19">
        <f>MIN(Assumptions!$B$89/B769,0.95)</f>
        <v>0.242775832814</v>
      </c>
    </row>
    <row r="771">
      <c r="A771" s="9" t="inlineStr">
        <is>
          <t>Terminal value</t>
        </is>
      </c>
      <c r="B771" s="18">
        <f>G760*(1+Assumptions!$B$89)*(1-B770)/MAX(Forecast!$B$17-Assumptions!$B$89,0.02)</f>
        <v>9924.65017384</v>
      </c>
    </row>
    <row r="772">
      <c r="A772" s="9" t="inlineStr">
        <is>
          <t>PV of the terminal block</t>
        </is>
      </c>
      <c r="B772" s="18">
        <f>B771*G766</f>
        <v>3395.55499112</v>
      </c>
    </row>
    <row r="773">
      <c r="A773" s="17" t="inlineStr">
        <is>
          <t>ENTERPRISE VALUE</t>
        </is>
      </c>
      <c r="B773" s="20">
        <f>B768+B772</f>
        <v>6934.07357347</v>
      </c>
    </row>
    <row r="774">
      <c r="A774" s="9" t="inlineStr">
        <is>
          <t>plus net cash</t>
        </is>
      </c>
      <c r="B774" s="18">
        <f>(Assumptions!$B$79-Assumptions!$B$82-Assumptions!$B$83)/10^6</f>
        <v>2442.544928</v>
      </c>
    </row>
    <row r="775">
      <c r="A775" s="9" t="inlineStr">
        <is>
          <t>Enterprise value including cash</t>
        </is>
      </c>
      <c r="B775" s="18">
        <f>B773+B774</f>
        <v>9376.61850147</v>
      </c>
    </row>
    <row r="776">
      <c r="A776" s="9" t="inlineStr">
        <is>
          <t>less minority — on the WHOLE enterprise, cash included</t>
        </is>
      </c>
      <c r="B776" s="18">
        <f>B775*'Base Year'!$B$41</f>
        <v>305.513135261</v>
      </c>
    </row>
    <row r="777">
      <c r="A777" s="9" t="inlineStr">
        <is>
          <t>less the tax-disputes provision</t>
        </is>
      </c>
      <c r="B777" s="18">
        <f>Assumptions!$B$78/10^6</f>
        <v>921.440353</v>
      </c>
    </row>
    <row r="778">
      <c r="A778" s="9" t="inlineStr">
        <is>
          <t>less dividends payable — declared, out of working capital</t>
        </is>
      </c>
      <c r="B778" s="18">
        <f>Assumptions!$B$77/10^6</f>
        <v>517.25</v>
      </c>
    </row>
    <row r="779">
      <c r="A779" s="9" t="inlineStr">
        <is>
          <t>plus non-operating investments and pledged deposits</t>
        </is>
      </c>
      <c r="B779" s="18">
        <f>(Assumptions!$B$81+Assumptions!$B$80)/10^6</f>
        <v>578.358746</v>
      </c>
    </row>
    <row r="780">
      <c r="A780" s="17" t="inlineStr">
        <is>
          <t>EQUITY ATTRIBUTABLE</t>
        </is>
      </c>
      <c r="B780" s="20">
        <f>B775-B776-B777-B778+B779</f>
        <v>8210.77375921</v>
      </c>
    </row>
    <row r="781">
      <c r="A781" s="17" t="inlineStr">
        <is>
          <t>VALUE PER SHARE, EGP</t>
        </is>
      </c>
      <c r="B781" s="30">
        <f>B780/Assumptions!$B$8</f>
        <v>6.35754840047</v>
      </c>
    </row>
    <row r="784">
      <c r="A784" s="6" t="inlineStr">
        <is>
          <t>Beta — 0.6000</t>
        </is>
      </c>
      <c r="B784" s="6" t="inlineStr">
        <is>
          <t>2026E</t>
        </is>
      </c>
      <c r="C784" s="6" t="inlineStr">
        <is>
          <t>2027E</t>
        </is>
      </c>
      <c r="D784" s="6" t="inlineStr">
        <is>
          <t>2028E</t>
        </is>
      </c>
      <c r="E784" s="6" t="inlineStr">
        <is>
          <t>2029E</t>
        </is>
      </c>
      <c r="F784" s="6" t="inlineStr">
        <is>
          <t>2030E</t>
        </is>
      </c>
    </row>
    <row r="785">
      <c r="A785" s="9" t="inlineStr">
        <is>
          <t>Inflation index, cumulative</t>
        </is>
      </c>
      <c r="C785" s="26">
        <f>Assumptions!$B$146</f>
        <v>1.145</v>
      </c>
      <c r="D785" s="26">
        <f>C785*Assumptions!$B$147</f>
        <v>1.29385</v>
      </c>
      <c r="E785" s="26">
        <f>D785*Assumptions!$B$148</f>
        <v>1.44264275</v>
      </c>
      <c r="F785" s="26">
        <f>E785*Assumptions!$B$149</f>
        <v>1.586907025</v>
      </c>
      <c r="G785" s="26">
        <f>F785*Assumptions!$B$150</f>
        <v>1.73766319237</v>
      </c>
    </row>
    <row r="786">
      <c r="A786" s="9" t="inlineStr">
        <is>
          <t>Realisation index, cumulative</t>
        </is>
      </c>
      <c r="C786" s="26">
        <f>(1+Assumptions!$B$101*Forecast!$B$8)</f>
        <v>1.09</v>
      </c>
      <c r="D786" s="26">
        <f>C786*(1+Assumptions!$B$102*Forecast!$B$8)</f>
        <v>1.17175</v>
      </c>
      <c r="E786" s="26">
        <f>D786*(1+Assumptions!$B$103*Forecast!$B$8)</f>
        <v>1.24791375</v>
      </c>
      <c r="F786" s="26">
        <f>E786*(1+Assumptions!$B$104*Forecast!$B$8)</f>
        <v>1.3202927475</v>
      </c>
      <c r="G786" s="26">
        <f>F786*(1+Assumptions!$B$105*Forecast!$B$8)</f>
        <v>1.38894797037</v>
      </c>
    </row>
    <row r="787">
      <c r="A787" s="9" t="inlineStr">
        <is>
          <t xml:space="preserve">  Volume — Base and special oils, mn t</t>
        </is>
      </c>
      <c r="C787" s="26">
        <f>'Product and Cost'!E6*(1+Assumptions!$B$106*Forecast!$B$6)</f>
        <v>0.1148851682</v>
      </c>
      <c r="D787" s="26">
        <f>C787*(1+Assumptions!$B$107*Forecast!$B$6)</f>
        <v>0.119480574928</v>
      </c>
      <c r="E787" s="26">
        <f>D787*(1+Assumptions!$B$108*Forecast!$B$6)</f>
        <v>0.12366239505</v>
      </c>
      <c r="F787" s="26">
        <f>E787*(1+Assumptions!$B$109*Forecast!$B$6)</f>
        <v>0.127372266902</v>
      </c>
      <c r="G787" s="26">
        <f>F787*(1+Assumptions!$B$110*Forecast!$B$6)</f>
        <v>0.130938690375</v>
      </c>
    </row>
    <row r="788">
      <c r="A788" s="9" t="inlineStr">
        <is>
          <t xml:space="preserve">  Volume — Paraffin wax, mn t</t>
        </is>
      </c>
      <c r="C788" s="26">
        <f>'Product and Cost'!E7*(1+Assumptions!$B$111*Forecast!$B$6)</f>
        <v>0.089396788</v>
      </c>
      <c r="D788" s="26">
        <f>C788*(1+Assumptions!$B$112*Forecast!$B$6)</f>
        <v>0.09431361134</v>
      </c>
      <c r="E788" s="26">
        <f>D788*(1+Assumptions!$B$113*Forecast!$B$6)</f>
        <v>0.0985577238503</v>
      </c>
      <c r="F788" s="26">
        <f>E788*(1+Assumptions!$B$114*Forecast!$B$6)</f>
        <v>0.102302917357</v>
      </c>
      <c r="G788" s="26">
        <f>F788*(1+Assumptions!$B$115*Forecast!$B$6)</f>
        <v>0.105576610712</v>
      </c>
    </row>
    <row r="789">
      <c r="A789" s="9" t="inlineStr">
        <is>
          <t xml:space="preserve">  Volume — Gas oil, mn t</t>
        </is>
      </c>
      <c r="C789" s="26">
        <f>'Product and Cost'!E8*(1+Assumptions!$B$116*Forecast!$B$6)</f>
        <v>0.35023715724</v>
      </c>
      <c r="D789" s="26">
        <f>C789*(1+Assumptions!$B$117*Forecast!$B$6)</f>
        <v>0.357241900385</v>
      </c>
      <c r="E789" s="26">
        <f>D789*(1+Assumptions!$B$118*Forecast!$B$6)</f>
        <v>0.363672254592</v>
      </c>
      <c r="F789" s="26">
        <f>E789*(1+Assumptions!$B$119*Forecast!$B$6)</f>
        <v>0.369491010665</v>
      </c>
      <c r="G789" s="26">
        <f>F789*(1+Assumptions!$B$120*Forecast!$B$6)</f>
        <v>0.375033375825</v>
      </c>
    </row>
    <row r="790">
      <c r="A790" s="9" t="inlineStr">
        <is>
          <t xml:space="preserve">  Volume — Naphtha, mn t</t>
        </is>
      </c>
      <c r="C790" s="26">
        <f>'Product and Cost'!E9*(1+Assumptions!$B$121*Forecast!$B$6)</f>
        <v>0.08410463971</v>
      </c>
      <c r="D790" s="26">
        <f>C790*(1+Assumptions!$B$122*Forecast!$B$6)</f>
        <v>0.0856185232248</v>
      </c>
      <c r="E790" s="26">
        <f>D790*(1+Assumptions!$B$123*Forecast!$B$6)</f>
        <v>0.0871596566428</v>
      </c>
      <c r="F790" s="26">
        <f>E790*(1+Assumptions!$B$124*Forecast!$B$6)</f>
        <v>0.0885542111491</v>
      </c>
      <c r="G790" s="26">
        <f>F790*(1+Assumptions!$B$125*Forecast!$B$6)</f>
        <v>0.0898825243163</v>
      </c>
    </row>
    <row r="791">
      <c r="A791" s="9" t="inlineStr">
        <is>
          <t xml:space="preserve">  Volume — Liquefied petroleum gas, mn t</t>
        </is>
      </c>
      <c r="C791" s="26">
        <f>'Product and Cost'!E10*(1+Assumptions!$B$126*Forecast!$B$6)</f>
        <v>0.0486583449</v>
      </c>
      <c r="D791" s="26">
        <f>C791*(1+Assumptions!$B$127*Forecast!$B$6)</f>
        <v>0.0497288284878</v>
      </c>
      <c r="E791" s="26">
        <f>D791*(1+Assumptions!$B$128*Forecast!$B$6)</f>
        <v>0.0507234050576</v>
      </c>
      <c r="F791" s="26">
        <f>E791*(1+Assumptions!$B$129*Forecast!$B$6)</f>
        <v>0.0516364263486</v>
      </c>
      <c r="G791" s="26">
        <f>F791*(1+Assumptions!$B$130*Forecast!$B$6)</f>
        <v>0.0524626091702</v>
      </c>
    </row>
    <row r="792">
      <c r="A792" s="9" t="inlineStr">
        <is>
          <t xml:space="preserve">  Volume — Fuel oil (mix), mn t</t>
        </is>
      </c>
      <c r="C792" s="26">
        <f>'Product and Cost'!E11*(1+Assumptions!$B$131*Forecast!$B$6)</f>
        <v>0.947916416</v>
      </c>
      <c r="D792" s="26">
        <f>C792*(1+Assumptions!$B$132*Forecast!$B$6)</f>
        <v>0.972562242816</v>
      </c>
      <c r="E792" s="26">
        <f>D792*(1+Assumptions!$B$133*Forecast!$B$6)</f>
        <v>0.993958612158</v>
      </c>
      <c r="F792" s="26">
        <f>E792*(1+Assumptions!$B$134*Forecast!$B$6)</f>
        <v>1.0138377844</v>
      </c>
      <c r="G792" s="26">
        <f>F792*(1+Assumptions!$B$135*Forecast!$B$6)</f>
        <v>1.03208686452</v>
      </c>
    </row>
    <row r="793">
      <c r="A793" s="9" t="inlineStr">
        <is>
          <t xml:space="preserve">  Volume — Heavy fuel oil, mn t</t>
        </is>
      </c>
      <c r="C793" s="26">
        <f>'Product and Cost'!E12*(1+Assumptions!$B$136*Forecast!$B$6)</f>
        <v>0.0292281408</v>
      </c>
      <c r="D793" s="26">
        <f>C793*(1+Assumptions!$B$137*Forecast!$B$6)</f>
        <v>0.0297542473344</v>
      </c>
      <c r="E793" s="26">
        <f>D793*(1+Assumptions!$B$138*Forecast!$B$6)</f>
        <v>0.0302303152918</v>
      </c>
      <c r="F793" s="26">
        <f>E793*(1+Assumptions!$B$139*Forecast!$B$6)</f>
        <v>0.0306837700211</v>
      </c>
      <c r="G793" s="26">
        <f>F793*(1+Assumptions!$B$140*Forecast!$B$6)</f>
        <v>0.0311133428014</v>
      </c>
    </row>
    <row r="794">
      <c r="A794" s="9" t="inlineStr">
        <is>
          <t xml:space="preserve">  Volume — Waste, mn t</t>
        </is>
      </c>
      <c r="C794" s="26">
        <f>'Product and Cost'!E13*(1+Assumptions!$B$141*Forecast!$B$6)</f>
        <v>1.564e-05</v>
      </c>
      <c r="D794" s="26">
        <f>C794*(1+Assumptions!$B$142*Forecast!$B$6)</f>
        <v>1.564e-05</v>
      </c>
      <c r="E794" s="26">
        <f>D794*(1+Assumptions!$B$143*Forecast!$B$6)</f>
        <v>1.564e-05</v>
      </c>
      <c r="F794" s="26">
        <f>E794*(1+Assumptions!$B$144*Forecast!$B$6)</f>
        <v>1.564e-05</v>
      </c>
      <c r="G794" s="26">
        <f>F794*(1+Assumptions!$B$145*Forecast!$B$6)</f>
        <v>1.564e-05</v>
      </c>
    </row>
    <row r="795">
      <c r="A795" s="17" t="inlineStr">
        <is>
          <t>Total volume, mn t</t>
        </is>
      </c>
      <c r="C795" s="28">
        <f>SUM(C787:C794)</f>
        <v>1.66444229485</v>
      </c>
      <c r="D795" s="28">
        <f>SUM(D787:D794)</f>
        <v>1.70871556852</v>
      </c>
      <c r="E795" s="28">
        <f>SUM(E787:E794)</f>
        <v>1.74798000264</v>
      </c>
      <c r="F795" s="28">
        <f>SUM(F787:F794)</f>
        <v>1.78389402684</v>
      </c>
      <c r="G795" s="28">
        <f>SUM(G787:G794)</f>
        <v>1.81710965772</v>
      </c>
    </row>
    <row r="796">
      <c r="A796" s="17" t="inlineStr">
        <is>
          <t>REVENUE</t>
        </is>
      </c>
      <c r="C796" s="20">
        <f>C787*'Product and Cost'!$F$6*C786+C788*'Product and Cost'!$F$7*C786+C789*'Product and Cost'!$F$8*C786+C790*'Product and Cost'!$F$9*C786+C791*'Product and Cost'!$F$10*C786+C792*'Product and Cost'!$F$11*C786+C793*'Product and Cost'!$F$12*C786+C794*'Product and Cost'!$F$13*C786</f>
        <v>52840.8111141</v>
      </c>
      <c r="D796" s="20">
        <f>D787*'Product and Cost'!$F$6*D786+D788*'Product and Cost'!$F$7*D786+D789*'Product and Cost'!$F$8*D786+D790*'Product and Cost'!$F$9*D786+D791*'Product and Cost'!$F$10*D786+D792*'Product and Cost'!$F$11*D786+D793*'Product and Cost'!$F$12*D786+D794*'Product and Cost'!$F$13*D786</f>
        <v>58432.1672543</v>
      </c>
      <c r="E796" s="20">
        <f>E787*'Product and Cost'!$F$6*E786+E788*'Product and Cost'!$F$7*E786+E789*'Product and Cost'!$F$8*E786+E790*'Product and Cost'!$F$9*E786+E791*'Product and Cost'!$F$10*E786+E792*'Product and Cost'!$F$11*E786+E793*'Product and Cost'!$F$12*E786+E794*'Product and Cost'!$F$13*E786</f>
        <v>63772.6371781</v>
      </c>
      <c r="F796" s="20">
        <f>F787*'Product and Cost'!$F$6*F786+F788*'Product and Cost'!$F$7*F786+F789*'Product and Cost'!$F$8*F786+F790*'Product and Cost'!$F$9*F786+F791*'Product and Cost'!$F$10*F786+F792*'Product and Cost'!$F$11*F786+F793*'Product and Cost'!$F$12*F786+F794*'Product and Cost'!$F$13*F786</f>
        <v>68952.1790369</v>
      </c>
      <c r="G796" s="20">
        <f>G787*'Product and Cost'!$F$6*G786+G788*'Product and Cost'!$F$7*G786+G789*'Product and Cost'!$F$8*G786+G790*'Product and Cost'!$F$9*G786+G791*'Product and Cost'!$F$10*G786+G792*'Product and Cost'!$F$11*G786+G793*'Product and Cost'!$F$12*G786+G794*'Product and Cost'!$F$13*G786</f>
        <v>73977.8431827</v>
      </c>
    </row>
    <row r="797">
      <c r="A797" s="9" t="inlineStr">
        <is>
          <t>Cost of sales</t>
        </is>
      </c>
      <c r="C797" s="18">
        <f>C787*('Product and Cost'!$D$27*C786*Assumptions!$B$88+'Product and Cost'!$B$27*(0.4863620081*C785+0.4455809638*C785+0.0356254898*C786+0.0324315384))+C788*('Product and Cost'!$D$28*C786*Assumptions!$B$88+'Product and Cost'!$B$28*(0.4863620081*C785+0.4455809638*C785+0.0356254898*C786+0.0324315384))+C789*('Product and Cost'!$D$29*C786*Assumptions!$B$88+'Product and Cost'!$B$29*(0.4863620081*C785+0.4455809638*C785+0.0356254898*C786+0.0324315384))+C790*('Product and Cost'!$D$30*C786*Assumptions!$B$88+'Product and Cost'!$B$30*(0.4863620081*C785+0.4455809638*C785+0.0356254898*C786+0.0324315384))+C791*('Product and Cost'!$D$31*C786*Assumptions!$B$88+'Product and Cost'!$B$31*(0.4863620081*C785+0.4455809638*C785+0.0356254898*C786+0.0324315384))+C792*('Product and Cost'!$D$32*C786*Assumptions!$B$88+'Product and Cost'!$B$32*(0.4863620081*C785+0.4455809638*C785+0.0356254898*C786+0.0324315384))+C793*('Product and Cost'!$D$33*C786*Assumptions!$B$88+'Product and Cost'!$B$33*(0.4863620081*C785+0.4455809638*C785+0.0356254898*C786+0.0324315384))+C794*('Product and Cost'!$D$34*C786*Assumptions!$B$88+'Product and Cost'!$B$34*(0.4863620081*C785+0.4455809638*C785+0.0356254898*C786+0.0324315384))</f>
        <v>48291.1604712</v>
      </c>
      <c r="D797" s="18">
        <f>D787*('Product and Cost'!$D$27*D786*Assumptions!$B$88+'Product and Cost'!$B$27*(0.4863620081*D785+0.4455809638*D785+0.0356254898*D786+0.0324315384))+D788*('Product and Cost'!$D$28*D786*Assumptions!$B$88+'Product and Cost'!$B$28*(0.4863620081*D785+0.4455809638*D785+0.0356254898*D786+0.0324315384))+D789*('Product and Cost'!$D$29*D786*Assumptions!$B$88+'Product and Cost'!$B$29*(0.4863620081*D785+0.4455809638*D785+0.0356254898*D786+0.0324315384))+D790*('Product and Cost'!$D$30*D786*Assumptions!$B$88+'Product and Cost'!$B$30*(0.4863620081*D785+0.4455809638*D785+0.0356254898*D786+0.0324315384))+D791*('Product and Cost'!$D$31*D786*Assumptions!$B$88+'Product and Cost'!$B$31*(0.4863620081*D785+0.4455809638*D785+0.0356254898*D786+0.0324315384))+D792*('Product and Cost'!$D$32*D786*Assumptions!$B$88+'Product and Cost'!$B$32*(0.4863620081*D785+0.4455809638*D785+0.0356254898*D786+0.0324315384))+D793*('Product and Cost'!$D$33*D786*Assumptions!$B$88+'Product and Cost'!$B$33*(0.4863620081*D785+0.4455809638*D785+0.0356254898*D786+0.0324315384))+D794*('Product and Cost'!$D$34*D786*Assumptions!$B$88+'Product and Cost'!$B$34*(0.4863620081*D785+0.4455809638*D785+0.0356254898*D786+0.0324315384))</f>
        <v>53647.9823219</v>
      </c>
      <c r="E797" s="18">
        <f>E787*('Product and Cost'!$D$27*E786*Assumptions!$B$88+'Product and Cost'!$B$27*(0.4863620081*E785+0.4455809638*E785+0.0356254898*E786+0.0324315384))+E788*('Product and Cost'!$D$28*E786*Assumptions!$B$88+'Product and Cost'!$B$28*(0.4863620081*E785+0.4455809638*E785+0.0356254898*E786+0.0324315384))+E789*('Product and Cost'!$D$29*E786*Assumptions!$B$88+'Product and Cost'!$B$29*(0.4863620081*E785+0.4455809638*E785+0.0356254898*E786+0.0324315384))+E790*('Product and Cost'!$D$30*E786*Assumptions!$B$88+'Product and Cost'!$B$30*(0.4863620081*E785+0.4455809638*E785+0.0356254898*E786+0.0324315384))+E791*('Product and Cost'!$D$31*E786*Assumptions!$B$88+'Product and Cost'!$B$31*(0.4863620081*E785+0.4455809638*E785+0.0356254898*E786+0.0324315384))+E792*('Product and Cost'!$D$32*E786*Assumptions!$B$88+'Product and Cost'!$B$32*(0.4863620081*E785+0.4455809638*E785+0.0356254898*E786+0.0324315384))+E793*('Product and Cost'!$D$33*E786*Assumptions!$B$88+'Product and Cost'!$B$33*(0.4863620081*E785+0.4455809638*E785+0.0356254898*E786+0.0324315384))+E794*('Product and Cost'!$D$34*E786*Assumptions!$B$88+'Product and Cost'!$B$34*(0.4863620081*E785+0.4455809638*E785+0.0356254898*E786+0.0324315384))</f>
        <v>58815.4011786</v>
      </c>
      <c r="F797" s="18">
        <f>F787*('Product and Cost'!$D$27*F786*Assumptions!$B$88+'Product and Cost'!$B$27*(0.4863620081*F785+0.4455809638*F785+0.0356254898*F786+0.0324315384))+F788*('Product and Cost'!$D$28*F786*Assumptions!$B$88+'Product and Cost'!$B$28*(0.4863620081*F785+0.4455809638*F785+0.0356254898*F786+0.0324315384))+F789*('Product and Cost'!$D$29*F786*Assumptions!$B$88+'Product and Cost'!$B$29*(0.4863620081*F785+0.4455809638*F785+0.0356254898*F786+0.0324315384))+F790*('Product and Cost'!$D$30*F786*Assumptions!$B$88+'Product and Cost'!$B$30*(0.4863620081*F785+0.4455809638*F785+0.0356254898*F786+0.0324315384))+F791*('Product and Cost'!$D$31*F786*Assumptions!$B$88+'Product and Cost'!$B$31*(0.4863620081*F785+0.4455809638*F785+0.0356254898*F786+0.0324315384))+F792*('Product and Cost'!$D$32*F786*Assumptions!$B$88+'Product and Cost'!$B$32*(0.4863620081*F785+0.4455809638*F785+0.0356254898*F786+0.0324315384))+F793*('Product and Cost'!$D$33*F786*Assumptions!$B$88+'Product and Cost'!$B$33*(0.4863620081*F785+0.4455809638*F785+0.0356254898*F786+0.0324315384))+F794*('Product and Cost'!$D$34*F786*Assumptions!$B$88+'Product and Cost'!$B$34*(0.4863620081*F785+0.4455809638*F785+0.0356254898*F786+0.0324315384))</f>
        <v>63847.5732702</v>
      </c>
      <c r="G797" s="18">
        <f>G787*('Product and Cost'!$D$27*G786*Assumptions!$B$88+'Product and Cost'!$B$27*(0.4863620081*G785+0.4455809638*G785+0.0356254898*G786+0.0324315384))+G788*('Product and Cost'!$D$28*G786*Assumptions!$B$88+'Product and Cost'!$B$28*(0.4863620081*G785+0.4455809638*G785+0.0356254898*G786+0.0324315384))+G789*('Product and Cost'!$D$29*G786*Assumptions!$B$88+'Product and Cost'!$B$29*(0.4863620081*G785+0.4455809638*G785+0.0356254898*G786+0.0324315384))+G790*('Product and Cost'!$D$30*G786*Assumptions!$B$88+'Product and Cost'!$B$30*(0.4863620081*G785+0.4455809638*G785+0.0356254898*G786+0.0324315384))+G791*('Product and Cost'!$D$31*G786*Assumptions!$B$88+'Product and Cost'!$B$31*(0.4863620081*G785+0.4455809638*G785+0.0356254898*G786+0.0324315384))+G792*('Product and Cost'!$D$32*G786*Assumptions!$B$88+'Product and Cost'!$B$32*(0.4863620081*G785+0.4455809638*G785+0.0356254898*G786+0.0324315384))+G793*('Product and Cost'!$D$33*G786*Assumptions!$B$88+'Product and Cost'!$B$33*(0.4863620081*G785+0.4455809638*G785+0.0356254898*G786+0.0324315384))+G794*('Product and Cost'!$D$34*G786*Assumptions!$B$88+'Product and Cost'!$B$34*(0.4863620081*G785+0.4455809638*G785+0.0356254898*G786+0.0324315384))</f>
        <v>68797.1859175</v>
      </c>
    </row>
    <row r="798">
      <c r="A798" s="17" t="inlineStr">
        <is>
          <t>GROSS PROFIT</t>
        </is>
      </c>
      <c r="C798" s="20">
        <f>C796-C797+Forecast!$B$7*C796</f>
        <v>4549.65064286</v>
      </c>
      <c r="D798" s="20">
        <f>D796-D797+Forecast!$B$7*D796</f>
        <v>4784.18493236</v>
      </c>
      <c r="E798" s="20">
        <f>E796-E797+Forecast!$B$7*E796</f>
        <v>4957.23599944</v>
      </c>
      <c r="F798" s="20">
        <f>F796-F797+Forecast!$B$7*F796</f>
        <v>5104.60576669</v>
      </c>
      <c r="G798" s="20">
        <f>G796-G797+Forecast!$B$7*G796</f>
        <v>5180.65726511</v>
      </c>
    </row>
    <row r="799">
      <c r="A799" s="9" t="inlineStr">
        <is>
          <t>Gross margin</t>
        </is>
      </c>
      <c r="C799" s="19">
        <f>C798/C796</f>
        <v>0.0861010750391</v>
      </c>
      <c r="D799" s="19">
        <f>D798/D796</f>
        <v>0.0818758768871</v>
      </c>
      <c r="E799" s="19">
        <f>E798/E796</f>
        <v>0.0777329622672</v>
      </c>
      <c r="F799" s="19">
        <f>F798/F796</f>
        <v>0.0740311015255</v>
      </c>
      <c r="G799" s="19">
        <f>G798/G796</f>
        <v>0.0700298500501</v>
      </c>
    </row>
    <row r="800">
      <c r="A800" s="9" t="inlineStr">
        <is>
          <t>Operating expense</t>
        </is>
      </c>
      <c r="C800" s="18">
        <f>('Base Year'!$B$28*C785)+('Base Year'!$B$29*C785*C795/'Product and Cost'!$E$14)+('Base Year'!$B$30*C785)+('Base Year'!$B$31*C785)</f>
        <v>2007.6668112</v>
      </c>
      <c r="D800" s="18">
        <f>('Base Year'!$B$28*D785)+('Base Year'!$B$29*D785*D795/'Product and Cost'!$E$14)+('Base Year'!$B$30*D785)+('Base Year'!$B$31*D785)</f>
        <v>2276.29775955</v>
      </c>
      <c r="E800" s="18">
        <f>('Base Year'!$B$28*E785)+('Base Year'!$B$29*E785*E795/'Product and Cost'!$E$14)+('Base Year'!$B$30*E785)+('Base Year'!$B$31*E785)</f>
        <v>2545.62118024</v>
      </c>
      <c r="F800" s="18">
        <f>('Base Year'!$B$28*F785)+('Base Year'!$B$29*F785*F795/'Product and Cost'!$E$14)+('Base Year'!$B$30*F785)+('Base Year'!$B$31*F785)</f>
        <v>2807.77881104</v>
      </c>
      <c r="G800" s="18">
        <f>('Base Year'!$B$28*G785)+('Base Year'!$B$29*G785*G795/'Product and Cost'!$E$14)+('Base Year'!$B$30*G785)+('Base Year'!$B$31*G785)</f>
        <v>3082.20998189</v>
      </c>
    </row>
    <row r="801">
      <c r="A801" s="17" t="inlineStr">
        <is>
          <t>EBITDA</t>
        </is>
      </c>
      <c r="C801" s="20">
        <f>C798-C800</f>
        <v>2541.98383166</v>
      </c>
      <c r="D801" s="20">
        <f>D798-D800</f>
        <v>2507.88717281</v>
      </c>
      <c r="E801" s="20">
        <f>E798-E800</f>
        <v>2411.6148192</v>
      </c>
      <c r="F801" s="20">
        <f>F798-F800</f>
        <v>2296.82695565</v>
      </c>
      <c r="G801" s="20">
        <f>G798-G800</f>
        <v>2098.44728323</v>
      </c>
    </row>
    <row r="802">
      <c r="A802" s="9" t="inlineStr">
        <is>
          <t>Capital expenditure — maintenance + growth</t>
        </is>
      </c>
      <c r="C802" s="18">
        <f>'Base Year'!$B$43*C785+MAX(C795-'Product and Cost'!$E$14,0)*1947.901031*C785</f>
        <v>280.931999159</v>
      </c>
      <c r="D802" s="18">
        <f>'Base Year'!$B$43*D785+MAX(D795-C795,0)*1947.901031*D785</f>
        <v>307.3675836</v>
      </c>
      <c r="E802" s="18">
        <f>'Base Year'!$B$43*E785+MAX(E795-D795,0)*1947.901031*E785</f>
        <v>328.639389001</v>
      </c>
      <c r="F802" s="18">
        <f>'Base Year'!$B$43*F785+MAX(F795-E795,0)*1947.901031*F785</f>
        <v>351.146749034</v>
      </c>
      <c r="G802" s="18">
        <f>'Base Year'!$B$43*G785+MAX(G795-F795,0)*1947.901031*G785</f>
        <v>375.372179467</v>
      </c>
    </row>
    <row r="803">
      <c r="A803" s="9" t="inlineStr">
        <is>
          <t>Fixed assets at cost, closing</t>
        </is>
      </c>
      <c r="C803" s="18">
        <f>(Assumptions!$B$70+Assumptions!$B$71)/10^6+C802</f>
        <v>3429.06589416</v>
      </c>
      <c r="D803" s="18">
        <f>C803+D802</f>
        <v>3736.43347776</v>
      </c>
      <c r="E803" s="18">
        <f>D803+E802</f>
        <v>4065.07286676</v>
      </c>
      <c r="F803" s="18">
        <f>E803+F802</f>
        <v>4416.21961579</v>
      </c>
      <c r="G803" s="18">
        <f>F803+G802</f>
        <v>4791.59179526</v>
      </c>
    </row>
    <row r="804">
      <c r="A804" s="9" t="inlineStr">
        <is>
          <t>Depreciation — rolls off the asset register</t>
        </is>
      </c>
      <c r="C804" s="18">
        <f>(Assumptions!$B$70+Assumptions!$B$71)/10^6/'Base Year'!$B$42</f>
        <v>173.808854481</v>
      </c>
      <c r="D804" s="18">
        <f>C803/'Base Year'!$B$42</f>
        <v>189.319144255</v>
      </c>
      <c r="E804" s="18">
        <f>D803/'Base Year'!$B$42</f>
        <v>206.288945856</v>
      </c>
      <c r="F804" s="18">
        <f>E803/'Base Year'!$B$42</f>
        <v>224.433166415</v>
      </c>
      <c r="G804" s="18">
        <f>F803/'Base Year'!$B$42</f>
        <v>243.820021053</v>
      </c>
    </row>
    <row r="805">
      <c r="A805" s="9" t="inlineStr">
        <is>
          <t>Fixed assets, net book, closing</t>
        </is>
      </c>
      <c r="C805" s="18">
        <f>(Assumptions!$B$69+Assumptions!$B$71)/10^6+C802-C804</f>
        <v>1407.46262168</v>
      </c>
      <c r="D805" s="18">
        <f>C805+D802-D804</f>
        <v>1525.51106102</v>
      </c>
      <c r="E805" s="18">
        <f>D805+E802-E804</f>
        <v>1647.86150417</v>
      </c>
      <c r="F805" s="18">
        <f>E805+F802-F804</f>
        <v>1774.57508679</v>
      </c>
      <c r="G805" s="18">
        <f>F805+G802-G804</f>
        <v>1906.1272452</v>
      </c>
    </row>
    <row r="806">
      <c r="A806" s="17" t="inlineStr">
        <is>
          <t>EBIT</t>
        </is>
      </c>
      <c r="C806" s="20">
        <f>C801-C804</f>
        <v>2368.17497718</v>
      </c>
      <c r="D806" s="20">
        <f>D801-D804</f>
        <v>2318.56802856</v>
      </c>
      <c r="E806" s="20">
        <f>E801-E804</f>
        <v>2205.32587334</v>
      </c>
      <c r="F806" s="20">
        <f>F801-F804</f>
        <v>2072.39378923</v>
      </c>
      <c r="G806" s="20">
        <f>G801-G804</f>
        <v>1854.62726217</v>
      </c>
    </row>
    <row r="807">
      <c r="A807" s="9" t="inlineStr">
        <is>
          <t>NOPAT before the profit share</t>
        </is>
      </c>
      <c r="C807" s="18">
        <f>C806*(1-Assumptions!$B$87)</f>
        <v>1835.33560732</v>
      </c>
      <c r="D807" s="18">
        <f>D806*(1-Assumptions!$B$87)</f>
        <v>1796.89022213</v>
      </c>
      <c r="E807" s="18">
        <f>E806*(1-Assumptions!$B$87)</f>
        <v>1709.12755184</v>
      </c>
      <c r="F807" s="18">
        <f>F806*(1-Assumptions!$B$87)</f>
        <v>1606.10518666</v>
      </c>
      <c r="G807" s="18">
        <f>G806*(1-Assumptions!$B$87)</f>
        <v>1437.33612818</v>
      </c>
    </row>
    <row r="808">
      <c r="A808" s="9" t="inlineStr">
        <is>
          <t xml:space="preserve">  less employees' profit share and board bonuses</t>
        </is>
      </c>
      <c r="C808" s="18">
        <f>MAX(C807,0)*'Base Year'!$B$40</f>
        <v>96.7608009272</v>
      </c>
      <c r="D808" s="18">
        <f>MAX(D807,0)*'Base Year'!$B$40</f>
        <v>94.7339202588</v>
      </c>
      <c r="E808" s="18">
        <f>MAX(E807,0)*'Base Year'!$B$40</f>
        <v>90.1069810576</v>
      </c>
      <c r="F808" s="18">
        <f>MAX(F807,0)*'Base Year'!$B$40</f>
        <v>84.6755348801</v>
      </c>
      <c r="G808" s="18">
        <f>MAX(G807,0)*'Base Year'!$B$40</f>
        <v>75.7778546933</v>
      </c>
    </row>
    <row r="809">
      <c r="A809" s="17" t="inlineStr">
        <is>
          <t>NOPAT</t>
        </is>
      </c>
      <c r="C809" s="20">
        <f>C807-C808</f>
        <v>1738.57480639</v>
      </c>
      <c r="D809" s="20">
        <f>D807-D808</f>
        <v>1702.15630187</v>
      </c>
      <c r="E809" s="20">
        <f>E807-E808</f>
        <v>1619.02057078</v>
      </c>
      <c r="F809" s="20">
        <f>F807-F808</f>
        <v>1521.42965178</v>
      </c>
      <c r="G809" s="20">
        <f>G807-G808</f>
        <v>1361.55827349</v>
      </c>
    </row>
    <row r="810">
      <c r="A810" s="9" t="inlineStr">
        <is>
          <t>Net working capital — on days</t>
        </is>
      </c>
      <c r="C810" s="18">
        <f>'Base Year'!$B$44*Forecast!$B$9/365*C797+'Base Year'!$B$45*Forecast!$B$9/365*C796-'Base Year'!$B$46*Forecast!$B$9/365*C797</f>
        <v>2539.69193722</v>
      </c>
      <c r="D810" s="18">
        <f>'Base Year'!$B$44*Forecast!$B$9/365*D797+'Base Year'!$B$45*Forecast!$B$9/365*D796-'Base Year'!$B$46*Forecast!$B$9/365*D797</f>
        <v>2816.01103091</v>
      </c>
      <c r="E810" s="18">
        <f>'Base Year'!$B$44*Forecast!$B$9/365*E797+'Base Year'!$B$45*Forecast!$B$9/365*E796-'Base Year'!$B$46*Forecast!$B$9/365*E797</f>
        <v>3081.49643011</v>
      </c>
      <c r="F810" s="18">
        <f>'Base Year'!$B$44*Forecast!$B$9/365*F797+'Base Year'!$B$45*Forecast!$B$9/365*F796-'Base Year'!$B$46*Forecast!$B$9/365*F797</f>
        <v>3339.61025534</v>
      </c>
      <c r="G810" s="18">
        <f>'Base Year'!$B$44*Forecast!$B$9/365*G797+'Base Year'!$B$45*Forecast!$B$9/365*G796-'Base Year'!$B$46*Forecast!$B$9/365*G797</f>
        <v>3592.11140979</v>
      </c>
    </row>
    <row r="811">
      <c r="A811" s="9" t="inlineStr">
        <is>
          <t xml:space="preserve">  change in working capital</t>
        </is>
      </c>
      <c r="C811" s="18">
        <f>C810-('Base Year'!$B$44/365*'Base Year'!$B$21+'Base Year'!$B$45/365*'Base Year'!$B$19-'Base Year'!$B$46/365*'Base Year'!$B$21)</f>
        <v>288.28964822</v>
      </c>
      <c r="D811" s="18">
        <f>D810-C810</f>
        <v>276.319093691</v>
      </c>
      <c r="E811" s="18">
        <f>E810-D810</f>
        <v>265.485399203</v>
      </c>
      <c r="F811" s="18">
        <f>F810-E810</f>
        <v>258.113825222</v>
      </c>
      <c r="G811" s="18">
        <f>G810-F810</f>
        <v>252.501154457</v>
      </c>
    </row>
    <row r="812">
      <c r="A812" s="17" t="inlineStr">
        <is>
          <t>FREE CASH FLOW TO THE FIRM</t>
        </is>
      </c>
      <c r="C812" s="20">
        <f>C809+C804-C802-C811</f>
        <v>1343.16201349</v>
      </c>
      <c r="D812" s="20">
        <f>D809+D804-D802-D811</f>
        <v>1307.78876884</v>
      </c>
      <c r="E812" s="20">
        <f>E809+E804-E802-E811</f>
        <v>1231.18472844</v>
      </c>
      <c r="F812" s="20">
        <f>F809+F804-F802-F811</f>
        <v>1136.60224393</v>
      </c>
      <c r="G812" s="20">
        <f>G809+G804-G802-G811</f>
        <v>977.504960621</v>
      </c>
    </row>
    <row r="813">
      <c r="A813" s="9" t="inlineStr">
        <is>
          <t>Glide fraction</t>
        </is>
      </c>
      <c r="C813" s="26">
        <f>0.0000000000</f>
        <v>0</v>
      </c>
      <c r="D813" s="26">
        <f>0.3571428571</f>
        <v>0.3571428571</v>
      </c>
      <c r="E813" s="26">
        <f>0.6428571429</f>
        <v>0.6428571429</v>
      </c>
      <c r="F813" s="26">
        <f>0.8571428571</f>
        <v>0.8571428571</v>
      </c>
      <c r="G813" s="26">
        <f>1.0000000000</f>
        <v>1</v>
      </c>
    </row>
    <row r="814">
      <c r="A814" s="9" t="inlineStr">
        <is>
          <t>Forward cost of capital</t>
        </is>
      </c>
      <c r="C814" s="19">
        <f>$F$27-($F$27-$G$27)*C813</f>
        <v>0.275336235926</v>
      </c>
      <c r="D814" s="19">
        <f>$F$27-($F$27-$G$27)*D813</f>
        <v>0.234852646602</v>
      </c>
      <c r="E814" s="19">
        <f>$F$27-($F$27-$G$27)*E813</f>
        <v>0.202465775129</v>
      </c>
      <c r="F814" s="19">
        <f>$F$27-($F$27-$G$27)*F813</f>
        <v>0.178175621542</v>
      </c>
      <c r="G814" s="19">
        <f>$F$27-($F$27-$G$27)*G813</f>
        <v>0.161982185805</v>
      </c>
    </row>
    <row r="815">
      <c r="A815" s="9" t="inlineStr">
        <is>
          <t>Cumulative discount factor</t>
        </is>
      </c>
      <c r="C815" s="29">
        <f>1/(1+C814)</f>
        <v>0.784106945157</v>
      </c>
      <c r="D815" s="29">
        <f>C815/(1+D814)</f>
        <v>0.634980171371</v>
      </c>
      <c r="E815" s="29">
        <f>D815/(1+E814)</f>
        <v>0.528065068049</v>
      </c>
      <c r="F815" s="29">
        <f>E815/(1+F814)</f>
        <v>0.448205732994</v>
      </c>
      <c r="G815" s="29">
        <f>F815/(1+G814)</f>
        <v>0.385725132854</v>
      </c>
    </row>
    <row r="816">
      <c r="A816" s="9" t="inlineStr">
        <is>
          <t>Present value</t>
        </is>
      </c>
      <c r="C816" s="18">
        <f>C812*C815</f>
        <v>1053.18266325</v>
      </c>
      <c r="D816" s="18">
        <f>D812*D815</f>
        <v>830.419936553</v>
      </c>
      <c r="E816" s="18">
        <f>E812*E815</f>
        <v>650.145647403</v>
      </c>
      <c r="F816" s="18">
        <f>F812*F815</f>
        <v>509.431641866</v>
      </c>
      <c r="G816" s="18">
        <f>G812*G815</f>
        <v>377.048230801</v>
      </c>
    </row>
    <row r="817">
      <c r="A817" s="17" t="inlineStr">
        <is>
          <t>PV of the explicit window</t>
        </is>
      </c>
      <c r="B817" s="20">
        <f>SUM(C816:G816)</f>
        <v>3420.22811987</v>
      </c>
      <c r="C817" s="18">
        <f>C810+C803</f>
        <v>5968.75783138</v>
      </c>
      <c r="D817" s="18">
        <f>D810+D803</f>
        <v>6552.44450867</v>
      </c>
      <c r="E817" s="18">
        <f>E810+E803</f>
        <v>7146.56929687</v>
      </c>
      <c r="F817" s="18">
        <f>F810+F803</f>
        <v>7755.82987113</v>
      </c>
      <c r="G817" s="18">
        <f>G810+G803</f>
        <v>8383.70320505</v>
      </c>
    </row>
    <row r="818">
      <c r="A818" s="9" t="inlineStr">
        <is>
          <t>Terminal return on invested capital, at REPLACEMENT cost</t>
        </is>
      </c>
      <c r="B818" s="19">
        <f>G809*(1+Assumptions!$B$89)/G817</f>
        <v>0.170525620027</v>
      </c>
    </row>
    <row r="819">
      <c r="A819" s="9" t="inlineStr">
        <is>
          <t>Required reinvestment = growth / return</t>
        </is>
      </c>
      <c r="B819" s="19">
        <f>MIN(Assumptions!$B$89/B818,0.95)</f>
        <v>0.29321107287</v>
      </c>
    </row>
    <row r="820">
      <c r="A820" s="9" t="inlineStr">
        <is>
          <t>Terminal value</t>
        </is>
      </c>
      <c r="B820" s="18">
        <f>G809*(1+Assumptions!$B$89)*(1-B819)/MAX($G$27-Assumptions!$B$89,0.02)</f>
        <v>9023.31937571</v>
      </c>
    </row>
    <row r="821">
      <c r="A821" s="9" t="inlineStr">
        <is>
          <t>PV of the terminal block</t>
        </is>
      </c>
      <c r="B821" s="18">
        <f>B820*G815</f>
        <v>3480.52106499</v>
      </c>
    </row>
    <row r="822">
      <c r="A822" s="17" t="inlineStr">
        <is>
          <t>ENTERPRISE VALUE</t>
        </is>
      </c>
      <c r="B822" s="20">
        <f>B817+B821</f>
        <v>6900.74918486</v>
      </c>
    </row>
    <row r="823">
      <c r="A823" s="9" t="inlineStr">
        <is>
          <t>plus net cash</t>
        </is>
      </c>
      <c r="B823" s="18">
        <f>(Assumptions!$B$79-Assumptions!$B$82-Assumptions!$B$83)/10^6</f>
        <v>2442.544928</v>
      </c>
    </row>
    <row r="824">
      <c r="A824" s="9" t="inlineStr">
        <is>
          <t>Enterprise value including cash</t>
        </is>
      </c>
      <c r="B824" s="18">
        <f>B822+B823</f>
        <v>9343.29411286</v>
      </c>
    </row>
    <row r="825">
      <c r="A825" s="9" t="inlineStr">
        <is>
          <t>less minority — on the WHOLE enterprise, cash included</t>
        </is>
      </c>
      <c r="B825" s="18">
        <f>B824*'Base Year'!$B$41</f>
        <v>304.427345278</v>
      </c>
    </row>
    <row r="826">
      <c r="A826" s="9" t="inlineStr">
        <is>
          <t>less the tax-disputes provision</t>
        </is>
      </c>
      <c r="B826" s="18">
        <f>Assumptions!$B$78/10^6</f>
        <v>921.440353</v>
      </c>
    </row>
    <row r="827">
      <c r="A827" s="9" t="inlineStr">
        <is>
          <t>less dividends payable — declared, out of working capital</t>
        </is>
      </c>
      <c r="B827" s="18">
        <f>Assumptions!$B$77/10^6</f>
        <v>517.25</v>
      </c>
    </row>
    <row r="828">
      <c r="A828" s="9" t="inlineStr">
        <is>
          <t>plus non-operating investments and pledged deposits</t>
        </is>
      </c>
      <c r="B828" s="18">
        <f>(Assumptions!$B$81+Assumptions!$B$80)/10^6</f>
        <v>578.358746</v>
      </c>
    </row>
    <row r="829">
      <c r="A829" s="17" t="inlineStr">
        <is>
          <t>EQUITY ATTRIBUTABLE</t>
        </is>
      </c>
      <c r="B829" s="20">
        <f>B824-B825-B826-B827+B828</f>
        <v>8178.53516058</v>
      </c>
    </row>
    <row r="830">
      <c r="A830" s="17" t="inlineStr">
        <is>
          <t>VALUE PER SHARE, EGP</t>
        </is>
      </c>
      <c r="B830" s="30">
        <f>B829/Assumptions!$B$8</f>
        <v>6.33258626448</v>
      </c>
    </row>
    <row r="833">
      <c r="A833" s="6" t="inlineStr">
        <is>
          <t>Beta — 0.8000</t>
        </is>
      </c>
      <c r="B833" s="6" t="inlineStr">
        <is>
          <t>2026E</t>
        </is>
      </c>
      <c r="C833" s="6" t="inlineStr">
        <is>
          <t>2027E</t>
        </is>
      </c>
      <c r="D833" s="6" t="inlineStr">
        <is>
          <t>2028E</t>
        </is>
      </c>
      <c r="E833" s="6" t="inlineStr">
        <is>
          <t>2029E</t>
        </is>
      </c>
      <c r="F833" s="6" t="inlineStr">
        <is>
          <t>2030E</t>
        </is>
      </c>
    </row>
    <row r="834">
      <c r="A834" s="9" t="inlineStr">
        <is>
          <t>Inflation index, cumulative</t>
        </is>
      </c>
      <c r="C834" s="26">
        <f>Assumptions!$B$146</f>
        <v>1.145</v>
      </c>
      <c r="D834" s="26">
        <f>C834*Assumptions!$B$147</f>
        <v>1.29385</v>
      </c>
      <c r="E834" s="26">
        <f>D834*Assumptions!$B$148</f>
        <v>1.44264275</v>
      </c>
      <c r="F834" s="26">
        <f>E834*Assumptions!$B$149</f>
        <v>1.586907025</v>
      </c>
      <c r="G834" s="26">
        <f>F834*Assumptions!$B$150</f>
        <v>1.73766319237</v>
      </c>
    </row>
    <row r="835">
      <c r="A835" s="9" t="inlineStr">
        <is>
          <t>Realisation index, cumulative</t>
        </is>
      </c>
      <c r="C835" s="26">
        <f>(1+Assumptions!$B$101*Forecast!$B$8)</f>
        <v>1.09</v>
      </c>
      <c r="D835" s="26">
        <f>C835*(1+Assumptions!$B$102*Forecast!$B$8)</f>
        <v>1.17175</v>
      </c>
      <c r="E835" s="26">
        <f>D835*(1+Assumptions!$B$103*Forecast!$B$8)</f>
        <v>1.24791375</v>
      </c>
      <c r="F835" s="26">
        <f>E835*(1+Assumptions!$B$104*Forecast!$B$8)</f>
        <v>1.3202927475</v>
      </c>
      <c r="G835" s="26">
        <f>F835*(1+Assumptions!$B$105*Forecast!$B$8)</f>
        <v>1.38894797037</v>
      </c>
    </row>
    <row r="836">
      <c r="A836" s="9" t="inlineStr">
        <is>
          <t xml:space="preserve">  Volume — Base and special oils, mn t</t>
        </is>
      </c>
      <c r="C836" s="26">
        <f>'Product and Cost'!E6*(1+Assumptions!$B$106*Forecast!$B$6)</f>
        <v>0.1148851682</v>
      </c>
      <c r="D836" s="26">
        <f>C836*(1+Assumptions!$B$107*Forecast!$B$6)</f>
        <v>0.119480574928</v>
      </c>
      <c r="E836" s="26">
        <f>D836*(1+Assumptions!$B$108*Forecast!$B$6)</f>
        <v>0.12366239505</v>
      </c>
      <c r="F836" s="26">
        <f>E836*(1+Assumptions!$B$109*Forecast!$B$6)</f>
        <v>0.127372266902</v>
      </c>
      <c r="G836" s="26">
        <f>F836*(1+Assumptions!$B$110*Forecast!$B$6)</f>
        <v>0.130938690375</v>
      </c>
    </row>
    <row r="837">
      <c r="A837" s="9" t="inlineStr">
        <is>
          <t xml:space="preserve">  Volume — Paraffin wax, mn t</t>
        </is>
      </c>
      <c r="C837" s="26">
        <f>'Product and Cost'!E7*(1+Assumptions!$B$111*Forecast!$B$6)</f>
        <v>0.089396788</v>
      </c>
      <c r="D837" s="26">
        <f>C837*(1+Assumptions!$B$112*Forecast!$B$6)</f>
        <v>0.09431361134</v>
      </c>
      <c r="E837" s="26">
        <f>D837*(1+Assumptions!$B$113*Forecast!$B$6)</f>
        <v>0.0985577238503</v>
      </c>
      <c r="F837" s="26">
        <f>E837*(1+Assumptions!$B$114*Forecast!$B$6)</f>
        <v>0.102302917357</v>
      </c>
      <c r="G837" s="26">
        <f>F837*(1+Assumptions!$B$115*Forecast!$B$6)</f>
        <v>0.105576610712</v>
      </c>
    </row>
    <row r="838">
      <c r="A838" s="9" t="inlineStr">
        <is>
          <t xml:space="preserve">  Volume — Gas oil, mn t</t>
        </is>
      </c>
      <c r="C838" s="26">
        <f>'Product and Cost'!E8*(1+Assumptions!$B$116*Forecast!$B$6)</f>
        <v>0.35023715724</v>
      </c>
      <c r="D838" s="26">
        <f>C838*(1+Assumptions!$B$117*Forecast!$B$6)</f>
        <v>0.357241900385</v>
      </c>
      <c r="E838" s="26">
        <f>D838*(1+Assumptions!$B$118*Forecast!$B$6)</f>
        <v>0.363672254592</v>
      </c>
      <c r="F838" s="26">
        <f>E838*(1+Assumptions!$B$119*Forecast!$B$6)</f>
        <v>0.369491010665</v>
      </c>
      <c r="G838" s="26">
        <f>F838*(1+Assumptions!$B$120*Forecast!$B$6)</f>
        <v>0.375033375825</v>
      </c>
    </row>
    <row r="839">
      <c r="A839" s="9" t="inlineStr">
        <is>
          <t xml:space="preserve">  Volume — Naphtha, mn t</t>
        </is>
      </c>
      <c r="C839" s="26">
        <f>'Product and Cost'!E9*(1+Assumptions!$B$121*Forecast!$B$6)</f>
        <v>0.08410463971</v>
      </c>
      <c r="D839" s="26">
        <f>C839*(1+Assumptions!$B$122*Forecast!$B$6)</f>
        <v>0.0856185232248</v>
      </c>
      <c r="E839" s="26">
        <f>D839*(1+Assumptions!$B$123*Forecast!$B$6)</f>
        <v>0.0871596566428</v>
      </c>
      <c r="F839" s="26">
        <f>E839*(1+Assumptions!$B$124*Forecast!$B$6)</f>
        <v>0.0885542111491</v>
      </c>
      <c r="G839" s="26">
        <f>F839*(1+Assumptions!$B$125*Forecast!$B$6)</f>
        <v>0.0898825243163</v>
      </c>
    </row>
    <row r="840">
      <c r="A840" s="9" t="inlineStr">
        <is>
          <t xml:space="preserve">  Volume — Liquefied petroleum gas, mn t</t>
        </is>
      </c>
      <c r="C840" s="26">
        <f>'Product and Cost'!E10*(1+Assumptions!$B$126*Forecast!$B$6)</f>
        <v>0.0486583449</v>
      </c>
      <c r="D840" s="26">
        <f>C840*(1+Assumptions!$B$127*Forecast!$B$6)</f>
        <v>0.0497288284878</v>
      </c>
      <c r="E840" s="26">
        <f>D840*(1+Assumptions!$B$128*Forecast!$B$6)</f>
        <v>0.0507234050576</v>
      </c>
      <c r="F840" s="26">
        <f>E840*(1+Assumptions!$B$129*Forecast!$B$6)</f>
        <v>0.0516364263486</v>
      </c>
      <c r="G840" s="26">
        <f>F840*(1+Assumptions!$B$130*Forecast!$B$6)</f>
        <v>0.0524626091702</v>
      </c>
    </row>
    <row r="841">
      <c r="A841" s="9" t="inlineStr">
        <is>
          <t xml:space="preserve">  Volume — Fuel oil (mix), mn t</t>
        </is>
      </c>
      <c r="C841" s="26">
        <f>'Product and Cost'!E11*(1+Assumptions!$B$131*Forecast!$B$6)</f>
        <v>0.947916416</v>
      </c>
      <c r="D841" s="26">
        <f>C841*(1+Assumptions!$B$132*Forecast!$B$6)</f>
        <v>0.972562242816</v>
      </c>
      <c r="E841" s="26">
        <f>D841*(1+Assumptions!$B$133*Forecast!$B$6)</f>
        <v>0.993958612158</v>
      </c>
      <c r="F841" s="26">
        <f>E841*(1+Assumptions!$B$134*Forecast!$B$6)</f>
        <v>1.0138377844</v>
      </c>
      <c r="G841" s="26">
        <f>F841*(1+Assumptions!$B$135*Forecast!$B$6)</f>
        <v>1.03208686452</v>
      </c>
    </row>
    <row r="842">
      <c r="A842" s="9" t="inlineStr">
        <is>
          <t xml:space="preserve">  Volume — Heavy fuel oil, mn t</t>
        </is>
      </c>
      <c r="C842" s="26">
        <f>'Product and Cost'!E12*(1+Assumptions!$B$136*Forecast!$B$6)</f>
        <v>0.0292281408</v>
      </c>
      <c r="D842" s="26">
        <f>C842*(1+Assumptions!$B$137*Forecast!$B$6)</f>
        <v>0.0297542473344</v>
      </c>
      <c r="E842" s="26">
        <f>D842*(1+Assumptions!$B$138*Forecast!$B$6)</f>
        <v>0.0302303152918</v>
      </c>
      <c r="F842" s="26">
        <f>E842*(1+Assumptions!$B$139*Forecast!$B$6)</f>
        <v>0.0306837700211</v>
      </c>
      <c r="G842" s="26">
        <f>F842*(1+Assumptions!$B$140*Forecast!$B$6)</f>
        <v>0.0311133428014</v>
      </c>
    </row>
    <row r="843">
      <c r="A843" s="9" t="inlineStr">
        <is>
          <t xml:space="preserve">  Volume — Waste, mn t</t>
        </is>
      </c>
      <c r="C843" s="26">
        <f>'Product and Cost'!E13*(1+Assumptions!$B$141*Forecast!$B$6)</f>
        <v>1.564e-05</v>
      </c>
      <c r="D843" s="26">
        <f>C843*(1+Assumptions!$B$142*Forecast!$B$6)</f>
        <v>1.564e-05</v>
      </c>
      <c r="E843" s="26">
        <f>D843*(1+Assumptions!$B$143*Forecast!$B$6)</f>
        <v>1.564e-05</v>
      </c>
      <c r="F843" s="26">
        <f>E843*(1+Assumptions!$B$144*Forecast!$B$6)</f>
        <v>1.564e-05</v>
      </c>
      <c r="G843" s="26">
        <f>F843*(1+Assumptions!$B$145*Forecast!$B$6)</f>
        <v>1.564e-05</v>
      </c>
    </row>
    <row r="844">
      <c r="A844" s="17" t="inlineStr">
        <is>
          <t>Total volume, mn t</t>
        </is>
      </c>
      <c r="C844" s="28">
        <f>SUM(C836:C843)</f>
        <v>1.66444229485</v>
      </c>
      <c r="D844" s="28">
        <f>SUM(D836:D843)</f>
        <v>1.70871556852</v>
      </c>
      <c r="E844" s="28">
        <f>SUM(E836:E843)</f>
        <v>1.74798000264</v>
      </c>
      <c r="F844" s="28">
        <f>SUM(F836:F843)</f>
        <v>1.78389402684</v>
      </c>
      <c r="G844" s="28">
        <f>SUM(G836:G843)</f>
        <v>1.81710965772</v>
      </c>
    </row>
    <row r="845">
      <c r="A845" s="17" t="inlineStr">
        <is>
          <t>REVENUE</t>
        </is>
      </c>
      <c r="C845" s="20">
        <f>C836*'Product and Cost'!$F$6*C835+C837*'Product and Cost'!$F$7*C835+C838*'Product and Cost'!$F$8*C835+C839*'Product and Cost'!$F$9*C835+C840*'Product and Cost'!$F$10*C835+C841*'Product and Cost'!$F$11*C835+C842*'Product and Cost'!$F$12*C835+C843*'Product and Cost'!$F$13*C835</f>
        <v>52840.8111141</v>
      </c>
      <c r="D845" s="20">
        <f>D836*'Product and Cost'!$F$6*D835+D837*'Product and Cost'!$F$7*D835+D838*'Product and Cost'!$F$8*D835+D839*'Product and Cost'!$F$9*D835+D840*'Product and Cost'!$F$10*D835+D841*'Product and Cost'!$F$11*D835+D842*'Product and Cost'!$F$12*D835+D843*'Product and Cost'!$F$13*D835</f>
        <v>58432.1672543</v>
      </c>
      <c r="E845" s="20">
        <f>E836*'Product and Cost'!$F$6*E835+E837*'Product and Cost'!$F$7*E835+E838*'Product and Cost'!$F$8*E835+E839*'Product and Cost'!$F$9*E835+E840*'Product and Cost'!$F$10*E835+E841*'Product and Cost'!$F$11*E835+E842*'Product and Cost'!$F$12*E835+E843*'Product and Cost'!$F$13*E835</f>
        <v>63772.6371781</v>
      </c>
      <c r="F845" s="20">
        <f>F836*'Product and Cost'!$F$6*F835+F837*'Product and Cost'!$F$7*F835+F838*'Product and Cost'!$F$8*F835+F839*'Product and Cost'!$F$9*F835+F840*'Product and Cost'!$F$10*F835+F841*'Product and Cost'!$F$11*F835+F842*'Product and Cost'!$F$12*F835+F843*'Product and Cost'!$F$13*F835</f>
        <v>68952.1790369</v>
      </c>
      <c r="G845" s="20">
        <f>G836*'Product and Cost'!$F$6*G835+G837*'Product and Cost'!$F$7*G835+G838*'Product and Cost'!$F$8*G835+G839*'Product and Cost'!$F$9*G835+G840*'Product and Cost'!$F$10*G835+G841*'Product and Cost'!$F$11*G835+G842*'Product and Cost'!$F$12*G835+G843*'Product and Cost'!$F$13*G835</f>
        <v>73977.8431827</v>
      </c>
    </row>
    <row r="846">
      <c r="A846" s="9" t="inlineStr">
        <is>
          <t>Cost of sales</t>
        </is>
      </c>
      <c r="C846" s="18">
        <f>C836*('Product and Cost'!$D$27*C835*Assumptions!$B$88+'Product and Cost'!$B$27*(0.4863620081*C834+0.4455809638*C834+0.0356254898*C835+0.0324315384))+C837*('Product and Cost'!$D$28*C835*Assumptions!$B$88+'Product and Cost'!$B$28*(0.4863620081*C834+0.4455809638*C834+0.0356254898*C835+0.0324315384))+C838*('Product and Cost'!$D$29*C835*Assumptions!$B$88+'Product and Cost'!$B$29*(0.4863620081*C834+0.4455809638*C834+0.0356254898*C835+0.0324315384))+C839*('Product and Cost'!$D$30*C835*Assumptions!$B$88+'Product and Cost'!$B$30*(0.4863620081*C834+0.4455809638*C834+0.0356254898*C835+0.0324315384))+C840*('Product and Cost'!$D$31*C835*Assumptions!$B$88+'Product and Cost'!$B$31*(0.4863620081*C834+0.4455809638*C834+0.0356254898*C835+0.0324315384))+C841*('Product and Cost'!$D$32*C835*Assumptions!$B$88+'Product and Cost'!$B$32*(0.4863620081*C834+0.4455809638*C834+0.0356254898*C835+0.0324315384))+C842*('Product and Cost'!$D$33*C835*Assumptions!$B$88+'Product and Cost'!$B$33*(0.4863620081*C834+0.4455809638*C834+0.0356254898*C835+0.0324315384))+C843*('Product and Cost'!$D$34*C835*Assumptions!$B$88+'Product and Cost'!$B$34*(0.4863620081*C834+0.4455809638*C834+0.0356254898*C835+0.0324315384))</f>
        <v>48291.1604712</v>
      </c>
      <c r="D846" s="18">
        <f>D836*('Product and Cost'!$D$27*D835*Assumptions!$B$88+'Product and Cost'!$B$27*(0.4863620081*D834+0.4455809638*D834+0.0356254898*D835+0.0324315384))+D837*('Product and Cost'!$D$28*D835*Assumptions!$B$88+'Product and Cost'!$B$28*(0.4863620081*D834+0.4455809638*D834+0.0356254898*D835+0.0324315384))+D838*('Product and Cost'!$D$29*D835*Assumptions!$B$88+'Product and Cost'!$B$29*(0.4863620081*D834+0.4455809638*D834+0.0356254898*D835+0.0324315384))+D839*('Product and Cost'!$D$30*D835*Assumptions!$B$88+'Product and Cost'!$B$30*(0.4863620081*D834+0.4455809638*D834+0.0356254898*D835+0.0324315384))+D840*('Product and Cost'!$D$31*D835*Assumptions!$B$88+'Product and Cost'!$B$31*(0.4863620081*D834+0.4455809638*D834+0.0356254898*D835+0.0324315384))+D841*('Product and Cost'!$D$32*D835*Assumptions!$B$88+'Product and Cost'!$B$32*(0.4863620081*D834+0.4455809638*D834+0.0356254898*D835+0.0324315384))+D842*('Product and Cost'!$D$33*D835*Assumptions!$B$88+'Product and Cost'!$B$33*(0.4863620081*D834+0.4455809638*D834+0.0356254898*D835+0.0324315384))+D843*('Product and Cost'!$D$34*D835*Assumptions!$B$88+'Product and Cost'!$B$34*(0.4863620081*D834+0.4455809638*D834+0.0356254898*D835+0.0324315384))</f>
        <v>53647.9823219</v>
      </c>
      <c r="E846" s="18">
        <f>E836*('Product and Cost'!$D$27*E835*Assumptions!$B$88+'Product and Cost'!$B$27*(0.4863620081*E834+0.4455809638*E834+0.0356254898*E835+0.0324315384))+E837*('Product and Cost'!$D$28*E835*Assumptions!$B$88+'Product and Cost'!$B$28*(0.4863620081*E834+0.4455809638*E834+0.0356254898*E835+0.0324315384))+E838*('Product and Cost'!$D$29*E835*Assumptions!$B$88+'Product and Cost'!$B$29*(0.4863620081*E834+0.4455809638*E834+0.0356254898*E835+0.0324315384))+E839*('Product and Cost'!$D$30*E835*Assumptions!$B$88+'Product and Cost'!$B$30*(0.4863620081*E834+0.4455809638*E834+0.0356254898*E835+0.0324315384))+E840*('Product and Cost'!$D$31*E835*Assumptions!$B$88+'Product and Cost'!$B$31*(0.4863620081*E834+0.4455809638*E834+0.0356254898*E835+0.0324315384))+E841*('Product and Cost'!$D$32*E835*Assumptions!$B$88+'Product and Cost'!$B$32*(0.4863620081*E834+0.4455809638*E834+0.0356254898*E835+0.0324315384))+E842*('Product and Cost'!$D$33*E835*Assumptions!$B$88+'Product and Cost'!$B$33*(0.4863620081*E834+0.4455809638*E834+0.0356254898*E835+0.0324315384))+E843*('Product and Cost'!$D$34*E835*Assumptions!$B$88+'Product and Cost'!$B$34*(0.4863620081*E834+0.4455809638*E834+0.0356254898*E835+0.0324315384))</f>
        <v>58815.4011786</v>
      </c>
      <c r="F846" s="18">
        <f>F836*('Product and Cost'!$D$27*F835*Assumptions!$B$88+'Product and Cost'!$B$27*(0.4863620081*F834+0.4455809638*F834+0.0356254898*F835+0.0324315384))+F837*('Product and Cost'!$D$28*F835*Assumptions!$B$88+'Product and Cost'!$B$28*(0.4863620081*F834+0.4455809638*F834+0.0356254898*F835+0.0324315384))+F838*('Product and Cost'!$D$29*F835*Assumptions!$B$88+'Product and Cost'!$B$29*(0.4863620081*F834+0.4455809638*F834+0.0356254898*F835+0.0324315384))+F839*('Product and Cost'!$D$30*F835*Assumptions!$B$88+'Product and Cost'!$B$30*(0.4863620081*F834+0.4455809638*F834+0.0356254898*F835+0.0324315384))+F840*('Product and Cost'!$D$31*F835*Assumptions!$B$88+'Product and Cost'!$B$31*(0.4863620081*F834+0.4455809638*F834+0.0356254898*F835+0.0324315384))+F841*('Product and Cost'!$D$32*F835*Assumptions!$B$88+'Product and Cost'!$B$32*(0.4863620081*F834+0.4455809638*F834+0.0356254898*F835+0.0324315384))+F842*('Product and Cost'!$D$33*F835*Assumptions!$B$88+'Product and Cost'!$B$33*(0.4863620081*F834+0.4455809638*F834+0.0356254898*F835+0.0324315384))+F843*('Product and Cost'!$D$34*F835*Assumptions!$B$88+'Product and Cost'!$B$34*(0.4863620081*F834+0.4455809638*F834+0.0356254898*F835+0.0324315384))</f>
        <v>63847.5732702</v>
      </c>
      <c r="G846" s="18">
        <f>G836*('Product and Cost'!$D$27*G835*Assumptions!$B$88+'Product and Cost'!$B$27*(0.4863620081*G834+0.4455809638*G834+0.0356254898*G835+0.0324315384))+G837*('Product and Cost'!$D$28*G835*Assumptions!$B$88+'Product and Cost'!$B$28*(0.4863620081*G834+0.4455809638*G834+0.0356254898*G835+0.0324315384))+G838*('Product and Cost'!$D$29*G835*Assumptions!$B$88+'Product and Cost'!$B$29*(0.4863620081*G834+0.4455809638*G834+0.0356254898*G835+0.0324315384))+G839*('Product and Cost'!$D$30*G835*Assumptions!$B$88+'Product and Cost'!$B$30*(0.4863620081*G834+0.4455809638*G834+0.0356254898*G835+0.0324315384))+G840*('Product and Cost'!$D$31*G835*Assumptions!$B$88+'Product and Cost'!$B$31*(0.4863620081*G834+0.4455809638*G834+0.0356254898*G835+0.0324315384))+G841*('Product and Cost'!$D$32*G835*Assumptions!$B$88+'Product and Cost'!$B$32*(0.4863620081*G834+0.4455809638*G834+0.0356254898*G835+0.0324315384))+G842*('Product and Cost'!$D$33*G835*Assumptions!$B$88+'Product and Cost'!$B$33*(0.4863620081*G834+0.4455809638*G834+0.0356254898*G835+0.0324315384))+G843*('Product and Cost'!$D$34*G835*Assumptions!$B$88+'Product and Cost'!$B$34*(0.4863620081*G834+0.4455809638*G834+0.0356254898*G835+0.0324315384))</f>
        <v>68797.1859175</v>
      </c>
    </row>
    <row r="847">
      <c r="A847" s="17" t="inlineStr">
        <is>
          <t>GROSS PROFIT</t>
        </is>
      </c>
      <c r="C847" s="20">
        <f>C845-C846+Forecast!$B$7*C845</f>
        <v>4549.65064286</v>
      </c>
      <c r="D847" s="20">
        <f>D845-D846+Forecast!$B$7*D845</f>
        <v>4784.18493236</v>
      </c>
      <c r="E847" s="20">
        <f>E845-E846+Forecast!$B$7*E845</f>
        <v>4957.23599944</v>
      </c>
      <c r="F847" s="20">
        <f>F845-F846+Forecast!$B$7*F845</f>
        <v>5104.60576669</v>
      </c>
      <c r="G847" s="20">
        <f>G845-G846+Forecast!$B$7*G845</f>
        <v>5180.65726511</v>
      </c>
    </row>
    <row r="848">
      <c r="A848" s="9" t="inlineStr">
        <is>
          <t>Gross margin</t>
        </is>
      </c>
      <c r="C848" s="19">
        <f>C847/C845</f>
        <v>0.0861010750391</v>
      </c>
      <c r="D848" s="19">
        <f>D847/D845</f>
        <v>0.0818758768871</v>
      </c>
      <c r="E848" s="19">
        <f>E847/E845</f>
        <v>0.0777329622672</v>
      </c>
      <c r="F848" s="19">
        <f>F847/F845</f>
        <v>0.0740311015255</v>
      </c>
      <c r="G848" s="19">
        <f>G847/G845</f>
        <v>0.0700298500501</v>
      </c>
    </row>
    <row r="849">
      <c r="A849" s="9" t="inlineStr">
        <is>
          <t>Operating expense</t>
        </is>
      </c>
      <c r="C849" s="18">
        <f>('Base Year'!$B$28*C834)+('Base Year'!$B$29*C834*C844/'Product and Cost'!$E$14)+('Base Year'!$B$30*C834)+('Base Year'!$B$31*C834)</f>
        <v>2007.6668112</v>
      </c>
      <c r="D849" s="18">
        <f>('Base Year'!$B$28*D834)+('Base Year'!$B$29*D834*D844/'Product and Cost'!$E$14)+('Base Year'!$B$30*D834)+('Base Year'!$B$31*D834)</f>
        <v>2276.29775955</v>
      </c>
      <c r="E849" s="18">
        <f>('Base Year'!$B$28*E834)+('Base Year'!$B$29*E834*E844/'Product and Cost'!$E$14)+('Base Year'!$B$30*E834)+('Base Year'!$B$31*E834)</f>
        <v>2545.62118024</v>
      </c>
      <c r="F849" s="18">
        <f>('Base Year'!$B$28*F834)+('Base Year'!$B$29*F834*F844/'Product and Cost'!$E$14)+('Base Year'!$B$30*F834)+('Base Year'!$B$31*F834)</f>
        <v>2807.77881104</v>
      </c>
      <c r="G849" s="18">
        <f>('Base Year'!$B$28*G834)+('Base Year'!$B$29*G834*G844/'Product and Cost'!$E$14)+('Base Year'!$B$30*G834)+('Base Year'!$B$31*G834)</f>
        <v>3082.20998189</v>
      </c>
    </row>
    <row r="850">
      <c r="A850" s="17" t="inlineStr">
        <is>
          <t>EBITDA</t>
        </is>
      </c>
      <c r="C850" s="20">
        <f>C847-C849</f>
        <v>2541.98383166</v>
      </c>
      <c r="D850" s="20">
        <f>D847-D849</f>
        <v>2507.88717281</v>
      </c>
      <c r="E850" s="20">
        <f>E847-E849</f>
        <v>2411.6148192</v>
      </c>
      <c r="F850" s="20">
        <f>F847-F849</f>
        <v>2296.82695565</v>
      </c>
      <c r="G850" s="20">
        <f>G847-G849</f>
        <v>2098.44728323</v>
      </c>
    </row>
    <row r="851">
      <c r="A851" s="9" t="inlineStr">
        <is>
          <t>Capital expenditure — maintenance + growth</t>
        </is>
      </c>
      <c r="C851" s="18">
        <f>'Base Year'!$B$43*C834+MAX(C844-'Product and Cost'!$E$14,0)*1947.901031*C834</f>
        <v>280.931999159</v>
      </c>
      <c r="D851" s="18">
        <f>'Base Year'!$B$43*D834+MAX(D844-C844,0)*1947.901031*D834</f>
        <v>307.3675836</v>
      </c>
      <c r="E851" s="18">
        <f>'Base Year'!$B$43*E834+MAX(E844-D844,0)*1947.901031*E834</f>
        <v>328.639389001</v>
      </c>
      <c r="F851" s="18">
        <f>'Base Year'!$B$43*F834+MAX(F844-E844,0)*1947.901031*F834</f>
        <v>351.146749034</v>
      </c>
      <c r="G851" s="18">
        <f>'Base Year'!$B$43*G834+MAX(G844-F844,0)*1947.901031*G834</f>
        <v>375.372179467</v>
      </c>
    </row>
    <row r="852">
      <c r="A852" s="9" t="inlineStr">
        <is>
          <t>Fixed assets at cost, closing</t>
        </is>
      </c>
      <c r="C852" s="18">
        <f>(Assumptions!$B$70+Assumptions!$B$71)/10^6+C851</f>
        <v>3429.06589416</v>
      </c>
      <c r="D852" s="18">
        <f>C852+D851</f>
        <v>3736.43347776</v>
      </c>
      <c r="E852" s="18">
        <f>D852+E851</f>
        <v>4065.07286676</v>
      </c>
      <c r="F852" s="18">
        <f>E852+F851</f>
        <v>4416.21961579</v>
      </c>
      <c r="G852" s="18">
        <f>F852+G851</f>
        <v>4791.59179526</v>
      </c>
    </row>
    <row r="853">
      <c r="A853" s="9" t="inlineStr">
        <is>
          <t>Depreciation — rolls off the asset register</t>
        </is>
      </c>
      <c r="C853" s="18">
        <f>(Assumptions!$B$70+Assumptions!$B$71)/10^6/'Base Year'!$B$42</f>
        <v>173.808854481</v>
      </c>
      <c r="D853" s="18">
        <f>C852/'Base Year'!$B$42</f>
        <v>189.319144255</v>
      </c>
      <c r="E853" s="18">
        <f>D852/'Base Year'!$B$42</f>
        <v>206.288945856</v>
      </c>
      <c r="F853" s="18">
        <f>E852/'Base Year'!$B$42</f>
        <v>224.433166415</v>
      </c>
      <c r="G853" s="18">
        <f>F852/'Base Year'!$B$42</f>
        <v>243.820021053</v>
      </c>
    </row>
    <row r="854">
      <c r="A854" s="9" t="inlineStr">
        <is>
          <t>Fixed assets, net book, closing</t>
        </is>
      </c>
      <c r="C854" s="18">
        <f>(Assumptions!$B$69+Assumptions!$B$71)/10^6+C851-C853</f>
        <v>1407.46262168</v>
      </c>
      <c r="D854" s="18">
        <f>C854+D851-D853</f>
        <v>1525.51106102</v>
      </c>
      <c r="E854" s="18">
        <f>D854+E851-E853</f>
        <v>1647.86150417</v>
      </c>
      <c r="F854" s="18">
        <f>E854+F851-F853</f>
        <v>1774.57508679</v>
      </c>
      <c r="G854" s="18">
        <f>F854+G851-G853</f>
        <v>1906.1272452</v>
      </c>
    </row>
    <row r="855">
      <c r="A855" s="17" t="inlineStr">
        <is>
          <t>EBIT</t>
        </is>
      </c>
      <c r="C855" s="20">
        <f>C850-C853</f>
        <v>2368.17497718</v>
      </c>
      <c r="D855" s="20">
        <f>D850-D853</f>
        <v>2318.56802856</v>
      </c>
      <c r="E855" s="20">
        <f>E850-E853</f>
        <v>2205.32587334</v>
      </c>
      <c r="F855" s="20">
        <f>F850-F853</f>
        <v>2072.39378923</v>
      </c>
      <c r="G855" s="20">
        <f>G850-G853</f>
        <v>1854.62726217</v>
      </c>
    </row>
    <row r="856">
      <c r="A856" s="9" t="inlineStr">
        <is>
          <t>NOPAT before the profit share</t>
        </is>
      </c>
      <c r="C856" s="18">
        <f>C855*(1-Assumptions!$B$87)</f>
        <v>1835.33560732</v>
      </c>
      <c r="D856" s="18">
        <f>D855*(1-Assumptions!$B$87)</f>
        <v>1796.89022213</v>
      </c>
      <c r="E856" s="18">
        <f>E855*(1-Assumptions!$B$87)</f>
        <v>1709.12755184</v>
      </c>
      <c r="F856" s="18">
        <f>F855*(1-Assumptions!$B$87)</f>
        <v>1606.10518666</v>
      </c>
      <c r="G856" s="18">
        <f>G855*(1-Assumptions!$B$87)</f>
        <v>1437.33612818</v>
      </c>
    </row>
    <row r="857">
      <c r="A857" s="9" t="inlineStr">
        <is>
          <t xml:space="preserve">  less employees' profit share and board bonuses</t>
        </is>
      </c>
      <c r="C857" s="18">
        <f>MAX(C856,0)*'Base Year'!$B$40</f>
        <v>96.7608009272</v>
      </c>
      <c r="D857" s="18">
        <f>MAX(D856,0)*'Base Year'!$B$40</f>
        <v>94.7339202588</v>
      </c>
      <c r="E857" s="18">
        <f>MAX(E856,0)*'Base Year'!$B$40</f>
        <v>90.1069810576</v>
      </c>
      <c r="F857" s="18">
        <f>MAX(F856,0)*'Base Year'!$B$40</f>
        <v>84.6755348801</v>
      </c>
      <c r="G857" s="18">
        <f>MAX(G856,0)*'Base Year'!$B$40</f>
        <v>75.7778546933</v>
      </c>
    </row>
    <row r="858">
      <c r="A858" s="17" t="inlineStr">
        <is>
          <t>NOPAT</t>
        </is>
      </c>
      <c r="C858" s="20">
        <f>C856-C857</f>
        <v>1738.57480639</v>
      </c>
      <c r="D858" s="20">
        <f>D856-D857</f>
        <v>1702.15630187</v>
      </c>
      <c r="E858" s="20">
        <f>E856-E857</f>
        <v>1619.02057078</v>
      </c>
      <c r="F858" s="20">
        <f>F856-F857</f>
        <v>1521.42965178</v>
      </c>
      <c r="G858" s="20">
        <f>G856-G857</f>
        <v>1361.55827349</v>
      </c>
    </row>
    <row r="859">
      <c r="A859" s="9" t="inlineStr">
        <is>
          <t>Net working capital — on days</t>
        </is>
      </c>
      <c r="C859" s="18">
        <f>'Base Year'!$B$44*Forecast!$B$9/365*C846+'Base Year'!$B$45*Forecast!$B$9/365*C845-'Base Year'!$B$46*Forecast!$B$9/365*C846</f>
        <v>2539.69193722</v>
      </c>
      <c r="D859" s="18">
        <f>'Base Year'!$B$44*Forecast!$B$9/365*D846+'Base Year'!$B$45*Forecast!$B$9/365*D845-'Base Year'!$B$46*Forecast!$B$9/365*D846</f>
        <v>2816.01103091</v>
      </c>
      <c r="E859" s="18">
        <f>'Base Year'!$B$44*Forecast!$B$9/365*E846+'Base Year'!$B$45*Forecast!$B$9/365*E845-'Base Year'!$B$46*Forecast!$B$9/365*E846</f>
        <v>3081.49643011</v>
      </c>
      <c r="F859" s="18">
        <f>'Base Year'!$B$44*Forecast!$B$9/365*F846+'Base Year'!$B$45*Forecast!$B$9/365*F845-'Base Year'!$B$46*Forecast!$B$9/365*F846</f>
        <v>3339.61025534</v>
      </c>
      <c r="G859" s="18">
        <f>'Base Year'!$B$44*Forecast!$B$9/365*G846+'Base Year'!$B$45*Forecast!$B$9/365*G845-'Base Year'!$B$46*Forecast!$B$9/365*G846</f>
        <v>3592.11140979</v>
      </c>
    </row>
    <row r="860">
      <c r="A860" s="9" t="inlineStr">
        <is>
          <t xml:space="preserve">  change in working capital</t>
        </is>
      </c>
      <c r="C860" s="18">
        <f>C859-('Base Year'!$B$44/365*'Base Year'!$B$21+'Base Year'!$B$45/365*'Base Year'!$B$19-'Base Year'!$B$46/365*'Base Year'!$B$21)</f>
        <v>288.28964822</v>
      </c>
      <c r="D860" s="18">
        <f>D859-C859</f>
        <v>276.319093691</v>
      </c>
      <c r="E860" s="18">
        <f>E859-D859</f>
        <v>265.485399203</v>
      </c>
      <c r="F860" s="18">
        <f>F859-E859</f>
        <v>258.113825222</v>
      </c>
      <c r="G860" s="18">
        <f>G859-F859</f>
        <v>252.501154457</v>
      </c>
    </row>
    <row r="861">
      <c r="A861" s="17" t="inlineStr">
        <is>
          <t>FREE CASH FLOW TO THE FIRM</t>
        </is>
      </c>
      <c r="C861" s="20">
        <f>C858+C853-C851-C860</f>
        <v>1343.16201349</v>
      </c>
      <c r="D861" s="20">
        <f>D858+D853-D851-D860</f>
        <v>1307.78876884</v>
      </c>
      <c r="E861" s="20">
        <f>E858+E853-E851-E860</f>
        <v>1231.18472844</v>
      </c>
      <c r="F861" s="20">
        <f>F858+F853-F851-F860</f>
        <v>1136.60224393</v>
      </c>
      <c r="G861" s="20">
        <f>G858+G853-G851-G860</f>
        <v>977.504960621</v>
      </c>
    </row>
    <row r="862">
      <c r="A862" s="9" t="inlineStr">
        <is>
          <t>Glide fraction</t>
        </is>
      </c>
      <c r="C862" s="26">
        <f>0.0000000000</f>
        <v>0</v>
      </c>
      <c r="D862" s="26">
        <f>0.3571428571</f>
        <v>0.3571428571</v>
      </c>
      <c r="E862" s="26">
        <f>0.6428571429</f>
        <v>0.6428571429</v>
      </c>
      <c r="F862" s="26">
        <f>0.8571428571</f>
        <v>0.8571428571</v>
      </c>
      <c r="G862" s="26">
        <f>1.0000000000</f>
        <v>1</v>
      </c>
    </row>
    <row r="863">
      <c r="A863" s="9" t="inlineStr">
        <is>
          <t>Forward cost of capital</t>
        </is>
      </c>
      <c r="C863" s="19">
        <f>$F$28-($F$28-$G$28)*C862</f>
        <v>0.299093741485</v>
      </c>
      <c r="D863" s="19">
        <f>$F$28-($F$28-$G$28)*D862</f>
        <v>0.254625328748</v>
      </c>
      <c r="E863" s="19">
        <f>$F$28-($F$28-$G$28)*E862</f>
        <v>0.219050598543</v>
      </c>
      <c r="F863" s="19">
        <f>$F$28-($F$28-$G$28)*F862</f>
        <v>0.192369550908</v>
      </c>
      <c r="G863" s="19">
        <f>$F$28-($F$28-$G$28)*G862</f>
        <v>0.174582185805</v>
      </c>
    </row>
    <row r="864">
      <c r="A864" s="9" t="inlineStr">
        <is>
          <t>Cumulative discount factor</t>
        </is>
      </c>
      <c r="C864" s="29">
        <f>1/(1+C863)</f>
        <v>0.769767390964</v>
      </c>
      <c r="D864" s="29">
        <f>C864/(1+D863)</f>
        <v>0.613543639942</v>
      </c>
      <c r="E864" s="29">
        <f>D864/(1+E863)</f>
        <v>0.503296287025</v>
      </c>
      <c r="F864" s="29">
        <f>E864/(1+F863)</f>
        <v>0.422097567522</v>
      </c>
      <c r="G864" s="29">
        <f>F864/(1+G863)</f>
        <v>0.359359755854</v>
      </c>
    </row>
    <row r="865">
      <c r="A865" s="9" t="inlineStr">
        <is>
          <t>Present value</t>
        </is>
      </c>
      <c r="C865" s="18">
        <f>C861*C864</f>
        <v>1033.92231877</v>
      </c>
      <c r="D865" s="18">
        <f>D861*D864</f>
        <v>802.385481508</v>
      </c>
      <c r="E865" s="18">
        <f>E861*E864</f>
        <v>619.650702464</v>
      </c>
      <c r="F865" s="18">
        <f>F861*F864</f>
        <v>479.757042404</v>
      </c>
      <c r="G865" s="18">
        <f>G861*G864</f>
        <v>351.275943995</v>
      </c>
    </row>
    <row r="866">
      <c r="A866" s="17" t="inlineStr">
        <is>
          <t>PV of the explicit window</t>
        </is>
      </c>
      <c r="B866" s="20">
        <f>SUM(C865:G865)</f>
        <v>3286.99148914</v>
      </c>
      <c r="C866" s="18">
        <f>C859+C852</f>
        <v>5968.75783138</v>
      </c>
      <c r="D866" s="18">
        <f>D859+D852</f>
        <v>6552.44450867</v>
      </c>
      <c r="E866" s="18">
        <f>E859+E852</f>
        <v>7146.56929687</v>
      </c>
      <c r="F866" s="18">
        <f>F859+F852</f>
        <v>7755.82987113</v>
      </c>
      <c r="G866" s="18">
        <f>G859+G852</f>
        <v>8383.70320505</v>
      </c>
    </row>
    <row r="867">
      <c r="A867" s="9" t="inlineStr">
        <is>
          <t>Terminal return on invested capital, at REPLACEMENT cost</t>
        </is>
      </c>
      <c r="B867" s="19">
        <f>G858*(1+Assumptions!$B$89)/G866</f>
        <v>0.170525620027</v>
      </c>
    </row>
    <row r="868">
      <c r="A868" s="9" t="inlineStr">
        <is>
          <t>Required reinvestment = growth / return</t>
        </is>
      </c>
      <c r="B868" s="19">
        <f>MIN(Assumptions!$B$89/B867,0.95)</f>
        <v>0.29321107287</v>
      </c>
    </row>
    <row r="869">
      <c r="A869" s="9" t="inlineStr">
        <is>
          <t>Terminal value</t>
        </is>
      </c>
      <c r="B869" s="18">
        <f>G858*(1+Assumptions!$B$89)*(1-B868)/MAX($G$28-Assumptions!$B$89,0.02)</f>
        <v>8110.71840151</v>
      </c>
    </row>
    <row r="870">
      <c r="A870" s="9" t="inlineStr">
        <is>
          <t>PV of the terminal block</t>
        </is>
      </c>
      <c r="B870" s="18">
        <f>B869*G864</f>
        <v>2914.66578457</v>
      </c>
    </row>
    <row r="871">
      <c r="A871" s="17" t="inlineStr">
        <is>
          <t>ENTERPRISE VALUE</t>
        </is>
      </c>
      <c r="B871" s="20">
        <f>B866+B870</f>
        <v>6201.65727371</v>
      </c>
    </row>
    <row r="872">
      <c r="A872" s="9" t="inlineStr">
        <is>
          <t>plus net cash</t>
        </is>
      </c>
      <c r="B872" s="18">
        <f>(Assumptions!$B$79-Assumptions!$B$82-Assumptions!$B$83)/10^6</f>
        <v>2442.544928</v>
      </c>
    </row>
    <row r="873">
      <c r="A873" s="9" t="inlineStr">
        <is>
          <t>Enterprise value including cash</t>
        </is>
      </c>
      <c r="B873" s="18">
        <f>B871+B872</f>
        <v>8644.20220171</v>
      </c>
    </row>
    <row r="874">
      <c r="A874" s="9" t="inlineStr">
        <is>
          <t>less minority — on the WHOLE enterprise, cash included</t>
        </is>
      </c>
      <c r="B874" s="18">
        <f>B873*'Base Year'!$B$41</f>
        <v>281.649223125</v>
      </c>
    </row>
    <row r="875">
      <c r="A875" s="9" t="inlineStr">
        <is>
          <t>less the tax-disputes provision</t>
        </is>
      </c>
      <c r="B875" s="18">
        <f>Assumptions!$B$78/10^6</f>
        <v>921.440353</v>
      </c>
    </row>
    <row r="876">
      <c r="A876" s="9" t="inlineStr">
        <is>
          <t>less dividends payable — declared, out of working capital</t>
        </is>
      </c>
      <c r="B876" s="18">
        <f>Assumptions!$B$77/10^6</f>
        <v>517.25</v>
      </c>
    </row>
    <row r="877">
      <c r="A877" s="9" t="inlineStr">
        <is>
          <t>plus non-operating investments and pledged deposits</t>
        </is>
      </c>
      <c r="B877" s="18">
        <f>(Assumptions!$B$81+Assumptions!$B$80)/10^6</f>
        <v>578.358746</v>
      </c>
    </row>
    <row r="878">
      <c r="A878" s="17" t="inlineStr">
        <is>
          <t>EQUITY ATTRIBUTABLE</t>
        </is>
      </c>
      <c r="B878" s="20">
        <f>B873-B874-B875-B876+B877</f>
        <v>7502.22137158</v>
      </c>
    </row>
    <row r="879">
      <c r="A879" s="17" t="inlineStr">
        <is>
          <t>VALUE PER SHARE, EGP</t>
        </is>
      </c>
      <c r="B879" s="30">
        <f>B878/Assumptions!$B$8</f>
        <v>5.80892092264</v>
      </c>
    </row>
    <row r="882">
      <c r="A882" s="6" t="inlineStr">
        <is>
          <t>Beta — 0.9405</t>
        </is>
      </c>
      <c r="B882" s="6" t="inlineStr">
        <is>
          <t>2026E</t>
        </is>
      </c>
      <c r="C882" s="6" t="inlineStr">
        <is>
          <t>2027E</t>
        </is>
      </c>
      <c r="D882" s="6" t="inlineStr">
        <is>
          <t>2028E</t>
        </is>
      </c>
      <c r="E882" s="6" t="inlineStr">
        <is>
          <t>2029E</t>
        </is>
      </c>
      <c r="F882" s="6" t="inlineStr">
        <is>
          <t>2030E</t>
        </is>
      </c>
    </row>
    <row r="883">
      <c r="A883" s="9" t="inlineStr">
        <is>
          <t>Inflation index, cumulative</t>
        </is>
      </c>
      <c r="C883" s="26">
        <f>Assumptions!$B$146</f>
        <v>1.145</v>
      </c>
      <c r="D883" s="26">
        <f>C883*Assumptions!$B$147</f>
        <v>1.29385</v>
      </c>
      <c r="E883" s="26">
        <f>D883*Assumptions!$B$148</f>
        <v>1.44264275</v>
      </c>
      <c r="F883" s="26">
        <f>E883*Assumptions!$B$149</f>
        <v>1.586907025</v>
      </c>
      <c r="G883" s="26">
        <f>F883*Assumptions!$B$150</f>
        <v>1.73766319237</v>
      </c>
    </row>
    <row r="884">
      <c r="A884" s="9" t="inlineStr">
        <is>
          <t>Realisation index, cumulative</t>
        </is>
      </c>
      <c r="C884" s="26">
        <f>(1+Assumptions!$B$101*Forecast!$B$8)</f>
        <v>1.09</v>
      </c>
      <c r="D884" s="26">
        <f>C884*(1+Assumptions!$B$102*Forecast!$B$8)</f>
        <v>1.17175</v>
      </c>
      <c r="E884" s="26">
        <f>D884*(1+Assumptions!$B$103*Forecast!$B$8)</f>
        <v>1.24791375</v>
      </c>
      <c r="F884" s="26">
        <f>E884*(1+Assumptions!$B$104*Forecast!$B$8)</f>
        <v>1.3202927475</v>
      </c>
      <c r="G884" s="26">
        <f>F884*(1+Assumptions!$B$105*Forecast!$B$8)</f>
        <v>1.38894797037</v>
      </c>
    </row>
    <row r="885">
      <c r="A885" s="9" t="inlineStr">
        <is>
          <t xml:space="preserve">  Volume — Base and special oils, mn t</t>
        </is>
      </c>
      <c r="C885" s="26">
        <f>'Product and Cost'!E6*(1+Assumptions!$B$106*Forecast!$B$6)</f>
        <v>0.1148851682</v>
      </c>
      <c r="D885" s="26">
        <f>C885*(1+Assumptions!$B$107*Forecast!$B$6)</f>
        <v>0.119480574928</v>
      </c>
      <c r="E885" s="26">
        <f>D885*(1+Assumptions!$B$108*Forecast!$B$6)</f>
        <v>0.12366239505</v>
      </c>
      <c r="F885" s="26">
        <f>E885*(1+Assumptions!$B$109*Forecast!$B$6)</f>
        <v>0.127372266902</v>
      </c>
      <c r="G885" s="26">
        <f>F885*(1+Assumptions!$B$110*Forecast!$B$6)</f>
        <v>0.130938690375</v>
      </c>
    </row>
    <row r="886">
      <c r="A886" s="9" t="inlineStr">
        <is>
          <t xml:space="preserve">  Volume — Paraffin wax, mn t</t>
        </is>
      </c>
      <c r="C886" s="26">
        <f>'Product and Cost'!E7*(1+Assumptions!$B$111*Forecast!$B$6)</f>
        <v>0.089396788</v>
      </c>
      <c r="D886" s="26">
        <f>C886*(1+Assumptions!$B$112*Forecast!$B$6)</f>
        <v>0.09431361134</v>
      </c>
      <c r="E886" s="26">
        <f>D886*(1+Assumptions!$B$113*Forecast!$B$6)</f>
        <v>0.0985577238503</v>
      </c>
      <c r="F886" s="26">
        <f>E886*(1+Assumptions!$B$114*Forecast!$B$6)</f>
        <v>0.102302917357</v>
      </c>
      <c r="G886" s="26">
        <f>F886*(1+Assumptions!$B$115*Forecast!$B$6)</f>
        <v>0.105576610712</v>
      </c>
    </row>
    <row r="887">
      <c r="A887" s="9" t="inlineStr">
        <is>
          <t xml:space="preserve">  Volume — Gas oil, mn t</t>
        </is>
      </c>
      <c r="C887" s="26">
        <f>'Product and Cost'!E8*(1+Assumptions!$B$116*Forecast!$B$6)</f>
        <v>0.35023715724</v>
      </c>
      <c r="D887" s="26">
        <f>C887*(1+Assumptions!$B$117*Forecast!$B$6)</f>
        <v>0.357241900385</v>
      </c>
      <c r="E887" s="26">
        <f>D887*(1+Assumptions!$B$118*Forecast!$B$6)</f>
        <v>0.363672254592</v>
      </c>
      <c r="F887" s="26">
        <f>E887*(1+Assumptions!$B$119*Forecast!$B$6)</f>
        <v>0.369491010665</v>
      </c>
      <c r="G887" s="26">
        <f>F887*(1+Assumptions!$B$120*Forecast!$B$6)</f>
        <v>0.375033375825</v>
      </c>
    </row>
    <row r="888">
      <c r="A888" s="9" t="inlineStr">
        <is>
          <t xml:space="preserve">  Volume — Naphtha, mn t</t>
        </is>
      </c>
      <c r="C888" s="26">
        <f>'Product and Cost'!E9*(1+Assumptions!$B$121*Forecast!$B$6)</f>
        <v>0.08410463971</v>
      </c>
      <c r="D888" s="26">
        <f>C888*(1+Assumptions!$B$122*Forecast!$B$6)</f>
        <v>0.0856185232248</v>
      </c>
      <c r="E888" s="26">
        <f>D888*(1+Assumptions!$B$123*Forecast!$B$6)</f>
        <v>0.0871596566428</v>
      </c>
      <c r="F888" s="26">
        <f>E888*(1+Assumptions!$B$124*Forecast!$B$6)</f>
        <v>0.0885542111491</v>
      </c>
      <c r="G888" s="26">
        <f>F888*(1+Assumptions!$B$125*Forecast!$B$6)</f>
        <v>0.0898825243163</v>
      </c>
    </row>
    <row r="889">
      <c r="A889" s="9" t="inlineStr">
        <is>
          <t xml:space="preserve">  Volume — Liquefied petroleum gas, mn t</t>
        </is>
      </c>
      <c r="C889" s="26">
        <f>'Product and Cost'!E10*(1+Assumptions!$B$126*Forecast!$B$6)</f>
        <v>0.0486583449</v>
      </c>
      <c r="D889" s="26">
        <f>C889*(1+Assumptions!$B$127*Forecast!$B$6)</f>
        <v>0.0497288284878</v>
      </c>
      <c r="E889" s="26">
        <f>D889*(1+Assumptions!$B$128*Forecast!$B$6)</f>
        <v>0.0507234050576</v>
      </c>
      <c r="F889" s="26">
        <f>E889*(1+Assumptions!$B$129*Forecast!$B$6)</f>
        <v>0.0516364263486</v>
      </c>
      <c r="G889" s="26">
        <f>F889*(1+Assumptions!$B$130*Forecast!$B$6)</f>
        <v>0.0524626091702</v>
      </c>
    </row>
    <row r="890">
      <c r="A890" s="9" t="inlineStr">
        <is>
          <t xml:space="preserve">  Volume — Fuel oil (mix), mn t</t>
        </is>
      </c>
      <c r="C890" s="26">
        <f>'Product and Cost'!E11*(1+Assumptions!$B$131*Forecast!$B$6)</f>
        <v>0.947916416</v>
      </c>
      <c r="D890" s="26">
        <f>C890*(1+Assumptions!$B$132*Forecast!$B$6)</f>
        <v>0.972562242816</v>
      </c>
      <c r="E890" s="26">
        <f>D890*(1+Assumptions!$B$133*Forecast!$B$6)</f>
        <v>0.993958612158</v>
      </c>
      <c r="F890" s="26">
        <f>E890*(1+Assumptions!$B$134*Forecast!$B$6)</f>
        <v>1.0138377844</v>
      </c>
      <c r="G890" s="26">
        <f>F890*(1+Assumptions!$B$135*Forecast!$B$6)</f>
        <v>1.03208686452</v>
      </c>
    </row>
    <row r="891">
      <c r="A891" s="9" t="inlineStr">
        <is>
          <t xml:space="preserve">  Volume — Heavy fuel oil, mn t</t>
        </is>
      </c>
      <c r="C891" s="26">
        <f>'Product and Cost'!E12*(1+Assumptions!$B$136*Forecast!$B$6)</f>
        <v>0.0292281408</v>
      </c>
      <c r="D891" s="26">
        <f>C891*(1+Assumptions!$B$137*Forecast!$B$6)</f>
        <v>0.0297542473344</v>
      </c>
      <c r="E891" s="26">
        <f>D891*(1+Assumptions!$B$138*Forecast!$B$6)</f>
        <v>0.0302303152918</v>
      </c>
      <c r="F891" s="26">
        <f>E891*(1+Assumptions!$B$139*Forecast!$B$6)</f>
        <v>0.0306837700211</v>
      </c>
      <c r="G891" s="26">
        <f>F891*(1+Assumptions!$B$140*Forecast!$B$6)</f>
        <v>0.0311133428014</v>
      </c>
    </row>
    <row r="892">
      <c r="A892" s="9" t="inlineStr">
        <is>
          <t xml:space="preserve">  Volume — Waste, mn t</t>
        </is>
      </c>
      <c r="C892" s="26">
        <f>'Product and Cost'!E13*(1+Assumptions!$B$141*Forecast!$B$6)</f>
        <v>1.564e-05</v>
      </c>
      <c r="D892" s="26">
        <f>C892*(1+Assumptions!$B$142*Forecast!$B$6)</f>
        <v>1.564e-05</v>
      </c>
      <c r="E892" s="26">
        <f>D892*(1+Assumptions!$B$143*Forecast!$B$6)</f>
        <v>1.564e-05</v>
      </c>
      <c r="F892" s="26">
        <f>E892*(1+Assumptions!$B$144*Forecast!$B$6)</f>
        <v>1.564e-05</v>
      </c>
      <c r="G892" s="26">
        <f>F892*(1+Assumptions!$B$145*Forecast!$B$6)</f>
        <v>1.564e-05</v>
      </c>
    </row>
    <row r="893">
      <c r="A893" s="17" t="inlineStr">
        <is>
          <t>Total volume, mn t</t>
        </is>
      </c>
      <c r="C893" s="28">
        <f>SUM(C885:C892)</f>
        <v>1.66444229485</v>
      </c>
      <c r="D893" s="28">
        <f>SUM(D885:D892)</f>
        <v>1.70871556852</v>
      </c>
      <c r="E893" s="28">
        <f>SUM(E885:E892)</f>
        <v>1.74798000264</v>
      </c>
      <c r="F893" s="28">
        <f>SUM(F885:F892)</f>
        <v>1.78389402684</v>
      </c>
      <c r="G893" s="28">
        <f>SUM(G885:G892)</f>
        <v>1.81710965772</v>
      </c>
    </row>
    <row r="894">
      <c r="A894" s="17" t="inlineStr">
        <is>
          <t>REVENUE</t>
        </is>
      </c>
      <c r="C894" s="20">
        <f>C885*'Product and Cost'!$F$6*C884+C886*'Product and Cost'!$F$7*C884+C887*'Product and Cost'!$F$8*C884+C888*'Product and Cost'!$F$9*C884+C889*'Product and Cost'!$F$10*C884+C890*'Product and Cost'!$F$11*C884+C891*'Product and Cost'!$F$12*C884+C892*'Product and Cost'!$F$13*C884</f>
        <v>52840.8111141</v>
      </c>
      <c r="D894" s="20">
        <f>D885*'Product and Cost'!$F$6*D884+D886*'Product and Cost'!$F$7*D884+D887*'Product and Cost'!$F$8*D884+D888*'Product and Cost'!$F$9*D884+D889*'Product and Cost'!$F$10*D884+D890*'Product and Cost'!$F$11*D884+D891*'Product and Cost'!$F$12*D884+D892*'Product and Cost'!$F$13*D884</f>
        <v>58432.1672543</v>
      </c>
      <c r="E894" s="20">
        <f>E885*'Product and Cost'!$F$6*E884+E886*'Product and Cost'!$F$7*E884+E887*'Product and Cost'!$F$8*E884+E888*'Product and Cost'!$F$9*E884+E889*'Product and Cost'!$F$10*E884+E890*'Product and Cost'!$F$11*E884+E891*'Product and Cost'!$F$12*E884+E892*'Product and Cost'!$F$13*E884</f>
        <v>63772.6371781</v>
      </c>
      <c r="F894" s="20">
        <f>F885*'Product and Cost'!$F$6*F884+F886*'Product and Cost'!$F$7*F884+F887*'Product and Cost'!$F$8*F884+F888*'Product and Cost'!$F$9*F884+F889*'Product and Cost'!$F$10*F884+F890*'Product and Cost'!$F$11*F884+F891*'Product and Cost'!$F$12*F884+F892*'Product and Cost'!$F$13*F884</f>
        <v>68952.1790369</v>
      </c>
      <c r="G894" s="20">
        <f>G885*'Product and Cost'!$F$6*G884+G886*'Product and Cost'!$F$7*G884+G887*'Product and Cost'!$F$8*G884+G888*'Product and Cost'!$F$9*G884+G889*'Product and Cost'!$F$10*G884+G890*'Product and Cost'!$F$11*G884+G891*'Product and Cost'!$F$12*G884+G892*'Product and Cost'!$F$13*G884</f>
        <v>73977.8431827</v>
      </c>
    </row>
    <row r="895">
      <c r="A895" s="9" t="inlineStr">
        <is>
          <t>Cost of sales</t>
        </is>
      </c>
      <c r="C895" s="18">
        <f>C885*('Product and Cost'!$D$27*C884*Assumptions!$B$88+'Product and Cost'!$B$27*(0.4863620081*C883+0.4455809638*C883+0.0356254898*C884+0.0324315384))+C886*('Product and Cost'!$D$28*C884*Assumptions!$B$88+'Product and Cost'!$B$28*(0.4863620081*C883+0.4455809638*C883+0.0356254898*C884+0.0324315384))+C887*('Product and Cost'!$D$29*C884*Assumptions!$B$88+'Product and Cost'!$B$29*(0.4863620081*C883+0.4455809638*C883+0.0356254898*C884+0.0324315384))+C888*('Product and Cost'!$D$30*C884*Assumptions!$B$88+'Product and Cost'!$B$30*(0.4863620081*C883+0.4455809638*C883+0.0356254898*C884+0.0324315384))+C889*('Product and Cost'!$D$31*C884*Assumptions!$B$88+'Product and Cost'!$B$31*(0.4863620081*C883+0.4455809638*C883+0.0356254898*C884+0.0324315384))+C890*('Product and Cost'!$D$32*C884*Assumptions!$B$88+'Product and Cost'!$B$32*(0.4863620081*C883+0.4455809638*C883+0.0356254898*C884+0.0324315384))+C891*('Product and Cost'!$D$33*C884*Assumptions!$B$88+'Product and Cost'!$B$33*(0.4863620081*C883+0.4455809638*C883+0.0356254898*C884+0.0324315384))+C892*('Product and Cost'!$D$34*C884*Assumptions!$B$88+'Product and Cost'!$B$34*(0.4863620081*C883+0.4455809638*C883+0.0356254898*C884+0.0324315384))</f>
        <v>48291.1604712</v>
      </c>
      <c r="D895" s="18">
        <f>D885*('Product and Cost'!$D$27*D884*Assumptions!$B$88+'Product and Cost'!$B$27*(0.4863620081*D883+0.4455809638*D883+0.0356254898*D884+0.0324315384))+D886*('Product and Cost'!$D$28*D884*Assumptions!$B$88+'Product and Cost'!$B$28*(0.4863620081*D883+0.4455809638*D883+0.0356254898*D884+0.0324315384))+D887*('Product and Cost'!$D$29*D884*Assumptions!$B$88+'Product and Cost'!$B$29*(0.4863620081*D883+0.4455809638*D883+0.0356254898*D884+0.0324315384))+D888*('Product and Cost'!$D$30*D884*Assumptions!$B$88+'Product and Cost'!$B$30*(0.4863620081*D883+0.4455809638*D883+0.0356254898*D884+0.0324315384))+D889*('Product and Cost'!$D$31*D884*Assumptions!$B$88+'Product and Cost'!$B$31*(0.4863620081*D883+0.4455809638*D883+0.0356254898*D884+0.0324315384))+D890*('Product and Cost'!$D$32*D884*Assumptions!$B$88+'Product and Cost'!$B$32*(0.4863620081*D883+0.4455809638*D883+0.0356254898*D884+0.0324315384))+D891*('Product and Cost'!$D$33*D884*Assumptions!$B$88+'Product and Cost'!$B$33*(0.4863620081*D883+0.4455809638*D883+0.0356254898*D884+0.0324315384))+D892*('Product and Cost'!$D$34*D884*Assumptions!$B$88+'Product and Cost'!$B$34*(0.4863620081*D883+0.4455809638*D883+0.0356254898*D884+0.0324315384))</f>
        <v>53647.9823219</v>
      </c>
      <c r="E895" s="18">
        <f>E885*('Product and Cost'!$D$27*E884*Assumptions!$B$88+'Product and Cost'!$B$27*(0.4863620081*E883+0.4455809638*E883+0.0356254898*E884+0.0324315384))+E886*('Product and Cost'!$D$28*E884*Assumptions!$B$88+'Product and Cost'!$B$28*(0.4863620081*E883+0.4455809638*E883+0.0356254898*E884+0.0324315384))+E887*('Product and Cost'!$D$29*E884*Assumptions!$B$88+'Product and Cost'!$B$29*(0.4863620081*E883+0.4455809638*E883+0.0356254898*E884+0.0324315384))+E888*('Product and Cost'!$D$30*E884*Assumptions!$B$88+'Product and Cost'!$B$30*(0.4863620081*E883+0.4455809638*E883+0.0356254898*E884+0.0324315384))+E889*('Product and Cost'!$D$31*E884*Assumptions!$B$88+'Product and Cost'!$B$31*(0.4863620081*E883+0.4455809638*E883+0.0356254898*E884+0.0324315384))+E890*('Product and Cost'!$D$32*E884*Assumptions!$B$88+'Product and Cost'!$B$32*(0.4863620081*E883+0.4455809638*E883+0.0356254898*E884+0.0324315384))+E891*('Product and Cost'!$D$33*E884*Assumptions!$B$88+'Product and Cost'!$B$33*(0.4863620081*E883+0.4455809638*E883+0.0356254898*E884+0.0324315384))+E892*('Product and Cost'!$D$34*E884*Assumptions!$B$88+'Product and Cost'!$B$34*(0.4863620081*E883+0.4455809638*E883+0.0356254898*E884+0.0324315384))</f>
        <v>58815.4011786</v>
      </c>
      <c r="F895" s="18">
        <f>F885*('Product and Cost'!$D$27*F884*Assumptions!$B$88+'Product and Cost'!$B$27*(0.4863620081*F883+0.4455809638*F883+0.0356254898*F884+0.0324315384))+F886*('Product and Cost'!$D$28*F884*Assumptions!$B$88+'Product and Cost'!$B$28*(0.4863620081*F883+0.4455809638*F883+0.0356254898*F884+0.0324315384))+F887*('Product and Cost'!$D$29*F884*Assumptions!$B$88+'Product and Cost'!$B$29*(0.4863620081*F883+0.4455809638*F883+0.0356254898*F884+0.0324315384))+F888*('Product and Cost'!$D$30*F884*Assumptions!$B$88+'Product and Cost'!$B$30*(0.4863620081*F883+0.4455809638*F883+0.0356254898*F884+0.0324315384))+F889*('Product and Cost'!$D$31*F884*Assumptions!$B$88+'Product and Cost'!$B$31*(0.4863620081*F883+0.4455809638*F883+0.0356254898*F884+0.0324315384))+F890*('Product and Cost'!$D$32*F884*Assumptions!$B$88+'Product and Cost'!$B$32*(0.4863620081*F883+0.4455809638*F883+0.0356254898*F884+0.0324315384))+F891*('Product and Cost'!$D$33*F884*Assumptions!$B$88+'Product and Cost'!$B$33*(0.4863620081*F883+0.4455809638*F883+0.0356254898*F884+0.0324315384))+F892*('Product and Cost'!$D$34*F884*Assumptions!$B$88+'Product and Cost'!$B$34*(0.4863620081*F883+0.4455809638*F883+0.0356254898*F884+0.0324315384))</f>
        <v>63847.5732702</v>
      </c>
      <c r="G895" s="18">
        <f>G885*('Product and Cost'!$D$27*G884*Assumptions!$B$88+'Product and Cost'!$B$27*(0.4863620081*G883+0.4455809638*G883+0.0356254898*G884+0.0324315384))+G886*('Product and Cost'!$D$28*G884*Assumptions!$B$88+'Product and Cost'!$B$28*(0.4863620081*G883+0.4455809638*G883+0.0356254898*G884+0.0324315384))+G887*('Product and Cost'!$D$29*G884*Assumptions!$B$88+'Product and Cost'!$B$29*(0.4863620081*G883+0.4455809638*G883+0.0356254898*G884+0.0324315384))+G888*('Product and Cost'!$D$30*G884*Assumptions!$B$88+'Product and Cost'!$B$30*(0.4863620081*G883+0.4455809638*G883+0.0356254898*G884+0.0324315384))+G889*('Product and Cost'!$D$31*G884*Assumptions!$B$88+'Product and Cost'!$B$31*(0.4863620081*G883+0.4455809638*G883+0.0356254898*G884+0.0324315384))+G890*('Product and Cost'!$D$32*G884*Assumptions!$B$88+'Product and Cost'!$B$32*(0.4863620081*G883+0.4455809638*G883+0.0356254898*G884+0.0324315384))+G891*('Product and Cost'!$D$33*G884*Assumptions!$B$88+'Product and Cost'!$B$33*(0.4863620081*G883+0.4455809638*G883+0.0356254898*G884+0.0324315384))+G892*('Product and Cost'!$D$34*G884*Assumptions!$B$88+'Product and Cost'!$B$34*(0.4863620081*G883+0.4455809638*G883+0.0356254898*G884+0.0324315384))</f>
        <v>68797.1859175</v>
      </c>
    </row>
    <row r="896">
      <c r="A896" s="17" t="inlineStr">
        <is>
          <t>GROSS PROFIT</t>
        </is>
      </c>
      <c r="C896" s="20">
        <f>C894-C895+Forecast!$B$7*C894</f>
        <v>4549.65064286</v>
      </c>
      <c r="D896" s="20">
        <f>D894-D895+Forecast!$B$7*D894</f>
        <v>4784.18493236</v>
      </c>
      <c r="E896" s="20">
        <f>E894-E895+Forecast!$B$7*E894</f>
        <v>4957.23599944</v>
      </c>
      <c r="F896" s="20">
        <f>F894-F895+Forecast!$B$7*F894</f>
        <v>5104.60576669</v>
      </c>
      <c r="G896" s="20">
        <f>G894-G895+Forecast!$B$7*G894</f>
        <v>5180.65726511</v>
      </c>
    </row>
    <row r="897">
      <c r="A897" s="9" t="inlineStr">
        <is>
          <t>Gross margin</t>
        </is>
      </c>
      <c r="C897" s="19">
        <f>C896/C894</f>
        <v>0.0861010750391</v>
      </c>
      <c r="D897" s="19">
        <f>D896/D894</f>
        <v>0.0818758768871</v>
      </c>
      <c r="E897" s="19">
        <f>E896/E894</f>
        <v>0.0777329622672</v>
      </c>
      <c r="F897" s="19">
        <f>F896/F894</f>
        <v>0.0740311015255</v>
      </c>
      <c r="G897" s="19">
        <f>G896/G894</f>
        <v>0.0700298500501</v>
      </c>
    </row>
    <row r="898">
      <c r="A898" s="9" t="inlineStr">
        <is>
          <t>Operating expense</t>
        </is>
      </c>
      <c r="C898" s="18">
        <f>('Base Year'!$B$28*C883)+('Base Year'!$B$29*C883*C893/'Product and Cost'!$E$14)+('Base Year'!$B$30*C883)+('Base Year'!$B$31*C883)</f>
        <v>2007.6668112</v>
      </c>
      <c r="D898" s="18">
        <f>('Base Year'!$B$28*D883)+('Base Year'!$B$29*D883*D893/'Product and Cost'!$E$14)+('Base Year'!$B$30*D883)+('Base Year'!$B$31*D883)</f>
        <v>2276.29775955</v>
      </c>
      <c r="E898" s="18">
        <f>('Base Year'!$B$28*E883)+('Base Year'!$B$29*E883*E893/'Product and Cost'!$E$14)+('Base Year'!$B$30*E883)+('Base Year'!$B$31*E883)</f>
        <v>2545.62118024</v>
      </c>
      <c r="F898" s="18">
        <f>('Base Year'!$B$28*F883)+('Base Year'!$B$29*F883*F893/'Product and Cost'!$E$14)+('Base Year'!$B$30*F883)+('Base Year'!$B$31*F883)</f>
        <v>2807.77881104</v>
      </c>
      <c r="G898" s="18">
        <f>('Base Year'!$B$28*G883)+('Base Year'!$B$29*G883*G893/'Product and Cost'!$E$14)+('Base Year'!$B$30*G883)+('Base Year'!$B$31*G883)</f>
        <v>3082.20998189</v>
      </c>
    </row>
    <row r="899">
      <c r="A899" s="17" t="inlineStr">
        <is>
          <t>EBITDA</t>
        </is>
      </c>
      <c r="C899" s="20">
        <f>C896-C898</f>
        <v>2541.98383166</v>
      </c>
      <c r="D899" s="20">
        <f>D896-D898</f>
        <v>2507.88717281</v>
      </c>
      <c r="E899" s="20">
        <f>E896-E898</f>
        <v>2411.6148192</v>
      </c>
      <c r="F899" s="20">
        <f>F896-F898</f>
        <v>2296.82695565</v>
      </c>
      <c r="G899" s="20">
        <f>G896-G898</f>
        <v>2098.44728323</v>
      </c>
    </row>
    <row r="900">
      <c r="A900" s="9" t="inlineStr">
        <is>
          <t>Capital expenditure — maintenance + growth</t>
        </is>
      </c>
      <c r="C900" s="18">
        <f>'Base Year'!$B$43*C883+MAX(C893-'Product and Cost'!$E$14,0)*1947.901031*C883</f>
        <v>280.931999159</v>
      </c>
      <c r="D900" s="18">
        <f>'Base Year'!$B$43*D883+MAX(D893-C893,0)*1947.901031*D883</f>
        <v>307.3675836</v>
      </c>
      <c r="E900" s="18">
        <f>'Base Year'!$B$43*E883+MAX(E893-D893,0)*1947.901031*E883</f>
        <v>328.639389001</v>
      </c>
      <c r="F900" s="18">
        <f>'Base Year'!$B$43*F883+MAX(F893-E893,0)*1947.901031*F883</f>
        <v>351.146749034</v>
      </c>
      <c r="G900" s="18">
        <f>'Base Year'!$B$43*G883+MAX(G893-F893,0)*1947.901031*G883</f>
        <v>375.372179467</v>
      </c>
    </row>
    <row r="901">
      <c r="A901" s="9" t="inlineStr">
        <is>
          <t>Fixed assets at cost, closing</t>
        </is>
      </c>
      <c r="C901" s="18">
        <f>(Assumptions!$B$70+Assumptions!$B$71)/10^6+C900</f>
        <v>3429.06589416</v>
      </c>
      <c r="D901" s="18">
        <f>C901+D900</f>
        <v>3736.43347776</v>
      </c>
      <c r="E901" s="18">
        <f>D901+E900</f>
        <v>4065.07286676</v>
      </c>
      <c r="F901" s="18">
        <f>E901+F900</f>
        <v>4416.21961579</v>
      </c>
      <c r="G901" s="18">
        <f>F901+G900</f>
        <v>4791.59179526</v>
      </c>
    </row>
    <row r="902">
      <c r="A902" s="9" t="inlineStr">
        <is>
          <t>Depreciation — rolls off the asset register</t>
        </is>
      </c>
      <c r="C902" s="18">
        <f>(Assumptions!$B$70+Assumptions!$B$71)/10^6/'Base Year'!$B$42</f>
        <v>173.808854481</v>
      </c>
      <c r="D902" s="18">
        <f>C901/'Base Year'!$B$42</f>
        <v>189.319144255</v>
      </c>
      <c r="E902" s="18">
        <f>D901/'Base Year'!$B$42</f>
        <v>206.288945856</v>
      </c>
      <c r="F902" s="18">
        <f>E901/'Base Year'!$B$42</f>
        <v>224.433166415</v>
      </c>
      <c r="G902" s="18">
        <f>F901/'Base Year'!$B$42</f>
        <v>243.820021053</v>
      </c>
    </row>
    <row r="903">
      <c r="A903" s="9" t="inlineStr">
        <is>
          <t>Fixed assets, net book, closing</t>
        </is>
      </c>
      <c r="C903" s="18">
        <f>(Assumptions!$B$69+Assumptions!$B$71)/10^6+C900-C902</f>
        <v>1407.46262168</v>
      </c>
      <c r="D903" s="18">
        <f>C903+D900-D902</f>
        <v>1525.51106102</v>
      </c>
      <c r="E903" s="18">
        <f>D903+E900-E902</f>
        <v>1647.86150417</v>
      </c>
      <c r="F903" s="18">
        <f>E903+F900-F902</f>
        <v>1774.57508679</v>
      </c>
      <c r="G903" s="18">
        <f>F903+G900-G902</f>
        <v>1906.1272452</v>
      </c>
    </row>
    <row r="904">
      <c r="A904" s="17" t="inlineStr">
        <is>
          <t>EBIT</t>
        </is>
      </c>
      <c r="C904" s="20">
        <f>C899-C902</f>
        <v>2368.17497718</v>
      </c>
      <c r="D904" s="20">
        <f>D899-D902</f>
        <v>2318.56802856</v>
      </c>
      <c r="E904" s="20">
        <f>E899-E902</f>
        <v>2205.32587334</v>
      </c>
      <c r="F904" s="20">
        <f>F899-F902</f>
        <v>2072.39378923</v>
      </c>
      <c r="G904" s="20">
        <f>G899-G902</f>
        <v>1854.62726217</v>
      </c>
    </row>
    <row r="905">
      <c r="A905" s="9" t="inlineStr">
        <is>
          <t>NOPAT before the profit share</t>
        </is>
      </c>
      <c r="C905" s="18">
        <f>C904*(1-Assumptions!$B$87)</f>
        <v>1835.33560732</v>
      </c>
      <c r="D905" s="18">
        <f>D904*(1-Assumptions!$B$87)</f>
        <v>1796.89022213</v>
      </c>
      <c r="E905" s="18">
        <f>E904*(1-Assumptions!$B$87)</f>
        <v>1709.12755184</v>
      </c>
      <c r="F905" s="18">
        <f>F904*(1-Assumptions!$B$87)</f>
        <v>1606.10518666</v>
      </c>
      <c r="G905" s="18">
        <f>G904*(1-Assumptions!$B$87)</f>
        <v>1437.33612818</v>
      </c>
    </row>
    <row r="906">
      <c r="A906" s="9" t="inlineStr">
        <is>
          <t xml:space="preserve">  less employees' profit share and board bonuses</t>
        </is>
      </c>
      <c r="C906" s="18">
        <f>MAX(C905,0)*'Base Year'!$B$40</f>
        <v>96.7608009272</v>
      </c>
      <c r="D906" s="18">
        <f>MAX(D905,0)*'Base Year'!$B$40</f>
        <v>94.7339202588</v>
      </c>
      <c r="E906" s="18">
        <f>MAX(E905,0)*'Base Year'!$B$40</f>
        <v>90.1069810576</v>
      </c>
      <c r="F906" s="18">
        <f>MAX(F905,0)*'Base Year'!$B$40</f>
        <v>84.6755348801</v>
      </c>
      <c r="G906" s="18">
        <f>MAX(G905,0)*'Base Year'!$B$40</f>
        <v>75.7778546933</v>
      </c>
    </row>
    <row r="907">
      <c r="A907" s="17" t="inlineStr">
        <is>
          <t>NOPAT</t>
        </is>
      </c>
      <c r="C907" s="20">
        <f>C905-C906</f>
        <v>1738.57480639</v>
      </c>
      <c r="D907" s="20">
        <f>D905-D906</f>
        <v>1702.15630187</v>
      </c>
      <c r="E907" s="20">
        <f>E905-E906</f>
        <v>1619.02057078</v>
      </c>
      <c r="F907" s="20">
        <f>F905-F906</f>
        <v>1521.42965178</v>
      </c>
      <c r="G907" s="20">
        <f>G905-G906</f>
        <v>1361.55827349</v>
      </c>
    </row>
    <row r="908">
      <c r="A908" s="9" t="inlineStr">
        <is>
          <t>Net working capital — on days</t>
        </is>
      </c>
      <c r="C908" s="18">
        <f>'Base Year'!$B$44*Forecast!$B$9/365*C895+'Base Year'!$B$45*Forecast!$B$9/365*C894-'Base Year'!$B$46*Forecast!$B$9/365*C895</f>
        <v>2539.69193722</v>
      </c>
      <c r="D908" s="18">
        <f>'Base Year'!$B$44*Forecast!$B$9/365*D895+'Base Year'!$B$45*Forecast!$B$9/365*D894-'Base Year'!$B$46*Forecast!$B$9/365*D895</f>
        <v>2816.01103091</v>
      </c>
      <c r="E908" s="18">
        <f>'Base Year'!$B$44*Forecast!$B$9/365*E895+'Base Year'!$B$45*Forecast!$B$9/365*E894-'Base Year'!$B$46*Forecast!$B$9/365*E895</f>
        <v>3081.49643011</v>
      </c>
      <c r="F908" s="18">
        <f>'Base Year'!$B$44*Forecast!$B$9/365*F895+'Base Year'!$B$45*Forecast!$B$9/365*F894-'Base Year'!$B$46*Forecast!$B$9/365*F895</f>
        <v>3339.61025534</v>
      </c>
      <c r="G908" s="18">
        <f>'Base Year'!$B$44*Forecast!$B$9/365*G895+'Base Year'!$B$45*Forecast!$B$9/365*G894-'Base Year'!$B$46*Forecast!$B$9/365*G895</f>
        <v>3592.11140979</v>
      </c>
    </row>
    <row r="909">
      <c r="A909" s="9" t="inlineStr">
        <is>
          <t xml:space="preserve">  change in working capital</t>
        </is>
      </c>
      <c r="C909" s="18">
        <f>C908-('Base Year'!$B$44/365*'Base Year'!$B$21+'Base Year'!$B$45/365*'Base Year'!$B$19-'Base Year'!$B$46/365*'Base Year'!$B$21)</f>
        <v>288.28964822</v>
      </c>
      <c r="D909" s="18">
        <f>D908-C908</f>
        <v>276.319093691</v>
      </c>
      <c r="E909" s="18">
        <f>E908-D908</f>
        <v>265.485399203</v>
      </c>
      <c r="F909" s="18">
        <f>F908-E908</f>
        <v>258.113825222</v>
      </c>
      <c r="G909" s="18">
        <f>G908-F908</f>
        <v>252.501154457</v>
      </c>
    </row>
    <row r="910">
      <c r="A910" s="17" t="inlineStr">
        <is>
          <t>FREE CASH FLOW TO THE FIRM</t>
        </is>
      </c>
      <c r="C910" s="20">
        <f>C907+C902-C900-C909</f>
        <v>1343.16201349</v>
      </c>
      <c r="D910" s="20">
        <f>D907+D902-D900-D909</f>
        <v>1307.78876884</v>
      </c>
      <c r="E910" s="20">
        <f>E907+E902-E900-E909</f>
        <v>1231.18472844</v>
      </c>
      <c r="F910" s="20">
        <f>F907+F902-F900-F909</f>
        <v>1136.60224393</v>
      </c>
      <c r="G910" s="20">
        <f>G907+G902-G900-G909</f>
        <v>977.504960621</v>
      </c>
    </row>
    <row r="911">
      <c r="A911" s="9" t="inlineStr">
        <is>
          <t>Glide fraction</t>
        </is>
      </c>
      <c r="C911" s="26">
        <f>0.0000000000</f>
        <v>0</v>
      </c>
      <c r="D911" s="26">
        <f>0.3571428571</f>
        <v>0.3571428571</v>
      </c>
      <c r="E911" s="26">
        <f>0.6428571429</f>
        <v>0.6428571429</v>
      </c>
      <c r="F911" s="26">
        <f>0.8571428571</f>
        <v>0.8571428571</v>
      </c>
      <c r="G911" s="26">
        <f>1.0000000000</f>
        <v>1</v>
      </c>
    </row>
    <row r="912">
      <c r="A912" s="9" t="inlineStr">
        <is>
          <t>Forward cost of capital</t>
        </is>
      </c>
      <c r="C912" s="19">
        <f>$F$29-($F$29-$G$29)*C911</f>
        <v>0.31578338914</v>
      </c>
      <c r="D912" s="19">
        <f>$F$29-($F$29-$G$29)*D911</f>
        <v>0.268515637955</v>
      </c>
      <c r="E912" s="19">
        <f>$F$29-($F$29-$G$29)*E911</f>
        <v>0.230701436991</v>
      </c>
      <c r="F912" s="19">
        <f>$F$29-($F$29-$G$29)*F911</f>
        <v>0.202340786287</v>
      </c>
      <c r="G912" s="19">
        <f>$F$29-($F$29-$G$29)*G911</f>
        <v>0.183433685805</v>
      </c>
    </row>
    <row r="913">
      <c r="A913" s="9" t="inlineStr">
        <is>
          <t>Cumulative discount factor</t>
        </is>
      </c>
      <c r="C913" s="29">
        <f>1/(1+C912)</f>
        <v>0.760003514449</v>
      </c>
      <c r="D913" s="29">
        <f>C913/(1+D912)</f>
        <v>0.599128218612</v>
      </c>
      <c r="E913" s="29">
        <f>D913/(1+E912)</f>
        <v>0.486818492775</v>
      </c>
      <c r="F913" s="29">
        <f>E913/(1+F912)</f>
        <v>0.404892272081</v>
      </c>
      <c r="G913" s="29">
        <f>F913/(1+G912)</f>
        <v>0.342133468852</v>
      </c>
    </row>
    <row r="914">
      <c r="A914" s="9" t="inlineStr">
        <is>
          <t>Present value</t>
        </is>
      </c>
      <c r="C914" s="18">
        <f>C910*C913</f>
        <v>1020.80785073</v>
      </c>
      <c r="D914" s="18">
        <f>D910*D913</f>
        <v>783.533155394</v>
      </c>
      <c r="E914" s="18">
        <f>E910*E913</f>
        <v>599.363493825</v>
      </c>
      <c r="F914" s="18">
        <f>F910*F913</f>
        <v>460.201464998</v>
      </c>
      <c r="G914" s="18">
        <f>G910*G913</f>
        <v>334.437162997</v>
      </c>
    </row>
    <row r="915">
      <c r="A915" s="17" t="inlineStr">
        <is>
          <t>PV of the explicit window</t>
        </is>
      </c>
      <c r="B915" s="20">
        <f>SUM(C914:G914)</f>
        <v>3198.34312794</v>
      </c>
      <c r="C915" s="18">
        <f>C908+C901</f>
        <v>5968.75783138</v>
      </c>
      <c r="D915" s="18">
        <f>D908+D901</f>
        <v>6552.44450867</v>
      </c>
      <c r="E915" s="18">
        <f>E908+E901</f>
        <v>7146.56929687</v>
      </c>
      <c r="F915" s="18">
        <f>F908+F901</f>
        <v>7755.82987113</v>
      </c>
      <c r="G915" s="18">
        <f>G908+G901</f>
        <v>8383.70320505</v>
      </c>
    </row>
    <row r="916">
      <c r="A916" s="9" t="inlineStr">
        <is>
          <t>Terminal return on invested capital, at REPLACEMENT cost</t>
        </is>
      </c>
      <c r="B916" s="19">
        <f>G907*(1+Assumptions!$B$89)/G915</f>
        <v>0.170525620027</v>
      </c>
    </row>
    <row r="917">
      <c r="A917" s="9" t="inlineStr">
        <is>
          <t>Required reinvestment = growth / return</t>
        </is>
      </c>
      <c r="B917" s="19">
        <f>MIN(Assumptions!$B$89/B916,0.95)</f>
        <v>0.29321107287</v>
      </c>
    </row>
    <row r="918">
      <c r="A918" s="9" t="inlineStr">
        <is>
          <t>Terminal value</t>
        </is>
      </c>
      <c r="B918" s="18">
        <f>G907*(1+Assumptions!$B$89)*(1-B917)/MAX($G$29-Assumptions!$B$89,0.02)</f>
        <v>7572.68317077</v>
      </c>
    </row>
    <row r="919">
      <c r="A919" s="9" t="inlineStr">
        <is>
          <t>PV of the terminal block</t>
        </is>
      </c>
      <c r="B919" s="18">
        <f>B918*G913</f>
        <v>2590.86836173</v>
      </c>
    </row>
    <row r="920">
      <c r="A920" s="17" t="inlineStr">
        <is>
          <t>ENTERPRISE VALUE</t>
        </is>
      </c>
      <c r="B920" s="20">
        <f>B915+B919</f>
        <v>5789.21148967</v>
      </c>
    </row>
    <row r="921">
      <c r="A921" s="9" t="inlineStr">
        <is>
          <t>plus net cash</t>
        </is>
      </c>
      <c r="B921" s="18">
        <f>(Assumptions!$B$79-Assumptions!$B$82-Assumptions!$B$83)/10^6</f>
        <v>2442.544928</v>
      </c>
    </row>
    <row r="922">
      <c r="A922" s="9" t="inlineStr">
        <is>
          <t>Enterprise value including cash</t>
        </is>
      </c>
      <c r="B922" s="18">
        <f>B920+B921</f>
        <v>8231.75641767</v>
      </c>
    </row>
    <row r="923">
      <c r="A923" s="9" t="inlineStr">
        <is>
          <t>less minority — on the WHOLE enterprise, cash included</t>
        </is>
      </c>
      <c r="B923" s="18">
        <f>B922*'Base Year'!$B$41</f>
        <v>268.21073199</v>
      </c>
    </row>
    <row r="924">
      <c r="A924" s="9" t="inlineStr">
        <is>
          <t>less the tax-disputes provision</t>
        </is>
      </c>
      <c r="B924" s="18">
        <f>Assumptions!$B$78/10^6</f>
        <v>921.440353</v>
      </c>
    </row>
    <row r="925">
      <c r="A925" s="9" t="inlineStr">
        <is>
          <t>less dividends payable — declared, out of working capital</t>
        </is>
      </c>
      <c r="B925" s="18">
        <f>Assumptions!$B$77/10^6</f>
        <v>517.25</v>
      </c>
    </row>
    <row r="926">
      <c r="A926" s="9" t="inlineStr">
        <is>
          <t>plus non-operating investments and pledged deposits</t>
        </is>
      </c>
      <c r="B926" s="18">
        <f>(Assumptions!$B$81+Assumptions!$B$80)/10^6</f>
        <v>578.358746</v>
      </c>
    </row>
    <row r="927">
      <c r="A927" s="17" t="inlineStr">
        <is>
          <t>EQUITY ATTRIBUTABLE</t>
        </is>
      </c>
      <c r="B927" s="20">
        <f>B922-B923-B924-B925+B926</f>
        <v>7103.21407868</v>
      </c>
    </row>
    <row r="928">
      <c r="A928" s="17" t="inlineStr">
        <is>
          <t>VALUE PER SHARE, EGP</t>
        </is>
      </c>
      <c r="B928" s="30">
        <f>B927/Assumptions!$B$8</f>
        <v>5.49997218636</v>
      </c>
    </row>
    <row r="931">
      <c r="A931" s="6" t="inlineStr">
        <is>
          <t>Beta — 1.1500</t>
        </is>
      </c>
      <c r="B931" s="6" t="inlineStr">
        <is>
          <t>2026E</t>
        </is>
      </c>
      <c r="C931" s="6" t="inlineStr">
        <is>
          <t>2027E</t>
        </is>
      </c>
      <c r="D931" s="6" t="inlineStr">
        <is>
          <t>2028E</t>
        </is>
      </c>
      <c r="E931" s="6" t="inlineStr">
        <is>
          <t>2029E</t>
        </is>
      </c>
      <c r="F931" s="6" t="inlineStr">
        <is>
          <t>2030E</t>
        </is>
      </c>
    </row>
    <row r="932">
      <c r="A932" s="9" t="inlineStr">
        <is>
          <t>Inflation index, cumulative</t>
        </is>
      </c>
      <c r="C932" s="26">
        <f>Assumptions!$B$146</f>
        <v>1.145</v>
      </c>
      <c r="D932" s="26">
        <f>C932*Assumptions!$B$147</f>
        <v>1.29385</v>
      </c>
      <c r="E932" s="26">
        <f>D932*Assumptions!$B$148</f>
        <v>1.44264275</v>
      </c>
      <c r="F932" s="26">
        <f>E932*Assumptions!$B$149</f>
        <v>1.586907025</v>
      </c>
      <c r="G932" s="26">
        <f>F932*Assumptions!$B$150</f>
        <v>1.73766319237</v>
      </c>
    </row>
    <row r="933">
      <c r="A933" s="9" t="inlineStr">
        <is>
          <t>Realisation index, cumulative</t>
        </is>
      </c>
      <c r="C933" s="26">
        <f>(1+Assumptions!$B$101*Forecast!$B$8)</f>
        <v>1.09</v>
      </c>
      <c r="D933" s="26">
        <f>C933*(1+Assumptions!$B$102*Forecast!$B$8)</f>
        <v>1.17175</v>
      </c>
      <c r="E933" s="26">
        <f>D933*(1+Assumptions!$B$103*Forecast!$B$8)</f>
        <v>1.24791375</v>
      </c>
      <c r="F933" s="26">
        <f>E933*(1+Assumptions!$B$104*Forecast!$B$8)</f>
        <v>1.3202927475</v>
      </c>
      <c r="G933" s="26">
        <f>F933*(1+Assumptions!$B$105*Forecast!$B$8)</f>
        <v>1.38894797037</v>
      </c>
    </row>
    <row r="934">
      <c r="A934" s="9" t="inlineStr">
        <is>
          <t xml:space="preserve">  Volume — Base and special oils, mn t</t>
        </is>
      </c>
      <c r="C934" s="26">
        <f>'Product and Cost'!E6*(1+Assumptions!$B$106*Forecast!$B$6)</f>
        <v>0.1148851682</v>
      </c>
      <c r="D934" s="26">
        <f>C934*(1+Assumptions!$B$107*Forecast!$B$6)</f>
        <v>0.119480574928</v>
      </c>
      <c r="E934" s="26">
        <f>D934*(1+Assumptions!$B$108*Forecast!$B$6)</f>
        <v>0.12366239505</v>
      </c>
      <c r="F934" s="26">
        <f>E934*(1+Assumptions!$B$109*Forecast!$B$6)</f>
        <v>0.127372266902</v>
      </c>
      <c r="G934" s="26">
        <f>F934*(1+Assumptions!$B$110*Forecast!$B$6)</f>
        <v>0.130938690375</v>
      </c>
    </row>
    <row r="935">
      <c r="A935" s="9" t="inlineStr">
        <is>
          <t xml:space="preserve">  Volume — Paraffin wax, mn t</t>
        </is>
      </c>
      <c r="C935" s="26">
        <f>'Product and Cost'!E7*(1+Assumptions!$B$111*Forecast!$B$6)</f>
        <v>0.089396788</v>
      </c>
      <c r="D935" s="26">
        <f>C935*(1+Assumptions!$B$112*Forecast!$B$6)</f>
        <v>0.09431361134</v>
      </c>
      <c r="E935" s="26">
        <f>D935*(1+Assumptions!$B$113*Forecast!$B$6)</f>
        <v>0.0985577238503</v>
      </c>
      <c r="F935" s="26">
        <f>E935*(1+Assumptions!$B$114*Forecast!$B$6)</f>
        <v>0.102302917357</v>
      </c>
      <c r="G935" s="26">
        <f>F935*(1+Assumptions!$B$115*Forecast!$B$6)</f>
        <v>0.105576610712</v>
      </c>
    </row>
    <row r="936">
      <c r="A936" s="9" t="inlineStr">
        <is>
          <t xml:space="preserve">  Volume — Gas oil, mn t</t>
        </is>
      </c>
      <c r="C936" s="26">
        <f>'Product and Cost'!E8*(1+Assumptions!$B$116*Forecast!$B$6)</f>
        <v>0.35023715724</v>
      </c>
      <c r="D936" s="26">
        <f>C936*(1+Assumptions!$B$117*Forecast!$B$6)</f>
        <v>0.357241900385</v>
      </c>
      <c r="E936" s="26">
        <f>D936*(1+Assumptions!$B$118*Forecast!$B$6)</f>
        <v>0.363672254592</v>
      </c>
      <c r="F936" s="26">
        <f>E936*(1+Assumptions!$B$119*Forecast!$B$6)</f>
        <v>0.369491010665</v>
      </c>
      <c r="G936" s="26">
        <f>F936*(1+Assumptions!$B$120*Forecast!$B$6)</f>
        <v>0.375033375825</v>
      </c>
    </row>
    <row r="937">
      <c r="A937" s="9" t="inlineStr">
        <is>
          <t xml:space="preserve">  Volume — Naphtha, mn t</t>
        </is>
      </c>
      <c r="C937" s="26">
        <f>'Product and Cost'!E9*(1+Assumptions!$B$121*Forecast!$B$6)</f>
        <v>0.08410463971</v>
      </c>
      <c r="D937" s="26">
        <f>C937*(1+Assumptions!$B$122*Forecast!$B$6)</f>
        <v>0.0856185232248</v>
      </c>
      <c r="E937" s="26">
        <f>D937*(1+Assumptions!$B$123*Forecast!$B$6)</f>
        <v>0.0871596566428</v>
      </c>
      <c r="F937" s="26">
        <f>E937*(1+Assumptions!$B$124*Forecast!$B$6)</f>
        <v>0.0885542111491</v>
      </c>
      <c r="G937" s="26">
        <f>F937*(1+Assumptions!$B$125*Forecast!$B$6)</f>
        <v>0.0898825243163</v>
      </c>
    </row>
    <row r="938">
      <c r="A938" s="9" t="inlineStr">
        <is>
          <t xml:space="preserve">  Volume — Liquefied petroleum gas, mn t</t>
        </is>
      </c>
      <c r="C938" s="26">
        <f>'Product and Cost'!E10*(1+Assumptions!$B$126*Forecast!$B$6)</f>
        <v>0.0486583449</v>
      </c>
      <c r="D938" s="26">
        <f>C938*(1+Assumptions!$B$127*Forecast!$B$6)</f>
        <v>0.0497288284878</v>
      </c>
      <c r="E938" s="26">
        <f>D938*(1+Assumptions!$B$128*Forecast!$B$6)</f>
        <v>0.0507234050576</v>
      </c>
      <c r="F938" s="26">
        <f>E938*(1+Assumptions!$B$129*Forecast!$B$6)</f>
        <v>0.0516364263486</v>
      </c>
      <c r="G938" s="26">
        <f>F938*(1+Assumptions!$B$130*Forecast!$B$6)</f>
        <v>0.0524626091702</v>
      </c>
    </row>
    <row r="939">
      <c r="A939" s="9" t="inlineStr">
        <is>
          <t xml:space="preserve">  Volume — Fuel oil (mix), mn t</t>
        </is>
      </c>
      <c r="C939" s="26">
        <f>'Product and Cost'!E11*(1+Assumptions!$B$131*Forecast!$B$6)</f>
        <v>0.947916416</v>
      </c>
      <c r="D939" s="26">
        <f>C939*(1+Assumptions!$B$132*Forecast!$B$6)</f>
        <v>0.972562242816</v>
      </c>
      <c r="E939" s="26">
        <f>D939*(1+Assumptions!$B$133*Forecast!$B$6)</f>
        <v>0.993958612158</v>
      </c>
      <c r="F939" s="26">
        <f>E939*(1+Assumptions!$B$134*Forecast!$B$6)</f>
        <v>1.0138377844</v>
      </c>
      <c r="G939" s="26">
        <f>F939*(1+Assumptions!$B$135*Forecast!$B$6)</f>
        <v>1.03208686452</v>
      </c>
    </row>
    <row r="940">
      <c r="A940" s="9" t="inlineStr">
        <is>
          <t xml:space="preserve">  Volume — Heavy fuel oil, mn t</t>
        </is>
      </c>
      <c r="C940" s="26">
        <f>'Product and Cost'!E12*(1+Assumptions!$B$136*Forecast!$B$6)</f>
        <v>0.0292281408</v>
      </c>
      <c r="D940" s="26">
        <f>C940*(1+Assumptions!$B$137*Forecast!$B$6)</f>
        <v>0.0297542473344</v>
      </c>
      <c r="E940" s="26">
        <f>D940*(1+Assumptions!$B$138*Forecast!$B$6)</f>
        <v>0.0302303152918</v>
      </c>
      <c r="F940" s="26">
        <f>E940*(1+Assumptions!$B$139*Forecast!$B$6)</f>
        <v>0.0306837700211</v>
      </c>
      <c r="G940" s="26">
        <f>F940*(1+Assumptions!$B$140*Forecast!$B$6)</f>
        <v>0.0311133428014</v>
      </c>
    </row>
    <row r="941">
      <c r="A941" s="9" t="inlineStr">
        <is>
          <t xml:space="preserve">  Volume — Waste, mn t</t>
        </is>
      </c>
      <c r="C941" s="26">
        <f>'Product and Cost'!E13*(1+Assumptions!$B$141*Forecast!$B$6)</f>
        <v>1.564e-05</v>
      </c>
      <c r="D941" s="26">
        <f>C941*(1+Assumptions!$B$142*Forecast!$B$6)</f>
        <v>1.564e-05</v>
      </c>
      <c r="E941" s="26">
        <f>D941*(1+Assumptions!$B$143*Forecast!$B$6)</f>
        <v>1.564e-05</v>
      </c>
      <c r="F941" s="26">
        <f>E941*(1+Assumptions!$B$144*Forecast!$B$6)</f>
        <v>1.564e-05</v>
      </c>
      <c r="G941" s="26">
        <f>F941*(1+Assumptions!$B$145*Forecast!$B$6)</f>
        <v>1.564e-05</v>
      </c>
    </row>
    <row r="942">
      <c r="A942" s="17" t="inlineStr">
        <is>
          <t>Total volume, mn t</t>
        </is>
      </c>
      <c r="C942" s="28">
        <f>SUM(C934:C941)</f>
        <v>1.66444229485</v>
      </c>
      <c r="D942" s="28">
        <f>SUM(D934:D941)</f>
        <v>1.70871556852</v>
      </c>
      <c r="E942" s="28">
        <f>SUM(E934:E941)</f>
        <v>1.74798000264</v>
      </c>
      <c r="F942" s="28">
        <f>SUM(F934:F941)</f>
        <v>1.78389402684</v>
      </c>
      <c r="G942" s="28">
        <f>SUM(G934:G941)</f>
        <v>1.81710965772</v>
      </c>
    </row>
    <row r="943">
      <c r="A943" s="17" t="inlineStr">
        <is>
          <t>REVENUE</t>
        </is>
      </c>
      <c r="C943" s="20">
        <f>C934*'Product and Cost'!$F$6*C933+C935*'Product and Cost'!$F$7*C933+C936*'Product and Cost'!$F$8*C933+C937*'Product and Cost'!$F$9*C933+C938*'Product and Cost'!$F$10*C933+C939*'Product and Cost'!$F$11*C933+C940*'Product and Cost'!$F$12*C933+C941*'Product and Cost'!$F$13*C933</f>
        <v>52840.8111141</v>
      </c>
      <c r="D943" s="20">
        <f>D934*'Product and Cost'!$F$6*D933+D935*'Product and Cost'!$F$7*D933+D936*'Product and Cost'!$F$8*D933+D937*'Product and Cost'!$F$9*D933+D938*'Product and Cost'!$F$10*D933+D939*'Product and Cost'!$F$11*D933+D940*'Product and Cost'!$F$12*D933+D941*'Product and Cost'!$F$13*D933</f>
        <v>58432.1672543</v>
      </c>
      <c r="E943" s="20">
        <f>E934*'Product and Cost'!$F$6*E933+E935*'Product and Cost'!$F$7*E933+E936*'Product and Cost'!$F$8*E933+E937*'Product and Cost'!$F$9*E933+E938*'Product and Cost'!$F$10*E933+E939*'Product and Cost'!$F$11*E933+E940*'Product and Cost'!$F$12*E933+E941*'Product and Cost'!$F$13*E933</f>
        <v>63772.6371781</v>
      </c>
      <c r="F943" s="20">
        <f>F934*'Product and Cost'!$F$6*F933+F935*'Product and Cost'!$F$7*F933+F936*'Product and Cost'!$F$8*F933+F937*'Product and Cost'!$F$9*F933+F938*'Product and Cost'!$F$10*F933+F939*'Product and Cost'!$F$11*F933+F940*'Product and Cost'!$F$12*F933+F941*'Product and Cost'!$F$13*F933</f>
        <v>68952.1790369</v>
      </c>
      <c r="G943" s="20">
        <f>G934*'Product and Cost'!$F$6*G933+G935*'Product and Cost'!$F$7*G933+G936*'Product and Cost'!$F$8*G933+G937*'Product and Cost'!$F$9*G933+G938*'Product and Cost'!$F$10*G933+G939*'Product and Cost'!$F$11*G933+G940*'Product and Cost'!$F$12*G933+G941*'Product and Cost'!$F$13*G933</f>
        <v>73977.8431827</v>
      </c>
    </row>
    <row r="944">
      <c r="A944" s="9" t="inlineStr">
        <is>
          <t>Cost of sales</t>
        </is>
      </c>
      <c r="C944" s="18">
        <f>C934*('Product and Cost'!$D$27*C933*Assumptions!$B$88+'Product and Cost'!$B$27*(0.4863620081*C932+0.4455809638*C932+0.0356254898*C933+0.0324315384))+C935*('Product and Cost'!$D$28*C933*Assumptions!$B$88+'Product and Cost'!$B$28*(0.4863620081*C932+0.4455809638*C932+0.0356254898*C933+0.0324315384))+C936*('Product and Cost'!$D$29*C933*Assumptions!$B$88+'Product and Cost'!$B$29*(0.4863620081*C932+0.4455809638*C932+0.0356254898*C933+0.0324315384))+C937*('Product and Cost'!$D$30*C933*Assumptions!$B$88+'Product and Cost'!$B$30*(0.4863620081*C932+0.4455809638*C932+0.0356254898*C933+0.0324315384))+C938*('Product and Cost'!$D$31*C933*Assumptions!$B$88+'Product and Cost'!$B$31*(0.4863620081*C932+0.4455809638*C932+0.0356254898*C933+0.0324315384))+C939*('Product and Cost'!$D$32*C933*Assumptions!$B$88+'Product and Cost'!$B$32*(0.4863620081*C932+0.4455809638*C932+0.0356254898*C933+0.0324315384))+C940*('Product and Cost'!$D$33*C933*Assumptions!$B$88+'Product and Cost'!$B$33*(0.4863620081*C932+0.4455809638*C932+0.0356254898*C933+0.0324315384))+C941*('Product and Cost'!$D$34*C933*Assumptions!$B$88+'Product and Cost'!$B$34*(0.4863620081*C932+0.4455809638*C932+0.0356254898*C933+0.0324315384))</f>
        <v>48291.1604712</v>
      </c>
      <c r="D944" s="18">
        <f>D934*('Product and Cost'!$D$27*D933*Assumptions!$B$88+'Product and Cost'!$B$27*(0.4863620081*D932+0.4455809638*D932+0.0356254898*D933+0.0324315384))+D935*('Product and Cost'!$D$28*D933*Assumptions!$B$88+'Product and Cost'!$B$28*(0.4863620081*D932+0.4455809638*D932+0.0356254898*D933+0.0324315384))+D936*('Product and Cost'!$D$29*D933*Assumptions!$B$88+'Product and Cost'!$B$29*(0.4863620081*D932+0.4455809638*D932+0.0356254898*D933+0.0324315384))+D937*('Product and Cost'!$D$30*D933*Assumptions!$B$88+'Product and Cost'!$B$30*(0.4863620081*D932+0.4455809638*D932+0.0356254898*D933+0.0324315384))+D938*('Product and Cost'!$D$31*D933*Assumptions!$B$88+'Product and Cost'!$B$31*(0.4863620081*D932+0.4455809638*D932+0.0356254898*D933+0.0324315384))+D939*('Product and Cost'!$D$32*D933*Assumptions!$B$88+'Product and Cost'!$B$32*(0.4863620081*D932+0.4455809638*D932+0.0356254898*D933+0.0324315384))+D940*('Product and Cost'!$D$33*D933*Assumptions!$B$88+'Product and Cost'!$B$33*(0.4863620081*D932+0.4455809638*D932+0.0356254898*D933+0.0324315384))+D941*('Product and Cost'!$D$34*D933*Assumptions!$B$88+'Product and Cost'!$B$34*(0.4863620081*D932+0.4455809638*D932+0.0356254898*D933+0.0324315384))</f>
        <v>53647.9823219</v>
      </c>
      <c r="E944" s="18">
        <f>E934*('Product and Cost'!$D$27*E933*Assumptions!$B$88+'Product and Cost'!$B$27*(0.4863620081*E932+0.4455809638*E932+0.0356254898*E933+0.0324315384))+E935*('Product and Cost'!$D$28*E933*Assumptions!$B$88+'Product and Cost'!$B$28*(0.4863620081*E932+0.4455809638*E932+0.0356254898*E933+0.0324315384))+E936*('Product and Cost'!$D$29*E933*Assumptions!$B$88+'Product and Cost'!$B$29*(0.4863620081*E932+0.4455809638*E932+0.0356254898*E933+0.0324315384))+E937*('Product and Cost'!$D$30*E933*Assumptions!$B$88+'Product and Cost'!$B$30*(0.4863620081*E932+0.4455809638*E932+0.0356254898*E933+0.0324315384))+E938*('Product and Cost'!$D$31*E933*Assumptions!$B$88+'Product and Cost'!$B$31*(0.4863620081*E932+0.4455809638*E932+0.0356254898*E933+0.0324315384))+E939*('Product and Cost'!$D$32*E933*Assumptions!$B$88+'Product and Cost'!$B$32*(0.4863620081*E932+0.4455809638*E932+0.0356254898*E933+0.0324315384))+E940*('Product and Cost'!$D$33*E933*Assumptions!$B$88+'Product and Cost'!$B$33*(0.4863620081*E932+0.4455809638*E932+0.0356254898*E933+0.0324315384))+E941*('Product and Cost'!$D$34*E933*Assumptions!$B$88+'Product and Cost'!$B$34*(0.4863620081*E932+0.4455809638*E932+0.0356254898*E933+0.0324315384))</f>
        <v>58815.4011786</v>
      </c>
      <c r="F944" s="18">
        <f>F934*('Product and Cost'!$D$27*F933*Assumptions!$B$88+'Product and Cost'!$B$27*(0.4863620081*F932+0.4455809638*F932+0.0356254898*F933+0.0324315384))+F935*('Product and Cost'!$D$28*F933*Assumptions!$B$88+'Product and Cost'!$B$28*(0.4863620081*F932+0.4455809638*F932+0.0356254898*F933+0.0324315384))+F936*('Product and Cost'!$D$29*F933*Assumptions!$B$88+'Product and Cost'!$B$29*(0.4863620081*F932+0.4455809638*F932+0.0356254898*F933+0.0324315384))+F937*('Product and Cost'!$D$30*F933*Assumptions!$B$88+'Product and Cost'!$B$30*(0.4863620081*F932+0.4455809638*F932+0.0356254898*F933+0.0324315384))+F938*('Product and Cost'!$D$31*F933*Assumptions!$B$88+'Product and Cost'!$B$31*(0.4863620081*F932+0.4455809638*F932+0.0356254898*F933+0.0324315384))+F939*('Product and Cost'!$D$32*F933*Assumptions!$B$88+'Product and Cost'!$B$32*(0.4863620081*F932+0.4455809638*F932+0.0356254898*F933+0.0324315384))+F940*('Product and Cost'!$D$33*F933*Assumptions!$B$88+'Product and Cost'!$B$33*(0.4863620081*F932+0.4455809638*F932+0.0356254898*F933+0.0324315384))+F941*('Product and Cost'!$D$34*F933*Assumptions!$B$88+'Product and Cost'!$B$34*(0.4863620081*F932+0.4455809638*F932+0.0356254898*F933+0.0324315384))</f>
        <v>63847.5732702</v>
      </c>
      <c r="G944" s="18">
        <f>G934*('Product and Cost'!$D$27*G933*Assumptions!$B$88+'Product and Cost'!$B$27*(0.4863620081*G932+0.4455809638*G932+0.0356254898*G933+0.0324315384))+G935*('Product and Cost'!$D$28*G933*Assumptions!$B$88+'Product and Cost'!$B$28*(0.4863620081*G932+0.4455809638*G932+0.0356254898*G933+0.0324315384))+G936*('Product and Cost'!$D$29*G933*Assumptions!$B$88+'Product and Cost'!$B$29*(0.4863620081*G932+0.4455809638*G932+0.0356254898*G933+0.0324315384))+G937*('Product and Cost'!$D$30*G933*Assumptions!$B$88+'Product and Cost'!$B$30*(0.4863620081*G932+0.4455809638*G932+0.0356254898*G933+0.0324315384))+G938*('Product and Cost'!$D$31*G933*Assumptions!$B$88+'Product and Cost'!$B$31*(0.4863620081*G932+0.4455809638*G932+0.0356254898*G933+0.0324315384))+G939*('Product and Cost'!$D$32*G933*Assumptions!$B$88+'Product and Cost'!$B$32*(0.4863620081*G932+0.4455809638*G932+0.0356254898*G933+0.0324315384))+G940*('Product and Cost'!$D$33*G933*Assumptions!$B$88+'Product and Cost'!$B$33*(0.4863620081*G932+0.4455809638*G932+0.0356254898*G933+0.0324315384))+G941*('Product and Cost'!$D$34*G933*Assumptions!$B$88+'Product and Cost'!$B$34*(0.4863620081*G932+0.4455809638*G932+0.0356254898*G933+0.0324315384))</f>
        <v>68797.1859175</v>
      </c>
    </row>
    <row r="945">
      <c r="A945" s="17" t="inlineStr">
        <is>
          <t>GROSS PROFIT</t>
        </is>
      </c>
      <c r="C945" s="20">
        <f>C943-C944+Forecast!$B$7*C943</f>
        <v>4549.65064286</v>
      </c>
      <c r="D945" s="20">
        <f>D943-D944+Forecast!$B$7*D943</f>
        <v>4784.18493236</v>
      </c>
      <c r="E945" s="20">
        <f>E943-E944+Forecast!$B$7*E943</f>
        <v>4957.23599944</v>
      </c>
      <c r="F945" s="20">
        <f>F943-F944+Forecast!$B$7*F943</f>
        <v>5104.60576669</v>
      </c>
      <c r="G945" s="20">
        <f>G943-G944+Forecast!$B$7*G943</f>
        <v>5180.65726511</v>
      </c>
    </row>
    <row r="946">
      <c r="A946" s="9" t="inlineStr">
        <is>
          <t>Gross margin</t>
        </is>
      </c>
      <c r="C946" s="19">
        <f>C945/C943</f>
        <v>0.0861010750391</v>
      </c>
      <c r="D946" s="19">
        <f>D945/D943</f>
        <v>0.0818758768871</v>
      </c>
      <c r="E946" s="19">
        <f>E945/E943</f>
        <v>0.0777329622672</v>
      </c>
      <c r="F946" s="19">
        <f>F945/F943</f>
        <v>0.0740311015255</v>
      </c>
      <c r="G946" s="19">
        <f>G945/G943</f>
        <v>0.0700298500501</v>
      </c>
    </row>
    <row r="947">
      <c r="A947" s="9" t="inlineStr">
        <is>
          <t>Operating expense</t>
        </is>
      </c>
      <c r="C947" s="18">
        <f>('Base Year'!$B$28*C932)+('Base Year'!$B$29*C932*C942/'Product and Cost'!$E$14)+('Base Year'!$B$30*C932)+('Base Year'!$B$31*C932)</f>
        <v>2007.6668112</v>
      </c>
      <c r="D947" s="18">
        <f>('Base Year'!$B$28*D932)+('Base Year'!$B$29*D932*D942/'Product and Cost'!$E$14)+('Base Year'!$B$30*D932)+('Base Year'!$B$31*D932)</f>
        <v>2276.29775955</v>
      </c>
      <c r="E947" s="18">
        <f>('Base Year'!$B$28*E932)+('Base Year'!$B$29*E932*E942/'Product and Cost'!$E$14)+('Base Year'!$B$30*E932)+('Base Year'!$B$31*E932)</f>
        <v>2545.62118024</v>
      </c>
      <c r="F947" s="18">
        <f>('Base Year'!$B$28*F932)+('Base Year'!$B$29*F932*F942/'Product and Cost'!$E$14)+('Base Year'!$B$30*F932)+('Base Year'!$B$31*F932)</f>
        <v>2807.77881104</v>
      </c>
      <c r="G947" s="18">
        <f>('Base Year'!$B$28*G932)+('Base Year'!$B$29*G932*G942/'Product and Cost'!$E$14)+('Base Year'!$B$30*G932)+('Base Year'!$B$31*G932)</f>
        <v>3082.20998189</v>
      </c>
    </row>
    <row r="948">
      <c r="A948" s="17" t="inlineStr">
        <is>
          <t>EBITDA</t>
        </is>
      </c>
      <c r="C948" s="20">
        <f>C945-C947</f>
        <v>2541.98383166</v>
      </c>
      <c r="D948" s="20">
        <f>D945-D947</f>
        <v>2507.88717281</v>
      </c>
      <c r="E948" s="20">
        <f>E945-E947</f>
        <v>2411.6148192</v>
      </c>
      <c r="F948" s="20">
        <f>F945-F947</f>
        <v>2296.82695565</v>
      </c>
      <c r="G948" s="20">
        <f>G945-G947</f>
        <v>2098.44728323</v>
      </c>
    </row>
    <row r="949">
      <c r="A949" s="9" t="inlineStr">
        <is>
          <t>Capital expenditure — maintenance + growth</t>
        </is>
      </c>
      <c r="C949" s="18">
        <f>'Base Year'!$B$43*C932+MAX(C942-'Product and Cost'!$E$14,0)*1947.901031*C932</f>
        <v>280.931999159</v>
      </c>
      <c r="D949" s="18">
        <f>'Base Year'!$B$43*D932+MAX(D942-C942,0)*1947.901031*D932</f>
        <v>307.3675836</v>
      </c>
      <c r="E949" s="18">
        <f>'Base Year'!$B$43*E932+MAX(E942-D942,0)*1947.901031*E932</f>
        <v>328.639389001</v>
      </c>
      <c r="F949" s="18">
        <f>'Base Year'!$B$43*F932+MAX(F942-E942,0)*1947.901031*F932</f>
        <v>351.146749034</v>
      </c>
      <c r="G949" s="18">
        <f>'Base Year'!$B$43*G932+MAX(G942-F942,0)*1947.901031*G932</f>
        <v>375.372179467</v>
      </c>
    </row>
    <row r="950">
      <c r="A950" s="9" t="inlineStr">
        <is>
          <t>Fixed assets at cost, closing</t>
        </is>
      </c>
      <c r="C950" s="18">
        <f>(Assumptions!$B$70+Assumptions!$B$71)/10^6+C949</f>
        <v>3429.06589416</v>
      </c>
      <c r="D950" s="18">
        <f>C950+D949</f>
        <v>3736.43347776</v>
      </c>
      <c r="E950" s="18">
        <f>D950+E949</f>
        <v>4065.07286676</v>
      </c>
      <c r="F950" s="18">
        <f>E950+F949</f>
        <v>4416.21961579</v>
      </c>
      <c r="G950" s="18">
        <f>F950+G949</f>
        <v>4791.59179526</v>
      </c>
    </row>
    <row r="951">
      <c r="A951" s="9" t="inlineStr">
        <is>
          <t>Depreciation — rolls off the asset register</t>
        </is>
      </c>
      <c r="C951" s="18">
        <f>(Assumptions!$B$70+Assumptions!$B$71)/10^6/'Base Year'!$B$42</f>
        <v>173.808854481</v>
      </c>
      <c r="D951" s="18">
        <f>C950/'Base Year'!$B$42</f>
        <v>189.319144255</v>
      </c>
      <c r="E951" s="18">
        <f>D950/'Base Year'!$B$42</f>
        <v>206.288945856</v>
      </c>
      <c r="F951" s="18">
        <f>E950/'Base Year'!$B$42</f>
        <v>224.433166415</v>
      </c>
      <c r="G951" s="18">
        <f>F950/'Base Year'!$B$42</f>
        <v>243.820021053</v>
      </c>
    </row>
    <row r="952">
      <c r="A952" s="9" t="inlineStr">
        <is>
          <t>Fixed assets, net book, closing</t>
        </is>
      </c>
      <c r="C952" s="18">
        <f>(Assumptions!$B$69+Assumptions!$B$71)/10^6+C949-C951</f>
        <v>1407.46262168</v>
      </c>
      <c r="D952" s="18">
        <f>C952+D949-D951</f>
        <v>1525.51106102</v>
      </c>
      <c r="E952" s="18">
        <f>D952+E949-E951</f>
        <v>1647.86150417</v>
      </c>
      <c r="F952" s="18">
        <f>E952+F949-F951</f>
        <v>1774.57508679</v>
      </c>
      <c r="G952" s="18">
        <f>F952+G949-G951</f>
        <v>1906.1272452</v>
      </c>
    </row>
    <row r="953">
      <c r="A953" s="17" t="inlineStr">
        <is>
          <t>EBIT</t>
        </is>
      </c>
      <c r="C953" s="20">
        <f>C948-C951</f>
        <v>2368.17497718</v>
      </c>
      <c r="D953" s="20">
        <f>D948-D951</f>
        <v>2318.56802856</v>
      </c>
      <c r="E953" s="20">
        <f>E948-E951</f>
        <v>2205.32587334</v>
      </c>
      <c r="F953" s="20">
        <f>F948-F951</f>
        <v>2072.39378923</v>
      </c>
      <c r="G953" s="20">
        <f>G948-G951</f>
        <v>1854.62726217</v>
      </c>
    </row>
    <row r="954">
      <c r="A954" s="9" t="inlineStr">
        <is>
          <t>NOPAT before the profit share</t>
        </is>
      </c>
      <c r="C954" s="18">
        <f>C953*(1-Assumptions!$B$87)</f>
        <v>1835.33560732</v>
      </c>
      <c r="D954" s="18">
        <f>D953*(1-Assumptions!$B$87)</f>
        <v>1796.89022213</v>
      </c>
      <c r="E954" s="18">
        <f>E953*(1-Assumptions!$B$87)</f>
        <v>1709.12755184</v>
      </c>
      <c r="F954" s="18">
        <f>F953*(1-Assumptions!$B$87)</f>
        <v>1606.10518666</v>
      </c>
      <c r="G954" s="18">
        <f>G953*(1-Assumptions!$B$87)</f>
        <v>1437.33612818</v>
      </c>
    </row>
    <row r="955">
      <c r="A955" s="9" t="inlineStr">
        <is>
          <t xml:space="preserve">  less employees' profit share and board bonuses</t>
        </is>
      </c>
      <c r="C955" s="18">
        <f>MAX(C954,0)*'Base Year'!$B$40</f>
        <v>96.7608009272</v>
      </c>
      <c r="D955" s="18">
        <f>MAX(D954,0)*'Base Year'!$B$40</f>
        <v>94.7339202588</v>
      </c>
      <c r="E955" s="18">
        <f>MAX(E954,0)*'Base Year'!$B$40</f>
        <v>90.1069810576</v>
      </c>
      <c r="F955" s="18">
        <f>MAX(F954,0)*'Base Year'!$B$40</f>
        <v>84.6755348801</v>
      </c>
      <c r="G955" s="18">
        <f>MAX(G954,0)*'Base Year'!$B$40</f>
        <v>75.7778546933</v>
      </c>
    </row>
    <row r="956">
      <c r="A956" s="17" t="inlineStr">
        <is>
          <t>NOPAT</t>
        </is>
      </c>
      <c r="C956" s="20">
        <f>C954-C955</f>
        <v>1738.57480639</v>
      </c>
      <c r="D956" s="20">
        <f>D954-D955</f>
        <v>1702.15630187</v>
      </c>
      <c r="E956" s="20">
        <f>E954-E955</f>
        <v>1619.02057078</v>
      </c>
      <c r="F956" s="20">
        <f>F954-F955</f>
        <v>1521.42965178</v>
      </c>
      <c r="G956" s="20">
        <f>G954-G955</f>
        <v>1361.55827349</v>
      </c>
    </row>
    <row r="957">
      <c r="A957" s="9" t="inlineStr">
        <is>
          <t>Net working capital — on days</t>
        </is>
      </c>
      <c r="C957" s="18">
        <f>'Base Year'!$B$44*Forecast!$B$9/365*C944+'Base Year'!$B$45*Forecast!$B$9/365*C943-'Base Year'!$B$46*Forecast!$B$9/365*C944</f>
        <v>2539.69193722</v>
      </c>
      <c r="D957" s="18">
        <f>'Base Year'!$B$44*Forecast!$B$9/365*D944+'Base Year'!$B$45*Forecast!$B$9/365*D943-'Base Year'!$B$46*Forecast!$B$9/365*D944</f>
        <v>2816.01103091</v>
      </c>
      <c r="E957" s="18">
        <f>'Base Year'!$B$44*Forecast!$B$9/365*E944+'Base Year'!$B$45*Forecast!$B$9/365*E943-'Base Year'!$B$46*Forecast!$B$9/365*E944</f>
        <v>3081.49643011</v>
      </c>
      <c r="F957" s="18">
        <f>'Base Year'!$B$44*Forecast!$B$9/365*F944+'Base Year'!$B$45*Forecast!$B$9/365*F943-'Base Year'!$B$46*Forecast!$B$9/365*F944</f>
        <v>3339.61025534</v>
      </c>
      <c r="G957" s="18">
        <f>'Base Year'!$B$44*Forecast!$B$9/365*G944+'Base Year'!$B$45*Forecast!$B$9/365*G943-'Base Year'!$B$46*Forecast!$B$9/365*G944</f>
        <v>3592.11140979</v>
      </c>
    </row>
    <row r="958">
      <c r="A958" s="9" t="inlineStr">
        <is>
          <t xml:space="preserve">  change in working capital</t>
        </is>
      </c>
      <c r="C958" s="18">
        <f>C957-('Base Year'!$B$44/365*'Base Year'!$B$21+'Base Year'!$B$45/365*'Base Year'!$B$19-'Base Year'!$B$46/365*'Base Year'!$B$21)</f>
        <v>288.28964822</v>
      </c>
      <c r="D958" s="18">
        <f>D957-C957</f>
        <v>276.319093691</v>
      </c>
      <c r="E958" s="18">
        <f>E957-D957</f>
        <v>265.485399203</v>
      </c>
      <c r="F958" s="18">
        <f>F957-E957</f>
        <v>258.113825222</v>
      </c>
      <c r="G958" s="18">
        <f>G957-F957</f>
        <v>252.501154457</v>
      </c>
    </row>
    <row r="959">
      <c r="A959" s="17" t="inlineStr">
        <is>
          <t>FREE CASH FLOW TO THE FIRM</t>
        </is>
      </c>
      <c r="C959" s="20">
        <f>C956+C951-C949-C958</f>
        <v>1343.16201349</v>
      </c>
      <c r="D959" s="20">
        <f>D956+D951-D949-D958</f>
        <v>1307.78876884</v>
      </c>
      <c r="E959" s="20">
        <f>E956+E951-E949-E958</f>
        <v>1231.18472844</v>
      </c>
      <c r="F959" s="20">
        <f>F956+F951-F949-F958</f>
        <v>1136.60224393</v>
      </c>
      <c r="G959" s="20">
        <f>G956+G951-G949-G958</f>
        <v>977.504960621</v>
      </c>
    </row>
    <row r="960">
      <c r="A960" s="9" t="inlineStr">
        <is>
          <t>Glide fraction</t>
        </is>
      </c>
      <c r="C960" s="26">
        <f>0.0000000000</f>
        <v>0</v>
      </c>
      <c r="D960" s="26">
        <f>0.3571428571</f>
        <v>0.3571428571</v>
      </c>
      <c r="E960" s="26">
        <f>0.6428571429</f>
        <v>0.6428571429</v>
      </c>
      <c r="F960" s="26">
        <f>0.8571428571</f>
        <v>0.8571428571</v>
      </c>
      <c r="G960" s="26">
        <f>1.0000000000</f>
        <v>1</v>
      </c>
    </row>
    <row r="961">
      <c r="A961" s="9" t="inlineStr">
        <is>
          <t>Forward cost of capital</t>
        </is>
      </c>
      <c r="C961" s="19">
        <f>$F$30-($F$30-$G$30)*C960</f>
        <v>0.340669376213</v>
      </c>
      <c r="D961" s="19">
        <f>$F$30-($F$30-$G$30)*D960</f>
        <v>0.289227522502</v>
      </c>
      <c r="E961" s="19">
        <f>$F$30-($F$30-$G$30)*E960</f>
        <v>0.248074039516</v>
      </c>
      <c r="F961" s="19">
        <f>$F$30-($F$30-$G$30)*F960</f>
        <v>0.217208927298</v>
      </c>
      <c r="G961" s="19">
        <f>$F$30-($F$30-$G$30)*G960</f>
        <v>0.196632185805</v>
      </c>
    </row>
    <row r="962">
      <c r="A962" s="9" t="inlineStr">
        <is>
          <t>Cumulative discount factor</t>
        </is>
      </c>
      <c r="C962" s="29">
        <f>1/(1+C961)</f>
        <v>0.745896055913</v>
      </c>
      <c r="D962" s="29">
        <f>C962/(1+D961)</f>
        <v>0.578560450265</v>
      </c>
      <c r="E962" s="29">
        <f>D962/(1+E961)</f>
        <v>0.463562602816</v>
      </c>
      <c r="F962" s="29">
        <f>E962/(1+F961)</f>
        <v>0.380840620225</v>
      </c>
      <c r="G962" s="29">
        <f>F962/(1+G961)</f>
        <v>0.318260385056</v>
      </c>
    </row>
    <row r="963">
      <c r="A963" s="9" t="inlineStr">
        <is>
          <t>Present value</t>
        </is>
      </c>
      <c r="C963" s="18">
        <f>C959*C962</f>
        <v>1001.85924832</v>
      </c>
      <c r="D963" s="18">
        <f>D959*D962</f>
        <v>756.63485895</v>
      </c>
      <c r="E963" s="18">
        <f>E959*E962</f>
        <v>570.731197261</v>
      </c>
      <c r="F963" s="18">
        <f>F959*F962</f>
        <v>432.864303529</v>
      </c>
      <c r="G963" s="18">
        <f>G959*G962</f>
        <v>311.101105162</v>
      </c>
    </row>
    <row r="964">
      <c r="A964" s="17" t="inlineStr">
        <is>
          <t>PV of the explicit window</t>
        </is>
      </c>
      <c r="B964" s="20">
        <f>SUM(C963:G963)</f>
        <v>3073.19071322</v>
      </c>
      <c r="C964" s="18">
        <f>C957+C950</f>
        <v>5968.75783138</v>
      </c>
      <c r="D964" s="18">
        <f>D957+D950</f>
        <v>6552.44450867</v>
      </c>
      <c r="E964" s="18">
        <f>E957+E950</f>
        <v>7146.56929687</v>
      </c>
      <c r="F964" s="18">
        <f>F957+F950</f>
        <v>7755.82987113</v>
      </c>
      <c r="G964" s="18">
        <f>G957+G950</f>
        <v>8383.70320505</v>
      </c>
    </row>
    <row r="965">
      <c r="A965" s="9" t="inlineStr">
        <is>
          <t>Terminal return on invested capital, at REPLACEMENT cost</t>
        </is>
      </c>
      <c r="B965" s="19">
        <f>G956*(1+Assumptions!$B$89)/G964</f>
        <v>0.170525620027</v>
      </c>
    </row>
    <row r="966">
      <c r="A966" s="9" t="inlineStr">
        <is>
          <t>Required reinvestment = growth / return</t>
        </is>
      </c>
      <c r="B966" s="19">
        <f>MIN(Assumptions!$B$89/B965,0.95)</f>
        <v>0.29321107287</v>
      </c>
    </row>
    <row r="967">
      <c r="A967" s="9" t="inlineStr">
        <is>
          <t>Terminal value</t>
        </is>
      </c>
      <c r="B967" s="18">
        <f>G956*(1+Assumptions!$B$89)*(1-B966)/MAX($G$30-Assumptions!$B$89,0.02)</f>
        <v>6891.05888562</v>
      </c>
    </row>
    <row r="968">
      <c r="A968" s="9" t="inlineStr">
        <is>
          <t>PV of the terminal block</t>
        </is>
      </c>
      <c r="B968" s="18">
        <f>B967*G962</f>
        <v>2193.15105438</v>
      </c>
    </row>
    <row r="969">
      <c r="A969" s="17" t="inlineStr">
        <is>
          <t>ENTERPRISE VALUE</t>
        </is>
      </c>
      <c r="B969" s="20">
        <f>B964+B968</f>
        <v>5266.3417676</v>
      </c>
    </row>
    <row r="970">
      <c r="A970" s="9" t="inlineStr">
        <is>
          <t>plus net cash</t>
        </is>
      </c>
      <c r="B970" s="18">
        <f>(Assumptions!$B$79-Assumptions!$B$82-Assumptions!$B$83)/10^6</f>
        <v>2442.544928</v>
      </c>
    </row>
    <row r="971">
      <c r="A971" s="9" t="inlineStr">
        <is>
          <t>Enterprise value including cash</t>
        </is>
      </c>
      <c r="B971" s="18">
        <f>B969+B970</f>
        <v>7708.8866956</v>
      </c>
    </row>
    <row r="972">
      <c r="A972" s="9" t="inlineStr">
        <is>
          <t>less minority — on the WHOLE enterprise, cash included</t>
        </is>
      </c>
      <c r="B972" s="18">
        <f>B971*'Base Year'!$B$41</f>
        <v>251.174359219</v>
      </c>
    </row>
    <row r="973">
      <c r="A973" s="9" t="inlineStr">
        <is>
          <t>less the tax-disputes provision</t>
        </is>
      </c>
      <c r="B973" s="18">
        <f>Assumptions!$B$78/10^6</f>
        <v>921.440353</v>
      </c>
    </row>
    <row r="974">
      <c r="A974" s="9" t="inlineStr">
        <is>
          <t>less dividends payable — declared, out of working capital</t>
        </is>
      </c>
      <c r="B974" s="18">
        <f>Assumptions!$B$77/10^6</f>
        <v>517.25</v>
      </c>
    </row>
    <row r="975">
      <c r="A975" s="9" t="inlineStr">
        <is>
          <t>plus non-operating investments and pledged deposits</t>
        </is>
      </c>
      <c r="B975" s="18">
        <f>(Assumptions!$B$81+Assumptions!$B$80)/10^6</f>
        <v>578.358746</v>
      </c>
    </row>
    <row r="976">
      <c r="A976" s="17" t="inlineStr">
        <is>
          <t>EQUITY ATTRIBUTABLE</t>
        </is>
      </c>
      <c r="B976" s="20">
        <f>B971-B972-B973-B974+B975</f>
        <v>6597.38072938</v>
      </c>
    </row>
    <row r="977">
      <c r="A977" s="17" t="inlineStr">
        <is>
          <t>VALUE PER SHARE, EGP</t>
        </is>
      </c>
      <c r="B977" s="30">
        <f>B976/Assumptions!$B$8</f>
        <v>5.10830873355</v>
      </c>
    </row>
    <row r="980">
      <c r="A980" s="6" t="inlineStr">
        <is>
          <t>Beta — 1.3000</t>
        </is>
      </c>
      <c r="B980" s="6" t="inlineStr">
        <is>
          <t>2026E</t>
        </is>
      </c>
      <c r="C980" s="6" t="inlineStr">
        <is>
          <t>2027E</t>
        </is>
      </c>
      <c r="D980" s="6" t="inlineStr">
        <is>
          <t>2028E</t>
        </is>
      </c>
      <c r="E980" s="6" t="inlineStr">
        <is>
          <t>2029E</t>
        </is>
      </c>
      <c r="F980" s="6" t="inlineStr">
        <is>
          <t>2030E</t>
        </is>
      </c>
    </row>
    <row r="981">
      <c r="A981" s="9" t="inlineStr">
        <is>
          <t>Inflation index, cumulative</t>
        </is>
      </c>
      <c r="C981" s="26">
        <f>Assumptions!$B$146</f>
        <v>1.145</v>
      </c>
      <c r="D981" s="26">
        <f>C981*Assumptions!$B$147</f>
        <v>1.29385</v>
      </c>
      <c r="E981" s="26">
        <f>D981*Assumptions!$B$148</f>
        <v>1.44264275</v>
      </c>
      <c r="F981" s="26">
        <f>E981*Assumptions!$B$149</f>
        <v>1.586907025</v>
      </c>
      <c r="G981" s="26">
        <f>F981*Assumptions!$B$150</f>
        <v>1.73766319237</v>
      </c>
    </row>
    <row r="982">
      <c r="A982" s="9" t="inlineStr">
        <is>
          <t>Realisation index, cumulative</t>
        </is>
      </c>
      <c r="C982" s="26">
        <f>(1+Assumptions!$B$101*Forecast!$B$8)</f>
        <v>1.09</v>
      </c>
      <c r="D982" s="26">
        <f>C982*(1+Assumptions!$B$102*Forecast!$B$8)</f>
        <v>1.17175</v>
      </c>
      <c r="E982" s="26">
        <f>D982*(1+Assumptions!$B$103*Forecast!$B$8)</f>
        <v>1.24791375</v>
      </c>
      <c r="F982" s="26">
        <f>E982*(1+Assumptions!$B$104*Forecast!$B$8)</f>
        <v>1.3202927475</v>
      </c>
      <c r="G982" s="26">
        <f>F982*(1+Assumptions!$B$105*Forecast!$B$8)</f>
        <v>1.38894797037</v>
      </c>
    </row>
    <row r="983">
      <c r="A983" s="9" t="inlineStr">
        <is>
          <t xml:space="preserve">  Volume — Base and special oils, mn t</t>
        </is>
      </c>
      <c r="C983" s="26">
        <f>'Product and Cost'!E6*(1+Assumptions!$B$106*Forecast!$B$6)</f>
        <v>0.1148851682</v>
      </c>
      <c r="D983" s="26">
        <f>C983*(1+Assumptions!$B$107*Forecast!$B$6)</f>
        <v>0.119480574928</v>
      </c>
      <c r="E983" s="26">
        <f>D983*(1+Assumptions!$B$108*Forecast!$B$6)</f>
        <v>0.12366239505</v>
      </c>
      <c r="F983" s="26">
        <f>E983*(1+Assumptions!$B$109*Forecast!$B$6)</f>
        <v>0.127372266902</v>
      </c>
      <c r="G983" s="26">
        <f>F983*(1+Assumptions!$B$110*Forecast!$B$6)</f>
        <v>0.130938690375</v>
      </c>
    </row>
    <row r="984">
      <c r="A984" s="9" t="inlineStr">
        <is>
          <t xml:space="preserve">  Volume — Paraffin wax, mn t</t>
        </is>
      </c>
      <c r="C984" s="26">
        <f>'Product and Cost'!E7*(1+Assumptions!$B$111*Forecast!$B$6)</f>
        <v>0.089396788</v>
      </c>
      <c r="D984" s="26">
        <f>C984*(1+Assumptions!$B$112*Forecast!$B$6)</f>
        <v>0.09431361134</v>
      </c>
      <c r="E984" s="26">
        <f>D984*(1+Assumptions!$B$113*Forecast!$B$6)</f>
        <v>0.0985577238503</v>
      </c>
      <c r="F984" s="26">
        <f>E984*(1+Assumptions!$B$114*Forecast!$B$6)</f>
        <v>0.102302917357</v>
      </c>
      <c r="G984" s="26">
        <f>F984*(1+Assumptions!$B$115*Forecast!$B$6)</f>
        <v>0.105576610712</v>
      </c>
    </row>
    <row r="985">
      <c r="A985" s="9" t="inlineStr">
        <is>
          <t xml:space="preserve">  Volume — Gas oil, mn t</t>
        </is>
      </c>
      <c r="C985" s="26">
        <f>'Product and Cost'!E8*(1+Assumptions!$B$116*Forecast!$B$6)</f>
        <v>0.35023715724</v>
      </c>
      <c r="D985" s="26">
        <f>C985*(1+Assumptions!$B$117*Forecast!$B$6)</f>
        <v>0.357241900385</v>
      </c>
      <c r="E985" s="26">
        <f>D985*(1+Assumptions!$B$118*Forecast!$B$6)</f>
        <v>0.363672254592</v>
      </c>
      <c r="F985" s="26">
        <f>E985*(1+Assumptions!$B$119*Forecast!$B$6)</f>
        <v>0.369491010665</v>
      </c>
      <c r="G985" s="26">
        <f>F985*(1+Assumptions!$B$120*Forecast!$B$6)</f>
        <v>0.375033375825</v>
      </c>
    </row>
    <row r="986">
      <c r="A986" s="9" t="inlineStr">
        <is>
          <t xml:space="preserve">  Volume — Naphtha, mn t</t>
        </is>
      </c>
      <c r="C986" s="26">
        <f>'Product and Cost'!E9*(1+Assumptions!$B$121*Forecast!$B$6)</f>
        <v>0.08410463971</v>
      </c>
      <c r="D986" s="26">
        <f>C986*(1+Assumptions!$B$122*Forecast!$B$6)</f>
        <v>0.0856185232248</v>
      </c>
      <c r="E986" s="26">
        <f>D986*(1+Assumptions!$B$123*Forecast!$B$6)</f>
        <v>0.0871596566428</v>
      </c>
      <c r="F986" s="26">
        <f>E986*(1+Assumptions!$B$124*Forecast!$B$6)</f>
        <v>0.0885542111491</v>
      </c>
      <c r="G986" s="26">
        <f>F986*(1+Assumptions!$B$125*Forecast!$B$6)</f>
        <v>0.0898825243163</v>
      </c>
    </row>
    <row r="987">
      <c r="A987" s="9" t="inlineStr">
        <is>
          <t xml:space="preserve">  Volume — Liquefied petroleum gas, mn t</t>
        </is>
      </c>
      <c r="C987" s="26">
        <f>'Product and Cost'!E10*(1+Assumptions!$B$126*Forecast!$B$6)</f>
        <v>0.0486583449</v>
      </c>
      <c r="D987" s="26">
        <f>C987*(1+Assumptions!$B$127*Forecast!$B$6)</f>
        <v>0.0497288284878</v>
      </c>
      <c r="E987" s="26">
        <f>D987*(1+Assumptions!$B$128*Forecast!$B$6)</f>
        <v>0.0507234050576</v>
      </c>
      <c r="F987" s="26">
        <f>E987*(1+Assumptions!$B$129*Forecast!$B$6)</f>
        <v>0.0516364263486</v>
      </c>
      <c r="G987" s="26">
        <f>F987*(1+Assumptions!$B$130*Forecast!$B$6)</f>
        <v>0.0524626091702</v>
      </c>
    </row>
    <row r="988">
      <c r="A988" s="9" t="inlineStr">
        <is>
          <t xml:space="preserve">  Volume — Fuel oil (mix), mn t</t>
        </is>
      </c>
      <c r="C988" s="26">
        <f>'Product and Cost'!E11*(1+Assumptions!$B$131*Forecast!$B$6)</f>
        <v>0.947916416</v>
      </c>
      <c r="D988" s="26">
        <f>C988*(1+Assumptions!$B$132*Forecast!$B$6)</f>
        <v>0.972562242816</v>
      </c>
      <c r="E988" s="26">
        <f>D988*(1+Assumptions!$B$133*Forecast!$B$6)</f>
        <v>0.993958612158</v>
      </c>
      <c r="F988" s="26">
        <f>E988*(1+Assumptions!$B$134*Forecast!$B$6)</f>
        <v>1.0138377844</v>
      </c>
      <c r="G988" s="26">
        <f>F988*(1+Assumptions!$B$135*Forecast!$B$6)</f>
        <v>1.03208686452</v>
      </c>
    </row>
    <row r="989">
      <c r="A989" s="9" t="inlineStr">
        <is>
          <t xml:space="preserve">  Volume — Heavy fuel oil, mn t</t>
        </is>
      </c>
      <c r="C989" s="26">
        <f>'Product and Cost'!E12*(1+Assumptions!$B$136*Forecast!$B$6)</f>
        <v>0.0292281408</v>
      </c>
      <c r="D989" s="26">
        <f>C989*(1+Assumptions!$B$137*Forecast!$B$6)</f>
        <v>0.0297542473344</v>
      </c>
      <c r="E989" s="26">
        <f>D989*(1+Assumptions!$B$138*Forecast!$B$6)</f>
        <v>0.0302303152918</v>
      </c>
      <c r="F989" s="26">
        <f>E989*(1+Assumptions!$B$139*Forecast!$B$6)</f>
        <v>0.0306837700211</v>
      </c>
      <c r="G989" s="26">
        <f>F989*(1+Assumptions!$B$140*Forecast!$B$6)</f>
        <v>0.0311133428014</v>
      </c>
    </row>
    <row r="990">
      <c r="A990" s="9" t="inlineStr">
        <is>
          <t xml:space="preserve">  Volume — Waste, mn t</t>
        </is>
      </c>
      <c r="C990" s="26">
        <f>'Product and Cost'!E13*(1+Assumptions!$B$141*Forecast!$B$6)</f>
        <v>1.564e-05</v>
      </c>
      <c r="D990" s="26">
        <f>C990*(1+Assumptions!$B$142*Forecast!$B$6)</f>
        <v>1.564e-05</v>
      </c>
      <c r="E990" s="26">
        <f>D990*(1+Assumptions!$B$143*Forecast!$B$6)</f>
        <v>1.564e-05</v>
      </c>
      <c r="F990" s="26">
        <f>E990*(1+Assumptions!$B$144*Forecast!$B$6)</f>
        <v>1.564e-05</v>
      </c>
      <c r="G990" s="26">
        <f>F990*(1+Assumptions!$B$145*Forecast!$B$6)</f>
        <v>1.564e-05</v>
      </c>
    </row>
    <row r="991">
      <c r="A991" s="17" t="inlineStr">
        <is>
          <t>Total volume, mn t</t>
        </is>
      </c>
      <c r="C991" s="28">
        <f>SUM(C983:C990)</f>
        <v>1.66444229485</v>
      </c>
      <c r="D991" s="28">
        <f>SUM(D983:D990)</f>
        <v>1.70871556852</v>
      </c>
      <c r="E991" s="28">
        <f>SUM(E983:E990)</f>
        <v>1.74798000264</v>
      </c>
      <c r="F991" s="28">
        <f>SUM(F983:F990)</f>
        <v>1.78389402684</v>
      </c>
      <c r="G991" s="28">
        <f>SUM(G983:G990)</f>
        <v>1.81710965772</v>
      </c>
    </row>
    <row r="992">
      <c r="A992" s="17" t="inlineStr">
        <is>
          <t>REVENUE</t>
        </is>
      </c>
      <c r="C992" s="20">
        <f>C983*'Product and Cost'!$F$6*C982+C984*'Product and Cost'!$F$7*C982+C985*'Product and Cost'!$F$8*C982+C986*'Product and Cost'!$F$9*C982+C987*'Product and Cost'!$F$10*C982+C988*'Product and Cost'!$F$11*C982+C989*'Product and Cost'!$F$12*C982+C990*'Product and Cost'!$F$13*C982</f>
        <v>52840.8111141</v>
      </c>
      <c r="D992" s="20">
        <f>D983*'Product and Cost'!$F$6*D982+D984*'Product and Cost'!$F$7*D982+D985*'Product and Cost'!$F$8*D982+D986*'Product and Cost'!$F$9*D982+D987*'Product and Cost'!$F$10*D982+D988*'Product and Cost'!$F$11*D982+D989*'Product and Cost'!$F$12*D982+D990*'Product and Cost'!$F$13*D982</f>
        <v>58432.1672543</v>
      </c>
      <c r="E992" s="20">
        <f>E983*'Product and Cost'!$F$6*E982+E984*'Product and Cost'!$F$7*E982+E985*'Product and Cost'!$F$8*E982+E986*'Product and Cost'!$F$9*E982+E987*'Product and Cost'!$F$10*E982+E988*'Product and Cost'!$F$11*E982+E989*'Product and Cost'!$F$12*E982+E990*'Product and Cost'!$F$13*E982</f>
        <v>63772.6371781</v>
      </c>
      <c r="F992" s="20">
        <f>F983*'Product and Cost'!$F$6*F982+F984*'Product and Cost'!$F$7*F982+F985*'Product and Cost'!$F$8*F982+F986*'Product and Cost'!$F$9*F982+F987*'Product and Cost'!$F$10*F982+F988*'Product and Cost'!$F$11*F982+F989*'Product and Cost'!$F$12*F982+F990*'Product and Cost'!$F$13*F982</f>
        <v>68952.1790369</v>
      </c>
      <c r="G992" s="20">
        <f>G983*'Product and Cost'!$F$6*G982+G984*'Product and Cost'!$F$7*G982+G985*'Product and Cost'!$F$8*G982+G986*'Product and Cost'!$F$9*G982+G987*'Product and Cost'!$F$10*G982+G988*'Product and Cost'!$F$11*G982+G989*'Product and Cost'!$F$12*G982+G990*'Product and Cost'!$F$13*G982</f>
        <v>73977.8431827</v>
      </c>
    </row>
    <row r="993">
      <c r="A993" s="9" t="inlineStr">
        <is>
          <t>Cost of sales</t>
        </is>
      </c>
      <c r="C993" s="18">
        <f>C983*('Product and Cost'!$D$27*C982*Assumptions!$B$88+'Product and Cost'!$B$27*(0.4863620081*C981+0.4455809638*C981+0.0356254898*C982+0.0324315384))+C984*('Product and Cost'!$D$28*C982*Assumptions!$B$88+'Product and Cost'!$B$28*(0.4863620081*C981+0.4455809638*C981+0.0356254898*C982+0.0324315384))+C985*('Product and Cost'!$D$29*C982*Assumptions!$B$88+'Product and Cost'!$B$29*(0.4863620081*C981+0.4455809638*C981+0.0356254898*C982+0.0324315384))+C986*('Product and Cost'!$D$30*C982*Assumptions!$B$88+'Product and Cost'!$B$30*(0.4863620081*C981+0.4455809638*C981+0.0356254898*C982+0.0324315384))+C987*('Product and Cost'!$D$31*C982*Assumptions!$B$88+'Product and Cost'!$B$31*(0.4863620081*C981+0.4455809638*C981+0.0356254898*C982+0.0324315384))+C988*('Product and Cost'!$D$32*C982*Assumptions!$B$88+'Product and Cost'!$B$32*(0.4863620081*C981+0.4455809638*C981+0.0356254898*C982+0.0324315384))+C989*('Product and Cost'!$D$33*C982*Assumptions!$B$88+'Product and Cost'!$B$33*(0.4863620081*C981+0.4455809638*C981+0.0356254898*C982+0.0324315384))+C990*('Product and Cost'!$D$34*C982*Assumptions!$B$88+'Product and Cost'!$B$34*(0.4863620081*C981+0.4455809638*C981+0.0356254898*C982+0.0324315384))</f>
        <v>48291.1604712</v>
      </c>
      <c r="D993" s="18">
        <f>D983*('Product and Cost'!$D$27*D982*Assumptions!$B$88+'Product and Cost'!$B$27*(0.4863620081*D981+0.4455809638*D981+0.0356254898*D982+0.0324315384))+D984*('Product and Cost'!$D$28*D982*Assumptions!$B$88+'Product and Cost'!$B$28*(0.4863620081*D981+0.4455809638*D981+0.0356254898*D982+0.0324315384))+D985*('Product and Cost'!$D$29*D982*Assumptions!$B$88+'Product and Cost'!$B$29*(0.4863620081*D981+0.4455809638*D981+0.0356254898*D982+0.0324315384))+D986*('Product and Cost'!$D$30*D982*Assumptions!$B$88+'Product and Cost'!$B$30*(0.4863620081*D981+0.4455809638*D981+0.0356254898*D982+0.0324315384))+D987*('Product and Cost'!$D$31*D982*Assumptions!$B$88+'Product and Cost'!$B$31*(0.4863620081*D981+0.4455809638*D981+0.0356254898*D982+0.0324315384))+D988*('Product and Cost'!$D$32*D982*Assumptions!$B$88+'Product and Cost'!$B$32*(0.4863620081*D981+0.4455809638*D981+0.0356254898*D982+0.0324315384))+D989*('Product and Cost'!$D$33*D982*Assumptions!$B$88+'Product and Cost'!$B$33*(0.4863620081*D981+0.4455809638*D981+0.0356254898*D982+0.0324315384))+D990*('Product and Cost'!$D$34*D982*Assumptions!$B$88+'Product and Cost'!$B$34*(0.4863620081*D981+0.4455809638*D981+0.0356254898*D982+0.0324315384))</f>
        <v>53647.9823219</v>
      </c>
      <c r="E993" s="18">
        <f>E983*('Product and Cost'!$D$27*E982*Assumptions!$B$88+'Product and Cost'!$B$27*(0.4863620081*E981+0.4455809638*E981+0.0356254898*E982+0.0324315384))+E984*('Product and Cost'!$D$28*E982*Assumptions!$B$88+'Product and Cost'!$B$28*(0.4863620081*E981+0.4455809638*E981+0.0356254898*E982+0.0324315384))+E985*('Product and Cost'!$D$29*E982*Assumptions!$B$88+'Product and Cost'!$B$29*(0.4863620081*E981+0.4455809638*E981+0.0356254898*E982+0.0324315384))+E986*('Product and Cost'!$D$30*E982*Assumptions!$B$88+'Product and Cost'!$B$30*(0.4863620081*E981+0.4455809638*E981+0.0356254898*E982+0.0324315384))+E987*('Product and Cost'!$D$31*E982*Assumptions!$B$88+'Product and Cost'!$B$31*(0.4863620081*E981+0.4455809638*E981+0.0356254898*E982+0.0324315384))+E988*('Product and Cost'!$D$32*E982*Assumptions!$B$88+'Product and Cost'!$B$32*(0.4863620081*E981+0.4455809638*E981+0.0356254898*E982+0.0324315384))+E989*('Product and Cost'!$D$33*E982*Assumptions!$B$88+'Product and Cost'!$B$33*(0.4863620081*E981+0.4455809638*E981+0.0356254898*E982+0.0324315384))+E990*('Product and Cost'!$D$34*E982*Assumptions!$B$88+'Product and Cost'!$B$34*(0.4863620081*E981+0.4455809638*E981+0.0356254898*E982+0.0324315384))</f>
        <v>58815.4011786</v>
      </c>
      <c r="F993" s="18">
        <f>F983*('Product and Cost'!$D$27*F982*Assumptions!$B$88+'Product and Cost'!$B$27*(0.4863620081*F981+0.4455809638*F981+0.0356254898*F982+0.0324315384))+F984*('Product and Cost'!$D$28*F982*Assumptions!$B$88+'Product and Cost'!$B$28*(0.4863620081*F981+0.4455809638*F981+0.0356254898*F982+0.0324315384))+F985*('Product and Cost'!$D$29*F982*Assumptions!$B$88+'Product and Cost'!$B$29*(0.4863620081*F981+0.4455809638*F981+0.0356254898*F982+0.0324315384))+F986*('Product and Cost'!$D$30*F982*Assumptions!$B$88+'Product and Cost'!$B$30*(0.4863620081*F981+0.4455809638*F981+0.0356254898*F982+0.0324315384))+F987*('Product and Cost'!$D$31*F982*Assumptions!$B$88+'Product and Cost'!$B$31*(0.4863620081*F981+0.4455809638*F981+0.0356254898*F982+0.0324315384))+F988*('Product and Cost'!$D$32*F982*Assumptions!$B$88+'Product and Cost'!$B$32*(0.4863620081*F981+0.4455809638*F981+0.0356254898*F982+0.0324315384))+F989*('Product and Cost'!$D$33*F982*Assumptions!$B$88+'Product and Cost'!$B$33*(0.4863620081*F981+0.4455809638*F981+0.0356254898*F982+0.0324315384))+F990*('Product and Cost'!$D$34*F982*Assumptions!$B$88+'Product and Cost'!$B$34*(0.4863620081*F981+0.4455809638*F981+0.0356254898*F982+0.0324315384))</f>
        <v>63847.5732702</v>
      </c>
      <c r="G993" s="18">
        <f>G983*('Product and Cost'!$D$27*G982*Assumptions!$B$88+'Product and Cost'!$B$27*(0.4863620081*G981+0.4455809638*G981+0.0356254898*G982+0.0324315384))+G984*('Product and Cost'!$D$28*G982*Assumptions!$B$88+'Product and Cost'!$B$28*(0.4863620081*G981+0.4455809638*G981+0.0356254898*G982+0.0324315384))+G985*('Product and Cost'!$D$29*G982*Assumptions!$B$88+'Product and Cost'!$B$29*(0.4863620081*G981+0.4455809638*G981+0.0356254898*G982+0.0324315384))+G986*('Product and Cost'!$D$30*G982*Assumptions!$B$88+'Product and Cost'!$B$30*(0.4863620081*G981+0.4455809638*G981+0.0356254898*G982+0.0324315384))+G987*('Product and Cost'!$D$31*G982*Assumptions!$B$88+'Product and Cost'!$B$31*(0.4863620081*G981+0.4455809638*G981+0.0356254898*G982+0.0324315384))+G988*('Product and Cost'!$D$32*G982*Assumptions!$B$88+'Product and Cost'!$B$32*(0.4863620081*G981+0.4455809638*G981+0.0356254898*G982+0.0324315384))+G989*('Product and Cost'!$D$33*G982*Assumptions!$B$88+'Product and Cost'!$B$33*(0.4863620081*G981+0.4455809638*G981+0.0356254898*G982+0.0324315384))+G990*('Product and Cost'!$D$34*G982*Assumptions!$B$88+'Product and Cost'!$B$34*(0.4863620081*G981+0.4455809638*G981+0.0356254898*G982+0.0324315384))</f>
        <v>68797.1859175</v>
      </c>
    </row>
    <row r="994">
      <c r="A994" s="17" t="inlineStr">
        <is>
          <t>GROSS PROFIT</t>
        </is>
      </c>
      <c r="C994" s="20">
        <f>C992-C993+Forecast!$B$7*C992</f>
        <v>4549.65064286</v>
      </c>
      <c r="D994" s="20">
        <f>D992-D993+Forecast!$B$7*D992</f>
        <v>4784.18493236</v>
      </c>
      <c r="E994" s="20">
        <f>E992-E993+Forecast!$B$7*E992</f>
        <v>4957.23599944</v>
      </c>
      <c r="F994" s="20">
        <f>F992-F993+Forecast!$B$7*F992</f>
        <v>5104.60576669</v>
      </c>
      <c r="G994" s="20">
        <f>G992-G993+Forecast!$B$7*G992</f>
        <v>5180.65726511</v>
      </c>
    </row>
    <row r="995">
      <c r="A995" s="9" t="inlineStr">
        <is>
          <t>Gross margin</t>
        </is>
      </c>
      <c r="C995" s="19">
        <f>C994/C992</f>
        <v>0.0861010750391</v>
      </c>
      <c r="D995" s="19">
        <f>D994/D992</f>
        <v>0.0818758768871</v>
      </c>
      <c r="E995" s="19">
        <f>E994/E992</f>
        <v>0.0777329622672</v>
      </c>
      <c r="F995" s="19">
        <f>F994/F992</f>
        <v>0.0740311015255</v>
      </c>
      <c r="G995" s="19">
        <f>G994/G992</f>
        <v>0.0700298500501</v>
      </c>
    </row>
    <row r="996">
      <c r="A996" s="9" t="inlineStr">
        <is>
          <t>Operating expense</t>
        </is>
      </c>
      <c r="C996" s="18">
        <f>('Base Year'!$B$28*C981)+('Base Year'!$B$29*C981*C991/'Product and Cost'!$E$14)+('Base Year'!$B$30*C981)+('Base Year'!$B$31*C981)</f>
        <v>2007.6668112</v>
      </c>
      <c r="D996" s="18">
        <f>('Base Year'!$B$28*D981)+('Base Year'!$B$29*D981*D991/'Product and Cost'!$E$14)+('Base Year'!$B$30*D981)+('Base Year'!$B$31*D981)</f>
        <v>2276.29775955</v>
      </c>
      <c r="E996" s="18">
        <f>('Base Year'!$B$28*E981)+('Base Year'!$B$29*E981*E991/'Product and Cost'!$E$14)+('Base Year'!$B$30*E981)+('Base Year'!$B$31*E981)</f>
        <v>2545.62118024</v>
      </c>
      <c r="F996" s="18">
        <f>('Base Year'!$B$28*F981)+('Base Year'!$B$29*F981*F991/'Product and Cost'!$E$14)+('Base Year'!$B$30*F981)+('Base Year'!$B$31*F981)</f>
        <v>2807.77881104</v>
      </c>
      <c r="G996" s="18">
        <f>('Base Year'!$B$28*G981)+('Base Year'!$B$29*G981*G991/'Product and Cost'!$E$14)+('Base Year'!$B$30*G981)+('Base Year'!$B$31*G981)</f>
        <v>3082.20998189</v>
      </c>
    </row>
    <row r="997">
      <c r="A997" s="17" t="inlineStr">
        <is>
          <t>EBITDA</t>
        </is>
      </c>
      <c r="C997" s="20">
        <f>C994-C996</f>
        <v>2541.98383166</v>
      </c>
      <c r="D997" s="20">
        <f>D994-D996</f>
        <v>2507.88717281</v>
      </c>
      <c r="E997" s="20">
        <f>E994-E996</f>
        <v>2411.6148192</v>
      </c>
      <c r="F997" s="20">
        <f>F994-F996</f>
        <v>2296.82695565</v>
      </c>
      <c r="G997" s="20">
        <f>G994-G996</f>
        <v>2098.44728323</v>
      </c>
    </row>
    <row r="998">
      <c r="A998" s="9" t="inlineStr">
        <is>
          <t>Capital expenditure — maintenance + growth</t>
        </is>
      </c>
      <c r="C998" s="18">
        <f>'Base Year'!$B$43*C981+MAX(C991-'Product and Cost'!$E$14,0)*1947.901031*C981</f>
        <v>280.931999159</v>
      </c>
      <c r="D998" s="18">
        <f>'Base Year'!$B$43*D981+MAX(D991-C991,0)*1947.901031*D981</f>
        <v>307.3675836</v>
      </c>
      <c r="E998" s="18">
        <f>'Base Year'!$B$43*E981+MAX(E991-D991,0)*1947.901031*E981</f>
        <v>328.639389001</v>
      </c>
      <c r="F998" s="18">
        <f>'Base Year'!$B$43*F981+MAX(F991-E991,0)*1947.901031*F981</f>
        <v>351.146749034</v>
      </c>
      <c r="G998" s="18">
        <f>'Base Year'!$B$43*G981+MAX(G991-F991,0)*1947.901031*G981</f>
        <v>375.372179467</v>
      </c>
    </row>
    <row r="999">
      <c r="A999" s="9" t="inlineStr">
        <is>
          <t>Fixed assets at cost, closing</t>
        </is>
      </c>
      <c r="C999" s="18">
        <f>(Assumptions!$B$70+Assumptions!$B$71)/10^6+C998</f>
        <v>3429.06589416</v>
      </c>
      <c r="D999" s="18">
        <f>C999+D998</f>
        <v>3736.43347776</v>
      </c>
      <c r="E999" s="18">
        <f>D999+E998</f>
        <v>4065.07286676</v>
      </c>
      <c r="F999" s="18">
        <f>E999+F998</f>
        <v>4416.21961579</v>
      </c>
      <c r="G999" s="18">
        <f>F999+G998</f>
        <v>4791.59179526</v>
      </c>
    </row>
    <row r="1000">
      <c r="A1000" s="9" t="inlineStr">
        <is>
          <t>Depreciation — rolls off the asset register</t>
        </is>
      </c>
      <c r="C1000" s="18">
        <f>(Assumptions!$B$70+Assumptions!$B$71)/10^6/'Base Year'!$B$42</f>
        <v>173.808854481</v>
      </c>
      <c r="D1000" s="18">
        <f>C999/'Base Year'!$B$42</f>
        <v>189.319144255</v>
      </c>
      <c r="E1000" s="18">
        <f>D999/'Base Year'!$B$42</f>
        <v>206.288945856</v>
      </c>
      <c r="F1000" s="18">
        <f>E999/'Base Year'!$B$42</f>
        <v>224.433166415</v>
      </c>
      <c r="G1000" s="18">
        <f>F999/'Base Year'!$B$42</f>
        <v>243.820021053</v>
      </c>
    </row>
    <row r="1001">
      <c r="A1001" s="9" t="inlineStr">
        <is>
          <t>Fixed assets, net book, closing</t>
        </is>
      </c>
      <c r="C1001" s="18">
        <f>(Assumptions!$B$69+Assumptions!$B$71)/10^6+C998-C1000</f>
        <v>1407.46262168</v>
      </c>
      <c r="D1001" s="18">
        <f>C1001+D998-D1000</f>
        <v>1525.51106102</v>
      </c>
      <c r="E1001" s="18">
        <f>D1001+E998-E1000</f>
        <v>1647.86150417</v>
      </c>
      <c r="F1001" s="18">
        <f>E1001+F998-F1000</f>
        <v>1774.57508679</v>
      </c>
      <c r="G1001" s="18">
        <f>F1001+G998-G1000</f>
        <v>1906.1272452</v>
      </c>
    </row>
    <row r="1002">
      <c r="A1002" s="17" t="inlineStr">
        <is>
          <t>EBIT</t>
        </is>
      </c>
      <c r="C1002" s="20">
        <f>C997-C1000</f>
        <v>2368.17497718</v>
      </c>
      <c r="D1002" s="20">
        <f>D997-D1000</f>
        <v>2318.56802856</v>
      </c>
      <c r="E1002" s="20">
        <f>E997-E1000</f>
        <v>2205.32587334</v>
      </c>
      <c r="F1002" s="20">
        <f>F997-F1000</f>
        <v>2072.39378923</v>
      </c>
      <c r="G1002" s="20">
        <f>G997-G1000</f>
        <v>1854.62726217</v>
      </c>
    </row>
    <row r="1003">
      <c r="A1003" s="9" t="inlineStr">
        <is>
          <t>NOPAT before the profit share</t>
        </is>
      </c>
      <c r="C1003" s="18">
        <f>C1002*(1-Assumptions!$B$87)</f>
        <v>1835.33560732</v>
      </c>
      <c r="D1003" s="18">
        <f>D1002*(1-Assumptions!$B$87)</f>
        <v>1796.89022213</v>
      </c>
      <c r="E1003" s="18">
        <f>E1002*(1-Assumptions!$B$87)</f>
        <v>1709.12755184</v>
      </c>
      <c r="F1003" s="18">
        <f>F1002*(1-Assumptions!$B$87)</f>
        <v>1606.10518666</v>
      </c>
      <c r="G1003" s="18">
        <f>G1002*(1-Assumptions!$B$87)</f>
        <v>1437.33612818</v>
      </c>
    </row>
    <row r="1004">
      <c r="A1004" s="9" t="inlineStr">
        <is>
          <t xml:space="preserve">  less employees' profit share and board bonuses</t>
        </is>
      </c>
      <c r="C1004" s="18">
        <f>MAX(C1003,0)*'Base Year'!$B$40</f>
        <v>96.7608009272</v>
      </c>
      <c r="D1004" s="18">
        <f>MAX(D1003,0)*'Base Year'!$B$40</f>
        <v>94.7339202588</v>
      </c>
      <c r="E1004" s="18">
        <f>MAX(E1003,0)*'Base Year'!$B$40</f>
        <v>90.1069810576</v>
      </c>
      <c r="F1004" s="18">
        <f>MAX(F1003,0)*'Base Year'!$B$40</f>
        <v>84.6755348801</v>
      </c>
      <c r="G1004" s="18">
        <f>MAX(G1003,0)*'Base Year'!$B$40</f>
        <v>75.7778546933</v>
      </c>
    </row>
    <row r="1005">
      <c r="A1005" s="17" t="inlineStr">
        <is>
          <t>NOPAT</t>
        </is>
      </c>
      <c r="C1005" s="20">
        <f>C1003-C1004</f>
        <v>1738.57480639</v>
      </c>
      <c r="D1005" s="20">
        <f>D1003-D1004</f>
        <v>1702.15630187</v>
      </c>
      <c r="E1005" s="20">
        <f>E1003-E1004</f>
        <v>1619.02057078</v>
      </c>
      <c r="F1005" s="20">
        <f>F1003-F1004</f>
        <v>1521.42965178</v>
      </c>
      <c r="G1005" s="20">
        <f>G1003-G1004</f>
        <v>1361.55827349</v>
      </c>
    </row>
    <row r="1006">
      <c r="A1006" s="9" t="inlineStr">
        <is>
          <t>Net working capital — on days</t>
        </is>
      </c>
      <c r="C1006" s="18">
        <f>'Base Year'!$B$44*Forecast!$B$9/365*C993+'Base Year'!$B$45*Forecast!$B$9/365*C992-'Base Year'!$B$46*Forecast!$B$9/365*C993</f>
        <v>2539.69193722</v>
      </c>
      <c r="D1006" s="18">
        <f>'Base Year'!$B$44*Forecast!$B$9/365*D993+'Base Year'!$B$45*Forecast!$B$9/365*D992-'Base Year'!$B$46*Forecast!$B$9/365*D993</f>
        <v>2816.01103091</v>
      </c>
      <c r="E1006" s="18">
        <f>'Base Year'!$B$44*Forecast!$B$9/365*E993+'Base Year'!$B$45*Forecast!$B$9/365*E992-'Base Year'!$B$46*Forecast!$B$9/365*E993</f>
        <v>3081.49643011</v>
      </c>
      <c r="F1006" s="18">
        <f>'Base Year'!$B$44*Forecast!$B$9/365*F993+'Base Year'!$B$45*Forecast!$B$9/365*F992-'Base Year'!$B$46*Forecast!$B$9/365*F993</f>
        <v>3339.61025534</v>
      </c>
      <c r="G1006" s="18">
        <f>'Base Year'!$B$44*Forecast!$B$9/365*G993+'Base Year'!$B$45*Forecast!$B$9/365*G992-'Base Year'!$B$46*Forecast!$B$9/365*G993</f>
        <v>3592.11140979</v>
      </c>
    </row>
    <row r="1007">
      <c r="A1007" s="9" t="inlineStr">
        <is>
          <t xml:space="preserve">  change in working capital</t>
        </is>
      </c>
      <c r="C1007" s="18">
        <f>C1006-('Base Year'!$B$44/365*'Base Year'!$B$21+'Base Year'!$B$45/365*'Base Year'!$B$19-'Base Year'!$B$46/365*'Base Year'!$B$21)</f>
        <v>288.28964822</v>
      </c>
      <c r="D1007" s="18">
        <f>D1006-C1006</f>
        <v>276.319093691</v>
      </c>
      <c r="E1007" s="18">
        <f>E1006-D1006</f>
        <v>265.485399203</v>
      </c>
      <c r="F1007" s="18">
        <f>F1006-E1006</f>
        <v>258.113825222</v>
      </c>
      <c r="G1007" s="18">
        <f>G1006-F1006</f>
        <v>252.501154457</v>
      </c>
    </row>
    <row r="1008">
      <c r="A1008" s="17" t="inlineStr">
        <is>
          <t>FREE CASH FLOW TO THE FIRM</t>
        </is>
      </c>
      <c r="C1008" s="20">
        <f>C1005+C1000-C998-C1007</f>
        <v>1343.16201349</v>
      </c>
      <c r="D1008" s="20">
        <f>D1005+D1000-D998-D1007</f>
        <v>1307.78876884</v>
      </c>
      <c r="E1008" s="20">
        <f>E1005+E1000-E998-E1007</f>
        <v>1231.18472844</v>
      </c>
      <c r="F1008" s="20">
        <f>F1005+F1000-F998-F1007</f>
        <v>1136.60224393</v>
      </c>
      <c r="G1008" s="20">
        <f>G1005+G1000-G998-G1007</f>
        <v>977.504960621</v>
      </c>
    </row>
    <row r="1009">
      <c r="A1009" s="9" t="inlineStr">
        <is>
          <t>Glide fraction</t>
        </is>
      </c>
      <c r="C1009" s="26">
        <f>0.0000000000</f>
        <v>0</v>
      </c>
      <c r="D1009" s="26">
        <f>0.3571428571</f>
        <v>0.3571428571</v>
      </c>
      <c r="E1009" s="26">
        <f>0.6428571429</f>
        <v>0.6428571429</v>
      </c>
      <c r="F1009" s="26">
        <f>0.8571428571</f>
        <v>0.8571428571</v>
      </c>
      <c r="G1009" s="26">
        <f>1.0000000000</f>
        <v>1</v>
      </c>
    </row>
    <row r="1010">
      <c r="A1010" s="9" t="inlineStr">
        <is>
          <t>Forward cost of capital</t>
        </is>
      </c>
      <c r="C1010" s="19">
        <f>$F$31-($F$31-$G$31)*C1009</f>
        <v>0.358487505382</v>
      </c>
      <c r="D1010" s="19">
        <f>$F$31-($F$31-$G$31)*D1009</f>
        <v>0.304057034111</v>
      </c>
      <c r="E1010" s="19">
        <f>$F$31-($F$31-$G$31)*E1009</f>
        <v>0.260512657076</v>
      </c>
      <c r="F1010" s="19">
        <f>$F$31-($F$31-$G$31)*F1009</f>
        <v>0.227854374323</v>
      </c>
      <c r="G1010" s="19">
        <f>$F$31-($F$31-$G$31)*G1009</f>
        <v>0.206082185805</v>
      </c>
    </row>
    <row r="1011">
      <c r="A1011" s="9" t="inlineStr">
        <is>
          <t>Cumulative discount factor</t>
        </is>
      </c>
      <c r="C1011" s="29">
        <f>1/(1+C1010)</f>
        <v>0.736112769561</v>
      </c>
      <c r="D1011" s="29">
        <f>C1011/(1+D1010)</f>
        <v>0.564478968562</v>
      </c>
      <c r="E1011" s="29">
        <f>D1011/(1+E1010)</f>
        <v>0.447816977793</v>
      </c>
      <c r="F1011" s="29">
        <f>E1011/(1+F1010)</f>
        <v>0.364715056735</v>
      </c>
      <c r="G1011" s="29">
        <f>F1011/(1+G1010)</f>
        <v>0.302396520757</v>
      </c>
    </row>
    <row r="1012">
      <c r="A1012" s="9" t="inlineStr">
        <is>
          <t>Present value</t>
        </is>
      </c>
      <c r="C1012" s="18">
        <f>C1008*C1011</f>
        <v>988.71870972</v>
      </c>
      <c r="D1012" s="18">
        <f>D1008*D1011</f>
        <v>738.21925533</v>
      </c>
      <c r="E1012" s="18">
        <f>E1008*E1011</f>
        <v>551.345424193</v>
      </c>
      <c r="F1012" s="18">
        <f>F1008*F1011</f>
        <v>414.535951881</v>
      </c>
      <c r="G1012" s="18">
        <f>G1008*G1011</f>
        <v>295.594099115</v>
      </c>
    </row>
    <row r="1013">
      <c r="A1013" s="17" t="inlineStr">
        <is>
          <t>PV of the explicit window</t>
        </is>
      </c>
      <c r="B1013" s="20">
        <f>SUM(C1012:G1012)</f>
        <v>2988.41344024</v>
      </c>
      <c r="C1013" s="18">
        <f>C1006+C999</f>
        <v>5968.75783138</v>
      </c>
      <c r="D1013" s="18">
        <f>D1006+D999</f>
        <v>6552.44450867</v>
      </c>
      <c r="E1013" s="18">
        <f>E1006+E999</f>
        <v>7146.56929687</v>
      </c>
      <c r="F1013" s="18">
        <f>F1006+F999</f>
        <v>7755.82987113</v>
      </c>
      <c r="G1013" s="18">
        <f>G1006+G999</f>
        <v>8383.70320505</v>
      </c>
    </row>
    <row r="1014">
      <c r="A1014" s="9" t="inlineStr">
        <is>
          <t>Terminal return on invested capital, at REPLACEMENT cost</t>
        </is>
      </c>
      <c r="B1014" s="19">
        <f>G1005*(1+Assumptions!$B$89)/G1013</f>
        <v>0.170525620027</v>
      </c>
    </row>
    <row r="1015">
      <c r="A1015" s="9" t="inlineStr">
        <is>
          <t>Required reinvestment = growth / return</t>
        </is>
      </c>
      <c r="B1015" s="19">
        <f>MIN(Assumptions!$B$89/B1014,0.95)</f>
        <v>0.29321107287</v>
      </c>
    </row>
    <row r="1016">
      <c r="A1016" s="9" t="inlineStr">
        <is>
          <t>Terminal value</t>
        </is>
      </c>
      <c r="B1016" s="18">
        <f>G1005*(1+Assumptions!$B$89)*(1-B1015)/MAX($G$31-Assumptions!$B$89,0.02)</f>
        <v>6473.83954613</v>
      </c>
    </row>
    <row r="1017">
      <c r="A1017" s="9" t="inlineStr">
        <is>
          <t>PV of the terminal block</t>
        </is>
      </c>
      <c r="B1017" s="18">
        <f>B1016*G1011</f>
        <v>1957.66655469</v>
      </c>
    </row>
    <row r="1018">
      <c r="A1018" s="17" t="inlineStr">
        <is>
          <t>ENTERPRISE VALUE</t>
        </is>
      </c>
      <c r="B1018" s="20">
        <f>B1013+B1017</f>
        <v>4946.07999493</v>
      </c>
    </row>
    <row r="1019">
      <c r="A1019" s="9" t="inlineStr">
        <is>
          <t>plus net cash</t>
        </is>
      </c>
      <c r="B1019" s="18">
        <f>(Assumptions!$B$79-Assumptions!$B$82-Assumptions!$B$83)/10^6</f>
        <v>2442.544928</v>
      </c>
    </row>
    <row r="1020">
      <c r="A1020" s="9" t="inlineStr">
        <is>
          <t>Enterprise value including cash</t>
        </is>
      </c>
      <c r="B1020" s="18">
        <f>B1018+B1019</f>
        <v>7388.62492293</v>
      </c>
    </row>
    <row r="1021">
      <c r="A1021" s="9" t="inlineStr">
        <is>
          <t>less minority — on the WHOLE enterprise, cash included</t>
        </is>
      </c>
      <c r="B1021" s="18">
        <f>B1020*'Base Year'!$B$41</f>
        <v>240.739448354</v>
      </c>
    </row>
    <row r="1022">
      <c r="A1022" s="9" t="inlineStr">
        <is>
          <t>less the tax-disputes provision</t>
        </is>
      </c>
      <c r="B1022" s="18">
        <f>Assumptions!$B$78/10^6</f>
        <v>921.440353</v>
      </c>
    </row>
    <row r="1023">
      <c r="A1023" s="9" t="inlineStr">
        <is>
          <t>less dividends payable — declared, out of working capital</t>
        </is>
      </c>
      <c r="B1023" s="18">
        <f>Assumptions!$B$77/10^6</f>
        <v>517.25</v>
      </c>
    </row>
    <row r="1024">
      <c r="A1024" s="9" t="inlineStr">
        <is>
          <t>plus non-operating investments and pledged deposits</t>
        </is>
      </c>
      <c r="B1024" s="18">
        <f>(Assumptions!$B$81+Assumptions!$B$80)/10^6</f>
        <v>578.358746</v>
      </c>
    </row>
    <row r="1025">
      <c r="A1025" s="17" t="inlineStr">
        <is>
          <t>EQUITY ATTRIBUTABLE</t>
        </is>
      </c>
      <c r="B1025" s="20">
        <f>B1020-B1021-B1022-B1023+B1024</f>
        <v>6287.55386757</v>
      </c>
    </row>
    <row r="1026">
      <c r="A1026" s="17" t="inlineStr">
        <is>
          <t>VALUE PER SHARE, EGP</t>
        </is>
      </c>
      <c r="B1026" s="30">
        <f>B1025/Assumptions!$B$8</f>
        <v>4.86841182158</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9" t="inlineStr">
        <is>
          <t>Inflation index, cumulative</t>
        </is>
      </c>
      <c r="C1030" s="26">
        <f>Assumptions!$B$146</f>
        <v>1.145</v>
      </c>
      <c r="D1030" s="26">
        <f>C1030*Assumptions!$B$147</f>
        <v>1.29385</v>
      </c>
      <c r="E1030" s="26">
        <f>D1030*Assumptions!$B$148</f>
        <v>1.44264275</v>
      </c>
      <c r="F1030" s="26">
        <f>E1030*Assumptions!$B$149</f>
        <v>1.586907025</v>
      </c>
      <c r="G1030" s="26">
        <f>F1030*Assumptions!$B$150</f>
        <v>1.73766319237</v>
      </c>
    </row>
    <row r="1031">
      <c r="A1031" s="9" t="inlineStr">
        <is>
          <t>Realisation index, cumulative</t>
        </is>
      </c>
      <c r="C1031" s="26">
        <f>(1+Assumptions!$B$101*Forecast!$B$8)</f>
        <v>1.09</v>
      </c>
      <c r="D1031" s="26">
        <f>C1031*(1+Assumptions!$B$102*Forecast!$B$8)</f>
        <v>1.17175</v>
      </c>
      <c r="E1031" s="26">
        <f>D1031*(1+Assumptions!$B$103*Forecast!$B$8)</f>
        <v>1.24791375</v>
      </c>
      <c r="F1031" s="26">
        <f>E1031*(1+Assumptions!$B$104*Forecast!$B$8)</f>
        <v>1.3202927475</v>
      </c>
      <c r="G1031" s="26">
        <f>F1031*(1+Assumptions!$B$105*Forecast!$B$8)</f>
        <v>1.38894797037</v>
      </c>
    </row>
    <row r="1032">
      <c r="A1032" s="9" t="inlineStr">
        <is>
          <t xml:space="preserve">  Volume — Base and special oils, mn t</t>
        </is>
      </c>
      <c r="C1032" s="26">
        <f>'Product and Cost'!E6*(1+Assumptions!$B$106*Forecast!$B$6)</f>
        <v>0.1148851682</v>
      </c>
      <c r="D1032" s="26">
        <f>C1032*(1+Assumptions!$B$107*Forecast!$B$6)</f>
        <v>0.119480574928</v>
      </c>
      <c r="E1032" s="26">
        <f>D1032*(1+Assumptions!$B$108*Forecast!$B$6)</f>
        <v>0.12366239505</v>
      </c>
      <c r="F1032" s="26">
        <f>E1032*(1+Assumptions!$B$109*Forecast!$B$6)</f>
        <v>0.127372266902</v>
      </c>
      <c r="G1032" s="26">
        <f>F1032*(1+Assumptions!$B$110*Forecast!$B$6)</f>
        <v>0.130938690375</v>
      </c>
    </row>
    <row r="1033">
      <c r="A1033" s="9" t="inlineStr">
        <is>
          <t xml:space="preserve">  Volume — Paraffin wax, mn t</t>
        </is>
      </c>
      <c r="C1033" s="26">
        <f>'Product and Cost'!E7*(1+Assumptions!$B$111*Forecast!$B$6)</f>
        <v>0.089396788</v>
      </c>
      <c r="D1033" s="26">
        <f>C1033*(1+Assumptions!$B$112*Forecast!$B$6)</f>
        <v>0.09431361134</v>
      </c>
      <c r="E1033" s="26">
        <f>D1033*(1+Assumptions!$B$113*Forecast!$B$6)</f>
        <v>0.0985577238503</v>
      </c>
      <c r="F1033" s="26">
        <f>E1033*(1+Assumptions!$B$114*Forecast!$B$6)</f>
        <v>0.102302917357</v>
      </c>
      <c r="G1033" s="26">
        <f>F1033*(1+Assumptions!$B$115*Forecast!$B$6)</f>
        <v>0.105576610712</v>
      </c>
    </row>
    <row r="1034">
      <c r="A1034" s="9" t="inlineStr">
        <is>
          <t xml:space="preserve">  Volume — Gas oil, mn t</t>
        </is>
      </c>
      <c r="C1034" s="26">
        <f>'Product and Cost'!E8*(1+Assumptions!$B$116*Forecast!$B$6)</f>
        <v>0.35023715724</v>
      </c>
      <c r="D1034" s="26">
        <f>C1034*(1+Assumptions!$B$117*Forecast!$B$6)</f>
        <v>0.357241900385</v>
      </c>
      <c r="E1034" s="26">
        <f>D1034*(1+Assumptions!$B$118*Forecast!$B$6)</f>
        <v>0.363672254592</v>
      </c>
      <c r="F1034" s="26">
        <f>E1034*(1+Assumptions!$B$119*Forecast!$B$6)</f>
        <v>0.369491010665</v>
      </c>
      <c r="G1034" s="26">
        <f>F1034*(1+Assumptions!$B$120*Forecast!$B$6)</f>
        <v>0.375033375825</v>
      </c>
    </row>
    <row r="1035">
      <c r="A1035" s="9" t="inlineStr">
        <is>
          <t xml:space="preserve">  Volume — Naphtha, mn t</t>
        </is>
      </c>
      <c r="C1035" s="26">
        <f>'Product and Cost'!E9*(1+Assumptions!$B$121*Forecast!$B$6)</f>
        <v>0.08410463971</v>
      </c>
      <c r="D1035" s="26">
        <f>C1035*(1+Assumptions!$B$122*Forecast!$B$6)</f>
        <v>0.0856185232248</v>
      </c>
      <c r="E1035" s="26">
        <f>D1035*(1+Assumptions!$B$123*Forecast!$B$6)</f>
        <v>0.0871596566428</v>
      </c>
      <c r="F1035" s="26">
        <f>E1035*(1+Assumptions!$B$124*Forecast!$B$6)</f>
        <v>0.0885542111491</v>
      </c>
      <c r="G1035" s="26">
        <f>F1035*(1+Assumptions!$B$125*Forecast!$B$6)</f>
        <v>0.0898825243163</v>
      </c>
    </row>
    <row r="1036">
      <c r="A1036" s="9" t="inlineStr">
        <is>
          <t xml:space="preserve">  Volume — Liquefied petroleum gas, mn t</t>
        </is>
      </c>
      <c r="C1036" s="26">
        <f>'Product and Cost'!E10*(1+Assumptions!$B$126*Forecast!$B$6)</f>
        <v>0.0486583449</v>
      </c>
      <c r="D1036" s="26">
        <f>C1036*(1+Assumptions!$B$127*Forecast!$B$6)</f>
        <v>0.0497288284878</v>
      </c>
      <c r="E1036" s="26">
        <f>D1036*(1+Assumptions!$B$128*Forecast!$B$6)</f>
        <v>0.0507234050576</v>
      </c>
      <c r="F1036" s="26">
        <f>E1036*(1+Assumptions!$B$129*Forecast!$B$6)</f>
        <v>0.0516364263486</v>
      </c>
      <c r="G1036" s="26">
        <f>F1036*(1+Assumptions!$B$130*Forecast!$B$6)</f>
        <v>0.0524626091702</v>
      </c>
    </row>
    <row r="1037">
      <c r="A1037" s="9" t="inlineStr">
        <is>
          <t xml:space="preserve">  Volume — Fuel oil (mix), mn t</t>
        </is>
      </c>
      <c r="C1037" s="26">
        <f>'Product and Cost'!E11*(1+Assumptions!$B$131*Forecast!$B$6)</f>
        <v>0.947916416</v>
      </c>
      <c r="D1037" s="26">
        <f>C1037*(1+Assumptions!$B$132*Forecast!$B$6)</f>
        <v>0.972562242816</v>
      </c>
      <c r="E1037" s="26">
        <f>D1037*(1+Assumptions!$B$133*Forecast!$B$6)</f>
        <v>0.993958612158</v>
      </c>
      <c r="F1037" s="26">
        <f>E1037*(1+Assumptions!$B$134*Forecast!$B$6)</f>
        <v>1.0138377844</v>
      </c>
      <c r="G1037" s="26">
        <f>F1037*(1+Assumptions!$B$135*Forecast!$B$6)</f>
        <v>1.03208686452</v>
      </c>
    </row>
    <row r="1038">
      <c r="A1038" s="9" t="inlineStr">
        <is>
          <t xml:space="preserve">  Volume — Heavy fuel oil, mn t</t>
        </is>
      </c>
      <c r="C1038" s="26">
        <f>'Product and Cost'!E12*(1+Assumptions!$B$136*Forecast!$B$6)</f>
        <v>0.0292281408</v>
      </c>
      <c r="D1038" s="26">
        <f>C1038*(1+Assumptions!$B$137*Forecast!$B$6)</f>
        <v>0.0297542473344</v>
      </c>
      <c r="E1038" s="26">
        <f>D1038*(1+Assumptions!$B$138*Forecast!$B$6)</f>
        <v>0.0302303152918</v>
      </c>
      <c r="F1038" s="26">
        <f>E1038*(1+Assumptions!$B$139*Forecast!$B$6)</f>
        <v>0.0306837700211</v>
      </c>
      <c r="G1038" s="26">
        <f>F1038*(1+Assumptions!$B$140*Forecast!$B$6)</f>
        <v>0.0311133428014</v>
      </c>
    </row>
    <row r="1039">
      <c r="A1039" s="9" t="inlineStr">
        <is>
          <t xml:space="preserve">  Volume — Waste, mn t</t>
        </is>
      </c>
      <c r="C1039" s="26">
        <f>'Product and Cost'!E13*(1+Assumptions!$B$141*Forecast!$B$6)</f>
        <v>1.564e-05</v>
      </c>
      <c r="D1039" s="26">
        <f>C1039*(1+Assumptions!$B$142*Forecast!$B$6)</f>
        <v>1.564e-05</v>
      </c>
      <c r="E1039" s="26">
        <f>D1039*(1+Assumptions!$B$143*Forecast!$B$6)</f>
        <v>1.564e-05</v>
      </c>
      <c r="F1039" s="26">
        <f>E1039*(1+Assumptions!$B$144*Forecast!$B$6)</f>
        <v>1.564e-05</v>
      </c>
      <c r="G1039" s="26">
        <f>F1039*(1+Assumptions!$B$145*Forecast!$B$6)</f>
        <v>1.564e-05</v>
      </c>
    </row>
    <row r="1040">
      <c r="A1040" s="17" t="inlineStr">
        <is>
          <t>Total volume, mn t</t>
        </is>
      </c>
      <c r="C1040" s="28">
        <f>SUM(C1032:C1039)</f>
        <v>1.66444229485</v>
      </c>
      <c r="D1040" s="28">
        <f>SUM(D1032:D1039)</f>
        <v>1.70871556852</v>
      </c>
      <c r="E1040" s="28">
        <f>SUM(E1032:E1039)</f>
        <v>1.74798000264</v>
      </c>
      <c r="F1040" s="28">
        <f>SUM(F1032:F1039)</f>
        <v>1.78389402684</v>
      </c>
      <c r="G1040" s="28">
        <f>SUM(G1032:G1039)</f>
        <v>1.81710965772</v>
      </c>
    </row>
    <row r="1041">
      <c r="A1041" s="17" t="inlineStr">
        <is>
          <t>REVENUE</t>
        </is>
      </c>
      <c r="C1041" s="20">
        <f>C1032*'Product and Cost'!$F$6*C1031+C1033*'Product and Cost'!$F$7*C1031+C1034*'Product and Cost'!$F$8*C1031+C1035*'Product and Cost'!$F$9*C1031+C1036*'Product and Cost'!$F$10*C1031+C1037*'Product and Cost'!$F$11*C1031+C1038*'Product and Cost'!$F$12*C1031+C1039*'Product and Cost'!$F$13*C1031</f>
        <v>52840.8111141</v>
      </c>
      <c r="D1041" s="20">
        <f>D1032*'Product and Cost'!$F$6*D1031+D1033*'Product and Cost'!$F$7*D1031+D1034*'Product and Cost'!$F$8*D1031+D1035*'Product and Cost'!$F$9*D1031+D1036*'Product and Cost'!$F$10*D1031+D1037*'Product and Cost'!$F$11*D1031+D1038*'Product and Cost'!$F$12*D1031+D1039*'Product and Cost'!$F$13*D1031</f>
        <v>58432.1672543</v>
      </c>
      <c r="E1041" s="20">
        <f>E1032*'Product and Cost'!$F$6*E1031+E1033*'Product and Cost'!$F$7*E1031+E1034*'Product and Cost'!$F$8*E1031+E1035*'Product and Cost'!$F$9*E1031+E1036*'Product and Cost'!$F$10*E1031+E1037*'Product and Cost'!$F$11*E1031+E1038*'Product and Cost'!$F$12*E1031+E1039*'Product and Cost'!$F$13*E1031</f>
        <v>63772.6371781</v>
      </c>
      <c r="F1041" s="20">
        <f>F1032*'Product and Cost'!$F$6*F1031+F1033*'Product and Cost'!$F$7*F1031+F1034*'Product and Cost'!$F$8*F1031+F1035*'Product and Cost'!$F$9*F1031+F1036*'Product and Cost'!$F$10*F1031+F1037*'Product and Cost'!$F$11*F1031+F1038*'Product and Cost'!$F$12*F1031+F1039*'Product and Cost'!$F$13*F1031</f>
        <v>68952.1790369</v>
      </c>
      <c r="G1041" s="20">
        <f>G1032*'Product and Cost'!$F$6*G1031+G1033*'Product and Cost'!$F$7*G1031+G1034*'Product and Cost'!$F$8*G1031+G1035*'Product and Cost'!$F$9*G1031+G1036*'Product and Cost'!$F$10*G1031+G1037*'Product and Cost'!$F$11*G1031+G1038*'Product and Cost'!$F$12*G1031+G1039*'Product and Cost'!$F$13*G1031</f>
        <v>73977.8431827</v>
      </c>
    </row>
    <row r="1042">
      <c r="A1042" s="9" t="inlineStr">
        <is>
          <t>Cost of sales</t>
        </is>
      </c>
      <c r="C1042" s="18">
        <f>C1032*('Product and Cost'!$D$27*C1031*Assumptions!$B$88+'Product and Cost'!$B$27*(0.4863620081*C1030+0.4455809638*C1030+0.0356254898*C1031+0.0324315384))+C1033*('Product and Cost'!$D$28*C1031*Assumptions!$B$88+'Product and Cost'!$B$28*(0.4863620081*C1030+0.4455809638*C1030+0.0356254898*C1031+0.0324315384))+C1034*('Product and Cost'!$D$29*C1031*Assumptions!$B$88+'Product and Cost'!$B$29*(0.4863620081*C1030+0.4455809638*C1030+0.0356254898*C1031+0.0324315384))+C1035*('Product and Cost'!$D$30*C1031*Assumptions!$B$88+'Product and Cost'!$B$30*(0.4863620081*C1030+0.4455809638*C1030+0.0356254898*C1031+0.0324315384))+C1036*('Product and Cost'!$D$31*C1031*Assumptions!$B$88+'Product and Cost'!$B$31*(0.4863620081*C1030+0.4455809638*C1030+0.0356254898*C1031+0.0324315384))+C1037*('Product and Cost'!$D$32*C1031*Assumptions!$B$88+'Product and Cost'!$B$32*(0.4863620081*C1030+0.4455809638*C1030+0.0356254898*C1031+0.0324315384))+C1038*('Product and Cost'!$D$33*C1031*Assumptions!$B$88+'Product and Cost'!$B$33*(0.4863620081*C1030+0.4455809638*C1030+0.0356254898*C1031+0.0324315384))+C1039*('Product and Cost'!$D$34*C1031*Assumptions!$B$88+'Product and Cost'!$B$34*(0.4863620081*C1030+0.4455809638*C1030+0.0356254898*C1031+0.0324315384))</f>
        <v>48291.1604712</v>
      </c>
      <c r="D1042" s="18">
        <f>D1032*('Product and Cost'!$D$27*D1031*Assumptions!$B$88+'Product and Cost'!$B$27*(0.4863620081*D1030+0.4455809638*D1030+0.0356254898*D1031+0.0324315384))+D1033*('Product and Cost'!$D$28*D1031*Assumptions!$B$88+'Product and Cost'!$B$28*(0.4863620081*D1030+0.4455809638*D1030+0.0356254898*D1031+0.0324315384))+D1034*('Product and Cost'!$D$29*D1031*Assumptions!$B$88+'Product and Cost'!$B$29*(0.4863620081*D1030+0.4455809638*D1030+0.0356254898*D1031+0.0324315384))+D1035*('Product and Cost'!$D$30*D1031*Assumptions!$B$88+'Product and Cost'!$B$30*(0.4863620081*D1030+0.4455809638*D1030+0.0356254898*D1031+0.0324315384))+D1036*('Product and Cost'!$D$31*D1031*Assumptions!$B$88+'Product and Cost'!$B$31*(0.4863620081*D1030+0.4455809638*D1030+0.0356254898*D1031+0.0324315384))+D1037*('Product and Cost'!$D$32*D1031*Assumptions!$B$88+'Product and Cost'!$B$32*(0.4863620081*D1030+0.4455809638*D1030+0.0356254898*D1031+0.0324315384))+D1038*('Product and Cost'!$D$33*D1031*Assumptions!$B$88+'Product and Cost'!$B$33*(0.4863620081*D1030+0.4455809638*D1030+0.0356254898*D1031+0.0324315384))+D1039*('Product and Cost'!$D$34*D1031*Assumptions!$B$88+'Product and Cost'!$B$34*(0.4863620081*D1030+0.4455809638*D1030+0.0356254898*D1031+0.0324315384))</f>
        <v>53647.9823219</v>
      </c>
      <c r="E1042" s="18">
        <f>E1032*('Product and Cost'!$D$27*E1031*Assumptions!$B$88+'Product and Cost'!$B$27*(0.4863620081*E1030+0.4455809638*E1030+0.0356254898*E1031+0.0324315384))+E1033*('Product and Cost'!$D$28*E1031*Assumptions!$B$88+'Product and Cost'!$B$28*(0.4863620081*E1030+0.4455809638*E1030+0.0356254898*E1031+0.0324315384))+E1034*('Product and Cost'!$D$29*E1031*Assumptions!$B$88+'Product and Cost'!$B$29*(0.4863620081*E1030+0.4455809638*E1030+0.0356254898*E1031+0.0324315384))+E1035*('Product and Cost'!$D$30*E1031*Assumptions!$B$88+'Product and Cost'!$B$30*(0.4863620081*E1030+0.4455809638*E1030+0.0356254898*E1031+0.0324315384))+E1036*('Product and Cost'!$D$31*E1031*Assumptions!$B$88+'Product and Cost'!$B$31*(0.4863620081*E1030+0.4455809638*E1030+0.0356254898*E1031+0.0324315384))+E1037*('Product and Cost'!$D$32*E1031*Assumptions!$B$88+'Product and Cost'!$B$32*(0.4863620081*E1030+0.4455809638*E1030+0.0356254898*E1031+0.0324315384))+E1038*('Product and Cost'!$D$33*E1031*Assumptions!$B$88+'Product and Cost'!$B$33*(0.4863620081*E1030+0.4455809638*E1030+0.0356254898*E1031+0.0324315384))+E1039*('Product and Cost'!$D$34*E1031*Assumptions!$B$88+'Product and Cost'!$B$34*(0.4863620081*E1030+0.4455809638*E1030+0.0356254898*E1031+0.0324315384))</f>
        <v>58815.4011786</v>
      </c>
      <c r="F1042" s="18">
        <f>F1032*('Product and Cost'!$D$27*F1031*Assumptions!$B$88+'Product and Cost'!$B$27*(0.4863620081*F1030+0.4455809638*F1030+0.0356254898*F1031+0.0324315384))+F1033*('Product and Cost'!$D$28*F1031*Assumptions!$B$88+'Product and Cost'!$B$28*(0.4863620081*F1030+0.4455809638*F1030+0.0356254898*F1031+0.0324315384))+F1034*('Product and Cost'!$D$29*F1031*Assumptions!$B$88+'Product and Cost'!$B$29*(0.4863620081*F1030+0.4455809638*F1030+0.0356254898*F1031+0.0324315384))+F1035*('Product and Cost'!$D$30*F1031*Assumptions!$B$88+'Product and Cost'!$B$30*(0.4863620081*F1030+0.4455809638*F1030+0.0356254898*F1031+0.0324315384))+F1036*('Product and Cost'!$D$31*F1031*Assumptions!$B$88+'Product and Cost'!$B$31*(0.4863620081*F1030+0.4455809638*F1030+0.0356254898*F1031+0.0324315384))+F1037*('Product and Cost'!$D$32*F1031*Assumptions!$B$88+'Product and Cost'!$B$32*(0.4863620081*F1030+0.4455809638*F1030+0.0356254898*F1031+0.0324315384))+F1038*('Product and Cost'!$D$33*F1031*Assumptions!$B$88+'Product and Cost'!$B$33*(0.4863620081*F1030+0.4455809638*F1030+0.0356254898*F1031+0.0324315384))+F1039*('Product and Cost'!$D$34*F1031*Assumptions!$B$88+'Product and Cost'!$B$34*(0.4863620081*F1030+0.4455809638*F1030+0.0356254898*F1031+0.0324315384))</f>
        <v>63847.5732702</v>
      </c>
      <c r="G1042" s="18">
        <f>G1032*('Product and Cost'!$D$27*G1031*Assumptions!$B$88+'Product and Cost'!$B$27*(0.4863620081*G1030+0.4455809638*G1030+0.0356254898*G1031+0.0324315384))+G1033*('Product and Cost'!$D$28*G1031*Assumptions!$B$88+'Product and Cost'!$B$28*(0.4863620081*G1030+0.4455809638*G1030+0.0356254898*G1031+0.0324315384))+G1034*('Product and Cost'!$D$29*G1031*Assumptions!$B$88+'Product and Cost'!$B$29*(0.4863620081*G1030+0.4455809638*G1030+0.0356254898*G1031+0.0324315384))+G1035*('Product and Cost'!$D$30*G1031*Assumptions!$B$88+'Product and Cost'!$B$30*(0.4863620081*G1030+0.4455809638*G1030+0.0356254898*G1031+0.0324315384))+G1036*('Product and Cost'!$D$31*G1031*Assumptions!$B$88+'Product and Cost'!$B$31*(0.4863620081*G1030+0.4455809638*G1030+0.0356254898*G1031+0.0324315384))+G1037*('Product and Cost'!$D$32*G1031*Assumptions!$B$88+'Product and Cost'!$B$32*(0.4863620081*G1030+0.4455809638*G1030+0.0356254898*G1031+0.0324315384))+G1038*('Product and Cost'!$D$33*G1031*Assumptions!$B$88+'Product and Cost'!$B$33*(0.4863620081*G1030+0.4455809638*G1030+0.0356254898*G1031+0.0324315384))+G1039*('Product and Cost'!$D$34*G1031*Assumptions!$B$88+'Product and Cost'!$B$34*(0.4863620081*G1030+0.4455809638*G1030+0.0356254898*G1031+0.0324315384))</f>
        <v>68797.1859175</v>
      </c>
    </row>
    <row r="1043">
      <c r="A1043" s="17" t="inlineStr">
        <is>
          <t>GROSS PROFIT</t>
        </is>
      </c>
      <c r="C1043" s="20">
        <f>C1041-C1042+Forecast!$B$7*C1041</f>
        <v>4549.65064286</v>
      </c>
      <c r="D1043" s="20">
        <f>D1041-D1042+Forecast!$B$7*D1041</f>
        <v>4784.18493236</v>
      </c>
      <c r="E1043" s="20">
        <f>E1041-E1042+Forecast!$B$7*E1041</f>
        <v>4957.23599944</v>
      </c>
      <c r="F1043" s="20">
        <f>F1041-F1042+Forecast!$B$7*F1041</f>
        <v>5104.60576669</v>
      </c>
      <c r="G1043" s="20">
        <f>G1041-G1042+Forecast!$B$7*G1041</f>
        <v>5180.65726511</v>
      </c>
    </row>
    <row r="1044">
      <c r="A1044" s="9" t="inlineStr">
        <is>
          <t>Gross margin</t>
        </is>
      </c>
      <c r="C1044" s="19">
        <f>C1043/C1041</f>
        <v>0.0861010750391</v>
      </c>
      <c r="D1044" s="19">
        <f>D1043/D1041</f>
        <v>0.0818758768871</v>
      </c>
      <c r="E1044" s="19">
        <f>E1043/E1041</f>
        <v>0.0777329622672</v>
      </c>
      <c r="F1044" s="19">
        <f>F1043/F1041</f>
        <v>0.0740311015255</v>
      </c>
      <c r="G1044" s="19">
        <f>G1043/G1041</f>
        <v>0.0700298500501</v>
      </c>
    </row>
    <row r="1045">
      <c r="A1045" s="9" t="inlineStr">
        <is>
          <t>Operating expense</t>
        </is>
      </c>
      <c r="C1045" s="18">
        <f>('Base Year'!$B$28*C1030)+('Base Year'!$B$29*C1030*C1040/'Product and Cost'!$E$14)+('Base Year'!$B$30*C1030)+('Base Year'!$B$31*C1030)</f>
        <v>2007.6668112</v>
      </c>
      <c r="D1045" s="18">
        <f>('Base Year'!$B$28*D1030)+('Base Year'!$B$29*D1030*D1040/'Product and Cost'!$E$14)+('Base Year'!$B$30*D1030)+('Base Year'!$B$31*D1030)</f>
        <v>2276.29775955</v>
      </c>
      <c r="E1045" s="18">
        <f>('Base Year'!$B$28*E1030)+('Base Year'!$B$29*E1030*E1040/'Product and Cost'!$E$14)+('Base Year'!$B$30*E1030)+('Base Year'!$B$31*E1030)</f>
        <v>2545.62118024</v>
      </c>
      <c r="F1045" s="18">
        <f>('Base Year'!$B$28*F1030)+('Base Year'!$B$29*F1030*F1040/'Product and Cost'!$E$14)+('Base Year'!$B$30*F1030)+('Base Year'!$B$31*F1030)</f>
        <v>2807.77881104</v>
      </c>
      <c r="G1045" s="18">
        <f>('Base Year'!$B$28*G1030)+('Base Year'!$B$29*G1030*G1040/'Product and Cost'!$E$14)+('Base Year'!$B$30*G1030)+('Base Year'!$B$31*G1030)</f>
        <v>3082.20998189</v>
      </c>
    </row>
    <row r="1046">
      <c r="A1046" s="17" t="inlineStr">
        <is>
          <t>EBITDA</t>
        </is>
      </c>
      <c r="C1046" s="20">
        <f>C1043-C1045</f>
        <v>2541.98383166</v>
      </c>
      <c r="D1046" s="20">
        <f>D1043-D1045</f>
        <v>2507.88717281</v>
      </c>
      <c r="E1046" s="20">
        <f>E1043-E1045</f>
        <v>2411.6148192</v>
      </c>
      <c r="F1046" s="20">
        <f>F1043-F1045</f>
        <v>2296.82695565</v>
      </c>
      <c r="G1046" s="20">
        <f>G1043-G1045</f>
        <v>2098.44728323</v>
      </c>
    </row>
    <row r="1047">
      <c r="A1047" s="9" t="inlineStr">
        <is>
          <t>Capital expenditure — maintenance + growth</t>
        </is>
      </c>
      <c r="C1047" s="18">
        <f>'Base Year'!$B$43*C1030+MAX(C1040-'Product and Cost'!$E$14,0)*1947.901031*C1030</f>
        <v>280.931999159</v>
      </c>
      <c r="D1047" s="18">
        <f>'Base Year'!$B$43*D1030+MAX(D1040-C1040,0)*1947.901031*D1030</f>
        <v>307.3675836</v>
      </c>
      <c r="E1047" s="18">
        <f>'Base Year'!$B$43*E1030+MAX(E1040-D1040,0)*1947.901031*E1030</f>
        <v>328.639389001</v>
      </c>
      <c r="F1047" s="18">
        <f>'Base Year'!$B$43*F1030+MAX(F1040-E1040,0)*1947.901031*F1030</f>
        <v>351.146749034</v>
      </c>
      <c r="G1047" s="18">
        <f>'Base Year'!$B$43*G1030+MAX(G1040-F1040,0)*1947.901031*G1030</f>
        <v>375.372179467</v>
      </c>
    </row>
    <row r="1048">
      <c r="A1048" s="9" t="inlineStr">
        <is>
          <t>Fixed assets at cost, closing</t>
        </is>
      </c>
      <c r="C1048" s="18">
        <f>(Assumptions!$B$70+Assumptions!$B$71)/10^6+C1047</f>
        <v>3429.06589416</v>
      </c>
      <c r="D1048" s="18">
        <f>C1048+D1047</f>
        <v>3736.43347776</v>
      </c>
      <c r="E1048" s="18">
        <f>D1048+E1047</f>
        <v>4065.07286676</v>
      </c>
      <c r="F1048" s="18">
        <f>E1048+F1047</f>
        <v>4416.21961579</v>
      </c>
      <c r="G1048" s="18">
        <f>F1048+G1047</f>
        <v>4791.59179526</v>
      </c>
    </row>
    <row r="1049">
      <c r="A1049" s="9" t="inlineStr">
        <is>
          <t>Depreciation — rolls off the asset register</t>
        </is>
      </c>
      <c r="C1049" s="18">
        <f>(Assumptions!$B$70+Assumptions!$B$71)/10^6/'Base Year'!$B$42</f>
        <v>173.808854481</v>
      </c>
      <c r="D1049" s="18">
        <f>C1048/'Base Year'!$B$42</f>
        <v>189.319144255</v>
      </c>
      <c r="E1049" s="18">
        <f>D1048/'Base Year'!$B$42</f>
        <v>206.288945856</v>
      </c>
      <c r="F1049" s="18">
        <f>E1048/'Base Year'!$B$42</f>
        <v>224.433166415</v>
      </c>
      <c r="G1049" s="18">
        <f>F1048/'Base Year'!$B$42</f>
        <v>243.820021053</v>
      </c>
    </row>
    <row r="1050">
      <c r="A1050" s="9" t="inlineStr">
        <is>
          <t>Fixed assets, net book, closing</t>
        </is>
      </c>
      <c r="C1050" s="18">
        <f>(Assumptions!$B$69+Assumptions!$B$71)/10^6+C1047-C1049</f>
        <v>1407.46262168</v>
      </c>
      <c r="D1050" s="18">
        <f>C1050+D1047-D1049</f>
        <v>1525.51106102</v>
      </c>
      <c r="E1050" s="18">
        <f>D1050+E1047-E1049</f>
        <v>1647.86150417</v>
      </c>
      <c r="F1050" s="18">
        <f>E1050+F1047-F1049</f>
        <v>1774.57508679</v>
      </c>
      <c r="G1050" s="18">
        <f>F1050+G1047-G1049</f>
        <v>1906.1272452</v>
      </c>
    </row>
    <row r="1051">
      <c r="A1051" s="17" t="inlineStr">
        <is>
          <t>EBIT</t>
        </is>
      </c>
      <c r="C1051" s="20">
        <f>C1046-C1049</f>
        <v>2368.17497718</v>
      </c>
      <c r="D1051" s="20">
        <f>D1046-D1049</f>
        <v>2318.56802856</v>
      </c>
      <c r="E1051" s="20">
        <f>E1046-E1049</f>
        <v>2205.32587334</v>
      </c>
      <c r="F1051" s="20">
        <f>F1046-F1049</f>
        <v>2072.39378923</v>
      </c>
      <c r="G1051" s="20">
        <f>G1046-G1049</f>
        <v>1854.62726217</v>
      </c>
    </row>
    <row r="1052">
      <c r="A1052" s="9" t="inlineStr">
        <is>
          <t>NOPAT before the profit share</t>
        </is>
      </c>
      <c r="C1052" s="18">
        <f>C1051*(1-Assumptions!$B$87)</f>
        <v>1835.33560732</v>
      </c>
      <c r="D1052" s="18">
        <f>D1051*(1-Assumptions!$B$87)</f>
        <v>1796.89022213</v>
      </c>
      <c r="E1052" s="18">
        <f>E1051*(1-Assumptions!$B$87)</f>
        <v>1709.12755184</v>
      </c>
      <c r="F1052" s="18">
        <f>F1051*(1-Assumptions!$B$87)</f>
        <v>1606.10518666</v>
      </c>
      <c r="G1052" s="18">
        <f>G1051*(1-Assumptions!$B$87)</f>
        <v>1437.33612818</v>
      </c>
    </row>
    <row r="1053">
      <c r="A1053" s="9" t="inlineStr">
        <is>
          <t xml:space="preserve">  less employees' profit share and board bonuses</t>
        </is>
      </c>
      <c r="C1053" s="18">
        <f>MAX(C1052,0)*'Base Year'!$B$40</f>
        <v>96.7608009272</v>
      </c>
      <c r="D1053" s="18">
        <f>MAX(D1052,0)*'Base Year'!$B$40</f>
        <v>94.7339202588</v>
      </c>
      <c r="E1053" s="18">
        <f>MAX(E1052,0)*'Base Year'!$B$40</f>
        <v>90.1069810576</v>
      </c>
      <c r="F1053" s="18">
        <f>MAX(F1052,0)*'Base Year'!$B$40</f>
        <v>84.6755348801</v>
      </c>
      <c r="G1053" s="18">
        <f>MAX(G1052,0)*'Base Year'!$B$40</f>
        <v>75.7778546933</v>
      </c>
    </row>
    <row r="1054">
      <c r="A1054" s="17" t="inlineStr">
        <is>
          <t>NOPAT</t>
        </is>
      </c>
      <c r="C1054" s="20">
        <f>C1052-C1053</f>
        <v>1738.57480639</v>
      </c>
      <c r="D1054" s="20">
        <f>D1052-D1053</f>
        <v>1702.15630187</v>
      </c>
      <c r="E1054" s="20">
        <f>E1052-E1053</f>
        <v>1619.02057078</v>
      </c>
      <c r="F1054" s="20">
        <f>F1052-F1053</f>
        <v>1521.42965178</v>
      </c>
      <c r="G1054" s="20">
        <f>G1052-G1053</f>
        <v>1361.55827349</v>
      </c>
    </row>
    <row r="1055">
      <c r="A1055" s="9" t="inlineStr">
        <is>
          <t>Net working capital — on days</t>
        </is>
      </c>
      <c r="C1055" s="18">
        <f>'Base Year'!$B$44*$E$34/365*C1042+'Base Year'!$B$45*$E$34/365*C1041-'Base Year'!$B$46*$E$34/365*C1042</f>
        <v>1269.84596861</v>
      </c>
      <c r="D1055" s="18">
        <f>'Base Year'!$B$44*$E$34/365*D1042+'Base Year'!$B$45*$E$34/365*D1041-'Base Year'!$B$46*$E$34/365*D1042</f>
        <v>1408.00551546</v>
      </c>
      <c r="E1055" s="18">
        <f>'Base Year'!$B$44*$E$34/365*E1042+'Base Year'!$B$45*$E$34/365*E1041-'Base Year'!$B$46*$E$34/365*E1042</f>
        <v>1540.74821506</v>
      </c>
      <c r="F1055" s="18">
        <f>'Base Year'!$B$44*$E$34/365*F1042+'Base Year'!$B$45*$E$34/365*F1041-'Base Year'!$B$46*$E$34/365*F1042</f>
        <v>1669.80512767</v>
      </c>
      <c r="G1055" s="18">
        <f>'Base Year'!$B$44*$E$34/365*G1042+'Base Year'!$B$45*$E$34/365*G1041-'Base Year'!$B$46*$E$34/365*G1042</f>
        <v>1796.0557049</v>
      </c>
    </row>
    <row r="1056">
      <c r="A1056" s="9" t="inlineStr">
        <is>
          <t xml:space="preserve">  change in working capital</t>
        </is>
      </c>
      <c r="C1056" s="18">
        <f>C1055-('Base Year'!$B$44/365*'Base Year'!$B$21+'Base Year'!$B$45/365*'Base Year'!$B$19-'Base Year'!$B$46/365*'Base Year'!$B$21)</f>
        <v>-981.55632039</v>
      </c>
      <c r="D1056" s="18">
        <f>D1055-C1055</f>
        <v>138.159546846</v>
      </c>
      <c r="E1056" s="18">
        <f>E1055-D1055</f>
        <v>132.742699602</v>
      </c>
      <c r="F1056" s="18">
        <f>F1055-E1055</f>
        <v>129.056912611</v>
      </c>
      <c r="G1056" s="18">
        <f>G1055-F1055</f>
        <v>126.250577228</v>
      </c>
    </row>
    <row r="1057">
      <c r="A1057" s="17" t="inlineStr">
        <is>
          <t>FREE CASH FLOW TO THE FIRM</t>
        </is>
      </c>
      <c r="C1057" s="20">
        <f>C1054+C1049-C1047-C1056</f>
        <v>2613.0079821</v>
      </c>
      <c r="D1057" s="20">
        <f>D1054+D1049-D1047-D1056</f>
        <v>1445.94831568</v>
      </c>
      <c r="E1057" s="20">
        <f>E1054+E1049-E1047-E1056</f>
        <v>1363.92742804</v>
      </c>
      <c r="F1057" s="20">
        <f>F1054+F1049-F1047-F1056</f>
        <v>1265.65915655</v>
      </c>
      <c r="G1057" s="20">
        <f>G1054+G1049-G1047-G1056</f>
        <v>1103.75553785</v>
      </c>
    </row>
    <row r="1058">
      <c r="A1058" s="9" t="inlineStr">
        <is>
          <t>Glide fraction</t>
        </is>
      </c>
      <c r="C1058" s="26">
        <f>0.0000000000</f>
        <v>0</v>
      </c>
      <c r="D1058" s="26">
        <f>0.3571428571</f>
        <v>0.3571428571</v>
      </c>
      <c r="E1058" s="26">
        <f>0.6428571429</f>
        <v>0.6428571429</v>
      </c>
      <c r="F1058" s="26">
        <f>0.8571428571</f>
        <v>0.8571428571</v>
      </c>
      <c r="G1058" s="26">
        <f>1.0000000000</f>
        <v>1</v>
      </c>
    </row>
    <row r="1059">
      <c r="A1059" s="9" t="inlineStr">
        <is>
          <t>Forward cost of capital</t>
        </is>
      </c>
      <c r="C1059" s="19">
        <f>Forecast!$B$14-(Forecast!$B$14-Forecast!$B$17)*C1058</f>
        <v>0.31578338914</v>
      </c>
      <c r="D1059" s="19">
        <f>Forecast!$B$14-(Forecast!$B$14-Forecast!$B$17)*D1058</f>
        <v>0.268515637955</v>
      </c>
      <c r="E1059" s="19">
        <f>Forecast!$B$14-(Forecast!$B$14-Forecast!$B$17)*E1058</f>
        <v>0.230701436991</v>
      </c>
      <c r="F1059" s="19">
        <f>Forecast!$B$14-(Forecast!$B$14-Forecast!$B$17)*F1058</f>
        <v>0.202340786287</v>
      </c>
      <c r="G1059" s="19">
        <f>Forecast!$B$14-(Forecast!$B$14-Forecast!$B$17)*G1058</f>
        <v>0.183433685805</v>
      </c>
    </row>
    <row r="1060">
      <c r="A1060" s="9" t="inlineStr">
        <is>
          <t>Cumulative discount factor</t>
        </is>
      </c>
      <c r="C1060" s="29">
        <f>1/(1+C1059)</f>
        <v>0.760003514449</v>
      </c>
      <c r="D1060" s="29">
        <f>C1060/(1+D1059)</f>
        <v>0.599128218612</v>
      </c>
      <c r="E1060" s="29">
        <f>D1060/(1+E1059)</f>
        <v>0.486818492775</v>
      </c>
      <c r="F1060" s="29">
        <f>E1060/(1+F1059)</f>
        <v>0.404892272081</v>
      </c>
      <c r="G1060" s="29">
        <f>F1060/(1+G1059)</f>
        <v>0.342133468852</v>
      </c>
    </row>
    <row r="1061">
      <c r="A1061" s="9" t="inlineStr">
        <is>
          <t>Present value</t>
        </is>
      </c>
      <c r="C1061" s="18">
        <f>C1057*C1060</f>
        <v>1985.89524968</v>
      </c>
      <c r="D1061" s="18">
        <f>D1057*D1060</f>
        <v>866.30843858</v>
      </c>
      <c r="E1061" s="18">
        <f>E1057*E1060</f>
        <v>663.985094772</v>
      </c>
      <c r="F1061" s="18">
        <f>F1057*F1060</f>
        <v>512.455611573</v>
      </c>
      <c r="G1061" s="18">
        <f>G1057*G1060</f>
        <v>377.631710929</v>
      </c>
    </row>
    <row r="1062">
      <c r="A1062" s="17" t="inlineStr">
        <is>
          <t>PV of the explicit window</t>
        </is>
      </c>
      <c r="B1062" s="20">
        <f>SUM(C1061:G1061)</f>
        <v>4406.27610553</v>
      </c>
      <c r="C1062" s="18">
        <f>C1055+C1048</f>
        <v>4698.91186277</v>
      </c>
      <c r="D1062" s="18">
        <f>D1055+D1048</f>
        <v>5144.43899321</v>
      </c>
      <c r="E1062" s="18">
        <f>E1055+E1048</f>
        <v>5605.82108182</v>
      </c>
      <c r="F1062" s="18">
        <f>F1055+F1048</f>
        <v>6086.02474346</v>
      </c>
      <c r="G1062" s="18">
        <f>G1055+G1048</f>
        <v>6587.64750016</v>
      </c>
    </row>
    <row r="1063">
      <c r="A1063" s="9" t="inlineStr">
        <is>
          <t>Terminal return on invested capital, at REPLACEMENT cost</t>
        </is>
      </c>
      <c r="B1063" s="19">
        <f>G1054*(1+Assumptions!$B$89)/G1062</f>
        <v>0.217017711882</v>
      </c>
    </row>
    <row r="1064">
      <c r="A1064" s="9" t="inlineStr">
        <is>
          <t>Required reinvestment = growth / return</t>
        </is>
      </c>
      <c r="B1064" s="19">
        <f>MIN(Assumptions!$B$89/B1063,0.95)</f>
        <v>0.230395941264</v>
      </c>
    </row>
    <row r="1065">
      <c r="A1065" s="9" t="inlineStr">
        <is>
          <t>Terminal value</t>
        </is>
      </c>
      <c r="B1065" s="18">
        <f>G1054*(1+Assumptions!$B$89)*(1-B1064)/MAX(Forecast!$B$17-Assumptions!$B$89,0.02)</f>
        <v>8245.69752021</v>
      </c>
    </row>
    <row r="1066">
      <c r="A1066" s="9" t="inlineStr">
        <is>
          <t>PV of the terminal block</t>
        </is>
      </c>
      <c r="B1066" s="18">
        <f>B1065*G1060</f>
        <v>2821.12909569</v>
      </c>
    </row>
    <row r="1067">
      <c r="A1067" s="17" t="inlineStr">
        <is>
          <t>ENTERPRISE VALUE</t>
        </is>
      </c>
      <c r="B1067" s="20">
        <f>B1062+B1066</f>
        <v>7227.40520122</v>
      </c>
    </row>
    <row r="1068">
      <c r="A1068" s="9" t="inlineStr">
        <is>
          <t>plus net cash</t>
        </is>
      </c>
      <c r="B1068" s="18">
        <f>(Assumptions!$B$79-Assumptions!$B$82-Assumptions!$B$83)/10^6</f>
        <v>2442.544928</v>
      </c>
    </row>
    <row r="1069">
      <c r="A1069" s="9" t="inlineStr">
        <is>
          <t>Enterprise value including cash</t>
        </is>
      </c>
      <c r="B1069" s="18">
        <f>B1067+B1068</f>
        <v>9669.95012922</v>
      </c>
    </row>
    <row r="1070">
      <c r="A1070" s="9" t="inlineStr">
        <is>
          <t>less minority — on the WHOLE enterprise, cash included</t>
        </is>
      </c>
      <c r="B1070" s="18">
        <f>B1069*'Base Year'!$B$41</f>
        <v>315.070596222</v>
      </c>
    </row>
    <row r="1071">
      <c r="A1071" s="9" t="inlineStr">
        <is>
          <t>less the tax-disputes provision</t>
        </is>
      </c>
      <c r="B1071" s="18">
        <f>Assumptions!$B$78/10^6</f>
        <v>921.440353</v>
      </c>
    </row>
    <row r="1072">
      <c r="A1072" s="9" t="inlineStr">
        <is>
          <t>less dividends payable — declared, out of working capital</t>
        </is>
      </c>
      <c r="B1072" s="18">
        <f>Assumptions!$B$77/10^6</f>
        <v>517.25</v>
      </c>
    </row>
    <row r="1073">
      <c r="A1073" s="9" t="inlineStr">
        <is>
          <t>plus non-operating investments and pledged deposits</t>
        </is>
      </c>
      <c r="B1073" s="18">
        <f>(Assumptions!$B$81+Assumptions!$B$80)/10^6</f>
        <v>578.358746</v>
      </c>
    </row>
    <row r="1074">
      <c r="A1074" s="17" t="inlineStr">
        <is>
          <t>EQUITY ATTRIBUTABLE</t>
        </is>
      </c>
      <c r="B1074" s="20">
        <f>B1069-B1070-B1071-B1072+B1073</f>
        <v>8494.547926</v>
      </c>
    </row>
    <row r="1075">
      <c r="A1075" s="17" t="inlineStr">
        <is>
          <t>VALUE PER SHARE, EGP</t>
        </is>
      </c>
      <c r="B1075" s="30">
        <f>B1074/Assumptions!$B$8</f>
        <v>6.57727288115</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9" t="inlineStr">
        <is>
          <t>Inflation index, cumulative</t>
        </is>
      </c>
      <c r="C1079" s="26">
        <f>Assumptions!$B$146</f>
        <v>1.145</v>
      </c>
      <c r="D1079" s="26">
        <f>C1079*Assumptions!$B$147</f>
        <v>1.29385</v>
      </c>
      <c r="E1079" s="26">
        <f>D1079*Assumptions!$B$148</f>
        <v>1.44264275</v>
      </c>
      <c r="F1079" s="26">
        <f>E1079*Assumptions!$B$149</f>
        <v>1.586907025</v>
      </c>
      <c r="G1079" s="26">
        <f>F1079*Assumptions!$B$150</f>
        <v>1.73766319237</v>
      </c>
    </row>
    <row r="1080">
      <c r="A1080" s="9" t="inlineStr">
        <is>
          <t>Realisation index, cumulative</t>
        </is>
      </c>
      <c r="C1080" s="26">
        <f>(1+Assumptions!$B$101*Forecast!$B$8)</f>
        <v>1.09</v>
      </c>
      <c r="D1080" s="26">
        <f>C1080*(1+Assumptions!$B$102*Forecast!$B$8)</f>
        <v>1.17175</v>
      </c>
      <c r="E1080" s="26">
        <f>D1080*(1+Assumptions!$B$103*Forecast!$B$8)</f>
        <v>1.24791375</v>
      </c>
      <c r="F1080" s="26">
        <f>E1080*(1+Assumptions!$B$104*Forecast!$B$8)</f>
        <v>1.3202927475</v>
      </c>
      <c r="G1080" s="26">
        <f>F1080*(1+Assumptions!$B$105*Forecast!$B$8)</f>
        <v>1.38894797037</v>
      </c>
    </row>
    <row r="1081">
      <c r="A1081" s="9" t="inlineStr">
        <is>
          <t xml:space="preserve">  Volume — Base and special oils, mn t</t>
        </is>
      </c>
      <c r="C1081" s="26">
        <f>'Product and Cost'!E6*(1+Assumptions!$B$106*Forecast!$B$6)</f>
        <v>0.1148851682</v>
      </c>
      <c r="D1081" s="26">
        <f>C1081*(1+Assumptions!$B$107*Forecast!$B$6)</f>
        <v>0.119480574928</v>
      </c>
      <c r="E1081" s="26">
        <f>D1081*(1+Assumptions!$B$108*Forecast!$B$6)</f>
        <v>0.12366239505</v>
      </c>
      <c r="F1081" s="26">
        <f>E1081*(1+Assumptions!$B$109*Forecast!$B$6)</f>
        <v>0.127372266902</v>
      </c>
      <c r="G1081" s="26">
        <f>F1081*(1+Assumptions!$B$110*Forecast!$B$6)</f>
        <v>0.130938690375</v>
      </c>
    </row>
    <row r="1082">
      <c r="A1082" s="9" t="inlineStr">
        <is>
          <t xml:space="preserve">  Volume — Paraffin wax, mn t</t>
        </is>
      </c>
      <c r="C1082" s="26">
        <f>'Product and Cost'!E7*(1+Assumptions!$B$111*Forecast!$B$6)</f>
        <v>0.089396788</v>
      </c>
      <c r="D1082" s="26">
        <f>C1082*(1+Assumptions!$B$112*Forecast!$B$6)</f>
        <v>0.09431361134</v>
      </c>
      <c r="E1082" s="26">
        <f>D1082*(1+Assumptions!$B$113*Forecast!$B$6)</f>
        <v>0.0985577238503</v>
      </c>
      <c r="F1082" s="26">
        <f>E1082*(1+Assumptions!$B$114*Forecast!$B$6)</f>
        <v>0.102302917357</v>
      </c>
      <c r="G1082" s="26">
        <f>F1082*(1+Assumptions!$B$115*Forecast!$B$6)</f>
        <v>0.105576610712</v>
      </c>
    </row>
    <row r="1083">
      <c r="A1083" s="9" t="inlineStr">
        <is>
          <t xml:space="preserve">  Volume — Gas oil, mn t</t>
        </is>
      </c>
      <c r="C1083" s="26">
        <f>'Product and Cost'!E8*(1+Assumptions!$B$116*Forecast!$B$6)</f>
        <v>0.35023715724</v>
      </c>
      <c r="D1083" s="26">
        <f>C1083*(1+Assumptions!$B$117*Forecast!$B$6)</f>
        <v>0.357241900385</v>
      </c>
      <c r="E1083" s="26">
        <f>D1083*(1+Assumptions!$B$118*Forecast!$B$6)</f>
        <v>0.363672254592</v>
      </c>
      <c r="F1083" s="26">
        <f>E1083*(1+Assumptions!$B$119*Forecast!$B$6)</f>
        <v>0.369491010665</v>
      </c>
      <c r="G1083" s="26">
        <f>F1083*(1+Assumptions!$B$120*Forecast!$B$6)</f>
        <v>0.375033375825</v>
      </c>
    </row>
    <row r="1084">
      <c r="A1084" s="9" t="inlineStr">
        <is>
          <t xml:space="preserve">  Volume — Naphtha, mn t</t>
        </is>
      </c>
      <c r="C1084" s="26">
        <f>'Product and Cost'!E9*(1+Assumptions!$B$121*Forecast!$B$6)</f>
        <v>0.08410463971</v>
      </c>
      <c r="D1084" s="26">
        <f>C1084*(1+Assumptions!$B$122*Forecast!$B$6)</f>
        <v>0.0856185232248</v>
      </c>
      <c r="E1084" s="26">
        <f>D1084*(1+Assumptions!$B$123*Forecast!$B$6)</f>
        <v>0.0871596566428</v>
      </c>
      <c r="F1084" s="26">
        <f>E1084*(1+Assumptions!$B$124*Forecast!$B$6)</f>
        <v>0.0885542111491</v>
      </c>
      <c r="G1084" s="26">
        <f>F1084*(1+Assumptions!$B$125*Forecast!$B$6)</f>
        <v>0.0898825243163</v>
      </c>
    </row>
    <row r="1085">
      <c r="A1085" s="9" t="inlineStr">
        <is>
          <t xml:space="preserve">  Volume — Liquefied petroleum gas, mn t</t>
        </is>
      </c>
      <c r="C1085" s="26">
        <f>'Product and Cost'!E10*(1+Assumptions!$B$126*Forecast!$B$6)</f>
        <v>0.0486583449</v>
      </c>
      <c r="D1085" s="26">
        <f>C1085*(1+Assumptions!$B$127*Forecast!$B$6)</f>
        <v>0.0497288284878</v>
      </c>
      <c r="E1085" s="26">
        <f>D1085*(1+Assumptions!$B$128*Forecast!$B$6)</f>
        <v>0.0507234050576</v>
      </c>
      <c r="F1085" s="26">
        <f>E1085*(1+Assumptions!$B$129*Forecast!$B$6)</f>
        <v>0.0516364263486</v>
      </c>
      <c r="G1085" s="26">
        <f>F1085*(1+Assumptions!$B$130*Forecast!$B$6)</f>
        <v>0.0524626091702</v>
      </c>
    </row>
    <row r="1086">
      <c r="A1086" s="9" t="inlineStr">
        <is>
          <t xml:space="preserve">  Volume — Fuel oil (mix), mn t</t>
        </is>
      </c>
      <c r="C1086" s="26">
        <f>'Product and Cost'!E11*(1+Assumptions!$B$131*Forecast!$B$6)</f>
        <v>0.947916416</v>
      </c>
      <c r="D1086" s="26">
        <f>C1086*(1+Assumptions!$B$132*Forecast!$B$6)</f>
        <v>0.972562242816</v>
      </c>
      <c r="E1086" s="26">
        <f>D1086*(1+Assumptions!$B$133*Forecast!$B$6)</f>
        <v>0.993958612158</v>
      </c>
      <c r="F1086" s="26">
        <f>E1086*(1+Assumptions!$B$134*Forecast!$B$6)</f>
        <v>1.0138377844</v>
      </c>
      <c r="G1086" s="26">
        <f>F1086*(1+Assumptions!$B$135*Forecast!$B$6)</f>
        <v>1.03208686452</v>
      </c>
    </row>
    <row r="1087">
      <c r="A1087" s="9" t="inlineStr">
        <is>
          <t xml:space="preserve">  Volume — Heavy fuel oil, mn t</t>
        </is>
      </c>
      <c r="C1087" s="26">
        <f>'Product and Cost'!E12*(1+Assumptions!$B$136*Forecast!$B$6)</f>
        <v>0.0292281408</v>
      </c>
      <c r="D1087" s="26">
        <f>C1087*(1+Assumptions!$B$137*Forecast!$B$6)</f>
        <v>0.0297542473344</v>
      </c>
      <c r="E1087" s="26">
        <f>D1087*(1+Assumptions!$B$138*Forecast!$B$6)</f>
        <v>0.0302303152918</v>
      </c>
      <c r="F1087" s="26">
        <f>E1087*(1+Assumptions!$B$139*Forecast!$B$6)</f>
        <v>0.0306837700211</v>
      </c>
      <c r="G1087" s="26">
        <f>F1087*(1+Assumptions!$B$140*Forecast!$B$6)</f>
        <v>0.0311133428014</v>
      </c>
    </row>
    <row r="1088">
      <c r="A1088" s="9" t="inlineStr">
        <is>
          <t xml:space="preserve">  Volume — Waste, mn t</t>
        </is>
      </c>
      <c r="C1088" s="26">
        <f>'Product and Cost'!E13*(1+Assumptions!$B$141*Forecast!$B$6)</f>
        <v>1.564e-05</v>
      </c>
      <c r="D1088" s="26">
        <f>C1088*(1+Assumptions!$B$142*Forecast!$B$6)</f>
        <v>1.564e-05</v>
      </c>
      <c r="E1088" s="26">
        <f>D1088*(1+Assumptions!$B$143*Forecast!$B$6)</f>
        <v>1.564e-05</v>
      </c>
      <c r="F1088" s="26">
        <f>E1088*(1+Assumptions!$B$144*Forecast!$B$6)</f>
        <v>1.564e-05</v>
      </c>
      <c r="G1088" s="26">
        <f>F1088*(1+Assumptions!$B$145*Forecast!$B$6)</f>
        <v>1.564e-05</v>
      </c>
    </row>
    <row r="1089">
      <c r="A1089" s="17" t="inlineStr">
        <is>
          <t>Total volume, mn t</t>
        </is>
      </c>
      <c r="C1089" s="28">
        <f>SUM(C1081:C1088)</f>
        <v>1.66444229485</v>
      </c>
      <c r="D1089" s="28">
        <f>SUM(D1081:D1088)</f>
        <v>1.70871556852</v>
      </c>
      <c r="E1089" s="28">
        <f>SUM(E1081:E1088)</f>
        <v>1.74798000264</v>
      </c>
      <c r="F1089" s="28">
        <f>SUM(F1081:F1088)</f>
        <v>1.78389402684</v>
      </c>
      <c r="G1089" s="28">
        <f>SUM(G1081:G1088)</f>
        <v>1.81710965772</v>
      </c>
    </row>
    <row r="1090">
      <c r="A1090" s="17" t="inlineStr">
        <is>
          <t>REVENUE</t>
        </is>
      </c>
      <c r="C1090" s="20">
        <f>C1081*'Product and Cost'!$F$6*C1080+C1082*'Product and Cost'!$F$7*C1080+C1083*'Product and Cost'!$F$8*C1080+C1084*'Product and Cost'!$F$9*C1080+C1085*'Product and Cost'!$F$10*C1080+C1086*'Product and Cost'!$F$11*C1080+C1087*'Product and Cost'!$F$12*C1080+C1088*'Product and Cost'!$F$13*C1080</f>
        <v>52840.8111141</v>
      </c>
      <c r="D1090" s="20">
        <f>D1081*'Product and Cost'!$F$6*D1080+D1082*'Product and Cost'!$F$7*D1080+D1083*'Product and Cost'!$F$8*D1080+D1084*'Product and Cost'!$F$9*D1080+D1085*'Product and Cost'!$F$10*D1080+D1086*'Product and Cost'!$F$11*D1080+D1087*'Product and Cost'!$F$12*D1080+D1088*'Product and Cost'!$F$13*D1080</f>
        <v>58432.1672543</v>
      </c>
      <c r="E1090" s="20">
        <f>E1081*'Product and Cost'!$F$6*E1080+E1082*'Product and Cost'!$F$7*E1080+E1083*'Product and Cost'!$F$8*E1080+E1084*'Product and Cost'!$F$9*E1080+E1085*'Product and Cost'!$F$10*E1080+E1086*'Product and Cost'!$F$11*E1080+E1087*'Product and Cost'!$F$12*E1080+E1088*'Product and Cost'!$F$13*E1080</f>
        <v>63772.6371781</v>
      </c>
      <c r="F1090" s="20">
        <f>F1081*'Product and Cost'!$F$6*F1080+F1082*'Product and Cost'!$F$7*F1080+F1083*'Product and Cost'!$F$8*F1080+F1084*'Product and Cost'!$F$9*F1080+F1085*'Product and Cost'!$F$10*F1080+F1086*'Product and Cost'!$F$11*F1080+F1087*'Product and Cost'!$F$12*F1080+F1088*'Product and Cost'!$F$13*F1080</f>
        <v>68952.1790369</v>
      </c>
      <c r="G1090" s="20">
        <f>G1081*'Product and Cost'!$F$6*G1080+G1082*'Product and Cost'!$F$7*G1080+G1083*'Product and Cost'!$F$8*G1080+G1084*'Product and Cost'!$F$9*G1080+G1085*'Product and Cost'!$F$10*G1080+G1086*'Product and Cost'!$F$11*G1080+G1087*'Product and Cost'!$F$12*G1080+G1088*'Product and Cost'!$F$13*G1080</f>
        <v>73977.8431827</v>
      </c>
    </row>
    <row r="1091">
      <c r="A1091" s="9" t="inlineStr">
        <is>
          <t>Cost of sales</t>
        </is>
      </c>
      <c r="C1091" s="18">
        <f>C1081*('Product and Cost'!$D$27*C1080*Assumptions!$B$88+'Product and Cost'!$B$27*(0.4863620081*C1079+0.4455809638*C1079+0.0356254898*C1080+0.0324315384))+C1082*('Product and Cost'!$D$28*C1080*Assumptions!$B$88+'Product and Cost'!$B$28*(0.4863620081*C1079+0.4455809638*C1079+0.0356254898*C1080+0.0324315384))+C1083*('Product and Cost'!$D$29*C1080*Assumptions!$B$88+'Product and Cost'!$B$29*(0.4863620081*C1079+0.4455809638*C1079+0.0356254898*C1080+0.0324315384))+C1084*('Product and Cost'!$D$30*C1080*Assumptions!$B$88+'Product and Cost'!$B$30*(0.4863620081*C1079+0.4455809638*C1079+0.0356254898*C1080+0.0324315384))+C1085*('Product and Cost'!$D$31*C1080*Assumptions!$B$88+'Product and Cost'!$B$31*(0.4863620081*C1079+0.4455809638*C1079+0.0356254898*C1080+0.0324315384))+C1086*('Product and Cost'!$D$32*C1080*Assumptions!$B$88+'Product and Cost'!$B$32*(0.4863620081*C1079+0.4455809638*C1079+0.0356254898*C1080+0.0324315384))+C1087*('Product and Cost'!$D$33*C1080*Assumptions!$B$88+'Product and Cost'!$B$33*(0.4863620081*C1079+0.4455809638*C1079+0.0356254898*C1080+0.0324315384))+C1088*('Product and Cost'!$D$34*C1080*Assumptions!$B$88+'Product and Cost'!$B$34*(0.4863620081*C1079+0.4455809638*C1079+0.0356254898*C1080+0.0324315384))</f>
        <v>48291.1604712</v>
      </c>
      <c r="D1091" s="18">
        <f>D1081*('Product and Cost'!$D$27*D1080*Assumptions!$B$88+'Product and Cost'!$B$27*(0.4863620081*D1079+0.4455809638*D1079+0.0356254898*D1080+0.0324315384))+D1082*('Product and Cost'!$D$28*D1080*Assumptions!$B$88+'Product and Cost'!$B$28*(0.4863620081*D1079+0.4455809638*D1079+0.0356254898*D1080+0.0324315384))+D1083*('Product and Cost'!$D$29*D1080*Assumptions!$B$88+'Product and Cost'!$B$29*(0.4863620081*D1079+0.4455809638*D1079+0.0356254898*D1080+0.0324315384))+D1084*('Product and Cost'!$D$30*D1080*Assumptions!$B$88+'Product and Cost'!$B$30*(0.4863620081*D1079+0.4455809638*D1079+0.0356254898*D1080+0.0324315384))+D1085*('Product and Cost'!$D$31*D1080*Assumptions!$B$88+'Product and Cost'!$B$31*(0.4863620081*D1079+0.4455809638*D1079+0.0356254898*D1080+0.0324315384))+D1086*('Product and Cost'!$D$32*D1080*Assumptions!$B$88+'Product and Cost'!$B$32*(0.4863620081*D1079+0.4455809638*D1079+0.0356254898*D1080+0.0324315384))+D1087*('Product and Cost'!$D$33*D1080*Assumptions!$B$88+'Product and Cost'!$B$33*(0.4863620081*D1079+0.4455809638*D1079+0.0356254898*D1080+0.0324315384))+D1088*('Product and Cost'!$D$34*D1080*Assumptions!$B$88+'Product and Cost'!$B$34*(0.4863620081*D1079+0.4455809638*D1079+0.0356254898*D1080+0.0324315384))</f>
        <v>53647.9823219</v>
      </c>
      <c r="E1091" s="18">
        <f>E1081*('Product and Cost'!$D$27*E1080*Assumptions!$B$88+'Product and Cost'!$B$27*(0.4863620081*E1079+0.4455809638*E1079+0.0356254898*E1080+0.0324315384))+E1082*('Product and Cost'!$D$28*E1080*Assumptions!$B$88+'Product and Cost'!$B$28*(0.4863620081*E1079+0.4455809638*E1079+0.0356254898*E1080+0.0324315384))+E1083*('Product and Cost'!$D$29*E1080*Assumptions!$B$88+'Product and Cost'!$B$29*(0.4863620081*E1079+0.4455809638*E1079+0.0356254898*E1080+0.0324315384))+E1084*('Product and Cost'!$D$30*E1080*Assumptions!$B$88+'Product and Cost'!$B$30*(0.4863620081*E1079+0.4455809638*E1079+0.0356254898*E1080+0.0324315384))+E1085*('Product and Cost'!$D$31*E1080*Assumptions!$B$88+'Product and Cost'!$B$31*(0.4863620081*E1079+0.4455809638*E1079+0.0356254898*E1080+0.0324315384))+E1086*('Product and Cost'!$D$32*E1080*Assumptions!$B$88+'Product and Cost'!$B$32*(0.4863620081*E1079+0.4455809638*E1079+0.0356254898*E1080+0.0324315384))+E1087*('Product and Cost'!$D$33*E1080*Assumptions!$B$88+'Product and Cost'!$B$33*(0.4863620081*E1079+0.4455809638*E1079+0.0356254898*E1080+0.0324315384))+E1088*('Product and Cost'!$D$34*E1080*Assumptions!$B$88+'Product and Cost'!$B$34*(0.4863620081*E1079+0.4455809638*E1079+0.0356254898*E1080+0.0324315384))</f>
        <v>58815.4011786</v>
      </c>
      <c r="F1091" s="18">
        <f>F1081*('Product and Cost'!$D$27*F1080*Assumptions!$B$88+'Product and Cost'!$B$27*(0.4863620081*F1079+0.4455809638*F1079+0.0356254898*F1080+0.0324315384))+F1082*('Product and Cost'!$D$28*F1080*Assumptions!$B$88+'Product and Cost'!$B$28*(0.4863620081*F1079+0.4455809638*F1079+0.0356254898*F1080+0.0324315384))+F1083*('Product and Cost'!$D$29*F1080*Assumptions!$B$88+'Product and Cost'!$B$29*(0.4863620081*F1079+0.4455809638*F1079+0.0356254898*F1080+0.0324315384))+F1084*('Product and Cost'!$D$30*F1080*Assumptions!$B$88+'Product and Cost'!$B$30*(0.4863620081*F1079+0.4455809638*F1079+0.0356254898*F1080+0.0324315384))+F1085*('Product and Cost'!$D$31*F1080*Assumptions!$B$88+'Product and Cost'!$B$31*(0.4863620081*F1079+0.4455809638*F1079+0.0356254898*F1080+0.0324315384))+F1086*('Product and Cost'!$D$32*F1080*Assumptions!$B$88+'Product and Cost'!$B$32*(0.4863620081*F1079+0.4455809638*F1079+0.0356254898*F1080+0.0324315384))+F1087*('Product and Cost'!$D$33*F1080*Assumptions!$B$88+'Product and Cost'!$B$33*(0.4863620081*F1079+0.4455809638*F1079+0.0356254898*F1080+0.0324315384))+F1088*('Product and Cost'!$D$34*F1080*Assumptions!$B$88+'Product and Cost'!$B$34*(0.4863620081*F1079+0.4455809638*F1079+0.0356254898*F1080+0.0324315384))</f>
        <v>63847.5732702</v>
      </c>
      <c r="G1091" s="18">
        <f>G1081*('Product and Cost'!$D$27*G1080*Assumptions!$B$88+'Product and Cost'!$B$27*(0.4863620081*G1079+0.4455809638*G1079+0.0356254898*G1080+0.0324315384))+G1082*('Product and Cost'!$D$28*G1080*Assumptions!$B$88+'Product and Cost'!$B$28*(0.4863620081*G1079+0.4455809638*G1079+0.0356254898*G1080+0.0324315384))+G1083*('Product and Cost'!$D$29*G1080*Assumptions!$B$88+'Product and Cost'!$B$29*(0.4863620081*G1079+0.4455809638*G1079+0.0356254898*G1080+0.0324315384))+G1084*('Product and Cost'!$D$30*G1080*Assumptions!$B$88+'Product and Cost'!$B$30*(0.4863620081*G1079+0.4455809638*G1079+0.0356254898*G1080+0.0324315384))+G1085*('Product and Cost'!$D$31*G1080*Assumptions!$B$88+'Product and Cost'!$B$31*(0.4863620081*G1079+0.4455809638*G1079+0.0356254898*G1080+0.0324315384))+G1086*('Product and Cost'!$D$32*G1080*Assumptions!$B$88+'Product and Cost'!$B$32*(0.4863620081*G1079+0.4455809638*G1079+0.0356254898*G1080+0.0324315384))+G1087*('Product and Cost'!$D$33*G1080*Assumptions!$B$88+'Product and Cost'!$B$33*(0.4863620081*G1079+0.4455809638*G1079+0.0356254898*G1080+0.0324315384))+G1088*('Product and Cost'!$D$34*G1080*Assumptions!$B$88+'Product and Cost'!$B$34*(0.4863620081*G1079+0.4455809638*G1079+0.0356254898*G1080+0.0324315384))</f>
        <v>68797.1859175</v>
      </c>
    </row>
    <row r="1092">
      <c r="A1092" s="17" t="inlineStr">
        <is>
          <t>GROSS PROFIT</t>
        </is>
      </c>
      <c r="C1092" s="20">
        <f>C1090-C1091+Forecast!$B$7*C1090</f>
        <v>4549.65064286</v>
      </c>
      <c r="D1092" s="20">
        <f>D1090-D1091+Forecast!$B$7*D1090</f>
        <v>4784.18493236</v>
      </c>
      <c r="E1092" s="20">
        <f>E1090-E1091+Forecast!$B$7*E1090</f>
        <v>4957.23599944</v>
      </c>
      <c r="F1092" s="20">
        <f>F1090-F1091+Forecast!$B$7*F1090</f>
        <v>5104.60576669</v>
      </c>
      <c r="G1092" s="20">
        <f>G1090-G1091+Forecast!$B$7*G1090</f>
        <v>5180.65726511</v>
      </c>
    </row>
    <row r="1093">
      <c r="A1093" s="9" t="inlineStr">
        <is>
          <t>Gross margin</t>
        </is>
      </c>
      <c r="C1093" s="19">
        <f>C1092/C1090</f>
        <v>0.0861010750391</v>
      </c>
      <c r="D1093" s="19">
        <f>D1092/D1090</f>
        <v>0.0818758768871</v>
      </c>
      <c r="E1093" s="19">
        <f>E1092/E1090</f>
        <v>0.0777329622672</v>
      </c>
      <c r="F1093" s="19">
        <f>F1092/F1090</f>
        <v>0.0740311015255</v>
      </c>
      <c r="G1093" s="19">
        <f>G1092/G1090</f>
        <v>0.0700298500501</v>
      </c>
    </row>
    <row r="1094">
      <c r="A1094" s="9" t="inlineStr">
        <is>
          <t>Operating expense</t>
        </is>
      </c>
      <c r="C1094" s="18">
        <f>('Base Year'!$B$28*C1079)+('Base Year'!$B$29*C1079*C1089/'Product and Cost'!$E$14)+('Base Year'!$B$30*C1079)+('Base Year'!$B$31*C1079)</f>
        <v>2007.6668112</v>
      </c>
      <c r="D1094" s="18">
        <f>('Base Year'!$B$28*D1079)+('Base Year'!$B$29*D1079*D1089/'Product and Cost'!$E$14)+('Base Year'!$B$30*D1079)+('Base Year'!$B$31*D1079)</f>
        <v>2276.29775955</v>
      </c>
      <c r="E1094" s="18">
        <f>('Base Year'!$B$28*E1079)+('Base Year'!$B$29*E1079*E1089/'Product and Cost'!$E$14)+('Base Year'!$B$30*E1079)+('Base Year'!$B$31*E1079)</f>
        <v>2545.62118024</v>
      </c>
      <c r="F1094" s="18">
        <f>('Base Year'!$B$28*F1079)+('Base Year'!$B$29*F1079*F1089/'Product and Cost'!$E$14)+('Base Year'!$B$30*F1079)+('Base Year'!$B$31*F1079)</f>
        <v>2807.77881104</v>
      </c>
      <c r="G1094" s="18">
        <f>('Base Year'!$B$28*G1079)+('Base Year'!$B$29*G1079*G1089/'Product and Cost'!$E$14)+('Base Year'!$B$30*G1079)+('Base Year'!$B$31*G1079)</f>
        <v>3082.20998189</v>
      </c>
    </row>
    <row r="1095">
      <c r="A1095" s="17" t="inlineStr">
        <is>
          <t>EBITDA</t>
        </is>
      </c>
      <c r="C1095" s="20">
        <f>C1092-C1094</f>
        <v>2541.98383166</v>
      </c>
      <c r="D1095" s="20">
        <f>D1092-D1094</f>
        <v>2507.88717281</v>
      </c>
      <c r="E1095" s="20">
        <f>E1092-E1094</f>
        <v>2411.6148192</v>
      </c>
      <c r="F1095" s="20">
        <f>F1092-F1094</f>
        <v>2296.82695565</v>
      </c>
      <c r="G1095" s="20">
        <f>G1092-G1094</f>
        <v>2098.44728323</v>
      </c>
    </row>
    <row r="1096">
      <c r="A1096" s="9" t="inlineStr">
        <is>
          <t>Capital expenditure — maintenance + growth</t>
        </is>
      </c>
      <c r="C1096" s="18">
        <f>'Base Year'!$B$43*C1079+MAX(C1089-'Product and Cost'!$E$14,0)*1947.901031*C1079</f>
        <v>280.931999159</v>
      </c>
      <c r="D1096" s="18">
        <f>'Base Year'!$B$43*D1079+MAX(D1089-C1089,0)*1947.901031*D1079</f>
        <v>307.3675836</v>
      </c>
      <c r="E1096" s="18">
        <f>'Base Year'!$B$43*E1079+MAX(E1089-D1089,0)*1947.901031*E1079</f>
        <v>328.639389001</v>
      </c>
      <c r="F1096" s="18">
        <f>'Base Year'!$B$43*F1079+MAX(F1089-E1089,0)*1947.901031*F1079</f>
        <v>351.146749034</v>
      </c>
      <c r="G1096" s="18">
        <f>'Base Year'!$B$43*G1079+MAX(G1089-F1089,0)*1947.901031*G1079</f>
        <v>375.372179467</v>
      </c>
    </row>
    <row r="1097">
      <c r="A1097" s="9" t="inlineStr">
        <is>
          <t>Fixed assets at cost, closing</t>
        </is>
      </c>
      <c r="C1097" s="18">
        <f>(Assumptions!$B$70+Assumptions!$B$71)/10^6+C1096</f>
        <v>3429.06589416</v>
      </c>
      <c r="D1097" s="18">
        <f>C1097+D1096</f>
        <v>3736.43347776</v>
      </c>
      <c r="E1097" s="18">
        <f>D1097+E1096</f>
        <v>4065.07286676</v>
      </c>
      <c r="F1097" s="18">
        <f>E1097+F1096</f>
        <v>4416.21961579</v>
      </c>
      <c r="G1097" s="18">
        <f>F1097+G1096</f>
        <v>4791.59179526</v>
      </c>
    </row>
    <row r="1098">
      <c r="A1098" s="9" t="inlineStr">
        <is>
          <t>Depreciation — rolls off the asset register</t>
        </is>
      </c>
      <c r="C1098" s="18">
        <f>(Assumptions!$B$70+Assumptions!$B$71)/10^6/'Base Year'!$B$42</f>
        <v>173.808854481</v>
      </c>
      <c r="D1098" s="18">
        <f>C1097/'Base Year'!$B$42</f>
        <v>189.319144255</v>
      </c>
      <c r="E1098" s="18">
        <f>D1097/'Base Year'!$B$42</f>
        <v>206.288945856</v>
      </c>
      <c r="F1098" s="18">
        <f>E1097/'Base Year'!$B$42</f>
        <v>224.433166415</v>
      </c>
      <c r="G1098" s="18">
        <f>F1097/'Base Year'!$B$42</f>
        <v>243.820021053</v>
      </c>
    </row>
    <row r="1099">
      <c r="A1099" s="9" t="inlineStr">
        <is>
          <t>Fixed assets, net book, closing</t>
        </is>
      </c>
      <c r="C1099" s="18">
        <f>(Assumptions!$B$69+Assumptions!$B$71)/10^6+C1096-C1098</f>
        <v>1407.46262168</v>
      </c>
      <c r="D1099" s="18">
        <f>C1099+D1096-D1098</f>
        <v>1525.51106102</v>
      </c>
      <c r="E1099" s="18">
        <f>D1099+E1096-E1098</f>
        <v>1647.86150417</v>
      </c>
      <c r="F1099" s="18">
        <f>E1099+F1096-F1098</f>
        <v>1774.57508679</v>
      </c>
      <c r="G1099" s="18">
        <f>F1099+G1096-G1098</f>
        <v>1906.1272452</v>
      </c>
    </row>
    <row r="1100">
      <c r="A1100" s="17" t="inlineStr">
        <is>
          <t>EBIT</t>
        </is>
      </c>
      <c r="C1100" s="20">
        <f>C1095-C1098</f>
        <v>2368.17497718</v>
      </c>
      <c r="D1100" s="20">
        <f>D1095-D1098</f>
        <v>2318.56802856</v>
      </c>
      <c r="E1100" s="20">
        <f>E1095-E1098</f>
        <v>2205.32587334</v>
      </c>
      <c r="F1100" s="20">
        <f>F1095-F1098</f>
        <v>2072.39378923</v>
      </c>
      <c r="G1100" s="20">
        <f>G1095-G1098</f>
        <v>1854.62726217</v>
      </c>
    </row>
    <row r="1101">
      <c r="A1101" s="9" t="inlineStr">
        <is>
          <t>NOPAT before the profit share</t>
        </is>
      </c>
      <c r="C1101" s="18">
        <f>C1100*(1-Assumptions!$B$87)</f>
        <v>1835.33560732</v>
      </c>
      <c r="D1101" s="18">
        <f>D1100*(1-Assumptions!$B$87)</f>
        <v>1796.89022213</v>
      </c>
      <c r="E1101" s="18">
        <f>E1100*(1-Assumptions!$B$87)</f>
        <v>1709.12755184</v>
      </c>
      <c r="F1101" s="18">
        <f>F1100*(1-Assumptions!$B$87)</f>
        <v>1606.10518666</v>
      </c>
      <c r="G1101" s="18">
        <f>G1100*(1-Assumptions!$B$87)</f>
        <v>1437.33612818</v>
      </c>
    </row>
    <row r="1102">
      <c r="A1102" s="9" t="inlineStr">
        <is>
          <t xml:space="preserve">  less employees' profit share and board bonuses</t>
        </is>
      </c>
      <c r="C1102" s="18">
        <f>MAX(C1101,0)*'Base Year'!$B$40</f>
        <v>96.7608009272</v>
      </c>
      <c r="D1102" s="18">
        <f>MAX(D1101,0)*'Base Year'!$B$40</f>
        <v>94.7339202588</v>
      </c>
      <c r="E1102" s="18">
        <f>MAX(E1101,0)*'Base Year'!$B$40</f>
        <v>90.1069810576</v>
      </c>
      <c r="F1102" s="18">
        <f>MAX(F1101,0)*'Base Year'!$B$40</f>
        <v>84.6755348801</v>
      </c>
      <c r="G1102" s="18">
        <f>MAX(G1101,0)*'Base Year'!$B$40</f>
        <v>75.7778546933</v>
      </c>
    </row>
    <row r="1103">
      <c r="A1103" s="17" t="inlineStr">
        <is>
          <t>NOPAT</t>
        </is>
      </c>
      <c r="C1103" s="20">
        <f>C1101-C1102</f>
        <v>1738.57480639</v>
      </c>
      <c r="D1103" s="20">
        <f>D1101-D1102</f>
        <v>1702.15630187</v>
      </c>
      <c r="E1103" s="20">
        <f>E1101-E1102</f>
        <v>1619.02057078</v>
      </c>
      <c r="F1103" s="20">
        <f>F1101-F1102</f>
        <v>1521.42965178</v>
      </c>
      <c r="G1103" s="20">
        <f>G1101-G1102</f>
        <v>1361.55827349</v>
      </c>
    </row>
    <row r="1104">
      <c r="A1104" s="9" t="inlineStr">
        <is>
          <t>Net working capital — on days</t>
        </is>
      </c>
      <c r="C1104" s="18">
        <f>'Base Year'!$B$44*$E$35/365*C1091+'Base Year'!$B$45*$E$35/365*C1090-'Base Year'!$B$46*$E$35/365*C1091</f>
        <v>1904.76895291</v>
      </c>
      <c r="D1104" s="18">
        <f>'Base Year'!$B$44*$E$35/365*D1091+'Base Year'!$B$45*$E$35/365*D1090-'Base Year'!$B$46*$E$35/365*D1091</f>
        <v>2112.00827318</v>
      </c>
      <c r="E1104" s="18">
        <f>'Base Year'!$B$44*$E$35/365*E1091+'Base Year'!$B$45*$E$35/365*E1090-'Base Year'!$B$46*$E$35/365*E1091</f>
        <v>2311.12232259</v>
      </c>
      <c r="F1104" s="18">
        <f>'Base Year'!$B$44*$E$35/365*F1091+'Base Year'!$B$45*$E$35/365*F1090-'Base Year'!$B$46*$E$35/365*F1091</f>
        <v>2504.7076915</v>
      </c>
      <c r="G1104" s="18">
        <f>'Base Year'!$B$44*$E$35/365*G1091+'Base Year'!$B$45*$E$35/365*G1090-'Base Year'!$B$46*$E$35/365*G1091</f>
        <v>2694.08355734</v>
      </c>
    </row>
    <row r="1105">
      <c r="A1105" s="9" t="inlineStr">
        <is>
          <t xml:space="preserve">  change in working capital</t>
        </is>
      </c>
      <c r="C1105" s="18">
        <f>C1104-('Base Year'!$B$44/365*'Base Year'!$B$21+'Base Year'!$B$45/365*'Base Year'!$B$19-'Base Year'!$B$46/365*'Base Year'!$B$21)</f>
        <v>-346.633336085</v>
      </c>
      <c r="D1105" s="18">
        <f>D1104-C1104</f>
        <v>207.239320268</v>
      </c>
      <c r="E1105" s="18">
        <f>E1104-D1104</f>
        <v>199.114049402</v>
      </c>
      <c r="F1105" s="18">
        <f>F1104-E1104</f>
        <v>193.585368917</v>
      </c>
      <c r="G1105" s="18">
        <f>G1104-F1104</f>
        <v>189.375865843</v>
      </c>
    </row>
    <row r="1106">
      <c r="A1106" s="17" t="inlineStr">
        <is>
          <t>FREE CASH FLOW TO THE FIRM</t>
        </is>
      </c>
      <c r="C1106" s="20">
        <f>C1103+C1098-C1096-C1105</f>
        <v>1978.0849978</v>
      </c>
      <c r="D1106" s="20">
        <f>D1103+D1098-D1096-D1105</f>
        <v>1376.86854226</v>
      </c>
      <c r="E1106" s="20">
        <f>E1103+E1098-E1096-E1105</f>
        <v>1297.55607824</v>
      </c>
      <c r="F1106" s="20">
        <f>F1103+F1098-F1096-F1105</f>
        <v>1201.13070024</v>
      </c>
      <c r="G1106" s="20">
        <f>G1103+G1098-G1096-G1105</f>
        <v>1040.63024924</v>
      </c>
    </row>
    <row r="1107">
      <c r="A1107" s="9" t="inlineStr">
        <is>
          <t>Glide fraction</t>
        </is>
      </c>
      <c r="C1107" s="26">
        <f>0.0000000000</f>
        <v>0</v>
      </c>
      <c r="D1107" s="26">
        <f>0.3571428571</f>
        <v>0.3571428571</v>
      </c>
      <c r="E1107" s="26">
        <f>0.6428571429</f>
        <v>0.6428571429</v>
      </c>
      <c r="F1107" s="26">
        <f>0.8571428571</f>
        <v>0.8571428571</v>
      </c>
      <c r="G1107" s="26">
        <f>1.0000000000</f>
        <v>1</v>
      </c>
    </row>
    <row r="1108">
      <c r="A1108" s="9" t="inlineStr">
        <is>
          <t>Forward cost of capital</t>
        </is>
      </c>
      <c r="C1108" s="19">
        <f>Forecast!$B$14-(Forecast!$B$14-Forecast!$B$17)*C1107</f>
        <v>0.31578338914</v>
      </c>
      <c r="D1108" s="19">
        <f>Forecast!$B$14-(Forecast!$B$14-Forecast!$B$17)*D1107</f>
        <v>0.268515637955</v>
      </c>
      <c r="E1108" s="19">
        <f>Forecast!$B$14-(Forecast!$B$14-Forecast!$B$17)*E1107</f>
        <v>0.230701436991</v>
      </c>
      <c r="F1108" s="19">
        <f>Forecast!$B$14-(Forecast!$B$14-Forecast!$B$17)*F1107</f>
        <v>0.202340786287</v>
      </c>
      <c r="G1108" s="19">
        <f>Forecast!$B$14-(Forecast!$B$14-Forecast!$B$17)*G1107</f>
        <v>0.183433685805</v>
      </c>
    </row>
    <row r="1109">
      <c r="A1109" s="9" t="inlineStr">
        <is>
          <t>Cumulative discount factor</t>
        </is>
      </c>
      <c r="C1109" s="29">
        <f>1/(1+C1108)</f>
        <v>0.760003514449</v>
      </c>
      <c r="D1109" s="29">
        <f>C1109/(1+D1108)</f>
        <v>0.599128218612</v>
      </c>
      <c r="E1109" s="29">
        <f>D1109/(1+E1108)</f>
        <v>0.486818492775</v>
      </c>
      <c r="F1109" s="29">
        <f>E1109/(1+F1108)</f>
        <v>0.404892272081</v>
      </c>
      <c r="G1109" s="29">
        <f>F1109/(1+G1108)</f>
        <v>0.342133468852</v>
      </c>
    </row>
    <row r="1110">
      <c r="A1110" s="9" t="inlineStr">
        <is>
          <t>Present value</t>
        </is>
      </c>
      <c r="C1110" s="18">
        <f>C1106*C1109</f>
        <v>1503.3515502</v>
      </c>
      <c r="D1110" s="18">
        <f>D1106*D1109</f>
        <v>824.920796987</v>
      </c>
      <c r="E1110" s="18">
        <f>E1106*E1109</f>
        <v>631.674294298</v>
      </c>
      <c r="F1110" s="18">
        <f>F1106*F1109</f>
        <v>486.328538286</v>
      </c>
      <c r="G1110" s="18">
        <f>G1106*G1109</f>
        <v>356.034436963</v>
      </c>
    </row>
    <row r="1111">
      <c r="A1111" s="17" t="inlineStr">
        <is>
          <t>PV of the explicit window</t>
        </is>
      </c>
      <c r="B1111" s="20">
        <f>SUM(C1110:G1110)</f>
        <v>3802.30961674</v>
      </c>
      <c r="C1111" s="18">
        <f>C1104+C1097</f>
        <v>5333.83484707</v>
      </c>
      <c r="D1111" s="18">
        <f>D1104+D1097</f>
        <v>5848.44175094</v>
      </c>
      <c r="E1111" s="18">
        <f>E1104+E1097</f>
        <v>6376.19518935</v>
      </c>
      <c r="F1111" s="18">
        <f>F1104+F1097</f>
        <v>6920.9273073</v>
      </c>
      <c r="G1111" s="18">
        <f>G1104+G1097</f>
        <v>7485.67535261</v>
      </c>
    </row>
    <row r="1112">
      <c r="A1112" s="9" t="inlineStr">
        <is>
          <t>Terminal return on invested capital, at REPLACEMENT cost</t>
        </is>
      </c>
      <c r="B1112" s="19">
        <f>G1103*(1+Assumptions!$B$89)/G1111</f>
        <v>0.1909829267</v>
      </c>
    </row>
    <row r="1113">
      <c r="A1113" s="9" t="inlineStr">
        <is>
          <t>Required reinvestment = growth / return</t>
        </is>
      </c>
      <c r="B1113" s="19">
        <f>MIN(Assumptions!$B$89/B1112,0.95)</f>
        <v>0.261803507067</v>
      </c>
    </row>
    <row r="1114">
      <c r="A1114" s="9" t="inlineStr">
        <is>
          <t>Terminal value</t>
        </is>
      </c>
      <c r="B1114" s="18">
        <f>G1103*(1+Assumptions!$B$89)*(1-B1113)/MAX(Forecast!$B$17-Assumptions!$B$89,0.02)</f>
        <v>7909.19034549</v>
      </c>
    </row>
    <row r="1115">
      <c r="A1115" s="9" t="inlineStr">
        <is>
          <t>PV of the terminal block</t>
        </is>
      </c>
      <c r="B1115" s="18">
        <f>B1114*G1109</f>
        <v>2705.99872871</v>
      </c>
    </row>
    <row r="1116">
      <c r="A1116" s="17" t="inlineStr">
        <is>
          <t>ENTERPRISE VALUE</t>
        </is>
      </c>
      <c r="B1116" s="20">
        <f>B1111+B1115</f>
        <v>6508.30834545</v>
      </c>
    </row>
    <row r="1117">
      <c r="A1117" s="9" t="inlineStr">
        <is>
          <t>plus net cash</t>
        </is>
      </c>
      <c r="B1117" s="18">
        <f>(Assumptions!$B$79-Assumptions!$B$82-Assumptions!$B$83)/10^6</f>
        <v>2442.544928</v>
      </c>
    </row>
    <row r="1118">
      <c r="A1118" s="9" t="inlineStr">
        <is>
          <t>Enterprise value including cash</t>
        </is>
      </c>
      <c r="B1118" s="18">
        <f>B1116+B1117</f>
        <v>8950.85327345</v>
      </c>
    </row>
    <row r="1119">
      <c r="A1119" s="9" t="inlineStr">
        <is>
          <t>less minority — on the WHOLE enterprise, cash included</t>
        </is>
      </c>
      <c r="B1119" s="18">
        <f>B1118*'Base Year'!$B$41</f>
        <v>291.640664106</v>
      </c>
    </row>
    <row r="1120">
      <c r="A1120" s="9" t="inlineStr">
        <is>
          <t>less the tax-disputes provision</t>
        </is>
      </c>
      <c r="B1120" s="18">
        <f>Assumptions!$B$78/10^6</f>
        <v>921.440353</v>
      </c>
    </row>
    <row r="1121">
      <c r="A1121" s="9" t="inlineStr">
        <is>
          <t>less dividends payable — declared, out of working capital</t>
        </is>
      </c>
      <c r="B1121" s="18">
        <f>Assumptions!$B$77/10^6</f>
        <v>517.25</v>
      </c>
    </row>
    <row r="1122">
      <c r="A1122" s="9" t="inlineStr">
        <is>
          <t>plus non-operating investments and pledged deposits</t>
        </is>
      </c>
      <c r="B1122" s="18">
        <f>(Assumptions!$B$81+Assumptions!$B$80)/10^6</f>
        <v>578.358746</v>
      </c>
    </row>
    <row r="1123">
      <c r="A1123" s="17" t="inlineStr">
        <is>
          <t>EQUITY ATTRIBUTABLE</t>
        </is>
      </c>
      <c r="B1123" s="20">
        <f>B1118-B1119-B1120-B1121+B1122</f>
        <v>7798.88100234</v>
      </c>
    </row>
    <row r="1124">
      <c r="A1124" s="17" t="inlineStr">
        <is>
          <t>VALUE PER SHARE, EGP</t>
        </is>
      </c>
      <c r="B1124" s="30">
        <f>B1123/Assumptions!$B$8</f>
        <v>6.03862253375</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9" t="inlineStr">
        <is>
          <t>Inflation index, cumulative</t>
        </is>
      </c>
      <c r="C1128" s="26">
        <f>Assumptions!$B$146</f>
        <v>1.145</v>
      </c>
      <c r="D1128" s="26">
        <f>C1128*Assumptions!$B$147</f>
        <v>1.29385</v>
      </c>
      <c r="E1128" s="26">
        <f>D1128*Assumptions!$B$148</f>
        <v>1.44264275</v>
      </c>
      <c r="F1128" s="26">
        <f>E1128*Assumptions!$B$149</f>
        <v>1.586907025</v>
      </c>
      <c r="G1128" s="26">
        <f>F1128*Assumptions!$B$150</f>
        <v>1.73766319237</v>
      </c>
    </row>
    <row r="1129">
      <c r="A1129" s="9" t="inlineStr">
        <is>
          <t>Realisation index, cumulative</t>
        </is>
      </c>
      <c r="C1129" s="26">
        <f>(1+Assumptions!$B$101*Forecast!$B$8)</f>
        <v>1.09</v>
      </c>
      <c r="D1129" s="26">
        <f>C1129*(1+Assumptions!$B$102*Forecast!$B$8)</f>
        <v>1.17175</v>
      </c>
      <c r="E1129" s="26">
        <f>D1129*(1+Assumptions!$B$103*Forecast!$B$8)</f>
        <v>1.24791375</v>
      </c>
      <c r="F1129" s="26">
        <f>E1129*(1+Assumptions!$B$104*Forecast!$B$8)</f>
        <v>1.3202927475</v>
      </c>
      <c r="G1129" s="26">
        <f>F1129*(1+Assumptions!$B$105*Forecast!$B$8)</f>
        <v>1.38894797037</v>
      </c>
    </row>
    <row r="1130">
      <c r="A1130" s="9" t="inlineStr">
        <is>
          <t xml:space="preserve">  Volume — Base and special oils, mn t</t>
        </is>
      </c>
      <c r="C1130" s="26">
        <f>'Product and Cost'!E6*(1+Assumptions!$B$106*Forecast!$B$6)</f>
        <v>0.1148851682</v>
      </c>
      <c r="D1130" s="26">
        <f>C1130*(1+Assumptions!$B$107*Forecast!$B$6)</f>
        <v>0.119480574928</v>
      </c>
      <c r="E1130" s="26">
        <f>D1130*(1+Assumptions!$B$108*Forecast!$B$6)</f>
        <v>0.12366239505</v>
      </c>
      <c r="F1130" s="26">
        <f>E1130*(1+Assumptions!$B$109*Forecast!$B$6)</f>
        <v>0.127372266902</v>
      </c>
      <c r="G1130" s="26">
        <f>F1130*(1+Assumptions!$B$110*Forecast!$B$6)</f>
        <v>0.130938690375</v>
      </c>
    </row>
    <row r="1131">
      <c r="A1131" s="9" t="inlineStr">
        <is>
          <t xml:space="preserve">  Volume — Paraffin wax, mn t</t>
        </is>
      </c>
      <c r="C1131" s="26">
        <f>'Product and Cost'!E7*(1+Assumptions!$B$111*Forecast!$B$6)</f>
        <v>0.089396788</v>
      </c>
      <c r="D1131" s="26">
        <f>C1131*(1+Assumptions!$B$112*Forecast!$B$6)</f>
        <v>0.09431361134</v>
      </c>
      <c r="E1131" s="26">
        <f>D1131*(1+Assumptions!$B$113*Forecast!$B$6)</f>
        <v>0.0985577238503</v>
      </c>
      <c r="F1131" s="26">
        <f>E1131*(1+Assumptions!$B$114*Forecast!$B$6)</f>
        <v>0.102302917357</v>
      </c>
      <c r="G1131" s="26">
        <f>F1131*(1+Assumptions!$B$115*Forecast!$B$6)</f>
        <v>0.105576610712</v>
      </c>
    </row>
    <row r="1132">
      <c r="A1132" s="9" t="inlineStr">
        <is>
          <t xml:space="preserve">  Volume — Gas oil, mn t</t>
        </is>
      </c>
      <c r="C1132" s="26">
        <f>'Product and Cost'!E8*(1+Assumptions!$B$116*Forecast!$B$6)</f>
        <v>0.35023715724</v>
      </c>
      <c r="D1132" s="26">
        <f>C1132*(1+Assumptions!$B$117*Forecast!$B$6)</f>
        <v>0.357241900385</v>
      </c>
      <c r="E1132" s="26">
        <f>D1132*(1+Assumptions!$B$118*Forecast!$B$6)</f>
        <v>0.363672254592</v>
      </c>
      <c r="F1132" s="26">
        <f>E1132*(1+Assumptions!$B$119*Forecast!$B$6)</f>
        <v>0.369491010665</v>
      </c>
      <c r="G1132" s="26">
        <f>F1132*(1+Assumptions!$B$120*Forecast!$B$6)</f>
        <v>0.375033375825</v>
      </c>
    </row>
    <row r="1133">
      <c r="A1133" s="9" t="inlineStr">
        <is>
          <t xml:space="preserve">  Volume — Naphtha, mn t</t>
        </is>
      </c>
      <c r="C1133" s="26">
        <f>'Product and Cost'!E9*(1+Assumptions!$B$121*Forecast!$B$6)</f>
        <v>0.08410463971</v>
      </c>
      <c r="D1133" s="26">
        <f>C1133*(1+Assumptions!$B$122*Forecast!$B$6)</f>
        <v>0.0856185232248</v>
      </c>
      <c r="E1133" s="26">
        <f>D1133*(1+Assumptions!$B$123*Forecast!$B$6)</f>
        <v>0.0871596566428</v>
      </c>
      <c r="F1133" s="26">
        <f>E1133*(1+Assumptions!$B$124*Forecast!$B$6)</f>
        <v>0.0885542111491</v>
      </c>
      <c r="G1133" s="26">
        <f>F1133*(1+Assumptions!$B$125*Forecast!$B$6)</f>
        <v>0.0898825243163</v>
      </c>
    </row>
    <row r="1134">
      <c r="A1134" s="9" t="inlineStr">
        <is>
          <t xml:space="preserve">  Volume — Liquefied petroleum gas, mn t</t>
        </is>
      </c>
      <c r="C1134" s="26">
        <f>'Product and Cost'!E10*(1+Assumptions!$B$126*Forecast!$B$6)</f>
        <v>0.0486583449</v>
      </c>
      <c r="D1134" s="26">
        <f>C1134*(1+Assumptions!$B$127*Forecast!$B$6)</f>
        <v>0.0497288284878</v>
      </c>
      <c r="E1134" s="26">
        <f>D1134*(1+Assumptions!$B$128*Forecast!$B$6)</f>
        <v>0.0507234050576</v>
      </c>
      <c r="F1134" s="26">
        <f>E1134*(1+Assumptions!$B$129*Forecast!$B$6)</f>
        <v>0.0516364263486</v>
      </c>
      <c r="G1134" s="26">
        <f>F1134*(1+Assumptions!$B$130*Forecast!$B$6)</f>
        <v>0.0524626091702</v>
      </c>
    </row>
    <row r="1135">
      <c r="A1135" s="9" t="inlineStr">
        <is>
          <t xml:space="preserve">  Volume — Fuel oil (mix), mn t</t>
        </is>
      </c>
      <c r="C1135" s="26">
        <f>'Product and Cost'!E11*(1+Assumptions!$B$131*Forecast!$B$6)</f>
        <v>0.947916416</v>
      </c>
      <c r="D1135" s="26">
        <f>C1135*(1+Assumptions!$B$132*Forecast!$B$6)</f>
        <v>0.972562242816</v>
      </c>
      <c r="E1135" s="26">
        <f>D1135*(1+Assumptions!$B$133*Forecast!$B$6)</f>
        <v>0.993958612158</v>
      </c>
      <c r="F1135" s="26">
        <f>E1135*(1+Assumptions!$B$134*Forecast!$B$6)</f>
        <v>1.0138377844</v>
      </c>
      <c r="G1135" s="26">
        <f>F1135*(1+Assumptions!$B$135*Forecast!$B$6)</f>
        <v>1.03208686452</v>
      </c>
    </row>
    <row r="1136">
      <c r="A1136" s="9" t="inlineStr">
        <is>
          <t xml:space="preserve">  Volume — Heavy fuel oil, mn t</t>
        </is>
      </c>
      <c r="C1136" s="26">
        <f>'Product and Cost'!E12*(1+Assumptions!$B$136*Forecast!$B$6)</f>
        <v>0.0292281408</v>
      </c>
      <c r="D1136" s="26">
        <f>C1136*(1+Assumptions!$B$137*Forecast!$B$6)</f>
        <v>0.0297542473344</v>
      </c>
      <c r="E1136" s="26">
        <f>D1136*(1+Assumptions!$B$138*Forecast!$B$6)</f>
        <v>0.0302303152918</v>
      </c>
      <c r="F1136" s="26">
        <f>E1136*(1+Assumptions!$B$139*Forecast!$B$6)</f>
        <v>0.0306837700211</v>
      </c>
      <c r="G1136" s="26">
        <f>F1136*(1+Assumptions!$B$140*Forecast!$B$6)</f>
        <v>0.0311133428014</v>
      </c>
    </row>
    <row r="1137">
      <c r="A1137" s="9" t="inlineStr">
        <is>
          <t xml:space="preserve">  Volume — Waste, mn t</t>
        </is>
      </c>
      <c r="C1137" s="26">
        <f>'Product and Cost'!E13*(1+Assumptions!$B$141*Forecast!$B$6)</f>
        <v>1.564e-05</v>
      </c>
      <c r="D1137" s="26">
        <f>C1137*(1+Assumptions!$B$142*Forecast!$B$6)</f>
        <v>1.564e-05</v>
      </c>
      <c r="E1137" s="26">
        <f>D1137*(1+Assumptions!$B$143*Forecast!$B$6)</f>
        <v>1.564e-05</v>
      </c>
      <c r="F1137" s="26">
        <f>E1137*(1+Assumptions!$B$144*Forecast!$B$6)</f>
        <v>1.564e-05</v>
      </c>
      <c r="G1137" s="26">
        <f>F1137*(1+Assumptions!$B$145*Forecast!$B$6)</f>
        <v>1.564e-05</v>
      </c>
    </row>
    <row r="1138">
      <c r="A1138" s="17" t="inlineStr">
        <is>
          <t>Total volume, mn t</t>
        </is>
      </c>
      <c r="C1138" s="28">
        <f>SUM(C1130:C1137)</f>
        <v>1.66444229485</v>
      </c>
      <c r="D1138" s="28">
        <f>SUM(D1130:D1137)</f>
        <v>1.70871556852</v>
      </c>
      <c r="E1138" s="28">
        <f>SUM(E1130:E1137)</f>
        <v>1.74798000264</v>
      </c>
      <c r="F1138" s="28">
        <f>SUM(F1130:F1137)</f>
        <v>1.78389402684</v>
      </c>
      <c r="G1138" s="28">
        <f>SUM(G1130:G1137)</f>
        <v>1.81710965772</v>
      </c>
    </row>
    <row r="1139">
      <c r="A1139" s="17" t="inlineStr">
        <is>
          <t>REVENUE</t>
        </is>
      </c>
      <c r="C1139" s="20">
        <f>C1130*'Product and Cost'!$F$6*C1129+C1131*'Product and Cost'!$F$7*C1129+C1132*'Product and Cost'!$F$8*C1129+C1133*'Product and Cost'!$F$9*C1129+C1134*'Product and Cost'!$F$10*C1129+C1135*'Product and Cost'!$F$11*C1129+C1136*'Product and Cost'!$F$12*C1129+C1137*'Product and Cost'!$F$13*C1129</f>
        <v>52840.8111141</v>
      </c>
      <c r="D1139" s="20">
        <f>D1130*'Product and Cost'!$F$6*D1129+D1131*'Product and Cost'!$F$7*D1129+D1132*'Product and Cost'!$F$8*D1129+D1133*'Product and Cost'!$F$9*D1129+D1134*'Product and Cost'!$F$10*D1129+D1135*'Product and Cost'!$F$11*D1129+D1136*'Product and Cost'!$F$12*D1129+D1137*'Product and Cost'!$F$13*D1129</f>
        <v>58432.1672543</v>
      </c>
      <c r="E1139" s="20">
        <f>E1130*'Product and Cost'!$F$6*E1129+E1131*'Product and Cost'!$F$7*E1129+E1132*'Product and Cost'!$F$8*E1129+E1133*'Product and Cost'!$F$9*E1129+E1134*'Product and Cost'!$F$10*E1129+E1135*'Product and Cost'!$F$11*E1129+E1136*'Product and Cost'!$F$12*E1129+E1137*'Product and Cost'!$F$13*E1129</f>
        <v>63772.6371781</v>
      </c>
      <c r="F1139" s="20">
        <f>F1130*'Product and Cost'!$F$6*F1129+F1131*'Product and Cost'!$F$7*F1129+F1132*'Product and Cost'!$F$8*F1129+F1133*'Product and Cost'!$F$9*F1129+F1134*'Product and Cost'!$F$10*F1129+F1135*'Product and Cost'!$F$11*F1129+F1136*'Product and Cost'!$F$12*F1129+F1137*'Product and Cost'!$F$13*F1129</f>
        <v>68952.1790369</v>
      </c>
      <c r="G1139" s="20">
        <f>G1130*'Product and Cost'!$F$6*G1129+G1131*'Product and Cost'!$F$7*G1129+G1132*'Product and Cost'!$F$8*G1129+G1133*'Product and Cost'!$F$9*G1129+G1134*'Product and Cost'!$F$10*G1129+G1135*'Product and Cost'!$F$11*G1129+G1136*'Product and Cost'!$F$12*G1129+G1137*'Product and Cost'!$F$13*G1129</f>
        <v>73977.8431827</v>
      </c>
    </row>
    <row r="1140">
      <c r="A1140" s="9" t="inlineStr">
        <is>
          <t>Cost of sales</t>
        </is>
      </c>
      <c r="C1140" s="18">
        <f>C1130*('Product and Cost'!$D$27*C1129*Assumptions!$B$88+'Product and Cost'!$B$27*(0.4863620081*C1128+0.4455809638*C1128+0.0356254898*C1129+0.0324315384))+C1131*('Product and Cost'!$D$28*C1129*Assumptions!$B$88+'Product and Cost'!$B$28*(0.4863620081*C1128+0.4455809638*C1128+0.0356254898*C1129+0.0324315384))+C1132*('Product and Cost'!$D$29*C1129*Assumptions!$B$88+'Product and Cost'!$B$29*(0.4863620081*C1128+0.4455809638*C1128+0.0356254898*C1129+0.0324315384))+C1133*('Product and Cost'!$D$30*C1129*Assumptions!$B$88+'Product and Cost'!$B$30*(0.4863620081*C1128+0.4455809638*C1128+0.0356254898*C1129+0.0324315384))+C1134*('Product and Cost'!$D$31*C1129*Assumptions!$B$88+'Product and Cost'!$B$31*(0.4863620081*C1128+0.4455809638*C1128+0.0356254898*C1129+0.0324315384))+C1135*('Product and Cost'!$D$32*C1129*Assumptions!$B$88+'Product and Cost'!$B$32*(0.4863620081*C1128+0.4455809638*C1128+0.0356254898*C1129+0.0324315384))+C1136*('Product and Cost'!$D$33*C1129*Assumptions!$B$88+'Product and Cost'!$B$33*(0.4863620081*C1128+0.4455809638*C1128+0.0356254898*C1129+0.0324315384))+C1137*('Product and Cost'!$D$34*C1129*Assumptions!$B$88+'Product and Cost'!$B$34*(0.4863620081*C1128+0.4455809638*C1128+0.0356254898*C1129+0.0324315384))</f>
        <v>48291.1604712</v>
      </c>
      <c r="D1140" s="18">
        <f>D1130*('Product and Cost'!$D$27*D1129*Assumptions!$B$88+'Product and Cost'!$B$27*(0.4863620081*D1128+0.4455809638*D1128+0.0356254898*D1129+0.0324315384))+D1131*('Product and Cost'!$D$28*D1129*Assumptions!$B$88+'Product and Cost'!$B$28*(0.4863620081*D1128+0.4455809638*D1128+0.0356254898*D1129+0.0324315384))+D1132*('Product and Cost'!$D$29*D1129*Assumptions!$B$88+'Product and Cost'!$B$29*(0.4863620081*D1128+0.4455809638*D1128+0.0356254898*D1129+0.0324315384))+D1133*('Product and Cost'!$D$30*D1129*Assumptions!$B$88+'Product and Cost'!$B$30*(0.4863620081*D1128+0.4455809638*D1128+0.0356254898*D1129+0.0324315384))+D1134*('Product and Cost'!$D$31*D1129*Assumptions!$B$88+'Product and Cost'!$B$31*(0.4863620081*D1128+0.4455809638*D1128+0.0356254898*D1129+0.0324315384))+D1135*('Product and Cost'!$D$32*D1129*Assumptions!$B$88+'Product and Cost'!$B$32*(0.4863620081*D1128+0.4455809638*D1128+0.0356254898*D1129+0.0324315384))+D1136*('Product and Cost'!$D$33*D1129*Assumptions!$B$88+'Product and Cost'!$B$33*(0.4863620081*D1128+0.4455809638*D1128+0.0356254898*D1129+0.0324315384))+D1137*('Product and Cost'!$D$34*D1129*Assumptions!$B$88+'Product and Cost'!$B$34*(0.4863620081*D1128+0.4455809638*D1128+0.0356254898*D1129+0.0324315384))</f>
        <v>53647.9823219</v>
      </c>
      <c r="E1140" s="18">
        <f>E1130*('Product and Cost'!$D$27*E1129*Assumptions!$B$88+'Product and Cost'!$B$27*(0.4863620081*E1128+0.4455809638*E1128+0.0356254898*E1129+0.0324315384))+E1131*('Product and Cost'!$D$28*E1129*Assumptions!$B$88+'Product and Cost'!$B$28*(0.4863620081*E1128+0.4455809638*E1128+0.0356254898*E1129+0.0324315384))+E1132*('Product and Cost'!$D$29*E1129*Assumptions!$B$88+'Product and Cost'!$B$29*(0.4863620081*E1128+0.4455809638*E1128+0.0356254898*E1129+0.0324315384))+E1133*('Product and Cost'!$D$30*E1129*Assumptions!$B$88+'Product and Cost'!$B$30*(0.4863620081*E1128+0.4455809638*E1128+0.0356254898*E1129+0.0324315384))+E1134*('Product and Cost'!$D$31*E1129*Assumptions!$B$88+'Product and Cost'!$B$31*(0.4863620081*E1128+0.4455809638*E1128+0.0356254898*E1129+0.0324315384))+E1135*('Product and Cost'!$D$32*E1129*Assumptions!$B$88+'Product and Cost'!$B$32*(0.4863620081*E1128+0.4455809638*E1128+0.0356254898*E1129+0.0324315384))+E1136*('Product and Cost'!$D$33*E1129*Assumptions!$B$88+'Product and Cost'!$B$33*(0.4863620081*E1128+0.4455809638*E1128+0.0356254898*E1129+0.0324315384))+E1137*('Product and Cost'!$D$34*E1129*Assumptions!$B$88+'Product and Cost'!$B$34*(0.4863620081*E1128+0.4455809638*E1128+0.0356254898*E1129+0.0324315384))</f>
        <v>58815.4011786</v>
      </c>
      <c r="F1140" s="18">
        <f>F1130*('Product and Cost'!$D$27*F1129*Assumptions!$B$88+'Product and Cost'!$B$27*(0.4863620081*F1128+0.4455809638*F1128+0.0356254898*F1129+0.0324315384))+F1131*('Product and Cost'!$D$28*F1129*Assumptions!$B$88+'Product and Cost'!$B$28*(0.4863620081*F1128+0.4455809638*F1128+0.0356254898*F1129+0.0324315384))+F1132*('Product and Cost'!$D$29*F1129*Assumptions!$B$88+'Product and Cost'!$B$29*(0.4863620081*F1128+0.4455809638*F1128+0.0356254898*F1129+0.0324315384))+F1133*('Product and Cost'!$D$30*F1129*Assumptions!$B$88+'Product and Cost'!$B$30*(0.4863620081*F1128+0.4455809638*F1128+0.0356254898*F1129+0.0324315384))+F1134*('Product and Cost'!$D$31*F1129*Assumptions!$B$88+'Product and Cost'!$B$31*(0.4863620081*F1128+0.4455809638*F1128+0.0356254898*F1129+0.0324315384))+F1135*('Product and Cost'!$D$32*F1129*Assumptions!$B$88+'Product and Cost'!$B$32*(0.4863620081*F1128+0.4455809638*F1128+0.0356254898*F1129+0.0324315384))+F1136*('Product and Cost'!$D$33*F1129*Assumptions!$B$88+'Product and Cost'!$B$33*(0.4863620081*F1128+0.4455809638*F1128+0.0356254898*F1129+0.0324315384))+F1137*('Product and Cost'!$D$34*F1129*Assumptions!$B$88+'Product and Cost'!$B$34*(0.4863620081*F1128+0.4455809638*F1128+0.0356254898*F1129+0.0324315384))</f>
        <v>63847.5732702</v>
      </c>
      <c r="G1140" s="18">
        <f>G1130*('Product and Cost'!$D$27*G1129*Assumptions!$B$88+'Product and Cost'!$B$27*(0.4863620081*G1128+0.4455809638*G1128+0.0356254898*G1129+0.0324315384))+G1131*('Product and Cost'!$D$28*G1129*Assumptions!$B$88+'Product and Cost'!$B$28*(0.4863620081*G1128+0.4455809638*G1128+0.0356254898*G1129+0.0324315384))+G1132*('Product and Cost'!$D$29*G1129*Assumptions!$B$88+'Product and Cost'!$B$29*(0.4863620081*G1128+0.4455809638*G1128+0.0356254898*G1129+0.0324315384))+G1133*('Product and Cost'!$D$30*G1129*Assumptions!$B$88+'Product and Cost'!$B$30*(0.4863620081*G1128+0.4455809638*G1128+0.0356254898*G1129+0.0324315384))+G1134*('Product and Cost'!$D$31*G1129*Assumptions!$B$88+'Product and Cost'!$B$31*(0.4863620081*G1128+0.4455809638*G1128+0.0356254898*G1129+0.0324315384))+G1135*('Product and Cost'!$D$32*G1129*Assumptions!$B$88+'Product and Cost'!$B$32*(0.4863620081*G1128+0.4455809638*G1128+0.0356254898*G1129+0.0324315384))+G1136*('Product and Cost'!$D$33*G1129*Assumptions!$B$88+'Product and Cost'!$B$33*(0.4863620081*G1128+0.4455809638*G1128+0.0356254898*G1129+0.0324315384))+G1137*('Product and Cost'!$D$34*G1129*Assumptions!$B$88+'Product and Cost'!$B$34*(0.4863620081*G1128+0.4455809638*G1128+0.0356254898*G1129+0.0324315384))</f>
        <v>68797.1859175</v>
      </c>
    </row>
    <row r="1141">
      <c r="A1141" s="17" t="inlineStr">
        <is>
          <t>GROSS PROFIT</t>
        </is>
      </c>
      <c r="C1141" s="20">
        <f>C1139-C1140+Forecast!$B$7*C1139</f>
        <v>4549.65064286</v>
      </c>
      <c r="D1141" s="20">
        <f>D1139-D1140+Forecast!$B$7*D1139</f>
        <v>4784.18493236</v>
      </c>
      <c r="E1141" s="20">
        <f>E1139-E1140+Forecast!$B$7*E1139</f>
        <v>4957.23599944</v>
      </c>
      <c r="F1141" s="20">
        <f>F1139-F1140+Forecast!$B$7*F1139</f>
        <v>5104.60576669</v>
      </c>
      <c r="G1141" s="20">
        <f>G1139-G1140+Forecast!$B$7*G1139</f>
        <v>5180.65726511</v>
      </c>
    </row>
    <row r="1142">
      <c r="A1142" s="9" t="inlineStr">
        <is>
          <t>Gross margin</t>
        </is>
      </c>
      <c r="C1142" s="19">
        <f>C1141/C1139</f>
        <v>0.0861010750391</v>
      </c>
      <c r="D1142" s="19">
        <f>D1141/D1139</f>
        <v>0.0818758768871</v>
      </c>
      <c r="E1142" s="19">
        <f>E1141/E1139</f>
        <v>0.0777329622672</v>
      </c>
      <c r="F1142" s="19">
        <f>F1141/F1139</f>
        <v>0.0740311015255</v>
      </c>
      <c r="G1142" s="19">
        <f>G1141/G1139</f>
        <v>0.0700298500501</v>
      </c>
    </row>
    <row r="1143">
      <c r="A1143" s="9" t="inlineStr">
        <is>
          <t>Operating expense</t>
        </is>
      </c>
      <c r="C1143" s="18">
        <f>('Base Year'!$B$28*C1128)+('Base Year'!$B$29*C1128*C1138/'Product and Cost'!$E$14)+('Base Year'!$B$30*C1128)+('Base Year'!$B$31*C1128)</f>
        <v>2007.6668112</v>
      </c>
      <c r="D1143" s="18">
        <f>('Base Year'!$B$28*D1128)+('Base Year'!$B$29*D1128*D1138/'Product and Cost'!$E$14)+('Base Year'!$B$30*D1128)+('Base Year'!$B$31*D1128)</f>
        <v>2276.29775955</v>
      </c>
      <c r="E1143" s="18">
        <f>('Base Year'!$B$28*E1128)+('Base Year'!$B$29*E1128*E1138/'Product and Cost'!$E$14)+('Base Year'!$B$30*E1128)+('Base Year'!$B$31*E1128)</f>
        <v>2545.62118024</v>
      </c>
      <c r="F1143" s="18">
        <f>('Base Year'!$B$28*F1128)+('Base Year'!$B$29*F1128*F1138/'Product and Cost'!$E$14)+('Base Year'!$B$30*F1128)+('Base Year'!$B$31*F1128)</f>
        <v>2807.77881104</v>
      </c>
      <c r="G1143" s="18">
        <f>('Base Year'!$B$28*G1128)+('Base Year'!$B$29*G1128*G1138/'Product and Cost'!$E$14)+('Base Year'!$B$30*G1128)+('Base Year'!$B$31*G1128)</f>
        <v>3082.20998189</v>
      </c>
    </row>
    <row r="1144">
      <c r="A1144" s="17" t="inlineStr">
        <is>
          <t>EBITDA</t>
        </is>
      </c>
      <c r="C1144" s="20">
        <f>C1141-C1143</f>
        <v>2541.98383166</v>
      </c>
      <c r="D1144" s="20">
        <f>D1141-D1143</f>
        <v>2507.88717281</v>
      </c>
      <c r="E1144" s="20">
        <f>E1141-E1143</f>
        <v>2411.6148192</v>
      </c>
      <c r="F1144" s="20">
        <f>F1141-F1143</f>
        <v>2296.82695565</v>
      </c>
      <c r="G1144" s="20">
        <f>G1141-G1143</f>
        <v>2098.44728323</v>
      </c>
    </row>
    <row r="1145">
      <c r="A1145" s="9" t="inlineStr">
        <is>
          <t>Capital expenditure — maintenance + growth</t>
        </is>
      </c>
      <c r="C1145" s="18">
        <f>'Base Year'!$B$43*C1128+MAX(C1138-'Product and Cost'!$E$14,0)*1947.901031*C1128</f>
        <v>280.931999159</v>
      </c>
      <c r="D1145" s="18">
        <f>'Base Year'!$B$43*D1128+MAX(D1138-C1138,0)*1947.901031*D1128</f>
        <v>307.3675836</v>
      </c>
      <c r="E1145" s="18">
        <f>'Base Year'!$B$43*E1128+MAX(E1138-D1138,0)*1947.901031*E1128</f>
        <v>328.639389001</v>
      </c>
      <c r="F1145" s="18">
        <f>'Base Year'!$B$43*F1128+MAX(F1138-E1138,0)*1947.901031*F1128</f>
        <v>351.146749034</v>
      </c>
      <c r="G1145" s="18">
        <f>'Base Year'!$B$43*G1128+MAX(G1138-F1138,0)*1947.901031*G1128</f>
        <v>375.372179467</v>
      </c>
    </row>
    <row r="1146">
      <c r="A1146" s="9" t="inlineStr">
        <is>
          <t>Fixed assets at cost, closing</t>
        </is>
      </c>
      <c r="C1146" s="18">
        <f>(Assumptions!$B$70+Assumptions!$B$71)/10^6+C1145</f>
        <v>3429.06589416</v>
      </c>
      <c r="D1146" s="18">
        <f>C1146+D1145</f>
        <v>3736.43347776</v>
      </c>
      <c r="E1146" s="18">
        <f>D1146+E1145</f>
        <v>4065.07286676</v>
      </c>
      <c r="F1146" s="18">
        <f>E1146+F1145</f>
        <v>4416.21961579</v>
      </c>
      <c r="G1146" s="18">
        <f>F1146+G1145</f>
        <v>4791.59179526</v>
      </c>
    </row>
    <row r="1147">
      <c r="A1147" s="9" t="inlineStr">
        <is>
          <t>Depreciation — rolls off the asset register</t>
        </is>
      </c>
      <c r="C1147" s="18">
        <f>(Assumptions!$B$70+Assumptions!$B$71)/10^6/'Base Year'!$B$42</f>
        <v>173.808854481</v>
      </c>
      <c r="D1147" s="18">
        <f>C1146/'Base Year'!$B$42</f>
        <v>189.319144255</v>
      </c>
      <c r="E1147" s="18">
        <f>D1146/'Base Year'!$B$42</f>
        <v>206.288945856</v>
      </c>
      <c r="F1147" s="18">
        <f>E1146/'Base Year'!$B$42</f>
        <v>224.433166415</v>
      </c>
      <c r="G1147" s="18">
        <f>F1146/'Base Year'!$B$42</f>
        <v>243.820021053</v>
      </c>
    </row>
    <row r="1148">
      <c r="A1148" s="9" t="inlineStr">
        <is>
          <t>Fixed assets, net book, closing</t>
        </is>
      </c>
      <c r="C1148" s="18">
        <f>(Assumptions!$B$69+Assumptions!$B$71)/10^6+C1145-C1147</f>
        <v>1407.46262168</v>
      </c>
      <c r="D1148" s="18">
        <f>C1148+D1145-D1147</f>
        <v>1525.51106102</v>
      </c>
      <c r="E1148" s="18">
        <f>D1148+E1145-E1147</f>
        <v>1647.86150417</v>
      </c>
      <c r="F1148" s="18">
        <f>E1148+F1145-F1147</f>
        <v>1774.57508679</v>
      </c>
      <c r="G1148" s="18">
        <f>F1148+G1145-G1147</f>
        <v>1906.1272452</v>
      </c>
    </row>
    <row r="1149">
      <c r="A1149" s="17" t="inlineStr">
        <is>
          <t>EBIT</t>
        </is>
      </c>
      <c r="C1149" s="20">
        <f>C1144-C1147</f>
        <v>2368.17497718</v>
      </c>
      <c r="D1149" s="20">
        <f>D1144-D1147</f>
        <v>2318.56802856</v>
      </c>
      <c r="E1149" s="20">
        <f>E1144-E1147</f>
        <v>2205.32587334</v>
      </c>
      <c r="F1149" s="20">
        <f>F1144-F1147</f>
        <v>2072.39378923</v>
      </c>
      <c r="G1149" s="20">
        <f>G1144-G1147</f>
        <v>1854.62726217</v>
      </c>
    </row>
    <row r="1150">
      <c r="A1150" s="9" t="inlineStr">
        <is>
          <t>NOPAT before the profit share</t>
        </is>
      </c>
      <c r="C1150" s="18">
        <f>C1149*(1-Assumptions!$B$87)</f>
        <v>1835.33560732</v>
      </c>
      <c r="D1150" s="18">
        <f>D1149*(1-Assumptions!$B$87)</f>
        <v>1796.89022213</v>
      </c>
      <c r="E1150" s="18">
        <f>E1149*(1-Assumptions!$B$87)</f>
        <v>1709.12755184</v>
      </c>
      <c r="F1150" s="18">
        <f>F1149*(1-Assumptions!$B$87)</f>
        <v>1606.10518666</v>
      </c>
      <c r="G1150" s="18">
        <f>G1149*(1-Assumptions!$B$87)</f>
        <v>1437.33612818</v>
      </c>
    </row>
    <row r="1151">
      <c r="A1151" s="9" t="inlineStr">
        <is>
          <t xml:space="preserve">  less employees' profit share and board bonuses</t>
        </is>
      </c>
      <c r="C1151" s="18">
        <f>MAX(C1150,0)*'Base Year'!$B$40</f>
        <v>96.7608009272</v>
      </c>
      <c r="D1151" s="18">
        <f>MAX(D1150,0)*'Base Year'!$B$40</f>
        <v>94.7339202588</v>
      </c>
      <c r="E1151" s="18">
        <f>MAX(E1150,0)*'Base Year'!$B$40</f>
        <v>90.1069810576</v>
      </c>
      <c r="F1151" s="18">
        <f>MAX(F1150,0)*'Base Year'!$B$40</f>
        <v>84.6755348801</v>
      </c>
      <c r="G1151" s="18">
        <f>MAX(G1150,0)*'Base Year'!$B$40</f>
        <v>75.7778546933</v>
      </c>
    </row>
    <row r="1152">
      <c r="A1152" s="17" t="inlineStr">
        <is>
          <t>NOPAT</t>
        </is>
      </c>
      <c r="C1152" s="20">
        <f>C1150-C1151</f>
        <v>1738.57480639</v>
      </c>
      <c r="D1152" s="20">
        <f>D1150-D1151</f>
        <v>1702.15630187</v>
      </c>
      <c r="E1152" s="20">
        <f>E1150-E1151</f>
        <v>1619.02057078</v>
      </c>
      <c r="F1152" s="20">
        <f>F1150-F1151</f>
        <v>1521.42965178</v>
      </c>
      <c r="G1152" s="20">
        <f>G1150-G1151</f>
        <v>1361.55827349</v>
      </c>
    </row>
    <row r="1153">
      <c r="A1153" s="9" t="inlineStr">
        <is>
          <t>Net working capital — on days</t>
        </is>
      </c>
      <c r="C1153" s="18">
        <f>'Base Year'!$B$44*$E$36/365*C1140+'Base Year'!$B$45*$E$36/365*C1139-'Base Year'!$B$46*$E$36/365*C1140</f>
        <v>2539.69193722</v>
      </c>
      <c r="D1153" s="18">
        <f>'Base Year'!$B$44*$E$36/365*D1140+'Base Year'!$B$45*$E$36/365*D1139-'Base Year'!$B$46*$E$36/365*D1140</f>
        <v>2816.01103091</v>
      </c>
      <c r="E1153" s="18">
        <f>'Base Year'!$B$44*$E$36/365*E1140+'Base Year'!$B$45*$E$36/365*E1139-'Base Year'!$B$46*$E$36/365*E1140</f>
        <v>3081.49643011</v>
      </c>
      <c r="F1153" s="18">
        <f>'Base Year'!$B$44*$E$36/365*F1140+'Base Year'!$B$45*$E$36/365*F1139-'Base Year'!$B$46*$E$36/365*F1140</f>
        <v>3339.61025534</v>
      </c>
      <c r="G1153" s="18">
        <f>'Base Year'!$B$44*$E$36/365*G1140+'Base Year'!$B$45*$E$36/365*G1139-'Base Year'!$B$46*$E$36/365*G1140</f>
        <v>3592.11140979</v>
      </c>
    </row>
    <row r="1154">
      <c r="A1154" s="9" t="inlineStr">
        <is>
          <t xml:space="preserve">  change in working capital</t>
        </is>
      </c>
      <c r="C1154" s="18">
        <f>C1153-('Base Year'!$B$44/365*'Base Year'!$B$21+'Base Year'!$B$45/365*'Base Year'!$B$19-'Base Year'!$B$46/365*'Base Year'!$B$21)</f>
        <v>288.28964822</v>
      </c>
      <c r="D1154" s="18">
        <f>D1153-C1153</f>
        <v>276.319093691</v>
      </c>
      <c r="E1154" s="18">
        <f>E1153-D1153</f>
        <v>265.485399203</v>
      </c>
      <c r="F1154" s="18">
        <f>F1153-E1153</f>
        <v>258.113825222</v>
      </c>
      <c r="G1154" s="18">
        <f>G1153-F1153</f>
        <v>252.501154457</v>
      </c>
    </row>
    <row r="1155">
      <c r="A1155" s="17" t="inlineStr">
        <is>
          <t>FREE CASH FLOW TO THE FIRM</t>
        </is>
      </c>
      <c r="C1155" s="20">
        <f>C1152+C1147-C1145-C1154</f>
        <v>1343.16201349</v>
      </c>
      <c r="D1155" s="20">
        <f>D1152+D1147-D1145-D1154</f>
        <v>1307.78876884</v>
      </c>
      <c r="E1155" s="20">
        <f>E1152+E1147-E1145-E1154</f>
        <v>1231.18472844</v>
      </c>
      <c r="F1155" s="20">
        <f>F1152+F1147-F1145-F1154</f>
        <v>1136.60224393</v>
      </c>
      <c r="G1155" s="20">
        <f>G1152+G1147-G1145-G1154</f>
        <v>977.504960621</v>
      </c>
    </row>
    <row r="1156">
      <c r="A1156" s="9" t="inlineStr">
        <is>
          <t>Glide fraction</t>
        </is>
      </c>
      <c r="C1156" s="26">
        <f>0.0000000000</f>
        <v>0</v>
      </c>
      <c r="D1156" s="26">
        <f>0.3571428571</f>
        <v>0.3571428571</v>
      </c>
      <c r="E1156" s="26">
        <f>0.6428571429</f>
        <v>0.6428571429</v>
      </c>
      <c r="F1156" s="26">
        <f>0.8571428571</f>
        <v>0.8571428571</v>
      </c>
      <c r="G1156" s="26">
        <f>1.0000000000</f>
        <v>1</v>
      </c>
    </row>
    <row r="1157">
      <c r="A1157" s="9" t="inlineStr">
        <is>
          <t>Forward cost of capital</t>
        </is>
      </c>
      <c r="C1157" s="19">
        <f>Forecast!$B$14-(Forecast!$B$14-Forecast!$B$17)*C1156</f>
        <v>0.31578338914</v>
      </c>
      <c r="D1157" s="19">
        <f>Forecast!$B$14-(Forecast!$B$14-Forecast!$B$17)*D1156</f>
        <v>0.268515637955</v>
      </c>
      <c r="E1157" s="19">
        <f>Forecast!$B$14-(Forecast!$B$14-Forecast!$B$17)*E1156</f>
        <v>0.230701436991</v>
      </c>
      <c r="F1157" s="19">
        <f>Forecast!$B$14-(Forecast!$B$14-Forecast!$B$17)*F1156</f>
        <v>0.202340786287</v>
      </c>
      <c r="G1157" s="19">
        <f>Forecast!$B$14-(Forecast!$B$14-Forecast!$B$17)*G1156</f>
        <v>0.183433685805</v>
      </c>
    </row>
    <row r="1158">
      <c r="A1158" s="9" t="inlineStr">
        <is>
          <t>Cumulative discount factor</t>
        </is>
      </c>
      <c r="C1158" s="29">
        <f>1/(1+C1157)</f>
        <v>0.760003514449</v>
      </c>
      <c r="D1158" s="29">
        <f>C1158/(1+D1157)</f>
        <v>0.599128218612</v>
      </c>
      <c r="E1158" s="29">
        <f>D1158/(1+E1157)</f>
        <v>0.486818492775</v>
      </c>
      <c r="F1158" s="29">
        <f>E1158/(1+F1157)</f>
        <v>0.404892272081</v>
      </c>
      <c r="G1158" s="29">
        <f>F1158/(1+G1157)</f>
        <v>0.342133468852</v>
      </c>
    </row>
    <row r="1159">
      <c r="A1159" s="9" t="inlineStr">
        <is>
          <t>Present value</t>
        </is>
      </c>
      <c r="C1159" s="18">
        <f>C1155*C1158</f>
        <v>1020.80785073</v>
      </c>
      <c r="D1159" s="18">
        <f>D1155*D1158</f>
        <v>783.533155394</v>
      </c>
      <c r="E1159" s="18">
        <f>E1155*E1158</f>
        <v>599.363493825</v>
      </c>
      <c r="F1159" s="18">
        <f>F1155*F1158</f>
        <v>460.201464998</v>
      </c>
      <c r="G1159" s="18">
        <f>G1155*G1158</f>
        <v>334.437162997</v>
      </c>
    </row>
    <row r="1160">
      <c r="A1160" s="17" t="inlineStr">
        <is>
          <t>PV of the explicit window</t>
        </is>
      </c>
      <c r="B1160" s="20">
        <f>SUM(C1159:G1159)</f>
        <v>3198.34312794</v>
      </c>
      <c r="C1160" s="18">
        <f>C1153+C1146</f>
        <v>5968.75783138</v>
      </c>
      <c r="D1160" s="18">
        <f>D1153+D1146</f>
        <v>6552.44450867</v>
      </c>
      <c r="E1160" s="18">
        <f>E1153+E1146</f>
        <v>7146.56929687</v>
      </c>
      <c r="F1160" s="18">
        <f>F1153+F1146</f>
        <v>7755.82987113</v>
      </c>
      <c r="G1160" s="18">
        <f>G1153+G1146</f>
        <v>8383.70320505</v>
      </c>
    </row>
    <row r="1161">
      <c r="A1161" s="9" t="inlineStr">
        <is>
          <t>Terminal return on invested capital, at REPLACEMENT cost</t>
        </is>
      </c>
      <c r="B1161" s="19">
        <f>G1152*(1+Assumptions!$B$89)/G1160</f>
        <v>0.170525620027</v>
      </c>
    </row>
    <row r="1162">
      <c r="A1162" s="9" t="inlineStr">
        <is>
          <t>Required reinvestment = growth / return</t>
        </is>
      </c>
      <c r="B1162" s="19">
        <f>MIN(Assumptions!$B$89/B1161,0.95)</f>
        <v>0.29321107287</v>
      </c>
    </row>
    <row r="1163">
      <c r="A1163" s="9" t="inlineStr">
        <is>
          <t>Terminal value</t>
        </is>
      </c>
      <c r="B1163" s="18">
        <f>G1152*(1+Assumptions!$B$89)*(1-B1162)/MAX(Forecast!$B$17-Assumptions!$B$89,0.02)</f>
        <v>7572.68317077</v>
      </c>
    </row>
    <row r="1164">
      <c r="A1164" s="9" t="inlineStr">
        <is>
          <t>PV of the terminal block</t>
        </is>
      </c>
      <c r="B1164" s="18">
        <f>B1163*G1158</f>
        <v>2590.86836173</v>
      </c>
    </row>
    <row r="1165">
      <c r="A1165" s="17" t="inlineStr">
        <is>
          <t>ENTERPRISE VALUE</t>
        </is>
      </c>
      <c r="B1165" s="20">
        <f>B1160+B1164</f>
        <v>5789.21148967</v>
      </c>
    </row>
    <row r="1166">
      <c r="A1166" s="9" t="inlineStr">
        <is>
          <t>plus net cash</t>
        </is>
      </c>
      <c r="B1166" s="18">
        <f>(Assumptions!$B$79-Assumptions!$B$82-Assumptions!$B$83)/10^6</f>
        <v>2442.544928</v>
      </c>
    </row>
    <row r="1167">
      <c r="A1167" s="9" t="inlineStr">
        <is>
          <t>Enterprise value including cash</t>
        </is>
      </c>
      <c r="B1167" s="18">
        <f>B1165+B1166</f>
        <v>8231.75641767</v>
      </c>
    </row>
    <row r="1168">
      <c r="A1168" s="9" t="inlineStr">
        <is>
          <t>less minority — on the WHOLE enterprise, cash included</t>
        </is>
      </c>
      <c r="B1168" s="18">
        <f>B1167*'Base Year'!$B$41</f>
        <v>268.21073199</v>
      </c>
    </row>
    <row r="1169">
      <c r="A1169" s="9" t="inlineStr">
        <is>
          <t>less the tax-disputes provision</t>
        </is>
      </c>
      <c r="B1169" s="18">
        <f>Assumptions!$B$78/10^6</f>
        <v>921.440353</v>
      </c>
    </row>
    <row r="1170">
      <c r="A1170" s="9" t="inlineStr">
        <is>
          <t>less dividends payable — declared, out of working capital</t>
        </is>
      </c>
      <c r="B1170" s="18">
        <f>Assumptions!$B$77/10^6</f>
        <v>517.25</v>
      </c>
    </row>
    <row r="1171">
      <c r="A1171" s="9" t="inlineStr">
        <is>
          <t>plus non-operating investments and pledged deposits</t>
        </is>
      </c>
      <c r="B1171" s="18">
        <f>(Assumptions!$B$81+Assumptions!$B$80)/10^6</f>
        <v>578.358746</v>
      </c>
    </row>
    <row r="1172">
      <c r="A1172" s="17" t="inlineStr">
        <is>
          <t>EQUITY ATTRIBUTABLE</t>
        </is>
      </c>
      <c r="B1172" s="20">
        <f>B1167-B1168-B1169-B1170+B1171</f>
        <v>7103.21407868</v>
      </c>
    </row>
    <row r="1173">
      <c r="A1173" s="17" t="inlineStr">
        <is>
          <t>VALUE PER SHARE, EGP</t>
        </is>
      </c>
      <c r="B1173" s="30">
        <f>B1172/Assumptions!$B$8</f>
        <v>5.49997218636</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9" t="inlineStr">
        <is>
          <t>Inflation index, cumulative</t>
        </is>
      </c>
      <c r="C1177" s="26">
        <f>Assumptions!$B$146</f>
        <v>1.145</v>
      </c>
      <c r="D1177" s="26">
        <f>C1177*Assumptions!$B$147</f>
        <v>1.29385</v>
      </c>
      <c r="E1177" s="26">
        <f>D1177*Assumptions!$B$148</f>
        <v>1.44264275</v>
      </c>
      <c r="F1177" s="26">
        <f>E1177*Assumptions!$B$149</f>
        <v>1.586907025</v>
      </c>
      <c r="G1177" s="26">
        <f>F1177*Assumptions!$B$150</f>
        <v>1.73766319237</v>
      </c>
    </row>
    <row r="1178">
      <c r="A1178" s="9" t="inlineStr">
        <is>
          <t>Realisation index, cumulative</t>
        </is>
      </c>
      <c r="C1178" s="26">
        <f>(1+Assumptions!$B$101*Forecast!$B$8)</f>
        <v>1.09</v>
      </c>
      <c r="D1178" s="26">
        <f>C1178*(1+Assumptions!$B$102*Forecast!$B$8)</f>
        <v>1.17175</v>
      </c>
      <c r="E1178" s="26">
        <f>D1178*(1+Assumptions!$B$103*Forecast!$B$8)</f>
        <v>1.24791375</v>
      </c>
      <c r="F1178" s="26">
        <f>E1178*(1+Assumptions!$B$104*Forecast!$B$8)</f>
        <v>1.3202927475</v>
      </c>
      <c r="G1178" s="26">
        <f>F1178*(1+Assumptions!$B$105*Forecast!$B$8)</f>
        <v>1.38894797037</v>
      </c>
    </row>
    <row r="1179">
      <c r="A1179" s="9" t="inlineStr">
        <is>
          <t xml:space="preserve">  Volume — Base and special oils, mn t</t>
        </is>
      </c>
      <c r="C1179" s="26">
        <f>'Product and Cost'!E6*(1+Assumptions!$B$106*Forecast!$B$6)</f>
        <v>0.1148851682</v>
      </c>
      <c r="D1179" s="26">
        <f>C1179*(1+Assumptions!$B$107*Forecast!$B$6)</f>
        <v>0.119480574928</v>
      </c>
      <c r="E1179" s="26">
        <f>D1179*(1+Assumptions!$B$108*Forecast!$B$6)</f>
        <v>0.12366239505</v>
      </c>
      <c r="F1179" s="26">
        <f>E1179*(1+Assumptions!$B$109*Forecast!$B$6)</f>
        <v>0.127372266902</v>
      </c>
      <c r="G1179" s="26">
        <f>F1179*(1+Assumptions!$B$110*Forecast!$B$6)</f>
        <v>0.130938690375</v>
      </c>
    </row>
    <row r="1180">
      <c r="A1180" s="9" t="inlineStr">
        <is>
          <t xml:space="preserve">  Volume — Paraffin wax, mn t</t>
        </is>
      </c>
      <c r="C1180" s="26">
        <f>'Product and Cost'!E7*(1+Assumptions!$B$111*Forecast!$B$6)</f>
        <v>0.089396788</v>
      </c>
      <c r="D1180" s="26">
        <f>C1180*(1+Assumptions!$B$112*Forecast!$B$6)</f>
        <v>0.09431361134</v>
      </c>
      <c r="E1180" s="26">
        <f>D1180*(1+Assumptions!$B$113*Forecast!$B$6)</f>
        <v>0.0985577238503</v>
      </c>
      <c r="F1180" s="26">
        <f>E1180*(1+Assumptions!$B$114*Forecast!$B$6)</f>
        <v>0.102302917357</v>
      </c>
      <c r="G1180" s="26">
        <f>F1180*(1+Assumptions!$B$115*Forecast!$B$6)</f>
        <v>0.105576610712</v>
      </c>
    </row>
    <row r="1181">
      <c r="A1181" s="9" t="inlineStr">
        <is>
          <t xml:space="preserve">  Volume — Gas oil, mn t</t>
        </is>
      </c>
      <c r="C1181" s="26">
        <f>'Product and Cost'!E8*(1+Assumptions!$B$116*Forecast!$B$6)</f>
        <v>0.35023715724</v>
      </c>
      <c r="D1181" s="26">
        <f>C1181*(1+Assumptions!$B$117*Forecast!$B$6)</f>
        <v>0.357241900385</v>
      </c>
      <c r="E1181" s="26">
        <f>D1181*(1+Assumptions!$B$118*Forecast!$B$6)</f>
        <v>0.363672254592</v>
      </c>
      <c r="F1181" s="26">
        <f>E1181*(1+Assumptions!$B$119*Forecast!$B$6)</f>
        <v>0.369491010665</v>
      </c>
      <c r="G1181" s="26">
        <f>F1181*(1+Assumptions!$B$120*Forecast!$B$6)</f>
        <v>0.375033375825</v>
      </c>
    </row>
    <row r="1182">
      <c r="A1182" s="9" t="inlineStr">
        <is>
          <t xml:space="preserve">  Volume — Naphtha, mn t</t>
        </is>
      </c>
      <c r="C1182" s="26">
        <f>'Product and Cost'!E9*(1+Assumptions!$B$121*Forecast!$B$6)</f>
        <v>0.08410463971</v>
      </c>
      <c r="D1182" s="26">
        <f>C1182*(1+Assumptions!$B$122*Forecast!$B$6)</f>
        <v>0.0856185232248</v>
      </c>
      <c r="E1182" s="26">
        <f>D1182*(1+Assumptions!$B$123*Forecast!$B$6)</f>
        <v>0.0871596566428</v>
      </c>
      <c r="F1182" s="26">
        <f>E1182*(1+Assumptions!$B$124*Forecast!$B$6)</f>
        <v>0.0885542111491</v>
      </c>
      <c r="G1182" s="26">
        <f>F1182*(1+Assumptions!$B$125*Forecast!$B$6)</f>
        <v>0.0898825243163</v>
      </c>
    </row>
    <row r="1183">
      <c r="A1183" s="9" t="inlineStr">
        <is>
          <t xml:space="preserve">  Volume — Liquefied petroleum gas, mn t</t>
        </is>
      </c>
      <c r="C1183" s="26">
        <f>'Product and Cost'!E10*(1+Assumptions!$B$126*Forecast!$B$6)</f>
        <v>0.0486583449</v>
      </c>
      <c r="D1183" s="26">
        <f>C1183*(1+Assumptions!$B$127*Forecast!$B$6)</f>
        <v>0.0497288284878</v>
      </c>
      <c r="E1183" s="26">
        <f>D1183*(1+Assumptions!$B$128*Forecast!$B$6)</f>
        <v>0.0507234050576</v>
      </c>
      <c r="F1183" s="26">
        <f>E1183*(1+Assumptions!$B$129*Forecast!$B$6)</f>
        <v>0.0516364263486</v>
      </c>
      <c r="G1183" s="26">
        <f>F1183*(1+Assumptions!$B$130*Forecast!$B$6)</f>
        <v>0.0524626091702</v>
      </c>
    </row>
    <row r="1184">
      <c r="A1184" s="9" t="inlineStr">
        <is>
          <t xml:space="preserve">  Volume — Fuel oil (mix), mn t</t>
        </is>
      </c>
      <c r="C1184" s="26">
        <f>'Product and Cost'!E11*(1+Assumptions!$B$131*Forecast!$B$6)</f>
        <v>0.947916416</v>
      </c>
      <c r="D1184" s="26">
        <f>C1184*(1+Assumptions!$B$132*Forecast!$B$6)</f>
        <v>0.972562242816</v>
      </c>
      <c r="E1184" s="26">
        <f>D1184*(1+Assumptions!$B$133*Forecast!$B$6)</f>
        <v>0.993958612158</v>
      </c>
      <c r="F1184" s="26">
        <f>E1184*(1+Assumptions!$B$134*Forecast!$B$6)</f>
        <v>1.0138377844</v>
      </c>
      <c r="G1184" s="26">
        <f>F1184*(1+Assumptions!$B$135*Forecast!$B$6)</f>
        <v>1.03208686452</v>
      </c>
    </row>
    <row r="1185">
      <c r="A1185" s="9" t="inlineStr">
        <is>
          <t xml:space="preserve">  Volume — Heavy fuel oil, mn t</t>
        </is>
      </c>
      <c r="C1185" s="26">
        <f>'Product and Cost'!E12*(1+Assumptions!$B$136*Forecast!$B$6)</f>
        <v>0.0292281408</v>
      </c>
      <c r="D1185" s="26">
        <f>C1185*(1+Assumptions!$B$137*Forecast!$B$6)</f>
        <v>0.0297542473344</v>
      </c>
      <c r="E1185" s="26">
        <f>D1185*(1+Assumptions!$B$138*Forecast!$B$6)</f>
        <v>0.0302303152918</v>
      </c>
      <c r="F1185" s="26">
        <f>E1185*(1+Assumptions!$B$139*Forecast!$B$6)</f>
        <v>0.0306837700211</v>
      </c>
      <c r="G1185" s="26">
        <f>F1185*(1+Assumptions!$B$140*Forecast!$B$6)</f>
        <v>0.0311133428014</v>
      </c>
    </row>
    <row r="1186">
      <c r="A1186" s="9" t="inlineStr">
        <is>
          <t xml:space="preserve">  Volume — Waste, mn t</t>
        </is>
      </c>
      <c r="C1186" s="26">
        <f>'Product and Cost'!E13*(1+Assumptions!$B$141*Forecast!$B$6)</f>
        <v>1.564e-05</v>
      </c>
      <c r="D1186" s="26">
        <f>C1186*(1+Assumptions!$B$142*Forecast!$B$6)</f>
        <v>1.564e-05</v>
      </c>
      <c r="E1186" s="26">
        <f>D1186*(1+Assumptions!$B$143*Forecast!$B$6)</f>
        <v>1.564e-05</v>
      </c>
      <c r="F1186" s="26">
        <f>E1186*(1+Assumptions!$B$144*Forecast!$B$6)</f>
        <v>1.564e-05</v>
      </c>
      <c r="G1186" s="26">
        <f>F1186*(1+Assumptions!$B$145*Forecast!$B$6)</f>
        <v>1.564e-05</v>
      </c>
    </row>
    <row r="1187">
      <c r="A1187" s="17" t="inlineStr">
        <is>
          <t>Total volume, mn t</t>
        </is>
      </c>
      <c r="C1187" s="28">
        <f>SUM(C1179:C1186)</f>
        <v>1.66444229485</v>
      </c>
      <c r="D1187" s="28">
        <f>SUM(D1179:D1186)</f>
        <v>1.70871556852</v>
      </c>
      <c r="E1187" s="28">
        <f>SUM(E1179:E1186)</f>
        <v>1.74798000264</v>
      </c>
      <c r="F1187" s="28">
        <f>SUM(F1179:F1186)</f>
        <v>1.78389402684</v>
      </c>
      <c r="G1187" s="28">
        <f>SUM(G1179:G1186)</f>
        <v>1.81710965772</v>
      </c>
    </row>
    <row r="1188">
      <c r="A1188" s="17" t="inlineStr">
        <is>
          <t>REVENUE</t>
        </is>
      </c>
      <c r="C1188" s="20">
        <f>C1179*'Product and Cost'!$F$6*C1178+C1180*'Product and Cost'!$F$7*C1178+C1181*'Product and Cost'!$F$8*C1178+C1182*'Product and Cost'!$F$9*C1178+C1183*'Product and Cost'!$F$10*C1178+C1184*'Product and Cost'!$F$11*C1178+C1185*'Product and Cost'!$F$12*C1178+C1186*'Product and Cost'!$F$13*C1178</f>
        <v>52840.8111141</v>
      </c>
      <c r="D1188" s="20">
        <f>D1179*'Product and Cost'!$F$6*D1178+D1180*'Product and Cost'!$F$7*D1178+D1181*'Product and Cost'!$F$8*D1178+D1182*'Product and Cost'!$F$9*D1178+D1183*'Product and Cost'!$F$10*D1178+D1184*'Product and Cost'!$F$11*D1178+D1185*'Product and Cost'!$F$12*D1178+D1186*'Product and Cost'!$F$13*D1178</f>
        <v>58432.1672543</v>
      </c>
      <c r="E1188" s="20">
        <f>E1179*'Product and Cost'!$F$6*E1178+E1180*'Product and Cost'!$F$7*E1178+E1181*'Product and Cost'!$F$8*E1178+E1182*'Product and Cost'!$F$9*E1178+E1183*'Product and Cost'!$F$10*E1178+E1184*'Product and Cost'!$F$11*E1178+E1185*'Product and Cost'!$F$12*E1178+E1186*'Product and Cost'!$F$13*E1178</f>
        <v>63772.6371781</v>
      </c>
      <c r="F1188" s="20">
        <f>F1179*'Product and Cost'!$F$6*F1178+F1180*'Product and Cost'!$F$7*F1178+F1181*'Product and Cost'!$F$8*F1178+F1182*'Product and Cost'!$F$9*F1178+F1183*'Product and Cost'!$F$10*F1178+F1184*'Product and Cost'!$F$11*F1178+F1185*'Product and Cost'!$F$12*F1178+F1186*'Product and Cost'!$F$13*F1178</f>
        <v>68952.1790369</v>
      </c>
      <c r="G1188" s="20">
        <f>G1179*'Product and Cost'!$F$6*G1178+G1180*'Product and Cost'!$F$7*G1178+G1181*'Product and Cost'!$F$8*G1178+G1182*'Product and Cost'!$F$9*G1178+G1183*'Product and Cost'!$F$10*G1178+G1184*'Product and Cost'!$F$11*G1178+G1185*'Product and Cost'!$F$12*G1178+G1186*'Product and Cost'!$F$13*G1178</f>
        <v>73977.8431827</v>
      </c>
    </row>
    <row r="1189">
      <c r="A1189" s="9" t="inlineStr">
        <is>
          <t>Cost of sales</t>
        </is>
      </c>
      <c r="C1189" s="18">
        <f>C1179*('Product and Cost'!$D$27*C1178*Assumptions!$B$88+'Product and Cost'!$B$27*(0.4863620081*C1177+0.4455809638*C1177+0.0356254898*C1178+0.0324315384))+C1180*('Product and Cost'!$D$28*C1178*Assumptions!$B$88+'Product and Cost'!$B$28*(0.4863620081*C1177+0.4455809638*C1177+0.0356254898*C1178+0.0324315384))+C1181*('Product and Cost'!$D$29*C1178*Assumptions!$B$88+'Product and Cost'!$B$29*(0.4863620081*C1177+0.4455809638*C1177+0.0356254898*C1178+0.0324315384))+C1182*('Product and Cost'!$D$30*C1178*Assumptions!$B$88+'Product and Cost'!$B$30*(0.4863620081*C1177+0.4455809638*C1177+0.0356254898*C1178+0.0324315384))+C1183*('Product and Cost'!$D$31*C1178*Assumptions!$B$88+'Product and Cost'!$B$31*(0.4863620081*C1177+0.4455809638*C1177+0.0356254898*C1178+0.0324315384))+C1184*('Product and Cost'!$D$32*C1178*Assumptions!$B$88+'Product and Cost'!$B$32*(0.4863620081*C1177+0.4455809638*C1177+0.0356254898*C1178+0.0324315384))+C1185*('Product and Cost'!$D$33*C1178*Assumptions!$B$88+'Product and Cost'!$B$33*(0.4863620081*C1177+0.4455809638*C1177+0.0356254898*C1178+0.0324315384))+C1186*('Product and Cost'!$D$34*C1178*Assumptions!$B$88+'Product and Cost'!$B$34*(0.4863620081*C1177+0.4455809638*C1177+0.0356254898*C1178+0.0324315384))</f>
        <v>48291.1604712</v>
      </c>
      <c r="D1189" s="18">
        <f>D1179*('Product and Cost'!$D$27*D1178*Assumptions!$B$88+'Product and Cost'!$B$27*(0.4863620081*D1177+0.4455809638*D1177+0.0356254898*D1178+0.0324315384))+D1180*('Product and Cost'!$D$28*D1178*Assumptions!$B$88+'Product and Cost'!$B$28*(0.4863620081*D1177+0.4455809638*D1177+0.0356254898*D1178+0.0324315384))+D1181*('Product and Cost'!$D$29*D1178*Assumptions!$B$88+'Product and Cost'!$B$29*(0.4863620081*D1177+0.4455809638*D1177+0.0356254898*D1178+0.0324315384))+D1182*('Product and Cost'!$D$30*D1178*Assumptions!$B$88+'Product and Cost'!$B$30*(0.4863620081*D1177+0.4455809638*D1177+0.0356254898*D1178+0.0324315384))+D1183*('Product and Cost'!$D$31*D1178*Assumptions!$B$88+'Product and Cost'!$B$31*(0.4863620081*D1177+0.4455809638*D1177+0.0356254898*D1178+0.0324315384))+D1184*('Product and Cost'!$D$32*D1178*Assumptions!$B$88+'Product and Cost'!$B$32*(0.4863620081*D1177+0.4455809638*D1177+0.0356254898*D1178+0.0324315384))+D1185*('Product and Cost'!$D$33*D1178*Assumptions!$B$88+'Product and Cost'!$B$33*(0.4863620081*D1177+0.4455809638*D1177+0.0356254898*D1178+0.0324315384))+D1186*('Product and Cost'!$D$34*D1178*Assumptions!$B$88+'Product and Cost'!$B$34*(0.4863620081*D1177+0.4455809638*D1177+0.0356254898*D1178+0.0324315384))</f>
        <v>53647.9823219</v>
      </c>
      <c r="E1189" s="18">
        <f>E1179*('Product and Cost'!$D$27*E1178*Assumptions!$B$88+'Product and Cost'!$B$27*(0.4863620081*E1177+0.4455809638*E1177+0.0356254898*E1178+0.0324315384))+E1180*('Product and Cost'!$D$28*E1178*Assumptions!$B$88+'Product and Cost'!$B$28*(0.4863620081*E1177+0.4455809638*E1177+0.0356254898*E1178+0.0324315384))+E1181*('Product and Cost'!$D$29*E1178*Assumptions!$B$88+'Product and Cost'!$B$29*(0.4863620081*E1177+0.4455809638*E1177+0.0356254898*E1178+0.0324315384))+E1182*('Product and Cost'!$D$30*E1178*Assumptions!$B$88+'Product and Cost'!$B$30*(0.4863620081*E1177+0.4455809638*E1177+0.0356254898*E1178+0.0324315384))+E1183*('Product and Cost'!$D$31*E1178*Assumptions!$B$88+'Product and Cost'!$B$31*(0.4863620081*E1177+0.4455809638*E1177+0.0356254898*E1178+0.0324315384))+E1184*('Product and Cost'!$D$32*E1178*Assumptions!$B$88+'Product and Cost'!$B$32*(0.4863620081*E1177+0.4455809638*E1177+0.0356254898*E1178+0.0324315384))+E1185*('Product and Cost'!$D$33*E1178*Assumptions!$B$88+'Product and Cost'!$B$33*(0.4863620081*E1177+0.4455809638*E1177+0.0356254898*E1178+0.0324315384))+E1186*('Product and Cost'!$D$34*E1178*Assumptions!$B$88+'Product and Cost'!$B$34*(0.4863620081*E1177+0.4455809638*E1177+0.0356254898*E1178+0.0324315384))</f>
        <v>58815.4011786</v>
      </c>
      <c r="F1189" s="18">
        <f>F1179*('Product and Cost'!$D$27*F1178*Assumptions!$B$88+'Product and Cost'!$B$27*(0.4863620081*F1177+0.4455809638*F1177+0.0356254898*F1178+0.0324315384))+F1180*('Product and Cost'!$D$28*F1178*Assumptions!$B$88+'Product and Cost'!$B$28*(0.4863620081*F1177+0.4455809638*F1177+0.0356254898*F1178+0.0324315384))+F1181*('Product and Cost'!$D$29*F1178*Assumptions!$B$88+'Product and Cost'!$B$29*(0.4863620081*F1177+0.4455809638*F1177+0.0356254898*F1178+0.0324315384))+F1182*('Product and Cost'!$D$30*F1178*Assumptions!$B$88+'Product and Cost'!$B$30*(0.4863620081*F1177+0.4455809638*F1177+0.0356254898*F1178+0.0324315384))+F1183*('Product and Cost'!$D$31*F1178*Assumptions!$B$88+'Product and Cost'!$B$31*(0.4863620081*F1177+0.4455809638*F1177+0.0356254898*F1178+0.0324315384))+F1184*('Product and Cost'!$D$32*F1178*Assumptions!$B$88+'Product and Cost'!$B$32*(0.4863620081*F1177+0.4455809638*F1177+0.0356254898*F1178+0.0324315384))+F1185*('Product and Cost'!$D$33*F1178*Assumptions!$B$88+'Product and Cost'!$B$33*(0.4863620081*F1177+0.4455809638*F1177+0.0356254898*F1178+0.0324315384))+F1186*('Product and Cost'!$D$34*F1178*Assumptions!$B$88+'Product and Cost'!$B$34*(0.4863620081*F1177+0.4455809638*F1177+0.0356254898*F1178+0.0324315384))</f>
        <v>63847.5732702</v>
      </c>
      <c r="G1189" s="18">
        <f>G1179*('Product and Cost'!$D$27*G1178*Assumptions!$B$88+'Product and Cost'!$B$27*(0.4863620081*G1177+0.4455809638*G1177+0.0356254898*G1178+0.0324315384))+G1180*('Product and Cost'!$D$28*G1178*Assumptions!$B$88+'Product and Cost'!$B$28*(0.4863620081*G1177+0.4455809638*G1177+0.0356254898*G1178+0.0324315384))+G1181*('Product and Cost'!$D$29*G1178*Assumptions!$B$88+'Product and Cost'!$B$29*(0.4863620081*G1177+0.4455809638*G1177+0.0356254898*G1178+0.0324315384))+G1182*('Product and Cost'!$D$30*G1178*Assumptions!$B$88+'Product and Cost'!$B$30*(0.4863620081*G1177+0.4455809638*G1177+0.0356254898*G1178+0.0324315384))+G1183*('Product and Cost'!$D$31*G1178*Assumptions!$B$88+'Product and Cost'!$B$31*(0.4863620081*G1177+0.4455809638*G1177+0.0356254898*G1178+0.0324315384))+G1184*('Product and Cost'!$D$32*G1178*Assumptions!$B$88+'Product and Cost'!$B$32*(0.4863620081*G1177+0.4455809638*G1177+0.0356254898*G1178+0.0324315384))+G1185*('Product and Cost'!$D$33*G1178*Assumptions!$B$88+'Product and Cost'!$B$33*(0.4863620081*G1177+0.4455809638*G1177+0.0356254898*G1178+0.0324315384))+G1186*('Product and Cost'!$D$34*G1178*Assumptions!$B$88+'Product and Cost'!$B$34*(0.4863620081*G1177+0.4455809638*G1177+0.0356254898*G1178+0.0324315384))</f>
        <v>68797.1859175</v>
      </c>
    </row>
    <row r="1190">
      <c r="A1190" s="17" t="inlineStr">
        <is>
          <t>GROSS PROFIT</t>
        </is>
      </c>
      <c r="C1190" s="20">
        <f>C1188-C1189+Forecast!$B$7*C1188</f>
        <v>4549.65064286</v>
      </c>
      <c r="D1190" s="20">
        <f>D1188-D1189+Forecast!$B$7*D1188</f>
        <v>4784.18493236</v>
      </c>
      <c r="E1190" s="20">
        <f>E1188-E1189+Forecast!$B$7*E1188</f>
        <v>4957.23599944</v>
      </c>
      <c r="F1190" s="20">
        <f>F1188-F1189+Forecast!$B$7*F1188</f>
        <v>5104.60576669</v>
      </c>
      <c r="G1190" s="20">
        <f>G1188-G1189+Forecast!$B$7*G1188</f>
        <v>5180.65726511</v>
      </c>
    </row>
    <row r="1191">
      <c r="A1191" s="9" t="inlineStr">
        <is>
          <t>Gross margin</t>
        </is>
      </c>
      <c r="C1191" s="19">
        <f>C1190/C1188</f>
        <v>0.0861010750391</v>
      </c>
      <c r="D1191" s="19">
        <f>D1190/D1188</f>
        <v>0.0818758768871</v>
      </c>
      <c r="E1191" s="19">
        <f>E1190/E1188</f>
        <v>0.0777329622672</v>
      </c>
      <c r="F1191" s="19">
        <f>F1190/F1188</f>
        <v>0.0740311015255</v>
      </c>
      <c r="G1191" s="19">
        <f>G1190/G1188</f>
        <v>0.0700298500501</v>
      </c>
    </row>
    <row r="1192">
      <c r="A1192" s="9" t="inlineStr">
        <is>
          <t>Operating expense</t>
        </is>
      </c>
      <c r="C1192" s="18">
        <f>('Base Year'!$B$28*C1177)+('Base Year'!$B$29*C1177*C1187/'Product and Cost'!$E$14)+('Base Year'!$B$30*C1177)+('Base Year'!$B$31*C1177)</f>
        <v>2007.6668112</v>
      </c>
      <c r="D1192" s="18">
        <f>('Base Year'!$B$28*D1177)+('Base Year'!$B$29*D1177*D1187/'Product and Cost'!$E$14)+('Base Year'!$B$30*D1177)+('Base Year'!$B$31*D1177)</f>
        <v>2276.29775955</v>
      </c>
      <c r="E1192" s="18">
        <f>('Base Year'!$B$28*E1177)+('Base Year'!$B$29*E1177*E1187/'Product and Cost'!$E$14)+('Base Year'!$B$30*E1177)+('Base Year'!$B$31*E1177)</f>
        <v>2545.62118024</v>
      </c>
      <c r="F1192" s="18">
        <f>('Base Year'!$B$28*F1177)+('Base Year'!$B$29*F1177*F1187/'Product and Cost'!$E$14)+('Base Year'!$B$30*F1177)+('Base Year'!$B$31*F1177)</f>
        <v>2807.77881104</v>
      </c>
      <c r="G1192" s="18">
        <f>('Base Year'!$B$28*G1177)+('Base Year'!$B$29*G1177*G1187/'Product and Cost'!$E$14)+('Base Year'!$B$30*G1177)+('Base Year'!$B$31*G1177)</f>
        <v>3082.20998189</v>
      </c>
    </row>
    <row r="1193">
      <c r="A1193" s="17" t="inlineStr">
        <is>
          <t>EBITDA</t>
        </is>
      </c>
      <c r="C1193" s="20">
        <f>C1190-C1192</f>
        <v>2541.98383166</v>
      </c>
      <c r="D1193" s="20">
        <f>D1190-D1192</f>
        <v>2507.88717281</v>
      </c>
      <c r="E1193" s="20">
        <f>E1190-E1192</f>
        <v>2411.6148192</v>
      </c>
      <c r="F1193" s="20">
        <f>F1190-F1192</f>
        <v>2296.82695565</v>
      </c>
      <c r="G1193" s="20">
        <f>G1190-G1192</f>
        <v>2098.44728323</v>
      </c>
    </row>
    <row r="1194">
      <c r="A1194" s="9" t="inlineStr">
        <is>
          <t>Capital expenditure — maintenance + growth</t>
        </is>
      </c>
      <c r="C1194" s="18">
        <f>'Base Year'!$B$43*C1177+MAX(C1187-'Product and Cost'!$E$14,0)*1947.901031*C1177</f>
        <v>280.931999159</v>
      </c>
      <c r="D1194" s="18">
        <f>'Base Year'!$B$43*D1177+MAX(D1187-C1187,0)*1947.901031*D1177</f>
        <v>307.3675836</v>
      </c>
      <c r="E1194" s="18">
        <f>'Base Year'!$B$43*E1177+MAX(E1187-D1187,0)*1947.901031*E1177</f>
        <v>328.639389001</v>
      </c>
      <c r="F1194" s="18">
        <f>'Base Year'!$B$43*F1177+MAX(F1187-E1187,0)*1947.901031*F1177</f>
        <v>351.146749034</v>
      </c>
      <c r="G1194" s="18">
        <f>'Base Year'!$B$43*G1177+MAX(G1187-F1187,0)*1947.901031*G1177</f>
        <v>375.372179467</v>
      </c>
    </row>
    <row r="1195">
      <c r="A1195" s="9" t="inlineStr">
        <is>
          <t>Fixed assets at cost, closing</t>
        </is>
      </c>
      <c r="C1195" s="18">
        <f>(Assumptions!$B$70+Assumptions!$B$71)/10^6+C1194</f>
        <v>3429.06589416</v>
      </c>
      <c r="D1195" s="18">
        <f>C1195+D1194</f>
        <v>3736.43347776</v>
      </c>
      <c r="E1195" s="18">
        <f>D1195+E1194</f>
        <v>4065.07286676</v>
      </c>
      <c r="F1195" s="18">
        <f>E1195+F1194</f>
        <v>4416.21961579</v>
      </c>
      <c r="G1195" s="18">
        <f>F1195+G1194</f>
        <v>4791.59179526</v>
      </c>
    </row>
    <row r="1196">
      <c r="A1196" s="9" t="inlineStr">
        <is>
          <t>Depreciation — rolls off the asset register</t>
        </is>
      </c>
      <c r="C1196" s="18">
        <f>(Assumptions!$B$70+Assumptions!$B$71)/10^6/'Base Year'!$B$42</f>
        <v>173.808854481</v>
      </c>
      <c r="D1196" s="18">
        <f>C1195/'Base Year'!$B$42</f>
        <v>189.319144255</v>
      </c>
      <c r="E1196" s="18">
        <f>D1195/'Base Year'!$B$42</f>
        <v>206.288945856</v>
      </c>
      <c r="F1196" s="18">
        <f>E1195/'Base Year'!$B$42</f>
        <v>224.433166415</v>
      </c>
      <c r="G1196" s="18">
        <f>F1195/'Base Year'!$B$42</f>
        <v>243.820021053</v>
      </c>
    </row>
    <row r="1197">
      <c r="A1197" s="9" t="inlineStr">
        <is>
          <t>Fixed assets, net book, closing</t>
        </is>
      </c>
      <c r="C1197" s="18">
        <f>(Assumptions!$B$69+Assumptions!$B$71)/10^6+C1194-C1196</f>
        <v>1407.46262168</v>
      </c>
      <c r="D1197" s="18">
        <f>C1197+D1194-D1196</f>
        <v>1525.51106102</v>
      </c>
      <c r="E1197" s="18">
        <f>D1197+E1194-E1196</f>
        <v>1647.86150417</v>
      </c>
      <c r="F1197" s="18">
        <f>E1197+F1194-F1196</f>
        <v>1774.57508679</v>
      </c>
      <c r="G1197" s="18">
        <f>F1197+G1194-G1196</f>
        <v>1906.1272452</v>
      </c>
    </row>
    <row r="1198">
      <c r="A1198" s="17" t="inlineStr">
        <is>
          <t>EBIT</t>
        </is>
      </c>
      <c r="C1198" s="20">
        <f>C1193-C1196</f>
        <v>2368.17497718</v>
      </c>
      <c r="D1198" s="20">
        <f>D1193-D1196</f>
        <v>2318.56802856</v>
      </c>
      <c r="E1198" s="20">
        <f>E1193-E1196</f>
        <v>2205.32587334</v>
      </c>
      <c r="F1198" s="20">
        <f>F1193-F1196</f>
        <v>2072.39378923</v>
      </c>
      <c r="G1198" s="20">
        <f>G1193-G1196</f>
        <v>1854.62726217</v>
      </c>
    </row>
    <row r="1199">
      <c r="A1199" s="9" t="inlineStr">
        <is>
          <t>NOPAT before the profit share</t>
        </is>
      </c>
      <c r="C1199" s="18">
        <f>C1198*(1-Assumptions!$B$87)</f>
        <v>1835.33560732</v>
      </c>
      <c r="D1199" s="18">
        <f>D1198*(1-Assumptions!$B$87)</f>
        <v>1796.89022213</v>
      </c>
      <c r="E1199" s="18">
        <f>E1198*(1-Assumptions!$B$87)</f>
        <v>1709.12755184</v>
      </c>
      <c r="F1199" s="18">
        <f>F1198*(1-Assumptions!$B$87)</f>
        <v>1606.10518666</v>
      </c>
      <c r="G1199" s="18">
        <f>G1198*(1-Assumptions!$B$87)</f>
        <v>1437.33612818</v>
      </c>
    </row>
    <row r="1200">
      <c r="A1200" s="9" t="inlineStr">
        <is>
          <t xml:space="preserve">  less employees' profit share and board bonuses</t>
        </is>
      </c>
      <c r="C1200" s="18">
        <f>MAX(C1199,0)*'Base Year'!$B$40</f>
        <v>96.7608009272</v>
      </c>
      <c r="D1200" s="18">
        <f>MAX(D1199,0)*'Base Year'!$B$40</f>
        <v>94.7339202588</v>
      </c>
      <c r="E1200" s="18">
        <f>MAX(E1199,0)*'Base Year'!$B$40</f>
        <v>90.1069810576</v>
      </c>
      <c r="F1200" s="18">
        <f>MAX(F1199,0)*'Base Year'!$B$40</f>
        <v>84.6755348801</v>
      </c>
      <c r="G1200" s="18">
        <f>MAX(G1199,0)*'Base Year'!$B$40</f>
        <v>75.7778546933</v>
      </c>
    </row>
    <row r="1201">
      <c r="A1201" s="17" t="inlineStr">
        <is>
          <t>NOPAT</t>
        </is>
      </c>
      <c r="C1201" s="20">
        <f>C1199-C1200</f>
        <v>1738.57480639</v>
      </c>
      <c r="D1201" s="20">
        <f>D1199-D1200</f>
        <v>1702.15630187</v>
      </c>
      <c r="E1201" s="20">
        <f>E1199-E1200</f>
        <v>1619.02057078</v>
      </c>
      <c r="F1201" s="20">
        <f>F1199-F1200</f>
        <v>1521.42965178</v>
      </c>
      <c r="G1201" s="20">
        <f>G1199-G1200</f>
        <v>1361.55827349</v>
      </c>
    </row>
    <row r="1202">
      <c r="A1202" s="9" t="inlineStr">
        <is>
          <t>Net working capital — on days</t>
        </is>
      </c>
      <c r="C1202" s="18">
        <f>'Base Year'!$B$44*$E$37/365*C1189+'Base Year'!$B$45*$E$37/365*C1188-'Base Year'!$B$46*$E$37/365*C1189</f>
        <v>3174.61492152</v>
      </c>
      <c r="D1202" s="18">
        <f>'Base Year'!$B$44*$E$37/365*D1189+'Base Year'!$B$45*$E$37/365*D1188-'Base Year'!$B$46*$E$37/365*D1189</f>
        <v>3520.01378864</v>
      </c>
      <c r="E1202" s="18">
        <f>'Base Year'!$B$44*$E$37/365*E1189+'Base Year'!$B$45*$E$37/365*E1188-'Base Year'!$B$46*$E$37/365*E1189</f>
        <v>3851.87053764</v>
      </c>
      <c r="F1202" s="18">
        <f>'Base Year'!$B$44*$E$37/365*F1189+'Base Year'!$B$45*$E$37/365*F1188-'Base Year'!$B$46*$E$37/365*F1189</f>
        <v>4174.51281917</v>
      </c>
      <c r="G1202" s="18">
        <f>'Base Year'!$B$44*$E$37/365*G1189+'Base Year'!$B$45*$E$37/365*G1188-'Base Year'!$B$46*$E$37/365*G1189</f>
        <v>4490.13926224</v>
      </c>
    </row>
    <row r="1203">
      <c r="A1203" s="9" t="inlineStr">
        <is>
          <t xml:space="preserve">  change in working capital</t>
        </is>
      </c>
      <c r="C1203" s="18">
        <f>C1202-('Base Year'!$B$44/365*'Base Year'!$B$21+'Base Year'!$B$45/365*'Base Year'!$B$19-'Base Year'!$B$46/365*'Base Year'!$B$21)</f>
        <v>923.212632525</v>
      </c>
      <c r="D1203" s="18">
        <f>D1202-C1202</f>
        <v>345.398867114</v>
      </c>
      <c r="E1203" s="18">
        <f>E1202-D1202</f>
        <v>331.856749004</v>
      </c>
      <c r="F1203" s="18">
        <f>F1202-E1202</f>
        <v>322.642281528</v>
      </c>
      <c r="G1203" s="18">
        <f>G1202-F1202</f>
        <v>315.626443071</v>
      </c>
    </row>
    <row r="1204">
      <c r="A1204" s="17" t="inlineStr">
        <is>
          <t>FREE CASH FLOW TO THE FIRM</t>
        </is>
      </c>
      <c r="C1204" s="20">
        <f>C1201+C1196-C1194-C1203</f>
        <v>708.239029187</v>
      </c>
      <c r="D1204" s="20">
        <f>D1201+D1196-D1194-D1203</f>
        <v>1238.70899541</v>
      </c>
      <c r="E1204" s="20">
        <f>E1201+E1196-E1194-E1203</f>
        <v>1164.81337863</v>
      </c>
      <c r="F1204" s="20">
        <f>F1201+F1196-F1194-F1203</f>
        <v>1072.07378763</v>
      </c>
      <c r="G1204" s="20">
        <f>G1201+G1196-G1194-G1203</f>
        <v>914.379672007</v>
      </c>
    </row>
    <row r="1205">
      <c r="A1205" s="9" t="inlineStr">
        <is>
          <t>Glide fraction</t>
        </is>
      </c>
      <c r="C1205" s="26">
        <f>0.0000000000</f>
        <v>0</v>
      </c>
      <c r="D1205" s="26">
        <f>0.3571428571</f>
        <v>0.3571428571</v>
      </c>
      <c r="E1205" s="26">
        <f>0.6428571429</f>
        <v>0.6428571429</v>
      </c>
      <c r="F1205" s="26">
        <f>0.8571428571</f>
        <v>0.8571428571</v>
      </c>
      <c r="G1205" s="26">
        <f>1.0000000000</f>
        <v>1</v>
      </c>
    </row>
    <row r="1206">
      <c r="A1206" s="9" t="inlineStr">
        <is>
          <t>Forward cost of capital</t>
        </is>
      </c>
      <c r="C1206" s="19">
        <f>Forecast!$B$14-(Forecast!$B$14-Forecast!$B$17)*C1205</f>
        <v>0.31578338914</v>
      </c>
      <c r="D1206" s="19">
        <f>Forecast!$B$14-(Forecast!$B$14-Forecast!$B$17)*D1205</f>
        <v>0.268515637955</v>
      </c>
      <c r="E1206" s="19">
        <f>Forecast!$B$14-(Forecast!$B$14-Forecast!$B$17)*E1205</f>
        <v>0.230701436991</v>
      </c>
      <c r="F1206" s="19">
        <f>Forecast!$B$14-(Forecast!$B$14-Forecast!$B$17)*F1205</f>
        <v>0.202340786287</v>
      </c>
      <c r="G1206" s="19">
        <f>Forecast!$B$14-(Forecast!$B$14-Forecast!$B$17)*G1205</f>
        <v>0.183433685805</v>
      </c>
    </row>
    <row r="1207">
      <c r="A1207" s="9" t="inlineStr">
        <is>
          <t>Cumulative discount factor</t>
        </is>
      </c>
      <c r="C1207" s="29">
        <f>1/(1+C1206)</f>
        <v>0.760003514449</v>
      </c>
      <c r="D1207" s="29">
        <f>C1207/(1+D1206)</f>
        <v>0.599128218612</v>
      </c>
      <c r="E1207" s="29">
        <f>D1207/(1+E1206)</f>
        <v>0.486818492775</v>
      </c>
      <c r="F1207" s="29">
        <f>E1207/(1+F1206)</f>
        <v>0.404892272081</v>
      </c>
      <c r="G1207" s="29">
        <f>F1207/(1+G1206)</f>
        <v>0.342133468852</v>
      </c>
    </row>
    <row r="1208">
      <c r="A1208" s="9" t="inlineStr">
        <is>
          <t>Present value</t>
        </is>
      </c>
      <c r="C1208" s="18">
        <f>C1204*C1207</f>
        <v>538.264151252</v>
      </c>
      <c r="D1208" s="18">
        <f>D1204*D1207</f>
        <v>742.145513801</v>
      </c>
      <c r="E1208" s="18">
        <f>E1204*E1207</f>
        <v>567.052693351</v>
      </c>
      <c r="F1208" s="18">
        <f>F1204*F1207</f>
        <v>434.074391711</v>
      </c>
      <c r="G1208" s="18">
        <f>G1204*G1207</f>
        <v>312.839889031</v>
      </c>
    </row>
    <row r="1209">
      <c r="A1209" s="17" t="inlineStr">
        <is>
          <t>PV of the explicit window</t>
        </is>
      </c>
      <c r="B1209" s="20">
        <f>SUM(C1208:G1208)</f>
        <v>2594.37663915</v>
      </c>
      <c r="C1209" s="18">
        <f>C1202+C1195</f>
        <v>6603.68081568</v>
      </c>
      <c r="D1209" s="18">
        <f>D1202+D1195</f>
        <v>7256.4472664</v>
      </c>
      <c r="E1209" s="18">
        <f>E1202+E1195</f>
        <v>7916.9434044</v>
      </c>
      <c r="F1209" s="18">
        <f>F1202+F1195</f>
        <v>8590.73243496</v>
      </c>
      <c r="G1209" s="18">
        <f>G1202+G1195</f>
        <v>9281.7310575</v>
      </c>
    </row>
    <row r="1210">
      <c r="A1210" s="9" t="inlineStr">
        <is>
          <t>Terminal return on invested capital, at REPLACEMENT cost</t>
        </is>
      </c>
      <c r="B1210" s="19">
        <f>G1201*(1+Assumptions!$B$89)/G1209</f>
        <v>0.154026892</v>
      </c>
    </row>
    <row r="1211">
      <c r="A1211" s="9" t="inlineStr">
        <is>
          <t>Required reinvestment = growth / return</t>
        </is>
      </c>
      <c r="B1211" s="19">
        <f>MIN(Assumptions!$B$89/B1210,0.95)</f>
        <v>0.324618638673</v>
      </c>
    </row>
    <row r="1212">
      <c r="A1212" s="9" t="inlineStr">
        <is>
          <t>Terminal value</t>
        </is>
      </c>
      <c r="B1212" s="18">
        <f>G1201*(1+Assumptions!$B$89)*(1-B1211)/MAX(Forecast!$B$17-Assumptions!$B$89,0.02)</f>
        <v>7236.17599606</v>
      </c>
    </row>
    <row r="1213">
      <c r="A1213" s="9" t="inlineStr">
        <is>
          <t>PV of the terminal block</t>
        </is>
      </c>
      <c r="B1213" s="18">
        <f>B1212*G1207</f>
        <v>2475.73799475</v>
      </c>
    </row>
    <row r="1214">
      <c r="A1214" s="17" t="inlineStr">
        <is>
          <t>ENTERPRISE VALUE</t>
        </is>
      </c>
      <c r="B1214" s="20">
        <f>B1209+B1213</f>
        <v>5070.1146339</v>
      </c>
    </row>
    <row r="1215">
      <c r="A1215" s="9" t="inlineStr">
        <is>
          <t>plus net cash</t>
        </is>
      </c>
      <c r="B1215" s="18">
        <f>(Assumptions!$B$79-Assumptions!$B$82-Assumptions!$B$83)/10^6</f>
        <v>2442.544928</v>
      </c>
    </row>
    <row r="1216">
      <c r="A1216" s="9" t="inlineStr">
        <is>
          <t>Enterprise value including cash</t>
        </is>
      </c>
      <c r="B1216" s="18">
        <f>B1214+B1215</f>
        <v>7512.6595619</v>
      </c>
    </row>
    <row r="1217">
      <c r="A1217" s="9" t="inlineStr">
        <is>
          <t>less minority — on the WHOLE enterprise, cash included</t>
        </is>
      </c>
      <c r="B1217" s="18">
        <f>B1216*'Base Year'!$B$41</f>
        <v>244.780799874</v>
      </c>
    </row>
    <row r="1218">
      <c r="A1218" s="9" t="inlineStr">
        <is>
          <t>less the tax-disputes provision</t>
        </is>
      </c>
      <c r="B1218" s="18">
        <f>Assumptions!$B$78/10^6</f>
        <v>921.440353</v>
      </c>
    </row>
    <row r="1219">
      <c r="A1219" s="9" t="inlineStr">
        <is>
          <t>less dividends payable — declared, out of working capital</t>
        </is>
      </c>
      <c r="B1219" s="18">
        <f>Assumptions!$B$77/10^6</f>
        <v>517.25</v>
      </c>
    </row>
    <row r="1220">
      <c r="A1220" s="9" t="inlineStr">
        <is>
          <t>plus non-operating investments and pledged deposits</t>
        </is>
      </c>
      <c r="B1220" s="18">
        <f>(Assumptions!$B$81+Assumptions!$B$80)/10^6</f>
        <v>578.358746</v>
      </c>
    </row>
    <row r="1221">
      <c r="A1221" s="17" t="inlineStr">
        <is>
          <t>EQUITY ATTRIBUTABLE</t>
        </is>
      </c>
      <c r="B1221" s="20">
        <f>B1216-B1217-B1218-B1219+B1220</f>
        <v>6407.54715502</v>
      </c>
    </row>
    <row r="1222">
      <c r="A1222" s="17" t="inlineStr">
        <is>
          <t>VALUE PER SHARE, EGP</t>
        </is>
      </c>
      <c r="B1222" s="30">
        <f>B1221/Assumptions!$B$8</f>
        <v>4.96132183897</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9" t="inlineStr">
        <is>
          <t>Inflation index, cumulative</t>
        </is>
      </c>
      <c r="C1226" s="26">
        <f>Assumptions!$B$146</f>
        <v>1.145</v>
      </c>
      <c r="D1226" s="26">
        <f>C1226*Assumptions!$B$147</f>
        <v>1.29385</v>
      </c>
      <c r="E1226" s="26">
        <f>D1226*Assumptions!$B$148</f>
        <v>1.44264275</v>
      </c>
      <c r="F1226" s="26">
        <f>E1226*Assumptions!$B$149</f>
        <v>1.586907025</v>
      </c>
      <c r="G1226" s="26">
        <f>F1226*Assumptions!$B$150</f>
        <v>1.73766319237</v>
      </c>
    </row>
    <row r="1227">
      <c r="A1227" s="9" t="inlineStr">
        <is>
          <t>Realisation index, cumulative</t>
        </is>
      </c>
      <c r="C1227" s="26">
        <f>(1+Assumptions!$B$101*Forecast!$B$8)</f>
        <v>1.09</v>
      </c>
      <c r="D1227" s="26">
        <f>C1227*(1+Assumptions!$B$102*Forecast!$B$8)</f>
        <v>1.17175</v>
      </c>
      <c r="E1227" s="26">
        <f>D1227*(1+Assumptions!$B$103*Forecast!$B$8)</f>
        <v>1.24791375</v>
      </c>
      <c r="F1227" s="26">
        <f>E1227*(1+Assumptions!$B$104*Forecast!$B$8)</f>
        <v>1.3202927475</v>
      </c>
      <c r="G1227" s="26">
        <f>F1227*(1+Assumptions!$B$105*Forecast!$B$8)</f>
        <v>1.38894797037</v>
      </c>
    </row>
    <row r="1228">
      <c r="A1228" s="9" t="inlineStr">
        <is>
          <t xml:space="preserve">  Volume — Base and special oils, mn t</t>
        </is>
      </c>
      <c r="C1228" s="26">
        <f>'Product and Cost'!E6*(1+Assumptions!$B$106*Forecast!$B$6)</f>
        <v>0.1148851682</v>
      </c>
      <c r="D1228" s="26">
        <f>C1228*(1+Assumptions!$B$107*Forecast!$B$6)</f>
        <v>0.119480574928</v>
      </c>
      <c r="E1228" s="26">
        <f>D1228*(1+Assumptions!$B$108*Forecast!$B$6)</f>
        <v>0.12366239505</v>
      </c>
      <c r="F1228" s="26">
        <f>E1228*(1+Assumptions!$B$109*Forecast!$B$6)</f>
        <v>0.127372266902</v>
      </c>
      <c r="G1228" s="26">
        <f>F1228*(1+Assumptions!$B$110*Forecast!$B$6)</f>
        <v>0.130938690375</v>
      </c>
    </row>
    <row r="1229">
      <c r="A1229" s="9" t="inlineStr">
        <is>
          <t xml:space="preserve">  Volume — Paraffin wax, mn t</t>
        </is>
      </c>
      <c r="C1229" s="26">
        <f>'Product and Cost'!E7*(1+Assumptions!$B$111*Forecast!$B$6)</f>
        <v>0.089396788</v>
      </c>
      <c r="D1229" s="26">
        <f>C1229*(1+Assumptions!$B$112*Forecast!$B$6)</f>
        <v>0.09431361134</v>
      </c>
      <c r="E1229" s="26">
        <f>D1229*(1+Assumptions!$B$113*Forecast!$B$6)</f>
        <v>0.0985577238503</v>
      </c>
      <c r="F1229" s="26">
        <f>E1229*(1+Assumptions!$B$114*Forecast!$B$6)</f>
        <v>0.102302917357</v>
      </c>
      <c r="G1229" s="26">
        <f>F1229*(1+Assumptions!$B$115*Forecast!$B$6)</f>
        <v>0.105576610712</v>
      </c>
    </row>
    <row r="1230">
      <c r="A1230" s="9" t="inlineStr">
        <is>
          <t xml:space="preserve">  Volume — Gas oil, mn t</t>
        </is>
      </c>
      <c r="C1230" s="26">
        <f>'Product and Cost'!E8*(1+Assumptions!$B$116*Forecast!$B$6)</f>
        <v>0.35023715724</v>
      </c>
      <c r="D1230" s="26">
        <f>C1230*(1+Assumptions!$B$117*Forecast!$B$6)</f>
        <v>0.357241900385</v>
      </c>
      <c r="E1230" s="26">
        <f>D1230*(1+Assumptions!$B$118*Forecast!$B$6)</f>
        <v>0.363672254592</v>
      </c>
      <c r="F1230" s="26">
        <f>E1230*(1+Assumptions!$B$119*Forecast!$B$6)</f>
        <v>0.369491010665</v>
      </c>
      <c r="G1230" s="26">
        <f>F1230*(1+Assumptions!$B$120*Forecast!$B$6)</f>
        <v>0.375033375825</v>
      </c>
    </row>
    <row r="1231">
      <c r="A1231" s="9" t="inlineStr">
        <is>
          <t xml:space="preserve">  Volume — Naphtha, mn t</t>
        </is>
      </c>
      <c r="C1231" s="26">
        <f>'Product and Cost'!E9*(1+Assumptions!$B$121*Forecast!$B$6)</f>
        <v>0.08410463971</v>
      </c>
      <c r="D1231" s="26">
        <f>C1231*(1+Assumptions!$B$122*Forecast!$B$6)</f>
        <v>0.0856185232248</v>
      </c>
      <c r="E1231" s="26">
        <f>D1231*(1+Assumptions!$B$123*Forecast!$B$6)</f>
        <v>0.0871596566428</v>
      </c>
      <c r="F1231" s="26">
        <f>E1231*(1+Assumptions!$B$124*Forecast!$B$6)</f>
        <v>0.0885542111491</v>
      </c>
      <c r="G1231" s="26">
        <f>F1231*(1+Assumptions!$B$125*Forecast!$B$6)</f>
        <v>0.0898825243163</v>
      </c>
    </row>
    <row r="1232">
      <c r="A1232" s="9" t="inlineStr">
        <is>
          <t xml:space="preserve">  Volume — Liquefied petroleum gas, mn t</t>
        </is>
      </c>
      <c r="C1232" s="26">
        <f>'Product and Cost'!E10*(1+Assumptions!$B$126*Forecast!$B$6)</f>
        <v>0.0486583449</v>
      </c>
      <c r="D1232" s="26">
        <f>C1232*(1+Assumptions!$B$127*Forecast!$B$6)</f>
        <v>0.0497288284878</v>
      </c>
      <c r="E1232" s="26">
        <f>D1232*(1+Assumptions!$B$128*Forecast!$B$6)</f>
        <v>0.0507234050576</v>
      </c>
      <c r="F1232" s="26">
        <f>E1232*(1+Assumptions!$B$129*Forecast!$B$6)</f>
        <v>0.0516364263486</v>
      </c>
      <c r="G1232" s="26">
        <f>F1232*(1+Assumptions!$B$130*Forecast!$B$6)</f>
        <v>0.0524626091702</v>
      </c>
    </row>
    <row r="1233">
      <c r="A1233" s="9" t="inlineStr">
        <is>
          <t xml:space="preserve">  Volume — Fuel oil (mix), mn t</t>
        </is>
      </c>
      <c r="C1233" s="26">
        <f>'Product and Cost'!E11*(1+Assumptions!$B$131*Forecast!$B$6)</f>
        <v>0.947916416</v>
      </c>
      <c r="D1233" s="26">
        <f>C1233*(1+Assumptions!$B$132*Forecast!$B$6)</f>
        <v>0.972562242816</v>
      </c>
      <c r="E1233" s="26">
        <f>D1233*(1+Assumptions!$B$133*Forecast!$B$6)</f>
        <v>0.993958612158</v>
      </c>
      <c r="F1233" s="26">
        <f>E1233*(1+Assumptions!$B$134*Forecast!$B$6)</f>
        <v>1.0138377844</v>
      </c>
      <c r="G1233" s="26">
        <f>F1233*(1+Assumptions!$B$135*Forecast!$B$6)</f>
        <v>1.03208686452</v>
      </c>
    </row>
    <row r="1234">
      <c r="A1234" s="9" t="inlineStr">
        <is>
          <t xml:space="preserve">  Volume — Heavy fuel oil, mn t</t>
        </is>
      </c>
      <c r="C1234" s="26">
        <f>'Product and Cost'!E12*(1+Assumptions!$B$136*Forecast!$B$6)</f>
        <v>0.0292281408</v>
      </c>
      <c r="D1234" s="26">
        <f>C1234*(1+Assumptions!$B$137*Forecast!$B$6)</f>
        <v>0.0297542473344</v>
      </c>
      <c r="E1234" s="26">
        <f>D1234*(1+Assumptions!$B$138*Forecast!$B$6)</f>
        <v>0.0302303152918</v>
      </c>
      <c r="F1234" s="26">
        <f>E1234*(1+Assumptions!$B$139*Forecast!$B$6)</f>
        <v>0.0306837700211</v>
      </c>
      <c r="G1234" s="26">
        <f>F1234*(1+Assumptions!$B$140*Forecast!$B$6)</f>
        <v>0.0311133428014</v>
      </c>
    </row>
    <row r="1235">
      <c r="A1235" s="9" t="inlineStr">
        <is>
          <t xml:space="preserve">  Volume — Waste, mn t</t>
        </is>
      </c>
      <c r="C1235" s="26">
        <f>'Product and Cost'!E13*(1+Assumptions!$B$141*Forecast!$B$6)</f>
        <v>1.564e-05</v>
      </c>
      <c r="D1235" s="26">
        <f>C1235*(1+Assumptions!$B$142*Forecast!$B$6)</f>
        <v>1.564e-05</v>
      </c>
      <c r="E1235" s="26">
        <f>D1235*(1+Assumptions!$B$143*Forecast!$B$6)</f>
        <v>1.564e-05</v>
      </c>
      <c r="F1235" s="26">
        <f>E1235*(1+Assumptions!$B$144*Forecast!$B$6)</f>
        <v>1.564e-05</v>
      </c>
      <c r="G1235" s="26">
        <f>F1235*(1+Assumptions!$B$145*Forecast!$B$6)</f>
        <v>1.564e-05</v>
      </c>
    </row>
    <row r="1236">
      <c r="A1236" s="17" t="inlineStr">
        <is>
          <t>Total volume, mn t</t>
        </is>
      </c>
      <c r="C1236" s="28">
        <f>SUM(C1228:C1235)</f>
        <v>1.66444229485</v>
      </c>
      <c r="D1236" s="28">
        <f>SUM(D1228:D1235)</f>
        <v>1.70871556852</v>
      </c>
      <c r="E1236" s="28">
        <f>SUM(E1228:E1235)</f>
        <v>1.74798000264</v>
      </c>
      <c r="F1236" s="28">
        <f>SUM(F1228:F1235)</f>
        <v>1.78389402684</v>
      </c>
      <c r="G1236" s="28">
        <f>SUM(G1228:G1235)</f>
        <v>1.81710965772</v>
      </c>
    </row>
    <row r="1237">
      <c r="A1237" s="17" t="inlineStr">
        <is>
          <t>REVENUE</t>
        </is>
      </c>
      <c r="C1237" s="20">
        <f>C1228*'Product and Cost'!$F$6*C1227+C1229*'Product and Cost'!$F$7*C1227+C1230*'Product and Cost'!$F$8*C1227+C1231*'Product and Cost'!$F$9*C1227+C1232*'Product and Cost'!$F$10*C1227+C1233*'Product and Cost'!$F$11*C1227+C1234*'Product and Cost'!$F$12*C1227+C1235*'Product and Cost'!$F$13*C1227</f>
        <v>52840.8111141</v>
      </c>
      <c r="D1237" s="20">
        <f>D1228*'Product and Cost'!$F$6*D1227+D1229*'Product and Cost'!$F$7*D1227+D1230*'Product and Cost'!$F$8*D1227+D1231*'Product and Cost'!$F$9*D1227+D1232*'Product and Cost'!$F$10*D1227+D1233*'Product and Cost'!$F$11*D1227+D1234*'Product and Cost'!$F$12*D1227+D1235*'Product and Cost'!$F$13*D1227</f>
        <v>58432.1672543</v>
      </c>
      <c r="E1237" s="20">
        <f>E1228*'Product and Cost'!$F$6*E1227+E1229*'Product and Cost'!$F$7*E1227+E1230*'Product and Cost'!$F$8*E1227+E1231*'Product and Cost'!$F$9*E1227+E1232*'Product and Cost'!$F$10*E1227+E1233*'Product and Cost'!$F$11*E1227+E1234*'Product and Cost'!$F$12*E1227+E1235*'Product and Cost'!$F$13*E1227</f>
        <v>63772.6371781</v>
      </c>
      <c r="F1237" s="20">
        <f>F1228*'Product and Cost'!$F$6*F1227+F1229*'Product and Cost'!$F$7*F1227+F1230*'Product and Cost'!$F$8*F1227+F1231*'Product and Cost'!$F$9*F1227+F1232*'Product and Cost'!$F$10*F1227+F1233*'Product and Cost'!$F$11*F1227+F1234*'Product and Cost'!$F$12*F1227+F1235*'Product and Cost'!$F$13*F1227</f>
        <v>68952.1790369</v>
      </c>
      <c r="G1237" s="20">
        <f>G1228*'Product and Cost'!$F$6*G1227+G1229*'Product and Cost'!$F$7*G1227+G1230*'Product and Cost'!$F$8*G1227+G1231*'Product and Cost'!$F$9*G1227+G1232*'Product and Cost'!$F$10*G1227+G1233*'Product and Cost'!$F$11*G1227+G1234*'Product and Cost'!$F$12*G1227+G1235*'Product and Cost'!$F$13*G1227</f>
        <v>73977.8431827</v>
      </c>
    </row>
    <row r="1238">
      <c r="A1238" s="9" t="inlineStr">
        <is>
          <t>Cost of sales</t>
        </is>
      </c>
      <c r="C1238" s="18">
        <f>C1228*('Product and Cost'!$D$27*C1227*Assumptions!$B$88+'Product and Cost'!$B$27*(0.4863620081*C1226+0.4455809638*C1226+0.0356254898*C1227+0.0324315384))+C1229*('Product and Cost'!$D$28*C1227*Assumptions!$B$88+'Product and Cost'!$B$28*(0.4863620081*C1226+0.4455809638*C1226+0.0356254898*C1227+0.0324315384))+C1230*('Product and Cost'!$D$29*C1227*Assumptions!$B$88+'Product and Cost'!$B$29*(0.4863620081*C1226+0.4455809638*C1226+0.0356254898*C1227+0.0324315384))+C1231*('Product and Cost'!$D$30*C1227*Assumptions!$B$88+'Product and Cost'!$B$30*(0.4863620081*C1226+0.4455809638*C1226+0.0356254898*C1227+0.0324315384))+C1232*('Product and Cost'!$D$31*C1227*Assumptions!$B$88+'Product and Cost'!$B$31*(0.4863620081*C1226+0.4455809638*C1226+0.0356254898*C1227+0.0324315384))+C1233*('Product and Cost'!$D$32*C1227*Assumptions!$B$88+'Product and Cost'!$B$32*(0.4863620081*C1226+0.4455809638*C1226+0.0356254898*C1227+0.0324315384))+C1234*('Product and Cost'!$D$33*C1227*Assumptions!$B$88+'Product and Cost'!$B$33*(0.4863620081*C1226+0.4455809638*C1226+0.0356254898*C1227+0.0324315384))+C1235*('Product and Cost'!$D$34*C1227*Assumptions!$B$88+'Product and Cost'!$B$34*(0.4863620081*C1226+0.4455809638*C1226+0.0356254898*C1227+0.0324315384))</f>
        <v>48291.1604712</v>
      </c>
      <c r="D1238" s="18">
        <f>D1228*('Product and Cost'!$D$27*D1227*Assumptions!$B$88+'Product and Cost'!$B$27*(0.4863620081*D1226+0.4455809638*D1226+0.0356254898*D1227+0.0324315384))+D1229*('Product and Cost'!$D$28*D1227*Assumptions!$B$88+'Product and Cost'!$B$28*(0.4863620081*D1226+0.4455809638*D1226+0.0356254898*D1227+0.0324315384))+D1230*('Product and Cost'!$D$29*D1227*Assumptions!$B$88+'Product and Cost'!$B$29*(0.4863620081*D1226+0.4455809638*D1226+0.0356254898*D1227+0.0324315384))+D1231*('Product and Cost'!$D$30*D1227*Assumptions!$B$88+'Product and Cost'!$B$30*(0.4863620081*D1226+0.4455809638*D1226+0.0356254898*D1227+0.0324315384))+D1232*('Product and Cost'!$D$31*D1227*Assumptions!$B$88+'Product and Cost'!$B$31*(0.4863620081*D1226+0.4455809638*D1226+0.0356254898*D1227+0.0324315384))+D1233*('Product and Cost'!$D$32*D1227*Assumptions!$B$88+'Product and Cost'!$B$32*(0.4863620081*D1226+0.4455809638*D1226+0.0356254898*D1227+0.0324315384))+D1234*('Product and Cost'!$D$33*D1227*Assumptions!$B$88+'Product and Cost'!$B$33*(0.4863620081*D1226+0.4455809638*D1226+0.0356254898*D1227+0.0324315384))+D1235*('Product and Cost'!$D$34*D1227*Assumptions!$B$88+'Product and Cost'!$B$34*(0.4863620081*D1226+0.4455809638*D1226+0.0356254898*D1227+0.0324315384))</f>
        <v>53647.9823219</v>
      </c>
      <c r="E1238" s="18">
        <f>E1228*('Product and Cost'!$D$27*E1227*Assumptions!$B$88+'Product and Cost'!$B$27*(0.4863620081*E1226+0.4455809638*E1226+0.0356254898*E1227+0.0324315384))+E1229*('Product and Cost'!$D$28*E1227*Assumptions!$B$88+'Product and Cost'!$B$28*(0.4863620081*E1226+0.4455809638*E1226+0.0356254898*E1227+0.0324315384))+E1230*('Product and Cost'!$D$29*E1227*Assumptions!$B$88+'Product and Cost'!$B$29*(0.4863620081*E1226+0.4455809638*E1226+0.0356254898*E1227+0.0324315384))+E1231*('Product and Cost'!$D$30*E1227*Assumptions!$B$88+'Product and Cost'!$B$30*(0.4863620081*E1226+0.4455809638*E1226+0.0356254898*E1227+0.0324315384))+E1232*('Product and Cost'!$D$31*E1227*Assumptions!$B$88+'Product and Cost'!$B$31*(0.4863620081*E1226+0.4455809638*E1226+0.0356254898*E1227+0.0324315384))+E1233*('Product and Cost'!$D$32*E1227*Assumptions!$B$88+'Product and Cost'!$B$32*(0.4863620081*E1226+0.4455809638*E1226+0.0356254898*E1227+0.0324315384))+E1234*('Product and Cost'!$D$33*E1227*Assumptions!$B$88+'Product and Cost'!$B$33*(0.4863620081*E1226+0.4455809638*E1226+0.0356254898*E1227+0.0324315384))+E1235*('Product and Cost'!$D$34*E1227*Assumptions!$B$88+'Product and Cost'!$B$34*(0.4863620081*E1226+0.4455809638*E1226+0.0356254898*E1227+0.0324315384))</f>
        <v>58815.4011786</v>
      </c>
      <c r="F1238" s="18">
        <f>F1228*('Product and Cost'!$D$27*F1227*Assumptions!$B$88+'Product and Cost'!$B$27*(0.4863620081*F1226+0.4455809638*F1226+0.0356254898*F1227+0.0324315384))+F1229*('Product and Cost'!$D$28*F1227*Assumptions!$B$88+'Product and Cost'!$B$28*(0.4863620081*F1226+0.4455809638*F1226+0.0356254898*F1227+0.0324315384))+F1230*('Product and Cost'!$D$29*F1227*Assumptions!$B$88+'Product and Cost'!$B$29*(0.4863620081*F1226+0.4455809638*F1226+0.0356254898*F1227+0.0324315384))+F1231*('Product and Cost'!$D$30*F1227*Assumptions!$B$88+'Product and Cost'!$B$30*(0.4863620081*F1226+0.4455809638*F1226+0.0356254898*F1227+0.0324315384))+F1232*('Product and Cost'!$D$31*F1227*Assumptions!$B$88+'Product and Cost'!$B$31*(0.4863620081*F1226+0.4455809638*F1226+0.0356254898*F1227+0.0324315384))+F1233*('Product and Cost'!$D$32*F1227*Assumptions!$B$88+'Product and Cost'!$B$32*(0.4863620081*F1226+0.4455809638*F1226+0.0356254898*F1227+0.0324315384))+F1234*('Product and Cost'!$D$33*F1227*Assumptions!$B$88+'Product and Cost'!$B$33*(0.4863620081*F1226+0.4455809638*F1226+0.0356254898*F1227+0.0324315384))+F1235*('Product and Cost'!$D$34*F1227*Assumptions!$B$88+'Product and Cost'!$B$34*(0.4863620081*F1226+0.4455809638*F1226+0.0356254898*F1227+0.0324315384))</f>
        <v>63847.5732702</v>
      </c>
      <c r="G1238" s="18">
        <f>G1228*('Product and Cost'!$D$27*G1227*Assumptions!$B$88+'Product and Cost'!$B$27*(0.4863620081*G1226+0.4455809638*G1226+0.0356254898*G1227+0.0324315384))+G1229*('Product and Cost'!$D$28*G1227*Assumptions!$B$88+'Product and Cost'!$B$28*(0.4863620081*G1226+0.4455809638*G1226+0.0356254898*G1227+0.0324315384))+G1230*('Product and Cost'!$D$29*G1227*Assumptions!$B$88+'Product and Cost'!$B$29*(0.4863620081*G1226+0.4455809638*G1226+0.0356254898*G1227+0.0324315384))+G1231*('Product and Cost'!$D$30*G1227*Assumptions!$B$88+'Product and Cost'!$B$30*(0.4863620081*G1226+0.4455809638*G1226+0.0356254898*G1227+0.0324315384))+G1232*('Product and Cost'!$D$31*G1227*Assumptions!$B$88+'Product and Cost'!$B$31*(0.4863620081*G1226+0.4455809638*G1226+0.0356254898*G1227+0.0324315384))+G1233*('Product and Cost'!$D$32*G1227*Assumptions!$B$88+'Product and Cost'!$B$32*(0.4863620081*G1226+0.4455809638*G1226+0.0356254898*G1227+0.0324315384))+G1234*('Product and Cost'!$D$33*G1227*Assumptions!$B$88+'Product and Cost'!$B$33*(0.4863620081*G1226+0.4455809638*G1226+0.0356254898*G1227+0.0324315384))+G1235*('Product and Cost'!$D$34*G1227*Assumptions!$B$88+'Product and Cost'!$B$34*(0.4863620081*G1226+0.4455809638*G1226+0.0356254898*G1227+0.0324315384))</f>
        <v>68797.1859175</v>
      </c>
    </row>
    <row r="1239">
      <c r="A1239" s="17" t="inlineStr">
        <is>
          <t>GROSS PROFIT</t>
        </is>
      </c>
      <c r="C1239" s="20">
        <f>C1237-C1238+Forecast!$B$7*C1237</f>
        <v>4549.65064286</v>
      </c>
      <c r="D1239" s="20">
        <f>D1237-D1238+Forecast!$B$7*D1237</f>
        <v>4784.18493236</v>
      </c>
      <c r="E1239" s="20">
        <f>E1237-E1238+Forecast!$B$7*E1237</f>
        <v>4957.23599944</v>
      </c>
      <c r="F1239" s="20">
        <f>F1237-F1238+Forecast!$B$7*F1237</f>
        <v>5104.60576669</v>
      </c>
      <c r="G1239" s="20">
        <f>G1237-G1238+Forecast!$B$7*G1237</f>
        <v>5180.65726511</v>
      </c>
    </row>
    <row r="1240">
      <c r="A1240" s="9" t="inlineStr">
        <is>
          <t>Gross margin</t>
        </is>
      </c>
      <c r="C1240" s="19">
        <f>C1239/C1237</f>
        <v>0.0861010750391</v>
      </c>
      <c r="D1240" s="19">
        <f>D1239/D1237</f>
        <v>0.0818758768871</v>
      </c>
      <c r="E1240" s="19">
        <f>E1239/E1237</f>
        <v>0.0777329622672</v>
      </c>
      <c r="F1240" s="19">
        <f>F1239/F1237</f>
        <v>0.0740311015255</v>
      </c>
      <c r="G1240" s="19">
        <f>G1239/G1237</f>
        <v>0.0700298500501</v>
      </c>
    </row>
    <row r="1241">
      <c r="A1241" s="9" t="inlineStr">
        <is>
          <t>Operating expense</t>
        </is>
      </c>
      <c r="C1241" s="18">
        <f>('Base Year'!$B$28*C1226)+('Base Year'!$B$29*C1226*C1236/'Product and Cost'!$E$14)+('Base Year'!$B$30*C1226)+('Base Year'!$B$31*C1226)</f>
        <v>2007.6668112</v>
      </c>
      <c r="D1241" s="18">
        <f>('Base Year'!$B$28*D1226)+('Base Year'!$B$29*D1226*D1236/'Product and Cost'!$E$14)+('Base Year'!$B$30*D1226)+('Base Year'!$B$31*D1226)</f>
        <v>2276.29775955</v>
      </c>
      <c r="E1241" s="18">
        <f>('Base Year'!$B$28*E1226)+('Base Year'!$B$29*E1226*E1236/'Product and Cost'!$E$14)+('Base Year'!$B$30*E1226)+('Base Year'!$B$31*E1226)</f>
        <v>2545.62118024</v>
      </c>
      <c r="F1241" s="18">
        <f>('Base Year'!$B$28*F1226)+('Base Year'!$B$29*F1226*F1236/'Product and Cost'!$E$14)+('Base Year'!$B$30*F1226)+('Base Year'!$B$31*F1226)</f>
        <v>2807.77881104</v>
      </c>
      <c r="G1241" s="18">
        <f>('Base Year'!$B$28*G1226)+('Base Year'!$B$29*G1226*G1236/'Product and Cost'!$E$14)+('Base Year'!$B$30*G1226)+('Base Year'!$B$31*G1226)</f>
        <v>3082.20998189</v>
      </c>
    </row>
    <row r="1242">
      <c r="A1242" s="17" t="inlineStr">
        <is>
          <t>EBITDA</t>
        </is>
      </c>
      <c r="C1242" s="20">
        <f>C1239-C1241</f>
        <v>2541.98383166</v>
      </c>
      <c r="D1242" s="20">
        <f>D1239-D1241</f>
        <v>2507.88717281</v>
      </c>
      <c r="E1242" s="20">
        <f>E1239-E1241</f>
        <v>2411.6148192</v>
      </c>
      <c r="F1242" s="20">
        <f>F1239-F1241</f>
        <v>2296.82695565</v>
      </c>
      <c r="G1242" s="20">
        <f>G1239-G1241</f>
        <v>2098.44728323</v>
      </c>
    </row>
    <row r="1243">
      <c r="A1243" s="9" t="inlineStr">
        <is>
          <t>Capital expenditure — maintenance + growth</t>
        </is>
      </c>
      <c r="C1243" s="18">
        <f>'Base Year'!$B$43*C1226+MAX(C1236-'Product and Cost'!$E$14,0)*1947.901031*C1226</f>
        <v>280.931999159</v>
      </c>
      <c r="D1243" s="18">
        <f>'Base Year'!$B$43*D1226+MAX(D1236-C1236,0)*1947.901031*D1226</f>
        <v>307.3675836</v>
      </c>
      <c r="E1243" s="18">
        <f>'Base Year'!$B$43*E1226+MAX(E1236-D1236,0)*1947.901031*E1226</f>
        <v>328.639389001</v>
      </c>
      <c r="F1243" s="18">
        <f>'Base Year'!$B$43*F1226+MAX(F1236-E1236,0)*1947.901031*F1226</f>
        <v>351.146749034</v>
      </c>
      <c r="G1243" s="18">
        <f>'Base Year'!$B$43*G1226+MAX(G1236-F1236,0)*1947.901031*G1226</f>
        <v>375.372179467</v>
      </c>
    </row>
    <row r="1244">
      <c r="A1244" s="9" t="inlineStr">
        <is>
          <t>Fixed assets at cost, closing</t>
        </is>
      </c>
      <c r="C1244" s="18">
        <f>(Assumptions!$B$70+Assumptions!$B$71)/10^6+C1243</f>
        <v>3429.06589416</v>
      </c>
      <c r="D1244" s="18">
        <f>C1244+D1243</f>
        <v>3736.43347776</v>
      </c>
      <c r="E1244" s="18">
        <f>D1244+E1243</f>
        <v>4065.07286676</v>
      </c>
      <c r="F1244" s="18">
        <f>E1244+F1243</f>
        <v>4416.21961579</v>
      </c>
      <c r="G1244" s="18">
        <f>F1244+G1243</f>
        <v>4791.59179526</v>
      </c>
    </row>
    <row r="1245">
      <c r="A1245" s="9" t="inlineStr">
        <is>
          <t>Depreciation — rolls off the asset register</t>
        </is>
      </c>
      <c r="C1245" s="18">
        <f>(Assumptions!$B$70+Assumptions!$B$71)/10^6/'Base Year'!$B$42</f>
        <v>173.808854481</v>
      </c>
      <c r="D1245" s="18">
        <f>C1244/'Base Year'!$B$42</f>
        <v>189.319144255</v>
      </c>
      <c r="E1245" s="18">
        <f>D1244/'Base Year'!$B$42</f>
        <v>206.288945856</v>
      </c>
      <c r="F1245" s="18">
        <f>E1244/'Base Year'!$B$42</f>
        <v>224.433166415</v>
      </c>
      <c r="G1245" s="18">
        <f>F1244/'Base Year'!$B$42</f>
        <v>243.820021053</v>
      </c>
    </row>
    <row r="1246">
      <c r="A1246" s="9" t="inlineStr">
        <is>
          <t>Fixed assets, net book, closing</t>
        </is>
      </c>
      <c r="C1246" s="18">
        <f>(Assumptions!$B$69+Assumptions!$B$71)/10^6+C1243-C1245</f>
        <v>1407.46262168</v>
      </c>
      <c r="D1246" s="18">
        <f>C1246+D1243-D1245</f>
        <v>1525.51106102</v>
      </c>
      <c r="E1246" s="18">
        <f>D1246+E1243-E1245</f>
        <v>1647.86150417</v>
      </c>
      <c r="F1246" s="18">
        <f>E1246+F1243-F1245</f>
        <v>1774.57508679</v>
      </c>
      <c r="G1246" s="18">
        <f>F1246+G1243-G1245</f>
        <v>1906.1272452</v>
      </c>
    </row>
    <row r="1247">
      <c r="A1247" s="17" t="inlineStr">
        <is>
          <t>EBIT</t>
        </is>
      </c>
      <c r="C1247" s="20">
        <f>C1242-C1245</f>
        <v>2368.17497718</v>
      </c>
      <c r="D1247" s="20">
        <f>D1242-D1245</f>
        <v>2318.56802856</v>
      </c>
      <c r="E1247" s="20">
        <f>E1242-E1245</f>
        <v>2205.32587334</v>
      </c>
      <c r="F1247" s="20">
        <f>F1242-F1245</f>
        <v>2072.39378923</v>
      </c>
      <c r="G1247" s="20">
        <f>G1242-G1245</f>
        <v>1854.62726217</v>
      </c>
    </row>
    <row r="1248">
      <c r="A1248" s="9" t="inlineStr">
        <is>
          <t>NOPAT before the profit share</t>
        </is>
      </c>
      <c r="C1248" s="18">
        <f>C1247*(1-Assumptions!$B$87)</f>
        <v>1835.33560732</v>
      </c>
      <c r="D1248" s="18">
        <f>D1247*(1-Assumptions!$B$87)</f>
        <v>1796.89022213</v>
      </c>
      <c r="E1248" s="18">
        <f>E1247*(1-Assumptions!$B$87)</f>
        <v>1709.12755184</v>
      </c>
      <c r="F1248" s="18">
        <f>F1247*(1-Assumptions!$B$87)</f>
        <v>1606.10518666</v>
      </c>
      <c r="G1248" s="18">
        <f>G1247*(1-Assumptions!$B$87)</f>
        <v>1437.33612818</v>
      </c>
    </row>
    <row r="1249">
      <c r="A1249" s="9" t="inlineStr">
        <is>
          <t xml:space="preserve">  less employees' profit share and board bonuses</t>
        </is>
      </c>
      <c r="C1249" s="18">
        <f>MAX(C1248,0)*'Base Year'!$B$40</f>
        <v>96.7608009272</v>
      </c>
      <c r="D1249" s="18">
        <f>MAX(D1248,0)*'Base Year'!$B$40</f>
        <v>94.7339202588</v>
      </c>
      <c r="E1249" s="18">
        <f>MAX(E1248,0)*'Base Year'!$B$40</f>
        <v>90.1069810576</v>
      </c>
      <c r="F1249" s="18">
        <f>MAX(F1248,0)*'Base Year'!$B$40</f>
        <v>84.6755348801</v>
      </c>
      <c r="G1249" s="18">
        <f>MAX(G1248,0)*'Base Year'!$B$40</f>
        <v>75.7778546933</v>
      </c>
    </row>
    <row r="1250">
      <c r="A1250" s="17" t="inlineStr">
        <is>
          <t>NOPAT</t>
        </is>
      </c>
      <c r="C1250" s="20">
        <f>C1248-C1249</f>
        <v>1738.57480639</v>
      </c>
      <c r="D1250" s="20">
        <f>D1248-D1249</f>
        <v>1702.15630187</v>
      </c>
      <c r="E1250" s="20">
        <f>E1248-E1249</f>
        <v>1619.02057078</v>
      </c>
      <c r="F1250" s="20">
        <f>F1248-F1249</f>
        <v>1521.42965178</v>
      </c>
      <c r="G1250" s="20">
        <f>G1248-G1249</f>
        <v>1361.55827349</v>
      </c>
    </row>
    <row r="1251">
      <c r="A1251" s="9" t="inlineStr">
        <is>
          <t>Net working capital — on days</t>
        </is>
      </c>
      <c r="C1251" s="18">
        <f>'Base Year'!$B$44*$E$38/365*C1238+'Base Year'!$B$45*$E$38/365*C1237-'Base Year'!$B$46*$E$38/365*C1238</f>
        <v>3809.53790583</v>
      </c>
      <c r="D1251" s="18">
        <f>'Base Year'!$B$44*$E$38/365*D1238+'Base Year'!$B$45*$E$38/365*D1237-'Base Year'!$B$46*$E$38/365*D1238</f>
        <v>4224.01654637</v>
      </c>
      <c r="E1251" s="18">
        <f>'Base Year'!$B$44*$E$38/365*E1238+'Base Year'!$B$45*$E$38/365*E1237-'Base Year'!$B$46*$E$38/365*E1238</f>
        <v>4622.24464517</v>
      </c>
      <c r="F1251" s="18">
        <f>'Base Year'!$B$44*$E$38/365*F1238+'Base Year'!$B$45*$E$38/365*F1237-'Base Year'!$B$46*$E$38/365*F1238</f>
        <v>5009.415383</v>
      </c>
      <c r="G1251" s="18">
        <f>'Base Year'!$B$44*$E$38/365*G1238+'Base Year'!$B$45*$E$38/365*G1237-'Base Year'!$B$46*$E$38/365*G1238</f>
        <v>5388.16711469</v>
      </c>
    </row>
    <row r="1252">
      <c r="A1252" s="9" t="inlineStr">
        <is>
          <t xml:space="preserve">  change in working capital</t>
        </is>
      </c>
      <c r="C1252" s="18">
        <f>C1251-('Base Year'!$B$44/365*'Base Year'!$B$21+'Base Year'!$B$45/365*'Base Year'!$B$19-'Base Year'!$B$46/365*'Base Year'!$B$21)</f>
        <v>1558.13561683</v>
      </c>
      <c r="D1252" s="18">
        <f>D1251-C1251</f>
        <v>414.478640537</v>
      </c>
      <c r="E1252" s="18">
        <f>E1251-D1251</f>
        <v>398.228098805</v>
      </c>
      <c r="F1252" s="18">
        <f>F1251-E1251</f>
        <v>387.170737834</v>
      </c>
      <c r="G1252" s="18">
        <f>G1251-F1251</f>
        <v>378.751731685</v>
      </c>
    </row>
    <row r="1253">
      <c r="A1253" s="17" t="inlineStr">
        <is>
          <t>FREE CASH FLOW TO THE FIRM</t>
        </is>
      </c>
      <c r="C1253" s="20">
        <f>C1250+C1245-C1243-C1252</f>
        <v>73.3160448825</v>
      </c>
      <c r="D1253" s="20">
        <f>D1250+D1245-D1243-D1252</f>
        <v>1169.62922199</v>
      </c>
      <c r="E1253" s="20">
        <f>E1250+E1245-E1243-E1252</f>
        <v>1098.44202883</v>
      </c>
      <c r="F1253" s="20">
        <f>F1250+F1245-F1243-F1252</f>
        <v>1007.54533132</v>
      </c>
      <c r="G1253" s="20">
        <f>G1250+G1245-G1243-G1252</f>
        <v>851.254383392</v>
      </c>
    </row>
    <row r="1254">
      <c r="A1254" s="9" t="inlineStr">
        <is>
          <t>Glide fraction</t>
        </is>
      </c>
      <c r="C1254" s="26">
        <f>0.0000000000</f>
        <v>0</v>
      </c>
      <c r="D1254" s="26">
        <f>0.3571428571</f>
        <v>0.3571428571</v>
      </c>
      <c r="E1254" s="26">
        <f>0.6428571429</f>
        <v>0.6428571429</v>
      </c>
      <c r="F1254" s="26">
        <f>0.8571428571</f>
        <v>0.8571428571</v>
      </c>
      <c r="G1254" s="26">
        <f>1.0000000000</f>
        <v>1</v>
      </c>
    </row>
    <row r="1255">
      <c r="A1255" s="9" t="inlineStr">
        <is>
          <t>Forward cost of capital</t>
        </is>
      </c>
      <c r="C1255" s="19">
        <f>Forecast!$B$14-(Forecast!$B$14-Forecast!$B$17)*C1254</f>
        <v>0.31578338914</v>
      </c>
      <c r="D1255" s="19">
        <f>Forecast!$B$14-(Forecast!$B$14-Forecast!$B$17)*D1254</f>
        <v>0.268515637955</v>
      </c>
      <c r="E1255" s="19">
        <f>Forecast!$B$14-(Forecast!$B$14-Forecast!$B$17)*E1254</f>
        <v>0.230701436991</v>
      </c>
      <c r="F1255" s="19">
        <f>Forecast!$B$14-(Forecast!$B$14-Forecast!$B$17)*F1254</f>
        <v>0.202340786287</v>
      </c>
      <c r="G1255" s="19">
        <f>Forecast!$B$14-(Forecast!$B$14-Forecast!$B$17)*G1254</f>
        <v>0.183433685805</v>
      </c>
    </row>
    <row r="1256">
      <c r="A1256" s="9" t="inlineStr">
        <is>
          <t>Cumulative discount factor</t>
        </is>
      </c>
      <c r="C1256" s="29">
        <f>1/(1+C1255)</f>
        <v>0.760003514449</v>
      </c>
      <c r="D1256" s="29">
        <f>C1256/(1+D1255)</f>
        <v>0.599128218612</v>
      </c>
      <c r="E1256" s="29">
        <f>D1256/(1+E1255)</f>
        <v>0.486818492775</v>
      </c>
      <c r="F1256" s="29">
        <f>E1256/(1+F1255)</f>
        <v>0.404892272081</v>
      </c>
      <c r="G1256" s="29">
        <f>F1256/(1+G1255)</f>
        <v>0.342133468852</v>
      </c>
    </row>
    <row r="1257">
      <c r="A1257" s="9" t="inlineStr">
        <is>
          <t>Present value</t>
        </is>
      </c>
      <c r="C1257" s="18">
        <f>C1253*C1256</f>
        <v>55.7204517762</v>
      </c>
      <c r="D1257" s="18">
        <f>D1253*D1256</f>
        <v>700.757872208</v>
      </c>
      <c r="E1257" s="18">
        <f>E1253*E1256</f>
        <v>534.741892878</v>
      </c>
      <c r="F1257" s="18">
        <f>F1253*F1256</f>
        <v>407.947318424</v>
      </c>
      <c r="G1257" s="18">
        <f>G1253*G1256</f>
        <v>291.242615065</v>
      </c>
    </row>
    <row r="1258">
      <c r="A1258" s="17" t="inlineStr">
        <is>
          <t>PV of the explicit window</t>
        </is>
      </c>
      <c r="B1258" s="20">
        <f>SUM(C1257:G1257)</f>
        <v>1990.41015035</v>
      </c>
      <c r="C1258" s="18">
        <f>C1251+C1244</f>
        <v>7238.60379999</v>
      </c>
      <c r="D1258" s="18">
        <f>D1251+D1244</f>
        <v>7960.45002412</v>
      </c>
      <c r="E1258" s="18">
        <f>E1251+E1244</f>
        <v>8687.31751193</v>
      </c>
      <c r="F1258" s="18">
        <f>F1251+F1244</f>
        <v>9425.6349988</v>
      </c>
      <c r="G1258" s="18">
        <f>G1251+G1244</f>
        <v>10179.75891</v>
      </c>
    </row>
    <row r="1259">
      <c r="A1259" s="9" t="inlineStr">
        <is>
          <t>Terminal return on invested capital, at REPLACEMENT cost</t>
        </is>
      </c>
      <c r="B1259" s="19">
        <f>G1250*(1+Assumptions!$B$89)/G1258</f>
        <v>0.14043910075</v>
      </c>
    </row>
    <row r="1260">
      <c r="A1260" s="9" t="inlineStr">
        <is>
          <t>Required reinvestment = growth / return</t>
        </is>
      </c>
      <c r="B1260" s="19">
        <f>MIN(Assumptions!$B$89/B1259,0.95)</f>
        <v>0.356026204475</v>
      </c>
    </row>
    <row r="1261">
      <c r="A1261" s="9" t="inlineStr">
        <is>
          <t>Terminal value</t>
        </is>
      </c>
      <c r="B1261" s="18">
        <f>G1250*(1+Assumptions!$B$89)*(1-B1260)/MAX(Forecast!$B$17-Assumptions!$B$89,0.02)</f>
        <v>6899.66882134</v>
      </c>
    </row>
    <row r="1262">
      <c r="A1262" s="9" t="inlineStr">
        <is>
          <t>PV of the terminal block</t>
        </is>
      </c>
      <c r="B1262" s="18">
        <f>B1261*G1256</f>
        <v>2360.60762777</v>
      </c>
    </row>
    <row r="1263">
      <c r="A1263" s="17" t="inlineStr">
        <is>
          <t>ENTERPRISE VALUE</t>
        </is>
      </c>
      <c r="B1263" s="20">
        <f>B1258+B1262</f>
        <v>4351.01777812</v>
      </c>
    </row>
    <row r="1264">
      <c r="A1264" s="9" t="inlineStr">
        <is>
          <t>plus net cash</t>
        </is>
      </c>
      <c r="B1264" s="18">
        <f>(Assumptions!$B$79-Assumptions!$B$82-Assumptions!$B$83)/10^6</f>
        <v>2442.544928</v>
      </c>
    </row>
    <row r="1265">
      <c r="A1265" s="9" t="inlineStr">
        <is>
          <t>Enterprise value including cash</t>
        </is>
      </c>
      <c r="B1265" s="18">
        <f>B1263+B1264</f>
        <v>6793.56270612</v>
      </c>
    </row>
    <row r="1266">
      <c r="A1266" s="9" t="inlineStr">
        <is>
          <t>less minority — on the WHOLE enterprise, cash included</t>
        </is>
      </c>
      <c r="B1266" s="18">
        <f>B1265*'Base Year'!$B$41</f>
        <v>221.350867759</v>
      </c>
    </row>
    <row r="1267">
      <c r="A1267" s="9" t="inlineStr">
        <is>
          <t>less the tax-disputes provision</t>
        </is>
      </c>
      <c r="B1267" s="18">
        <f>Assumptions!$B$78/10^6</f>
        <v>921.440353</v>
      </c>
    </row>
    <row r="1268">
      <c r="A1268" s="9" t="inlineStr">
        <is>
          <t>less dividends payable — declared, out of working capital</t>
        </is>
      </c>
      <c r="B1268" s="18">
        <f>Assumptions!$B$77/10^6</f>
        <v>517.25</v>
      </c>
    </row>
    <row r="1269">
      <c r="A1269" s="9" t="inlineStr">
        <is>
          <t>plus non-operating investments and pledged deposits</t>
        </is>
      </c>
      <c r="B1269" s="18">
        <f>(Assumptions!$B$81+Assumptions!$B$80)/10^6</f>
        <v>578.358746</v>
      </c>
    </row>
    <row r="1270">
      <c r="A1270" s="17" t="inlineStr">
        <is>
          <t>EQUITY ATTRIBUTABLE</t>
        </is>
      </c>
      <c r="B1270" s="20">
        <f>B1265-B1266-B1267-B1268+B1269</f>
        <v>5711.88023137</v>
      </c>
    </row>
    <row r="1271">
      <c r="A1271" s="17" t="inlineStr">
        <is>
          <t>VALUE PER SHARE, EGP</t>
        </is>
      </c>
      <c r="B1271" s="30">
        <f>B1270/Assumptions!$B$8</f>
        <v>4.42267149157</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9" t="inlineStr">
        <is>
          <t>Inflation index, cumulative</t>
        </is>
      </c>
      <c r="C1275" s="26">
        <f>Assumptions!$B$146</f>
        <v>1.145</v>
      </c>
      <c r="D1275" s="26">
        <f>C1275*Assumptions!$B$147</f>
        <v>1.29385</v>
      </c>
      <c r="E1275" s="26">
        <f>D1275*Assumptions!$B$148</f>
        <v>1.44264275</v>
      </c>
      <c r="F1275" s="26">
        <f>E1275*Assumptions!$B$149</f>
        <v>1.586907025</v>
      </c>
      <c r="G1275" s="26">
        <f>F1275*Assumptions!$B$150</f>
        <v>1.73766319237</v>
      </c>
    </row>
    <row r="1276">
      <c r="A1276" s="9" t="inlineStr">
        <is>
          <t>Realisation index, cumulative</t>
        </is>
      </c>
      <c r="C1276" s="26">
        <f>(1+Assumptions!$B$101*Forecast!$B$8)</f>
        <v>1.09</v>
      </c>
      <c r="D1276" s="26">
        <f>C1276*(1+Assumptions!$B$102*Forecast!$B$8)</f>
        <v>1.17175</v>
      </c>
      <c r="E1276" s="26">
        <f>D1276*(1+Assumptions!$B$103*Forecast!$B$8)</f>
        <v>1.24791375</v>
      </c>
      <c r="F1276" s="26">
        <f>E1276*(1+Assumptions!$B$104*Forecast!$B$8)</f>
        <v>1.3202927475</v>
      </c>
      <c r="G1276" s="26">
        <f>F1276*(1+Assumptions!$B$105*Forecast!$B$8)</f>
        <v>1.38894797037</v>
      </c>
    </row>
    <row r="1277">
      <c r="A1277" s="9" t="inlineStr">
        <is>
          <t xml:space="preserve">  Volume — Base and special oils, mn t</t>
        </is>
      </c>
      <c r="C1277" s="26">
        <f>'Product and Cost'!E6*(1+Assumptions!$B$106*Forecast!$B$6)</f>
        <v>0.1148851682</v>
      </c>
      <c r="D1277" s="26">
        <f>C1277*(1+Assumptions!$B$107*Forecast!$B$6)</f>
        <v>0.119480574928</v>
      </c>
      <c r="E1277" s="26">
        <f>D1277*(1+Assumptions!$B$108*Forecast!$B$6)</f>
        <v>0.12366239505</v>
      </c>
      <c r="F1277" s="26">
        <f>E1277*(1+Assumptions!$B$109*Forecast!$B$6)</f>
        <v>0.127372266902</v>
      </c>
      <c r="G1277" s="26">
        <f>F1277*(1+Assumptions!$B$110*Forecast!$B$6)</f>
        <v>0.130938690375</v>
      </c>
    </row>
    <row r="1278">
      <c r="A1278" s="9" t="inlineStr">
        <is>
          <t xml:space="preserve">  Volume — Paraffin wax, mn t</t>
        </is>
      </c>
      <c r="C1278" s="26">
        <f>'Product and Cost'!E7*(1+Assumptions!$B$111*Forecast!$B$6)</f>
        <v>0.089396788</v>
      </c>
      <c r="D1278" s="26">
        <f>C1278*(1+Assumptions!$B$112*Forecast!$B$6)</f>
        <v>0.09431361134</v>
      </c>
      <c r="E1278" s="26">
        <f>D1278*(1+Assumptions!$B$113*Forecast!$B$6)</f>
        <v>0.0985577238503</v>
      </c>
      <c r="F1278" s="26">
        <f>E1278*(1+Assumptions!$B$114*Forecast!$B$6)</f>
        <v>0.102302917357</v>
      </c>
      <c r="G1278" s="26">
        <f>F1278*(1+Assumptions!$B$115*Forecast!$B$6)</f>
        <v>0.105576610712</v>
      </c>
    </row>
    <row r="1279">
      <c r="A1279" s="9" t="inlineStr">
        <is>
          <t xml:space="preserve">  Volume — Gas oil, mn t</t>
        </is>
      </c>
      <c r="C1279" s="26">
        <f>'Product and Cost'!E8*(1+Assumptions!$B$116*Forecast!$B$6)</f>
        <v>0.35023715724</v>
      </c>
      <c r="D1279" s="26">
        <f>C1279*(1+Assumptions!$B$117*Forecast!$B$6)</f>
        <v>0.357241900385</v>
      </c>
      <c r="E1279" s="26">
        <f>D1279*(1+Assumptions!$B$118*Forecast!$B$6)</f>
        <v>0.363672254592</v>
      </c>
      <c r="F1279" s="26">
        <f>E1279*(1+Assumptions!$B$119*Forecast!$B$6)</f>
        <v>0.369491010665</v>
      </c>
      <c r="G1279" s="26">
        <f>F1279*(1+Assumptions!$B$120*Forecast!$B$6)</f>
        <v>0.375033375825</v>
      </c>
    </row>
    <row r="1280">
      <c r="A1280" s="9" t="inlineStr">
        <is>
          <t xml:space="preserve">  Volume — Naphtha, mn t</t>
        </is>
      </c>
      <c r="C1280" s="26">
        <f>'Product and Cost'!E9*(1+Assumptions!$B$121*Forecast!$B$6)</f>
        <v>0.08410463971</v>
      </c>
      <c r="D1280" s="26">
        <f>C1280*(1+Assumptions!$B$122*Forecast!$B$6)</f>
        <v>0.0856185232248</v>
      </c>
      <c r="E1280" s="26">
        <f>D1280*(1+Assumptions!$B$123*Forecast!$B$6)</f>
        <v>0.0871596566428</v>
      </c>
      <c r="F1280" s="26">
        <f>E1280*(1+Assumptions!$B$124*Forecast!$B$6)</f>
        <v>0.0885542111491</v>
      </c>
      <c r="G1280" s="26">
        <f>F1280*(1+Assumptions!$B$125*Forecast!$B$6)</f>
        <v>0.0898825243163</v>
      </c>
    </row>
    <row r="1281">
      <c r="A1281" s="9" t="inlineStr">
        <is>
          <t xml:space="preserve">  Volume — Liquefied petroleum gas, mn t</t>
        </is>
      </c>
      <c r="C1281" s="26">
        <f>'Product and Cost'!E10*(1+Assumptions!$B$126*Forecast!$B$6)</f>
        <v>0.0486583449</v>
      </c>
      <c r="D1281" s="26">
        <f>C1281*(1+Assumptions!$B$127*Forecast!$B$6)</f>
        <v>0.0497288284878</v>
      </c>
      <c r="E1281" s="26">
        <f>D1281*(1+Assumptions!$B$128*Forecast!$B$6)</f>
        <v>0.0507234050576</v>
      </c>
      <c r="F1281" s="26">
        <f>E1281*(1+Assumptions!$B$129*Forecast!$B$6)</f>
        <v>0.0516364263486</v>
      </c>
      <c r="G1281" s="26">
        <f>F1281*(1+Assumptions!$B$130*Forecast!$B$6)</f>
        <v>0.0524626091702</v>
      </c>
    </row>
    <row r="1282">
      <c r="A1282" s="9" t="inlineStr">
        <is>
          <t xml:space="preserve">  Volume — Fuel oil (mix), mn t</t>
        </is>
      </c>
      <c r="C1282" s="26">
        <f>'Product and Cost'!E11*(1+Assumptions!$B$131*Forecast!$B$6)</f>
        <v>0.947916416</v>
      </c>
      <c r="D1282" s="26">
        <f>C1282*(1+Assumptions!$B$132*Forecast!$B$6)</f>
        <v>0.972562242816</v>
      </c>
      <c r="E1282" s="26">
        <f>D1282*(1+Assumptions!$B$133*Forecast!$B$6)</f>
        <v>0.993958612158</v>
      </c>
      <c r="F1282" s="26">
        <f>E1282*(1+Assumptions!$B$134*Forecast!$B$6)</f>
        <v>1.0138377844</v>
      </c>
      <c r="G1282" s="26">
        <f>F1282*(1+Assumptions!$B$135*Forecast!$B$6)</f>
        <v>1.03208686452</v>
      </c>
    </row>
    <row r="1283">
      <c r="A1283" s="9" t="inlineStr">
        <is>
          <t xml:space="preserve">  Volume — Heavy fuel oil, mn t</t>
        </is>
      </c>
      <c r="C1283" s="26">
        <f>'Product and Cost'!E12*(1+Assumptions!$B$136*Forecast!$B$6)</f>
        <v>0.0292281408</v>
      </c>
      <c r="D1283" s="26">
        <f>C1283*(1+Assumptions!$B$137*Forecast!$B$6)</f>
        <v>0.0297542473344</v>
      </c>
      <c r="E1283" s="26">
        <f>D1283*(1+Assumptions!$B$138*Forecast!$B$6)</f>
        <v>0.0302303152918</v>
      </c>
      <c r="F1283" s="26">
        <f>E1283*(1+Assumptions!$B$139*Forecast!$B$6)</f>
        <v>0.0306837700211</v>
      </c>
      <c r="G1283" s="26">
        <f>F1283*(1+Assumptions!$B$140*Forecast!$B$6)</f>
        <v>0.0311133428014</v>
      </c>
    </row>
    <row r="1284">
      <c r="A1284" s="9" t="inlineStr">
        <is>
          <t xml:space="preserve">  Volume — Waste, mn t</t>
        </is>
      </c>
      <c r="C1284" s="26">
        <f>'Product and Cost'!E13*(1+Assumptions!$B$141*Forecast!$B$6)</f>
        <v>1.564e-05</v>
      </c>
      <c r="D1284" s="26">
        <f>C1284*(1+Assumptions!$B$142*Forecast!$B$6)</f>
        <v>1.564e-05</v>
      </c>
      <c r="E1284" s="26">
        <f>D1284*(1+Assumptions!$B$143*Forecast!$B$6)</f>
        <v>1.564e-05</v>
      </c>
      <c r="F1284" s="26">
        <f>E1284*(1+Assumptions!$B$144*Forecast!$B$6)</f>
        <v>1.564e-05</v>
      </c>
      <c r="G1284" s="26">
        <f>F1284*(1+Assumptions!$B$145*Forecast!$B$6)</f>
        <v>1.564e-05</v>
      </c>
    </row>
    <row r="1285">
      <c r="A1285" s="17" t="inlineStr">
        <is>
          <t>Total volume, mn t</t>
        </is>
      </c>
      <c r="C1285" s="28">
        <f>SUM(C1277:C1284)</f>
        <v>1.66444229485</v>
      </c>
      <c r="D1285" s="28">
        <f>SUM(D1277:D1284)</f>
        <v>1.70871556852</v>
      </c>
      <c r="E1285" s="28">
        <f>SUM(E1277:E1284)</f>
        <v>1.74798000264</v>
      </c>
      <c r="F1285" s="28">
        <f>SUM(F1277:F1284)</f>
        <v>1.78389402684</v>
      </c>
      <c r="G1285" s="28">
        <f>SUM(G1277:G1284)</f>
        <v>1.81710965772</v>
      </c>
    </row>
    <row r="1286">
      <c r="A1286" s="17" t="inlineStr">
        <is>
          <t>REVENUE</t>
        </is>
      </c>
      <c r="C1286" s="20">
        <f>C1277*'Product and Cost'!$F$6*C1276+C1278*'Product and Cost'!$F$7*C1276+C1279*'Product and Cost'!$F$8*C1276+C1280*'Product and Cost'!$F$9*C1276+C1281*'Product and Cost'!$F$10*C1276+C1282*'Product and Cost'!$F$11*C1276+C1283*'Product and Cost'!$F$12*C1276+C1284*'Product and Cost'!$F$13*C1276</f>
        <v>52840.8111141</v>
      </c>
      <c r="D1286" s="20">
        <f>D1277*'Product and Cost'!$F$6*D1276+D1278*'Product and Cost'!$F$7*D1276+D1279*'Product and Cost'!$F$8*D1276+D1280*'Product and Cost'!$F$9*D1276+D1281*'Product and Cost'!$F$10*D1276+D1282*'Product and Cost'!$F$11*D1276+D1283*'Product and Cost'!$F$12*D1276+D1284*'Product and Cost'!$F$13*D1276</f>
        <v>58432.1672543</v>
      </c>
      <c r="E1286" s="20">
        <f>E1277*'Product and Cost'!$F$6*E1276+E1278*'Product and Cost'!$F$7*E1276+E1279*'Product and Cost'!$F$8*E1276+E1280*'Product and Cost'!$F$9*E1276+E1281*'Product and Cost'!$F$10*E1276+E1282*'Product and Cost'!$F$11*E1276+E1283*'Product and Cost'!$F$12*E1276+E1284*'Product and Cost'!$F$13*E1276</f>
        <v>63772.6371781</v>
      </c>
      <c r="F1286" s="20">
        <f>F1277*'Product and Cost'!$F$6*F1276+F1278*'Product and Cost'!$F$7*F1276+F1279*'Product and Cost'!$F$8*F1276+F1280*'Product and Cost'!$F$9*F1276+F1281*'Product and Cost'!$F$10*F1276+F1282*'Product and Cost'!$F$11*F1276+F1283*'Product and Cost'!$F$12*F1276+F1284*'Product and Cost'!$F$13*F1276</f>
        <v>68952.1790369</v>
      </c>
      <c r="G1286" s="20">
        <f>G1277*'Product and Cost'!$F$6*G1276+G1278*'Product and Cost'!$F$7*G1276+G1279*'Product and Cost'!$F$8*G1276+G1280*'Product and Cost'!$F$9*G1276+G1281*'Product and Cost'!$F$10*G1276+G1282*'Product and Cost'!$F$11*G1276+G1283*'Product and Cost'!$F$12*G1276+G1284*'Product and Cost'!$F$13*G1276</f>
        <v>73977.8431827</v>
      </c>
    </row>
    <row r="1287">
      <c r="A1287" s="9" t="inlineStr">
        <is>
          <t>Cost of sales</t>
        </is>
      </c>
      <c r="C1287" s="18">
        <f>C1277*('Product and Cost'!$D$27*C1276*Assumptions!$B$88+'Product and Cost'!$B$27*(0.4863620081*C1275+0.4455809638*C1275+0.0356254898*C1276+0.0324315384))+C1278*('Product and Cost'!$D$28*C1276*Assumptions!$B$88+'Product and Cost'!$B$28*(0.4863620081*C1275+0.4455809638*C1275+0.0356254898*C1276+0.0324315384))+C1279*('Product and Cost'!$D$29*C1276*Assumptions!$B$88+'Product and Cost'!$B$29*(0.4863620081*C1275+0.4455809638*C1275+0.0356254898*C1276+0.0324315384))+C1280*('Product and Cost'!$D$30*C1276*Assumptions!$B$88+'Product and Cost'!$B$30*(0.4863620081*C1275+0.4455809638*C1275+0.0356254898*C1276+0.0324315384))+C1281*('Product and Cost'!$D$31*C1276*Assumptions!$B$88+'Product and Cost'!$B$31*(0.4863620081*C1275+0.4455809638*C1275+0.0356254898*C1276+0.0324315384))+C1282*('Product and Cost'!$D$32*C1276*Assumptions!$B$88+'Product and Cost'!$B$32*(0.4863620081*C1275+0.4455809638*C1275+0.0356254898*C1276+0.0324315384))+C1283*('Product and Cost'!$D$33*C1276*Assumptions!$B$88+'Product and Cost'!$B$33*(0.4863620081*C1275+0.4455809638*C1275+0.0356254898*C1276+0.0324315384))+C1284*('Product and Cost'!$D$34*C1276*Assumptions!$B$88+'Product and Cost'!$B$34*(0.4863620081*C1275+0.4455809638*C1275+0.0356254898*C1276+0.0324315384))</f>
        <v>48291.1604712</v>
      </c>
      <c r="D1287" s="18">
        <f>D1277*('Product and Cost'!$D$27*D1276*Assumptions!$B$88+'Product and Cost'!$B$27*(0.4863620081*D1275+0.4455809638*D1275+0.0356254898*D1276+0.0324315384))+D1278*('Product and Cost'!$D$28*D1276*Assumptions!$B$88+'Product and Cost'!$B$28*(0.4863620081*D1275+0.4455809638*D1275+0.0356254898*D1276+0.0324315384))+D1279*('Product and Cost'!$D$29*D1276*Assumptions!$B$88+'Product and Cost'!$B$29*(0.4863620081*D1275+0.4455809638*D1275+0.0356254898*D1276+0.0324315384))+D1280*('Product and Cost'!$D$30*D1276*Assumptions!$B$88+'Product and Cost'!$B$30*(0.4863620081*D1275+0.4455809638*D1275+0.0356254898*D1276+0.0324315384))+D1281*('Product and Cost'!$D$31*D1276*Assumptions!$B$88+'Product and Cost'!$B$31*(0.4863620081*D1275+0.4455809638*D1275+0.0356254898*D1276+0.0324315384))+D1282*('Product and Cost'!$D$32*D1276*Assumptions!$B$88+'Product and Cost'!$B$32*(0.4863620081*D1275+0.4455809638*D1275+0.0356254898*D1276+0.0324315384))+D1283*('Product and Cost'!$D$33*D1276*Assumptions!$B$88+'Product and Cost'!$B$33*(0.4863620081*D1275+0.4455809638*D1275+0.0356254898*D1276+0.0324315384))+D1284*('Product and Cost'!$D$34*D1276*Assumptions!$B$88+'Product and Cost'!$B$34*(0.4863620081*D1275+0.4455809638*D1275+0.0356254898*D1276+0.0324315384))</f>
        <v>53647.9823219</v>
      </c>
      <c r="E1287" s="18">
        <f>E1277*('Product and Cost'!$D$27*E1276*Assumptions!$B$88+'Product and Cost'!$B$27*(0.4863620081*E1275+0.4455809638*E1275+0.0356254898*E1276+0.0324315384))+E1278*('Product and Cost'!$D$28*E1276*Assumptions!$B$88+'Product and Cost'!$B$28*(0.4863620081*E1275+0.4455809638*E1275+0.0356254898*E1276+0.0324315384))+E1279*('Product and Cost'!$D$29*E1276*Assumptions!$B$88+'Product and Cost'!$B$29*(0.4863620081*E1275+0.4455809638*E1275+0.0356254898*E1276+0.0324315384))+E1280*('Product and Cost'!$D$30*E1276*Assumptions!$B$88+'Product and Cost'!$B$30*(0.4863620081*E1275+0.4455809638*E1275+0.0356254898*E1276+0.0324315384))+E1281*('Product and Cost'!$D$31*E1276*Assumptions!$B$88+'Product and Cost'!$B$31*(0.4863620081*E1275+0.4455809638*E1275+0.0356254898*E1276+0.0324315384))+E1282*('Product and Cost'!$D$32*E1276*Assumptions!$B$88+'Product and Cost'!$B$32*(0.4863620081*E1275+0.4455809638*E1275+0.0356254898*E1276+0.0324315384))+E1283*('Product and Cost'!$D$33*E1276*Assumptions!$B$88+'Product and Cost'!$B$33*(0.4863620081*E1275+0.4455809638*E1275+0.0356254898*E1276+0.0324315384))+E1284*('Product and Cost'!$D$34*E1276*Assumptions!$B$88+'Product and Cost'!$B$34*(0.4863620081*E1275+0.4455809638*E1275+0.0356254898*E1276+0.0324315384))</f>
        <v>58815.4011786</v>
      </c>
      <c r="F1287" s="18">
        <f>F1277*('Product and Cost'!$D$27*F1276*Assumptions!$B$88+'Product and Cost'!$B$27*(0.4863620081*F1275+0.4455809638*F1275+0.0356254898*F1276+0.0324315384))+F1278*('Product and Cost'!$D$28*F1276*Assumptions!$B$88+'Product and Cost'!$B$28*(0.4863620081*F1275+0.4455809638*F1275+0.0356254898*F1276+0.0324315384))+F1279*('Product and Cost'!$D$29*F1276*Assumptions!$B$88+'Product and Cost'!$B$29*(0.4863620081*F1275+0.4455809638*F1275+0.0356254898*F1276+0.0324315384))+F1280*('Product and Cost'!$D$30*F1276*Assumptions!$B$88+'Product and Cost'!$B$30*(0.4863620081*F1275+0.4455809638*F1275+0.0356254898*F1276+0.0324315384))+F1281*('Product and Cost'!$D$31*F1276*Assumptions!$B$88+'Product and Cost'!$B$31*(0.4863620081*F1275+0.4455809638*F1275+0.0356254898*F1276+0.0324315384))+F1282*('Product and Cost'!$D$32*F1276*Assumptions!$B$88+'Product and Cost'!$B$32*(0.4863620081*F1275+0.4455809638*F1275+0.0356254898*F1276+0.0324315384))+F1283*('Product and Cost'!$D$33*F1276*Assumptions!$B$88+'Product and Cost'!$B$33*(0.4863620081*F1275+0.4455809638*F1275+0.0356254898*F1276+0.0324315384))+F1284*('Product and Cost'!$D$34*F1276*Assumptions!$B$88+'Product and Cost'!$B$34*(0.4863620081*F1275+0.4455809638*F1275+0.0356254898*F1276+0.0324315384))</f>
        <v>63847.5732702</v>
      </c>
      <c r="G1287" s="18">
        <f>G1277*('Product and Cost'!$D$27*G1276*Assumptions!$B$88+'Product and Cost'!$B$27*(0.4863620081*G1275+0.4455809638*G1275+0.0356254898*G1276+0.0324315384))+G1278*('Product and Cost'!$D$28*G1276*Assumptions!$B$88+'Product and Cost'!$B$28*(0.4863620081*G1275+0.4455809638*G1275+0.0356254898*G1276+0.0324315384))+G1279*('Product and Cost'!$D$29*G1276*Assumptions!$B$88+'Product and Cost'!$B$29*(0.4863620081*G1275+0.4455809638*G1275+0.0356254898*G1276+0.0324315384))+G1280*('Product and Cost'!$D$30*G1276*Assumptions!$B$88+'Product and Cost'!$B$30*(0.4863620081*G1275+0.4455809638*G1275+0.0356254898*G1276+0.0324315384))+G1281*('Product and Cost'!$D$31*G1276*Assumptions!$B$88+'Product and Cost'!$B$31*(0.4863620081*G1275+0.4455809638*G1275+0.0356254898*G1276+0.0324315384))+G1282*('Product and Cost'!$D$32*G1276*Assumptions!$B$88+'Product and Cost'!$B$32*(0.4863620081*G1275+0.4455809638*G1275+0.0356254898*G1276+0.0324315384))+G1283*('Product and Cost'!$D$33*G1276*Assumptions!$B$88+'Product and Cost'!$B$33*(0.4863620081*G1275+0.4455809638*G1275+0.0356254898*G1276+0.0324315384))+G1284*('Product and Cost'!$D$34*G1276*Assumptions!$B$88+'Product and Cost'!$B$34*(0.4863620081*G1275+0.4455809638*G1275+0.0356254898*G1276+0.0324315384))</f>
        <v>68797.1859175</v>
      </c>
    </row>
    <row r="1288">
      <c r="A1288" s="17" t="inlineStr">
        <is>
          <t>GROSS PROFIT</t>
        </is>
      </c>
      <c r="C1288" s="20">
        <f>C1286-C1287+Forecast!$B$7*C1286</f>
        <v>4549.65064286</v>
      </c>
      <c r="D1288" s="20">
        <f>D1286-D1287+Forecast!$B$7*D1286</f>
        <v>4784.18493236</v>
      </c>
      <c r="E1288" s="20">
        <f>E1286-E1287+Forecast!$B$7*E1286</f>
        <v>4957.23599944</v>
      </c>
      <c r="F1288" s="20">
        <f>F1286-F1287+Forecast!$B$7*F1286</f>
        <v>5104.60576669</v>
      </c>
      <c r="G1288" s="20">
        <f>G1286-G1287+Forecast!$B$7*G1286</f>
        <v>5180.65726511</v>
      </c>
    </row>
    <row r="1289">
      <c r="A1289" s="9" t="inlineStr">
        <is>
          <t>Gross margin</t>
        </is>
      </c>
      <c r="C1289" s="19">
        <f>C1288/C1286</f>
        <v>0.0861010750391</v>
      </c>
      <c r="D1289" s="19">
        <f>D1288/D1286</f>
        <v>0.0818758768871</v>
      </c>
      <c r="E1289" s="19">
        <f>E1288/E1286</f>
        <v>0.0777329622672</v>
      </c>
      <c r="F1289" s="19">
        <f>F1288/F1286</f>
        <v>0.0740311015255</v>
      </c>
      <c r="G1289" s="19">
        <f>G1288/G1286</f>
        <v>0.0700298500501</v>
      </c>
    </row>
    <row r="1290">
      <c r="A1290" s="9" t="inlineStr">
        <is>
          <t>Operating expense</t>
        </is>
      </c>
      <c r="C1290" s="18">
        <f>('Base Year'!$B$28*C1275)+('Base Year'!$B$29*C1275*C1285/'Product and Cost'!$E$14)+('Base Year'!$B$30*C1275)+('Base Year'!$B$31*C1275)</f>
        <v>2007.6668112</v>
      </c>
      <c r="D1290" s="18">
        <f>('Base Year'!$B$28*D1275)+('Base Year'!$B$29*D1275*D1285/'Product and Cost'!$E$14)+('Base Year'!$B$30*D1275)+('Base Year'!$B$31*D1275)</f>
        <v>2276.29775955</v>
      </c>
      <c r="E1290" s="18">
        <f>('Base Year'!$B$28*E1275)+('Base Year'!$B$29*E1275*E1285/'Product and Cost'!$E$14)+('Base Year'!$B$30*E1275)+('Base Year'!$B$31*E1275)</f>
        <v>2545.62118024</v>
      </c>
      <c r="F1290" s="18">
        <f>('Base Year'!$B$28*F1275)+('Base Year'!$B$29*F1275*F1285/'Product and Cost'!$E$14)+('Base Year'!$B$30*F1275)+('Base Year'!$B$31*F1275)</f>
        <v>2807.77881104</v>
      </c>
      <c r="G1290" s="18">
        <f>('Base Year'!$B$28*G1275)+('Base Year'!$B$29*G1275*G1285/'Product and Cost'!$E$14)+('Base Year'!$B$30*G1275)+('Base Year'!$B$31*G1275)</f>
        <v>3082.20998189</v>
      </c>
    </row>
    <row r="1291">
      <c r="A1291" s="17" t="inlineStr">
        <is>
          <t>EBITDA</t>
        </is>
      </c>
      <c r="C1291" s="20">
        <f>C1288-C1290</f>
        <v>2541.98383166</v>
      </c>
      <c r="D1291" s="20">
        <f>D1288-D1290</f>
        <v>2507.88717281</v>
      </c>
      <c r="E1291" s="20">
        <f>E1288-E1290</f>
        <v>2411.6148192</v>
      </c>
      <c r="F1291" s="20">
        <f>F1288-F1290</f>
        <v>2296.82695565</v>
      </c>
      <c r="G1291" s="20">
        <f>G1288-G1290</f>
        <v>2098.44728323</v>
      </c>
    </row>
    <row r="1292">
      <c r="A1292" s="9" t="inlineStr">
        <is>
          <t>Capital expenditure — maintenance + growth</t>
        </is>
      </c>
      <c r="C1292" s="18">
        <f>'Base Year'!$B$43*C1275+MAX(C1285-'Product and Cost'!$E$14,0)*1947.901031*C1275</f>
        <v>280.931999159</v>
      </c>
      <c r="D1292" s="18">
        <f>'Base Year'!$B$43*D1275+MAX(D1285-C1285,0)*1947.901031*D1275</f>
        <v>307.3675836</v>
      </c>
      <c r="E1292" s="18">
        <f>'Base Year'!$B$43*E1275+MAX(E1285-D1285,0)*1947.901031*E1275</f>
        <v>328.639389001</v>
      </c>
      <c r="F1292" s="18">
        <f>'Base Year'!$B$43*F1275+MAX(F1285-E1285,0)*1947.901031*F1275</f>
        <v>351.146749034</v>
      </c>
      <c r="G1292" s="18">
        <f>'Base Year'!$B$43*G1275+MAX(G1285-F1285,0)*1947.901031*G1275</f>
        <v>375.372179467</v>
      </c>
    </row>
    <row r="1293">
      <c r="A1293" s="9" t="inlineStr">
        <is>
          <t>Fixed assets at cost, closing</t>
        </is>
      </c>
      <c r="C1293" s="18">
        <f>(Assumptions!$B$70+Assumptions!$B$71)/10^6+C1292</f>
        <v>3429.06589416</v>
      </c>
      <c r="D1293" s="18">
        <f>C1293+D1292</f>
        <v>3736.43347776</v>
      </c>
      <c r="E1293" s="18">
        <f>D1293+E1292</f>
        <v>4065.07286676</v>
      </c>
      <c r="F1293" s="18">
        <f>E1293+F1292</f>
        <v>4416.21961579</v>
      </c>
      <c r="G1293" s="18">
        <f>F1293+G1292</f>
        <v>4791.59179526</v>
      </c>
    </row>
    <row r="1294">
      <c r="A1294" s="9" t="inlineStr">
        <is>
          <t>Depreciation — rolls off the asset register</t>
        </is>
      </c>
      <c r="C1294" s="18">
        <f>(Assumptions!$B$70+Assumptions!$B$71)/10^6/'Base Year'!$B$42</f>
        <v>173.808854481</v>
      </c>
      <c r="D1294" s="18">
        <f>C1293/'Base Year'!$B$42</f>
        <v>189.319144255</v>
      </c>
      <c r="E1294" s="18">
        <f>D1293/'Base Year'!$B$42</f>
        <v>206.288945856</v>
      </c>
      <c r="F1294" s="18">
        <f>E1293/'Base Year'!$B$42</f>
        <v>224.433166415</v>
      </c>
      <c r="G1294" s="18">
        <f>F1293/'Base Year'!$B$42</f>
        <v>243.820021053</v>
      </c>
    </row>
    <row r="1295">
      <c r="A1295" s="9" t="inlineStr">
        <is>
          <t>Fixed assets, net book, closing</t>
        </is>
      </c>
      <c r="C1295" s="18">
        <f>(Assumptions!$B$69+Assumptions!$B$71)/10^6+C1292-C1294</f>
        <v>1407.46262168</v>
      </c>
      <c r="D1295" s="18">
        <f>C1295+D1292-D1294</f>
        <v>1525.51106102</v>
      </c>
      <c r="E1295" s="18">
        <f>D1295+E1292-E1294</f>
        <v>1647.86150417</v>
      </c>
      <c r="F1295" s="18">
        <f>E1295+F1292-F1294</f>
        <v>1774.57508679</v>
      </c>
      <c r="G1295" s="18">
        <f>F1295+G1292-G1294</f>
        <v>1906.1272452</v>
      </c>
    </row>
    <row r="1296">
      <c r="A1296" s="17" t="inlineStr">
        <is>
          <t>EBIT</t>
        </is>
      </c>
      <c r="C1296" s="20">
        <f>C1291-C1294</f>
        <v>2368.17497718</v>
      </c>
      <c r="D1296" s="20">
        <f>D1291-D1294</f>
        <v>2318.56802856</v>
      </c>
      <c r="E1296" s="20">
        <f>E1291-E1294</f>
        <v>2205.32587334</v>
      </c>
      <c r="F1296" s="20">
        <f>F1291-F1294</f>
        <v>2072.39378923</v>
      </c>
      <c r="G1296" s="20">
        <f>G1291-G1294</f>
        <v>1854.62726217</v>
      </c>
    </row>
    <row r="1297">
      <c r="A1297" s="9" t="inlineStr">
        <is>
          <t>NOPAT before the profit share</t>
        </is>
      </c>
      <c r="C1297" s="18">
        <f>C1296*(1-Assumptions!$B$87)</f>
        <v>1835.33560732</v>
      </c>
      <c r="D1297" s="18">
        <f>D1296*(1-Assumptions!$B$87)</f>
        <v>1796.89022213</v>
      </c>
      <c r="E1297" s="18">
        <f>E1296*(1-Assumptions!$B$87)</f>
        <v>1709.12755184</v>
      </c>
      <c r="F1297" s="18">
        <f>F1296*(1-Assumptions!$B$87)</f>
        <v>1606.10518666</v>
      </c>
      <c r="G1297" s="18">
        <f>G1296*(1-Assumptions!$B$87)</f>
        <v>1437.33612818</v>
      </c>
    </row>
    <row r="1298">
      <c r="A1298" s="9" t="inlineStr">
        <is>
          <t xml:space="preserve">  less employees' profit share and board bonuses</t>
        </is>
      </c>
      <c r="C1298" s="18">
        <f>MAX(C1297,0)*'Base Year'!$B$40</f>
        <v>96.7608009272</v>
      </c>
      <c r="D1298" s="18">
        <f>MAX(D1297,0)*'Base Year'!$B$40</f>
        <v>94.7339202588</v>
      </c>
      <c r="E1298" s="18">
        <f>MAX(E1297,0)*'Base Year'!$B$40</f>
        <v>90.1069810576</v>
      </c>
      <c r="F1298" s="18">
        <f>MAX(F1297,0)*'Base Year'!$B$40</f>
        <v>84.6755348801</v>
      </c>
      <c r="G1298" s="18">
        <f>MAX(G1297,0)*'Base Year'!$B$40</f>
        <v>75.7778546933</v>
      </c>
    </row>
    <row r="1299">
      <c r="A1299" s="17" t="inlineStr">
        <is>
          <t>NOPAT</t>
        </is>
      </c>
      <c r="C1299" s="20">
        <f>C1297-C1298</f>
        <v>1738.57480639</v>
      </c>
      <c r="D1299" s="20">
        <f>D1297-D1298</f>
        <v>1702.15630187</v>
      </c>
      <c r="E1299" s="20">
        <f>E1297-E1298</f>
        <v>1619.02057078</v>
      </c>
      <c r="F1299" s="20">
        <f>F1297-F1298</f>
        <v>1521.42965178</v>
      </c>
      <c r="G1299" s="20">
        <f>G1297-G1298</f>
        <v>1361.55827349</v>
      </c>
    </row>
    <row r="1300">
      <c r="A1300" s="9" t="inlineStr">
        <is>
          <t>Net working capital — on days</t>
        </is>
      </c>
      <c r="C1300" s="18">
        <f>'Base Year'!$B$44*Forecast!$B$9/365*C1287+'Base Year'!$B$45*Forecast!$B$9/365*C1286-'Base Year'!$B$46*Forecast!$B$9/365*C1287</f>
        <v>2539.69193722</v>
      </c>
      <c r="D1300" s="18">
        <f>'Base Year'!$B$44*Forecast!$B$9/365*D1287+'Base Year'!$B$45*Forecast!$B$9/365*D1286-'Base Year'!$B$46*Forecast!$B$9/365*D1287</f>
        <v>2816.01103091</v>
      </c>
      <c r="E1300" s="18">
        <f>'Base Year'!$B$44*Forecast!$B$9/365*E1287+'Base Year'!$B$45*Forecast!$B$9/365*E1286-'Base Year'!$B$46*Forecast!$B$9/365*E1287</f>
        <v>3081.49643011</v>
      </c>
      <c r="F1300" s="18">
        <f>'Base Year'!$B$44*Forecast!$B$9/365*F1287+'Base Year'!$B$45*Forecast!$B$9/365*F1286-'Base Year'!$B$46*Forecast!$B$9/365*F1287</f>
        <v>3339.61025534</v>
      </c>
      <c r="G1300" s="18">
        <f>'Base Year'!$B$44*Forecast!$B$9/365*G1287+'Base Year'!$B$45*Forecast!$B$9/365*G1286-'Base Year'!$B$46*Forecast!$B$9/365*G1287</f>
        <v>3592.11140979</v>
      </c>
    </row>
    <row r="1301">
      <c r="A1301" s="9" t="inlineStr">
        <is>
          <t xml:space="preserve">  change in working capital</t>
        </is>
      </c>
      <c r="C1301" s="18">
        <f>C1300-('Base Year'!$B$44/365*'Base Year'!$B$21+'Base Year'!$B$45/365*'Base Year'!$B$19-'Base Year'!$B$46/365*'Base Year'!$B$21)</f>
        <v>288.28964822</v>
      </c>
      <c r="D1301" s="18">
        <f>D1300-C1300</f>
        <v>276.319093691</v>
      </c>
      <c r="E1301" s="18">
        <f>E1300-D1300</f>
        <v>265.485399203</v>
      </c>
      <c r="F1301" s="18">
        <f>F1300-E1300</f>
        <v>258.113825222</v>
      </c>
      <c r="G1301" s="18">
        <f>G1300-F1300</f>
        <v>252.501154457</v>
      </c>
    </row>
    <row r="1302">
      <c r="A1302" s="17" t="inlineStr">
        <is>
          <t>FREE CASH FLOW TO THE FIRM</t>
        </is>
      </c>
      <c r="C1302" s="20">
        <f>C1299+C1294-C1292-C1301</f>
        <v>1343.16201349</v>
      </c>
      <c r="D1302" s="20">
        <f>D1299+D1294-D1292-D1301</f>
        <v>1307.78876884</v>
      </c>
      <c r="E1302" s="20">
        <f>E1299+E1294-E1292-E1301</f>
        <v>1231.18472844</v>
      </c>
      <c r="F1302" s="20">
        <f>F1299+F1294-F1292-F1301</f>
        <v>1136.60224393</v>
      </c>
      <c r="G1302" s="20">
        <f>G1299+G1294-G1292-G1301</f>
        <v>977.504960621</v>
      </c>
    </row>
    <row r="1303">
      <c r="A1303" s="9" t="inlineStr">
        <is>
          <t>Glide fraction</t>
        </is>
      </c>
      <c r="C1303" s="26">
        <f>0.0000000000</f>
        <v>0</v>
      </c>
      <c r="D1303" s="26">
        <f>0.3571428571</f>
        <v>0.3571428571</v>
      </c>
      <c r="E1303" s="26">
        <f>0.6428571429</f>
        <v>0.6428571429</v>
      </c>
      <c r="F1303" s="26">
        <f>0.8571428571</f>
        <v>0.8571428571</v>
      </c>
      <c r="G1303" s="26">
        <f>1.0000000000</f>
        <v>1</v>
      </c>
    </row>
    <row r="1304">
      <c r="A1304" s="9" t="inlineStr">
        <is>
          <t>Forward cost of capital</t>
        </is>
      </c>
      <c r="C1304" s="19">
        <f>Forecast!$B$14-(Forecast!$B$14-Forecast!$B$17)*C1303</f>
        <v>0.31578338914</v>
      </c>
      <c r="D1304" s="19">
        <f>Forecast!$B$14-(Forecast!$B$14-Forecast!$B$17)*D1303</f>
        <v>0.268515637955</v>
      </c>
      <c r="E1304" s="19">
        <f>Forecast!$B$14-(Forecast!$B$14-Forecast!$B$17)*E1303</f>
        <v>0.230701436991</v>
      </c>
      <c r="F1304" s="19">
        <f>Forecast!$B$14-(Forecast!$B$14-Forecast!$B$17)*F1303</f>
        <v>0.202340786287</v>
      </c>
      <c r="G1304" s="19">
        <f>Forecast!$B$14-(Forecast!$B$14-Forecast!$B$17)*G1303</f>
        <v>0.183433685805</v>
      </c>
    </row>
    <row r="1305">
      <c r="A1305" s="9" t="inlineStr">
        <is>
          <t>Cumulative discount factor</t>
        </is>
      </c>
      <c r="C1305" s="29">
        <f>1/(1+C1304)</f>
        <v>0.760003514449</v>
      </c>
      <c r="D1305" s="29">
        <f>C1305/(1+D1304)</f>
        <v>0.599128218612</v>
      </c>
      <c r="E1305" s="29">
        <f>D1305/(1+E1304)</f>
        <v>0.486818492775</v>
      </c>
      <c r="F1305" s="29">
        <f>E1305/(1+F1304)</f>
        <v>0.404892272081</v>
      </c>
      <c r="G1305" s="29">
        <f>F1305/(1+G1304)</f>
        <v>0.342133468852</v>
      </c>
    </row>
    <row r="1306">
      <c r="A1306" s="9" t="inlineStr">
        <is>
          <t>Present value</t>
        </is>
      </c>
      <c r="C1306" s="18">
        <f>C1302*C1305</f>
        <v>1020.80785073</v>
      </c>
      <c r="D1306" s="18">
        <f>D1302*D1305</f>
        <v>783.533155394</v>
      </c>
      <c r="E1306" s="18">
        <f>E1302*E1305</f>
        <v>599.363493825</v>
      </c>
      <c r="F1306" s="18">
        <f>F1302*F1305</f>
        <v>460.201464998</v>
      </c>
      <c r="G1306" s="18">
        <f>G1302*G1305</f>
        <v>334.437162997</v>
      </c>
    </row>
    <row r="1307">
      <c r="A1307" s="17" t="inlineStr">
        <is>
          <t>PV of the explicit window</t>
        </is>
      </c>
      <c r="B1307" s="20">
        <f>SUM(C1306:G1306)</f>
        <v>3198.34312794</v>
      </c>
      <c r="C1307" s="18">
        <f>C1300+C1293</f>
        <v>5968.75783138</v>
      </c>
      <c r="D1307" s="18">
        <f>D1300+D1293</f>
        <v>6552.44450867</v>
      </c>
      <c r="E1307" s="18">
        <f>E1300+E1293</f>
        <v>7146.56929687</v>
      </c>
      <c r="F1307" s="18">
        <f>F1300+F1293</f>
        <v>7755.82987113</v>
      </c>
      <c r="G1307" s="18">
        <f>G1300+G1293</f>
        <v>8383.70320505</v>
      </c>
    </row>
    <row r="1308">
      <c r="A1308" s="9" t="inlineStr">
        <is>
          <t>Terminal return on invested capital, at REPLACEMENT cost</t>
        </is>
      </c>
      <c r="B1308" s="19">
        <f>G1299*(1+$H$41)/G1307</f>
        <v>0.167277512979</v>
      </c>
    </row>
    <row r="1309">
      <c r="A1309" s="9" t="inlineStr">
        <is>
          <t>Required reinvestment = growth / return</t>
        </is>
      </c>
      <c r="B1309" s="19">
        <f>MIN($H$41/B1308,0.95)</f>
        <v>0.179342695056</v>
      </c>
    </row>
    <row r="1310">
      <c r="A1310" s="9" t="inlineStr">
        <is>
          <t>Terminal value</t>
        </is>
      </c>
      <c r="B1310" s="18">
        <f>G1299*(1+$H$41)*(1-B1309)/MAX(Forecast!$B$17-$H$41,0.02)</f>
        <v>7500.92080173</v>
      </c>
    </row>
    <row r="1311">
      <c r="A1311" s="9" t="inlineStr">
        <is>
          <t>PV of the terminal block</t>
        </is>
      </c>
      <c r="B1311" s="18">
        <f>B1310*G1305</f>
        <v>2566.31605348</v>
      </c>
    </row>
    <row r="1312">
      <c r="A1312" s="17" t="inlineStr">
        <is>
          <t>ENTERPRISE VALUE</t>
        </is>
      </c>
      <c r="B1312" s="20">
        <f>B1307+B1311</f>
        <v>5764.65918142</v>
      </c>
    </row>
    <row r="1313">
      <c r="A1313" s="9" t="inlineStr">
        <is>
          <t>plus net cash</t>
        </is>
      </c>
      <c r="B1313" s="18">
        <f>(Assumptions!$B$79-Assumptions!$B$82-Assumptions!$B$83)/10^6</f>
        <v>2442.544928</v>
      </c>
    </row>
    <row r="1314">
      <c r="A1314" s="9" t="inlineStr">
        <is>
          <t>Enterprise value including cash</t>
        </is>
      </c>
      <c r="B1314" s="18">
        <f>B1312+B1313</f>
        <v>8207.20410942</v>
      </c>
    </row>
    <row r="1315">
      <c r="A1315" s="9" t="inlineStr">
        <is>
          <t>less minority — on the WHOLE enterprise, cash included</t>
        </is>
      </c>
      <c r="B1315" s="18">
        <f>B1314*'Base Year'!$B$41</f>
        <v>267.410757813</v>
      </c>
    </row>
    <row r="1316">
      <c r="A1316" s="9" t="inlineStr">
        <is>
          <t>less the tax-disputes provision</t>
        </is>
      </c>
      <c r="B1316" s="18">
        <f>Assumptions!$B$78/10^6</f>
        <v>921.440353</v>
      </c>
    </row>
    <row r="1317">
      <c r="A1317" s="9" t="inlineStr">
        <is>
          <t>less dividends payable — declared, out of working capital</t>
        </is>
      </c>
      <c r="B1317" s="18">
        <f>Assumptions!$B$77/10^6</f>
        <v>517.25</v>
      </c>
    </row>
    <row r="1318">
      <c r="A1318" s="9" t="inlineStr">
        <is>
          <t>plus non-operating investments and pledged deposits</t>
        </is>
      </c>
      <c r="B1318" s="18">
        <f>(Assumptions!$B$81+Assumptions!$B$80)/10^6</f>
        <v>578.358746</v>
      </c>
    </row>
    <row r="1319">
      <c r="A1319" s="17" t="inlineStr">
        <is>
          <t>EQUITY ATTRIBUTABLE</t>
        </is>
      </c>
      <c r="B1319" s="20">
        <f>B1314-B1315-B1316-B1317+B1318</f>
        <v>7079.46174461</v>
      </c>
    </row>
    <row r="1320">
      <c r="A1320" s="17" t="inlineStr">
        <is>
          <t>VALUE PER SHARE, EGP</t>
        </is>
      </c>
      <c r="B1320" s="30">
        <f>B1319/Assumptions!$B$8</f>
        <v>5.48158090949</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9" t="inlineStr">
        <is>
          <t>Inflation index, cumulative</t>
        </is>
      </c>
      <c r="C1324" s="26">
        <f>Assumptions!$B$146</f>
        <v>1.145</v>
      </c>
      <c r="D1324" s="26">
        <f>C1324*Assumptions!$B$147</f>
        <v>1.29385</v>
      </c>
      <c r="E1324" s="26">
        <f>D1324*Assumptions!$B$148</f>
        <v>1.44264275</v>
      </c>
      <c r="F1324" s="26">
        <f>E1324*Assumptions!$B$149</f>
        <v>1.586907025</v>
      </c>
      <c r="G1324" s="26">
        <f>F1324*Assumptions!$B$150</f>
        <v>1.73766319237</v>
      </c>
    </row>
    <row r="1325">
      <c r="A1325" s="9" t="inlineStr">
        <is>
          <t>Realisation index, cumulative</t>
        </is>
      </c>
      <c r="C1325" s="26">
        <f>(1+Assumptions!$B$101*Forecast!$B$8)</f>
        <v>1.09</v>
      </c>
      <c r="D1325" s="26">
        <f>C1325*(1+Assumptions!$B$102*Forecast!$B$8)</f>
        <v>1.17175</v>
      </c>
      <c r="E1325" s="26">
        <f>D1325*(1+Assumptions!$B$103*Forecast!$B$8)</f>
        <v>1.24791375</v>
      </c>
      <c r="F1325" s="26">
        <f>E1325*(1+Assumptions!$B$104*Forecast!$B$8)</f>
        <v>1.3202927475</v>
      </c>
      <c r="G1325" s="26">
        <f>F1325*(1+Assumptions!$B$105*Forecast!$B$8)</f>
        <v>1.38894797037</v>
      </c>
    </row>
    <row r="1326">
      <c r="A1326" s="9" t="inlineStr">
        <is>
          <t xml:space="preserve">  Volume — Base and special oils, mn t</t>
        </is>
      </c>
      <c r="C1326" s="26">
        <f>'Product and Cost'!E6*(1+Assumptions!$B$106*Forecast!$B$6)</f>
        <v>0.1148851682</v>
      </c>
      <c r="D1326" s="26">
        <f>C1326*(1+Assumptions!$B$107*Forecast!$B$6)</f>
        <v>0.119480574928</v>
      </c>
      <c r="E1326" s="26">
        <f>D1326*(1+Assumptions!$B$108*Forecast!$B$6)</f>
        <v>0.12366239505</v>
      </c>
      <c r="F1326" s="26">
        <f>E1326*(1+Assumptions!$B$109*Forecast!$B$6)</f>
        <v>0.127372266902</v>
      </c>
      <c r="G1326" s="26">
        <f>F1326*(1+Assumptions!$B$110*Forecast!$B$6)</f>
        <v>0.130938690375</v>
      </c>
    </row>
    <row r="1327">
      <c r="A1327" s="9" t="inlineStr">
        <is>
          <t xml:space="preserve">  Volume — Paraffin wax, mn t</t>
        </is>
      </c>
      <c r="C1327" s="26">
        <f>'Product and Cost'!E7*(1+Assumptions!$B$111*Forecast!$B$6)</f>
        <v>0.089396788</v>
      </c>
      <c r="D1327" s="26">
        <f>C1327*(1+Assumptions!$B$112*Forecast!$B$6)</f>
        <v>0.09431361134</v>
      </c>
      <c r="E1327" s="26">
        <f>D1327*(1+Assumptions!$B$113*Forecast!$B$6)</f>
        <v>0.0985577238503</v>
      </c>
      <c r="F1327" s="26">
        <f>E1327*(1+Assumptions!$B$114*Forecast!$B$6)</f>
        <v>0.102302917357</v>
      </c>
      <c r="G1327" s="26">
        <f>F1327*(1+Assumptions!$B$115*Forecast!$B$6)</f>
        <v>0.105576610712</v>
      </c>
    </row>
    <row r="1328">
      <c r="A1328" s="9" t="inlineStr">
        <is>
          <t xml:space="preserve">  Volume — Gas oil, mn t</t>
        </is>
      </c>
      <c r="C1328" s="26">
        <f>'Product and Cost'!E8*(1+Assumptions!$B$116*Forecast!$B$6)</f>
        <v>0.35023715724</v>
      </c>
      <c r="D1328" s="26">
        <f>C1328*(1+Assumptions!$B$117*Forecast!$B$6)</f>
        <v>0.357241900385</v>
      </c>
      <c r="E1328" s="26">
        <f>D1328*(1+Assumptions!$B$118*Forecast!$B$6)</f>
        <v>0.363672254592</v>
      </c>
      <c r="F1328" s="26">
        <f>E1328*(1+Assumptions!$B$119*Forecast!$B$6)</f>
        <v>0.369491010665</v>
      </c>
      <c r="G1328" s="26">
        <f>F1328*(1+Assumptions!$B$120*Forecast!$B$6)</f>
        <v>0.375033375825</v>
      </c>
    </row>
    <row r="1329">
      <c r="A1329" s="9" t="inlineStr">
        <is>
          <t xml:space="preserve">  Volume — Naphtha, mn t</t>
        </is>
      </c>
      <c r="C1329" s="26">
        <f>'Product and Cost'!E9*(1+Assumptions!$B$121*Forecast!$B$6)</f>
        <v>0.08410463971</v>
      </c>
      <c r="D1329" s="26">
        <f>C1329*(1+Assumptions!$B$122*Forecast!$B$6)</f>
        <v>0.0856185232248</v>
      </c>
      <c r="E1329" s="26">
        <f>D1329*(1+Assumptions!$B$123*Forecast!$B$6)</f>
        <v>0.0871596566428</v>
      </c>
      <c r="F1329" s="26">
        <f>E1329*(1+Assumptions!$B$124*Forecast!$B$6)</f>
        <v>0.0885542111491</v>
      </c>
      <c r="G1329" s="26">
        <f>F1329*(1+Assumptions!$B$125*Forecast!$B$6)</f>
        <v>0.0898825243163</v>
      </c>
    </row>
    <row r="1330">
      <c r="A1330" s="9" t="inlineStr">
        <is>
          <t xml:space="preserve">  Volume — Liquefied petroleum gas, mn t</t>
        </is>
      </c>
      <c r="C1330" s="26">
        <f>'Product and Cost'!E10*(1+Assumptions!$B$126*Forecast!$B$6)</f>
        <v>0.0486583449</v>
      </c>
      <c r="D1330" s="26">
        <f>C1330*(1+Assumptions!$B$127*Forecast!$B$6)</f>
        <v>0.0497288284878</v>
      </c>
      <c r="E1330" s="26">
        <f>D1330*(1+Assumptions!$B$128*Forecast!$B$6)</f>
        <v>0.0507234050576</v>
      </c>
      <c r="F1330" s="26">
        <f>E1330*(1+Assumptions!$B$129*Forecast!$B$6)</f>
        <v>0.0516364263486</v>
      </c>
      <c r="G1330" s="26">
        <f>F1330*(1+Assumptions!$B$130*Forecast!$B$6)</f>
        <v>0.0524626091702</v>
      </c>
    </row>
    <row r="1331">
      <c r="A1331" s="9" t="inlineStr">
        <is>
          <t xml:space="preserve">  Volume — Fuel oil (mix), mn t</t>
        </is>
      </c>
      <c r="C1331" s="26">
        <f>'Product and Cost'!E11*(1+Assumptions!$B$131*Forecast!$B$6)</f>
        <v>0.947916416</v>
      </c>
      <c r="D1331" s="26">
        <f>C1331*(1+Assumptions!$B$132*Forecast!$B$6)</f>
        <v>0.972562242816</v>
      </c>
      <c r="E1331" s="26">
        <f>D1331*(1+Assumptions!$B$133*Forecast!$B$6)</f>
        <v>0.993958612158</v>
      </c>
      <c r="F1331" s="26">
        <f>E1331*(1+Assumptions!$B$134*Forecast!$B$6)</f>
        <v>1.0138377844</v>
      </c>
      <c r="G1331" s="26">
        <f>F1331*(1+Assumptions!$B$135*Forecast!$B$6)</f>
        <v>1.03208686452</v>
      </c>
    </row>
    <row r="1332">
      <c r="A1332" s="9" t="inlineStr">
        <is>
          <t xml:space="preserve">  Volume — Heavy fuel oil, mn t</t>
        </is>
      </c>
      <c r="C1332" s="26">
        <f>'Product and Cost'!E12*(1+Assumptions!$B$136*Forecast!$B$6)</f>
        <v>0.0292281408</v>
      </c>
      <c r="D1332" s="26">
        <f>C1332*(1+Assumptions!$B$137*Forecast!$B$6)</f>
        <v>0.0297542473344</v>
      </c>
      <c r="E1332" s="26">
        <f>D1332*(1+Assumptions!$B$138*Forecast!$B$6)</f>
        <v>0.0302303152918</v>
      </c>
      <c r="F1332" s="26">
        <f>E1332*(1+Assumptions!$B$139*Forecast!$B$6)</f>
        <v>0.0306837700211</v>
      </c>
      <c r="G1332" s="26">
        <f>F1332*(1+Assumptions!$B$140*Forecast!$B$6)</f>
        <v>0.0311133428014</v>
      </c>
    </row>
    <row r="1333">
      <c r="A1333" s="9" t="inlineStr">
        <is>
          <t xml:space="preserve">  Volume — Waste, mn t</t>
        </is>
      </c>
      <c r="C1333" s="26">
        <f>'Product and Cost'!E13*(1+Assumptions!$B$141*Forecast!$B$6)</f>
        <v>1.564e-05</v>
      </c>
      <c r="D1333" s="26">
        <f>C1333*(1+Assumptions!$B$142*Forecast!$B$6)</f>
        <v>1.564e-05</v>
      </c>
      <c r="E1333" s="26">
        <f>D1333*(1+Assumptions!$B$143*Forecast!$B$6)</f>
        <v>1.564e-05</v>
      </c>
      <c r="F1333" s="26">
        <f>E1333*(1+Assumptions!$B$144*Forecast!$B$6)</f>
        <v>1.564e-05</v>
      </c>
      <c r="G1333" s="26">
        <f>F1333*(1+Assumptions!$B$145*Forecast!$B$6)</f>
        <v>1.564e-05</v>
      </c>
    </row>
    <row r="1334">
      <c r="A1334" s="17" t="inlineStr">
        <is>
          <t>Total volume, mn t</t>
        </is>
      </c>
      <c r="C1334" s="28">
        <f>SUM(C1326:C1333)</f>
        <v>1.66444229485</v>
      </c>
      <c r="D1334" s="28">
        <f>SUM(D1326:D1333)</f>
        <v>1.70871556852</v>
      </c>
      <c r="E1334" s="28">
        <f>SUM(E1326:E1333)</f>
        <v>1.74798000264</v>
      </c>
      <c r="F1334" s="28">
        <f>SUM(F1326:F1333)</f>
        <v>1.78389402684</v>
      </c>
      <c r="G1334" s="28">
        <f>SUM(G1326:G1333)</f>
        <v>1.81710965772</v>
      </c>
    </row>
    <row r="1335">
      <c r="A1335" s="17" t="inlineStr">
        <is>
          <t>REVENUE</t>
        </is>
      </c>
      <c r="C1335" s="20">
        <f>C1326*'Product and Cost'!$F$6*C1325+C1327*'Product and Cost'!$F$7*C1325+C1328*'Product and Cost'!$F$8*C1325+C1329*'Product and Cost'!$F$9*C1325+C1330*'Product and Cost'!$F$10*C1325+C1331*'Product and Cost'!$F$11*C1325+C1332*'Product and Cost'!$F$12*C1325+C1333*'Product and Cost'!$F$13*C1325</f>
        <v>52840.8111141</v>
      </c>
      <c r="D1335" s="20">
        <f>D1326*'Product and Cost'!$F$6*D1325+D1327*'Product and Cost'!$F$7*D1325+D1328*'Product and Cost'!$F$8*D1325+D1329*'Product and Cost'!$F$9*D1325+D1330*'Product and Cost'!$F$10*D1325+D1331*'Product and Cost'!$F$11*D1325+D1332*'Product and Cost'!$F$12*D1325+D1333*'Product and Cost'!$F$13*D1325</f>
        <v>58432.1672543</v>
      </c>
      <c r="E1335" s="20">
        <f>E1326*'Product and Cost'!$F$6*E1325+E1327*'Product and Cost'!$F$7*E1325+E1328*'Product and Cost'!$F$8*E1325+E1329*'Product and Cost'!$F$9*E1325+E1330*'Product and Cost'!$F$10*E1325+E1331*'Product and Cost'!$F$11*E1325+E1332*'Product and Cost'!$F$12*E1325+E1333*'Product and Cost'!$F$13*E1325</f>
        <v>63772.6371781</v>
      </c>
      <c r="F1335" s="20">
        <f>F1326*'Product and Cost'!$F$6*F1325+F1327*'Product and Cost'!$F$7*F1325+F1328*'Product and Cost'!$F$8*F1325+F1329*'Product and Cost'!$F$9*F1325+F1330*'Product and Cost'!$F$10*F1325+F1331*'Product and Cost'!$F$11*F1325+F1332*'Product and Cost'!$F$12*F1325+F1333*'Product and Cost'!$F$13*F1325</f>
        <v>68952.1790369</v>
      </c>
      <c r="G1335" s="20">
        <f>G1326*'Product and Cost'!$F$6*G1325+G1327*'Product and Cost'!$F$7*G1325+G1328*'Product and Cost'!$F$8*G1325+G1329*'Product and Cost'!$F$9*G1325+G1330*'Product and Cost'!$F$10*G1325+G1331*'Product and Cost'!$F$11*G1325+G1332*'Product and Cost'!$F$12*G1325+G1333*'Product and Cost'!$F$13*G1325</f>
        <v>73977.8431827</v>
      </c>
    </row>
    <row r="1336">
      <c r="A1336" s="9" t="inlineStr">
        <is>
          <t>Cost of sales</t>
        </is>
      </c>
      <c r="C1336" s="18">
        <f>C1326*('Product and Cost'!$D$27*C1325*Assumptions!$B$88+'Product and Cost'!$B$27*(0.4863620081*C1324+0.4455809638*C1324+0.0356254898*C1325+0.0324315384))+C1327*('Product and Cost'!$D$28*C1325*Assumptions!$B$88+'Product and Cost'!$B$28*(0.4863620081*C1324+0.4455809638*C1324+0.0356254898*C1325+0.0324315384))+C1328*('Product and Cost'!$D$29*C1325*Assumptions!$B$88+'Product and Cost'!$B$29*(0.4863620081*C1324+0.4455809638*C1324+0.0356254898*C1325+0.0324315384))+C1329*('Product and Cost'!$D$30*C1325*Assumptions!$B$88+'Product and Cost'!$B$30*(0.4863620081*C1324+0.4455809638*C1324+0.0356254898*C1325+0.0324315384))+C1330*('Product and Cost'!$D$31*C1325*Assumptions!$B$88+'Product and Cost'!$B$31*(0.4863620081*C1324+0.4455809638*C1324+0.0356254898*C1325+0.0324315384))+C1331*('Product and Cost'!$D$32*C1325*Assumptions!$B$88+'Product and Cost'!$B$32*(0.4863620081*C1324+0.4455809638*C1324+0.0356254898*C1325+0.0324315384))+C1332*('Product and Cost'!$D$33*C1325*Assumptions!$B$88+'Product and Cost'!$B$33*(0.4863620081*C1324+0.4455809638*C1324+0.0356254898*C1325+0.0324315384))+C1333*('Product and Cost'!$D$34*C1325*Assumptions!$B$88+'Product and Cost'!$B$34*(0.4863620081*C1324+0.4455809638*C1324+0.0356254898*C1325+0.0324315384))</f>
        <v>48291.1604712</v>
      </c>
      <c r="D1336" s="18">
        <f>D1326*('Product and Cost'!$D$27*D1325*Assumptions!$B$88+'Product and Cost'!$B$27*(0.4863620081*D1324+0.4455809638*D1324+0.0356254898*D1325+0.0324315384))+D1327*('Product and Cost'!$D$28*D1325*Assumptions!$B$88+'Product and Cost'!$B$28*(0.4863620081*D1324+0.4455809638*D1324+0.0356254898*D1325+0.0324315384))+D1328*('Product and Cost'!$D$29*D1325*Assumptions!$B$88+'Product and Cost'!$B$29*(0.4863620081*D1324+0.4455809638*D1324+0.0356254898*D1325+0.0324315384))+D1329*('Product and Cost'!$D$30*D1325*Assumptions!$B$88+'Product and Cost'!$B$30*(0.4863620081*D1324+0.4455809638*D1324+0.0356254898*D1325+0.0324315384))+D1330*('Product and Cost'!$D$31*D1325*Assumptions!$B$88+'Product and Cost'!$B$31*(0.4863620081*D1324+0.4455809638*D1324+0.0356254898*D1325+0.0324315384))+D1331*('Product and Cost'!$D$32*D1325*Assumptions!$B$88+'Product and Cost'!$B$32*(0.4863620081*D1324+0.4455809638*D1324+0.0356254898*D1325+0.0324315384))+D1332*('Product and Cost'!$D$33*D1325*Assumptions!$B$88+'Product and Cost'!$B$33*(0.4863620081*D1324+0.4455809638*D1324+0.0356254898*D1325+0.0324315384))+D1333*('Product and Cost'!$D$34*D1325*Assumptions!$B$88+'Product and Cost'!$B$34*(0.4863620081*D1324+0.4455809638*D1324+0.0356254898*D1325+0.0324315384))</f>
        <v>53647.9823219</v>
      </c>
      <c r="E1336" s="18">
        <f>E1326*('Product and Cost'!$D$27*E1325*Assumptions!$B$88+'Product and Cost'!$B$27*(0.4863620081*E1324+0.4455809638*E1324+0.0356254898*E1325+0.0324315384))+E1327*('Product and Cost'!$D$28*E1325*Assumptions!$B$88+'Product and Cost'!$B$28*(0.4863620081*E1324+0.4455809638*E1324+0.0356254898*E1325+0.0324315384))+E1328*('Product and Cost'!$D$29*E1325*Assumptions!$B$88+'Product and Cost'!$B$29*(0.4863620081*E1324+0.4455809638*E1324+0.0356254898*E1325+0.0324315384))+E1329*('Product and Cost'!$D$30*E1325*Assumptions!$B$88+'Product and Cost'!$B$30*(0.4863620081*E1324+0.4455809638*E1324+0.0356254898*E1325+0.0324315384))+E1330*('Product and Cost'!$D$31*E1325*Assumptions!$B$88+'Product and Cost'!$B$31*(0.4863620081*E1324+0.4455809638*E1324+0.0356254898*E1325+0.0324315384))+E1331*('Product and Cost'!$D$32*E1325*Assumptions!$B$88+'Product and Cost'!$B$32*(0.4863620081*E1324+0.4455809638*E1324+0.0356254898*E1325+0.0324315384))+E1332*('Product and Cost'!$D$33*E1325*Assumptions!$B$88+'Product and Cost'!$B$33*(0.4863620081*E1324+0.4455809638*E1324+0.0356254898*E1325+0.0324315384))+E1333*('Product and Cost'!$D$34*E1325*Assumptions!$B$88+'Product and Cost'!$B$34*(0.4863620081*E1324+0.4455809638*E1324+0.0356254898*E1325+0.0324315384))</f>
        <v>58815.4011786</v>
      </c>
      <c r="F1336" s="18">
        <f>F1326*('Product and Cost'!$D$27*F1325*Assumptions!$B$88+'Product and Cost'!$B$27*(0.4863620081*F1324+0.4455809638*F1324+0.0356254898*F1325+0.0324315384))+F1327*('Product and Cost'!$D$28*F1325*Assumptions!$B$88+'Product and Cost'!$B$28*(0.4863620081*F1324+0.4455809638*F1324+0.0356254898*F1325+0.0324315384))+F1328*('Product and Cost'!$D$29*F1325*Assumptions!$B$88+'Product and Cost'!$B$29*(0.4863620081*F1324+0.4455809638*F1324+0.0356254898*F1325+0.0324315384))+F1329*('Product and Cost'!$D$30*F1325*Assumptions!$B$88+'Product and Cost'!$B$30*(0.4863620081*F1324+0.4455809638*F1324+0.0356254898*F1325+0.0324315384))+F1330*('Product and Cost'!$D$31*F1325*Assumptions!$B$88+'Product and Cost'!$B$31*(0.4863620081*F1324+0.4455809638*F1324+0.0356254898*F1325+0.0324315384))+F1331*('Product and Cost'!$D$32*F1325*Assumptions!$B$88+'Product and Cost'!$B$32*(0.4863620081*F1324+0.4455809638*F1324+0.0356254898*F1325+0.0324315384))+F1332*('Product and Cost'!$D$33*F1325*Assumptions!$B$88+'Product and Cost'!$B$33*(0.4863620081*F1324+0.4455809638*F1324+0.0356254898*F1325+0.0324315384))+F1333*('Product and Cost'!$D$34*F1325*Assumptions!$B$88+'Product and Cost'!$B$34*(0.4863620081*F1324+0.4455809638*F1324+0.0356254898*F1325+0.0324315384))</f>
        <v>63847.5732702</v>
      </c>
      <c r="G1336" s="18">
        <f>G1326*('Product and Cost'!$D$27*G1325*Assumptions!$B$88+'Product and Cost'!$B$27*(0.4863620081*G1324+0.4455809638*G1324+0.0356254898*G1325+0.0324315384))+G1327*('Product and Cost'!$D$28*G1325*Assumptions!$B$88+'Product and Cost'!$B$28*(0.4863620081*G1324+0.4455809638*G1324+0.0356254898*G1325+0.0324315384))+G1328*('Product and Cost'!$D$29*G1325*Assumptions!$B$88+'Product and Cost'!$B$29*(0.4863620081*G1324+0.4455809638*G1324+0.0356254898*G1325+0.0324315384))+G1329*('Product and Cost'!$D$30*G1325*Assumptions!$B$88+'Product and Cost'!$B$30*(0.4863620081*G1324+0.4455809638*G1324+0.0356254898*G1325+0.0324315384))+G1330*('Product and Cost'!$D$31*G1325*Assumptions!$B$88+'Product and Cost'!$B$31*(0.4863620081*G1324+0.4455809638*G1324+0.0356254898*G1325+0.0324315384))+G1331*('Product and Cost'!$D$32*G1325*Assumptions!$B$88+'Product and Cost'!$B$32*(0.4863620081*G1324+0.4455809638*G1324+0.0356254898*G1325+0.0324315384))+G1332*('Product and Cost'!$D$33*G1325*Assumptions!$B$88+'Product and Cost'!$B$33*(0.4863620081*G1324+0.4455809638*G1324+0.0356254898*G1325+0.0324315384))+G1333*('Product and Cost'!$D$34*G1325*Assumptions!$B$88+'Product and Cost'!$B$34*(0.4863620081*G1324+0.4455809638*G1324+0.0356254898*G1325+0.0324315384))</f>
        <v>68797.1859175</v>
      </c>
    </row>
    <row r="1337">
      <c r="A1337" s="17" t="inlineStr">
        <is>
          <t>GROSS PROFIT</t>
        </is>
      </c>
      <c r="C1337" s="20">
        <f>C1335-C1336+Forecast!$B$7*C1335</f>
        <v>4549.65064286</v>
      </c>
      <c r="D1337" s="20">
        <f>D1335-D1336+Forecast!$B$7*D1335</f>
        <v>4784.18493236</v>
      </c>
      <c r="E1337" s="20">
        <f>E1335-E1336+Forecast!$B$7*E1335</f>
        <v>4957.23599944</v>
      </c>
      <c r="F1337" s="20">
        <f>F1335-F1336+Forecast!$B$7*F1335</f>
        <v>5104.60576669</v>
      </c>
      <c r="G1337" s="20">
        <f>G1335-G1336+Forecast!$B$7*G1335</f>
        <v>5180.65726511</v>
      </c>
    </row>
    <row r="1338">
      <c r="A1338" s="9" t="inlineStr">
        <is>
          <t>Gross margin</t>
        </is>
      </c>
      <c r="C1338" s="19">
        <f>C1337/C1335</f>
        <v>0.0861010750391</v>
      </c>
      <c r="D1338" s="19">
        <f>D1337/D1335</f>
        <v>0.0818758768871</v>
      </c>
      <c r="E1338" s="19">
        <f>E1337/E1335</f>
        <v>0.0777329622672</v>
      </c>
      <c r="F1338" s="19">
        <f>F1337/F1335</f>
        <v>0.0740311015255</v>
      </c>
      <c r="G1338" s="19">
        <f>G1337/G1335</f>
        <v>0.0700298500501</v>
      </c>
    </row>
    <row r="1339">
      <c r="A1339" s="9" t="inlineStr">
        <is>
          <t>Operating expense</t>
        </is>
      </c>
      <c r="C1339" s="18">
        <f>('Base Year'!$B$28*C1324)+('Base Year'!$B$29*C1324*C1334/'Product and Cost'!$E$14)+('Base Year'!$B$30*C1324)+('Base Year'!$B$31*C1324)</f>
        <v>2007.6668112</v>
      </c>
      <c r="D1339" s="18">
        <f>('Base Year'!$B$28*D1324)+('Base Year'!$B$29*D1324*D1334/'Product and Cost'!$E$14)+('Base Year'!$B$30*D1324)+('Base Year'!$B$31*D1324)</f>
        <v>2276.29775955</v>
      </c>
      <c r="E1339" s="18">
        <f>('Base Year'!$B$28*E1324)+('Base Year'!$B$29*E1324*E1334/'Product and Cost'!$E$14)+('Base Year'!$B$30*E1324)+('Base Year'!$B$31*E1324)</f>
        <v>2545.62118024</v>
      </c>
      <c r="F1339" s="18">
        <f>('Base Year'!$B$28*F1324)+('Base Year'!$B$29*F1324*F1334/'Product and Cost'!$E$14)+('Base Year'!$B$30*F1324)+('Base Year'!$B$31*F1324)</f>
        <v>2807.77881104</v>
      </c>
      <c r="G1339" s="18">
        <f>('Base Year'!$B$28*G1324)+('Base Year'!$B$29*G1324*G1334/'Product and Cost'!$E$14)+('Base Year'!$B$30*G1324)+('Base Year'!$B$31*G1324)</f>
        <v>3082.20998189</v>
      </c>
    </row>
    <row r="1340">
      <c r="A1340" s="17" t="inlineStr">
        <is>
          <t>EBITDA</t>
        </is>
      </c>
      <c r="C1340" s="20">
        <f>C1337-C1339</f>
        <v>2541.98383166</v>
      </c>
      <c r="D1340" s="20">
        <f>D1337-D1339</f>
        <v>2507.88717281</v>
      </c>
      <c r="E1340" s="20">
        <f>E1337-E1339</f>
        <v>2411.6148192</v>
      </c>
      <c r="F1340" s="20">
        <f>F1337-F1339</f>
        <v>2296.82695565</v>
      </c>
      <c r="G1340" s="20">
        <f>G1337-G1339</f>
        <v>2098.44728323</v>
      </c>
    </row>
    <row r="1341">
      <c r="A1341" s="9" t="inlineStr">
        <is>
          <t>Capital expenditure — maintenance + growth</t>
        </is>
      </c>
      <c r="C1341" s="18">
        <f>'Base Year'!$B$43*C1324+MAX(C1334-'Product and Cost'!$E$14,0)*1947.901031*C1324</f>
        <v>280.931999159</v>
      </c>
      <c r="D1341" s="18">
        <f>'Base Year'!$B$43*D1324+MAX(D1334-C1334,0)*1947.901031*D1324</f>
        <v>307.3675836</v>
      </c>
      <c r="E1341" s="18">
        <f>'Base Year'!$B$43*E1324+MAX(E1334-D1334,0)*1947.901031*E1324</f>
        <v>328.639389001</v>
      </c>
      <c r="F1341" s="18">
        <f>'Base Year'!$B$43*F1324+MAX(F1334-E1334,0)*1947.901031*F1324</f>
        <v>351.146749034</v>
      </c>
      <c r="G1341" s="18">
        <f>'Base Year'!$B$43*G1324+MAX(G1334-F1334,0)*1947.901031*G1324</f>
        <v>375.372179467</v>
      </c>
    </row>
    <row r="1342">
      <c r="A1342" s="9" t="inlineStr">
        <is>
          <t>Fixed assets at cost, closing</t>
        </is>
      </c>
      <c r="C1342" s="18">
        <f>(Assumptions!$B$70+Assumptions!$B$71)/10^6+C1341</f>
        <v>3429.06589416</v>
      </c>
      <c r="D1342" s="18">
        <f>C1342+D1341</f>
        <v>3736.43347776</v>
      </c>
      <c r="E1342" s="18">
        <f>D1342+E1341</f>
        <v>4065.07286676</v>
      </c>
      <c r="F1342" s="18">
        <f>E1342+F1341</f>
        <v>4416.21961579</v>
      </c>
      <c r="G1342" s="18">
        <f>F1342+G1341</f>
        <v>4791.59179526</v>
      </c>
    </row>
    <row r="1343">
      <c r="A1343" s="9" t="inlineStr">
        <is>
          <t>Depreciation — rolls off the asset register</t>
        </is>
      </c>
      <c r="C1343" s="18">
        <f>(Assumptions!$B$70+Assumptions!$B$71)/10^6/'Base Year'!$B$42</f>
        <v>173.808854481</v>
      </c>
      <c r="D1343" s="18">
        <f>C1342/'Base Year'!$B$42</f>
        <v>189.319144255</v>
      </c>
      <c r="E1343" s="18">
        <f>D1342/'Base Year'!$B$42</f>
        <v>206.288945856</v>
      </c>
      <c r="F1343" s="18">
        <f>E1342/'Base Year'!$B$42</f>
        <v>224.433166415</v>
      </c>
      <c r="G1343" s="18">
        <f>F1342/'Base Year'!$B$42</f>
        <v>243.820021053</v>
      </c>
    </row>
    <row r="1344">
      <c r="A1344" s="9" t="inlineStr">
        <is>
          <t>Fixed assets, net book, closing</t>
        </is>
      </c>
      <c r="C1344" s="18">
        <f>(Assumptions!$B$69+Assumptions!$B$71)/10^6+C1341-C1343</f>
        <v>1407.46262168</v>
      </c>
      <c r="D1344" s="18">
        <f>C1344+D1341-D1343</f>
        <v>1525.51106102</v>
      </c>
      <c r="E1344" s="18">
        <f>D1344+E1341-E1343</f>
        <v>1647.86150417</v>
      </c>
      <c r="F1344" s="18">
        <f>E1344+F1341-F1343</f>
        <v>1774.57508679</v>
      </c>
      <c r="G1344" s="18">
        <f>F1344+G1341-G1343</f>
        <v>1906.1272452</v>
      </c>
    </row>
    <row r="1345">
      <c r="A1345" s="17" t="inlineStr">
        <is>
          <t>EBIT</t>
        </is>
      </c>
      <c r="C1345" s="20">
        <f>C1340-C1343</f>
        <v>2368.17497718</v>
      </c>
      <c r="D1345" s="20">
        <f>D1340-D1343</f>
        <v>2318.56802856</v>
      </c>
      <c r="E1345" s="20">
        <f>E1340-E1343</f>
        <v>2205.32587334</v>
      </c>
      <c r="F1345" s="20">
        <f>F1340-F1343</f>
        <v>2072.39378923</v>
      </c>
      <c r="G1345" s="20">
        <f>G1340-G1343</f>
        <v>1854.62726217</v>
      </c>
    </row>
    <row r="1346">
      <c r="A1346" s="9" t="inlineStr">
        <is>
          <t>NOPAT before the profit share</t>
        </is>
      </c>
      <c r="C1346" s="18">
        <f>C1345*(1-Assumptions!$B$87)</f>
        <v>1835.33560732</v>
      </c>
      <c r="D1346" s="18">
        <f>D1345*(1-Assumptions!$B$87)</f>
        <v>1796.89022213</v>
      </c>
      <c r="E1346" s="18">
        <f>E1345*(1-Assumptions!$B$87)</f>
        <v>1709.12755184</v>
      </c>
      <c r="F1346" s="18">
        <f>F1345*(1-Assumptions!$B$87)</f>
        <v>1606.10518666</v>
      </c>
      <c r="G1346" s="18">
        <f>G1345*(1-Assumptions!$B$87)</f>
        <v>1437.33612818</v>
      </c>
    </row>
    <row r="1347">
      <c r="A1347" s="9" t="inlineStr">
        <is>
          <t xml:space="preserve">  less employees' profit share and board bonuses</t>
        </is>
      </c>
      <c r="C1347" s="18">
        <f>MAX(C1346,0)*'Base Year'!$B$40</f>
        <v>96.7608009272</v>
      </c>
      <c r="D1347" s="18">
        <f>MAX(D1346,0)*'Base Year'!$B$40</f>
        <v>94.7339202588</v>
      </c>
      <c r="E1347" s="18">
        <f>MAX(E1346,0)*'Base Year'!$B$40</f>
        <v>90.1069810576</v>
      </c>
      <c r="F1347" s="18">
        <f>MAX(F1346,0)*'Base Year'!$B$40</f>
        <v>84.6755348801</v>
      </c>
      <c r="G1347" s="18">
        <f>MAX(G1346,0)*'Base Year'!$B$40</f>
        <v>75.7778546933</v>
      </c>
    </row>
    <row r="1348">
      <c r="A1348" s="17" t="inlineStr">
        <is>
          <t>NOPAT</t>
        </is>
      </c>
      <c r="C1348" s="20">
        <f>C1346-C1347</f>
        <v>1738.57480639</v>
      </c>
      <c r="D1348" s="20">
        <f>D1346-D1347</f>
        <v>1702.15630187</v>
      </c>
      <c r="E1348" s="20">
        <f>E1346-E1347</f>
        <v>1619.02057078</v>
      </c>
      <c r="F1348" s="20">
        <f>F1346-F1347</f>
        <v>1521.42965178</v>
      </c>
      <c r="G1348" s="20">
        <f>G1346-G1347</f>
        <v>1361.55827349</v>
      </c>
    </row>
    <row r="1349">
      <c r="A1349" s="9" t="inlineStr">
        <is>
          <t>Net working capital — on days</t>
        </is>
      </c>
      <c r="C1349" s="18">
        <f>'Base Year'!$B$44*Forecast!$B$9/365*C1336+'Base Year'!$B$45*Forecast!$B$9/365*C1335-'Base Year'!$B$46*Forecast!$B$9/365*C1336</f>
        <v>2539.69193722</v>
      </c>
      <c r="D1349" s="18">
        <f>'Base Year'!$B$44*Forecast!$B$9/365*D1336+'Base Year'!$B$45*Forecast!$B$9/365*D1335-'Base Year'!$B$46*Forecast!$B$9/365*D1336</f>
        <v>2816.01103091</v>
      </c>
      <c r="E1349" s="18">
        <f>'Base Year'!$B$44*Forecast!$B$9/365*E1336+'Base Year'!$B$45*Forecast!$B$9/365*E1335-'Base Year'!$B$46*Forecast!$B$9/365*E1336</f>
        <v>3081.49643011</v>
      </c>
      <c r="F1349" s="18">
        <f>'Base Year'!$B$44*Forecast!$B$9/365*F1336+'Base Year'!$B$45*Forecast!$B$9/365*F1335-'Base Year'!$B$46*Forecast!$B$9/365*F1336</f>
        <v>3339.61025534</v>
      </c>
      <c r="G1349" s="18">
        <f>'Base Year'!$B$44*Forecast!$B$9/365*G1336+'Base Year'!$B$45*Forecast!$B$9/365*G1335-'Base Year'!$B$46*Forecast!$B$9/365*G1336</f>
        <v>3592.11140979</v>
      </c>
    </row>
    <row r="1350">
      <c r="A1350" s="9" t="inlineStr">
        <is>
          <t xml:space="preserve">  change in working capital</t>
        </is>
      </c>
      <c r="C1350" s="18">
        <f>C1349-('Base Year'!$B$44/365*'Base Year'!$B$21+'Base Year'!$B$45/365*'Base Year'!$B$19-'Base Year'!$B$46/365*'Base Year'!$B$21)</f>
        <v>288.28964822</v>
      </c>
      <c r="D1350" s="18">
        <f>D1349-C1349</f>
        <v>276.319093691</v>
      </c>
      <c r="E1350" s="18">
        <f>E1349-D1349</f>
        <v>265.485399203</v>
      </c>
      <c r="F1350" s="18">
        <f>F1349-E1349</f>
        <v>258.113825222</v>
      </c>
      <c r="G1350" s="18">
        <f>G1349-F1349</f>
        <v>252.501154457</v>
      </c>
    </row>
    <row r="1351">
      <c r="A1351" s="17" t="inlineStr">
        <is>
          <t>FREE CASH FLOW TO THE FIRM</t>
        </is>
      </c>
      <c r="C1351" s="20">
        <f>C1348+C1343-C1341-C1350</f>
        <v>1343.16201349</v>
      </c>
      <c r="D1351" s="20">
        <f>D1348+D1343-D1341-D1350</f>
        <v>1307.78876884</v>
      </c>
      <c r="E1351" s="20">
        <f>E1348+E1343-E1341-E1350</f>
        <v>1231.18472844</v>
      </c>
      <c r="F1351" s="20">
        <f>F1348+F1343-F1341-F1350</f>
        <v>1136.60224393</v>
      </c>
      <c r="G1351" s="20">
        <f>G1348+G1343-G1341-G1350</f>
        <v>977.504960621</v>
      </c>
    </row>
    <row r="1352">
      <c r="A1352" s="9" t="inlineStr">
        <is>
          <t>Glide fraction</t>
        </is>
      </c>
      <c r="C1352" s="26">
        <f>0.0000000000</f>
        <v>0</v>
      </c>
      <c r="D1352" s="26">
        <f>0.3571428571</f>
        <v>0.3571428571</v>
      </c>
      <c r="E1352" s="26">
        <f>0.6428571429</f>
        <v>0.6428571429</v>
      </c>
      <c r="F1352" s="26">
        <f>0.8571428571</f>
        <v>0.8571428571</v>
      </c>
      <c r="G1352" s="26">
        <f>1.0000000000</f>
        <v>1</v>
      </c>
    </row>
    <row r="1353">
      <c r="A1353" s="9" t="inlineStr">
        <is>
          <t>Forward cost of capital</t>
        </is>
      </c>
      <c r="C1353" s="19">
        <f>Forecast!$B$14-(Forecast!$B$14-Forecast!$B$17)*C1352</f>
        <v>0.31578338914</v>
      </c>
      <c r="D1353" s="19">
        <f>Forecast!$B$14-(Forecast!$B$14-Forecast!$B$17)*D1352</f>
        <v>0.268515637955</v>
      </c>
      <c r="E1353" s="19">
        <f>Forecast!$B$14-(Forecast!$B$14-Forecast!$B$17)*E1352</f>
        <v>0.230701436991</v>
      </c>
      <c r="F1353" s="19">
        <f>Forecast!$B$14-(Forecast!$B$14-Forecast!$B$17)*F1352</f>
        <v>0.202340786287</v>
      </c>
      <c r="G1353" s="19">
        <f>Forecast!$B$14-(Forecast!$B$14-Forecast!$B$17)*G1352</f>
        <v>0.183433685805</v>
      </c>
    </row>
    <row r="1354">
      <c r="A1354" s="9" t="inlineStr">
        <is>
          <t>Cumulative discount factor</t>
        </is>
      </c>
      <c r="C1354" s="29">
        <f>1/(1+C1353)</f>
        <v>0.760003514449</v>
      </c>
      <c r="D1354" s="29">
        <f>C1354/(1+D1353)</f>
        <v>0.599128218612</v>
      </c>
      <c r="E1354" s="29">
        <f>D1354/(1+E1353)</f>
        <v>0.486818492775</v>
      </c>
      <c r="F1354" s="29">
        <f>E1354/(1+F1353)</f>
        <v>0.404892272081</v>
      </c>
      <c r="G1354" s="29">
        <f>F1354/(1+G1353)</f>
        <v>0.342133468852</v>
      </c>
    </row>
    <row r="1355">
      <c r="A1355" s="9" t="inlineStr">
        <is>
          <t>Present value</t>
        </is>
      </c>
      <c r="C1355" s="18">
        <f>C1351*C1354</f>
        <v>1020.80785073</v>
      </c>
      <c r="D1355" s="18">
        <f>D1351*D1354</f>
        <v>783.533155394</v>
      </c>
      <c r="E1355" s="18">
        <f>E1351*E1354</f>
        <v>599.363493825</v>
      </c>
      <c r="F1355" s="18">
        <f>F1351*F1354</f>
        <v>460.201464998</v>
      </c>
      <c r="G1355" s="18">
        <f>G1351*G1354</f>
        <v>334.437162997</v>
      </c>
    </row>
    <row r="1356">
      <c r="A1356" s="17" t="inlineStr">
        <is>
          <t>PV of the explicit window</t>
        </is>
      </c>
      <c r="B1356" s="20">
        <f>SUM(C1355:G1355)</f>
        <v>3198.34312794</v>
      </c>
      <c r="C1356" s="18">
        <f>C1349+C1342</f>
        <v>5968.75783138</v>
      </c>
      <c r="D1356" s="18">
        <f>D1349+D1342</f>
        <v>6552.44450867</v>
      </c>
      <c r="E1356" s="18">
        <f>E1349+E1342</f>
        <v>7146.56929687</v>
      </c>
      <c r="F1356" s="18">
        <f>F1349+F1342</f>
        <v>7755.82987113</v>
      </c>
      <c r="G1356" s="18">
        <f>G1349+G1342</f>
        <v>8383.70320505</v>
      </c>
    </row>
    <row r="1357">
      <c r="A1357" s="9" t="inlineStr">
        <is>
          <t>Terminal return on invested capital, at REPLACEMENT cost</t>
        </is>
      </c>
      <c r="B1357" s="19">
        <f>G1348*(1+$H$42)/G1356</f>
        <v>0.168901566503</v>
      </c>
    </row>
    <row r="1358">
      <c r="A1358" s="9" t="inlineStr">
        <is>
          <t>Required reinvestment = growth / return</t>
        </is>
      </c>
      <c r="B1358" s="19">
        <f>MIN($H$42/B1357,0.95)</f>
        <v>0.236824328087</v>
      </c>
    </row>
    <row r="1359">
      <c r="A1359" s="9" t="inlineStr">
        <is>
          <t>Terminal value</t>
        </is>
      </c>
      <c r="B1359" s="18">
        <f>G1348*(1+$H$42)*(1-B1358)/MAX(Forecast!$B$17-$H$42,0.02)</f>
        <v>7534.30039924</v>
      </c>
    </row>
    <row r="1360">
      <c r="A1360" s="9" t="inlineStr">
        <is>
          <t>PV of the terminal block</t>
        </is>
      </c>
      <c r="B1360" s="18">
        <f>B1359*G1354</f>
        <v>2577.73633096</v>
      </c>
    </row>
    <row r="1361">
      <c r="A1361" s="17" t="inlineStr">
        <is>
          <t>ENTERPRISE VALUE</t>
        </is>
      </c>
      <c r="B1361" s="20">
        <f>B1356+B1360</f>
        <v>5776.07945891</v>
      </c>
    </row>
    <row r="1362">
      <c r="A1362" s="9" t="inlineStr">
        <is>
          <t>plus net cash</t>
        </is>
      </c>
      <c r="B1362" s="18">
        <f>(Assumptions!$B$79-Assumptions!$B$82-Assumptions!$B$83)/10^6</f>
        <v>2442.544928</v>
      </c>
    </row>
    <row r="1363">
      <c r="A1363" s="9" t="inlineStr">
        <is>
          <t>Enterprise value including cash</t>
        </is>
      </c>
      <c r="B1363" s="18">
        <f>B1361+B1362</f>
        <v>8218.62438691</v>
      </c>
    </row>
    <row r="1364">
      <c r="A1364" s="9" t="inlineStr">
        <is>
          <t>less minority — on the WHOLE enterprise, cash included</t>
        </is>
      </c>
      <c r="B1364" s="18">
        <f>B1363*'Base Year'!$B$41</f>
        <v>267.78285835</v>
      </c>
    </row>
    <row r="1365">
      <c r="A1365" s="9" t="inlineStr">
        <is>
          <t>less the tax-disputes provision</t>
        </is>
      </c>
      <c r="B1365" s="18">
        <f>Assumptions!$B$78/10^6</f>
        <v>921.440353</v>
      </c>
    </row>
    <row r="1366">
      <c r="A1366" s="9" t="inlineStr">
        <is>
          <t>less dividends payable — declared, out of working capital</t>
        </is>
      </c>
      <c r="B1366" s="18">
        <f>Assumptions!$B$77/10^6</f>
        <v>517.25</v>
      </c>
    </row>
    <row r="1367">
      <c r="A1367" s="9" t="inlineStr">
        <is>
          <t>plus non-operating investments and pledged deposits</t>
        </is>
      </c>
      <c r="B1367" s="18">
        <f>(Assumptions!$B$81+Assumptions!$B$80)/10^6</f>
        <v>578.358746</v>
      </c>
    </row>
    <row r="1368">
      <c r="A1368" s="17" t="inlineStr">
        <is>
          <t>EQUITY ATTRIBUTABLE</t>
        </is>
      </c>
      <c r="B1368" s="20">
        <f>B1363-B1364-B1365-B1366+B1367</f>
        <v>7090.50992156</v>
      </c>
    </row>
    <row r="1369">
      <c r="A1369" s="17" t="inlineStr">
        <is>
          <t>VALUE PER SHARE, EGP</t>
        </is>
      </c>
      <c r="B1369" s="30">
        <f>B1368/Assumptions!$B$8</f>
        <v>5.49013544062</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9" t="inlineStr">
        <is>
          <t>Inflation index, cumulative</t>
        </is>
      </c>
      <c r="C1373" s="26">
        <f>Assumptions!$B$146</f>
        <v>1.145</v>
      </c>
      <c r="D1373" s="26">
        <f>C1373*Assumptions!$B$147</f>
        <v>1.29385</v>
      </c>
      <c r="E1373" s="26">
        <f>D1373*Assumptions!$B$148</f>
        <v>1.44264275</v>
      </c>
      <c r="F1373" s="26">
        <f>E1373*Assumptions!$B$149</f>
        <v>1.586907025</v>
      </c>
      <c r="G1373" s="26">
        <f>F1373*Assumptions!$B$150</f>
        <v>1.73766319237</v>
      </c>
    </row>
    <row r="1374">
      <c r="A1374" s="9" t="inlineStr">
        <is>
          <t>Realisation index, cumulative</t>
        </is>
      </c>
      <c r="C1374" s="26">
        <f>(1+Assumptions!$B$101*Forecast!$B$8)</f>
        <v>1.09</v>
      </c>
      <c r="D1374" s="26">
        <f>C1374*(1+Assumptions!$B$102*Forecast!$B$8)</f>
        <v>1.17175</v>
      </c>
      <c r="E1374" s="26">
        <f>D1374*(1+Assumptions!$B$103*Forecast!$B$8)</f>
        <v>1.24791375</v>
      </c>
      <c r="F1374" s="26">
        <f>E1374*(1+Assumptions!$B$104*Forecast!$B$8)</f>
        <v>1.3202927475</v>
      </c>
      <c r="G1374" s="26">
        <f>F1374*(1+Assumptions!$B$105*Forecast!$B$8)</f>
        <v>1.38894797037</v>
      </c>
    </row>
    <row r="1375">
      <c r="A1375" s="9" t="inlineStr">
        <is>
          <t xml:space="preserve">  Volume — Base and special oils, mn t</t>
        </is>
      </c>
      <c r="C1375" s="26">
        <f>'Product and Cost'!E6*(1+Assumptions!$B$106*Forecast!$B$6)</f>
        <v>0.1148851682</v>
      </c>
      <c r="D1375" s="26">
        <f>C1375*(1+Assumptions!$B$107*Forecast!$B$6)</f>
        <v>0.119480574928</v>
      </c>
      <c r="E1375" s="26">
        <f>D1375*(1+Assumptions!$B$108*Forecast!$B$6)</f>
        <v>0.12366239505</v>
      </c>
      <c r="F1375" s="26">
        <f>E1375*(1+Assumptions!$B$109*Forecast!$B$6)</f>
        <v>0.127372266902</v>
      </c>
      <c r="G1375" s="26">
        <f>F1375*(1+Assumptions!$B$110*Forecast!$B$6)</f>
        <v>0.130938690375</v>
      </c>
    </row>
    <row r="1376">
      <c r="A1376" s="9" t="inlineStr">
        <is>
          <t xml:space="preserve">  Volume — Paraffin wax, mn t</t>
        </is>
      </c>
      <c r="C1376" s="26">
        <f>'Product and Cost'!E7*(1+Assumptions!$B$111*Forecast!$B$6)</f>
        <v>0.089396788</v>
      </c>
      <c r="D1376" s="26">
        <f>C1376*(1+Assumptions!$B$112*Forecast!$B$6)</f>
        <v>0.09431361134</v>
      </c>
      <c r="E1376" s="26">
        <f>D1376*(1+Assumptions!$B$113*Forecast!$B$6)</f>
        <v>0.0985577238503</v>
      </c>
      <c r="F1376" s="26">
        <f>E1376*(1+Assumptions!$B$114*Forecast!$B$6)</f>
        <v>0.102302917357</v>
      </c>
      <c r="G1376" s="26">
        <f>F1376*(1+Assumptions!$B$115*Forecast!$B$6)</f>
        <v>0.105576610712</v>
      </c>
    </row>
    <row r="1377">
      <c r="A1377" s="9" t="inlineStr">
        <is>
          <t xml:space="preserve">  Volume — Gas oil, mn t</t>
        </is>
      </c>
      <c r="C1377" s="26">
        <f>'Product and Cost'!E8*(1+Assumptions!$B$116*Forecast!$B$6)</f>
        <v>0.35023715724</v>
      </c>
      <c r="D1377" s="26">
        <f>C1377*(1+Assumptions!$B$117*Forecast!$B$6)</f>
        <v>0.357241900385</v>
      </c>
      <c r="E1377" s="26">
        <f>D1377*(1+Assumptions!$B$118*Forecast!$B$6)</f>
        <v>0.363672254592</v>
      </c>
      <c r="F1377" s="26">
        <f>E1377*(1+Assumptions!$B$119*Forecast!$B$6)</f>
        <v>0.369491010665</v>
      </c>
      <c r="G1377" s="26">
        <f>F1377*(1+Assumptions!$B$120*Forecast!$B$6)</f>
        <v>0.375033375825</v>
      </c>
    </row>
    <row r="1378">
      <c r="A1378" s="9" t="inlineStr">
        <is>
          <t xml:space="preserve">  Volume — Naphtha, mn t</t>
        </is>
      </c>
      <c r="C1378" s="26">
        <f>'Product and Cost'!E9*(1+Assumptions!$B$121*Forecast!$B$6)</f>
        <v>0.08410463971</v>
      </c>
      <c r="D1378" s="26">
        <f>C1378*(1+Assumptions!$B$122*Forecast!$B$6)</f>
        <v>0.0856185232248</v>
      </c>
      <c r="E1378" s="26">
        <f>D1378*(1+Assumptions!$B$123*Forecast!$B$6)</f>
        <v>0.0871596566428</v>
      </c>
      <c r="F1378" s="26">
        <f>E1378*(1+Assumptions!$B$124*Forecast!$B$6)</f>
        <v>0.0885542111491</v>
      </c>
      <c r="G1378" s="26">
        <f>F1378*(1+Assumptions!$B$125*Forecast!$B$6)</f>
        <v>0.0898825243163</v>
      </c>
    </row>
    <row r="1379">
      <c r="A1379" s="9" t="inlineStr">
        <is>
          <t xml:space="preserve">  Volume — Liquefied petroleum gas, mn t</t>
        </is>
      </c>
      <c r="C1379" s="26">
        <f>'Product and Cost'!E10*(1+Assumptions!$B$126*Forecast!$B$6)</f>
        <v>0.0486583449</v>
      </c>
      <c r="D1379" s="26">
        <f>C1379*(1+Assumptions!$B$127*Forecast!$B$6)</f>
        <v>0.0497288284878</v>
      </c>
      <c r="E1379" s="26">
        <f>D1379*(1+Assumptions!$B$128*Forecast!$B$6)</f>
        <v>0.0507234050576</v>
      </c>
      <c r="F1379" s="26">
        <f>E1379*(1+Assumptions!$B$129*Forecast!$B$6)</f>
        <v>0.0516364263486</v>
      </c>
      <c r="G1379" s="26">
        <f>F1379*(1+Assumptions!$B$130*Forecast!$B$6)</f>
        <v>0.0524626091702</v>
      </c>
    </row>
    <row r="1380">
      <c r="A1380" s="9" t="inlineStr">
        <is>
          <t xml:space="preserve">  Volume — Fuel oil (mix), mn t</t>
        </is>
      </c>
      <c r="C1380" s="26">
        <f>'Product and Cost'!E11*(1+Assumptions!$B$131*Forecast!$B$6)</f>
        <v>0.947916416</v>
      </c>
      <c r="D1380" s="26">
        <f>C1380*(1+Assumptions!$B$132*Forecast!$B$6)</f>
        <v>0.972562242816</v>
      </c>
      <c r="E1380" s="26">
        <f>D1380*(1+Assumptions!$B$133*Forecast!$B$6)</f>
        <v>0.993958612158</v>
      </c>
      <c r="F1380" s="26">
        <f>E1380*(1+Assumptions!$B$134*Forecast!$B$6)</f>
        <v>1.0138377844</v>
      </c>
      <c r="G1380" s="26">
        <f>F1380*(1+Assumptions!$B$135*Forecast!$B$6)</f>
        <v>1.03208686452</v>
      </c>
    </row>
    <row r="1381">
      <c r="A1381" s="9" t="inlineStr">
        <is>
          <t xml:space="preserve">  Volume — Heavy fuel oil, mn t</t>
        </is>
      </c>
      <c r="C1381" s="26">
        <f>'Product and Cost'!E12*(1+Assumptions!$B$136*Forecast!$B$6)</f>
        <v>0.0292281408</v>
      </c>
      <c r="D1381" s="26">
        <f>C1381*(1+Assumptions!$B$137*Forecast!$B$6)</f>
        <v>0.0297542473344</v>
      </c>
      <c r="E1381" s="26">
        <f>D1381*(1+Assumptions!$B$138*Forecast!$B$6)</f>
        <v>0.0302303152918</v>
      </c>
      <c r="F1381" s="26">
        <f>E1381*(1+Assumptions!$B$139*Forecast!$B$6)</f>
        <v>0.0306837700211</v>
      </c>
      <c r="G1381" s="26">
        <f>F1381*(1+Assumptions!$B$140*Forecast!$B$6)</f>
        <v>0.0311133428014</v>
      </c>
    </row>
    <row r="1382">
      <c r="A1382" s="9" t="inlineStr">
        <is>
          <t xml:space="preserve">  Volume — Waste, mn t</t>
        </is>
      </c>
      <c r="C1382" s="26">
        <f>'Product and Cost'!E13*(1+Assumptions!$B$141*Forecast!$B$6)</f>
        <v>1.564e-05</v>
      </c>
      <c r="D1382" s="26">
        <f>C1382*(1+Assumptions!$B$142*Forecast!$B$6)</f>
        <v>1.564e-05</v>
      </c>
      <c r="E1382" s="26">
        <f>D1382*(1+Assumptions!$B$143*Forecast!$B$6)</f>
        <v>1.564e-05</v>
      </c>
      <c r="F1382" s="26">
        <f>E1382*(1+Assumptions!$B$144*Forecast!$B$6)</f>
        <v>1.564e-05</v>
      </c>
      <c r="G1382" s="26">
        <f>F1382*(1+Assumptions!$B$145*Forecast!$B$6)</f>
        <v>1.564e-05</v>
      </c>
    </row>
    <row r="1383">
      <c r="A1383" s="17" t="inlineStr">
        <is>
          <t>Total volume, mn t</t>
        </is>
      </c>
      <c r="C1383" s="28">
        <f>SUM(C1375:C1382)</f>
        <v>1.66444229485</v>
      </c>
      <c r="D1383" s="28">
        <f>SUM(D1375:D1382)</f>
        <v>1.70871556852</v>
      </c>
      <c r="E1383" s="28">
        <f>SUM(E1375:E1382)</f>
        <v>1.74798000264</v>
      </c>
      <c r="F1383" s="28">
        <f>SUM(F1375:F1382)</f>
        <v>1.78389402684</v>
      </c>
      <c r="G1383" s="28">
        <f>SUM(G1375:G1382)</f>
        <v>1.81710965772</v>
      </c>
    </row>
    <row r="1384">
      <c r="A1384" s="17" t="inlineStr">
        <is>
          <t>REVENUE</t>
        </is>
      </c>
      <c r="C1384" s="20">
        <f>C1375*'Product and Cost'!$F$6*C1374+C1376*'Product and Cost'!$F$7*C1374+C1377*'Product and Cost'!$F$8*C1374+C1378*'Product and Cost'!$F$9*C1374+C1379*'Product and Cost'!$F$10*C1374+C1380*'Product and Cost'!$F$11*C1374+C1381*'Product and Cost'!$F$12*C1374+C1382*'Product and Cost'!$F$13*C1374</f>
        <v>52840.8111141</v>
      </c>
      <c r="D1384" s="20">
        <f>D1375*'Product and Cost'!$F$6*D1374+D1376*'Product and Cost'!$F$7*D1374+D1377*'Product and Cost'!$F$8*D1374+D1378*'Product and Cost'!$F$9*D1374+D1379*'Product and Cost'!$F$10*D1374+D1380*'Product and Cost'!$F$11*D1374+D1381*'Product and Cost'!$F$12*D1374+D1382*'Product and Cost'!$F$13*D1374</f>
        <v>58432.1672543</v>
      </c>
      <c r="E1384" s="20">
        <f>E1375*'Product and Cost'!$F$6*E1374+E1376*'Product and Cost'!$F$7*E1374+E1377*'Product and Cost'!$F$8*E1374+E1378*'Product and Cost'!$F$9*E1374+E1379*'Product and Cost'!$F$10*E1374+E1380*'Product and Cost'!$F$11*E1374+E1381*'Product and Cost'!$F$12*E1374+E1382*'Product and Cost'!$F$13*E1374</f>
        <v>63772.6371781</v>
      </c>
      <c r="F1384" s="20">
        <f>F1375*'Product and Cost'!$F$6*F1374+F1376*'Product and Cost'!$F$7*F1374+F1377*'Product and Cost'!$F$8*F1374+F1378*'Product and Cost'!$F$9*F1374+F1379*'Product and Cost'!$F$10*F1374+F1380*'Product and Cost'!$F$11*F1374+F1381*'Product and Cost'!$F$12*F1374+F1382*'Product and Cost'!$F$13*F1374</f>
        <v>68952.1790369</v>
      </c>
      <c r="G1384" s="20">
        <f>G1375*'Product and Cost'!$F$6*G1374+G1376*'Product and Cost'!$F$7*G1374+G1377*'Product and Cost'!$F$8*G1374+G1378*'Product and Cost'!$F$9*G1374+G1379*'Product and Cost'!$F$10*G1374+G1380*'Product and Cost'!$F$11*G1374+G1381*'Product and Cost'!$F$12*G1374+G1382*'Product and Cost'!$F$13*G1374</f>
        <v>73977.8431827</v>
      </c>
    </row>
    <row r="1385">
      <c r="A1385" s="9" t="inlineStr">
        <is>
          <t>Cost of sales</t>
        </is>
      </c>
      <c r="C1385" s="18">
        <f>C1375*('Product and Cost'!$D$27*C1374*Assumptions!$B$88+'Product and Cost'!$B$27*(0.4863620081*C1373+0.4455809638*C1373+0.0356254898*C1374+0.0324315384))+C1376*('Product and Cost'!$D$28*C1374*Assumptions!$B$88+'Product and Cost'!$B$28*(0.4863620081*C1373+0.4455809638*C1373+0.0356254898*C1374+0.0324315384))+C1377*('Product and Cost'!$D$29*C1374*Assumptions!$B$88+'Product and Cost'!$B$29*(0.4863620081*C1373+0.4455809638*C1373+0.0356254898*C1374+0.0324315384))+C1378*('Product and Cost'!$D$30*C1374*Assumptions!$B$88+'Product and Cost'!$B$30*(0.4863620081*C1373+0.4455809638*C1373+0.0356254898*C1374+0.0324315384))+C1379*('Product and Cost'!$D$31*C1374*Assumptions!$B$88+'Product and Cost'!$B$31*(0.4863620081*C1373+0.4455809638*C1373+0.0356254898*C1374+0.0324315384))+C1380*('Product and Cost'!$D$32*C1374*Assumptions!$B$88+'Product and Cost'!$B$32*(0.4863620081*C1373+0.4455809638*C1373+0.0356254898*C1374+0.0324315384))+C1381*('Product and Cost'!$D$33*C1374*Assumptions!$B$88+'Product and Cost'!$B$33*(0.4863620081*C1373+0.4455809638*C1373+0.0356254898*C1374+0.0324315384))+C1382*('Product and Cost'!$D$34*C1374*Assumptions!$B$88+'Product and Cost'!$B$34*(0.4863620081*C1373+0.4455809638*C1373+0.0356254898*C1374+0.0324315384))</f>
        <v>48291.1604712</v>
      </c>
      <c r="D1385" s="18">
        <f>D1375*('Product and Cost'!$D$27*D1374*Assumptions!$B$88+'Product and Cost'!$B$27*(0.4863620081*D1373+0.4455809638*D1373+0.0356254898*D1374+0.0324315384))+D1376*('Product and Cost'!$D$28*D1374*Assumptions!$B$88+'Product and Cost'!$B$28*(0.4863620081*D1373+0.4455809638*D1373+0.0356254898*D1374+0.0324315384))+D1377*('Product and Cost'!$D$29*D1374*Assumptions!$B$88+'Product and Cost'!$B$29*(0.4863620081*D1373+0.4455809638*D1373+0.0356254898*D1374+0.0324315384))+D1378*('Product and Cost'!$D$30*D1374*Assumptions!$B$88+'Product and Cost'!$B$30*(0.4863620081*D1373+0.4455809638*D1373+0.0356254898*D1374+0.0324315384))+D1379*('Product and Cost'!$D$31*D1374*Assumptions!$B$88+'Product and Cost'!$B$31*(0.4863620081*D1373+0.4455809638*D1373+0.0356254898*D1374+0.0324315384))+D1380*('Product and Cost'!$D$32*D1374*Assumptions!$B$88+'Product and Cost'!$B$32*(0.4863620081*D1373+0.4455809638*D1373+0.0356254898*D1374+0.0324315384))+D1381*('Product and Cost'!$D$33*D1374*Assumptions!$B$88+'Product and Cost'!$B$33*(0.4863620081*D1373+0.4455809638*D1373+0.0356254898*D1374+0.0324315384))+D1382*('Product and Cost'!$D$34*D1374*Assumptions!$B$88+'Product and Cost'!$B$34*(0.4863620081*D1373+0.4455809638*D1373+0.0356254898*D1374+0.0324315384))</f>
        <v>53647.9823219</v>
      </c>
      <c r="E1385" s="18">
        <f>E1375*('Product and Cost'!$D$27*E1374*Assumptions!$B$88+'Product and Cost'!$B$27*(0.4863620081*E1373+0.4455809638*E1373+0.0356254898*E1374+0.0324315384))+E1376*('Product and Cost'!$D$28*E1374*Assumptions!$B$88+'Product and Cost'!$B$28*(0.4863620081*E1373+0.4455809638*E1373+0.0356254898*E1374+0.0324315384))+E1377*('Product and Cost'!$D$29*E1374*Assumptions!$B$88+'Product and Cost'!$B$29*(0.4863620081*E1373+0.4455809638*E1373+0.0356254898*E1374+0.0324315384))+E1378*('Product and Cost'!$D$30*E1374*Assumptions!$B$88+'Product and Cost'!$B$30*(0.4863620081*E1373+0.4455809638*E1373+0.0356254898*E1374+0.0324315384))+E1379*('Product and Cost'!$D$31*E1374*Assumptions!$B$88+'Product and Cost'!$B$31*(0.4863620081*E1373+0.4455809638*E1373+0.0356254898*E1374+0.0324315384))+E1380*('Product and Cost'!$D$32*E1374*Assumptions!$B$88+'Product and Cost'!$B$32*(0.4863620081*E1373+0.4455809638*E1373+0.0356254898*E1374+0.0324315384))+E1381*('Product and Cost'!$D$33*E1374*Assumptions!$B$88+'Product and Cost'!$B$33*(0.4863620081*E1373+0.4455809638*E1373+0.0356254898*E1374+0.0324315384))+E1382*('Product and Cost'!$D$34*E1374*Assumptions!$B$88+'Product and Cost'!$B$34*(0.4863620081*E1373+0.4455809638*E1373+0.0356254898*E1374+0.0324315384))</f>
        <v>58815.4011786</v>
      </c>
      <c r="F1385" s="18">
        <f>F1375*('Product and Cost'!$D$27*F1374*Assumptions!$B$88+'Product and Cost'!$B$27*(0.4863620081*F1373+0.4455809638*F1373+0.0356254898*F1374+0.0324315384))+F1376*('Product and Cost'!$D$28*F1374*Assumptions!$B$88+'Product and Cost'!$B$28*(0.4863620081*F1373+0.4455809638*F1373+0.0356254898*F1374+0.0324315384))+F1377*('Product and Cost'!$D$29*F1374*Assumptions!$B$88+'Product and Cost'!$B$29*(0.4863620081*F1373+0.4455809638*F1373+0.0356254898*F1374+0.0324315384))+F1378*('Product and Cost'!$D$30*F1374*Assumptions!$B$88+'Product and Cost'!$B$30*(0.4863620081*F1373+0.4455809638*F1373+0.0356254898*F1374+0.0324315384))+F1379*('Product and Cost'!$D$31*F1374*Assumptions!$B$88+'Product and Cost'!$B$31*(0.4863620081*F1373+0.4455809638*F1373+0.0356254898*F1374+0.0324315384))+F1380*('Product and Cost'!$D$32*F1374*Assumptions!$B$88+'Product and Cost'!$B$32*(0.4863620081*F1373+0.4455809638*F1373+0.0356254898*F1374+0.0324315384))+F1381*('Product and Cost'!$D$33*F1374*Assumptions!$B$88+'Product and Cost'!$B$33*(0.4863620081*F1373+0.4455809638*F1373+0.0356254898*F1374+0.0324315384))+F1382*('Product and Cost'!$D$34*F1374*Assumptions!$B$88+'Product and Cost'!$B$34*(0.4863620081*F1373+0.4455809638*F1373+0.0356254898*F1374+0.0324315384))</f>
        <v>63847.5732702</v>
      </c>
      <c r="G1385" s="18">
        <f>G1375*('Product and Cost'!$D$27*G1374*Assumptions!$B$88+'Product and Cost'!$B$27*(0.4863620081*G1373+0.4455809638*G1373+0.0356254898*G1374+0.0324315384))+G1376*('Product and Cost'!$D$28*G1374*Assumptions!$B$88+'Product and Cost'!$B$28*(0.4863620081*G1373+0.4455809638*G1373+0.0356254898*G1374+0.0324315384))+G1377*('Product and Cost'!$D$29*G1374*Assumptions!$B$88+'Product and Cost'!$B$29*(0.4863620081*G1373+0.4455809638*G1373+0.0356254898*G1374+0.0324315384))+G1378*('Product and Cost'!$D$30*G1374*Assumptions!$B$88+'Product and Cost'!$B$30*(0.4863620081*G1373+0.4455809638*G1373+0.0356254898*G1374+0.0324315384))+G1379*('Product and Cost'!$D$31*G1374*Assumptions!$B$88+'Product and Cost'!$B$31*(0.4863620081*G1373+0.4455809638*G1373+0.0356254898*G1374+0.0324315384))+G1380*('Product and Cost'!$D$32*G1374*Assumptions!$B$88+'Product and Cost'!$B$32*(0.4863620081*G1373+0.4455809638*G1373+0.0356254898*G1374+0.0324315384))+G1381*('Product and Cost'!$D$33*G1374*Assumptions!$B$88+'Product and Cost'!$B$33*(0.4863620081*G1373+0.4455809638*G1373+0.0356254898*G1374+0.0324315384))+G1382*('Product and Cost'!$D$34*G1374*Assumptions!$B$88+'Product and Cost'!$B$34*(0.4863620081*G1373+0.4455809638*G1373+0.0356254898*G1374+0.0324315384))</f>
        <v>68797.1859175</v>
      </c>
    </row>
    <row r="1386">
      <c r="A1386" s="17" t="inlineStr">
        <is>
          <t>GROSS PROFIT</t>
        </is>
      </c>
      <c r="C1386" s="20">
        <f>C1384-C1385+Forecast!$B$7*C1384</f>
        <v>4549.65064286</v>
      </c>
      <c r="D1386" s="20">
        <f>D1384-D1385+Forecast!$B$7*D1384</f>
        <v>4784.18493236</v>
      </c>
      <c r="E1386" s="20">
        <f>E1384-E1385+Forecast!$B$7*E1384</f>
        <v>4957.23599944</v>
      </c>
      <c r="F1386" s="20">
        <f>F1384-F1385+Forecast!$B$7*F1384</f>
        <v>5104.60576669</v>
      </c>
      <c r="G1386" s="20">
        <f>G1384-G1385+Forecast!$B$7*G1384</f>
        <v>5180.65726511</v>
      </c>
    </row>
    <row r="1387">
      <c r="A1387" s="9" t="inlineStr">
        <is>
          <t>Gross margin</t>
        </is>
      </c>
      <c r="C1387" s="19">
        <f>C1386/C1384</f>
        <v>0.0861010750391</v>
      </c>
      <c r="D1387" s="19">
        <f>D1386/D1384</f>
        <v>0.0818758768871</v>
      </c>
      <c r="E1387" s="19">
        <f>E1386/E1384</f>
        <v>0.0777329622672</v>
      </c>
      <c r="F1387" s="19">
        <f>F1386/F1384</f>
        <v>0.0740311015255</v>
      </c>
      <c r="G1387" s="19">
        <f>G1386/G1384</f>
        <v>0.0700298500501</v>
      </c>
    </row>
    <row r="1388">
      <c r="A1388" s="9" t="inlineStr">
        <is>
          <t>Operating expense</t>
        </is>
      </c>
      <c r="C1388" s="18">
        <f>('Base Year'!$B$28*C1373)+('Base Year'!$B$29*C1373*C1383/'Product and Cost'!$E$14)+('Base Year'!$B$30*C1373)+('Base Year'!$B$31*C1373)</f>
        <v>2007.6668112</v>
      </c>
      <c r="D1388" s="18">
        <f>('Base Year'!$B$28*D1373)+('Base Year'!$B$29*D1373*D1383/'Product and Cost'!$E$14)+('Base Year'!$B$30*D1373)+('Base Year'!$B$31*D1373)</f>
        <v>2276.29775955</v>
      </c>
      <c r="E1388" s="18">
        <f>('Base Year'!$B$28*E1373)+('Base Year'!$B$29*E1373*E1383/'Product and Cost'!$E$14)+('Base Year'!$B$30*E1373)+('Base Year'!$B$31*E1373)</f>
        <v>2545.62118024</v>
      </c>
      <c r="F1388" s="18">
        <f>('Base Year'!$B$28*F1373)+('Base Year'!$B$29*F1373*F1383/'Product and Cost'!$E$14)+('Base Year'!$B$30*F1373)+('Base Year'!$B$31*F1373)</f>
        <v>2807.77881104</v>
      </c>
      <c r="G1388" s="18">
        <f>('Base Year'!$B$28*G1373)+('Base Year'!$B$29*G1373*G1383/'Product and Cost'!$E$14)+('Base Year'!$B$30*G1373)+('Base Year'!$B$31*G1373)</f>
        <v>3082.20998189</v>
      </c>
    </row>
    <row r="1389">
      <c r="A1389" s="17" t="inlineStr">
        <is>
          <t>EBITDA</t>
        </is>
      </c>
      <c r="C1389" s="20">
        <f>C1386-C1388</f>
        <v>2541.98383166</v>
      </c>
      <c r="D1389" s="20">
        <f>D1386-D1388</f>
        <v>2507.88717281</v>
      </c>
      <c r="E1389" s="20">
        <f>E1386-E1388</f>
        <v>2411.6148192</v>
      </c>
      <c r="F1389" s="20">
        <f>F1386-F1388</f>
        <v>2296.82695565</v>
      </c>
      <c r="G1389" s="20">
        <f>G1386-G1388</f>
        <v>2098.44728323</v>
      </c>
    </row>
    <row r="1390">
      <c r="A1390" s="9" t="inlineStr">
        <is>
          <t>Capital expenditure — maintenance + growth</t>
        </is>
      </c>
      <c r="C1390" s="18">
        <f>'Base Year'!$B$43*C1373+MAX(C1383-'Product and Cost'!$E$14,0)*1947.901031*C1373</f>
        <v>280.931999159</v>
      </c>
      <c r="D1390" s="18">
        <f>'Base Year'!$B$43*D1373+MAX(D1383-C1383,0)*1947.901031*D1373</f>
        <v>307.3675836</v>
      </c>
      <c r="E1390" s="18">
        <f>'Base Year'!$B$43*E1373+MAX(E1383-D1383,0)*1947.901031*E1373</f>
        <v>328.639389001</v>
      </c>
      <c r="F1390" s="18">
        <f>'Base Year'!$B$43*F1373+MAX(F1383-E1383,0)*1947.901031*F1373</f>
        <v>351.146749034</v>
      </c>
      <c r="G1390" s="18">
        <f>'Base Year'!$B$43*G1373+MAX(G1383-F1383,0)*1947.901031*G1373</f>
        <v>375.372179467</v>
      </c>
    </row>
    <row r="1391">
      <c r="A1391" s="9" t="inlineStr">
        <is>
          <t>Fixed assets at cost, closing</t>
        </is>
      </c>
      <c r="C1391" s="18">
        <f>(Assumptions!$B$70+Assumptions!$B$71)/10^6+C1390</f>
        <v>3429.06589416</v>
      </c>
      <c r="D1391" s="18">
        <f>C1391+D1390</f>
        <v>3736.43347776</v>
      </c>
      <c r="E1391" s="18">
        <f>D1391+E1390</f>
        <v>4065.07286676</v>
      </c>
      <c r="F1391" s="18">
        <f>E1391+F1390</f>
        <v>4416.21961579</v>
      </c>
      <c r="G1391" s="18">
        <f>F1391+G1390</f>
        <v>4791.59179526</v>
      </c>
    </row>
    <row r="1392">
      <c r="A1392" s="9" t="inlineStr">
        <is>
          <t>Depreciation — rolls off the asset register</t>
        </is>
      </c>
      <c r="C1392" s="18">
        <f>(Assumptions!$B$70+Assumptions!$B$71)/10^6/'Base Year'!$B$42</f>
        <v>173.808854481</v>
      </c>
      <c r="D1392" s="18">
        <f>C1391/'Base Year'!$B$42</f>
        <v>189.319144255</v>
      </c>
      <c r="E1392" s="18">
        <f>D1391/'Base Year'!$B$42</f>
        <v>206.288945856</v>
      </c>
      <c r="F1392" s="18">
        <f>E1391/'Base Year'!$B$42</f>
        <v>224.433166415</v>
      </c>
      <c r="G1392" s="18">
        <f>F1391/'Base Year'!$B$42</f>
        <v>243.820021053</v>
      </c>
    </row>
    <row r="1393">
      <c r="A1393" s="9" t="inlineStr">
        <is>
          <t>Fixed assets, net book, closing</t>
        </is>
      </c>
      <c r="C1393" s="18">
        <f>(Assumptions!$B$69+Assumptions!$B$71)/10^6+C1390-C1392</f>
        <v>1407.46262168</v>
      </c>
      <c r="D1393" s="18">
        <f>C1393+D1390-D1392</f>
        <v>1525.51106102</v>
      </c>
      <c r="E1393" s="18">
        <f>D1393+E1390-E1392</f>
        <v>1647.86150417</v>
      </c>
      <c r="F1393" s="18">
        <f>E1393+F1390-F1392</f>
        <v>1774.57508679</v>
      </c>
      <c r="G1393" s="18">
        <f>F1393+G1390-G1392</f>
        <v>1906.1272452</v>
      </c>
    </row>
    <row r="1394">
      <c r="A1394" s="17" t="inlineStr">
        <is>
          <t>EBIT</t>
        </is>
      </c>
      <c r="C1394" s="20">
        <f>C1389-C1392</f>
        <v>2368.17497718</v>
      </c>
      <c r="D1394" s="20">
        <f>D1389-D1392</f>
        <v>2318.56802856</v>
      </c>
      <c r="E1394" s="20">
        <f>E1389-E1392</f>
        <v>2205.32587334</v>
      </c>
      <c r="F1394" s="20">
        <f>F1389-F1392</f>
        <v>2072.39378923</v>
      </c>
      <c r="G1394" s="20">
        <f>G1389-G1392</f>
        <v>1854.62726217</v>
      </c>
    </row>
    <row r="1395">
      <c r="A1395" s="9" t="inlineStr">
        <is>
          <t>NOPAT before the profit share</t>
        </is>
      </c>
      <c r="C1395" s="18">
        <f>C1394*(1-Assumptions!$B$87)</f>
        <v>1835.33560732</v>
      </c>
      <c r="D1395" s="18">
        <f>D1394*(1-Assumptions!$B$87)</f>
        <v>1796.89022213</v>
      </c>
      <c r="E1395" s="18">
        <f>E1394*(1-Assumptions!$B$87)</f>
        <v>1709.12755184</v>
      </c>
      <c r="F1395" s="18">
        <f>F1394*(1-Assumptions!$B$87)</f>
        <v>1606.10518666</v>
      </c>
      <c r="G1395" s="18">
        <f>G1394*(1-Assumptions!$B$87)</f>
        <v>1437.33612818</v>
      </c>
    </row>
    <row r="1396">
      <c r="A1396" s="9" t="inlineStr">
        <is>
          <t xml:space="preserve">  less employees' profit share and board bonuses</t>
        </is>
      </c>
      <c r="C1396" s="18">
        <f>MAX(C1395,0)*'Base Year'!$B$40</f>
        <v>96.7608009272</v>
      </c>
      <c r="D1396" s="18">
        <f>MAX(D1395,0)*'Base Year'!$B$40</f>
        <v>94.7339202588</v>
      </c>
      <c r="E1396" s="18">
        <f>MAX(E1395,0)*'Base Year'!$B$40</f>
        <v>90.1069810576</v>
      </c>
      <c r="F1396" s="18">
        <f>MAX(F1395,0)*'Base Year'!$B$40</f>
        <v>84.6755348801</v>
      </c>
      <c r="G1396" s="18">
        <f>MAX(G1395,0)*'Base Year'!$B$40</f>
        <v>75.7778546933</v>
      </c>
    </row>
    <row r="1397">
      <c r="A1397" s="17" t="inlineStr">
        <is>
          <t>NOPAT</t>
        </is>
      </c>
      <c r="C1397" s="20">
        <f>C1395-C1396</f>
        <v>1738.57480639</v>
      </c>
      <c r="D1397" s="20">
        <f>D1395-D1396</f>
        <v>1702.15630187</v>
      </c>
      <c r="E1397" s="20">
        <f>E1395-E1396</f>
        <v>1619.02057078</v>
      </c>
      <c r="F1397" s="20">
        <f>F1395-F1396</f>
        <v>1521.42965178</v>
      </c>
      <c r="G1397" s="20">
        <f>G1395-G1396</f>
        <v>1361.55827349</v>
      </c>
    </row>
    <row r="1398">
      <c r="A1398" s="9" t="inlineStr">
        <is>
          <t>Net working capital — on days</t>
        </is>
      </c>
      <c r="C1398" s="18">
        <f>'Base Year'!$B$44*Forecast!$B$9/365*C1385+'Base Year'!$B$45*Forecast!$B$9/365*C1384-'Base Year'!$B$46*Forecast!$B$9/365*C1385</f>
        <v>2539.69193722</v>
      </c>
      <c r="D1398" s="18">
        <f>'Base Year'!$B$44*Forecast!$B$9/365*D1385+'Base Year'!$B$45*Forecast!$B$9/365*D1384-'Base Year'!$B$46*Forecast!$B$9/365*D1385</f>
        <v>2816.01103091</v>
      </c>
      <c r="E1398" s="18">
        <f>'Base Year'!$B$44*Forecast!$B$9/365*E1385+'Base Year'!$B$45*Forecast!$B$9/365*E1384-'Base Year'!$B$46*Forecast!$B$9/365*E1385</f>
        <v>3081.49643011</v>
      </c>
      <c r="F1398" s="18">
        <f>'Base Year'!$B$44*Forecast!$B$9/365*F1385+'Base Year'!$B$45*Forecast!$B$9/365*F1384-'Base Year'!$B$46*Forecast!$B$9/365*F1385</f>
        <v>3339.61025534</v>
      </c>
      <c r="G1398" s="18">
        <f>'Base Year'!$B$44*Forecast!$B$9/365*G1385+'Base Year'!$B$45*Forecast!$B$9/365*G1384-'Base Year'!$B$46*Forecast!$B$9/365*G1385</f>
        <v>3592.11140979</v>
      </c>
    </row>
    <row r="1399">
      <c r="A1399" s="9" t="inlineStr">
        <is>
          <t xml:space="preserve">  change in working capital</t>
        </is>
      </c>
      <c r="C1399" s="18">
        <f>C1398-('Base Year'!$B$44/365*'Base Year'!$B$21+'Base Year'!$B$45/365*'Base Year'!$B$19-'Base Year'!$B$46/365*'Base Year'!$B$21)</f>
        <v>288.28964822</v>
      </c>
      <c r="D1399" s="18">
        <f>D1398-C1398</f>
        <v>276.319093691</v>
      </c>
      <c r="E1399" s="18">
        <f>E1398-D1398</f>
        <v>265.485399203</v>
      </c>
      <c r="F1399" s="18">
        <f>F1398-E1398</f>
        <v>258.113825222</v>
      </c>
      <c r="G1399" s="18">
        <f>G1398-F1398</f>
        <v>252.501154457</v>
      </c>
    </row>
    <row r="1400">
      <c r="A1400" s="17" t="inlineStr">
        <is>
          <t>FREE CASH FLOW TO THE FIRM</t>
        </is>
      </c>
      <c r="C1400" s="20">
        <f>C1397+C1392-C1390-C1399</f>
        <v>1343.16201349</v>
      </c>
      <c r="D1400" s="20">
        <f>D1397+D1392-D1390-D1399</f>
        <v>1307.78876884</v>
      </c>
      <c r="E1400" s="20">
        <f>E1397+E1392-E1390-E1399</f>
        <v>1231.18472844</v>
      </c>
      <c r="F1400" s="20">
        <f>F1397+F1392-F1390-F1399</f>
        <v>1136.60224393</v>
      </c>
      <c r="G1400" s="20">
        <f>G1397+G1392-G1390-G1399</f>
        <v>977.504960621</v>
      </c>
    </row>
    <row r="1401">
      <c r="A1401" s="9" t="inlineStr">
        <is>
          <t>Glide fraction</t>
        </is>
      </c>
      <c r="C1401" s="26">
        <f>0.0000000000</f>
        <v>0</v>
      </c>
      <c r="D1401" s="26">
        <f>0.3571428571</f>
        <v>0.3571428571</v>
      </c>
      <c r="E1401" s="26">
        <f>0.6428571429</f>
        <v>0.6428571429</v>
      </c>
      <c r="F1401" s="26">
        <f>0.8571428571</f>
        <v>0.8571428571</v>
      </c>
      <c r="G1401" s="26">
        <f>1.0000000000</f>
        <v>1</v>
      </c>
    </row>
    <row r="1402">
      <c r="A1402" s="9" t="inlineStr">
        <is>
          <t>Forward cost of capital</t>
        </is>
      </c>
      <c r="C1402" s="19">
        <f>Forecast!$B$14-(Forecast!$B$14-Forecast!$B$17)*C1401</f>
        <v>0.31578338914</v>
      </c>
      <c r="D1402" s="19">
        <f>Forecast!$B$14-(Forecast!$B$14-Forecast!$B$17)*D1401</f>
        <v>0.268515637955</v>
      </c>
      <c r="E1402" s="19">
        <f>Forecast!$B$14-(Forecast!$B$14-Forecast!$B$17)*E1401</f>
        <v>0.230701436991</v>
      </c>
      <c r="F1402" s="19">
        <f>Forecast!$B$14-(Forecast!$B$14-Forecast!$B$17)*F1401</f>
        <v>0.202340786287</v>
      </c>
      <c r="G1402" s="19">
        <f>Forecast!$B$14-(Forecast!$B$14-Forecast!$B$17)*G1401</f>
        <v>0.183433685805</v>
      </c>
    </row>
    <row r="1403">
      <c r="A1403" s="9" t="inlineStr">
        <is>
          <t>Cumulative discount factor</t>
        </is>
      </c>
      <c r="C1403" s="29">
        <f>1/(1+C1402)</f>
        <v>0.760003514449</v>
      </c>
      <c r="D1403" s="29">
        <f>C1403/(1+D1402)</f>
        <v>0.599128218612</v>
      </c>
      <c r="E1403" s="29">
        <f>D1403/(1+E1402)</f>
        <v>0.486818492775</v>
      </c>
      <c r="F1403" s="29">
        <f>E1403/(1+F1402)</f>
        <v>0.404892272081</v>
      </c>
      <c r="G1403" s="29">
        <f>F1403/(1+G1402)</f>
        <v>0.342133468852</v>
      </c>
    </row>
    <row r="1404">
      <c r="A1404" s="9" t="inlineStr">
        <is>
          <t>Present value</t>
        </is>
      </c>
      <c r="C1404" s="18">
        <f>C1400*C1403</f>
        <v>1020.80785073</v>
      </c>
      <c r="D1404" s="18">
        <f>D1400*D1403</f>
        <v>783.533155394</v>
      </c>
      <c r="E1404" s="18">
        <f>E1400*E1403</f>
        <v>599.363493825</v>
      </c>
      <c r="F1404" s="18">
        <f>F1400*F1403</f>
        <v>460.201464998</v>
      </c>
      <c r="G1404" s="18">
        <f>G1400*G1403</f>
        <v>334.437162997</v>
      </c>
    </row>
    <row r="1405">
      <c r="A1405" s="17" t="inlineStr">
        <is>
          <t>PV of the explicit window</t>
        </is>
      </c>
      <c r="B1405" s="20">
        <f>SUM(C1404:G1404)</f>
        <v>3198.34312794</v>
      </c>
      <c r="C1405" s="18">
        <f>C1398+C1391</f>
        <v>5968.75783138</v>
      </c>
      <c r="D1405" s="18">
        <f>D1398+D1391</f>
        <v>6552.44450867</v>
      </c>
      <c r="E1405" s="18">
        <f>E1398+E1391</f>
        <v>7146.56929687</v>
      </c>
      <c r="F1405" s="18">
        <f>F1398+F1391</f>
        <v>7755.82987113</v>
      </c>
      <c r="G1405" s="18">
        <f>G1398+G1391</f>
        <v>8383.70320505</v>
      </c>
    </row>
    <row r="1406">
      <c r="A1406" s="9" t="inlineStr">
        <is>
          <t>Terminal return on invested capital, at REPLACEMENT cost</t>
        </is>
      </c>
      <c r="B1406" s="19">
        <f>G1397*(1+$H$43)/G1405</f>
        <v>0.170525620027</v>
      </c>
    </row>
    <row r="1407">
      <c r="A1407" s="9" t="inlineStr">
        <is>
          <t>Required reinvestment = growth / return</t>
        </is>
      </c>
      <c r="B1407" s="19">
        <f>MIN($H$43/B1406,0.95)</f>
        <v>0.29321107287</v>
      </c>
    </row>
    <row r="1408">
      <c r="A1408" s="9" t="inlineStr">
        <is>
          <t>Terminal value</t>
        </is>
      </c>
      <c r="B1408" s="18">
        <f>G1397*(1+$H$43)*(1-B1407)/MAX(Forecast!$B$17-$H$43,0.02)</f>
        <v>7572.68317077</v>
      </c>
    </row>
    <row r="1409">
      <c r="A1409" s="9" t="inlineStr">
        <is>
          <t>PV of the terminal block</t>
        </is>
      </c>
      <c r="B1409" s="18">
        <f>B1408*G1403</f>
        <v>2590.86836173</v>
      </c>
    </row>
    <row r="1410">
      <c r="A1410" s="17" t="inlineStr">
        <is>
          <t>ENTERPRISE VALUE</t>
        </is>
      </c>
      <c r="B1410" s="20">
        <f>B1405+B1409</f>
        <v>5789.21148967</v>
      </c>
    </row>
    <row r="1411">
      <c r="A1411" s="9" t="inlineStr">
        <is>
          <t>plus net cash</t>
        </is>
      </c>
      <c r="B1411" s="18">
        <f>(Assumptions!$B$79-Assumptions!$B$82-Assumptions!$B$83)/10^6</f>
        <v>2442.544928</v>
      </c>
    </row>
    <row r="1412">
      <c r="A1412" s="9" t="inlineStr">
        <is>
          <t>Enterprise value including cash</t>
        </is>
      </c>
      <c r="B1412" s="18">
        <f>B1410+B1411</f>
        <v>8231.75641767</v>
      </c>
    </row>
    <row r="1413">
      <c r="A1413" s="9" t="inlineStr">
        <is>
          <t>less minority — on the WHOLE enterprise, cash included</t>
        </is>
      </c>
      <c r="B1413" s="18">
        <f>B1412*'Base Year'!$B$41</f>
        <v>268.21073199</v>
      </c>
    </row>
    <row r="1414">
      <c r="A1414" s="9" t="inlineStr">
        <is>
          <t>less the tax-disputes provision</t>
        </is>
      </c>
      <c r="B1414" s="18">
        <f>Assumptions!$B$78/10^6</f>
        <v>921.440353</v>
      </c>
    </row>
    <row r="1415">
      <c r="A1415" s="9" t="inlineStr">
        <is>
          <t>less dividends payable — declared, out of working capital</t>
        </is>
      </c>
      <c r="B1415" s="18">
        <f>Assumptions!$B$77/10^6</f>
        <v>517.25</v>
      </c>
    </row>
    <row r="1416">
      <c r="A1416" s="9" t="inlineStr">
        <is>
          <t>plus non-operating investments and pledged deposits</t>
        </is>
      </c>
      <c r="B1416" s="18">
        <f>(Assumptions!$B$81+Assumptions!$B$80)/10^6</f>
        <v>578.358746</v>
      </c>
    </row>
    <row r="1417">
      <c r="A1417" s="17" t="inlineStr">
        <is>
          <t>EQUITY ATTRIBUTABLE</t>
        </is>
      </c>
      <c r="B1417" s="20">
        <f>B1412-B1413-B1414-B1415+B1416</f>
        <v>7103.21407868</v>
      </c>
    </row>
    <row r="1418">
      <c r="A1418" s="17" t="inlineStr">
        <is>
          <t>VALUE PER SHARE, EGP</t>
        </is>
      </c>
      <c r="B1418" s="30">
        <f>B1417/Assumptions!$B$8</f>
        <v>5.49997218636</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9" t="inlineStr">
        <is>
          <t>Inflation index, cumulative</t>
        </is>
      </c>
      <c r="C1422" s="26">
        <f>Assumptions!$B$146</f>
        <v>1.145</v>
      </c>
      <c r="D1422" s="26">
        <f>C1422*Assumptions!$B$147</f>
        <v>1.29385</v>
      </c>
      <c r="E1422" s="26">
        <f>D1422*Assumptions!$B$148</f>
        <v>1.44264275</v>
      </c>
      <c r="F1422" s="26">
        <f>E1422*Assumptions!$B$149</f>
        <v>1.586907025</v>
      </c>
      <c r="G1422" s="26">
        <f>F1422*Assumptions!$B$150</f>
        <v>1.73766319237</v>
      </c>
    </row>
    <row r="1423">
      <c r="A1423" s="9" t="inlineStr">
        <is>
          <t>Realisation index, cumulative</t>
        </is>
      </c>
      <c r="C1423" s="26">
        <f>(1+Assumptions!$B$101*Forecast!$B$8)</f>
        <v>1.09</v>
      </c>
      <c r="D1423" s="26">
        <f>C1423*(1+Assumptions!$B$102*Forecast!$B$8)</f>
        <v>1.17175</v>
      </c>
      <c r="E1423" s="26">
        <f>D1423*(1+Assumptions!$B$103*Forecast!$B$8)</f>
        <v>1.24791375</v>
      </c>
      <c r="F1423" s="26">
        <f>E1423*(1+Assumptions!$B$104*Forecast!$B$8)</f>
        <v>1.3202927475</v>
      </c>
      <c r="G1423" s="26">
        <f>F1423*(1+Assumptions!$B$105*Forecast!$B$8)</f>
        <v>1.38894797037</v>
      </c>
    </row>
    <row r="1424">
      <c r="A1424" s="9" t="inlineStr">
        <is>
          <t xml:space="preserve">  Volume — Base and special oils, mn t</t>
        </is>
      </c>
      <c r="C1424" s="26">
        <f>'Product and Cost'!E6*(1+Assumptions!$B$106*Forecast!$B$6)</f>
        <v>0.1148851682</v>
      </c>
      <c r="D1424" s="26">
        <f>C1424*(1+Assumptions!$B$107*Forecast!$B$6)</f>
        <v>0.119480574928</v>
      </c>
      <c r="E1424" s="26">
        <f>D1424*(1+Assumptions!$B$108*Forecast!$B$6)</f>
        <v>0.12366239505</v>
      </c>
      <c r="F1424" s="26">
        <f>E1424*(1+Assumptions!$B$109*Forecast!$B$6)</f>
        <v>0.127372266902</v>
      </c>
      <c r="G1424" s="26">
        <f>F1424*(1+Assumptions!$B$110*Forecast!$B$6)</f>
        <v>0.130938690375</v>
      </c>
    </row>
    <row r="1425">
      <c r="A1425" s="9" t="inlineStr">
        <is>
          <t xml:space="preserve">  Volume — Paraffin wax, mn t</t>
        </is>
      </c>
      <c r="C1425" s="26">
        <f>'Product and Cost'!E7*(1+Assumptions!$B$111*Forecast!$B$6)</f>
        <v>0.089396788</v>
      </c>
      <c r="D1425" s="26">
        <f>C1425*(1+Assumptions!$B$112*Forecast!$B$6)</f>
        <v>0.09431361134</v>
      </c>
      <c r="E1425" s="26">
        <f>D1425*(1+Assumptions!$B$113*Forecast!$B$6)</f>
        <v>0.0985577238503</v>
      </c>
      <c r="F1425" s="26">
        <f>E1425*(1+Assumptions!$B$114*Forecast!$B$6)</f>
        <v>0.102302917357</v>
      </c>
      <c r="G1425" s="26">
        <f>F1425*(1+Assumptions!$B$115*Forecast!$B$6)</f>
        <v>0.105576610712</v>
      </c>
    </row>
    <row r="1426">
      <c r="A1426" s="9" t="inlineStr">
        <is>
          <t xml:space="preserve">  Volume — Gas oil, mn t</t>
        </is>
      </c>
      <c r="C1426" s="26">
        <f>'Product and Cost'!E8*(1+Assumptions!$B$116*Forecast!$B$6)</f>
        <v>0.35023715724</v>
      </c>
      <c r="D1426" s="26">
        <f>C1426*(1+Assumptions!$B$117*Forecast!$B$6)</f>
        <v>0.357241900385</v>
      </c>
      <c r="E1426" s="26">
        <f>D1426*(1+Assumptions!$B$118*Forecast!$B$6)</f>
        <v>0.363672254592</v>
      </c>
      <c r="F1426" s="26">
        <f>E1426*(1+Assumptions!$B$119*Forecast!$B$6)</f>
        <v>0.369491010665</v>
      </c>
      <c r="G1426" s="26">
        <f>F1426*(1+Assumptions!$B$120*Forecast!$B$6)</f>
        <v>0.375033375825</v>
      </c>
    </row>
    <row r="1427">
      <c r="A1427" s="9" t="inlineStr">
        <is>
          <t xml:space="preserve">  Volume — Naphtha, mn t</t>
        </is>
      </c>
      <c r="C1427" s="26">
        <f>'Product and Cost'!E9*(1+Assumptions!$B$121*Forecast!$B$6)</f>
        <v>0.08410463971</v>
      </c>
      <c r="D1427" s="26">
        <f>C1427*(1+Assumptions!$B$122*Forecast!$B$6)</f>
        <v>0.0856185232248</v>
      </c>
      <c r="E1427" s="26">
        <f>D1427*(1+Assumptions!$B$123*Forecast!$B$6)</f>
        <v>0.0871596566428</v>
      </c>
      <c r="F1427" s="26">
        <f>E1427*(1+Assumptions!$B$124*Forecast!$B$6)</f>
        <v>0.0885542111491</v>
      </c>
      <c r="G1427" s="26">
        <f>F1427*(1+Assumptions!$B$125*Forecast!$B$6)</f>
        <v>0.0898825243163</v>
      </c>
    </row>
    <row r="1428">
      <c r="A1428" s="9" t="inlineStr">
        <is>
          <t xml:space="preserve">  Volume — Liquefied petroleum gas, mn t</t>
        </is>
      </c>
      <c r="C1428" s="26">
        <f>'Product and Cost'!E10*(1+Assumptions!$B$126*Forecast!$B$6)</f>
        <v>0.0486583449</v>
      </c>
      <c r="D1428" s="26">
        <f>C1428*(1+Assumptions!$B$127*Forecast!$B$6)</f>
        <v>0.0497288284878</v>
      </c>
      <c r="E1428" s="26">
        <f>D1428*(1+Assumptions!$B$128*Forecast!$B$6)</f>
        <v>0.0507234050576</v>
      </c>
      <c r="F1428" s="26">
        <f>E1428*(1+Assumptions!$B$129*Forecast!$B$6)</f>
        <v>0.0516364263486</v>
      </c>
      <c r="G1428" s="26">
        <f>F1428*(1+Assumptions!$B$130*Forecast!$B$6)</f>
        <v>0.0524626091702</v>
      </c>
    </row>
    <row r="1429">
      <c r="A1429" s="9" t="inlineStr">
        <is>
          <t xml:space="preserve">  Volume — Fuel oil (mix), mn t</t>
        </is>
      </c>
      <c r="C1429" s="26">
        <f>'Product and Cost'!E11*(1+Assumptions!$B$131*Forecast!$B$6)</f>
        <v>0.947916416</v>
      </c>
      <c r="D1429" s="26">
        <f>C1429*(1+Assumptions!$B$132*Forecast!$B$6)</f>
        <v>0.972562242816</v>
      </c>
      <c r="E1429" s="26">
        <f>D1429*(1+Assumptions!$B$133*Forecast!$B$6)</f>
        <v>0.993958612158</v>
      </c>
      <c r="F1429" s="26">
        <f>E1429*(1+Assumptions!$B$134*Forecast!$B$6)</f>
        <v>1.0138377844</v>
      </c>
      <c r="G1429" s="26">
        <f>F1429*(1+Assumptions!$B$135*Forecast!$B$6)</f>
        <v>1.03208686452</v>
      </c>
    </row>
    <row r="1430">
      <c r="A1430" s="9" t="inlineStr">
        <is>
          <t xml:space="preserve">  Volume — Heavy fuel oil, mn t</t>
        </is>
      </c>
      <c r="C1430" s="26">
        <f>'Product and Cost'!E12*(1+Assumptions!$B$136*Forecast!$B$6)</f>
        <v>0.0292281408</v>
      </c>
      <c r="D1430" s="26">
        <f>C1430*(1+Assumptions!$B$137*Forecast!$B$6)</f>
        <v>0.0297542473344</v>
      </c>
      <c r="E1430" s="26">
        <f>D1430*(1+Assumptions!$B$138*Forecast!$B$6)</f>
        <v>0.0302303152918</v>
      </c>
      <c r="F1430" s="26">
        <f>E1430*(1+Assumptions!$B$139*Forecast!$B$6)</f>
        <v>0.0306837700211</v>
      </c>
      <c r="G1430" s="26">
        <f>F1430*(1+Assumptions!$B$140*Forecast!$B$6)</f>
        <v>0.0311133428014</v>
      </c>
    </row>
    <row r="1431">
      <c r="A1431" s="9" t="inlineStr">
        <is>
          <t xml:space="preserve">  Volume — Waste, mn t</t>
        </is>
      </c>
      <c r="C1431" s="26">
        <f>'Product and Cost'!E13*(1+Assumptions!$B$141*Forecast!$B$6)</f>
        <v>1.564e-05</v>
      </c>
      <c r="D1431" s="26">
        <f>C1431*(1+Assumptions!$B$142*Forecast!$B$6)</f>
        <v>1.564e-05</v>
      </c>
      <c r="E1431" s="26">
        <f>D1431*(1+Assumptions!$B$143*Forecast!$B$6)</f>
        <v>1.564e-05</v>
      </c>
      <c r="F1431" s="26">
        <f>E1431*(1+Assumptions!$B$144*Forecast!$B$6)</f>
        <v>1.564e-05</v>
      </c>
      <c r="G1431" s="26">
        <f>F1431*(1+Assumptions!$B$145*Forecast!$B$6)</f>
        <v>1.564e-05</v>
      </c>
    </row>
    <row r="1432">
      <c r="A1432" s="17" t="inlineStr">
        <is>
          <t>Total volume, mn t</t>
        </is>
      </c>
      <c r="C1432" s="28">
        <f>SUM(C1424:C1431)</f>
        <v>1.66444229485</v>
      </c>
      <c r="D1432" s="28">
        <f>SUM(D1424:D1431)</f>
        <v>1.70871556852</v>
      </c>
      <c r="E1432" s="28">
        <f>SUM(E1424:E1431)</f>
        <v>1.74798000264</v>
      </c>
      <c r="F1432" s="28">
        <f>SUM(F1424:F1431)</f>
        <v>1.78389402684</v>
      </c>
      <c r="G1432" s="28">
        <f>SUM(G1424:G1431)</f>
        <v>1.81710965772</v>
      </c>
    </row>
    <row r="1433">
      <c r="A1433" s="17" t="inlineStr">
        <is>
          <t>REVENUE</t>
        </is>
      </c>
      <c r="C1433" s="20">
        <f>C1424*'Product and Cost'!$F$6*C1423+C1425*'Product and Cost'!$F$7*C1423+C1426*'Product and Cost'!$F$8*C1423+C1427*'Product and Cost'!$F$9*C1423+C1428*'Product and Cost'!$F$10*C1423+C1429*'Product and Cost'!$F$11*C1423+C1430*'Product and Cost'!$F$12*C1423+C1431*'Product and Cost'!$F$13*C1423</f>
        <v>52840.8111141</v>
      </c>
      <c r="D1433" s="20">
        <f>D1424*'Product and Cost'!$F$6*D1423+D1425*'Product and Cost'!$F$7*D1423+D1426*'Product and Cost'!$F$8*D1423+D1427*'Product and Cost'!$F$9*D1423+D1428*'Product and Cost'!$F$10*D1423+D1429*'Product and Cost'!$F$11*D1423+D1430*'Product and Cost'!$F$12*D1423+D1431*'Product and Cost'!$F$13*D1423</f>
        <v>58432.1672543</v>
      </c>
      <c r="E1433" s="20">
        <f>E1424*'Product and Cost'!$F$6*E1423+E1425*'Product and Cost'!$F$7*E1423+E1426*'Product and Cost'!$F$8*E1423+E1427*'Product and Cost'!$F$9*E1423+E1428*'Product and Cost'!$F$10*E1423+E1429*'Product and Cost'!$F$11*E1423+E1430*'Product and Cost'!$F$12*E1423+E1431*'Product and Cost'!$F$13*E1423</f>
        <v>63772.6371781</v>
      </c>
      <c r="F1433" s="20">
        <f>F1424*'Product and Cost'!$F$6*F1423+F1425*'Product and Cost'!$F$7*F1423+F1426*'Product and Cost'!$F$8*F1423+F1427*'Product and Cost'!$F$9*F1423+F1428*'Product and Cost'!$F$10*F1423+F1429*'Product and Cost'!$F$11*F1423+F1430*'Product and Cost'!$F$12*F1423+F1431*'Product and Cost'!$F$13*F1423</f>
        <v>68952.1790369</v>
      </c>
      <c r="G1433" s="20">
        <f>G1424*'Product and Cost'!$F$6*G1423+G1425*'Product and Cost'!$F$7*G1423+G1426*'Product and Cost'!$F$8*G1423+G1427*'Product and Cost'!$F$9*G1423+G1428*'Product and Cost'!$F$10*G1423+G1429*'Product and Cost'!$F$11*G1423+G1430*'Product and Cost'!$F$12*G1423+G1431*'Product and Cost'!$F$13*G1423</f>
        <v>73977.8431827</v>
      </c>
    </row>
    <row r="1434">
      <c r="A1434" s="9" t="inlineStr">
        <is>
          <t>Cost of sales</t>
        </is>
      </c>
      <c r="C1434" s="18">
        <f>C1424*('Product and Cost'!$D$27*C1423*Assumptions!$B$88+'Product and Cost'!$B$27*(0.4863620081*C1422+0.4455809638*C1422+0.0356254898*C1423+0.0324315384))+C1425*('Product and Cost'!$D$28*C1423*Assumptions!$B$88+'Product and Cost'!$B$28*(0.4863620081*C1422+0.4455809638*C1422+0.0356254898*C1423+0.0324315384))+C1426*('Product and Cost'!$D$29*C1423*Assumptions!$B$88+'Product and Cost'!$B$29*(0.4863620081*C1422+0.4455809638*C1422+0.0356254898*C1423+0.0324315384))+C1427*('Product and Cost'!$D$30*C1423*Assumptions!$B$88+'Product and Cost'!$B$30*(0.4863620081*C1422+0.4455809638*C1422+0.0356254898*C1423+0.0324315384))+C1428*('Product and Cost'!$D$31*C1423*Assumptions!$B$88+'Product and Cost'!$B$31*(0.4863620081*C1422+0.4455809638*C1422+0.0356254898*C1423+0.0324315384))+C1429*('Product and Cost'!$D$32*C1423*Assumptions!$B$88+'Product and Cost'!$B$32*(0.4863620081*C1422+0.4455809638*C1422+0.0356254898*C1423+0.0324315384))+C1430*('Product and Cost'!$D$33*C1423*Assumptions!$B$88+'Product and Cost'!$B$33*(0.4863620081*C1422+0.4455809638*C1422+0.0356254898*C1423+0.0324315384))+C1431*('Product and Cost'!$D$34*C1423*Assumptions!$B$88+'Product and Cost'!$B$34*(0.4863620081*C1422+0.4455809638*C1422+0.0356254898*C1423+0.0324315384))</f>
        <v>48291.1604712</v>
      </c>
      <c r="D1434" s="18">
        <f>D1424*('Product and Cost'!$D$27*D1423*Assumptions!$B$88+'Product and Cost'!$B$27*(0.4863620081*D1422+0.4455809638*D1422+0.0356254898*D1423+0.0324315384))+D1425*('Product and Cost'!$D$28*D1423*Assumptions!$B$88+'Product and Cost'!$B$28*(0.4863620081*D1422+0.4455809638*D1422+0.0356254898*D1423+0.0324315384))+D1426*('Product and Cost'!$D$29*D1423*Assumptions!$B$88+'Product and Cost'!$B$29*(0.4863620081*D1422+0.4455809638*D1422+0.0356254898*D1423+0.0324315384))+D1427*('Product and Cost'!$D$30*D1423*Assumptions!$B$88+'Product and Cost'!$B$30*(0.4863620081*D1422+0.4455809638*D1422+0.0356254898*D1423+0.0324315384))+D1428*('Product and Cost'!$D$31*D1423*Assumptions!$B$88+'Product and Cost'!$B$31*(0.4863620081*D1422+0.4455809638*D1422+0.0356254898*D1423+0.0324315384))+D1429*('Product and Cost'!$D$32*D1423*Assumptions!$B$88+'Product and Cost'!$B$32*(0.4863620081*D1422+0.4455809638*D1422+0.0356254898*D1423+0.0324315384))+D1430*('Product and Cost'!$D$33*D1423*Assumptions!$B$88+'Product and Cost'!$B$33*(0.4863620081*D1422+0.4455809638*D1422+0.0356254898*D1423+0.0324315384))+D1431*('Product and Cost'!$D$34*D1423*Assumptions!$B$88+'Product and Cost'!$B$34*(0.4863620081*D1422+0.4455809638*D1422+0.0356254898*D1423+0.0324315384))</f>
        <v>53647.9823219</v>
      </c>
      <c r="E1434" s="18">
        <f>E1424*('Product and Cost'!$D$27*E1423*Assumptions!$B$88+'Product and Cost'!$B$27*(0.4863620081*E1422+0.4455809638*E1422+0.0356254898*E1423+0.0324315384))+E1425*('Product and Cost'!$D$28*E1423*Assumptions!$B$88+'Product and Cost'!$B$28*(0.4863620081*E1422+0.4455809638*E1422+0.0356254898*E1423+0.0324315384))+E1426*('Product and Cost'!$D$29*E1423*Assumptions!$B$88+'Product and Cost'!$B$29*(0.4863620081*E1422+0.4455809638*E1422+0.0356254898*E1423+0.0324315384))+E1427*('Product and Cost'!$D$30*E1423*Assumptions!$B$88+'Product and Cost'!$B$30*(0.4863620081*E1422+0.4455809638*E1422+0.0356254898*E1423+0.0324315384))+E1428*('Product and Cost'!$D$31*E1423*Assumptions!$B$88+'Product and Cost'!$B$31*(0.4863620081*E1422+0.4455809638*E1422+0.0356254898*E1423+0.0324315384))+E1429*('Product and Cost'!$D$32*E1423*Assumptions!$B$88+'Product and Cost'!$B$32*(0.4863620081*E1422+0.4455809638*E1422+0.0356254898*E1423+0.0324315384))+E1430*('Product and Cost'!$D$33*E1423*Assumptions!$B$88+'Product and Cost'!$B$33*(0.4863620081*E1422+0.4455809638*E1422+0.0356254898*E1423+0.0324315384))+E1431*('Product and Cost'!$D$34*E1423*Assumptions!$B$88+'Product and Cost'!$B$34*(0.4863620081*E1422+0.4455809638*E1422+0.0356254898*E1423+0.0324315384))</f>
        <v>58815.4011786</v>
      </c>
      <c r="F1434" s="18">
        <f>F1424*('Product and Cost'!$D$27*F1423*Assumptions!$B$88+'Product and Cost'!$B$27*(0.4863620081*F1422+0.4455809638*F1422+0.0356254898*F1423+0.0324315384))+F1425*('Product and Cost'!$D$28*F1423*Assumptions!$B$88+'Product and Cost'!$B$28*(0.4863620081*F1422+0.4455809638*F1422+0.0356254898*F1423+0.0324315384))+F1426*('Product and Cost'!$D$29*F1423*Assumptions!$B$88+'Product and Cost'!$B$29*(0.4863620081*F1422+0.4455809638*F1422+0.0356254898*F1423+0.0324315384))+F1427*('Product and Cost'!$D$30*F1423*Assumptions!$B$88+'Product and Cost'!$B$30*(0.4863620081*F1422+0.4455809638*F1422+0.0356254898*F1423+0.0324315384))+F1428*('Product and Cost'!$D$31*F1423*Assumptions!$B$88+'Product and Cost'!$B$31*(0.4863620081*F1422+0.4455809638*F1422+0.0356254898*F1423+0.0324315384))+F1429*('Product and Cost'!$D$32*F1423*Assumptions!$B$88+'Product and Cost'!$B$32*(0.4863620081*F1422+0.4455809638*F1422+0.0356254898*F1423+0.0324315384))+F1430*('Product and Cost'!$D$33*F1423*Assumptions!$B$88+'Product and Cost'!$B$33*(0.4863620081*F1422+0.4455809638*F1422+0.0356254898*F1423+0.0324315384))+F1431*('Product and Cost'!$D$34*F1423*Assumptions!$B$88+'Product and Cost'!$B$34*(0.4863620081*F1422+0.4455809638*F1422+0.0356254898*F1423+0.0324315384))</f>
        <v>63847.5732702</v>
      </c>
      <c r="G1434" s="18">
        <f>G1424*('Product and Cost'!$D$27*G1423*Assumptions!$B$88+'Product and Cost'!$B$27*(0.4863620081*G1422+0.4455809638*G1422+0.0356254898*G1423+0.0324315384))+G1425*('Product and Cost'!$D$28*G1423*Assumptions!$B$88+'Product and Cost'!$B$28*(0.4863620081*G1422+0.4455809638*G1422+0.0356254898*G1423+0.0324315384))+G1426*('Product and Cost'!$D$29*G1423*Assumptions!$B$88+'Product and Cost'!$B$29*(0.4863620081*G1422+0.4455809638*G1422+0.0356254898*G1423+0.0324315384))+G1427*('Product and Cost'!$D$30*G1423*Assumptions!$B$88+'Product and Cost'!$B$30*(0.4863620081*G1422+0.4455809638*G1422+0.0356254898*G1423+0.0324315384))+G1428*('Product and Cost'!$D$31*G1423*Assumptions!$B$88+'Product and Cost'!$B$31*(0.4863620081*G1422+0.4455809638*G1422+0.0356254898*G1423+0.0324315384))+G1429*('Product and Cost'!$D$32*G1423*Assumptions!$B$88+'Product and Cost'!$B$32*(0.4863620081*G1422+0.4455809638*G1422+0.0356254898*G1423+0.0324315384))+G1430*('Product and Cost'!$D$33*G1423*Assumptions!$B$88+'Product and Cost'!$B$33*(0.4863620081*G1422+0.4455809638*G1422+0.0356254898*G1423+0.0324315384))+G1431*('Product and Cost'!$D$34*G1423*Assumptions!$B$88+'Product and Cost'!$B$34*(0.4863620081*G1422+0.4455809638*G1422+0.0356254898*G1423+0.0324315384))</f>
        <v>68797.1859175</v>
      </c>
    </row>
    <row r="1435">
      <c r="A1435" s="17" t="inlineStr">
        <is>
          <t>GROSS PROFIT</t>
        </is>
      </c>
      <c r="C1435" s="20">
        <f>C1433-C1434+Forecast!$B$7*C1433</f>
        <v>4549.65064286</v>
      </c>
      <c r="D1435" s="20">
        <f>D1433-D1434+Forecast!$B$7*D1433</f>
        <v>4784.18493236</v>
      </c>
      <c r="E1435" s="20">
        <f>E1433-E1434+Forecast!$B$7*E1433</f>
        <v>4957.23599944</v>
      </c>
      <c r="F1435" s="20">
        <f>F1433-F1434+Forecast!$B$7*F1433</f>
        <v>5104.60576669</v>
      </c>
      <c r="G1435" s="20">
        <f>G1433-G1434+Forecast!$B$7*G1433</f>
        <v>5180.65726511</v>
      </c>
    </row>
    <row r="1436">
      <c r="A1436" s="9" t="inlineStr">
        <is>
          <t>Gross margin</t>
        </is>
      </c>
      <c r="C1436" s="19">
        <f>C1435/C1433</f>
        <v>0.0861010750391</v>
      </c>
      <c r="D1436" s="19">
        <f>D1435/D1433</f>
        <v>0.0818758768871</v>
      </c>
      <c r="E1436" s="19">
        <f>E1435/E1433</f>
        <v>0.0777329622672</v>
      </c>
      <c r="F1436" s="19">
        <f>F1435/F1433</f>
        <v>0.0740311015255</v>
      </c>
      <c r="G1436" s="19">
        <f>G1435/G1433</f>
        <v>0.0700298500501</v>
      </c>
    </row>
    <row r="1437">
      <c r="A1437" s="9" t="inlineStr">
        <is>
          <t>Operating expense</t>
        </is>
      </c>
      <c r="C1437" s="18">
        <f>('Base Year'!$B$28*C1422)+('Base Year'!$B$29*C1422*C1432/'Product and Cost'!$E$14)+('Base Year'!$B$30*C1422)+('Base Year'!$B$31*C1422)</f>
        <v>2007.6668112</v>
      </c>
      <c r="D1437" s="18">
        <f>('Base Year'!$B$28*D1422)+('Base Year'!$B$29*D1422*D1432/'Product and Cost'!$E$14)+('Base Year'!$B$30*D1422)+('Base Year'!$B$31*D1422)</f>
        <v>2276.29775955</v>
      </c>
      <c r="E1437" s="18">
        <f>('Base Year'!$B$28*E1422)+('Base Year'!$B$29*E1422*E1432/'Product and Cost'!$E$14)+('Base Year'!$B$30*E1422)+('Base Year'!$B$31*E1422)</f>
        <v>2545.62118024</v>
      </c>
      <c r="F1437" s="18">
        <f>('Base Year'!$B$28*F1422)+('Base Year'!$B$29*F1422*F1432/'Product and Cost'!$E$14)+('Base Year'!$B$30*F1422)+('Base Year'!$B$31*F1422)</f>
        <v>2807.77881104</v>
      </c>
      <c r="G1437" s="18">
        <f>('Base Year'!$B$28*G1422)+('Base Year'!$B$29*G1422*G1432/'Product and Cost'!$E$14)+('Base Year'!$B$30*G1422)+('Base Year'!$B$31*G1422)</f>
        <v>3082.20998189</v>
      </c>
    </row>
    <row r="1438">
      <c r="A1438" s="17" t="inlineStr">
        <is>
          <t>EBITDA</t>
        </is>
      </c>
      <c r="C1438" s="20">
        <f>C1435-C1437</f>
        <v>2541.98383166</v>
      </c>
      <c r="D1438" s="20">
        <f>D1435-D1437</f>
        <v>2507.88717281</v>
      </c>
      <c r="E1438" s="20">
        <f>E1435-E1437</f>
        <v>2411.6148192</v>
      </c>
      <c r="F1438" s="20">
        <f>F1435-F1437</f>
        <v>2296.82695565</v>
      </c>
      <c r="G1438" s="20">
        <f>G1435-G1437</f>
        <v>2098.44728323</v>
      </c>
    </row>
    <row r="1439">
      <c r="A1439" s="9" t="inlineStr">
        <is>
          <t>Capital expenditure — maintenance + growth</t>
        </is>
      </c>
      <c r="C1439" s="18">
        <f>'Base Year'!$B$43*C1422+MAX(C1432-'Product and Cost'!$E$14,0)*1947.901031*C1422</f>
        <v>280.931999159</v>
      </c>
      <c r="D1439" s="18">
        <f>'Base Year'!$B$43*D1422+MAX(D1432-C1432,0)*1947.901031*D1422</f>
        <v>307.3675836</v>
      </c>
      <c r="E1439" s="18">
        <f>'Base Year'!$B$43*E1422+MAX(E1432-D1432,0)*1947.901031*E1422</f>
        <v>328.639389001</v>
      </c>
      <c r="F1439" s="18">
        <f>'Base Year'!$B$43*F1422+MAX(F1432-E1432,0)*1947.901031*F1422</f>
        <v>351.146749034</v>
      </c>
      <c r="G1439" s="18">
        <f>'Base Year'!$B$43*G1422+MAX(G1432-F1432,0)*1947.901031*G1422</f>
        <v>375.372179467</v>
      </c>
    </row>
    <row r="1440">
      <c r="A1440" s="9" t="inlineStr">
        <is>
          <t>Fixed assets at cost, closing</t>
        </is>
      </c>
      <c r="C1440" s="18">
        <f>(Assumptions!$B$70+Assumptions!$B$71)/10^6+C1439</f>
        <v>3429.06589416</v>
      </c>
      <c r="D1440" s="18">
        <f>C1440+D1439</f>
        <v>3736.43347776</v>
      </c>
      <c r="E1440" s="18">
        <f>D1440+E1439</f>
        <v>4065.07286676</v>
      </c>
      <c r="F1440" s="18">
        <f>E1440+F1439</f>
        <v>4416.21961579</v>
      </c>
      <c r="G1440" s="18">
        <f>F1440+G1439</f>
        <v>4791.59179526</v>
      </c>
    </row>
    <row r="1441">
      <c r="A1441" s="9" t="inlineStr">
        <is>
          <t>Depreciation — rolls off the asset register</t>
        </is>
      </c>
      <c r="C1441" s="18">
        <f>(Assumptions!$B$70+Assumptions!$B$71)/10^6/'Base Year'!$B$42</f>
        <v>173.808854481</v>
      </c>
      <c r="D1441" s="18">
        <f>C1440/'Base Year'!$B$42</f>
        <v>189.319144255</v>
      </c>
      <c r="E1441" s="18">
        <f>D1440/'Base Year'!$B$42</f>
        <v>206.288945856</v>
      </c>
      <c r="F1441" s="18">
        <f>E1440/'Base Year'!$B$42</f>
        <v>224.433166415</v>
      </c>
      <c r="G1441" s="18">
        <f>F1440/'Base Year'!$B$42</f>
        <v>243.820021053</v>
      </c>
    </row>
    <row r="1442">
      <c r="A1442" s="9" t="inlineStr">
        <is>
          <t>Fixed assets, net book, closing</t>
        </is>
      </c>
      <c r="C1442" s="18">
        <f>(Assumptions!$B$69+Assumptions!$B$71)/10^6+C1439-C1441</f>
        <v>1407.46262168</v>
      </c>
      <c r="D1442" s="18">
        <f>C1442+D1439-D1441</f>
        <v>1525.51106102</v>
      </c>
      <c r="E1442" s="18">
        <f>D1442+E1439-E1441</f>
        <v>1647.86150417</v>
      </c>
      <c r="F1442" s="18">
        <f>E1442+F1439-F1441</f>
        <v>1774.57508679</v>
      </c>
      <c r="G1442" s="18">
        <f>F1442+G1439-G1441</f>
        <v>1906.1272452</v>
      </c>
    </row>
    <row r="1443">
      <c r="A1443" s="17" t="inlineStr">
        <is>
          <t>EBIT</t>
        </is>
      </c>
      <c r="C1443" s="20">
        <f>C1438-C1441</f>
        <v>2368.17497718</v>
      </c>
      <c r="D1443" s="20">
        <f>D1438-D1441</f>
        <v>2318.56802856</v>
      </c>
      <c r="E1443" s="20">
        <f>E1438-E1441</f>
        <v>2205.32587334</v>
      </c>
      <c r="F1443" s="20">
        <f>F1438-F1441</f>
        <v>2072.39378923</v>
      </c>
      <c r="G1443" s="20">
        <f>G1438-G1441</f>
        <v>1854.62726217</v>
      </c>
    </row>
    <row r="1444">
      <c r="A1444" s="9" t="inlineStr">
        <is>
          <t>NOPAT before the profit share</t>
        </is>
      </c>
      <c r="C1444" s="18">
        <f>C1443*(1-Assumptions!$B$87)</f>
        <v>1835.33560732</v>
      </c>
      <c r="D1444" s="18">
        <f>D1443*(1-Assumptions!$B$87)</f>
        <v>1796.89022213</v>
      </c>
      <c r="E1444" s="18">
        <f>E1443*(1-Assumptions!$B$87)</f>
        <v>1709.12755184</v>
      </c>
      <c r="F1444" s="18">
        <f>F1443*(1-Assumptions!$B$87)</f>
        <v>1606.10518666</v>
      </c>
      <c r="G1444" s="18">
        <f>G1443*(1-Assumptions!$B$87)</f>
        <v>1437.33612818</v>
      </c>
    </row>
    <row r="1445">
      <c r="A1445" s="9" t="inlineStr">
        <is>
          <t xml:space="preserve">  less employees' profit share and board bonuses</t>
        </is>
      </c>
      <c r="C1445" s="18">
        <f>MAX(C1444,0)*'Base Year'!$B$40</f>
        <v>96.7608009272</v>
      </c>
      <c r="D1445" s="18">
        <f>MAX(D1444,0)*'Base Year'!$B$40</f>
        <v>94.7339202588</v>
      </c>
      <c r="E1445" s="18">
        <f>MAX(E1444,0)*'Base Year'!$B$40</f>
        <v>90.1069810576</v>
      </c>
      <c r="F1445" s="18">
        <f>MAX(F1444,0)*'Base Year'!$B$40</f>
        <v>84.6755348801</v>
      </c>
      <c r="G1445" s="18">
        <f>MAX(G1444,0)*'Base Year'!$B$40</f>
        <v>75.7778546933</v>
      </c>
    </row>
    <row r="1446">
      <c r="A1446" s="17" t="inlineStr">
        <is>
          <t>NOPAT</t>
        </is>
      </c>
      <c r="C1446" s="20">
        <f>C1444-C1445</f>
        <v>1738.57480639</v>
      </c>
      <c r="D1446" s="20">
        <f>D1444-D1445</f>
        <v>1702.15630187</v>
      </c>
      <c r="E1446" s="20">
        <f>E1444-E1445</f>
        <v>1619.02057078</v>
      </c>
      <c r="F1446" s="20">
        <f>F1444-F1445</f>
        <v>1521.42965178</v>
      </c>
      <c r="G1446" s="20">
        <f>G1444-G1445</f>
        <v>1361.55827349</v>
      </c>
    </row>
    <row r="1447">
      <c r="A1447" s="9" t="inlineStr">
        <is>
          <t>Net working capital — on days</t>
        </is>
      </c>
      <c r="C1447" s="18">
        <f>'Base Year'!$B$44*Forecast!$B$9/365*C1434+'Base Year'!$B$45*Forecast!$B$9/365*C1433-'Base Year'!$B$46*Forecast!$B$9/365*C1434</f>
        <v>2539.69193722</v>
      </c>
      <c r="D1447" s="18">
        <f>'Base Year'!$B$44*Forecast!$B$9/365*D1434+'Base Year'!$B$45*Forecast!$B$9/365*D1433-'Base Year'!$B$46*Forecast!$B$9/365*D1434</f>
        <v>2816.01103091</v>
      </c>
      <c r="E1447" s="18">
        <f>'Base Year'!$B$44*Forecast!$B$9/365*E1434+'Base Year'!$B$45*Forecast!$B$9/365*E1433-'Base Year'!$B$46*Forecast!$B$9/365*E1434</f>
        <v>3081.49643011</v>
      </c>
      <c r="F1447" s="18">
        <f>'Base Year'!$B$44*Forecast!$B$9/365*F1434+'Base Year'!$B$45*Forecast!$B$9/365*F1433-'Base Year'!$B$46*Forecast!$B$9/365*F1434</f>
        <v>3339.61025534</v>
      </c>
      <c r="G1447" s="18">
        <f>'Base Year'!$B$44*Forecast!$B$9/365*G1434+'Base Year'!$B$45*Forecast!$B$9/365*G1433-'Base Year'!$B$46*Forecast!$B$9/365*G1434</f>
        <v>3592.11140979</v>
      </c>
    </row>
    <row r="1448">
      <c r="A1448" s="9" t="inlineStr">
        <is>
          <t xml:space="preserve">  change in working capital</t>
        </is>
      </c>
      <c r="C1448" s="18">
        <f>C1447-('Base Year'!$B$44/365*'Base Year'!$B$21+'Base Year'!$B$45/365*'Base Year'!$B$19-'Base Year'!$B$46/365*'Base Year'!$B$21)</f>
        <v>288.28964822</v>
      </c>
      <c r="D1448" s="18">
        <f>D1447-C1447</f>
        <v>276.319093691</v>
      </c>
      <c r="E1448" s="18">
        <f>E1447-D1447</f>
        <v>265.485399203</v>
      </c>
      <c r="F1448" s="18">
        <f>F1447-E1447</f>
        <v>258.113825222</v>
      </c>
      <c r="G1448" s="18">
        <f>G1447-F1447</f>
        <v>252.501154457</v>
      </c>
    </row>
    <row r="1449">
      <c r="A1449" s="17" t="inlineStr">
        <is>
          <t>FREE CASH FLOW TO THE FIRM</t>
        </is>
      </c>
      <c r="C1449" s="20">
        <f>C1446+C1441-C1439-C1448</f>
        <v>1343.16201349</v>
      </c>
      <c r="D1449" s="20">
        <f>D1446+D1441-D1439-D1448</f>
        <v>1307.78876884</v>
      </c>
      <c r="E1449" s="20">
        <f>E1446+E1441-E1439-E1448</f>
        <v>1231.18472844</v>
      </c>
      <c r="F1449" s="20">
        <f>F1446+F1441-F1439-F1448</f>
        <v>1136.60224393</v>
      </c>
      <c r="G1449" s="20">
        <f>G1446+G1441-G1439-G1448</f>
        <v>977.504960621</v>
      </c>
    </row>
    <row r="1450">
      <c r="A1450" s="9" t="inlineStr">
        <is>
          <t>Glide fraction</t>
        </is>
      </c>
      <c r="C1450" s="26">
        <f>0.0000000000</f>
        <v>0</v>
      </c>
      <c r="D1450" s="26">
        <f>0.3571428571</f>
        <v>0.3571428571</v>
      </c>
      <c r="E1450" s="26">
        <f>0.6428571429</f>
        <v>0.6428571429</v>
      </c>
      <c r="F1450" s="26">
        <f>0.8571428571</f>
        <v>0.8571428571</v>
      </c>
      <c r="G1450" s="26">
        <f>1.0000000000</f>
        <v>1</v>
      </c>
    </row>
    <row r="1451">
      <c r="A1451" s="9" t="inlineStr">
        <is>
          <t>Forward cost of capital</t>
        </is>
      </c>
      <c r="C1451" s="19">
        <f>Forecast!$B$14-(Forecast!$B$14-Forecast!$B$17)*C1450</f>
        <v>0.31578338914</v>
      </c>
      <c r="D1451" s="19">
        <f>Forecast!$B$14-(Forecast!$B$14-Forecast!$B$17)*D1450</f>
        <v>0.268515637955</v>
      </c>
      <c r="E1451" s="19">
        <f>Forecast!$B$14-(Forecast!$B$14-Forecast!$B$17)*E1450</f>
        <v>0.230701436991</v>
      </c>
      <c r="F1451" s="19">
        <f>Forecast!$B$14-(Forecast!$B$14-Forecast!$B$17)*F1450</f>
        <v>0.202340786287</v>
      </c>
      <c r="G1451" s="19">
        <f>Forecast!$B$14-(Forecast!$B$14-Forecast!$B$17)*G1450</f>
        <v>0.183433685805</v>
      </c>
    </row>
    <row r="1452">
      <c r="A1452" s="9" t="inlineStr">
        <is>
          <t>Cumulative discount factor</t>
        </is>
      </c>
      <c r="C1452" s="29">
        <f>1/(1+C1451)</f>
        <v>0.760003514449</v>
      </c>
      <c r="D1452" s="29">
        <f>C1452/(1+D1451)</f>
        <v>0.599128218612</v>
      </c>
      <c r="E1452" s="29">
        <f>D1452/(1+E1451)</f>
        <v>0.486818492775</v>
      </c>
      <c r="F1452" s="29">
        <f>E1452/(1+F1451)</f>
        <v>0.404892272081</v>
      </c>
      <c r="G1452" s="29">
        <f>F1452/(1+G1451)</f>
        <v>0.342133468852</v>
      </c>
    </row>
    <row r="1453">
      <c r="A1453" s="9" t="inlineStr">
        <is>
          <t>Present value</t>
        </is>
      </c>
      <c r="C1453" s="18">
        <f>C1449*C1452</f>
        <v>1020.80785073</v>
      </c>
      <c r="D1453" s="18">
        <f>D1449*D1452</f>
        <v>783.533155394</v>
      </c>
      <c r="E1453" s="18">
        <f>E1449*E1452</f>
        <v>599.363493825</v>
      </c>
      <c r="F1453" s="18">
        <f>F1449*F1452</f>
        <v>460.201464998</v>
      </c>
      <c r="G1453" s="18">
        <f>G1449*G1452</f>
        <v>334.437162997</v>
      </c>
    </row>
    <row r="1454">
      <c r="A1454" s="17" t="inlineStr">
        <is>
          <t>PV of the explicit window</t>
        </is>
      </c>
      <c r="B1454" s="20">
        <f>SUM(C1453:G1453)</f>
        <v>3198.34312794</v>
      </c>
      <c r="C1454" s="18">
        <f>C1447+C1440</f>
        <v>5968.75783138</v>
      </c>
      <c r="D1454" s="18">
        <f>D1447+D1440</f>
        <v>6552.44450867</v>
      </c>
      <c r="E1454" s="18">
        <f>E1447+E1440</f>
        <v>7146.56929687</v>
      </c>
      <c r="F1454" s="18">
        <f>F1447+F1440</f>
        <v>7755.82987113</v>
      </c>
      <c r="G1454" s="18">
        <f>G1447+G1440</f>
        <v>8383.70320505</v>
      </c>
    </row>
    <row r="1455">
      <c r="A1455" s="9" t="inlineStr">
        <is>
          <t>Terminal return on invested capital, at REPLACEMENT cost</t>
        </is>
      </c>
      <c r="B1455" s="19">
        <f>G1446*(1+$H$44)/G1454</f>
        <v>0.172149673551</v>
      </c>
    </row>
    <row r="1456">
      <c r="A1456" s="9" t="inlineStr">
        <is>
          <t>Required reinvestment = growth / return</t>
        </is>
      </c>
      <c r="B1456" s="19">
        <f>MIN($H$44/B1455,0.95)</f>
        <v>0.348533916808</v>
      </c>
    </row>
    <row r="1457">
      <c r="A1457" s="9" t="inlineStr">
        <is>
          <t>Terminal value</t>
        </is>
      </c>
      <c r="B1457" s="18">
        <f>G1446*(1+$H$44)*(1-B1456)/MAX(Forecast!$B$17-$H$44,0.02)</f>
        <v>7617.28511518</v>
      </c>
    </row>
    <row r="1458">
      <c r="A1458" s="9" t="inlineStr">
        <is>
          <t>PV of the terminal block</t>
        </is>
      </c>
      <c r="B1458" s="18">
        <f>B1457*G1452</f>
        <v>2606.12817969</v>
      </c>
    </row>
    <row r="1459">
      <c r="A1459" s="17" t="inlineStr">
        <is>
          <t>ENTERPRISE VALUE</t>
        </is>
      </c>
      <c r="B1459" s="20">
        <f>B1454+B1458</f>
        <v>5804.47130763</v>
      </c>
    </row>
    <row r="1460">
      <c r="A1460" s="9" t="inlineStr">
        <is>
          <t>plus net cash</t>
        </is>
      </c>
      <c r="B1460" s="18">
        <f>(Assumptions!$B$79-Assumptions!$B$82-Assumptions!$B$83)/10^6</f>
        <v>2442.544928</v>
      </c>
    </row>
    <row r="1461">
      <c r="A1461" s="9" t="inlineStr">
        <is>
          <t>Enterprise value including cash</t>
        </is>
      </c>
      <c r="B1461" s="18">
        <f>B1459+B1460</f>
        <v>8247.01623563</v>
      </c>
    </row>
    <row r="1462">
      <c r="A1462" s="9" t="inlineStr">
        <is>
          <t>less minority — on the WHOLE enterprise, cash included</t>
        </is>
      </c>
      <c r="B1462" s="18">
        <f>B1461*'Base Year'!$B$41</f>
        <v>268.707934135</v>
      </c>
    </row>
    <row r="1463">
      <c r="A1463" s="9" t="inlineStr">
        <is>
          <t>less the tax-disputes provision</t>
        </is>
      </c>
      <c r="B1463" s="18">
        <f>Assumptions!$B$78/10^6</f>
        <v>921.440353</v>
      </c>
    </row>
    <row r="1464">
      <c r="A1464" s="9" t="inlineStr">
        <is>
          <t>less dividends payable — declared, out of working capital</t>
        </is>
      </c>
      <c r="B1464" s="18">
        <f>Assumptions!$B$77/10^6</f>
        <v>517.25</v>
      </c>
    </row>
    <row r="1465">
      <c r="A1465" s="9" t="inlineStr">
        <is>
          <t>plus non-operating investments and pledged deposits</t>
        </is>
      </c>
      <c r="B1465" s="18">
        <f>(Assumptions!$B$81+Assumptions!$B$80)/10^6</f>
        <v>578.358746</v>
      </c>
    </row>
    <row r="1466">
      <c r="A1466" s="17" t="inlineStr">
        <is>
          <t>EQUITY ATTRIBUTABLE</t>
        </is>
      </c>
      <c r="B1466" s="20">
        <f>B1461-B1462-B1463-B1464+B1465</f>
        <v>7117.9766945</v>
      </c>
    </row>
    <row r="1467">
      <c r="A1467" s="17" t="inlineStr">
        <is>
          <t>VALUE PER SHARE, EGP</t>
        </is>
      </c>
      <c r="B1467" s="30">
        <f>B1466/Assumptions!$B$8</f>
        <v>5.5114027832</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9" t="inlineStr">
        <is>
          <t>Inflation index, cumulative</t>
        </is>
      </c>
      <c r="C1471" s="26">
        <f>Assumptions!$B$146</f>
        <v>1.145</v>
      </c>
      <c r="D1471" s="26">
        <f>C1471*Assumptions!$B$147</f>
        <v>1.29385</v>
      </c>
      <c r="E1471" s="26">
        <f>D1471*Assumptions!$B$148</f>
        <v>1.44264275</v>
      </c>
      <c r="F1471" s="26">
        <f>E1471*Assumptions!$B$149</f>
        <v>1.586907025</v>
      </c>
      <c r="G1471" s="26">
        <f>F1471*Assumptions!$B$150</f>
        <v>1.73766319237</v>
      </c>
    </row>
    <row r="1472">
      <c r="A1472" s="9" t="inlineStr">
        <is>
          <t>Realisation index, cumulative</t>
        </is>
      </c>
      <c r="C1472" s="26">
        <f>(1+Assumptions!$B$101*Forecast!$B$8)</f>
        <v>1.09</v>
      </c>
      <c r="D1472" s="26">
        <f>C1472*(1+Assumptions!$B$102*Forecast!$B$8)</f>
        <v>1.17175</v>
      </c>
      <c r="E1472" s="26">
        <f>D1472*(1+Assumptions!$B$103*Forecast!$B$8)</f>
        <v>1.24791375</v>
      </c>
      <c r="F1472" s="26">
        <f>E1472*(1+Assumptions!$B$104*Forecast!$B$8)</f>
        <v>1.3202927475</v>
      </c>
      <c r="G1472" s="26">
        <f>F1472*(1+Assumptions!$B$105*Forecast!$B$8)</f>
        <v>1.38894797037</v>
      </c>
    </row>
    <row r="1473">
      <c r="A1473" s="9" t="inlineStr">
        <is>
          <t xml:space="preserve">  Volume — Base and special oils, mn t</t>
        </is>
      </c>
      <c r="C1473" s="26">
        <f>'Product and Cost'!E6*(1+Assumptions!$B$106*Forecast!$B$6)</f>
        <v>0.1148851682</v>
      </c>
      <c r="D1473" s="26">
        <f>C1473*(1+Assumptions!$B$107*Forecast!$B$6)</f>
        <v>0.119480574928</v>
      </c>
      <c r="E1473" s="26">
        <f>D1473*(1+Assumptions!$B$108*Forecast!$B$6)</f>
        <v>0.12366239505</v>
      </c>
      <c r="F1473" s="26">
        <f>E1473*(1+Assumptions!$B$109*Forecast!$B$6)</f>
        <v>0.127372266902</v>
      </c>
      <c r="G1473" s="26">
        <f>F1473*(1+Assumptions!$B$110*Forecast!$B$6)</f>
        <v>0.130938690375</v>
      </c>
    </row>
    <row r="1474">
      <c r="A1474" s="9" t="inlineStr">
        <is>
          <t xml:space="preserve">  Volume — Paraffin wax, mn t</t>
        </is>
      </c>
      <c r="C1474" s="26">
        <f>'Product and Cost'!E7*(1+Assumptions!$B$111*Forecast!$B$6)</f>
        <v>0.089396788</v>
      </c>
      <c r="D1474" s="26">
        <f>C1474*(1+Assumptions!$B$112*Forecast!$B$6)</f>
        <v>0.09431361134</v>
      </c>
      <c r="E1474" s="26">
        <f>D1474*(1+Assumptions!$B$113*Forecast!$B$6)</f>
        <v>0.0985577238503</v>
      </c>
      <c r="F1474" s="26">
        <f>E1474*(1+Assumptions!$B$114*Forecast!$B$6)</f>
        <v>0.102302917357</v>
      </c>
      <c r="G1474" s="26">
        <f>F1474*(1+Assumptions!$B$115*Forecast!$B$6)</f>
        <v>0.105576610712</v>
      </c>
    </row>
    <row r="1475">
      <c r="A1475" s="9" t="inlineStr">
        <is>
          <t xml:space="preserve">  Volume — Gas oil, mn t</t>
        </is>
      </c>
      <c r="C1475" s="26">
        <f>'Product and Cost'!E8*(1+Assumptions!$B$116*Forecast!$B$6)</f>
        <v>0.35023715724</v>
      </c>
      <c r="D1475" s="26">
        <f>C1475*(1+Assumptions!$B$117*Forecast!$B$6)</f>
        <v>0.357241900385</v>
      </c>
      <c r="E1475" s="26">
        <f>D1475*(1+Assumptions!$B$118*Forecast!$B$6)</f>
        <v>0.363672254592</v>
      </c>
      <c r="F1475" s="26">
        <f>E1475*(1+Assumptions!$B$119*Forecast!$B$6)</f>
        <v>0.369491010665</v>
      </c>
      <c r="G1475" s="26">
        <f>F1475*(1+Assumptions!$B$120*Forecast!$B$6)</f>
        <v>0.375033375825</v>
      </c>
    </row>
    <row r="1476">
      <c r="A1476" s="9" t="inlineStr">
        <is>
          <t xml:space="preserve">  Volume — Naphtha, mn t</t>
        </is>
      </c>
      <c r="C1476" s="26">
        <f>'Product and Cost'!E9*(1+Assumptions!$B$121*Forecast!$B$6)</f>
        <v>0.08410463971</v>
      </c>
      <c r="D1476" s="26">
        <f>C1476*(1+Assumptions!$B$122*Forecast!$B$6)</f>
        <v>0.0856185232248</v>
      </c>
      <c r="E1476" s="26">
        <f>D1476*(1+Assumptions!$B$123*Forecast!$B$6)</f>
        <v>0.0871596566428</v>
      </c>
      <c r="F1476" s="26">
        <f>E1476*(1+Assumptions!$B$124*Forecast!$B$6)</f>
        <v>0.0885542111491</v>
      </c>
      <c r="G1476" s="26">
        <f>F1476*(1+Assumptions!$B$125*Forecast!$B$6)</f>
        <v>0.0898825243163</v>
      </c>
    </row>
    <row r="1477">
      <c r="A1477" s="9" t="inlineStr">
        <is>
          <t xml:space="preserve">  Volume — Liquefied petroleum gas, mn t</t>
        </is>
      </c>
      <c r="C1477" s="26">
        <f>'Product and Cost'!E10*(1+Assumptions!$B$126*Forecast!$B$6)</f>
        <v>0.0486583449</v>
      </c>
      <c r="D1477" s="26">
        <f>C1477*(1+Assumptions!$B$127*Forecast!$B$6)</f>
        <v>0.0497288284878</v>
      </c>
      <c r="E1477" s="26">
        <f>D1477*(1+Assumptions!$B$128*Forecast!$B$6)</f>
        <v>0.0507234050576</v>
      </c>
      <c r="F1477" s="26">
        <f>E1477*(1+Assumptions!$B$129*Forecast!$B$6)</f>
        <v>0.0516364263486</v>
      </c>
      <c r="G1477" s="26">
        <f>F1477*(1+Assumptions!$B$130*Forecast!$B$6)</f>
        <v>0.0524626091702</v>
      </c>
    </row>
    <row r="1478">
      <c r="A1478" s="9" t="inlineStr">
        <is>
          <t xml:space="preserve">  Volume — Fuel oil (mix), mn t</t>
        </is>
      </c>
      <c r="C1478" s="26">
        <f>'Product and Cost'!E11*(1+Assumptions!$B$131*Forecast!$B$6)</f>
        <v>0.947916416</v>
      </c>
      <c r="D1478" s="26">
        <f>C1478*(1+Assumptions!$B$132*Forecast!$B$6)</f>
        <v>0.972562242816</v>
      </c>
      <c r="E1478" s="26">
        <f>D1478*(1+Assumptions!$B$133*Forecast!$B$6)</f>
        <v>0.993958612158</v>
      </c>
      <c r="F1478" s="26">
        <f>E1478*(1+Assumptions!$B$134*Forecast!$B$6)</f>
        <v>1.0138377844</v>
      </c>
      <c r="G1478" s="26">
        <f>F1478*(1+Assumptions!$B$135*Forecast!$B$6)</f>
        <v>1.03208686452</v>
      </c>
    </row>
    <row r="1479">
      <c r="A1479" s="9" t="inlineStr">
        <is>
          <t xml:space="preserve">  Volume — Heavy fuel oil, mn t</t>
        </is>
      </c>
      <c r="C1479" s="26">
        <f>'Product and Cost'!E12*(1+Assumptions!$B$136*Forecast!$B$6)</f>
        <v>0.0292281408</v>
      </c>
      <c r="D1479" s="26">
        <f>C1479*(1+Assumptions!$B$137*Forecast!$B$6)</f>
        <v>0.0297542473344</v>
      </c>
      <c r="E1479" s="26">
        <f>D1479*(1+Assumptions!$B$138*Forecast!$B$6)</f>
        <v>0.0302303152918</v>
      </c>
      <c r="F1479" s="26">
        <f>E1479*(1+Assumptions!$B$139*Forecast!$B$6)</f>
        <v>0.0306837700211</v>
      </c>
      <c r="G1479" s="26">
        <f>F1479*(1+Assumptions!$B$140*Forecast!$B$6)</f>
        <v>0.0311133428014</v>
      </c>
    </row>
    <row r="1480">
      <c r="A1480" s="9" t="inlineStr">
        <is>
          <t xml:space="preserve">  Volume — Waste, mn t</t>
        </is>
      </c>
      <c r="C1480" s="26">
        <f>'Product and Cost'!E13*(1+Assumptions!$B$141*Forecast!$B$6)</f>
        <v>1.564e-05</v>
      </c>
      <c r="D1480" s="26">
        <f>C1480*(1+Assumptions!$B$142*Forecast!$B$6)</f>
        <v>1.564e-05</v>
      </c>
      <c r="E1480" s="26">
        <f>D1480*(1+Assumptions!$B$143*Forecast!$B$6)</f>
        <v>1.564e-05</v>
      </c>
      <c r="F1480" s="26">
        <f>E1480*(1+Assumptions!$B$144*Forecast!$B$6)</f>
        <v>1.564e-05</v>
      </c>
      <c r="G1480" s="26">
        <f>F1480*(1+Assumptions!$B$145*Forecast!$B$6)</f>
        <v>1.564e-05</v>
      </c>
    </row>
    <row r="1481">
      <c r="A1481" s="17" t="inlineStr">
        <is>
          <t>Total volume, mn t</t>
        </is>
      </c>
      <c r="C1481" s="28">
        <f>SUM(C1473:C1480)</f>
        <v>1.66444229485</v>
      </c>
      <c r="D1481" s="28">
        <f>SUM(D1473:D1480)</f>
        <v>1.70871556852</v>
      </c>
      <c r="E1481" s="28">
        <f>SUM(E1473:E1480)</f>
        <v>1.74798000264</v>
      </c>
      <c r="F1481" s="28">
        <f>SUM(F1473:F1480)</f>
        <v>1.78389402684</v>
      </c>
      <c r="G1481" s="28">
        <f>SUM(G1473:G1480)</f>
        <v>1.81710965772</v>
      </c>
    </row>
    <row r="1482">
      <c r="A1482" s="17" t="inlineStr">
        <is>
          <t>REVENUE</t>
        </is>
      </c>
      <c r="C1482" s="20">
        <f>C1473*'Product and Cost'!$F$6*C1472+C1474*'Product and Cost'!$F$7*C1472+C1475*'Product and Cost'!$F$8*C1472+C1476*'Product and Cost'!$F$9*C1472+C1477*'Product and Cost'!$F$10*C1472+C1478*'Product and Cost'!$F$11*C1472+C1479*'Product and Cost'!$F$12*C1472+C1480*'Product and Cost'!$F$13*C1472</f>
        <v>52840.8111141</v>
      </c>
      <c r="D1482" s="20">
        <f>D1473*'Product and Cost'!$F$6*D1472+D1474*'Product and Cost'!$F$7*D1472+D1475*'Product and Cost'!$F$8*D1472+D1476*'Product and Cost'!$F$9*D1472+D1477*'Product and Cost'!$F$10*D1472+D1478*'Product and Cost'!$F$11*D1472+D1479*'Product and Cost'!$F$12*D1472+D1480*'Product and Cost'!$F$13*D1472</f>
        <v>58432.1672543</v>
      </c>
      <c r="E1482" s="20">
        <f>E1473*'Product and Cost'!$F$6*E1472+E1474*'Product and Cost'!$F$7*E1472+E1475*'Product and Cost'!$F$8*E1472+E1476*'Product and Cost'!$F$9*E1472+E1477*'Product and Cost'!$F$10*E1472+E1478*'Product and Cost'!$F$11*E1472+E1479*'Product and Cost'!$F$12*E1472+E1480*'Product and Cost'!$F$13*E1472</f>
        <v>63772.6371781</v>
      </c>
      <c r="F1482" s="20">
        <f>F1473*'Product and Cost'!$F$6*F1472+F1474*'Product and Cost'!$F$7*F1472+F1475*'Product and Cost'!$F$8*F1472+F1476*'Product and Cost'!$F$9*F1472+F1477*'Product and Cost'!$F$10*F1472+F1478*'Product and Cost'!$F$11*F1472+F1479*'Product and Cost'!$F$12*F1472+F1480*'Product and Cost'!$F$13*F1472</f>
        <v>68952.1790369</v>
      </c>
      <c r="G1482" s="20">
        <f>G1473*'Product and Cost'!$F$6*G1472+G1474*'Product and Cost'!$F$7*G1472+G1475*'Product and Cost'!$F$8*G1472+G1476*'Product and Cost'!$F$9*G1472+G1477*'Product and Cost'!$F$10*G1472+G1478*'Product and Cost'!$F$11*G1472+G1479*'Product and Cost'!$F$12*G1472+G1480*'Product and Cost'!$F$13*G1472</f>
        <v>73977.8431827</v>
      </c>
    </row>
    <row r="1483">
      <c r="A1483" s="9" t="inlineStr">
        <is>
          <t>Cost of sales</t>
        </is>
      </c>
      <c r="C1483" s="18">
        <f>C1473*('Product and Cost'!$D$27*C1472*Assumptions!$B$88+'Product and Cost'!$B$27*(0.4863620081*C1471+0.4455809638*C1471+0.0356254898*C1472+0.0324315384))+C1474*('Product and Cost'!$D$28*C1472*Assumptions!$B$88+'Product and Cost'!$B$28*(0.4863620081*C1471+0.4455809638*C1471+0.0356254898*C1472+0.0324315384))+C1475*('Product and Cost'!$D$29*C1472*Assumptions!$B$88+'Product and Cost'!$B$29*(0.4863620081*C1471+0.4455809638*C1471+0.0356254898*C1472+0.0324315384))+C1476*('Product and Cost'!$D$30*C1472*Assumptions!$B$88+'Product and Cost'!$B$30*(0.4863620081*C1471+0.4455809638*C1471+0.0356254898*C1472+0.0324315384))+C1477*('Product and Cost'!$D$31*C1472*Assumptions!$B$88+'Product and Cost'!$B$31*(0.4863620081*C1471+0.4455809638*C1471+0.0356254898*C1472+0.0324315384))+C1478*('Product and Cost'!$D$32*C1472*Assumptions!$B$88+'Product and Cost'!$B$32*(0.4863620081*C1471+0.4455809638*C1471+0.0356254898*C1472+0.0324315384))+C1479*('Product and Cost'!$D$33*C1472*Assumptions!$B$88+'Product and Cost'!$B$33*(0.4863620081*C1471+0.4455809638*C1471+0.0356254898*C1472+0.0324315384))+C1480*('Product and Cost'!$D$34*C1472*Assumptions!$B$88+'Product and Cost'!$B$34*(0.4863620081*C1471+0.4455809638*C1471+0.0356254898*C1472+0.0324315384))</f>
        <v>48291.1604712</v>
      </c>
      <c r="D1483" s="18">
        <f>D1473*('Product and Cost'!$D$27*D1472*Assumptions!$B$88+'Product and Cost'!$B$27*(0.4863620081*D1471+0.4455809638*D1471+0.0356254898*D1472+0.0324315384))+D1474*('Product and Cost'!$D$28*D1472*Assumptions!$B$88+'Product and Cost'!$B$28*(0.4863620081*D1471+0.4455809638*D1471+0.0356254898*D1472+0.0324315384))+D1475*('Product and Cost'!$D$29*D1472*Assumptions!$B$88+'Product and Cost'!$B$29*(0.4863620081*D1471+0.4455809638*D1471+0.0356254898*D1472+0.0324315384))+D1476*('Product and Cost'!$D$30*D1472*Assumptions!$B$88+'Product and Cost'!$B$30*(0.4863620081*D1471+0.4455809638*D1471+0.0356254898*D1472+0.0324315384))+D1477*('Product and Cost'!$D$31*D1472*Assumptions!$B$88+'Product and Cost'!$B$31*(0.4863620081*D1471+0.4455809638*D1471+0.0356254898*D1472+0.0324315384))+D1478*('Product and Cost'!$D$32*D1472*Assumptions!$B$88+'Product and Cost'!$B$32*(0.4863620081*D1471+0.4455809638*D1471+0.0356254898*D1472+0.0324315384))+D1479*('Product and Cost'!$D$33*D1472*Assumptions!$B$88+'Product and Cost'!$B$33*(0.4863620081*D1471+0.4455809638*D1471+0.0356254898*D1472+0.0324315384))+D1480*('Product and Cost'!$D$34*D1472*Assumptions!$B$88+'Product and Cost'!$B$34*(0.4863620081*D1471+0.4455809638*D1471+0.0356254898*D1472+0.0324315384))</f>
        <v>53647.9823219</v>
      </c>
      <c r="E1483" s="18">
        <f>E1473*('Product and Cost'!$D$27*E1472*Assumptions!$B$88+'Product and Cost'!$B$27*(0.4863620081*E1471+0.4455809638*E1471+0.0356254898*E1472+0.0324315384))+E1474*('Product and Cost'!$D$28*E1472*Assumptions!$B$88+'Product and Cost'!$B$28*(0.4863620081*E1471+0.4455809638*E1471+0.0356254898*E1472+0.0324315384))+E1475*('Product and Cost'!$D$29*E1472*Assumptions!$B$88+'Product and Cost'!$B$29*(0.4863620081*E1471+0.4455809638*E1471+0.0356254898*E1472+0.0324315384))+E1476*('Product and Cost'!$D$30*E1472*Assumptions!$B$88+'Product and Cost'!$B$30*(0.4863620081*E1471+0.4455809638*E1471+0.0356254898*E1472+0.0324315384))+E1477*('Product and Cost'!$D$31*E1472*Assumptions!$B$88+'Product and Cost'!$B$31*(0.4863620081*E1471+0.4455809638*E1471+0.0356254898*E1472+0.0324315384))+E1478*('Product and Cost'!$D$32*E1472*Assumptions!$B$88+'Product and Cost'!$B$32*(0.4863620081*E1471+0.4455809638*E1471+0.0356254898*E1472+0.0324315384))+E1479*('Product and Cost'!$D$33*E1472*Assumptions!$B$88+'Product and Cost'!$B$33*(0.4863620081*E1471+0.4455809638*E1471+0.0356254898*E1472+0.0324315384))+E1480*('Product and Cost'!$D$34*E1472*Assumptions!$B$88+'Product and Cost'!$B$34*(0.4863620081*E1471+0.4455809638*E1471+0.0356254898*E1472+0.0324315384))</f>
        <v>58815.4011786</v>
      </c>
      <c r="F1483" s="18">
        <f>F1473*('Product and Cost'!$D$27*F1472*Assumptions!$B$88+'Product and Cost'!$B$27*(0.4863620081*F1471+0.4455809638*F1471+0.0356254898*F1472+0.0324315384))+F1474*('Product and Cost'!$D$28*F1472*Assumptions!$B$88+'Product and Cost'!$B$28*(0.4863620081*F1471+0.4455809638*F1471+0.0356254898*F1472+0.0324315384))+F1475*('Product and Cost'!$D$29*F1472*Assumptions!$B$88+'Product and Cost'!$B$29*(0.4863620081*F1471+0.4455809638*F1471+0.0356254898*F1472+0.0324315384))+F1476*('Product and Cost'!$D$30*F1472*Assumptions!$B$88+'Product and Cost'!$B$30*(0.4863620081*F1471+0.4455809638*F1471+0.0356254898*F1472+0.0324315384))+F1477*('Product and Cost'!$D$31*F1472*Assumptions!$B$88+'Product and Cost'!$B$31*(0.4863620081*F1471+0.4455809638*F1471+0.0356254898*F1472+0.0324315384))+F1478*('Product and Cost'!$D$32*F1472*Assumptions!$B$88+'Product and Cost'!$B$32*(0.4863620081*F1471+0.4455809638*F1471+0.0356254898*F1472+0.0324315384))+F1479*('Product and Cost'!$D$33*F1472*Assumptions!$B$88+'Product and Cost'!$B$33*(0.4863620081*F1471+0.4455809638*F1471+0.0356254898*F1472+0.0324315384))+F1480*('Product and Cost'!$D$34*F1472*Assumptions!$B$88+'Product and Cost'!$B$34*(0.4863620081*F1471+0.4455809638*F1471+0.0356254898*F1472+0.0324315384))</f>
        <v>63847.5732702</v>
      </c>
      <c r="G1483" s="18">
        <f>G1473*('Product and Cost'!$D$27*G1472*Assumptions!$B$88+'Product and Cost'!$B$27*(0.4863620081*G1471+0.4455809638*G1471+0.0356254898*G1472+0.0324315384))+G1474*('Product and Cost'!$D$28*G1472*Assumptions!$B$88+'Product and Cost'!$B$28*(0.4863620081*G1471+0.4455809638*G1471+0.0356254898*G1472+0.0324315384))+G1475*('Product and Cost'!$D$29*G1472*Assumptions!$B$88+'Product and Cost'!$B$29*(0.4863620081*G1471+0.4455809638*G1471+0.0356254898*G1472+0.0324315384))+G1476*('Product and Cost'!$D$30*G1472*Assumptions!$B$88+'Product and Cost'!$B$30*(0.4863620081*G1471+0.4455809638*G1471+0.0356254898*G1472+0.0324315384))+G1477*('Product and Cost'!$D$31*G1472*Assumptions!$B$88+'Product and Cost'!$B$31*(0.4863620081*G1471+0.4455809638*G1471+0.0356254898*G1472+0.0324315384))+G1478*('Product and Cost'!$D$32*G1472*Assumptions!$B$88+'Product and Cost'!$B$32*(0.4863620081*G1471+0.4455809638*G1471+0.0356254898*G1472+0.0324315384))+G1479*('Product and Cost'!$D$33*G1472*Assumptions!$B$88+'Product and Cost'!$B$33*(0.4863620081*G1471+0.4455809638*G1471+0.0356254898*G1472+0.0324315384))+G1480*('Product and Cost'!$D$34*G1472*Assumptions!$B$88+'Product and Cost'!$B$34*(0.4863620081*G1471+0.4455809638*G1471+0.0356254898*G1472+0.0324315384))</f>
        <v>68797.1859175</v>
      </c>
    </row>
    <row r="1484">
      <c r="A1484" s="17" t="inlineStr">
        <is>
          <t>GROSS PROFIT</t>
        </is>
      </c>
      <c r="C1484" s="20">
        <f>C1482-C1483+Forecast!$B$7*C1482</f>
        <v>4549.65064286</v>
      </c>
      <c r="D1484" s="20">
        <f>D1482-D1483+Forecast!$B$7*D1482</f>
        <v>4784.18493236</v>
      </c>
      <c r="E1484" s="20">
        <f>E1482-E1483+Forecast!$B$7*E1482</f>
        <v>4957.23599944</v>
      </c>
      <c r="F1484" s="20">
        <f>F1482-F1483+Forecast!$B$7*F1482</f>
        <v>5104.60576669</v>
      </c>
      <c r="G1484" s="20">
        <f>G1482-G1483+Forecast!$B$7*G1482</f>
        <v>5180.65726511</v>
      </c>
    </row>
    <row r="1485">
      <c r="A1485" s="9" t="inlineStr">
        <is>
          <t>Gross margin</t>
        </is>
      </c>
      <c r="C1485" s="19">
        <f>C1484/C1482</f>
        <v>0.0861010750391</v>
      </c>
      <c r="D1485" s="19">
        <f>D1484/D1482</f>
        <v>0.0818758768871</v>
      </c>
      <c r="E1485" s="19">
        <f>E1484/E1482</f>
        <v>0.0777329622672</v>
      </c>
      <c r="F1485" s="19">
        <f>F1484/F1482</f>
        <v>0.0740311015255</v>
      </c>
      <c r="G1485" s="19">
        <f>G1484/G1482</f>
        <v>0.0700298500501</v>
      </c>
    </row>
    <row r="1486">
      <c r="A1486" s="9" t="inlineStr">
        <is>
          <t>Operating expense</t>
        </is>
      </c>
      <c r="C1486" s="18">
        <f>('Base Year'!$B$28*C1471)+('Base Year'!$B$29*C1471*C1481/'Product and Cost'!$E$14)+('Base Year'!$B$30*C1471)+('Base Year'!$B$31*C1471)</f>
        <v>2007.6668112</v>
      </c>
      <c r="D1486" s="18">
        <f>('Base Year'!$B$28*D1471)+('Base Year'!$B$29*D1471*D1481/'Product and Cost'!$E$14)+('Base Year'!$B$30*D1471)+('Base Year'!$B$31*D1471)</f>
        <v>2276.29775955</v>
      </c>
      <c r="E1486" s="18">
        <f>('Base Year'!$B$28*E1471)+('Base Year'!$B$29*E1471*E1481/'Product and Cost'!$E$14)+('Base Year'!$B$30*E1471)+('Base Year'!$B$31*E1471)</f>
        <v>2545.62118024</v>
      </c>
      <c r="F1486" s="18">
        <f>('Base Year'!$B$28*F1471)+('Base Year'!$B$29*F1471*F1481/'Product and Cost'!$E$14)+('Base Year'!$B$30*F1471)+('Base Year'!$B$31*F1471)</f>
        <v>2807.77881104</v>
      </c>
      <c r="G1486" s="18">
        <f>('Base Year'!$B$28*G1471)+('Base Year'!$B$29*G1471*G1481/'Product and Cost'!$E$14)+('Base Year'!$B$30*G1471)+('Base Year'!$B$31*G1471)</f>
        <v>3082.20998189</v>
      </c>
    </row>
    <row r="1487">
      <c r="A1487" s="17" t="inlineStr">
        <is>
          <t>EBITDA</t>
        </is>
      </c>
      <c r="C1487" s="20">
        <f>C1484-C1486</f>
        <v>2541.98383166</v>
      </c>
      <c r="D1487" s="20">
        <f>D1484-D1486</f>
        <v>2507.88717281</v>
      </c>
      <c r="E1487" s="20">
        <f>E1484-E1486</f>
        <v>2411.6148192</v>
      </c>
      <c r="F1487" s="20">
        <f>F1484-F1486</f>
        <v>2296.82695565</v>
      </c>
      <c r="G1487" s="20">
        <f>G1484-G1486</f>
        <v>2098.44728323</v>
      </c>
    </row>
    <row r="1488">
      <c r="A1488" s="9" t="inlineStr">
        <is>
          <t>Capital expenditure — maintenance + growth</t>
        </is>
      </c>
      <c r="C1488" s="18">
        <f>'Base Year'!$B$43*C1471+MAX(C1481-'Product and Cost'!$E$14,0)*1947.901031*C1471</f>
        <v>280.931999159</v>
      </c>
      <c r="D1488" s="18">
        <f>'Base Year'!$B$43*D1471+MAX(D1481-C1481,0)*1947.901031*D1471</f>
        <v>307.3675836</v>
      </c>
      <c r="E1488" s="18">
        <f>'Base Year'!$B$43*E1471+MAX(E1481-D1481,0)*1947.901031*E1471</f>
        <v>328.639389001</v>
      </c>
      <c r="F1488" s="18">
        <f>'Base Year'!$B$43*F1471+MAX(F1481-E1481,0)*1947.901031*F1471</f>
        <v>351.146749034</v>
      </c>
      <c r="G1488" s="18">
        <f>'Base Year'!$B$43*G1471+MAX(G1481-F1481,0)*1947.901031*G1471</f>
        <v>375.372179467</v>
      </c>
    </row>
    <row r="1489">
      <c r="A1489" s="9" t="inlineStr">
        <is>
          <t>Fixed assets at cost, closing</t>
        </is>
      </c>
      <c r="C1489" s="18">
        <f>(Assumptions!$B$70+Assumptions!$B$71)/10^6+C1488</f>
        <v>3429.06589416</v>
      </c>
      <c r="D1489" s="18">
        <f>C1489+D1488</f>
        <v>3736.43347776</v>
      </c>
      <c r="E1489" s="18">
        <f>D1489+E1488</f>
        <v>4065.07286676</v>
      </c>
      <c r="F1489" s="18">
        <f>E1489+F1488</f>
        <v>4416.21961579</v>
      </c>
      <c r="G1489" s="18">
        <f>F1489+G1488</f>
        <v>4791.59179526</v>
      </c>
    </row>
    <row r="1490">
      <c r="A1490" s="9" t="inlineStr">
        <is>
          <t>Depreciation — rolls off the asset register</t>
        </is>
      </c>
      <c r="C1490" s="18">
        <f>(Assumptions!$B$70+Assumptions!$B$71)/10^6/'Base Year'!$B$42</f>
        <v>173.808854481</v>
      </c>
      <c r="D1490" s="18">
        <f>C1489/'Base Year'!$B$42</f>
        <v>189.319144255</v>
      </c>
      <c r="E1490" s="18">
        <f>D1489/'Base Year'!$B$42</f>
        <v>206.288945856</v>
      </c>
      <c r="F1490" s="18">
        <f>E1489/'Base Year'!$B$42</f>
        <v>224.433166415</v>
      </c>
      <c r="G1490" s="18">
        <f>F1489/'Base Year'!$B$42</f>
        <v>243.820021053</v>
      </c>
    </row>
    <row r="1491">
      <c r="A1491" s="9" t="inlineStr">
        <is>
          <t>Fixed assets, net book, closing</t>
        </is>
      </c>
      <c r="C1491" s="18">
        <f>(Assumptions!$B$69+Assumptions!$B$71)/10^6+C1488-C1490</f>
        <v>1407.46262168</v>
      </c>
      <c r="D1491" s="18">
        <f>C1491+D1488-D1490</f>
        <v>1525.51106102</v>
      </c>
      <c r="E1491" s="18">
        <f>D1491+E1488-E1490</f>
        <v>1647.86150417</v>
      </c>
      <c r="F1491" s="18">
        <f>E1491+F1488-F1490</f>
        <v>1774.57508679</v>
      </c>
      <c r="G1491" s="18">
        <f>F1491+G1488-G1490</f>
        <v>1906.1272452</v>
      </c>
    </row>
    <row r="1492">
      <c r="A1492" s="17" t="inlineStr">
        <is>
          <t>EBIT</t>
        </is>
      </c>
      <c r="C1492" s="20">
        <f>C1487-C1490</f>
        <v>2368.17497718</v>
      </c>
      <c r="D1492" s="20">
        <f>D1487-D1490</f>
        <v>2318.56802856</v>
      </c>
      <c r="E1492" s="20">
        <f>E1487-E1490</f>
        <v>2205.32587334</v>
      </c>
      <c r="F1492" s="20">
        <f>F1487-F1490</f>
        <v>2072.39378923</v>
      </c>
      <c r="G1492" s="20">
        <f>G1487-G1490</f>
        <v>1854.62726217</v>
      </c>
    </row>
    <row r="1493">
      <c r="A1493" s="9" t="inlineStr">
        <is>
          <t>NOPAT before the profit share</t>
        </is>
      </c>
      <c r="C1493" s="18">
        <f>C1492*(1-Assumptions!$B$87)</f>
        <v>1835.33560732</v>
      </c>
      <c r="D1493" s="18">
        <f>D1492*(1-Assumptions!$B$87)</f>
        <v>1796.89022213</v>
      </c>
      <c r="E1493" s="18">
        <f>E1492*(1-Assumptions!$B$87)</f>
        <v>1709.12755184</v>
      </c>
      <c r="F1493" s="18">
        <f>F1492*(1-Assumptions!$B$87)</f>
        <v>1606.10518666</v>
      </c>
      <c r="G1493" s="18">
        <f>G1492*(1-Assumptions!$B$87)</f>
        <v>1437.33612818</v>
      </c>
    </row>
    <row r="1494">
      <c r="A1494" s="9" t="inlineStr">
        <is>
          <t xml:space="preserve">  less employees' profit share and board bonuses</t>
        </is>
      </c>
      <c r="C1494" s="18">
        <f>MAX(C1493,0)*'Base Year'!$B$40</f>
        <v>96.7608009272</v>
      </c>
      <c r="D1494" s="18">
        <f>MAX(D1493,0)*'Base Year'!$B$40</f>
        <v>94.7339202588</v>
      </c>
      <c r="E1494" s="18">
        <f>MAX(E1493,0)*'Base Year'!$B$40</f>
        <v>90.1069810576</v>
      </c>
      <c r="F1494" s="18">
        <f>MAX(F1493,0)*'Base Year'!$B$40</f>
        <v>84.6755348801</v>
      </c>
      <c r="G1494" s="18">
        <f>MAX(G1493,0)*'Base Year'!$B$40</f>
        <v>75.7778546933</v>
      </c>
    </row>
    <row r="1495">
      <c r="A1495" s="17" t="inlineStr">
        <is>
          <t>NOPAT</t>
        </is>
      </c>
      <c r="C1495" s="20">
        <f>C1493-C1494</f>
        <v>1738.57480639</v>
      </c>
      <c r="D1495" s="20">
        <f>D1493-D1494</f>
        <v>1702.15630187</v>
      </c>
      <c r="E1495" s="20">
        <f>E1493-E1494</f>
        <v>1619.02057078</v>
      </c>
      <c r="F1495" s="20">
        <f>F1493-F1494</f>
        <v>1521.42965178</v>
      </c>
      <c r="G1495" s="20">
        <f>G1493-G1494</f>
        <v>1361.55827349</v>
      </c>
    </row>
    <row r="1496">
      <c r="A1496" s="9" t="inlineStr">
        <is>
          <t>Net working capital — on days</t>
        </is>
      </c>
      <c r="C1496" s="18">
        <f>'Base Year'!$B$44*Forecast!$B$9/365*C1483+'Base Year'!$B$45*Forecast!$B$9/365*C1482-'Base Year'!$B$46*Forecast!$B$9/365*C1483</f>
        <v>2539.69193722</v>
      </c>
      <c r="D1496" s="18">
        <f>'Base Year'!$B$44*Forecast!$B$9/365*D1483+'Base Year'!$B$45*Forecast!$B$9/365*D1482-'Base Year'!$B$46*Forecast!$B$9/365*D1483</f>
        <v>2816.01103091</v>
      </c>
      <c r="E1496" s="18">
        <f>'Base Year'!$B$44*Forecast!$B$9/365*E1483+'Base Year'!$B$45*Forecast!$B$9/365*E1482-'Base Year'!$B$46*Forecast!$B$9/365*E1483</f>
        <v>3081.49643011</v>
      </c>
      <c r="F1496" s="18">
        <f>'Base Year'!$B$44*Forecast!$B$9/365*F1483+'Base Year'!$B$45*Forecast!$B$9/365*F1482-'Base Year'!$B$46*Forecast!$B$9/365*F1483</f>
        <v>3339.61025534</v>
      </c>
      <c r="G1496" s="18">
        <f>'Base Year'!$B$44*Forecast!$B$9/365*G1483+'Base Year'!$B$45*Forecast!$B$9/365*G1482-'Base Year'!$B$46*Forecast!$B$9/365*G1483</f>
        <v>3592.11140979</v>
      </c>
    </row>
    <row r="1497">
      <c r="A1497" s="9" t="inlineStr">
        <is>
          <t xml:space="preserve">  change in working capital</t>
        </is>
      </c>
      <c r="C1497" s="18">
        <f>C1496-('Base Year'!$B$44/365*'Base Year'!$B$21+'Base Year'!$B$45/365*'Base Year'!$B$19-'Base Year'!$B$46/365*'Base Year'!$B$21)</f>
        <v>288.28964822</v>
      </c>
      <c r="D1497" s="18">
        <f>D1496-C1496</f>
        <v>276.319093691</v>
      </c>
      <c r="E1497" s="18">
        <f>E1496-D1496</f>
        <v>265.485399203</v>
      </c>
      <c r="F1497" s="18">
        <f>F1496-E1496</f>
        <v>258.113825222</v>
      </c>
      <c r="G1497" s="18">
        <f>G1496-F1496</f>
        <v>252.501154457</v>
      </c>
    </row>
    <row r="1498">
      <c r="A1498" s="17" t="inlineStr">
        <is>
          <t>FREE CASH FLOW TO THE FIRM</t>
        </is>
      </c>
      <c r="C1498" s="20">
        <f>C1495+C1490-C1488-C1497</f>
        <v>1343.16201349</v>
      </c>
      <c r="D1498" s="20">
        <f>D1495+D1490-D1488-D1497</f>
        <v>1307.78876884</v>
      </c>
      <c r="E1498" s="20">
        <f>E1495+E1490-E1488-E1497</f>
        <v>1231.18472844</v>
      </c>
      <c r="F1498" s="20">
        <f>F1495+F1490-F1488-F1497</f>
        <v>1136.60224393</v>
      </c>
      <c r="G1498" s="20">
        <f>G1495+G1490-G1488-G1497</f>
        <v>977.504960621</v>
      </c>
    </row>
    <row r="1499">
      <c r="A1499" s="9" t="inlineStr">
        <is>
          <t>Glide fraction</t>
        </is>
      </c>
      <c r="C1499" s="26">
        <f>0.0000000000</f>
        <v>0</v>
      </c>
      <c r="D1499" s="26">
        <f>0.3571428571</f>
        <v>0.3571428571</v>
      </c>
      <c r="E1499" s="26">
        <f>0.6428571429</f>
        <v>0.6428571429</v>
      </c>
      <c r="F1499" s="26">
        <f>0.8571428571</f>
        <v>0.8571428571</v>
      </c>
      <c r="G1499" s="26">
        <f>1.0000000000</f>
        <v>1</v>
      </c>
    </row>
    <row r="1500">
      <c r="A1500" s="9" t="inlineStr">
        <is>
          <t>Forward cost of capital</t>
        </is>
      </c>
      <c r="C1500" s="19">
        <f>Forecast!$B$14-(Forecast!$B$14-Forecast!$B$17)*C1499</f>
        <v>0.31578338914</v>
      </c>
      <c r="D1500" s="19">
        <f>Forecast!$B$14-(Forecast!$B$14-Forecast!$B$17)*D1499</f>
        <v>0.268515637955</v>
      </c>
      <c r="E1500" s="19">
        <f>Forecast!$B$14-(Forecast!$B$14-Forecast!$B$17)*E1499</f>
        <v>0.230701436991</v>
      </c>
      <c r="F1500" s="19">
        <f>Forecast!$B$14-(Forecast!$B$14-Forecast!$B$17)*F1499</f>
        <v>0.202340786287</v>
      </c>
      <c r="G1500" s="19">
        <f>Forecast!$B$14-(Forecast!$B$14-Forecast!$B$17)*G1499</f>
        <v>0.183433685805</v>
      </c>
    </row>
    <row r="1501">
      <c r="A1501" s="9" t="inlineStr">
        <is>
          <t>Cumulative discount factor</t>
        </is>
      </c>
      <c r="C1501" s="29">
        <f>1/(1+C1500)</f>
        <v>0.760003514449</v>
      </c>
      <c r="D1501" s="29">
        <f>C1501/(1+D1500)</f>
        <v>0.599128218612</v>
      </c>
      <c r="E1501" s="29">
        <f>D1501/(1+E1500)</f>
        <v>0.486818492775</v>
      </c>
      <c r="F1501" s="29">
        <f>E1501/(1+F1500)</f>
        <v>0.404892272081</v>
      </c>
      <c r="G1501" s="29">
        <f>F1501/(1+G1500)</f>
        <v>0.342133468852</v>
      </c>
    </row>
    <row r="1502">
      <c r="A1502" s="9" t="inlineStr">
        <is>
          <t>Present value</t>
        </is>
      </c>
      <c r="C1502" s="18">
        <f>C1498*C1501</f>
        <v>1020.80785073</v>
      </c>
      <c r="D1502" s="18">
        <f>D1498*D1501</f>
        <v>783.533155394</v>
      </c>
      <c r="E1502" s="18">
        <f>E1498*E1501</f>
        <v>599.363493825</v>
      </c>
      <c r="F1502" s="18">
        <f>F1498*F1501</f>
        <v>460.201464998</v>
      </c>
      <c r="G1502" s="18">
        <f>G1498*G1501</f>
        <v>334.437162997</v>
      </c>
    </row>
    <row r="1503">
      <c r="A1503" s="17" t="inlineStr">
        <is>
          <t>PV of the explicit window</t>
        </is>
      </c>
      <c r="B1503" s="20">
        <f>SUM(C1502:G1502)</f>
        <v>3198.34312794</v>
      </c>
      <c r="C1503" s="18">
        <f>C1496+C1489</f>
        <v>5968.75783138</v>
      </c>
      <c r="D1503" s="18">
        <f>D1496+D1489</f>
        <v>6552.44450867</v>
      </c>
      <c r="E1503" s="18">
        <f>E1496+E1489</f>
        <v>7146.56929687</v>
      </c>
      <c r="F1503" s="18">
        <f>F1496+F1489</f>
        <v>7755.82987113</v>
      </c>
      <c r="G1503" s="18">
        <f>G1496+G1489</f>
        <v>8383.70320505</v>
      </c>
    </row>
    <row r="1504">
      <c r="A1504" s="9" t="inlineStr">
        <is>
          <t>Terminal return on invested capital, at REPLACEMENT cost</t>
        </is>
      </c>
      <c r="B1504" s="19">
        <f>G1495*(1+$H$45)/G1503</f>
        <v>0.173773727075</v>
      </c>
    </row>
    <row r="1505">
      <c r="A1505" s="9" t="inlineStr">
        <is>
          <t>Required reinvestment = growth / return</t>
        </is>
      </c>
      <c r="B1505" s="19">
        <f>MIN($H$45/B1504,0.95)</f>
        <v>0.402822688896</v>
      </c>
    </row>
    <row r="1506">
      <c r="A1506" s="9" t="inlineStr">
        <is>
          <t>Terminal value</t>
        </is>
      </c>
      <c r="B1506" s="18">
        <f>G1495*(1+$H$45)*(1-B1505)/MAX(Forecast!$B$17-$H$45,0.02)</f>
        <v>7669.7510277</v>
      </c>
    </row>
    <row r="1507">
      <c r="A1507" s="9" t="inlineStr">
        <is>
          <t>PV of the terminal block</t>
        </is>
      </c>
      <c r="B1507" s="18">
        <f>B1506*G1501</f>
        <v>2624.07852434</v>
      </c>
    </row>
    <row r="1508">
      <c r="A1508" s="17" t="inlineStr">
        <is>
          <t>ENTERPRISE VALUE</t>
        </is>
      </c>
      <c r="B1508" s="20">
        <f>B1503+B1507</f>
        <v>5822.42165228</v>
      </c>
    </row>
    <row r="1509">
      <c r="A1509" s="9" t="inlineStr">
        <is>
          <t>plus net cash</t>
        </is>
      </c>
      <c r="B1509" s="18">
        <f>(Assumptions!$B$79-Assumptions!$B$82-Assumptions!$B$83)/10^6</f>
        <v>2442.544928</v>
      </c>
    </row>
    <row r="1510">
      <c r="A1510" s="9" t="inlineStr">
        <is>
          <t>Enterprise value including cash</t>
        </is>
      </c>
      <c r="B1510" s="18">
        <f>B1508+B1509</f>
        <v>8264.96658028</v>
      </c>
    </row>
    <row r="1511">
      <c r="A1511" s="9" t="inlineStr">
        <is>
          <t>less minority — on the WHOLE enterprise, cash included</t>
        </is>
      </c>
      <c r="B1511" s="18">
        <f>B1510*'Base Year'!$B$41</f>
        <v>269.292800211</v>
      </c>
    </row>
    <row r="1512">
      <c r="A1512" s="9" t="inlineStr">
        <is>
          <t>less the tax-disputes provision</t>
        </is>
      </c>
      <c r="B1512" s="18">
        <f>Assumptions!$B$78/10^6</f>
        <v>921.440353</v>
      </c>
    </row>
    <row r="1513">
      <c r="A1513" s="9" t="inlineStr">
        <is>
          <t>less dividends payable — declared, out of working capital</t>
        </is>
      </c>
      <c r="B1513" s="18">
        <f>Assumptions!$B$77/10^6</f>
        <v>517.25</v>
      </c>
    </row>
    <row r="1514">
      <c r="A1514" s="9" t="inlineStr">
        <is>
          <t>plus non-operating investments and pledged deposits</t>
        </is>
      </c>
      <c r="B1514" s="18">
        <f>(Assumptions!$B$81+Assumptions!$B$80)/10^6</f>
        <v>578.358746</v>
      </c>
    </row>
    <row r="1515">
      <c r="A1515" s="17" t="inlineStr">
        <is>
          <t>EQUITY ATTRIBUTABLE</t>
        </is>
      </c>
      <c r="B1515" s="20">
        <f>B1510-B1511-B1512-B1513+B1514</f>
        <v>7135.34217307</v>
      </c>
    </row>
    <row r="1516">
      <c r="A1516" s="17" t="inlineStr">
        <is>
          <t>VALUE PER SHARE, EGP</t>
        </is>
      </c>
      <c r="B1516" s="30">
        <f>B1515/Assumptions!$B$8</f>
        <v>5.52484875963</v>
      </c>
    </row>
  </sheetData>
  <mergeCells count="1">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I18"/>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9" t="inlineStr">
        <is>
          <t>Base-year EBITDA</t>
        </is>
      </c>
      <c r="B5" s="18">
        <f>'Base Year'!B20-'Base Year'!B28-'Base Year'!B29-'Base Year'!B30-'Base Year'!B31+'Base Year'!B32</f>
        <v>2629.19655988</v>
      </c>
    </row>
    <row r="6">
      <c r="A6" s="9" t="inlineStr">
        <is>
          <t>Enterprise value at spot</t>
        </is>
      </c>
      <c r="B6" s="18">
        <f>Assumptions!$B$7*Assumptions!$B$8+(Assumptions!$B$82+Assumptions!$B$83-Assumptions!$B$79)/10^6</f>
        <v>9310.105072</v>
      </c>
    </row>
    <row r="7">
      <c r="A7" s="9" t="inlineStr">
        <is>
          <t>The company's OWN trailing EV/EBITDA</t>
        </is>
      </c>
      <c r="B7" s="32">
        <f>B6/B5</f>
        <v>3.54104566165</v>
      </c>
    </row>
    <row r="8">
      <c r="A8" s="9" t="inlineStr">
        <is>
          <t>Justified multiple = trailing x (1 + re-rating)</t>
        </is>
      </c>
      <c r="B8" s="33">
        <f>B7*(1+Assumptions!$B$92)</f>
        <v>3.54104566165</v>
      </c>
    </row>
    <row r="10">
      <c r="A10" s="7" t="inlineStr">
        <is>
          <t>LENS 1 — discounted cash flow</t>
        </is>
      </c>
      <c r="B10" s="34">
        <f>Forecast!B65</f>
        <v>5.49997218636</v>
      </c>
      <c r="C10" s="8" t="n"/>
      <c r="D10" s="8" t="n"/>
      <c r="E10" s="8" t="n"/>
      <c r="F10" s="8" t="n"/>
      <c r="G10" s="8" t="n"/>
    </row>
    <row r="11">
      <c r="A11" s="17" t="inlineStr">
        <is>
          <t>LENS 2 — relative multiples, on the trailing metric</t>
        </is>
      </c>
      <c r="B11" s="18">
        <f>(B8*B5-(Assumptions!$B$82+Assumptions!$B$83-Assumptions!$B$79)/10^6)*(1-'Base Year'!B41)-(Assumptions!$B$78+Assumptions!$B$77-Assumptions!$B$81-Assumptions!$B$80)/10^6</f>
        <v>10509.3883475</v>
      </c>
      <c r="C11" s="30">
        <f>B11/Assumptions!$B$8</f>
        <v>8.13735063688</v>
      </c>
    </row>
    <row r="12">
      <c r="A12" s="17" t="inlineStr">
        <is>
          <t>LENS 3 — normalised earnings power, DISCOUNTED</t>
        </is>
      </c>
      <c r="B12" s="18">
        <f>Forecast!E41</f>
        <v>2205.32587334</v>
      </c>
      <c r="C12" s="26">
        <f>B12*(1-Assumptions!$B$87)*(1-'Base Year'!B40)*(1-'Base Year'!B41)/Assumptions!$B$8</f>
        <v>1.21275178147</v>
      </c>
      <c r="D12" s="30">
        <f>C12*Assumptions!$B$91/(1+Forecast!B10)^2.4+((Assumptions!$B$79-Assumptions!$B$82-Assumptions!$B$83-Assumptions!$B$78-Assumptions!$B$77)/10^6)/Assumptions!$B$8</f>
        <v>5.82952486453</v>
      </c>
    </row>
    <row r="13">
      <c r="A13" s="17" t="inlineStr">
        <is>
          <t>LENS 4 — book value and sustainable return</t>
        </is>
      </c>
      <c r="B13" s="35">
        <f>Assumptions!$B$84/10^6/Assumptions!$B$8</f>
        <v>3.70940452807</v>
      </c>
      <c r="C13" s="19">
        <f>0.2366443942</f>
        <v>0.2366443942</v>
      </c>
      <c r="D13" s="32">
        <f>(Assumptions!$B$90-Assumptions!$B$89)/(C13-Assumptions!$B$89)</f>
        <v>1.23228989001</v>
      </c>
      <c r="E13" s="30">
        <f>B13*D13</f>
        <v>4.5710616979</v>
      </c>
    </row>
    <row r="15">
      <c r="A15" s="7" t="inlineStr">
        <is>
          <t>WEIGHTED CENTRAL</t>
        </is>
      </c>
      <c r="B15" s="36">
        <f>B10*Assumptions!$B$168+C11*Assumptions!$B$169+D12*Assumptions!$B$170+E13*Assumptions!$B$171</f>
        <v>5.95402183883</v>
      </c>
      <c r="C15" s="8" t="n"/>
      <c r="D15" s="8" t="n"/>
      <c r="E15" s="8" t="n"/>
      <c r="F15" s="8" t="n"/>
      <c r="G15" s="8" t="n"/>
    </row>
    <row r="16">
      <c r="A16" s="9" t="inlineStr">
        <is>
          <t>against spot</t>
        </is>
      </c>
      <c r="B16" s="37">
        <f>B15/Assumptions!$B$7-1</f>
        <v>-0.345711885843</v>
      </c>
    </row>
    <row r="18" ht="44" customHeight="1">
      <c r="A18" s="22" t="inlineStr">
        <is>
          <t>The weighted range on the Summary sheet is the bear and bull columns weighted with these same weights. The previous edition labelled a row "weighted central" and then took the minimum and maximum across the four lenses — both of which came from the cash-flow lens alone — so the word "weighted" applied to the centre and not to the ends, and the published spread was about two and a half times too wide.</t>
        </is>
      </c>
    </row>
  </sheetData>
  <mergeCells count="2">
    <mergeCell ref="A18:I18"/>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2026-08-08T11:48:51Z</dcterms:created>
  <dcterms:modified xmlns:dcterms="http://purl.org/dc/terms/" xmlns:xsi="http://www.w3.org/2001/XMLSchema-instance" xsi:type="dcterms:W3CDTF">2026-08-08T11:48:52Z</dcterms:modified>
</cp:coreProperties>
</file>