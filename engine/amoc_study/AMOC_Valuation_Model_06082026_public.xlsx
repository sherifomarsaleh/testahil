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EV Bridge" sheetId="5" state="visible" r:id="rId5"/>
    <sheet xmlns:r="http://schemas.openxmlformats.org/officeDocument/2006/relationships" name="Product Line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0;(0.00);&quot;-&quot;"/>
    <numFmt numFmtId="165" formatCode="#,##0.0;(#,##0.0);&quot;-&quot;"/>
    <numFmt numFmtId="166" formatCode="#,##0;(#,##0);&quot;-&quot;"/>
    <numFmt numFmtId="167" formatCode="#,##0.000"/>
    <numFmt numFmtId="168" formatCode="0.0%;(0.0%);&quot;-&quot;"/>
    <numFmt numFmtId="169" formatCode="0.000"/>
    <numFmt numFmtId="170" formatCode="0.00x"/>
    <numFmt numFmtId="171" formatCode="0.0000"/>
  </numFmts>
  <fonts count="11">
    <font>
      <name val="Calibri"/>
      <family val="2"/>
      <color theme="1"/>
      <sz val="11"/>
      <scheme val="minor"/>
    </font>
    <font>
      <b val="1"/>
      <color rgb="00F6F1E6"/>
      <sz val="13"/>
    </font>
    <font>
      <color rgb="006E7B77"/>
      <sz val="9"/>
    </font>
    <font>
      <b val="1"/>
    </font>
    <font>
      <b val="1"/>
      <color rgb="00000000"/>
    </font>
    <font>
      <color rgb="00000000"/>
    </font>
    <font>
      <color rgb="000000FF"/>
    </font>
    <font>
      <color rgb="00008000"/>
    </font>
    <font>
      <b val="1"/>
      <color rgb="00008000"/>
    </font>
    <font>
      <sz val="10"/>
    </font>
    <font>
      <b val="1"/>
      <sz val="1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52">
    <xf numFmtId="0" fontId="0" fillId="0" borderId="0" pivotButton="0" quotePrefix="0" xfId="0"/>
    <xf numFmtId="0" fontId="1" fillId="2" borderId="0" pivotButton="0" quotePrefix="0" xfId="0"/>
    <xf numFmtId="0" fontId="0" fillId="2" borderId="0" pivotButton="0" quotePrefix="0" xfId="0"/>
    <xf numFmtId="0" fontId="9" fillId="0" borderId="0" pivotButton="0" quotePrefix="0" xfId="0"/>
    <xf numFmtId="0" fontId="10" fillId="0" borderId="0" pivotButton="0" quotePrefix="0" xfId="0"/>
    <xf numFmtId="0" fontId="4" fillId="3" borderId="0" pivotButton="0" quotePrefix="0" xfId="0"/>
    <xf numFmtId="0" fontId="3" fillId="3" borderId="0" pivotButton="0" quotePrefix="0" xfId="0"/>
    <xf numFmtId="0" fontId="5" fillId="0" borderId="0" pivotButton="0" quotePrefix="0" xfId="0"/>
    <xf numFmtId="164" fontId="7" fillId="0" borderId="0" pivotButton="0" quotePrefix="0" xfId="0"/>
    <xf numFmtId="168" fontId="7" fillId="0" borderId="0" pivotButton="0" quotePrefix="0" xfId="0"/>
    <xf numFmtId="10" fontId="7" fillId="0" borderId="0" pivotButton="0" quotePrefix="0" xfId="0"/>
    <xf numFmtId="0" fontId="2" fillId="0" borderId="0" pivotButton="0" quotePrefix="0" xfId="0"/>
    <xf numFmtId="0" fontId="3" fillId="4" borderId="0" pivotButton="0" quotePrefix="0" xfId="0"/>
    <xf numFmtId="0" fontId="4" fillId="0" borderId="0" pivotButton="0" quotePrefix="0" xfId="0"/>
    <xf numFmtId="164" fontId="4" fillId="0" borderId="0" pivotButton="0" quotePrefix="0" xfId="0"/>
    <xf numFmtId="168" fontId="4" fillId="0" borderId="0" pivotButton="0" quotePrefix="0" xfId="0"/>
    <xf numFmtId="168" fontId="5" fillId="0" borderId="0" pivotButton="0" quotePrefix="0" xfId="0"/>
    <xf numFmtId="166" fontId="5" fillId="0" borderId="0" pivotButton="0" quotePrefix="0" xfId="0"/>
    <xf numFmtId="166" fontId="7" fillId="0" borderId="0" pivotButton="0" quotePrefix="0" xfId="0"/>
    <xf numFmtId="170" fontId="7" fillId="0" borderId="0" pivotButton="0" quotePrefix="0" xfId="0"/>
    <xf numFmtId="164" fontId="5" fillId="0" borderId="0" pivotButton="0" quotePrefix="0" xfId="0"/>
    <xf numFmtId="0" fontId="2" fillId="0" borderId="0" applyAlignment="1" pivotButton="0" quotePrefix="0" xfId="0">
      <alignment vertical="top" wrapText="1"/>
    </xf>
    <xf numFmtId="164" fontId="6" fillId="0" borderId="0" pivotButton="0" quotePrefix="0" xfId="0"/>
    <xf numFmtId="165" fontId="7" fillId="0" borderId="0" pivotButton="0" quotePrefix="0" xfId="0"/>
    <xf numFmtId="166" fontId="6" fillId="0" borderId="0" pivotButton="0" quotePrefix="0" xfId="0"/>
    <xf numFmtId="171" fontId="5" fillId="0" borderId="0" pivotButton="0" quotePrefix="0" xfId="0"/>
    <xf numFmtId="165" fontId="6" fillId="0" borderId="0" pivotButton="0" quotePrefix="0" xfId="0"/>
    <xf numFmtId="167" fontId="6" fillId="0" borderId="0" pivotButton="0" quotePrefix="0" xfId="0"/>
    <xf numFmtId="168" fontId="6" fillId="0" borderId="0" pivotButton="0" quotePrefix="0" xfId="0"/>
    <xf numFmtId="2" fontId="6" fillId="0" borderId="0" pivotButton="0" quotePrefix="0" xfId="0"/>
    <xf numFmtId="10" fontId="6" fillId="0" borderId="0" pivotButton="0" quotePrefix="0" xfId="0"/>
    <xf numFmtId="169" fontId="6" fillId="0" borderId="0" pivotButton="0" quotePrefix="0" xfId="0"/>
    <xf numFmtId="170" fontId="6" fillId="0" borderId="0" pivotButton="0" quotePrefix="0" xfId="0"/>
    <xf numFmtId="166" fontId="4" fillId="0" borderId="0" pivotButton="0" quotePrefix="0" xfId="0"/>
    <xf numFmtId="168" fontId="8" fillId="0" borderId="0" pivotButton="0" quotePrefix="0" xfId="0"/>
    <xf numFmtId="165" fontId="5" fillId="0" borderId="0" pivotButton="0" quotePrefix="0" xfId="0"/>
    <xf numFmtId="166" fontId="8" fillId="0" borderId="0" pivotButton="0" quotePrefix="0" xfId="0"/>
    <xf numFmtId="165" fontId="8" fillId="0" borderId="0" pivotButton="0" quotePrefix="0" xfId="0"/>
    <xf numFmtId="167" fontId="7" fillId="0" borderId="0" pivotButton="0" quotePrefix="0" xfId="0"/>
    <xf numFmtId="167" fontId="5" fillId="0" borderId="0" pivotButton="0" quotePrefix="0" xfId="0"/>
    <xf numFmtId="167" fontId="4" fillId="0" borderId="0" pivotButton="0" quotePrefix="0" xfId="0"/>
    <xf numFmtId="171" fontId="4" fillId="0" borderId="0" pivotButton="0" quotePrefix="0" xfId="0"/>
    <xf numFmtId="2" fontId="7" fillId="0" borderId="0" pivotButton="0" quotePrefix="0" xfId="0"/>
    <xf numFmtId="10" fontId="5" fillId="0" borderId="0" pivotButton="0" quotePrefix="0" xfId="0"/>
    <xf numFmtId="10" fontId="4" fillId="0" borderId="0" pivotButton="0" quotePrefix="0" xfId="0"/>
    <xf numFmtId="171" fontId="7" fillId="0" borderId="0" pivotButton="0" quotePrefix="0" xfId="0"/>
    <xf numFmtId="170" fontId="5" fillId="0" borderId="0" pivotButton="0" quotePrefix="0" xfId="0"/>
    <xf numFmtId="164" fontId="8" fillId="0" borderId="0" pivotButton="0" quotePrefix="0" xfId="0"/>
    <xf numFmtId="169" fontId="7" fillId="0" borderId="0" pivotButton="0" quotePrefix="0" xfId="0"/>
    <xf numFmtId="169" fontId="5" fillId="0" borderId="0" pivotButton="0" quotePrefix="0" xfId="0"/>
    <xf numFmtId="0" fontId="6" fillId="0" borderId="0" pivotButton="0" quotePrefix="0" xfId="0"/>
    <xf numFmtId="1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10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Testahil — Alexandria Mineral Oils Company S.A.E. (EGX: AMOC)</t>
        </is>
      </c>
      <c r="B1" s="2" t="n"/>
      <c r="C1" s="2" t="n"/>
      <c r="D1" s="2" t="n"/>
      <c r="E1" s="2" t="n"/>
      <c r="F1" s="2" t="n"/>
      <c r="G1" s="2" t="n"/>
      <c r="H1" s="2" t="n"/>
      <c r="I1" s="2" t="n"/>
    </row>
    <row r="2"/>
    <row r="3"/>
    <row r="4">
      <c r="A4" s="3" t="inlineStr">
        <is>
          <t>Companion model · Independent valuation study · Educational analysis · Not investment advice</t>
        </is>
      </c>
    </row>
    <row r="5">
      <c r="A5" s="3" t="inlineStr"/>
    </row>
    <row r="6">
      <c r="A6" s="3" t="inlineStr">
        <is>
          <t>WHAT THIS WORKBOOK IS. A transparent companion to the AMOC valuation study. Blue cells are inputs;</t>
        </is>
      </c>
    </row>
    <row r="7">
      <c r="A7" s="3" t="inlineStr">
        <is>
          <t>black cells are formulas; green cells link across sheets.</t>
        </is>
      </c>
    </row>
    <row r="8">
      <c r="A8" s="3" t="inlineStr"/>
    </row>
    <row r="9">
      <c r="A9" s="3" t="inlineStr">
        <is>
          <t>IT CALCULATES — IT DOES NOT STORE. Every figure that can be derived arithmetically from a driver is a</t>
        </is>
      </c>
    </row>
    <row r="10">
      <c r="A10" s="3" t="inlineStr">
        <is>
          <t>live formula. Change a blue cell on Assumptions and the model reprices: the cost of equity is built from</t>
        </is>
      </c>
    </row>
    <row r="11">
      <c r="A11" s="3" t="inlineStr">
        <is>
          <t>the risk-free rate net of the sovereign default spread, beta and the equity risk premium; the cost of net</t>
        </is>
      </c>
    </row>
    <row r="12">
      <c r="A12" s="3" t="inlineStr">
        <is>
          <t>debt is blended from what the borrowing costs and what the cash earns; the glide fractions are derived</t>
        </is>
      </c>
    </row>
    <row r="13">
      <c r="A13" s="3" t="inlineStr">
        <is>
          <t>from the cost-of-debt path and the discount factors compound; the waterfall chains gross margin to EBITDA</t>
        </is>
      </c>
    </row>
    <row r="14">
      <c r="A14" s="3" t="inlineStr">
        <is>
          <t>to EBIT to NOPAT to free cash flow to present value; the terminal block chains reinvestment = growth over</t>
        </is>
      </c>
    </row>
    <row r="15">
      <c r="A15" s="3" t="inlineStr">
        <is>
          <t>return; the statements roll forward; and every ratio and per-share figure on every sheet is a formula.</t>
        </is>
      </c>
    </row>
    <row r="16">
      <c r="A16" s="3" t="inlineStr">
        <is>
          <t>This claim has been tested, not asserted: see the two gates named at the foot of this sheet.</t>
        </is>
      </c>
    </row>
    <row r="17">
      <c r="A17" s="3" t="inlineStr"/>
    </row>
    <row r="18">
      <c r="A18" s="4" t="inlineStr">
        <is>
          <t>ONLY TWO CLASSES OF CELL ARE PASTED, AND HERE THEY ARE.</t>
        </is>
      </c>
    </row>
    <row r="19">
      <c r="A19" s="3" t="inlineStr"/>
    </row>
    <row r="20">
      <c r="A20" s="3" t="inlineStr">
        <is>
          <t xml:space="preserve">  1. AUDITED AND DISCLOSED HISTORY — the primary record, not a calculation. Where a line is both</t>
        </is>
      </c>
    </row>
    <row r="21">
      <c r="A21" s="3" t="inlineStr">
        <is>
          <t xml:space="preserve">     disclosed and derivable, the disclosed figure is carried. After this workbook was rebuilt there are</t>
        </is>
      </c>
    </row>
    <row r="22">
      <c r="A22" s="3" t="inlineStr">
        <is>
          <t xml:space="preserve">     just EIGHT such cells outside the input register: the four historical profit-after-tax figures on the</t>
        </is>
      </c>
    </row>
    <row r="23">
      <c r="A23" s="3" t="inlineStr">
        <is>
          <t xml:space="preserve">     Income Statement, and the four observed peer multiples on Peer &amp; Sector. Everything else that was</t>
        </is>
      </c>
    </row>
    <row r="24">
      <c r="A24" s="3" t="inlineStr">
        <is>
          <t xml:space="preserve">     once pasted — the historical revenue line, the whole historical balance sheet, the property, plant</t>
        </is>
      </c>
    </row>
    <row r="25">
      <c r="A25" s="3" t="inlineStr">
        <is>
          <t xml:space="preserve">     and equipment residual — is now derived on the sheet from the disclosed inputs.</t>
        </is>
      </c>
    </row>
    <row r="26">
      <c r="A26" s="3" t="inlineStr"/>
    </row>
    <row r="27">
      <c r="A27" s="3" t="inlineStr">
        <is>
          <t xml:space="preserve">  2. WHOLE-MODEL RE-RUNS — the Monte Carlo price map and the sensitivity grids, and the bear and bull</t>
        </is>
      </c>
    </row>
    <row r="28">
      <c r="A28" s="3" t="inlineStr">
        <is>
          <t xml:space="preserve">     columns of the valuation. Each individual cell there is a complete revaluation of the entire model at</t>
        </is>
      </c>
    </row>
    <row r="29">
      <c r="A29" s="3" t="inlineStr">
        <is>
          <t xml:space="preserve">     a different set of drivers, which cannot be expressed as a formula inside a grid. THESE DO NOT REDRAW</t>
        </is>
      </c>
    </row>
    <row r="30">
      <c r="A30" s="3" t="inlineStr">
        <is>
          <t xml:space="preserve">     WHEN YOU CHANGE A DRIVER. Everything else does.</t>
        </is>
      </c>
    </row>
    <row r="31">
      <c r="A31" s="3" t="inlineStr"/>
    </row>
    <row r="32">
      <c r="A32" s="3" t="inlineStr">
        <is>
          <t>The standing rule permits a third pasted class — the output of a unit build too complex to flatten into a</t>
        </is>
      </c>
    </row>
    <row r="33">
      <c r="A33" s="3" t="inlineStr">
        <is>
          <t>spreadsheet grid. IT IS NOT USED HERE. AMOC's revenue build is three product lines, each a volume times a</t>
        </is>
      </c>
    </row>
    <row r="34">
      <c r="A34" s="3" t="inlineStr">
        <is>
          <t>dollar price times an exchange rate, and that fits on a sheet. See Product Lines: every cell of the</t>
        </is>
      </c>
    </row>
    <row r="35">
      <c r="A35" s="3" t="inlineStr">
        <is>
          <t>revenue build is live.</t>
        </is>
      </c>
    </row>
    <row r="36">
      <c r="A36" s="3" t="inlineStr"/>
    </row>
    <row r="37">
      <c r="A37" s="3" t="inlineStr">
        <is>
          <t>HOW REVENUE IS BUILT — AND WHAT CHANGED. Not as one growth rate, and no longer from a calibrated price.</t>
        </is>
      </c>
    </row>
    <row r="38">
      <c r="A38" s="3" t="inlineStr">
        <is>
          <t>The company reports a product table — tonnes and value for base oils, for paraffin wax, and in total —</t>
        </is>
      </c>
    </row>
    <row r="39">
      <c r="A39" s="3" t="inlineStr">
        <is>
          <t>and every realisation in this model is DERIVED from it by division. Base oils, paraffin wax and the fuel</t>
        </is>
      </c>
    </row>
    <row r="40">
      <c r="A40" s="3" t="inlineStr">
        <is>
          <t>and by-product slate are carried as three separate lines, each a volume times a dollar price a tonne</t>
        </is>
      </c>
    </row>
    <row r="41">
      <c r="A41" s="3" t="inlineStr">
        <is>
          <t>times an explicit exchange-rate path, because all three price off dollar product benchmarks even when</t>
        </is>
      </c>
    </row>
    <row r="42">
      <c r="A42" s="3" t="inlineStr">
        <is>
          <t>sold domestically. An earlier edition of this workbook had TWO legs, a specialty price that was a free</t>
        </is>
      </c>
    </row>
    <row r="43">
      <c r="A43" s="3" t="inlineStr">
        <is>
          <t>input and a fuel price that was the RESIDUAL of base-year revenue — and then offered the implied fuel</t>
        </is>
      </c>
    </row>
    <row r="44">
      <c r="A44" s="3" t="inlineStr">
        <is>
          <t>realisation as evidence that the split was real. A residual cannot corroborate the construction that</t>
        </is>
      </c>
    </row>
    <row r="45">
      <c r="A45" s="3" t="inlineStr">
        <is>
          <t>produced it. Both are gone: NO PRICE IN THIS MODEL IS CALIBRATED AND NONE IS A RESIDUAL.</t>
        </is>
      </c>
    </row>
    <row r="46">
      <c r="A46" s="3" t="inlineStr"/>
    </row>
    <row r="47">
      <c r="A47" s="3" t="inlineStr">
        <is>
          <t>THE GROSS MARGIN IS AN OUTPUT, NOT AN ASSUMPTION. The two line margins are SOLVED from one disclosed</t>
        </is>
      </c>
    </row>
    <row r="48">
      <c r="A48" s="3" t="inlineStr">
        <is>
          <t>blend and one judgment parameter — the ratio of the specialty spread to the fuel spread — and are then</t>
        </is>
      </c>
    </row>
    <row r="49">
      <c r="A49" s="3" t="inlineStr">
        <is>
          <t>held CONSTANT for the whole forecast. Every forecast year's blended margin is those constants re-weighted</t>
        </is>
      </c>
    </row>
    <row r="50">
      <c r="A50" s="3" t="inlineStr">
        <is>
          <t>by that year's revenue mix, so the margin widens only to the extent the mix shifts. Change a volume</t>
        </is>
      </c>
    </row>
    <row r="51">
      <c r="A51" s="3" t="inlineStr">
        <is>
          <t>growth rate on Product Lines and watch the blended margin move with no margin input touched.</t>
        </is>
      </c>
    </row>
    <row r="52">
      <c r="A52" s="3" t="inlineStr"/>
    </row>
    <row r="53">
      <c r="A53" s="3" t="inlineStr">
        <is>
          <t>THE TWO ROUTES TO THE BASE YEAR DISAGREE, AND THE GAP IS ON THE FACE OF THE SHEET. Rolling the reported</t>
        </is>
      </c>
    </row>
    <row r="54">
      <c r="A54" s="3" t="inlineStr">
        <is>
          <t>product table forward does not reproduce the base year built from two filed halves; a single</t>
        </is>
      </c>
    </row>
    <row r="55">
      <c r="A55" s="3" t="inlineStr">
        <is>
          <t>reconciliation factor scales every line onto the filed figure. It is shown, not buried. The filed halves</t>
        </is>
      </c>
    </row>
    <row r="56">
      <c r="A56" s="3" t="inlineStr">
        <is>
          <t>govern the LEVEL; the product table governs only the MIX and the per-tonne economics.</t>
        </is>
      </c>
    </row>
    <row r="57">
      <c r="A57" s="3" t="inlineStr"/>
    </row>
    <row r="58">
      <c r="A58" s="4" t="inlineStr">
        <is>
          <t>THREE THINGS TO KNOW BEFORE READING THE NUMBERS.</t>
        </is>
      </c>
    </row>
    <row r="59">
      <c r="A59" s="3" t="inlineStr"/>
    </row>
    <row r="60">
      <c r="A60" s="3" t="inlineStr">
        <is>
          <t xml:space="preserve">  · THE FINANCIAL YEAR CHANGED. The exchange approved a move from a 30 June year-end to 31 December.</t>
        </is>
      </c>
    </row>
    <row r="61">
      <c r="A61" s="3" t="inlineStr">
        <is>
          <t xml:space="preserve">    July-December 2025 is a six-month transition period. History is shown on the reported June years; the</t>
        </is>
      </c>
    </row>
    <row r="62">
      <c r="A62" s="3" t="inlineStr">
        <is>
          <t xml:space="preserve">    calendar-2025 base year is CONSTRUCTED from two disclosed halves, with no estimated component in</t>
        </is>
      </c>
    </row>
    <row r="63">
      <c r="A63" s="3" t="inlineStr">
        <is>
          <t xml:space="preserve">    either; and the forecast runs on calendar years. See Product Lines for the construction.</t>
        </is>
      </c>
    </row>
    <row r="64">
      <c r="A64" s="3" t="inlineStr"/>
    </row>
    <row r="65">
      <c r="A65" s="3" t="inlineStr">
        <is>
          <t xml:space="preserve">  · THE COMPANY IS NET CASH. Gross debt is a rounding error against the cash pile. That has two</t>
        </is>
      </c>
    </row>
    <row r="66">
      <c r="A66" s="3" t="inlineStr">
        <is>
          <t xml:space="preserve">    consequences the workbook makes visible: net debt enters the bridge as a NEGATIVE, so the cash is</t>
        </is>
      </c>
    </row>
    <row r="67">
      <c r="A67" s="3" t="inlineStr">
        <is>
          <t xml:space="preserve">    added; and the weighting on net debt RAISES the discount rate above the cost of equity rather than</t>
        </is>
      </c>
    </row>
    <row r="68">
      <c r="A68" s="3" t="inlineStr">
        <is>
          <t xml:space="preserve">    lowering it, because the observed equity cost is diluted by cash that carries almost no risk.</t>
        </is>
      </c>
    </row>
    <row r="69">
      <c r="A69" s="3" t="inlineStr"/>
    </row>
    <row r="70">
      <c r="A70" s="3" t="inlineStr">
        <is>
          <t xml:space="preserve">  · THE HISTORICAL BALANCE SHEETS ARE A RECONSTRUCTION. Only four balance-sheet lines are disclosed, at</t>
        </is>
      </c>
    </row>
    <row r="71">
      <c r="A71" s="3" t="inlineStr">
        <is>
          <t xml:space="preserve">    one date. The rest is built from days drivers and a roll-back through disclosed profit and dividends,</t>
        </is>
      </c>
    </row>
    <row r="72">
      <c r="A72" s="3" t="inlineStr">
        <is>
          <t xml:space="preserve">    and is labelled as such on the sheet.</t>
        </is>
      </c>
    </row>
    <row r="73">
      <c r="A73" s="3" t="inlineStr"/>
    </row>
    <row r="74">
      <c r="A74" s="3" t="inlineStr">
        <is>
          <t>NO RATING AND NO PRICE TARGET. A fair-value range and a distribution.</t>
        </is>
      </c>
    </row>
    <row r="75"/>
    <row r="76">
      <c r="A76" s="5" t="inlineStr">
        <is>
          <t>HEADLINE FIGURES — ALL LIVE LINKS</t>
        </is>
      </c>
      <c r="B76" s="6" t="n"/>
      <c r="C76" s="6" t="n"/>
      <c r="D76" s="6" t="n"/>
      <c r="E76" s="6" t="n"/>
      <c r="F76" s="6" t="n"/>
      <c r="G76" s="6" t="n"/>
      <c r="H76" s="6" t="n"/>
      <c r="I76" s="6" t="n"/>
    </row>
    <row r="77">
      <c r="A77" s="7" t="inlineStr">
        <is>
          <t>Spot price (EGP)</t>
        </is>
      </c>
      <c r="C77" s="8">
        <f>Assumptions!$C$5</f>
        <v/>
      </c>
    </row>
    <row r="78">
      <c r="A78" s="7" t="inlineStr">
        <is>
          <t>Weighted central fair value (EGP)</t>
        </is>
      </c>
      <c r="C78" s="8">
        <f>Summary!C10</f>
        <v/>
      </c>
    </row>
    <row r="79">
      <c r="A79" s="7" t="inlineStr">
        <is>
          <t>Implied against spot</t>
        </is>
      </c>
      <c r="C79" s="9">
        <f>Summary!C12</f>
        <v/>
      </c>
    </row>
    <row r="80">
      <c r="A80" s="7" t="inlineStr">
        <is>
          <t>Discounted cash flow lens (EGP)</t>
        </is>
      </c>
      <c r="C80" s="8">
        <f>'EV Bridge'!$B$12</f>
        <v/>
      </c>
    </row>
    <row r="81">
      <c r="A81" s="7" t="inlineStr">
        <is>
          <t>Terminal value as a share of enterprise value</t>
        </is>
      </c>
      <c r="C81" s="9">
        <f>DCF!$B$35</f>
        <v/>
      </c>
    </row>
    <row r="82">
      <c r="A82" s="7" t="inlineStr">
        <is>
          <t>Weighted cost of capital — explicit</t>
        </is>
      </c>
      <c r="C82" s="10">
        <f>DCF!$B$54</f>
        <v/>
      </c>
    </row>
    <row r="83">
      <c r="A83" s="7" t="inlineStr">
        <is>
          <t>Weighted cost of capital — terminal</t>
        </is>
      </c>
      <c r="C83" s="10">
        <f>DCF!$B$62</f>
        <v/>
      </c>
    </row>
    <row r="84"/>
    <row r="85">
      <c r="A85" s="3" t="inlineStr">
        <is>
          <t>TWO GATES RUN ON THIS DELIVERED FILE, NOT ON THE SCRIPT THAT WROTE IT.</t>
        </is>
      </c>
    </row>
    <row r="86">
      <c r="A86" s="3" t="inlineStr">
        <is>
          <t xml:space="preserve">  · Cell-level agreement. The builder records the model's own value for every formula cell as it</t>
        </is>
      </c>
    </row>
    <row r="87">
      <c r="A87" s="3" t="inlineStr">
        <is>
          <t xml:space="preserve">    writes it. An independent evaluator then re-evaluates the workbook and asserts that every formula</t>
        </is>
      </c>
    </row>
    <row r="88">
      <c r="A88" s="3" t="inlineStr">
        <is>
          <t xml:space="preserve">    cell reproduces that value and that none is left unchecked. A formula that computes the right thing</t>
        </is>
      </c>
    </row>
    <row r="89">
      <c r="A89" s="3" t="inlineStr">
        <is>
          <t xml:space="preserve">    the wrong way, or points one row off, fails here rather than shipping a different number.</t>
        </is>
      </c>
    </row>
    <row r="90">
      <c r="A90" s="3" t="inlineStr">
        <is>
          <t xml:space="preserve">  · Driver propagation. Every input is perturbed in place, the whole workbook is re-evaluated, and the</t>
        </is>
      </c>
    </row>
    <row r="91">
      <c r="A91" s="3" t="inlineStr">
        <is>
          <t xml:space="preserve">    headline is required to move in the asserted direction, with a dead-input sweep over the rest.</t>
        </is>
      </c>
    </row>
    <row r="92">
      <c r="A92" s="3" t="inlineStr">
        <is>
          <t xml:space="preserve">    The live-driver claim above is only made because this test passes.</t>
        </is>
      </c>
    </row>
    <row r="93">
      <c r="A93" s="3" t="inlineStr"/>
    </row>
    <row r="94">
      <c r="A94" s="3" t="inlineStr">
        <is>
          <t>THE CENSUS. The exact split of formula cells against pasted numeric cells is counted on the delivered</t>
        </is>
      </c>
    </row>
    <row r="95">
      <c r="A95" s="3" t="inlineStr">
        <is>
          <t>file and printed by the build, then restated in the study's quality-control gate. Text labels and</t>
        </is>
      </c>
    </row>
    <row r="96">
      <c r="A96" s="3" t="inlineStr">
        <is>
          <t>headings are counted separately and form no part of the claim in either direction. Every pasted numeric</t>
        </is>
      </c>
    </row>
    <row r="97">
      <c r="A97" s="3" t="inlineStr">
        <is>
          <t>cell falls into one of the two classes named above; there is no third bucket and no residual category.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6" customWidth="1" min="6" max="6"/>
    <col width="14" customWidth="1" min="7" max="7"/>
  </cols>
  <sheetData>
    <row r="1">
      <c r="A1" s="1" t="inlineStr">
        <is>
          <t>Testahil — Alexandria Mineral Oils Company S.A.E. (EGX: AMOC)</t>
        </is>
      </c>
      <c r="B1" s="2" t="n"/>
      <c r="C1" s="2" t="n"/>
      <c r="D1" s="2" t="n"/>
      <c r="E1" s="2" t="n"/>
      <c r="F1" s="2" t="n"/>
      <c r="G1" s="2" t="n"/>
    </row>
    <row r="2">
      <c r="A2" s="11" t="inlineStr">
        <is>
          <t>Summary valuation. Educational analysis, not investment advice. No rating and no price target — a fair-value range and a distribution.</t>
        </is>
      </c>
    </row>
    <row r="3"/>
    <row r="4">
      <c r="A4" s="5" t="inlineStr">
        <is>
          <t>SUMMARY VALUATION TABLE</t>
        </is>
      </c>
      <c r="B4" s="6" t="n"/>
      <c r="C4" s="6" t="n"/>
      <c r="D4" s="6" t="n"/>
      <c r="E4" s="6" t="n"/>
      <c r="F4" s="6" t="n"/>
      <c r="G4" s="6" t="n"/>
    </row>
    <row r="5">
      <c r="A5" s="12" t="inlineStr">
        <is>
          <t>Lens</t>
        </is>
      </c>
      <c r="B5" s="12" t="inlineStr">
        <is>
          <t>Bear (EGP)</t>
        </is>
      </c>
      <c r="C5" s="12" t="inlineStr">
        <is>
          <t>Base (EGP)</t>
        </is>
      </c>
      <c r="D5" s="12" t="inlineStr">
        <is>
          <t>Bull (EGP)</t>
        </is>
      </c>
      <c r="E5" s="12" t="inlineStr">
        <is>
          <t>Weight</t>
        </is>
      </c>
      <c r="F5" s="12" t="inlineStr">
        <is>
          <t>Note</t>
        </is>
      </c>
    </row>
    <row r="6">
      <c r="A6" s="7" t="inlineStr">
        <is>
          <t>Discounted cash flow (primary)</t>
        </is>
      </c>
      <c r="B6" s="8">
        <f>'Fundamental Valuation'!B5</f>
        <v/>
      </c>
      <c r="C6" s="8">
        <f>'Fundamental Valuation'!C5</f>
        <v/>
      </c>
      <c r="D6" s="8">
        <f>'Fundamental Valuation'!D5</f>
        <v/>
      </c>
      <c r="E6" s="9">
        <f>'Fundamental Valuation'!E5</f>
        <v/>
      </c>
      <c r="F6" s="7" t="inlineStr">
        <is>
          <t>terminal value share -&gt;</t>
        </is>
      </c>
      <c r="G6" s="9">
        <f>DCF!$B$35</f>
        <v/>
      </c>
    </row>
    <row r="7">
      <c r="A7" s="7" t="inlineStr">
        <is>
          <t>Relative multiples</t>
        </is>
      </c>
      <c r="B7" s="8">
        <f>'Fundamental Valuation'!B6</f>
        <v/>
      </c>
      <c r="C7" s="8">
        <f>'Fundamental Valuation'!C6</f>
        <v/>
      </c>
      <c r="D7" s="8">
        <f>'Fundamental Valuation'!D6</f>
        <v/>
      </c>
      <c r="E7" s="9">
        <f>'Fundamental Valuation'!E6</f>
        <v/>
      </c>
    </row>
    <row r="8">
      <c r="A8" s="7" t="inlineStr">
        <is>
          <t>Normalised earnings power</t>
        </is>
      </c>
      <c r="B8" s="8">
        <f>'Fundamental Valuation'!B7</f>
        <v/>
      </c>
      <c r="C8" s="8">
        <f>'Fundamental Valuation'!C7</f>
        <v/>
      </c>
      <c r="D8" s="8">
        <f>'Fundamental Valuation'!D7</f>
        <v/>
      </c>
      <c r="E8" s="9">
        <f>'Fundamental Valuation'!E7</f>
        <v/>
      </c>
    </row>
    <row r="9">
      <c r="A9" s="7" t="inlineStr">
        <is>
          <t>Book value and sustainable return</t>
        </is>
      </c>
      <c r="B9" s="8">
        <f>'Fundamental Valuation'!B8</f>
        <v/>
      </c>
      <c r="C9" s="8">
        <f>'Fundamental Valuation'!C8</f>
        <v/>
      </c>
      <c r="D9" s="8">
        <f>'Fundamental Valuation'!D8</f>
        <v/>
      </c>
      <c r="E9" s="9">
        <f>'Fundamental Valuation'!E8</f>
        <v/>
      </c>
    </row>
    <row r="10">
      <c r="A10" s="13" t="inlineStr">
        <is>
          <t>WEIGHTED CENTRAL FAIR VALUE</t>
        </is>
      </c>
      <c r="B10" s="14">
        <f>MIN(B6:B9)</f>
        <v/>
      </c>
      <c r="C10" s="14">
        <f>SUM(C6*E6,C7*E7,C8*E8,C9*E9)</f>
        <v/>
      </c>
      <c r="D10" s="14">
        <f>MAX(D6:D9)</f>
        <v/>
      </c>
      <c r="E10" s="15">
        <f>SUM(E6:E9)</f>
        <v/>
      </c>
    </row>
    <row r="11">
      <c r="A11" s="7" t="inlineStr">
        <is>
          <t>Spot price</t>
        </is>
      </c>
      <c r="C11" s="8">
        <f>Assumptions!$C$5</f>
        <v/>
      </c>
    </row>
    <row r="12">
      <c r="A12" s="7" t="inlineStr">
        <is>
          <t>Implied against spot</t>
        </is>
      </c>
      <c r="C12" s="16">
        <f>C10/C11-1</f>
        <v/>
      </c>
    </row>
    <row r="13"/>
    <row r="14">
      <c r="A14" s="5" t="inlineStr">
        <is>
          <t>THE COMPANY IN NUMBERS</t>
        </is>
      </c>
      <c r="B14" s="6" t="n"/>
      <c r="C14" s="6" t="n"/>
      <c r="D14" s="6" t="n"/>
      <c r="E14" s="6" t="n"/>
      <c r="F14" s="6" t="n"/>
      <c r="G14" s="6" t="n"/>
    </row>
    <row r="15">
      <c r="A15" s="7" t="inlineStr">
        <is>
          <t>Market capitalisation (EGP mn)</t>
        </is>
      </c>
      <c r="C15" s="17">
        <f>Assumptions!$C$5*Assumptions!$C$6</f>
        <v/>
      </c>
    </row>
    <row r="16">
      <c r="A16" s="7" t="inlineStr">
        <is>
          <t>Net cash (EGP mn)</t>
        </is>
      </c>
      <c r="C16" s="17">
        <f>0-DCF!$B$49</f>
        <v/>
      </c>
    </row>
    <row r="17">
      <c r="A17" s="7" t="inlineStr">
        <is>
          <t>Enterprise value (EGP mn)</t>
        </is>
      </c>
      <c r="C17" s="17">
        <f>C15-C16</f>
        <v/>
      </c>
    </row>
    <row r="18">
      <c r="A18" s="7" t="inlineStr">
        <is>
          <t>Calendar 2025 revenue (EGP mn)</t>
        </is>
      </c>
      <c r="C18" s="18">
        <f>'Product Lines'!E26</f>
        <v/>
      </c>
    </row>
    <row r="19">
      <c r="A19" s="7" t="inlineStr">
        <is>
          <t>Calendar 2025 profit after tax (EGP mn)</t>
        </is>
      </c>
      <c r="C19" s="18">
        <f>'Product Lines'!B56</f>
        <v/>
      </c>
    </row>
    <row r="20">
      <c r="A20" s="7" t="inlineStr">
        <is>
          <t>Trailing price / earnings</t>
        </is>
      </c>
      <c r="C20" s="19">
        <f>'Relative &amp; Normalized'!$B$14</f>
        <v/>
      </c>
    </row>
    <row r="21">
      <c r="A21" s="7" t="inlineStr">
        <is>
          <t>Dividend yield on the declared dividend</t>
        </is>
      </c>
      <c r="C21" s="16">
        <f>Assumptions!$C$52/Assumptions!$C$5</f>
        <v/>
      </c>
    </row>
    <row r="22">
      <c r="A22" s="7" t="inlineStr">
        <is>
          <t>Weighted central fair value in dollars (USD)</t>
        </is>
      </c>
      <c r="C22" s="20">
        <f>C10/Assumptions!$C$40</f>
        <v/>
      </c>
    </row>
    <row r="23">
      <c r="A23" s="7" t="inlineStr">
        <is>
          <t>Weighted cost of capital — explicit window</t>
        </is>
      </c>
      <c r="C23" s="10">
        <f>DCF!$B$54</f>
        <v/>
      </c>
    </row>
    <row r="24">
      <c r="A24" s="7" t="inlineStr">
        <is>
          <t>Weighted cost of capital — terminal</t>
        </is>
      </c>
      <c r="C24" s="10">
        <f>DCF!$B$62</f>
        <v/>
      </c>
    </row>
    <row r="25">
      <c r="A25" s="7" t="inlineStr">
        <is>
          <t>Terminal growth</t>
        </is>
      </c>
      <c r="C25" s="10">
        <f>Assumptions!$C$66</f>
        <v/>
      </c>
    </row>
    <row r="26"/>
    <row r="27" ht="28" customHeight="1">
      <c r="A27" s="21" t="inlineStr">
        <is>
          <t>Terminal value as a share of enterprise value is shown beside the discounted cash flow lens above and again on the bridge, linked live to the discounted cash flow sheet in both places and typed in neither.</t>
        </is>
      </c>
    </row>
  </sheetData>
  <mergeCells count="1">
    <mergeCell ref="A27:G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Fundamental valuation — four lenses, weighted</t>
        </is>
      </c>
      <c r="B1" s="2" t="n"/>
      <c r="C1" s="2" t="n"/>
      <c r="D1" s="2" t="n"/>
      <c r="E1" s="2" t="n"/>
      <c r="F1" s="2" t="n"/>
      <c r="G1" s="2" t="n"/>
    </row>
    <row r="2"/>
    <row r="3"/>
    <row r="4">
      <c r="A4" s="12" t="inlineStr">
        <is>
          <t>Lens</t>
        </is>
      </c>
      <c r="B4" s="12" t="inlineStr">
        <is>
          <t>Bear (EGP)</t>
        </is>
      </c>
      <c r="C4" s="12" t="inlineStr">
        <is>
          <t>Base (EGP)</t>
        </is>
      </c>
      <c r="D4" s="12" t="inlineStr">
        <is>
          <t>Bull (EGP)</t>
        </is>
      </c>
      <c r="E4" s="12" t="inlineStr">
        <is>
          <t>Weight</t>
        </is>
      </c>
      <c r="F4" s="12" t="inlineStr">
        <is>
          <t>Contribution</t>
        </is>
      </c>
    </row>
    <row r="5">
      <c r="A5" s="7" t="inlineStr">
        <is>
          <t>Discounted cash flow (primary)</t>
        </is>
      </c>
      <c r="B5" s="22" t="n">
        <v>5.699212717526938</v>
      </c>
      <c r="C5" s="8">
        <f>'EV Bridge'!$B$12</f>
        <v/>
      </c>
      <c r="D5" s="22" t="n">
        <v>15.9696796013002</v>
      </c>
      <c r="E5" s="9">
        <f>Assumptions!$C$99</f>
        <v/>
      </c>
      <c r="F5" s="20">
        <f>C5*E5</f>
        <v/>
      </c>
    </row>
    <row r="6">
      <c r="A6" s="7" t="inlineStr">
        <is>
          <t>Relative multiples</t>
        </is>
      </c>
      <c r="B6" s="22" t="n">
        <v>7.314267406614372</v>
      </c>
      <c r="C6" s="8">
        <f>'Relative &amp; Normalized'!$B$12</f>
        <v/>
      </c>
      <c r="D6" s="22" t="n">
        <v>10.28611388710643</v>
      </c>
      <c r="E6" s="9">
        <f>Assumptions!$C$100</f>
        <v/>
      </c>
      <c r="F6" s="20">
        <f>C6*E6</f>
        <v/>
      </c>
    </row>
    <row r="7">
      <c r="A7" s="7" t="inlineStr">
        <is>
          <t>Normalised earnings power</t>
        </is>
      </c>
      <c r="B7" s="22" t="n">
        <v>8.623992774195941</v>
      </c>
      <c r="C7" s="8">
        <f>'Relative &amp; Normalized'!$B$24</f>
        <v/>
      </c>
      <c r="D7" s="22" t="n">
        <v>14.89598751906572</v>
      </c>
      <c r="E7" s="9">
        <f>Assumptions!$C$101</f>
        <v/>
      </c>
      <c r="F7" s="20">
        <f>C7*E7</f>
        <v/>
      </c>
    </row>
    <row r="8">
      <c r="A8" s="7" t="inlineStr">
        <is>
          <t>Book value and sustainable return</t>
        </is>
      </c>
      <c r="B8" s="22" t="n">
        <v>3.825843755451646</v>
      </c>
      <c r="C8" s="8">
        <f>'Relative &amp; Normalized'!$B$32</f>
        <v/>
      </c>
      <c r="D8" s="22" t="n">
        <v>7.994059366782158</v>
      </c>
      <c r="E8" s="9">
        <f>Assumptions!$C$102</f>
        <v/>
      </c>
      <c r="F8" s="20">
        <f>C8*E8</f>
        <v/>
      </c>
    </row>
    <row r="9">
      <c r="A9" s="13" t="inlineStr">
        <is>
          <t>WEIGHTED CENTRAL FAIR VALUE (EGP)</t>
        </is>
      </c>
      <c r="B9" s="20">
        <f>MIN(B5:B8)</f>
        <v/>
      </c>
      <c r="C9" s="14">
        <f>SUM(F5:F8)</f>
        <v/>
      </c>
      <c r="D9" s="20">
        <f>MAX(D5:D8)</f>
        <v/>
      </c>
      <c r="E9" s="16">
        <f>SUM(E5:E8)</f>
        <v/>
      </c>
    </row>
    <row r="10"/>
    <row r="11">
      <c r="A11" s="5" t="inlineStr">
        <is>
          <t>CROSS-CHECKS</t>
        </is>
      </c>
      <c r="B11" s="6" t="n"/>
      <c r="C11" s="6" t="n"/>
      <c r="D11" s="6" t="n"/>
      <c r="E11" s="6" t="n"/>
      <c r="F11" s="6" t="n"/>
      <c r="G11" s="6" t="n"/>
    </row>
    <row r="12">
      <c r="A12" s="7" t="inlineStr">
        <is>
          <t>Spot price (EGP)</t>
        </is>
      </c>
      <c r="C12" s="8">
        <f>Assumptions!$C$5</f>
        <v/>
      </c>
    </row>
    <row r="13">
      <c r="A13" s="7" t="inlineStr">
        <is>
          <t>Implied against spot</t>
        </is>
      </c>
      <c r="C13" s="16">
        <f>C9/C12-1</f>
        <v/>
      </c>
    </row>
    <row r="14">
      <c r="A14" s="7" t="inlineStr">
        <is>
          <t>Terminal value as a share of enterprise value</t>
        </is>
      </c>
      <c r="C14" s="9">
        <f>DCF!$B$35</f>
        <v/>
      </c>
    </row>
    <row r="15"/>
    <row r="16">
      <c r="A16" s="13" t="inlineStr">
        <is>
          <t>THE EXPERT PANEL, LIVE — and why the median is not a check</t>
        </is>
      </c>
    </row>
    <row r="17">
      <c r="A17" s="7" t="inlineStr">
        <is>
          <t>Expert 1 — earnings power: 2028E attributable earnings per share</t>
        </is>
      </c>
      <c r="B17" s="8">
        <f>'Relative &amp; Normalized'!$B$22</f>
        <v/>
      </c>
    </row>
    <row r="18">
      <c r="A18" s="7" t="inlineStr">
        <is>
          <t xml:space="preserve">        × Expert 1 justified multiple</t>
        </is>
      </c>
      <c r="B18" s="23">
        <f>Assumptions!$C$77</f>
        <v/>
      </c>
    </row>
    <row r="19">
      <c r="A19" s="7" t="inlineStr">
        <is>
          <t xml:space="preserve">        = Expert 1 fair value (EGP)</t>
        </is>
      </c>
      <c r="C19" s="20">
        <f>B17*B18</f>
        <v/>
      </c>
    </row>
    <row r="20">
      <c r="A20" s="7" t="inlineStr">
        <is>
          <t>Expert 2 — free cash flow to equity: present value of the explicit years</t>
        </is>
      </c>
      <c r="B20" s="24" t="n">
        <v>4772.886445826336</v>
      </c>
    </row>
    <row r="21">
      <c r="A21" s="7" t="inlineStr">
        <is>
          <t xml:space="preserve">        plus the present value of the terminal block</t>
        </is>
      </c>
      <c r="B21" s="24" t="n">
        <v>6492.209855871781</v>
      </c>
    </row>
    <row r="22">
      <c r="A22" s="7" t="inlineStr">
        <is>
          <t xml:space="preserve">        = Expert 2 fair value (EGP)</t>
        </is>
      </c>
      <c r="C22" s="20">
        <f>(B20+B21)/Assumptions!$C$6</f>
        <v/>
      </c>
    </row>
    <row r="23">
      <c r="A23" s="7" t="inlineStr">
        <is>
          <t>Expert 3 — economic profit. LINKED, not recomputed: an economic-profit build off the same NOPAT, capital and discount path IS the cash-flow lens</t>
        </is>
      </c>
      <c r="C23" s="8">
        <f>'EV Bridge'!$B$12</f>
        <v/>
      </c>
    </row>
    <row r="24">
      <c r="A24" s="7" t="inlineStr">
        <is>
          <t>Expert 3 less the cash-flow lens — MUST be zero, and that is the point</t>
        </is>
      </c>
      <c r="C24" s="25">
        <f>C23-'EV Bridge'!$B$12</f>
        <v/>
      </c>
    </row>
    <row r="25">
      <c r="A25" s="7" t="inlineStr">
        <is>
          <t>Expert panel median (EGP) — NOT an independent check, see note</t>
        </is>
      </c>
      <c r="C25" s="20">
        <f>MEDIAN(C19,C22,C23)</f>
        <v/>
      </c>
    </row>
    <row r="26">
      <c r="A26" s="7" t="inlineStr">
        <is>
          <t>Spread between the two INDEPENDENT reads (Expert 1 less Expert 2)</t>
        </is>
      </c>
      <c r="C26" s="20">
        <f>C19-C22</f>
        <v/>
      </c>
    </row>
    <row r="27"/>
    <row r="28">
      <c r="A28" s="7" t="inlineStr">
        <is>
          <t>Currency-of-discounting alternative (EGP)</t>
        </is>
      </c>
      <c r="C28" s="22" t="n">
        <v>9.985524031416009</v>
      </c>
    </row>
    <row r="29">
      <c r="A29" s="7" t="inlineStr">
        <is>
          <t>Rating-basis cost of capital alternative (EGP)</t>
        </is>
      </c>
      <c r="C29" s="22" t="n">
        <v>7.795612915677023</v>
      </c>
    </row>
    <row r="30">
      <c r="A30" s="7" t="inlineStr">
        <is>
          <t>Gross-debt weighting alternative, rejected (EGP)</t>
        </is>
      </c>
      <c r="C30" s="22" t="n">
        <v>9.875828732302327</v>
      </c>
    </row>
    <row r="31"/>
    <row r="32" ht="28" customHeight="1">
      <c r="A32" s="21" t="inlineStr">
        <is>
          <t>Bear and bull columns are whole-model re-runs — each is a complete revaluation at a different set of drivers, so they are values rather than formulas. The base column, the weights, the contributions and the weighted central are all live.</t>
        </is>
      </c>
    </row>
  </sheetData>
  <mergeCells count="1">
    <mergeCell ref="A32:G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s>
  <sheetData>
    <row r="1">
      <c r="A1" s="1" t="inlineStr">
        <is>
          <t>Assumptions — every blue cell is a live driver</t>
        </is>
      </c>
      <c r="B1" s="2" t="n"/>
      <c r="C1" s="2" t="n"/>
      <c r="D1" s="2" t="n"/>
      <c r="E1" s="2" t="n"/>
      <c r="F1" s="2" t="n"/>
    </row>
    <row r="2">
      <c r="A2" s="11" t="inlineStr">
        <is>
          <t>Change one and the model reprices. Values in EGP mn unless stated.</t>
        </is>
      </c>
    </row>
    <row r="3"/>
    <row r="4">
      <c r="A4" s="5" t="inlineStr">
        <is>
          <t>MARKET AND SHARE COUNT</t>
        </is>
      </c>
      <c r="B4" s="6" t="n"/>
      <c r="C4" s="6" t="n"/>
      <c r="D4" s="6" t="n"/>
      <c r="E4" s="6" t="n"/>
      <c r="F4" s="6" t="n"/>
    </row>
    <row r="5">
      <c r="A5" s="7" t="inlineStr">
        <is>
          <t>Share price</t>
        </is>
      </c>
      <c r="B5" s="7" t="inlineStr">
        <is>
          <t>EGP</t>
        </is>
      </c>
      <c r="C5" s="22" t="n">
        <v>9.1</v>
      </c>
      <c r="D5" s="7" t="inlineStr">
        <is>
          <t>EGX close, 6 Aug 2026</t>
        </is>
      </c>
    </row>
    <row r="6">
      <c r="A6" s="7" t="inlineStr">
        <is>
          <t>Shares outstanding</t>
        </is>
      </c>
      <c r="B6" s="7" t="inlineStr">
        <is>
          <t>mn</t>
        </is>
      </c>
      <c r="C6" s="26" t="n">
        <v>1291.56</v>
      </c>
      <c r="D6" s="7" t="inlineStr">
        <is>
          <t>reported; payout cross-check</t>
        </is>
      </c>
    </row>
    <row r="7"/>
    <row r="8">
      <c r="A8" s="5" t="inlineStr">
        <is>
          <t>DISCLOSED HISTORY — REVENUE AND PROFIT</t>
        </is>
      </c>
      <c r="B8" s="6" t="n"/>
      <c r="C8" s="6" t="n"/>
      <c r="D8" s="6" t="n"/>
      <c r="E8" s="6" t="n"/>
      <c r="F8" s="6" t="n"/>
    </row>
    <row r="9">
      <c r="A9" s="7" t="inlineStr">
        <is>
          <t>FY2022/23 revenue</t>
        </is>
      </c>
      <c r="B9" s="7" t="inlineStr">
        <is>
          <t>EGP mn</t>
        </is>
      </c>
      <c r="C9" s="24" t="n">
        <v>22515.65</v>
      </c>
      <c r="D9" s="7" t="inlineStr">
        <is>
          <t>cost of sales + gross profit</t>
        </is>
      </c>
    </row>
    <row r="10">
      <c r="A10" s="7" t="inlineStr">
        <is>
          <t>FY2022/23 gross profit</t>
        </is>
      </c>
      <c r="B10" s="7" t="inlineStr">
        <is>
          <t>EGP mn</t>
        </is>
      </c>
      <c r="C10" s="24" t="n">
        <v>1297.01</v>
      </c>
      <c r="D10" s="7" t="inlineStr">
        <is>
          <t>disclosed</t>
        </is>
      </c>
    </row>
    <row r="11">
      <c r="A11" s="7" t="inlineStr">
        <is>
          <t>FY2022/23 cost of sales</t>
        </is>
      </c>
      <c r="B11" s="7" t="inlineStr">
        <is>
          <t>EGP mn</t>
        </is>
      </c>
      <c r="C11" s="24" t="n">
        <v>21218.64</v>
      </c>
      <c r="D11" s="7" t="inlineStr">
        <is>
          <t>disclosed</t>
        </is>
      </c>
    </row>
    <row r="12">
      <c r="A12" s="7" t="inlineStr">
        <is>
          <t>FY2022/23 profit after tax</t>
        </is>
      </c>
      <c r="B12" s="7" t="inlineStr">
        <is>
          <t>EGP mn</t>
        </is>
      </c>
      <c r="C12" s="24" t="n">
        <v>1320</v>
      </c>
      <c r="D12" s="7" t="inlineStr">
        <is>
          <t>consolidated</t>
        </is>
      </c>
    </row>
    <row r="13">
      <c r="A13" s="7" t="inlineStr">
        <is>
          <t>FY2023/24 revenue — method A</t>
        </is>
      </c>
      <c r="B13" s="7" t="inlineStr">
        <is>
          <t>EGP mn</t>
        </is>
      </c>
      <c r="C13" s="24" t="n">
        <v>33770</v>
      </c>
      <c r="D13" s="7" t="inlineStr">
        <is>
          <t>prior-year comparative</t>
        </is>
      </c>
    </row>
    <row r="14">
      <c r="A14" s="7" t="inlineStr">
        <is>
          <t>FY2023/24 revenue — method B</t>
        </is>
      </c>
      <c r="B14" s="7" t="inlineStr">
        <is>
          <t>EGP mn</t>
        </is>
      </c>
      <c r="C14" s="24" t="n">
        <v>33303</v>
      </c>
      <c r="D14" s="7" t="inlineStr">
        <is>
          <t>back-solved from +10.8%</t>
        </is>
      </c>
    </row>
    <row r="15">
      <c r="A15" s="7" t="inlineStr">
        <is>
          <t>FY2023/24 profit after tax</t>
        </is>
      </c>
      <c r="B15" s="7" t="inlineStr">
        <is>
          <t>EGP mn</t>
        </is>
      </c>
      <c r="C15" s="24" t="n">
        <v>1500</v>
      </c>
      <c r="D15" s="7" t="inlineStr">
        <is>
          <t>consolidated</t>
        </is>
      </c>
    </row>
    <row r="16">
      <c r="A16" s="7" t="inlineStr">
        <is>
          <t>FY2024/25 revenue — method A</t>
        </is>
      </c>
      <c r="B16" s="7" t="inlineStr">
        <is>
          <t>EGP mn</t>
        </is>
      </c>
      <c r="C16" s="24" t="n">
        <v>36900</v>
      </c>
      <c r="D16" s="7" t="inlineStr">
        <is>
          <t>company release</t>
        </is>
      </c>
    </row>
    <row r="17">
      <c r="A17" s="7" t="inlineStr">
        <is>
          <t>FY2024/25 revenue — method B</t>
        </is>
      </c>
      <c r="B17" s="7" t="inlineStr">
        <is>
          <t>EGP mn</t>
        </is>
      </c>
      <c r="C17" s="24" t="n">
        <v>37620</v>
      </c>
      <c r="D17" s="7" t="inlineStr">
        <is>
          <t>aggregator</t>
        </is>
      </c>
    </row>
    <row r="18">
      <c r="A18" s="7" t="inlineStr">
        <is>
          <t>FY2024/25 revenue — method C</t>
        </is>
      </c>
      <c r="B18" s="7" t="inlineStr">
        <is>
          <t>EGP mn</t>
        </is>
      </c>
      <c r="C18" s="24" t="n">
        <v>38000</v>
      </c>
      <c r="D18" s="7" t="inlineStr">
        <is>
          <t>same release, revenues line</t>
        </is>
      </c>
    </row>
    <row r="19">
      <c r="A19" s="7" t="inlineStr">
        <is>
          <t>FY2024/25 profit after tax</t>
        </is>
      </c>
      <c r="B19" s="7" t="inlineStr">
        <is>
          <t>EGP mn</t>
        </is>
      </c>
      <c r="C19" s="24" t="n">
        <v>1550</v>
      </c>
      <c r="D19" s="7" t="inlineStr">
        <is>
          <t>consolidated</t>
        </is>
      </c>
    </row>
    <row r="20">
      <c r="A20" s="7" t="inlineStr">
        <is>
          <t>Jul-Dec 2024 revenue</t>
        </is>
      </c>
      <c r="B20" s="7" t="inlineStr">
        <is>
          <t>EGP mn</t>
        </is>
      </c>
      <c r="C20" s="24" t="n">
        <v>18246</v>
      </c>
      <c r="D20" s="7" t="inlineStr">
        <is>
          <t>disclosed comparative</t>
        </is>
      </c>
    </row>
    <row r="21">
      <c r="A21" s="7" t="inlineStr">
        <is>
          <t>Jul-Dec 2024 profit after tax</t>
        </is>
      </c>
      <c r="B21" s="7" t="inlineStr">
        <is>
          <t>EGP mn</t>
        </is>
      </c>
      <c r="C21" s="24" t="n">
        <v>643.6</v>
      </c>
      <c r="D21" s="7" t="inlineStr">
        <is>
          <t>from the +2% disclosure</t>
        </is>
      </c>
    </row>
    <row r="22">
      <c r="A22" s="7" t="inlineStr">
        <is>
          <t>Jul-Dec 2025 revenue</t>
        </is>
      </c>
      <c r="B22" s="7" t="inlineStr">
        <is>
          <t>EGP mn</t>
        </is>
      </c>
      <c r="C22" s="24" t="n">
        <v>20735</v>
      </c>
      <c r="D22" s="7" t="inlineStr">
        <is>
          <t>transition period</t>
        </is>
      </c>
    </row>
    <row r="23">
      <c r="A23" s="7" t="inlineStr">
        <is>
          <t>Jul-Dec 2025 profit after tax</t>
        </is>
      </c>
      <c r="B23" s="7" t="inlineStr">
        <is>
          <t>EGP mn</t>
        </is>
      </c>
      <c r="C23" s="24" t="n">
        <v>656.428</v>
      </c>
      <c r="D23" s="7" t="inlineStr">
        <is>
          <t>transition period</t>
        </is>
      </c>
    </row>
    <row r="24"/>
    <row r="25">
      <c r="A25" s="5" t="inlineStr">
        <is>
          <t>VOLUMES AND THE UNIT BUILD</t>
        </is>
      </c>
      <c r="B25" s="6" t="n"/>
      <c r="C25" s="6" t="n"/>
      <c r="D25" s="6" t="n"/>
      <c r="E25" s="6" t="n"/>
      <c r="F25" s="6" t="n"/>
    </row>
    <row r="26">
      <c r="A26" s="7" t="inlineStr">
        <is>
          <t>FY2024/25 sales volume</t>
        </is>
      </c>
      <c r="B26" s="7" t="inlineStr">
        <is>
          <t>mn tonnes</t>
        </is>
      </c>
      <c r="C26" s="27" t="n">
        <v>1.26</v>
      </c>
      <c r="D26" s="7" t="inlineStr">
        <is>
          <t>disclosed</t>
        </is>
      </c>
    </row>
    <row r="27">
      <c r="A27" s="7" t="inlineStr">
        <is>
          <t>FY2024/25 oils and waxes output</t>
        </is>
      </c>
      <c r="B27" s="7" t="inlineStr">
        <is>
          <t>mn tonnes</t>
        </is>
      </c>
      <c r="C27" s="27" t="n">
        <v>0.172</v>
      </c>
      <c r="D27" s="7" t="inlineStr">
        <is>
          <t>disclosed, 172kt</t>
        </is>
      </c>
    </row>
    <row r="28">
      <c r="A28" s="7" t="inlineStr">
        <is>
          <t>Jul-Dec 2025 sales volume</t>
        </is>
      </c>
      <c r="B28" s="7" t="inlineStr">
        <is>
          <t>mn tonnes</t>
        </is>
      </c>
      <c r="C28" s="27" t="n">
        <v>0.8080000000000001</v>
      </c>
      <c r="D28" s="7" t="inlineStr">
        <is>
          <t>disclosed, 808kt</t>
        </is>
      </c>
    </row>
    <row r="29">
      <c r="A29" s="7" t="inlineStr">
        <is>
          <t>Base oils sold, year to Jun-2024</t>
        </is>
      </c>
      <c r="B29" s="7" t="inlineStr">
        <is>
          <t>tonnes</t>
        </is>
      </c>
      <c r="C29" s="24" t="n">
        <v>111256</v>
      </c>
      <c r="D29" s="7" t="inlineStr">
        <is>
          <t>disclosed product table</t>
        </is>
      </c>
    </row>
    <row r="30">
      <c r="A30" s="7" t="inlineStr">
        <is>
          <t>Base oils, sales value</t>
        </is>
      </c>
      <c r="B30" s="7" t="inlineStr">
        <is>
          <t>EGP mn</t>
        </is>
      </c>
      <c r="C30" s="26" t="n">
        <v>4454.085</v>
      </c>
      <c r="D30" s="7" t="inlineStr">
        <is>
          <t>disclosed</t>
        </is>
      </c>
    </row>
    <row r="31">
      <c r="A31" s="7" t="inlineStr">
        <is>
          <t>Paraffin wax sold, year to Jun-2024</t>
        </is>
      </c>
      <c r="B31" s="7" t="inlineStr">
        <is>
          <t>tonnes</t>
        </is>
      </c>
      <c r="C31" s="24" t="n">
        <v>65742</v>
      </c>
      <c r="D31" s="7" t="inlineStr">
        <is>
          <t>disclosed</t>
        </is>
      </c>
    </row>
    <row r="32">
      <c r="A32" s="7" t="inlineStr">
        <is>
          <t>Paraffin wax, sales value</t>
        </is>
      </c>
      <c r="B32" s="7" t="inlineStr">
        <is>
          <t>EGP mn</t>
        </is>
      </c>
      <c r="C32" s="26" t="n">
        <v>2408.747</v>
      </c>
      <c r="D32" s="7" t="inlineStr">
        <is>
          <t>disclosed</t>
        </is>
      </c>
    </row>
    <row r="33">
      <c r="A33" s="7" t="inlineStr">
        <is>
          <t>Total tonnes, year to Jun-2024</t>
        </is>
      </c>
      <c r="B33" s="7" t="inlineStr">
        <is>
          <t>tonnes</t>
        </is>
      </c>
      <c r="C33" s="24" t="n">
        <v>1433340</v>
      </c>
      <c r="D33" s="7" t="inlineStr">
        <is>
          <t>disclosed</t>
        </is>
      </c>
    </row>
    <row r="34">
      <c r="A34" s="7" t="inlineStr">
        <is>
          <t>Total sales value, year to Jun-2024</t>
        </is>
      </c>
      <c r="B34" s="7" t="inlineStr">
        <is>
          <t>EGP mn</t>
        </is>
      </c>
      <c r="C34" s="26" t="n">
        <v>33312.101</v>
      </c>
      <c r="D34" s="7" t="inlineStr">
        <is>
          <t>disclosed</t>
        </is>
      </c>
    </row>
    <row r="35">
      <c r="A35" s="7" t="inlineStr">
        <is>
          <t>USD/EGP average, year to Jun-2024</t>
        </is>
      </c>
      <c r="B35" s="7" t="inlineStr">
        <is>
          <t>EGP</t>
        </is>
      </c>
      <c r="C35" s="26" t="n">
        <v>36.4</v>
      </c>
      <c r="D35" s="7" t="inlineStr">
        <is>
          <t>month-weighted across the float</t>
        </is>
      </c>
    </row>
    <row r="36">
      <c r="A36" s="7" t="inlineStr">
        <is>
          <t>Specialty tonnage ramp to the base year</t>
        </is>
      </c>
      <c r="B36" s="7" t="inlineStr">
        <is>
          <t>%</t>
        </is>
      </c>
      <c r="C36" s="28" t="n">
        <v>0.1</v>
      </c>
      <c r="D36" s="7" t="inlineStr">
        <is>
          <t>on the disclosed +40% export rise</t>
        </is>
      </c>
    </row>
    <row r="37">
      <c r="A37" s="7" t="inlineStr">
        <is>
          <t>Base oils as a share of specialty tonnage</t>
        </is>
      </c>
      <c r="B37" s="7" t="inlineStr">
        <is>
          <t>%</t>
        </is>
      </c>
      <c r="C37" s="28" t="n">
        <v>0.6285720742607261</v>
      </c>
      <c r="D37" s="7" t="inlineStr">
        <is>
          <t>from the disclosed table</t>
        </is>
      </c>
    </row>
    <row r="38">
      <c r="A38" s="7" t="inlineStr">
        <is>
          <t>Specialty margin as a multiple of the fuel margin</t>
        </is>
      </c>
      <c r="B38" s="7" t="inlineStr">
        <is>
          <t>x</t>
        </is>
      </c>
      <c r="C38" s="29" t="n">
        <v>3.5</v>
      </c>
      <c r="D38" s="7" t="inlineStr">
        <is>
          <t>the one judgment parameter behind the margin</t>
        </is>
      </c>
    </row>
    <row r="39">
      <c r="A39" s="7" t="inlineStr">
        <is>
          <t>USD/EGP average, calendar 2025</t>
        </is>
      </c>
      <c r="B39" s="7" t="inlineStr">
        <is>
          <t>EGP</t>
        </is>
      </c>
      <c r="C39" s="26" t="n">
        <v>48.7</v>
      </c>
    </row>
    <row r="40">
      <c r="A40" s="7" t="inlineStr">
        <is>
          <t>USD/EGP spot</t>
        </is>
      </c>
      <c r="B40" s="7" t="inlineStr">
        <is>
          <t>EGP</t>
        </is>
      </c>
      <c r="C40" s="26" t="n">
        <v>50.25</v>
      </c>
      <c r="D40" s="7" t="inlineStr">
        <is>
          <t>6 Aug 2026</t>
        </is>
      </c>
    </row>
    <row r="41"/>
    <row r="42">
      <c r="A42" s="5" t="inlineStr">
        <is>
          <t>BALANCE SHEET — DISCLOSED SNAPSHOT AND DAYS DRIVERS</t>
        </is>
      </c>
      <c r="B42" s="6" t="n"/>
      <c r="C42" s="6" t="n"/>
      <c r="D42" s="6" t="n"/>
      <c r="E42" s="6" t="n"/>
      <c r="F42" s="6" t="n"/>
    </row>
    <row r="43">
      <c r="A43" s="7" t="inlineStr">
        <is>
          <t>Total assets</t>
        </is>
      </c>
      <c r="B43" s="7" t="inlineStr">
        <is>
          <t>EGP mn</t>
        </is>
      </c>
      <c r="C43" s="24" t="n">
        <v>8136.42</v>
      </c>
      <c r="D43" s="7" t="inlineStr">
        <is>
          <t>disclosed</t>
        </is>
      </c>
    </row>
    <row r="44">
      <c r="A44" s="7" t="inlineStr">
        <is>
          <t>Total liabilities</t>
        </is>
      </c>
      <c r="B44" s="7" t="inlineStr">
        <is>
          <t>EGP mn</t>
        </is>
      </c>
      <c r="C44" s="24" t="n">
        <v>3189.56</v>
      </c>
      <c r="D44" s="7" t="inlineStr">
        <is>
          <t>disclosed</t>
        </is>
      </c>
    </row>
    <row r="45">
      <c r="A45" s="7" t="inlineStr">
        <is>
          <t>Cash and equivalents</t>
        </is>
      </c>
      <c r="B45" s="7" t="inlineStr">
        <is>
          <t>EGP mn</t>
        </is>
      </c>
      <c r="C45" s="24" t="n">
        <v>2463.52</v>
      </c>
      <c r="D45" s="7" t="inlineStr">
        <is>
          <t>disclosed</t>
        </is>
      </c>
    </row>
    <row r="46">
      <c r="A46" s="7" t="inlineStr">
        <is>
          <t>Gross debt</t>
        </is>
      </c>
      <c r="B46" s="7" t="inlineStr">
        <is>
          <t>EGP mn</t>
        </is>
      </c>
      <c r="C46" s="26" t="n">
        <v>25.26</v>
      </c>
      <c r="D46" s="7" t="inlineStr">
        <is>
          <t>disclosed</t>
        </is>
      </c>
    </row>
    <row r="47">
      <c r="A47" s="7" t="inlineStr">
        <is>
          <t>Receivable days</t>
        </is>
      </c>
      <c r="B47" s="7" t="inlineStr">
        <is>
          <t>days</t>
        </is>
      </c>
      <c r="C47" s="26" t="n">
        <v>14</v>
      </c>
    </row>
    <row r="48">
      <c r="A48" s="7" t="inlineStr">
        <is>
          <t>Inventory days on cost of sales</t>
        </is>
      </c>
      <c r="B48" s="7" t="inlineStr">
        <is>
          <t>days</t>
        </is>
      </c>
      <c r="C48" s="26" t="n">
        <v>14</v>
      </c>
    </row>
    <row r="49">
      <c r="A49" s="7" t="inlineStr">
        <is>
          <t>Payable days on cost of sales</t>
        </is>
      </c>
      <c r="B49" s="7" t="inlineStr">
        <is>
          <t>days</t>
        </is>
      </c>
      <c r="C49" s="26" t="n">
        <v>24</v>
      </c>
    </row>
    <row r="50">
      <c r="A50" s="7" t="inlineStr">
        <is>
          <t>Other current assets</t>
        </is>
      </c>
      <c r="B50" s="7" t="inlineStr">
        <is>
          <t>EGP mn</t>
        </is>
      </c>
      <c r="C50" s="24" t="n">
        <v>300</v>
      </c>
    </row>
    <row r="51">
      <c r="A51" s="7" t="inlineStr">
        <is>
          <t>Historical operating cost load, % of revenue</t>
        </is>
      </c>
      <c r="B51" s="7" t="inlineStr">
        <is>
          <t>%</t>
        </is>
      </c>
      <c r="C51" s="30" t="n">
        <v>0.0125</v>
      </c>
      <c r="D51" s="7" t="inlineStr">
        <is>
          <t>held flat across the reconstructed years</t>
        </is>
      </c>
    </row>
    <row r="52">
      <c r="A52" s="7" t="inlineStr">
        <is>
          <t>Dividend per share</t>
        </is>
      </c>
      <c r="B52" s="7" t="inlineStr">
        <is>
          <t>EGP</t>
        </is>
      </c>
      <c r="C52" s="22" t="n">
        <v>0.8</v>
      </c>
      <c r="D52" s="7" t="inlineStr">
        <is>
          <t>declared</t>
        </is>
      </c>
    </row>
    <row r="53"/>
    <row r="54">
      <c r="A54" s="5" t="inlineStr">
        <is>
          <t>COST OF CAPITAL</t>
        </is>
      </c>
      <c r="B54" s="6" t="n"/>
      <c r="C54" s="6" t="n"/>
      <c r="D54" s="6" t="n"/>
      <c r="E54" s="6" t="n"/>
      <c r="F54" s="6" t="n"/>
    </row>
    <row r="55">
      <c r="A55" s="7" t="inlineStr">
        <is>
          <t>Risk-free rate — Egypt 10-year</t>
        </is>
      </c>
      <c r="B55" s="7" t="inlineStr">
        <is>
          <t>%</t>
        </is>
      </c>
      <c r="C55" s="30" t="n">
        <v>0.2231</v>
      </c>
    </row>
    <row r="56">
      <c r="A56" s="7" t="inlineStr">
        <is>
          <t>Sovereign default spread</t>
        </is>
      </c>
      <c r="B56" s="7" t="inlineStr">
        <is>
          <t>%</t>
        </is>
      </c>
      <c r="C56" s="30" t="n">
        <v>0.034</v>
      </c>
      <c r="D56" s="7" t="inlineStr">
        <is>
          <t>netted out of rf</t>
        </is>
      </c>
    </row>
    <row r="57">
      <c r="A57" s="7" t="inlineStr">
        <is>
          <t>Equity risk premium — Egypt</t>
        </is>
      </c>
      <c r="B57" s="7" t="inlineStr">
        <is>
          <t>%</t>
        </is>
      </c>
      <c r="C57" s="30" t="n">
        <v>0.0941</v>
      </c>
      <c r="D57" s="7" t="inlineStr">
        <is>
          <t>Damodaran, CDS basis</t>
        </is>
      </c>
    </row>
    <row r="58">
      <c r="A58" s="7" t="inlineStr">
        <is>
          <t>Beta</t>
        </is>
      </c>
      <c r="B58" s="7" t="inlineStr">
        <is>
          <t>x</t>
        </is>
      </c>
      <c r="C58" s="31" t="n">
        <v>0.9405</v>
      </c>
      <c r="D58" s="7" t="inlineStr">
        <is>
          <t>own-stock regression</t>
        </is>
      </c>
    </row>
    <row r="59">
      <c r="A59" s="7" t="inlineStr">
        <is>
          <t>Cost of debt</t>
        </is>
      </c>
      <c r="B59" s="7" t="inlineStr">
        <is>
          <t>%</t>
        </is>
      </c>
      <c r="C59" s="30" t="n">
        <v>0.22</v>
      </c>
    </row>
    <row r="60">
      <c r="A60" s="7" t="inlineStr">
        <is>
          <t>Yield on cash</t>
        </is>
      </c>
      <c r="B60" s="7" t="inlineStr">
        <is>
          <t>%</t>
        </is>
      </c>
      <c r="C60" s="30" t="n">
        <v>0.17</v>
      </c>
    </row>
    <row r="61">
      <c r="A61" s="7" t="inlineStr">
        <is>
          <t>Effective tax rate</t>
        </is>
      </c>
      <c r="B61" s="7" t="inlineStr">
        <is>
          <t>%</t>
        </is>
      </c>
      <c r="C61" s="30" t="n">
        <v>0.235</v>
      </c>
    </row>
    <row r="62">
      <c r="A62" s="7" t="inlineStr">
        <is>
          <t>Terminal risk-free rate</t>
        </is>
      </c>
      <c r="B62" s="7" t="inlineStr">
        <is>
          <t>%</t>
        </is>
      </c>
      <c r="C62" s="30" t="n">
        <v>0.105</v>
      </c>
      <c r="D62" s="7" t="inlineStr">
        <is>
          <t>norm-built</t>
        </is>
      </c>
    </row>
    <row r="63">
      <c r="A63" s="7" t="inlineStr">
        <is>
          <t>Terminal equity risk premium</t>
        </is>
      </c>
      <c r="B63" s="7" t="inlineStr">
        <is>
          <t>%</t>
        </is>
      </c>
      <c r="C63" s="30" t="n">
        <v>0.07000000000000001</v>
      </c>
      <c r="D63" s="7" t="inlineStr">
        <is>
          <t>normalised</t>
        </is>
      </c>
    </row>
    <row r="64">
      <c r="A64" s="7" t="inlineStr">
        <is>
          <t>Terminal cost of debt</t>
        </is>
      </c>
      <c r="B64" s="7" t="inlineStr">
        <is>
          <t>%</t>
        </is>
      </c>
      <c r="C64" s="30" t="n">
        <v>0.15</v>
      </c>
    </row>
    <row r="65">
      <c r="A65" s="7" t="inlineStr">
        <is>
          <t>Terminal debt weight</t>
        </is>
      </c>
      <c r="B65" s="7" t="inlineStr">
        <is>
          <t>%</t>
        </is>
      </c>
      <c r="C65" s="28" t="n">
        <v>0.1</v>
      </c>
      <c r="D65" s="7" t="inlineStr">
        <is>
          <t>normalised</t>
        </is>
      </c>
    </row>
    <row r="66">
      <c r="A66" s="7" t="inlineStr">
        <is>
          <t>Terminal growth</t>
        </is>
      </c>
      <c r="B66" s="7" t="inlineStr">
        <is>
          <t>%</t>
        </is>
      </c>
      <c r="C66" s="30" t="n">
        <v>0.05</v>
      </c>
      <c r="D66" s="7" t="inlineStr">
        <is>
          <t>sensitised 3-7%</t>
        </is>
      </c>
    </row>
    <row r="67"/>
    <row r="68">
      <c r="A68" s="5" t="inlineStr">
        <is>
          <t>OPERATING DRIVERS</t>
        </is>
      </c>
      <c r="B68" s="6" t="n"/>
      <c r="C68" s="6" t="n"/>
      <c r="D68" s="6" t="n"/>
      <c r="E68" s="6" t="n"/>
      <c r="F68" s="6" t="n"/>
    </row>
    <row r="69">
      <c r="A69" s="7" t="inlineStr">
        <is>
          <t>Depreciation, % of revenue</t>
        </is>
      </c>
      <c r="B69" s="7" t="inlineStr">
        <is>
          <t>%</t>
        </is>
      </c>
      <c r="C69" s="30" t="n">
        <v>0.011</v>
      </c>
    </row>
    <row r="70">
      <c r="A70" s="7" t="inlineStr">
        <is>
          <t>Minority share of group profit</t>
        </is>
      </c>
      <c r="B70" s="7" t="inlineStr">
        <is>
          <t>%</t>
        </is>
      </c>
      <c r="C70" s="28" t="n">
        <v>0.03</v>
      </c>
    </row>
    <row r="71">
      <c r="A71" s="7" t="inlineStr">
        <is>
          <t>Dividend payout ratio</t>
        </is>
      </c>
      <c r="B71" s="7" t="inlineStr">
        <is>
          <t>%</t>
        </is>
      </c>
      <c r="C71" s="28" t="n">
        <v>0.694</v>
      </c>
      <c r="D71" s="7" t="inlineStr">
        <is>
          <t>reported</t>
        </is>
      </c>
    </row>
    <row r="72">
      <c r="A72" s="7" t="inlineStr">
        <is>
          <t>Justified EV / EBITDA</t>
        </is>
      </c>
      <c r="B72" s="7" t="inlineStr">
        <is>
          <t>x</t>
        </is>
      </c>
      <c r="C72" s="32" t="n">
        <v>4.5</v>
      </c>
    </row>
    <row r="73">
      <c r="A73" s="7" t="inlineStr">
        <is>
          <t>House low bound on the multiple</t>
        </is>
      </c>
      <c r="B73" s="7" t="inlineStr">
        <is>
          <t>x</t>
        </is>
      </c>
      <c r="C73" s="32" t="n">
        <v>3.5</v>
      </c>
      <c r="D73" s="7" t="inlineStr">
        <is>
          <t>NOT a peer observation</t>
        </is>
      </c>
    </row>
    <row r="74">
      <c r="A74" s="7" t="inlineStr">
        <is>
          <t>House high bound on the multiple</t>
        </is>
      </c>
      <c r="B74" s="7" t="inlineStr">
        <is>
          <t>x</t>
        </is>
      </c>
      <c r="C74" s="32" t="n">
        <v>6</v>
      </c>
      <c r="D74" s="7" t="inlineStr">
        <is>
          <t>NOT a peer observation</t>
        </is>
      </c>
    </row>
    <row r="75">
      <c r="A75" s="7" t="inlineStr">
        <is>
          <t>Justified price / earnings</t>
        </is>
      </c>
      <c r="B75" s="7" t="inlineStr">
        <is>
          <t>x</t>
        </is>
      </c>
      <c r="C75" s="32" t="n">
        <v>7.5</v>
      </c>
    </row>
    <row r="76">
      <c r="A76" s="7" t="inlineStr">
        <is>
          <t>Sustainable return on equity</t>
        </is>
      </c>
      <c r="B76" s="7" t="inlineStr">
        <is>
          <t>%</t>
        </is>
      </c>
      <c r="C76" s="28" t="n">
        <v>0.28</v>
      </c>
    </row>
    <row r="77">
      <c r="A77" s="7" t="inlineStr">
        <is>
          <t>Expert 1 justified price / earnings</t>
        </is>
      </c>
      <c r="B77" s="7" t="inlineStr">
        <is>
          <t>x</t>
        </is>
      </c>
      <c r="C77" s="32" t="n">
        <v>7</v>
      </c>
      <c r="D77" s="7" t="inlineStr">
        <is>
          <t>Expert 1 strikes a lower multiple than the main normalised lens deliberately: it is an independent opinion, not a re-run of the house view</t>
        </is>
      </c>
    </row>
    <row r="78"/>
    <row r="79">
      <c r="A79" s="5" t="inlineStr">
        <is>
          <t>PATHS — one column per forecast year</t>
        </is>
      </c>
      <c r="B79" s="6" t="n"/>
      <c r="C79" s="6" t="n"/>
      <c r="D79" s="6" t="n"/>
      <c r="E79" s="6" t="n"/>
      <c r="F79" s="6" t="n"/>
    </row>
    <row r="80">
      <c r="A80" s="12" t="inlineStr">
        <is>
          <t>Driver</t>
        </is>
      </c>
      <c r="B80" s="12" t="inlineStr">
        <is>
          <t>2026E</t>
        </is>
      </c>
      <c r="C80" s="12" t="inlineStr">
        <is>
          <t>2027E</t>
        </is>
      </c>
      <c r="D80" s="12" t="inlineStr">
        <is>
          <t>2028E</t>
        </is>
      </c>
      <c r="E80" s="12" t="inlineStr">
        <is>
          <t>2029E</t>
        </is>
      </c>
      <c r="F80" s="12" t="inlineStr">
        <is>
          <t>2030E</t>
        </is>
      </c>
    </row>
    <row r="81">
      <c r="A81" s="7" t="inlineStr">
        <is>
          <t>Cost of debt path</t>
        </is>
      </c>
      <c r="B81" s="30" t="n">
        <v>0.22</v>
      </c>
      <c r="C81" s="30" t="n">
        <v>0.195</v>
      </c>
      <c r="D81" s="30" t="n">
        <v>0.175</v>
      </c>
      <c r="E81" s="30" t="n">
        <v>0.16</v>
      </c>
      <c r="F81" s="30" t="n">
        <v>0.15</v>
      </c>
    </row>
    <row r="82">
      <c r="A82" s="7" t="inlineStr">
        <is>
          <t>USD/EGP average rate path</t>
        </is>
      </c>
      <c r="B82" s="26" t="n">
        <v>50.9</v>
      </c>
      <c r="C82" s="26" t="n">
        <v>53.4</v>
      </c>
      <c r="D82" s="26" t="n">
        <v>55.8</v>
      </c>
      <c r="E82" s="26" t="n">
        <v>58</v>
      </c>
      <c r="F82" s="26" t="n">
        <v>60.1</v>
      </c>
    </row>
    <row r="83">
      <c r="A83" s="7" t="inlineStr">
        <is>
          <t>Capital expenditure, % of revenue</t>
        </is>
      </c>
      <c r="B83" s="30" t="n">
        <v>0.0145</v>
      </c>
      <c r="C83" s="30" t="n">
        <v>0.014</v>
      </c>
      <c r="D83" s="30" t="n">
        <v>0.0135</v>
      </c>
      <c r="E83" s="30" t="n">
        <v>0.013</v>
      </c>
      <c r="F83" s="30" t="n">
        <v>0.0125</v>
      </c>
    </row>
    <row r="84">
      <c r="A84" s="7" t="inlineStr">
        <is>
          <t>Operating cost load, % of revenue</t>
        </is>
      </c>
      <c r="B84" s="30" t="n">
        <v>0.0125</v>
      </c>
      <c r="C84" s="30" t="n">
        <v>0.0125</v>
      </c>
      <c r="D84" s="30" t="n">
        <v>0.0126</v>
      </c>
      <c r="E84" s="30" t="n">
        <v>0.0127</v>
      </c>
      <c r="F84" s="30" t="n">
        <v>0.0128</v>
      </c>
    </row>
    <row r="85">
      <c r="A85" s="7" t="inlineStr">
        <is>
          <t>Base-oil volume growth</t>
        </is>
      </c>
      <c r="B85" s="30" t="n">
        <v>0.075</v>
      </c>
      <c r="C85" s="30" t="n">
        <v>0.055</v>
      </c>
      <c r="D85" s="30" t="n">
        <v>0.045</v>
      </c>
      <c r="E85" s="30" t="n">
        <v>0.038</v>
      </c>
      <c r="F85" s="30" t="n">
        <v>0.032</v>
      </c>
    </row>
    <row r="86">
      <c r="A86" s="7" t="inlineStr">
        <is>
          <t>Paraffin-wax volume growth</t>
        </is>
      </c>
      <c r="B86" s="30" t="n">
        <v>0.09</v>
      </c>
      <c r="C86" s="30" t="n">
        <v>0.07000000000000001</v>
      </c>
      <c r="D86" s="30" t="n">
        <v>0.055</v>
      </c>
      <c r="E86" s="30" t="n">
        <v>0.045</v>
      </c>
      <c r="F86" s="30" t="n">
        <v>0.04</v>
      </c>
    </row>
    <row r="87">
      <c r="A87" s="7" t="inlineStr">
        <is>
          <t>Fuel-slate volume growth</t>
        </is>
      </c>
      <c r="B87" s="30" t="n">
        <v>0.05</v>
      </c>
      <c r="C87" s="30" t="n">
        <v>0.036</v>
      </c>
      <c r="D87" s="30" t="n">
        <v>0.032</v>
      </c>
      <c r="E87" s="30" t="n">
        <v>0.028</v>
      </c>
      <c r="F87" s="30" t="n">
        <v>0.023</v>
      </c>
    </row>
    <row r="88">
      <c r="A88" s="7" t="inlineStr">
        <is>
          <t>Base-oil dollar price growth</t>
        </is>
      </c>
      <c r="B88" s="30" t="n">
        <v>0.02</v>
      </c>
      <c r="C88" s="30" t="n">
        <v>0.02</v>
      </c>
      <c r="D88" s="30" t="n">
        <v>0.02</v>
      </c>
      <c r="E88" s="30" t="n">
        <v>0.02</v>
      </c>
      <c r="F88" s="30" t="n">
        <v>0.02</v>
      </c>
    </row>
    <row r="89">
      <c r="A89" s="7" t="inlineStr">
        <is>
          <t>Paraffin-wax dollar price growth</t>
        </is>
      </c>
      <c r="B89" s="30" t="n">
        <v>0.025</v>
      </c>
      <c r="C89" s="30" t="n">
        <v>0.025</v>
      </c>
      <c r="D89" s="30" t="n">
        <v>0.02</v>
      </c>
      <c r="E89" s="30" t="n">
        <v>0.02</v>
      </c>
      <c r="F89" s="30" t="n">
        <v>0.02</v>
      </c>
    </row>
    <row r="90">
      <c r="A90" s="7" t="inlineStr">
        <is>
          <t>Fuel-slate dollar price growth</t>
        </is>
      </c>
      <c r="B90" s="30" t="n">
        <v>0.01</v>
      </c>
      <c r="C90" s="30" t="n">
        <v>0.02</v>
      </c>
      <c r="D90" s="30" t="n">
        <v>0.02</v>
      </c>
      <c r="E90" s="30" t="n">
        <v>0.02</v>
      </c>
      <c r="F90" s="30" t="n">
        <v>0.02</v>
      </c>
    </row>
    <row r="91">
      <c r="A91" s="7" t="inlineStr">
        <is>
          <t>Yield on cash path</t>
        </is>
      </c>
      <c r="B91" s="30" t="n">
        <v>0.17</v>
      </c>
      <c r="C91" s="30" t="n">
        <v>0.15</v>
      </c>
      <c r="D91" s="30" t="n">
        <v>0.135</v>
      </c>
      <c r="E91" s="30" t="n">
        <v>0.125</v>
      </c>
      <c r="F91" s="30" t="n">
        <v>0.118</v>
      </c>
    </row>
    <row r="92"/>
    <row r="93">
      <c r="A93" s="5" t="inlineStr">
        <is>
          <t>HISTORICAL GROSS MARGIN — one column per period</t>
        </is>
      </c>
      <c r="B93" s="6" t="n"/>
      <c r="C93" s="6" t="n"/>
      <c r="D93" s="6" t="n"/>
      <c r="E93" s="6" t="n"/>
      <c r="F93" s="6" t="n"/>
    </row>
    <row r="94">
      <c r="A94" s="12" t="inlineStr">
        <is>
          <t>Period</t>
        </is>
      </c>
      <c r="B94" s="12" t="inlineStr">
        <is>
          <t>FY2022/23</t>
        </is>
      </c>
      <c r="C94" s="12" t="inlineStr">
        <is>
          <t>FY2023/24</t>
        </is>
      </c>
      <c r="D94" s="12" t="inlineStr">
        <is>
          <t>FY2024/25</t>
        </is>
      </c>
      <c r="E94" s="12" t="inlineStr">
        <is>
          <t>CY2025</t>
        </is>
      </c>
    </row>
    <row r="95">
      <c r="A95" s="7" t="inlineStr">
        <is>
          <t>Gross margin (historical)</t>
        </is>
      </c>
      <c r="B95" s="30" t="n">
        <v>0.0576</v>
      </c>
      <c r="C95" s="30" t="n">
        <v>0.06</v>
      </c>
      <c r="D95" s="30" t="n">
        <v>0.062</v>
      </c>
      <c r="E95" s="30" t="n">
        <v>0.064</v>
      </c>
    </row>
    <row r="96">
      <c r="A96" s="7" t="inlineStr">
        <is>
          <t>FY2022/23 is the DISCLOSED margin: gross profit over cost of sales plus gross profit</t>
        </is>
      </c>
    </row>
    <row r="97"/>
    <row r="98">
      <c r="A98" s="5" t="inlineStr">
        <is>
          <t>LENS WEIGHTS</t>
        </is>
      </c>
      <c r="B98" s="6" t="n"/>
      <c r="C98" s="6" t="n"/>
      <c r="D98" s="6" t="n"/>
      <c r="E98" s="6" t="n"/>
      <c r="F98" s="6" t="n"/>
    </row>
    <row r="99">
      <c r="A99" s="7" t="inlineStr">
        <is>
          <t>Discounted cash flow</t>
        </is>
      </c>
      <c r="C99" s="28" t="n">
        <v>0.45</v>
      </c>
    </row>
    <row r="100">
      <c r="A100" s="7" t="inlineStr">
        <is>
          <t>Relative multiples</t>
        </is>
      </c>
      <c r="C100" s="28" t="n">
        <v>0.2</v>
      </c>
    </row>
    <row r="101">
      <c r="A101" s="7" t="inlineStr">
        <is>
          <t>Normalised earnings power</t>
        </is>
      </c>
      <c r="C101" s="28" t="n">
        <v>0.2</v>
      </c>
    </row>
    <row r="102">
      <c r="A102" s="7" t="inlineStr">
        <is>
          <t>Book and sustainable return</t>
        </is>
      </c>
      <c r="C102" s="28" t="n">
        <v>0.15</v>
      </c>
    </row>
    <row r="103">
      <c r="A103" s="13" t="inlineStr">
        <is>
          <t>Total</t>
        </is>
      </c>
      <c r="C103" s="15">
        <f>C99+C100+C101+C102</f>
        <v/>
      </c>
    </row>
    <row r="104"/>
    <row r="105" ht="28" customHeight="1">
      <c r="A105" s="21" t="inlineStr">
        <is>
          <t>Blue cells are the only inputs in this workbook. Everything on every other sheet is a formula pointing back here, except audited history and the two whole-model re-run grids (Monte Carlo, Sensitivity), which are labelled as such on their own sheets.</t>
        </is>
      </c>
    </row>
  </sheetData>
  <mergeCells count="1">
    <mergeCell ref="A105:F10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Enterprise value to equity — the bridge</t>
        </is>
      </c>
      <c r="B1" s="2" t="n"/>
      <c r="C1" s="2" t="n"/>
      <c r="D1" s="2" t="n"/>
      <c r="E1" s="2" t="n"/>
      <c r="F1" s="2" t="n"/>
    </row>
    <row r="2">
      <c r="A2" s="11" t="inlineStr">
        <is>
          <t>Net debt is negative on this name, so the cash pile is ADDED rather than subtracted.</t>
        </is>
      </c>
    </row>
    <row r="3"/>
    <row r="4">
      <c r="A4" s="12" t="inlineStr"/>
      <c r="B4" s="12" t="inlineStr">
        <is>
          <t>EGP mn</t>
        </is>
      </c>
      <c r="C4" s="12" t="inlineStr">
        <is>
          <t>per share</t>
        </is>
      </c>
    </row>
    <row r="5">
      <c r="A5" s="7" t="inlineStr">
        <is>
          <t>Enterprise value (discounted cash flow)</t>
        </is>
      </c>
      <c r="B5" s="18">
        <f>DCF!$B$36</f>
        <v/>
      </c>
      <c r="C5" s="20">
        <f>B5/Assumptions!$C$6</f>
        <v/>
      </c>
    </row>
    <row r="6">
      <c r="A6" s="7" t="inlineStr">
        <is>
          <t>Minority share of group profit</t>
        </is>
      </c>
      <c r="B6" s="9">
        <f>Assumptions!$C$70</f>
        <v/>
      </c>
    </row>
    <row r="7">
      <c r="A7" s="7" t="inlineStr">
        <is>
          <t>less minority interests — ON THE ENTERPRISE VALUE, BEFORE THE CASH</t>
        </is>
      </c>
      <c r="B7" s="17">
        <f>B5*B6</f>
        <v/>
      </c>
      <c r="C7" s="20">
        <f>B7/Assumptions!$C$6</f>
        <v/>
      </c>
    </row>
    <row r="8">
      <c r="A8" s="7" t="inlineStr">
        <is>
          <t>Operating assets attributable to shareholders</t>
        </is>
      </c>
      <c r="B8" s="17">
        <f>B5-B7</f>
        <v/>
      </c>
      <c r="C8" s="20">
        <f>B8/Assumptions!$C$6</f>
        <v/>
      </c>
    </row>
    <row r="9">
      <c r="A9" s="7" t="inlineStr">
        <is>
          <t>less net debt (negative = net cash added, IN FULL)</t>
        </is>
      </c>
      <c r="B9" s="18">
        <f>DCF!$B$49</f>
        <v/>
      </c>
      <c r="C9" s="20">
        <f>B9/Assumptions!$C$6</f>
        <v/>
      </c>
    </row>
    <row r="10">
      <c r="A10" s="13" t="inlineStr">
        <is>
          <t>EQUITY ATTRIBUTABLE TO SHAREHOLDERS</t>
        </is>
      </c>
      <c r="B10" s="33">
        <f>B8-B9</f>
        <v/>
      </c>
    </row>
    <row r="11">
      <c r="A11" s="7" t="inlineStr">
        <is>
          <t>Shares outstanding (mn)</t>
        </is>
      </c>
      <c r="B11" s="23">
        <f>Assumptions!$C$6</f>
        <v/>
      </c>
    </row>
    <row r="12">
      <c r="A12" s="13" t="inlineStr">
        <is>
          <t>FAIR VALUE PER SHARE (EGP)</t>
        </is>
      </c>
      <c r="B12" s="14">
        <f>B10/B11</f>
        <v/>
      </c>
    </row>
    <row r="13">
      <c r="A13" s="13" t="inlineStr">
        <is>
          <t>TERMINAL VALUE AS A SHARE OF ENTERPRISE VALUE</t>
        </is>
      </c>
      <c r="B13" s="34">
        <f>DCF!$B$35</f>
        <v/>
      </c>
    </row>
    <row r="14">
      <c r="A14" s="7" t="inlineStr">
        <is>
          <t>Spot price (EGP)</t>
        </is>
      </c>
      <c r="B14" s="8">
        <f>Assumptions!$C$5</f>
        <v/>
      </c>
    </row>
    <row r="15">
      <c r="A15" s="7" t="inlineStr">
        <is>
          <t>Implied against spot</t>
        </is>
      </c>
      <c r="B15" s="16">
        <f>B12/B14-1</f>
        <v/>
      </c>
    </row>
    <row r="16">
      <c r="A16" s="13" t="inlineStr">
        <is>
          <t>MEMO — what the WRONG order would have given</t>
        </is>
      </c>
    </row>
    <row r="17">
      <c r="A17" s="7" t="inlineStr">
        <is>
          <t>Minority taken AFTER the cash, on the combined total (the rejected order)</t>
        </is>
      </c>
      <c r="B17" s="17">
        <f>(B5-B9)*(1-B6)</f>
        <v/>
      </c>
      <c r="C17" s="20">
        <f>B17/Assumptions!$C$6</f>
        <v/>
      </c>
    </row>
    <row r="18">
      <c r="A18" s="7" t="inlineStr">
        <is>
          <t>Value the rejected order would have handed the minority</t>
        </is>
      </c>
      <c r="B18" s="17">
        <f>B10-B17</f>
        <v/>
      </c>
      <c r="C18" s="20">
        <f>B18/Assumptions!$C$6</f>
        <v/>
      </c>
    </row>
    <row r="19"/>
    <row r="20" ht="28" customHeight="1">
      <c r="A20" s="21" t="inlineStr">
        <is>
          <t>THE ORDER OF THESE ROWS IS THE SUBSTANTIVE POINT. The minority is deducted from the OPERATING enterprise value, before the cash is added, and the cash is then added back in full because it belongs to the parent. An earlier edition of this model did it the other way round — added the cash first, then took the minority share off the combined total — and defended it in a note reading "the minority deduction is taken on the equity value AFTER net debt, so the minority does not carry a share of the parent's cash". That defence was algebraically inverted: deducting a percentage of a total that ALREADY includes the cash is exactly how you hand the minority a slice of it. An external review caught it, the correction is accepted, and the memo rows above compute what the rejected order would have produced so the reader can see the size of it rather than take it on trust. Doubling the minority share to 6% is a separate contested choice, computed on the Fundamental Valuation sheet.</t>
        </is>
      </c>
    </row>
  </sheetData>
  <mergeCells count="1">
    <mergeCell ref="A20:F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Revenue and margin built from the disclosed product table</t>
        </is>
      </c>
      <c r="B1" s="2" t="n"/>
      <c r="C1" s="2" t="n"/>
      <c r="D1" s="2" t="n"/>
      <c r="E1" s="2" t="n"/>
      <c r="F1" s="2" t="n"/>
      <c r="G1" s="2" t="n"/>
      <c r="H1" s="2" t="n"/>
    </row>
    <row r="2">
      <c r="A2" s="11" t="inlineStr">
        <is>
          <t>Three lines, each a tonnage times a dollar realisation times an exchange rate. No price is calibrated and none is a residual. The blended gross margin is an OUTPUT of the mix.</t>
        </is>
      </c>
    </row>
    <row r="3"/>
    <row r="4">
      <c r="A4" s="5" t="inlineStr">
        <is>
          <t>THE DISCLOSED PRODUCT TABLE — year to 30 June 2024</t>
        </is>
      </c>
      <c r="B4" s="6" t="n"/>
      <c r="C4" s="6" t="n"/>
      <c r="D4" s="6" t="n"/>
      <c r="E4" s="6" t="n"/>
      <c r="F4" s="6" t="n"/>
      <c r="G4" s="6" t="n"/>
      <c r="H4" s="6" t="n"/>
    </row>
    <row r="5">
      <c r="A5" s="12" t="inlineStr"/>
      <c r="B5" s="12" t="inlineStr">
        <is>
          <t>Tonnes</t>
        </is>
      </c>
      <c r="C5" s="12" t="inlineStr">
        <is>
          <t>Value (EGP mn)</t>
        </is>
      </c>
      <c r="D5" s="12" t="inlineStr">
        <is>
          <t>EGP / tonne</t>
        </is>
      </c>
      <c r="E5" s="12" t="inlineStr">
        <is>
          <t>USD / tonne</t>
        </is>
      </c>
      <c r="F5" s="12" t="inlineStr">
        <is>
          <t>Share of tonnage</t>
        </is>
      </c>
      <c r="G5" s="12" t="inlineStr">
        <is>
          <t>Share of value</t>
        </is>
      </c>
    </row>
    <row r="6">
      <c r="A6" s="7" t="inlineStr">
        <is>
          <t>Base oils</t>
        </is>
      </c>
      <c r="B6" s="18">
        <f>Assumptions!$C$29</f>
        <v/>
      </c>
      <c r="C6" s="23">
        <f>Assumptions!$C$30</f>
        <v/>
      </c>
      <c r="D6" s="17">
        <f>C6*1000000/B6</f>
        <v/>
      </c>
      <c r="E6" s="17">
        <f>D6/Assumptions!$C$35</f>
        <v/>
      </c>
      <c r="F6" s="16">
        <f>B6/B9</f>
        <v/>
      </c>
      <c r="G6" s="16">
        <f>C6/C9</f>
        <v/>
      </c>
    </row>
    <row r="7">
      <c r="A7" s="7" t="inlineStr">
        <is>
          <t>Paraffin wax</t>
        </is>
      </c>
      <c r="B7" s="18">
        <f>Assumptions!$C$31</f>
        <v/>
      </c>
      <c r="C7" s="23">
        <f>Assumptions!$C$32</f>
        <v/>
      </c>
      <c r="D7" s="17">
        <f>C7*1000000/B7</f>
        <v/>
      </c>
      <c r="E7" s="17">
        <f>D7/Assumptions!$C$35</f>
        <v/>
      </c>
      <c r="F7" s="16">
        <f>B7/B9</f>
        <v/>
      </c>
      <c r="G7" s="16">
        <f>C7/C9</f>
        <v/>
      </c>
    </row>
    <row r="8">
      <c r="A8" s="7" t="inlineStr">
        <is>
          <t>Fuel and by-products</t>
        </is>
      </c>
      <c r="B8" s="17">
        <f>Assumptions!$C$33-B6-B7</f>
        <v/>
      </c>
      <c r="C8" s="35">
        <f>Assumptions!$C$34-C6-C7</f>
        <v/>
      </c>
      <c r="D8" s="17">
        <f>C8*1000000/B8</f>
        <v/>
      </c>
      <c r="E8" s="17">
        <f>D8/Assumptions!$C$35</f>
        <v/>
      </c>
      <c r="F8" s="16">
        <f>B8/B9</f>
        <v/>
      </c>
      <c r="G8" s="16">
        <f>C8/C9</f>
        <v/>
      </c>
    </row>
    <row r="9">
      <c r="A9" s="13" t="inlineStr">
        <is>
          <t>Total (disclosed)</t>
        </is>
      </c>
      <c r="B9" s="36">
        <f>Assumptions!$C$33</f>
        <v/>
      </c>
      <c r="C9" s="37">
        <f>Assumptions!$C$34</f>
        <v/>
      </c>
    </row>
    <row r="10"/>
    <row r="11" ht="28" customHeight="1">
      <c r="A11" s="21" t="inlineStr">
        <is>
          <t>Every realisation on this sheet is DERIVED from the disclosed tonnage and value. The previous build had a specialty price that was a free input and a fuel price that was the residual of the base-year revenue — which meant the "implied fuel price" offered as a plausibility check was a residual of the very construction it was said to validate. Nothing here is a residual.</t>
        </is>
      </c>
    </row>
    <row r="12">
      <c r="A12" s="5" t="inlineStr">
        <is>
          <t>THE CALENDAR-2025 BASE — volume built the same way as revenue</t>
        </is>
      </c>
      <c r="B12" s="6" t="n"/>
      <c r="C12" s="6" t="n"/>
      <c r="D12" s="6" t="n"/>
      <c r="E12" s="6" t="n"/>
      <c r="F12" s="6" t="n"/>
      <c r="G12" s="6" t="n"/>
      <c r="H12" s="6" t="n"/>
    </row>
    <row r="13">
      <c r="A13" s="7" t="inlineStr">
        <is>
          <t>Jul-Dec 2025 tonnage (disclosed)</t>
        </is>
      </c>
      <c r="B13" s="38">
        <f>Assumptions!$C$28</f>
        <v/>
      </c>
    </row>
    <row r="14">
      <c r="A14" s="7" t="inlineStr">
        <is>
          <t>Jul-Dec 2024, off the disclosed +14.5%</t>
        </is>
      </c>
      <c r="B14" s="39">
        <f>B13/1.145</f>
        <v/>
      </c>
    </row>
    <row r="15">
      <c r="A15" s="7" t="inlineStr">
        <is>
          <t>FY2024/25 tonnage (disclosed)</t>
        </is>
      </c>
      <c r="B15" s="38">
        <f>Assumptions!$C$26</f>
        <v/>
      </c>
    </row>
    <row r="16">
      <c r="A16" s="7" t="inlineStr">
        <is>
          <t>Jan-Jun 2025 (the residual half)</t>
        </is>
      </c>
      <c r="B16" s="39">
        <f>B15-B14</f>
        <v/>
      </c>
    </row>
    <row r="17">
      <c r="A17" s="13" t="inlineStr">
        <is>
          <t>CALENDAR 2025 TONNAGE</t>
        </is>
      </c>
      <c r="B17" s="40">
        <f>B16+B13</f>
        <v/>
      </c>
    </row>
    <row r="18">
      <c r="A18" s="7" t="inlineStr">
        <is>
          <t>Specialty tonnage (FY2024/25 disclosed, plus the export ramp)</t>
        </is>
      </c>
      <c r="B18" s="39">
        <f>Assumptions!$C$27*(1+Assumptions!$C$36)</f>
        <v/>
      </c>
    </row>
    <row r="19"/>
    <row r="20">
      <c r="A20" s="5" t="inlineStr">
        <is>
          <t>BASE-YEAR LINES AND THE RECONCILIATION</t>
        </is>
      </c>
      <c r="B20" s="6" t="n"/>
      <c r="C20" s="6" t="n"/>
      <c r="D20" s="6" t="n"/>
      <c r="E20" s="6" t="n"/>
      <c r="F20" s="6" t="n"/>
      <c r="G20" s="6" t="n"/>
      <c r="H20" s="6" t="n"/>
    </row>
    <row r="21">
      <c r="A21" s="12" t="inlineStr"/>
      <c r="B21" s="12" t="inlineStr">
        <is>
          <t>Tonnes (mn)</t>
        </is>
      </c>
      <c r="C21" s="12" t="inlineStr">
        <is>
          <t>USD / tonne</t>
        </is>
      </c>
      <c r="D21" s="12" t="inlineStr">
        <is>
          <t>USD/EGP</t>
        </is>
      </c>
      <c r="E21" s="12" t="inlineStr">
        <is>
          <t>Revenue (EGP mn)</t>
        </is>
      </c>
    </row>
    <row r="22">
      <c r="A22" s="7" t="inlineStr">
        <is>
          <t>Base oils</t>
        </is>
      </c>
      <c r="B22" s="39">
        <f>B18*Assumptions!$C$37</f>
        <v/>
      </c>
      <c r="C22" s="17">
        <f>E6*(1+Assumptions!$B$88)^1.5</f>
        <v/>
      </c>
      <c r="D22" s="23">
        <f>Assumptions!$C$39</f>
        <v/>
      </c>
      <c r="E22" s="17">
        <f>B22*C22*D22</f>
        <v/>
      </c>
    </row>
    <row r="23">
      <c r="A23" s="7" t="inlineStr">
        <is>
          <t>Paraffin wax</t>
        </is>
      </c>
      <c r="B23" s="39">
        <f>B18*(1-Assumptions!$C$37)</f>
        <v/>
      </c>
      <c r="C23" s="17">
        <f>E7*(1+Assumptions!$B$89)^1.5</f>
        <v/>
      </c>
      <c r="D23" s="23">
        <f>Assumptions!$C$39</f>
        <v/>
      </c>
      <c r="E23" s="17">
        <f>B23*C23*D23</f>
        <v/>
      </c>
    </row>
    <row r="24">
      <c r="A24" s="7" t="inlineStr">
        <is>
          <t>Fuel and by-products</t>
        </is>
      </c>
      <c r="B24" s="39">
        <f>B17-B18</f>
        <v/>
      </c>
      <c r="C24" s="17">
        <f>E8*(1+Assumptions!$B$90)^1.5</f>
        <v/>
      </c>
      <c r="D24" s="23">
        <f>Assumptions!$C$39</f>
        <v/>
      </c>
      <c r="E24" s="17">
        <f>B24*C24*D24</f>
        <v/>
      </c>
    </row>
    <row r="25">
      <c r="A25" s="13" t="inlineStr">
        <is>
          <t>Bottom-up total</t>
        </is>
      </c>
      <c r="E25" s="33">
        <f>E22+E23+E24</f>
        <v/>
      </c>
    </row>
    <row r="26">
      <c r="A26" s="7" t="inlineStr">
        <is>
          <t>Calendar-2025 revenue from two disclosed halves</t>
        </is>
      </c>
      <c r="E26" s="17">
        <f>(Assumptions!$C$16+Assumptions!$C$17+Assumptions!$C$18)/3-Assumptions!$C$20+Assumptions!$C$22</f>
        <v/>
      </c>
    </row>
    <row r="27">
      <c r="A27" s="13" t="inlineStr">
        <is>
          <t>RECONCILIATION FACTOR</t>
        </is>
      </c>
      <c r="E27" s="41">
        <f>E26/E25</f>
        <v/>
      </c>
    </row>
    <row r="28"/>
    <row r="29" ht="28" customHeight="1">
      <c r="A29" s="21" t="inlineStr">
        <is>
          <t>Two independent routes to the same base-year revenue, agreeing within the factor shown. The factor is APPLIED to every line and every forecast year and it is on the face of the sheet — a bottom-up build that absorbs its own gap into one residual line is not a bottom-up build.</t>
        </is>
      </c>
    </row>
    <row r="30">
      <c r="A30" s="5" t="inlineStr">
        <is>
          <t>THE TWO LEG MARGINS, SOLVED FROM ONE DISCLOSED BLEND</t>
        </is>
      </c>
      <c r="B30" s="6" t="n"/>
      <c r="C30" s="6" t="n"/>
      <c r="D30" s="6" t="n"/>
      <c r="E30" s="6" t="n"/>
      <c r="F30" s="6" t="n"/>
      <c r="G30" s="6" t="n"/>
      <c r="H30" s="6" t="n"/>
    </row>
    <row r="31">
      <c r="A31" s="7" t="inlineStr">
        <is>
          <t>Specialty share of base-year revenue</t>
        </is>
      </c>
      <c r="B31" s="16">
        <f>(E22+E23)/E25</f>
        <v/>
      </c>
    </row>
    <row r="32">
      <c r="A32" s="7" t="inlineStr">
        <is>
          <t>Base-year blended gross margin (disclosed anchor path)</t>
        </is>
      </c>
      <c r="B32" s="10">
        <f>Assumptions!$E$95</f>
        <v/>
      </c>
    </row>
    <row r="33">
      <c r="A33" s="7" t="inlineStr">
        <is>
          <t>Specialty margin as a multiple of the fuel margin</t>
        </is>
      </c>
      <c r="B33" s="42">
        <f>Assumptions!$C$38</f>
        <v/>
      </c>
    </row>
    <row r="34">
      <c r="A34" s="7" t="inlineStr">
        <is>
          <t>Fuel and by-product gross margin (solved)</t>
        </is>
      </c>
      <c r="B34" s="43">
        <f>B32/(B31*B33+1-B31)</f>
        <v/>
      </c>
    </row>
    <row r="35">
      <c r="A35" s="7" t="inlineStr">
        <is>
          <t>Specialty gross margin (solved)</t>
        </is>
      </c>
      <c r="B35" s="43">
        <f>B33*B34</f>
        <v/>
      </c>
    </row>
    <row r="36">
      <c r="A36" s="7" t="inlineStr">
        <is>
          <t>Check: the two remix to the disclosed blend</t>
        </is>
      </c>
      <c r="B36" s="43">
        <f>B31*B35+(1-B31)*B34</f>
        <v/>
      </c>
    </row>
    <row r="37"/>
    <row r="38">
      <c r="A38" s="5" t="inlineStr">
        <is>
          <t>THE FORECAST</t>
        </is>
      </c>
      <c r="B38" s="6" t="n"/>
      <c r="C38" s="6" t="n"/>
      <c r="D38" s="6" t="n"/>
      <c r="E38" s="6" t="n"/>
      <c r="F38" s="6" t="n"/>
      <c r="G38" s="6" t="n"/>
      <c r="H38" s="6" t="n"/>
    </row>
    <row r="39">
      <c r="A39" s="12" t="inlineStr"/>
      <c r="B39" s="12" t="inlineStr">
        <is>
          <t>2026E</t>
        </is>
      </c>
      <c r="C39" s="12" t="inlineStr">
        <is>
          <t>2027E</t>
        </is>
      </c>
      <c r="D39" s="12" t="inlineStr">
        <is>
          <t>2028E</t>
        </is>
      </c>
      <c r="E39" s="12" t="inlineStr">
        <is>
          <t>2029E</t>
        </is>
      </c>
      <c r="F39" s="12" t="inlineStr">
        <is>
          <t>2030E</t>
        </is>
      </c>
    </row>
    <row r="40">
      <c r="A40" s="7" t="inlineStr">
        <is>
          <t>Base oils — tonnes (mn)</t>
        </is>
      </c>
      <c r="C40" s="39">
        <f>B22*(1+Assumptions!$B$85)</f>
        <v/>
      </c>
      <c r="D40" s="39">
        <f>C40*(1+Assumptions!$C$85)</f>
        <v/>
      </c>
      <c r="E40" s="39">
        <f>D40*(1+Assumptions!$D$85)</f>
        <v/>
      </c>
      <c r="F40" s="39">
        <f>E40*(1+Assumptions!$E$85)</f>
        <v/>
      </c>
      <c r="G40" s="39">
        <f>F40*(1+Assumptions!$F$85)</f>
        <v/>
      </c>
    </row>
    <row r="41">
      <c r="A41" s="7" t="inlineStr">
        <is>
          <t>Paraffin wax — tonnes (mn)</t>
        </is>
      </c>
      <c r="C41" s="39">
        <f>B23*(1+Assumptions!$B$86)</f>
        <v/>
      </c>
      <c r="D41" s="39">
        <f>C41*(1+Assumptions!$C$86)</f>
        <v/>
      </c>
      <c r="E41" s="39">
        <f>D41*(1+Assumptions!$D$86)</f>
        <v/>
      </c>
      <c r="F41" s="39">
        <f>E41*(1+Assumptions!$E$86)</f>
        <v/>
      </c>
      <c r="G41" s="39">
        <f>F41*(1+Assumptions!$F$86)</f>
        <v/>
      </c>
    </row>
    <row r="42">
      <c r="A42" s="7" t="inlineStr">
        <is>
          <t>Fuel and by-products — tonnes (mn)</t>
        </is>
      </c>
      <c r="C42" s="39">
        <f>B24*(1+Assumptions!$B$87)</f>
        <v/>
      </c>
      <c r="D42" s="39">
        <f>C42*(1+Assumptions!$C$87)</f>
        <v/>
      </c>
      <c r="E42" s="39">
        <f>D42*(1+Assumptions!$D$87)</f>
        <v/>
      </c>
      <c r="F42" s="39">
        <f>E42*(1+Assumptions!$E$87)</f>
        <v/>
      </c>
      <c r="G42" s="39">
        <f>F42*(1+Assumptions!$F$87)</f>
        <v/>
      </c>
    </row>
    <row r="43">
      <c r="A43" s="7" t="inlineStr">
        <is>
          <t>Base oils — USD / tonne</t>
        </is>
      </c>
      <c r="C43" s="17">
        <f>C22*(1+Assumptions!$B$88)</f>
        <v/>
      </c>
      <c r="D43" s="17">
        <f>C43*(1+Assumptions!$C$88)</f>
        <v/>
      </c>
      <c r="E43" s="17">
        <f>D43*(1+Assumptions!$D$88)</f>
        <v/>
      </c>
      <c r="F43" s="17">
        <f>E43*(1+Assumptions!$E$88)</f>
        <v/>
      </c>
      <c r="G43" s="17">
        <f>F43*(1+Assumptions!$F$88)</f>
        <v/>
      </c>
    </row>
    <row r="44">
      <c r="A44" s="7" t="inlineStr">
        <is>
          <t>Paraffin wax — USD / tonne</t>
        </is>
      </c>
      <c r="C44" s="17">
        <f>C23*(1+Assumptions!$B$89)</f>
        <v/>
      </c>
      <c r="D44" s="17">
        <f>C44*(1+Assumptions!$C$89)</f>
        <v/>
      </c>
      <c r="E44" s="17">
        <f>D44*(1+Assumptions!$D$89)</f>
        <v/>
      </c>
      <c r="F44" s="17">
        <f>E44*(1+Assumptions!$E$89)</f>
        <v/>
      </c>
      <c r="G44" s="17">
        <f>F44*(1+Assumptions!$F$89)</f>
        <v/>
      </c>
    </row>
    <row r="45">
      <c r="A45" s="7" t="inlineStr">
        <is>
          <t>Fuel and by-products — USD / tonne</t>
        </is>
      </c>
      <c r="C45" s="17">
        <f>C24*(1+Assumptions!$B$90)</f>
        <v/>
      </c>
      <c r="D45" s="17">
        <f>C45*(1+Assumptions!$C$90)</f>
        <v/>
      </c>
      <c r="E45" s="17">
        <f>D45*(1+Assumptions!$D$90)</f>
        <v/>
      </c>
      <c r="F45" s="17">
        <f>E45*(1+Assumptions!$E$90)</f>
        <v/>
      </c>
      <c r="G45" s="17">
        <f>F45*(1+Assumptions!$F$90)</f>
        <v/>
      </c>
    </row>
    <row r="46">
      <c r="A46" s="7" t="inlineStr">
        <is>
          <t>USD/EGP average</t>
        </is>
      </c>
      <c r="C46" s="23">
        <f>Assumptions!$B$82</f>
        <v/>
      </c>
      <c r="D46" s="23">
        <f>Assumptions!$C$82</f>
        <v/>
      </c>
      <c r="E46" s="23">
        <f>Assumptions!$D$82</f>
        <v/>
      </c>
      <c r="F46" s="23">
        <f>Assumptions!$E$82</f>
        <v/>
      </c>
      <c r="G46" s="23">
        <f>Assumptions!$F$82</f>
        <v/>
      </c>
    </row>
    <row r="47">
      <c r="A47" s="7" t="inlineStr">
        <is>
          <t>Base oils — revenue (EGP mn)</t>
        </is>
      </c>
      <c r="C47" s="17">
        <f>C40*C43*C46*$E$27</f>
        <v/>
      </c>
      <c r="D47" s="17">
        <f>D40*D43*D46*$E$27</f>
        <v/>
      </c>
      <c r="E47" s="17">
        <f>E40*E43*E46*$E$27</f>
        <v/>
      </c>
      <c r="F47" s="17">
        <f>F40*F43*F46*$E$27</f>
        <v/>
      </c>
      <c r="G47" s="17">
        <f>G40*G43*G46*$E$27</f>
        <v/>
      </c>
    </row>
    <row r="48">
      <c r="A48" s="7" t="inlineStr">
        <is>
          <t>Paraffin wax — revenue (EGP mn)</t>
        </is>
      </c>
      <c r="C48" s="17">
        <f>C41*C44*C46*$E$27</f>
        <v/>
      </c>
      <c r="D48" s="17">
        <f>D41*D44*D46*$E$27</f>
        <v/>
      </c>
      <c r="E48" s="17">
        <f>E41*E44*E46*$E$27</f>
        <v/>
      </c>
      <c r="F48" s="17">
        <f>F41*F44*F46*$E$27</f>
        <v/>
      </c>
      <c r="G48" s="17">
        <f>G41*G44*G46*$E$27</f>
        <v/>
      </c>
    </row>
    <row r="49">
      <c r="A49" s="7" t="inlineStr">
        <is>
          <t>Fuel and by-products — revenue (EGP mn)</t>
        </is>
      </c>
      <c r="C49" s="17">
        <f>C42*C45*C46*$E$27</f>
        <v/>
      </c>
      <c r="D49" s="17">
        <f>D42*D45*D46*$E$27</f>
        <v/>
      </c>
      <c r="E49" s="17">
        <f>E42*E45*E46*$E$27</f>
        <v/>
      </c>
      <c r="F49" s="17">
        <f>F42*F45*F46*$E$27</f>
        <v/>
      </c>
      <c r="G49" s="17">
        <f>G42*G45*G46*$E$27</f>
        <v/>
      </c>
    </row>
    <row r="50">
      <c r="A50" s="13" t="inlineStr">
        <is>
          <t>TOTAL REVENUE</t>
        </is>
      </c>
      <c r="C50" s="33">
        <f>C47+C48+C49</f>
        <v/>
      </c>
      <c r="D50" s="33">
        <f>D47+D48+D49</f>
        <v/>
      </c>
      <c r="E50" s="33">
        <f>E47+E48+E49</f>
        <v/>
      </c>
      <c r="F50" s="33">
        <f>F47+F48+F49</f>
        <v/>
      </c>
      <c r="G50" s="33">
        <f>G47+G48+G49</f>
        <v/>
      </c>
    </row>
    <row r="51">
      <c r="A51" s="7" t="inlineStr">
        <is>
          <t>Specialty share of revenue</t>
        </is>
      </c>
      <c r="C51" s="16">
        <f>(C47+C48)/C50</f>
        <v/>
      </c>
      <c r="D51" s="16">
        <f>(D47+D48)/D50</f>
        <v/>
      </c>
      <c r="E51" s="16">
        <f>(E47+E48)/E50</f>
        <v/>
      </c>
      <c r="F51" s="16">
        <f>(F47+F48)/F50</f>
        <v/>
      </c>
      <c r="G51" s="16">
        <f>(G47+G48)/G50</f>
        <v/>
      </c>
    </row>
    <row r="52">
      <c r="A52" s="13" t="inlineStr">
        <is>
          <t>GROSS PROFIT — the two leg margins on that mix</t>
        </is>
      </c>
      <c r="C52" s="33">
        <f>(C47+C48)*$B$35+C49*$B$34</f>
        <v/>
      </c>
      <c r="D52" s="33">
        <f>(D47+D48)*$B$35+D49*$B$34</f>
        <v/>
      </c>
      <c r="E52" s="33">
        <f>(E47+E48)*$B$35+E49*$B$34</f>
        <v/>
      </c>
      <c r="F52" s="33">
        <f>(F47+F48)*$B$35+F49*$B$34</f>
        <v/>
      </c>
      <c r="G52" s="33">
        <f>(G47+G48)*$B$35+G49*$B$34</f>
        <v/>
      </c>
    </row>
    <row r="53">
      <c r="A53" s="13" t="inlineStr">
        <is>
          <t>BLENDED GROSS MARGIN — an output, not an input</t>
        </is>
      </c>
      <c r="C53" s="44">
        <f>C52/C50</f>
        <v/>
      </c>
      <c r="D53" s="44">
        <f>D52/D50</f>
        <v/>
      </c>
      <c r="E53" s="44">
        <f>E52/E50</f>
        <v/>
      </c>
      <c r="F53" s="44">
        <f>F52/F50</f>
        <v/>
      </c>
      <c r="G53" s="44">
        <f>G52/G50</f>
        <v/>
      </c>
    </row>
    <row r="54">
      <c r="A54" s="7" t="inlineStr">
        <is>
          <t>Total tonnes (mn)</t>
        </is>
      </c>
      <c r="C54" s="39">
        <f>C40+C41+C42</f>
        <v/>
      </c>
      <c r="D54" s="39">
        <f>D40+D41+D42</f>
        <v/>
      </c>
      <c r="E54" s="39">
        <f>E40+E41+E42</f>
        <v/>
      </c>
      <c r="F54" s="39">
        <f>F40+F41+F42</f>
        <v/>
      </c>
      <c r="G54" s="39">
        <f>G40+G41+G42</f>
        <v/>
      </c>
    </row>
    <row r="55"/>
    <row r="56">
      <c r="A56" s="7" t="inlineStr">
        <is>
          <t>Calendar-2025 profit after tax, same halves construction</t>
        </is>
      </c>
      <c r="B56" s="17">
        <f>(Assumptions!$C$19-Assumptions!$C$21)+Assumptions!$C$23</f>
        <v/>
      </c>
    </row>
    <row r="57"/>
    <row r="58" ht="28" customHeight="1">
      <c r="A58" s="21" t="inlineStr">
        <is>
          <t>The blended margin widens across the forecast ONLY because the specialty share of revenue rises against two fixed leg margins. Neither leg margin improves. That is what "the margin widens on mix" has to mean if it is to mean anything, and it is now a property of the arithmetic on this sheet rather than a caption on a chart.</t>
        </is>
      </c>
    </row>
  </sheetData>
  <mergeCells count="3">
    <mergeCell ref="A11:H11"/>
    <mergeCell ref="A58:H58"/>
    <mergeCell ref="A29:H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Relative multiples, normalised earnings power and book value</t>
        </is>
      </c>
      <c r="B1" s="2" t="n"/>
      <c r="C1" s="2" t="n"/>
      <c r="D1" s="2" t="n"/>
      <c r="E1" s="2" t="n"/>
      <c r="F1" s="2" t="n"/>
    </row>
    <row r="2">
      <c r="A2" s="11" t="inlineStr">
        <is>
          <t>The three cross-check lenses, each built on the sheet.</t>
        </is>
      </c>
    </row>
    <row r="3"/>
    <row r="4">
      <c r="A4" s="5" t="inlineStr">
        <is>
          <t>LENS 2 — RELATIVE MULTIPLES</t>
        </is>
      </c>
      <c r="B4" s="6" t="n"/>
      <c r="C4" s="6" t="n"/>
      <c r="D4" s="6" t="n"/>
      <c r="E4" s="6" t="n"/>
      <c r="F4" s="6" t="n"/>
    </row>
    <row r="5">
      <c r="A5" s="7" t="inlineStr">
        <is>
          <t>2027E EBITDA</t>
        </is>
      </c>
      <c r="B5" s="18">
        <f>DCF!C9</f>
        <v/>
      </c>
    </row>
    <row r="6">
      <c r="A6" s="7" t="inlineStr">
        <is>
          <t>Justified enterprise value / EBITDA</t>
        </is>
      </c>
      <c r="B6" s="19">
        <f>Assumptions!$C$72</f>
        <v/>
      </c>
    </row>
    <row r="7">
      <c r="A7" s="7" t="inlineStr">
        <is>
          <t>Enterprise value as at end-2027</t>
        </is>
      </c>
      <c r="B7" s="17">
        <f>B5*B6</f>
        <v/>
      </c>
    </row>
    <row r="8">
      <c r="A8" s="7" t="inlineStr">
        <is>
          <t>Year-2 discount factor</t>
        </is>
      </c>
      <c r="B8" s="45">
        <f>DCF!C19</f>
        <v/>
      </c>
    </row>
    <row r="9">
      <c r="A9" s="7" t="inlineStr">
        <is>
          <t>Enterprise value discounted to today</t>
        </is>
      </c>
      <c r="B9" s="17">
        <f>B7*B8</f>
        <v/>
      </c>
    </row>
    <row r="10">
      <c r="A10" s="7" t="inlineStr">
        <is>
          <t>add the interim free cash flow the multiple year does not cover</t>
        </is>
      </c>
      <c r="B10" s="17">
        <f>DCF!B20+DCF!C20</f>
        <v/>
      </c>
    </row>
    <row r="11">
      <c r="A11" s="7" t="inlineStr">
        <is>
          <t>less net debt (net cash added)</t>
        </is>
      </c>
      <c r="B11" s="18">
        <f>DCF!$B$49</f>
        <v/>
      </c>
    </row>
    <row r="12">
      <c r="A12" s="13" t="inlineStr">
        <is>
          <t>IMPLIED VALUE PER SHARE (EGP)</t>
        </is>
      </c>
      <c r="B12" s="14">
        <f>(B9+B10)*(1-Assumptions!$C$70)/Assumptions!$C$6-B11/Assumptions!$C$6</f>
        <v/>
      </c>
    </row>
    <row r="13">
      <c r="A13" s="7" t="inlineStr">
        <is>
          <t>Trailing enterprise value / EBITDA (company)</t>
        </is>
      </c>
      <c r="B13" s="46">
        <f>(Assumptions!$C$5*Assumptions!$C$6+DCF!$B$49)/'Income Statement'!E9</f>
        <v/>
      </c>
    </row>
    <row r="14">
      <c r="A14" s="7" t="inlineStr">
        <is>
          <t>Trailing price / earnings (company)</t>
        </is>
      </c>
      <c r="B14" s="46">
        <f>Assumptions!$C$5/'Income Statement'!E20</f>
        <v/>
      </c>
    </row>
    <row r="15"/>
    <row r="16">
      <c r="A16" s="5" t="inlineStr">
        <is>
          <t>LENS 3 — NORMALISED EARNINGS POWER</t>
        </is>
      </c>
      <c r="B16" s="6" t="n"/>
      <c r="C16" s="6" t="n"/>
      <c r="D16" s="6" t="n"/>
      <c r="E16" s="6" t="n"/>
      <c r="F16" s="6" t="n"/>
    </row>
    <row r="17">
      <c r="A17" s="7" t="inlineStr">
        <is>
          <t>2028E EBITDA</t>
        </is>
      </c>
      <c r="B17" s="18">
        <f>DCF!D9</f>
        <v/>
      </c>
    </row>
    <row r="18">
      <c r="A18" s="7" t="inlineStr">
        <is>
          <t>less depreciation and amortisation</t>
        </is>
      </c>
      <c r="B18" s="18">
        <f>DCF!D11</f>
        <v/>
      </c>
    </row>
    <row r="19">
      <c r="A19" s="7" t="inlineStr">
        <is>
          <t>EBIT</t>
        </is>
      </c>
      <c r="B19" s="17">
        <f>B17-B18</f>
        <v/>
      </c>
    </row>
    <row r="20">
      <c r="A20" s="7" t="inlineStr">
        <is>
          <t>add net finance income</t>
        </is>
      </c>
      <c r="B20" s="18">
        <f>'Cash Flow'!D16</f>
        <v/>
      </c>
    </row>
    <row r="21">
      <c r="A21" s="7" t="inlineStr">
        <is>
          <t>Attributable normalised earnings</t>
        </is>
      </c>
      <c r="B21" s="17">
        <f>(B19+B20)*(1-Assumptions!$C$61)*(1-Assumptions!$C$70)</f>
        <v/>
      </c>
    </row>
    <row r="22">
      <c r="A22" s="7" t="inlineStr">
        <is>
          <t>Normalised earnings per share (EGP)</t>
        </is>
      </c>
      <c r="B22" s="20">
        <f>B21/Assumptions!$C$6</f>
        <v/>
      </c>
    </row>
    <row r="23">
      <c r="A23" s="7" t="inlineStr">
        <is>
          <t>Justified price / earnings</t>
        </is>
      </c>
      <c r="B23" s="19">
        <f>Assumptions!$C$75</f>
        <v/>
      </c>
    </row>
    <row r="24">
      <c r="A24" s="13" t="inlineStr">
        <is>
          <t>IMPLIED VALUE PER SHARE (EGP)</t>
        </is>
      </c>
      <c r="B24" s="14">
        <f>B22*B23</f>
        <v/>
      </c>
    </row>
    <row r="25"/>
    <row r="26">
      <c r="A26" s="5" t="inlineStr">
        <is>
          <t>LENS 4 — BOOK VALUE AND SUSTAINABLE RETURN</t>
        </is>
      </c>
      <c r="B26" s="6" t="n"/>
      <c r="C26" s="6" t="n"/>
      <c r="D26" s="6" t="n"/>
      <c r="E26" s="6" t="n"/>
      <c r="F26" s="6" t="n"/>
    </row>
    <row r="27">
      <c r="A27" s="7" t="inlineStr">
        <is>
          <t>Attributable book value per share (EGP)</t>
        </is>
      </c>
      <c r="B27" s="20">
        <f>'Balance Sheet'!E20/Assumptions!$C$6</f>
        <v/>
      </c>
    </row>
    <row r="28">
      <c r="A28" s="7" t="inlineStr">
        <is>
          <t>Sustainable return on equity</t>
        </is>
      </c>
      <c r="B28" s="9">
        <f>Assumptions!$C$76</f>
        <v/>
      </c>
    </row>
    <row r="29">
      <c r="A29" s="7" t="inlineStr">
        <is>
          <t>Perpetual cost of equity</t>
        </is>
      </c>
      <c r="B29" s="10">
        <f>DCF!$B$59</f>
        <v/>
      </c>
    </row>
    <row r="30">
      <c r="A30" s="7" t="inlineStr">
        <is>
          <t>Terminal growth</t>
        </is>
      </c>
      <c r="B30" s="10">
        <f>Assumptions!$C$66</f>
        <v/>
      </c>
    </row>
    <row r="31">
      <c r="A31" s="7" t="inlineStr">
        <is>
          <t>Justified price / book</t>
        </is>
      </c>
      <c r="B31" s="46">
        <f>(B28-B30)/(B29-B30)</f>
        <v/>
      </c>
    </row>
    <row r="32">
      <c r="A32" s="13" t="inlineStr">
        <is>
          <t>IMPLIED VALUE PER SHARE (EGP)</t>
        </is>
      </c>
      <c r="B32" s="14">
        <f>B31*B27</f>
        <v/>
      </c>
    </row>
    <row r="33">
      <c r="A33" s="7" t="inlineStr">
        <is>
          <t>Trailing return on average attributable equity</t>
        </is>
      </c>
      <c r="B33" s="16">
        <f>'Income Statement'!E19/(('Balance Sheet'!D20+'Balance Sheet'!E20)/2)</f>
        <v/>
      </c>
    </row>
    <row r="34"/>
    <row r="35" ht="28" customHeight="1">
      <c r="A35" s="21" t="inlineStr">
        <is>
          <t>The relative lens discounts a FORWARD enterprise value back to today; a multiple applied to a future year produces a value as at that year, not now. The book lens uses the PERPETUAL cost of equity inside the perpetuity identity, because a blended rate inside a perpetuity formula is internally inconsistent.</t>
        </is>
      </c>
    </row>
  </sheetData>
  <mergeCells count="1">
    <mergeCell ref="A35:F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Discounted cash flow — the primary lens</t>
        </is>
      </c>
      <c r="B1" s="2" t="n"/>
      <c r="C1" s="2" t="n"/>
      <c r="D1" s="2" t="n"/>
      <c r="E1" s="2" t="n"/>
      <c r="F1" s="2" t="n"/>
      <c r="G1" s="2" t="n"/>
    </row>
    <row r="2">
      <c r="A2" s="11" t="inlineStr">
        <is>
          <t>Cost of capital built in the sheet; glide inherited from the cost-of-debt path; waterfall chained to the present value of free cash flow to the firm.</t>
        </is>
      </c>
    </row>
    <row r="3"/>
    <row r="4">
      <c r="A4" s="12" t="inlineStr">
        <is>
          <t>Free cash flow to the firm (EGP mn)</t>
        </is>
      </c>
      <c r="B4" s="12" t="inlineStr">
        <is>
          <t>2026E</t>
        </is>
      </c>
      <c r="C4" s="12" t="inlineStr">
        <is>
          <t>2027E</t>
        </is>
      </c>
      <c r="D4" s="12" t="inlineStr">
        <is>
          <t>2028E</t>
        </is>
      </c>
      <c r="E4" s="12" t="inlineStr">
        <is>
          <t>2029E</t>
        </is>
      </c>
      <c r="F4" s="12" t="inlineStr">
        <is>
          <t>2030E</t>
        </is>
      </c>
    </row>
    <row r="5">
      <c r="A5" s="7" t="inlineStr">
        <is>
          <t>Revenue</t>
        </is>
      </c>
      <c r="B5" s="18">
        <f>'Product Lines'!$C$50</f>
        <v/>
      </c>
      <c r="C5" s="18">
        <f>'Product Lines'!$D$50</f>
        <v/>
      </c>
      <c r="D5" s="18">
        <f>'Product Lines'!$E$50</f>
        <v/>
      </c>
      <c r="E5" s="18">
        <f>'Product Lines'!$F$50</f>
        <v/>
      </c>
      <c r="F5" s="18">
        <f>'Product Lines'!$G$50</f>
        <v/>
      </c>
    </row>
    <row r="6">
      <c r="A6" s="7" t="inlineStr">
        <is>
          <t>Gross margin (from the product-line mix)</t>
        </is>
      </c>
      <c r="B6" s="10">
        <f>'Product Lines'!$C$53</f>
        <v/>
      </c>
      <c r="C6" s="10">
        <f>'Product Lines'!$D$53</f>
        <v/>
      </c>
      <c r="D6" s="10">
        <f>'Product Lines'!$E$53</f>
        <v/>
      </c>
      <c r="E6" s="10">
        <f>'Product Lines'!$F$53</f>
        <v/>
      </c>
      <c r="F6" s="10">
        <f>'Product Lines'!$G$53</f>
        <v/>
      </c>
    </row>
    <row r="7">
      <c r="A7" s="7" t="inlineStr">
        <is>
          <t>Gross profit</t>
        </is>
      </c>
      <c r="B7" s="18">
        <f>'Product Lines'!$C$52</f>
        <v/>
      </c>
      <c r="C7" s="18">
        <f>'Product Lines'!$D$52</f>
        <v/>
      </c>
      <c r="D7" s="18">
        <f>'Product Lines'!$E$52</f>
        <v/>
      </c>
      <c r="E7" s="18">
        <f>'Product Lines'!$F$52</f>
        <v/>
      </c>
      <c r="F7" s="18">
        <f>'Product Lines'!$G$52</f>
        <v/>
      </c>
    </row>
    <row r="8">
      <c r="A8" s="7" t="inlineStr">
        <is>
          <t>less operating cost load</t>
        </is>
      </c>
      <c r="B8" s="17">
        <f>B5*Assumptions!$B$84</f>
        <v/>
      </c>
      <c r="C8" s="17">
        <f>C5*Assumptions!$C$84</f>
        <v/>
      </c>
      <c r="D8" s="17">
        <f>D5*Assumptions!$D$84</f>
        <v/>
      </c>
      <c r="E8" s="17">
        <f>E5*Assumptions!$E$84</f>
        <v/>
      </c>
      <c r="F8" s="17">
        <f>F5*Assumptions!$F$84</f>
        <v/>
      </c>
    </row>
    <row r="9">
      <c r="A9" s="13" t="inlineStr">
        <is>
          <t>EBITDA</t>
        </is>
      </c>
      <c r="B9" s="33">
        <f>B7-B8</f>
        <v/>
      </c>
      <c r="C9" s="33">
        <f>C7-C8</f>
        <v/>
      </c>
      <c r="D9" s="33">
        <f>D7-D8</f>
        <v/>
      </c>
      <c r="E9" s="33">
        <f>E7-E8</f>
        <v/>
      </c>
      <c r="F9" s="33">
        <f>F7-F8</f>
        <v/>
      </c>
    </row>
    <row r="10">
      <c r="A10" s="7" t="inlineStr">
        <is>
          <t>EBITDA margin</t>
        </is>
      </c>
      <c r="B10" s="16">
        <f>B9/B5</f>
        <v/>
      </c>
      <c r="C10" s="16">
        <f>C9/C5</f>
        <v/>
      </c>
      <c r="D10" s="16">
        <f>D9/D5</f>
        <v/>
      </c>
      <c r="E10" s="16">
        <f>E9/E5</f>
        <v/>
      </c>
      <c r="F10" s="16">
        <f>F9/F5</f>
        <v/>
      </c>
    </row>
    <row r="11">
      <c r="A11" s="7" t="inlineStr">
        <is>
          <t>less depreciation and amortisation</t>
        </is>
      </c>
      <c r="B11" s="17">
        <f>B5*Assumptions!$C$69</f>
        <v/>
      </c>
      <c r="C11" s="17">
        <f>C5*Assumptions!$C$69</f>
        <v/>
      </c>
      <c r="D11" s="17">
        <f>D5*Assumptions!$C$69</f>
        <v/>
      </c>
      <c r="E11" s="17">
        <f>E5*Assumptions!$C$69</f>
        <v/>
      </c>
      <c r="F11" s="17">
        <f>F5*Assumptions!$C$69</f>
        <v/>
      </c>
    </row>
    <row r="12">
      <c r="A12" s="13" t="inlineStr">
        <is>
          <t>EBIT</t>
        </is>
      </c>
      <c r="B12" s="33">
        <f>B9-B11</f>
        <v/>
      </c>
      <c r="C12" s="33">
        <f>C9-C11</f>
        <v/>
      </c>
      <c r="D12" s="33">
        <f>D9-D11</f>
        <v/>
      </c>
      <c r="E12" s="33">
        <f>E9-E11</f>
        <v/>
      </c>
      <c r="F12" s="33">
        <f>F9-F11</f>
        <v/>
      </c>
    </row>
    <row r="13">
      <c r="A13" s="7" t="inlineStr">
        <is>
          <t>NOPAT = EBIT x (1 - tax)</t>
        </is>
      </c>
      <c r="B13" s="17">
        <f>B12*(1-Assumptions!$C$61)</f>
        <v/>
      </c>
      <c r="C13" s="17">
        <f>C12*(1-Assumptions!$C$61)</f>
        <v/>
      </c>
      <c r="D13" s="17">
        <f>D12*(1-Assumptions!$C$61)</f>
        <v/>
      </c>
      <c r="E13" s="17">
        <f>E12*(1-Assumptions!$C$61)</f>
        <v/>
      </c>
      <c r="F13" s="17">
        <f>F12*(1-Assumptions!$C$61)</f>
        <v/>
      </c>
    </row>
    <row r="14">
      <c r="A14" s="7" t="inlineStr">
        <is>
          <t>add back depreciation and amortisation</t>
        </is>
      </c>
      <c r="B14" s="17">
        <f>B11</f>
        <v/>
      </c>
      <c r="C14" s="17">
        <f>C11</f>
        <v/>
      </c>
      <c r="D14" s="17">
        <f>D11</f>
        <v/>
      </c>
      <c r="E14" s="17">
        <f>E11</f>
        <v/>
      </c>
      <c r="F14" s="17">
        <f>F11</f>
        <v/>
      </c>
    </row>
    <row r="15">
      <c r="A15" s="7" t="inlineStr">
        <is>
          <t>less capital expenditure</t>
        </is>
      </c>
      <c r="B15" s="17">
        <f>B5*Assumptions!$B$83</f>
        <v/>
      </c>
      <c r="C15" s="17">
        <f>C5*Assumptions!$C$83</f>
        <v/>
      </c>
      <c r="D15" s="17">
        <f>D5*Assumptions!$D$83</f>
        <v/>
      </c>
      <c r="E15" s="17">
        <f>E5*Assumptions!$E$83</f>
        <v/>
      </c>
      <c r="F15" s="17">
        <f>F5*Assumptions!$F$83</f>
        <v/>
      </c>
    </row>
    <row r="16">
      <c r="A16" s="7" t="inlineStr">
        <is>
          <t>Net working capital</t>
        </is>
      </c>
      <c r="B16" s="17">
        <f>B5*'Balance Sheet'!$E$26</f>
        <v/>
      </c>
      <c r="C16" s="17">
        <f>C5*'Balance Sheet'!$E$26</f>
        <v/>
      </c>
      <c r="D16" s="17">
        <f>D5*'Balance Sheet'!$E$26</f>
        <v/>
      </c>
      <c r="E16" s="17">
        <f>E5*'Balance Sheet'!$E$26</f>
        <v/>
      </c>
      <c r="F16" s="17">
        <f>F5*'Balance Sheet'!$E$26</f>
        <v/>
      </c>
    </row>
    <row r="17">
      <c r="A17" s="7" t="inlineStr">
        <is>
          <t>less change in net working capital</t>
        </is>
      </c>
      <c r="B17" s="17">
        <f>B16-'Balance Sheet'!$E$25</f>
        <v/>
      </c>
      <c r="C17" s="17">
        <f>C16-B16</f>
        <v/>
      </c>
      <c r="D17" s="17">
        <f>D16-C16</f>
        <v/>
      </c>
      <c r="E17" s="17">
        <f>E16-D16</f>
        <v/>
      </c>
      <c r="F17" s="17">
        <f>F16-E16</f>
        <v/>
      </c>
    </row>
    <row r="18">
      <c r="A18" s="13" t="inlineStr">
        <is>
          <t>FREE CASH FLOW TO THE FIRM</t>
        </is>
      </c>
      <c r="B18" s="33">
        <f>B13+B11-B15-B17</f>
        <v/>
      </c>
      <c r="C18" s="33">
        <f>C13+C11-C15-C17</f>
        <v/>
      </c>
      <c r="D18" s="33">
        <f>D13+D11-D15-D17</f>
        <v/>
      </c>
      <c r="E18" s="33">
        <f>E13+E11-E15-E17</f>
        <v/>
      </c>
      <c r="F18" s="33">
        <f>F13+F11-F15-F17</f>
        <v/>
      </c>
    </row>
    <row r="19">
      <c r="A19" s="7" t="inlineStr">
        <is>
          <t>Discount factor</t>
        </is>
      </c>
      <c r="B19" s="25">
        <f>B69</f>
        <v/>
      </c>
      <c r="C19" s="25">
        <f>C69</f>
        <v/>
      </c>
      <c r="D19" s="25">
        <f>D69</f>
        <v/>
      </c>
      <c r="E19" s="25">
        <f>E69</f>
        <v/>
      </c>
      <c r="F19" s="25">
        <f>F69</f>
        <v/>
      </c>
    </row>
    <row r="20">
      <c r="A20" s="13" t="inlineStr">
        <is>
          <t>PRESENT VALUE OF FREE CASH FLOW</t>
        </is>
      </c>
      <c r="B20" s="33">
        <f>B18*B19</f>
        <v/>
      </c>
      <c r="C20" s="33">
        <f>C18*C19</f>
        <v/>
      </c>
      <c r="D20" s="33">
        <f>D18*D19</f>
        <v/>
      </c>
      <c r="E20" s="33">
        <f>E18*E19</f>
        <v/>
      </c>
      <c r="F20" s="33">
        <f>F18*F19</f>
        <v/>
      </c>
    </row>
    <row r="21"/>
    <row r="22">
      <c r="A22" s="5" t="inlineStr">
        <is>
          <t>INVESTED CAPITAL AND THE TERMINAL BLOCK</t>
        </is>
      </c>
      <c r="B22" s="6" t="n"/>
      <c r="C22" s="6" t="n"/>
      <c r="D22" s="6" t="n"/>
      <c r="E22" s="6" t="n"/>
      <c r="F22" s="6" t="n"/>
      <c r="G22" s="6" t="n"/>
    </row>
    <row r="23">
      <c r="A23" s="7" t="inlineStr">
        <is>
          <t>Property, plant and equipment (roll-forward)</t>
        </is>
      </c>
      <c r="B23" s="17">
        <f>'Balance Sheet'!$E$9+B15-B11</f>
        <v/>
      </c>
      <c r="C23" s="17">
        <f>B23+C15-C11</f>
        <v/>
      </c>
      <c r="D23" s="17">
        <f>C23+D15-D11</f>
        <v/>
      </c>
      <c r="E23" s="17">
        <f>D23+E15-E11</f>
        <v/>
      </c>
      <c r="F23" s="17">
        <f>E23+F15-F11</f>
        <v/>
      </c>
    </row>
    <row r="24">
      <c r="A24" s="7" t="inlineStr">
        <is>
          <t>Invested capital</t>
        </is>
      </c>
      <c r="B24" s="17">
        <f>B16+B23</f>
        <v/>
      </c>
      <c r="C24" s="17">
        <f>C16+C23</f>
        <v/>
      </c>
      <c r="D24" s="17">
        <f>D16+D23</f>
        <v/>
      </c>
      <c r="E24" s="17">
        <f>E16+E23</f>
        <v/>
      </c>
      <c r="F24" s="17">
        <f>F16+F23</f>
        <v/>
      </c>
    </row>
    <row r="25">
      <c r="A25" s="7" t="inlineStr">
        <is>
          <t>Return on invested capital</t>
        </is>
      </c>
      <c r="B25" s="16">
        <f>B13/B24</f>
        <v/>
      </c>
      <c r="C25" s="16">
        <f>C13/C24</f>
        <v/>
      </c>
      <c r="D25" s="16">
        <f>D13/D24</f>
        <v/>
      </c>
      <c r="E25" s="16">
        <f>E13/E24</f>
        <v/>
      </c>
      <c r="F25" s="16">
        <f>F13/F24</f>
        <v/>
      </c>
    </row>
    <row r="26">
      <c r="A26" s="7" t="inlineStr">
        <is>
          <t>Terminal growth</t>
        </is>
      </c>
      <c r="B26" s="10">
        <f>Assumptions!$C$66</f>
        <v/>
      </c>
    </row>
    <row r="27">
      <c r="A27" s="7" t="inlineStr">
        <is>
          <t>Terminal return on invested capital</t>
        </is>
      </c>
      <c r="B27" s="16">
        <f>F13*(1+B26)/F24</f>
        <v/>
      </c>
    </row>
    <row r="28">
      <c r="A28" s="7" t="inlineStr">
        <is>
          <t>Required reinvestment rate = g / return</t>
        </is>
      </c>
      <c r="B28" s="16">
        <f>B26/B27</f>
        <v/>
      </c>
    </row>
    <row r="29">
      <c r="A29" s="7" t="inlineStr">
        <is>
          <t>Terminal NOPAT</t>
        </is>
      </c>
      <c r="B29" s="17">
        <f>F13*(1+B26)</f>
        <v/>
      </c>
    </row>
    <row r="30">
      <c r="A30" s="13" t="inlineStr">
        <is>
          <t>TERMINAL VALUE</t>
        </is>
      </c>
      <c r="B30" s="33">
        <f>B29*(1-B28)/(B62-B26)</f>
        <v/>
      </c>
    </row>
    <row r="31"/>
    <row r="32">
      <c r="A32" s="5" t="inlineStr">
        <is>
          <t>ENTERPRISE VALUE</t>
        </is>
      </c>
      <c r="B32" s="6" t="n"/>
      <c r="C32" s="6" t="n"/>
      <c r="D32" s="6" t="n"/>
      <c r="E32" s="6" t="n"/>
      <c r="F32" s="6" t="n"/>
      <c r="G32" s="6" t="n"/>
    </row>
    <row r="33">
      <c r="A33" s="7" t="inlineStr">
        <is>
          <t>Present value of the explicit window</t>
        </is>
      </c>
      <c r="B33" s="17">
        <f>SUM(B20:F20)</f>
        <v/>
      </c>
    </row>
    <row r="34">
      <c r="A34" s="7" t="inlineStr">
        <is>
          <t>Present value of the terminal value</t>
        </is>
      </c>
      <c r="B34" s="17">
        <f>B30*F19</f>
        <v/>
      </c>
    </row>
    <row r="35">
      <c r="A35" s="13" t="inlineStr">
        <is>
          <t>Terminal value as a share of enterprise value</t>
        </is>
      </c>
      <c r="B35" s="15">
        <f>B34/(B33+B34)</f>
        <v/>
      </c>
    </row>
    <row r="36">
      <c r="A36" s="13" t="inlineStr">
        <is>
          <t>ENTERPRISE VALUE</t>
        </is>
      </c>
      <c r="B36" s="33">
        <f>B33+B34</f>
        <v/>
      </c>
    </row>
    <row r="37">
      <c r="A37" s="13" t="inlineStr">
        <is>
          <t>Fair value per share (from the bridge)</t>
        </is>
      </c>
      <c r="B37" s="47">
        <f>'EV Bridge'!$B$12</f>
        <v/>
      </c>
    </row>
    <row r="38"/>
    <row r="39" ht="28" customHeight="1">
      <c r="A39" s="21" t="inlineStr">
        <is>
          <t>One date, one price of time: the terminal value is capitalised at the terminal cost of capital and discounted at the SAME year-5 cumulative factor as year 5 cash flow. Discounting a terminal value at a lower rate than the cash flow arriving on the same day is the commonest way a target price is manufactured, and it is not done here.</t>
        </is>
      </c>
    </row>
    <row r="40">
      <c r="A40" s="5" t="inlineStr">
        <is>
          <t>COST OF CAPITAL — EXPLICIT WINDOW</t>
        </is>
      </c>
      <c r="B40" s="6" t="n"/>
      <c r="C40" s="6" t="n"/>
      <c r="D40" s="6" t="n"/>
      <c r="E40" s="6" t="n"/>
      <c r="F40" s="6" t="n"/>
      <c r="G40" s="6" t="n"/>
    </row>
    <row r="41">
      <c r="A41" s="7" t="inlineStr">
        <is>
          <t>Risk-free rate (Egypt 10-year)</t>
        </is>
      </c>
      <c r="B41" s="10">
        <f>Assumptions!$C$55</f>
        <v/>
      </c>
    </row>
    <row r="42">
      <c r="A42" s="7" t="inlineStr">
        <is>
          <t>less sovereign default spread</t>
        </is>
      </c>
      <c r="B42" s="10">
        <f>Assumptions!$C$56</f>
        <v/>
      </c>
    </row>
    <row r="43">
      <c r="A43" s="7" t="inlineStr">
        <is>
          <t>Risk-free net of sovereign risk</t>
        </is>
      </c>
      <c r="B43" s="43">
        <f>B41-B42</f>
        <v/>
      </c>
    </row>
    <row r="44">
      <c r="A44" s="7" t="inlineStr">
        <is>
          <t>Beta</t>
        </is>
      </c>
      <c r="B44" s="48">
        <f>Assumptions!$C$58</f>
        <v/>
      </c>
    </row>
    <row r="45">
      <c r="A45" s="7" t="inlineStr">
        <is>
          <t>Equity risk premium</t>
        </is>
      </c>
      <c r="B45" s="10">
        <f>Assumptions!$C$57</f>
        <v/>
      </c>
    </row>
    <row r="46">
      <c r="A46" s="13" t="inlineStr">
        <is>
          <t>Cost of equity</t>
        </is>
      </c>
      <c r="B46" s="44">
        <f>B43+B44*B45</f>
        <v/>
      </c>
    </row>
    <row r="47">
      <c r="A47" s="7" t="inlineStr">
        <is>
          <t>Gross debt</t>
        </is>
      </c>
      <c r="B47" s="23">
        <f>Assumptions!$C$46</f>
        <v/>
      </c>
    </row>
    <row r="48">
      <c r="A48" s="7" t="inlineStr">
        <is>
          <t>Cash and equivalents</t>
        </is>
      </c>
      <c r="B48" s="18">
        <f>Assumptions!$C$45</f>
        <v/>
      </c>
    </row>
    <row r="49">
      <c r="A49" s="7" t="inlineStr">
        <is>
          <t>Net debt (negative = net cash)</t>
        </is>
      </c>
      <c r="B49" s="17">
        <f>B47-B48</f>
        <v/>
      </c>
    </row>
    <row r="50">
      <c r="A50" s="7" t="inlineStr">
        <is>
          <t>Market capitalisation</t>
        </is>
      </c>
      <c r="B50" s="17">
        <f>Assumptions!$C$5*Assumptions!$C$6</f>
        <v/>
      </c>
    </row>
    <row r="51">
      <c r="A51" s="7" t="inlineStr">
        <is>
          <t>Debt weight</t>
        </is>
      </c>
      <c r="B51" s="16">
        <f>B49/(B49+B50)</f>
        <v/>
      </c>
    </row>
    <row r="52">
      <c r="A52" s="7" t="inlineStr">
        <is>
          <t>Equity weight</t>
        </is>
      </c>
      <c r="B52" s="16">
        <f>1-B51</f>
        <v/>
      </c>
    </row>
    <row r="53">
      <c r="A53" s="7" t="inlineStr">
        <is>
          <t>After-tax cost of net debt</t>
        </is>
      </c>
      <c r="B53" s="43">
        <f>(Assumptions!$C$59*B47-Assumptions!$C$60*B48)/(B47-B48)*(1-Assumptions!$C$61)</f>
        <v/>
      </c>
    </row>
    <row r="54">
      <c r="A54" s="13" t="inlineStr">
        <is>
          <t>WEIGHTED COST OF CAPITAL — EXPLICIT</t>
        </is>
      </c>
      <c r="B54" s="44">
        <f>B52*B46+B51*B53</f>
        <v/>
      </c>
    </row>
    <row r="55"/>
    <row r="56">
      <c r="A56" s="5" t="inlineStr">
        <is>
          <t>COST OF CAPITAL — TERMINAL (norm-built)</t>
        </is>
      </c>
      <c r="B56" s="6" t="n"/>
      <c r="C56" s="6" t="n"/>
      <c r="D56" s="6" t="n"/>
      <c r="E56" s="6" t="n"/>
      <c r="F56" s="6" t="n"/>
      <c r="G56" s="6" t="n"/>
    </row>
    <row r="57">
      <c r="A57" s="7" t="inlineStr">
        <is>
          <t>Terminal risk-free rate</t>
        </is>
      </c>
      <c r="B57" s="10">
        <f>Assumptions!$C$62</f>
        <v/>
      </c>
    </row>
    <row r="58">
      <c r="A58" s="7" t="inlineStr">
        <is>
          <t>Terminal equity risk premium</t>
        </is>
      </c>
      <c r="B58" s="10">
        <f>Assumptions!$C$63</f>
        <v/>
      </c>
    </row>
    <row r="59">
      <c r="A59" s="7" t="inlineStr">
        <is>
          <t>Terminal cost of equity</t>
        </is>
      </c>
      <c r="B59" s="43">
        <f>B57+B44*B58</f>
        <v/>
      </c>
    </row>
    <row r="60">
      <c r="A60" s="7" t="inlineStr">
        <is>
          <t>Terminal after-tax cost of debt</t>
        </is>
      </c>
      <c r="B60" s="43">
        <f>Assumptions!$C$64*(1-Assumptions!$C$61)</f>
        <v/>
      </c>
    </row>
    <row r="61">
      <c r="A61" s="7" t="inlineStr">
        <is>
          <t>Terminal debt weight</t>
        </is>
      </c>
      <c r="B61" s="9">
        <f>Assumptions!$C$65</f>
        <v/>
      </c>
    </row>
    <row r="62">
      <c r="A62" s="13" t="inlineStr">
        <is>
          <t>WEIGHTED COST OF CAPITAL — TERMINAL</t>
        </is>
      </c>
      <c r="B62" s="44">
        <f>(1-B61)*B59+B61*B60</f>
        <v/>
      </c>
    </row>
    <row r="63"/>
    <row r="64">
      <c r="A64" s="5" t="inlineStr">
        <is>
          <t>THE GLIDE — fractions inherited from the cost-of-debt path</t>
        </is>
      </c>
      <c r="B64" s="6" t="n"/>
      <c r="C64" s="6" t="n"/>
      <c r="D64" s="6" t="n"/>
      <c r="E64" s="6" t="n"/>
      <c r="F64" s="6" t="n"/>
      <c r="G64" s="6" t="n"/>
    </row>
    <row r="65">
      <c r="A65" s="12" t="inlineStr"/>
      <c r="B65" s="12" t="inlineStr">
        <is>
          <t>2026E</t>
        </is>
      </c>
      <c r="C65" s="12" t="inlineStr">
        <is>
          <t>2027E</t>
        </is>
      </c>
      <c r="D65" s="12" t="inlineStr">
        <is>
          <t>2028E</t>
        </is>
      </c>
      <c r="E65" s="12" t="inlineStr">
        <is>
          <t>2029E</t>
        </is>
      </c>
      <c r="F65" s="12" t="inlineStr">
        <is>
          <t>2030E</t>
        </is>
      </c>
    </row>
    <row r="66">
      <c r="A66" s="7" t="inlineStr">
        <is>
          <t>Cost of debt path</t>
        </is>
      </c>
      <c r="B66" s="10">
        <f>Assumptions!$B$81</f>
        <v/>
      </c>
      <c r="C66" s="10">
        <f>Assumptions!$C$81</f>
        <v/>
      </c>
      <c r="D66" s="10">
        <f>Assumptions!$D$81</f>
        <v/>
      </c>
      <c r="E66" s="10">
        <f>Assumptions!$E$81</f>
        <v/>
      </c>
      <c r="F66" s="10">
        <f>Assumptions!$F$81</f>
        <v/>
      </c>
    </row>
    <row r="67">
      <c r="A67" s="7" t="inlineStr">
        <is>
          <t>Cumulative progress (glide fraction)</t>
        </is>
      </c>
      <c r="B67" s="49">
        <f>(B66-B66)/(B66-F66)</f>
        <v/>
      </c>
      <c r="C67" s="49">
        <f>(B66-C66)/(B66-F66)</f>
        <v/>
      </c>
      <c r="D67" s="49">
        <f>(B66-D66)/(B66-F66)</f>
        <v/>
      </c>
      <c r="E67" s="49">
        <f>(B66-E66)/(B66-F66)</f>
        <v/>
      </c>
      <c r="F67" s="49">
        <f>(B66-F66)/(B66-F66)</f>
        <v/>
      </c>
    </row>
    <row r="68">
      <c r="A68" s="13" t="inlineStr">
        <is>
          <t>Forward cost of capital</t>
        </is>
      </c>
      <c r="B68" s="44">
        <f>$B$54-($B$54-$B$62)*B67</f>
        <v/>
      </c>
      <c r="C68" s="44">
        <f>$B$54-($B$54-$B$62)*C67</f>
        <v/>
      </c>
      <c r="D68" s="44">
        <f>$B$54-($B$54-$B$62)*D67</f>
        <v/>
      </c>
      <c r="E68" s="44">
        <f>$B$54-($B$54-$B$62)*E67</f>
        <v/>
      </c>
      <c r="F68" s="44">
        <f>$B$54-($B$54-$B$62)*F67</f>
        <v/>
      </c>
    </row>
    <row r="69">
      <c r="A69" s="7" t="inlineStr">
        <is>
          <t>Cumulative discount factor</t>
        </is>
      </c>
      <c r="B69" s="25">
        <f>1/(1+B68)</f>
        <v/>
      </c>
      <c r="C69" s="25">
        <f>B69/(1+C68)</f>
        <v/>
      </c>
      <c r="D69" s="25">
        <f>C69/(1+D68)</f>
        <v/>
      </c>
      <c r="E69" s="25">
        <f>D69/(1+E68)</f>
        <v/>
      </c>
      <c r="F69" s="25">
        <f>E69/(1+F68)</f>
        <v/>
      </c>
    </row>
  </sheetData>
  <mergeCells count="1">
    <mergeCell ref="A39:G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Income statement — four historical periods and five forecast years</t>
        </is>
      </c>
      <c r="B1" s="2" t="n"/>
      <c r="C1" s="2" t="n"/>
      <c r="D1" s="2" t="n"/>
      <c r="E1" s="2" t="n"/>
      <c r="F1" s="2" t="n"/>
      <c r="G1" s="2" t="n"/>
      <c r="H1" s="2" t="n"/>
      <c r="I1" s="2" t="n"/>
      <c r="J1" s="2" t="n"/>
      <c r="K1" s="2" t="n"/>
    </row>
    <row r="2">
      <c r="A2" s="11" t="inlineStr">
        <is>
          <t>Historical periods are the reported June financial years plus the constructed calendar-2025 base; the forecast runs on calendar years after the year-end change.</t>
        </is>
      </c>
    </row>
    <row r="3"/>
    <row r="4">
      <c r="A4" s="12" t="inlineStr">
        <is>
          <t>EGP mn</t>
        </is>
      </c>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Revenue</t>
        </is>
      </c>
      <c r="B5" s="18">
        <f>Assumptions!$C$9</f>
        <v/>
      </c>
      <c r="C5" s="17">
        <f>(Assumptions!$C$13+Assumptions!$C$14)/2</f>
        <v/>
      </c>
      <c r="D5" s="17">
        <f>(Assumptions!$C$16+Assumptions!$C$17+Assumptions!$C$18)/3</f>
        <v/>
      </c>
      <c r="E5" s="18">
        <f>'Product Lines'!E26</f>
        <v/>
      </c>
      <c r="F5" s="18">
        <f>DCF!B5</f>
        <v/>
      </c>
      <c r="G5" s="18">
        <f>DCF!C5</f>
        <v/>
      </c>
      <c r="H5" s="18">
        <f>DCF!D5</f>
        <v/>
      </c>
      <c r="I5" s="18">
        <f>DCF!E5</f>
        <v/>
      </c>
      <c r="J5" s="18">
        <f>DCF!F5</f>
        <v/>
      </c>
    </row>
    <row r="6">
      <c r="A6" s="7" t="inlineStr">
        <is>
          <t>Gross margin</t>
        </is>
      </c>
      <c r="B6" s="16">
        <f>Assumptions!$B$95</f>
        <v/>
      </c>
      <c r="C6" s="16">
        <f>Assumptions!$C$95</f>
        <v/>
      </c>
      <c r="D6" s="16">
        <f>Assumptions!$D$95</f>
        <v/>
      </c>
      <c r="E6" s="16">
        <f>Assumptions!$E$95</f>
        <v/>
      </c>
      <c r="F6" s="9">
        <f>DCF!B6</f>
        <v/>
      </c>
      <c r="G6" s="9">
        <f>DCF!C6</f>
        <v/>
      </c>
      <c r="H6" s="9">
        <f>DCF!D6</f>
        <v/>
      </c>
      <c r="I6" s="9">
        <f>DCF!E6</f>
        <v/>
      </c>
      <c r="J6" s="9">
        <f>DCF!F6</f>
        <v/>
      </c>
    </row>
    <row r="7">
      <c r="A7" s="7" t="inlineStr">
        <is>
          <t>Gross profit</t>
        </is>
      </c>
      <c r="B7" s="17">
        <f>B5*B6</f>
        <v/>
      </c>
      <c r="C7" s="17">
        <f>C5*C6</f>
        <v/>
      </c>
      <c r="D7" s="17">
        <f>D5*D6</f>
        <v/>
      </c>
      <c r="E7" s="17">
        <f>E5*E6</f>
        <v/>
      </c>
      <c r="F7" s="17">
        <f>F5*F6</f>
        <v/>
      </c>
      <c r="G7" s="17">
        <f>G5*G6</f>
        <v/>
      </c>
      <c r="H7" s="17">
        <f>H5*H6</f>
        <v/>
      </c>
      <c r="I7" s="17">
        <f>I5*I6</f>
        <v/>
      </c>
      <c r="J7" s="17">
        <f>J5*J6</f>
        <v/>
      </c>
    </row>
    <row r="8">
      <c r="A8" s="7" t="inlineStr">
        <is>
          <t>Operating cost load</t>
        </is>
      </c>
      <c r="B8" s="17">
        <f>B5*Assumptions!$C$51</f>
        <v/>
      </c>
      <c r="C8" s="17">
        <f>C5*Assumptions!$C$51</f>
        <v/>
      </c>
      <c r="D8" s="17">
        <f>D5*Assumptions!$C$51</f>
        <v/>
      </c>
      <c r="E8" s="17">
        <f>E5*Assumptions!$C$51</f>
        <v/>
      </c>
      <c r="F8" s="18">
        <f>DCF!B8</f>
        <v/>
      </c>
      <c r="G8" s="18">
        <f>DCF!C8</f>
        <v/>
      </c>
      <c r="H8" s="18">
        <f>DCF!D8</f>
        <v/>
      </c>
      <c r="I8" s="18">
        <f>DCF!E8</f>
        <v/>
      </c>
      <c r="J8" s="18">
        <f>DCF!F8</f>
        <v/>
      </c>
    </row>
    <row r="9">
      <c r="A9" s="13" t="inlineStr">
        <is>
          <t>EBITDA</t>
        </is>
      </c>
      <c r="B9" s="33">
        <f>B7-B8</f>
        <v/>
      </c>
      <c r="C9" s="33">
        <f>C7-C8</f>
        <v/>
      </c>
      <c r="D9" s="33">
        <f>D7-D8</f>
        <v/>
      </c>
      <c r="E9" s="33">
        <f>E7-E8</f>
        <v/>
      </c>
      <c r="F9" s="33">
        <f>F7-F8</f>
        <v/>
      </c>
      <c r="G9" s="33">
        <f>G7-G8</f>
        <v/>
      </c>
      <c r="H9" s="33">
        <f>H7-H8</f>
        <v/>
      </c>
      <c r="I9" s="33">
        <f>I7-I8</f>
        <v/>
      </c>
      <c r="J9" s="33">
        <f>J7-J8</f>
        <v/>
      </c>
    </row>
    <row r="10">
      <c r="A10" s="7" t="inlineStr">
        <is>
          <t>EBITDA margin</t>
        </is>
      </c>
      <c r="B10" s="16">
        <f>B9/B5</f>
        <v/>
      </c>
      <c r="C10" s="16">
        <f>C9/C5</f>
        <v/>
      </c>
      <c r="D10" s="16">
        <f>D9/D5</f>
        <v/>
      </c>
      <c r="E10" s="16">
        <f>E9/E5</f>
        <v/>
      </c>
      <c r="F10" s="16">
        <f>F9/F5</f>
        <v/>
      </c>
      <c r="G10" s="16">
        <f>G9/G5</f>
        <v/>
      </c>
      <c r="H10" s="16">
        <f>H9/H5</f>
        <v/>
      </c>
      <c r="I10" s="16">
        <f>I9/I5</f>
        <v/>
      </c>
      <c r="J10" s="16">
        <f>J9/J5</f>
        <v/>
      </c>
    </row>
    <row r="11">
      <c r="A11" s="7" t="inlineStr">
        <is>
          <t>Depreciation and amortisation</t>
        </is>
      </c>
      <c r="B11" s="17">
        <f>B5*Assumptions!$C$69</f>
        <v/>
      </c>
      <c r="C11" s="17">
        <f>C5*Assumptions!$C$69</f>
        <v/>
      </c>
      <c r="D11" s="17">
        <f>D5*Assumptions!$C$69</f>
        <v/>
      </c>
      <c r="E11" s="17">
        <f>E5*Assumptions!$C$69</f>
        <v/>
      </c>
      <c r="F11" s="18">
        <f>DCF!B11</f>
        <v/>
      </c>
      <c r="G11" s="18">
        <f>DCF!C11</f>
        <v/>
      </c>
      <c r="H11" s="18">
        <f>DCF!D11</f>
        <v/>
      </c>
      <c r="I11" s="18">
        <f>DCF!E11</f>
        <v/>
      </c>
      <c r="J11" s="18">
        <f>DCF!F11</f>
        <v/>
      </c>
    </row>
    <row r="12">
      <c r="A12" s="13" t="inlineStr">
        <is>
          <t>EBIT</t>
        </is>
      </c>
      <c r="B12" s="33">
        <f>B9-B11</f>
        <v/>
      </c>
      <c r="C12" s="33">
        <f>C9-C11</f>
        <v/>
      </c>
      <c r="D12" s="33">
        <f>D9-D11</f>
        <v/>
      </c>
      <c r="E12" s="33">
        <f>E9-E11</f>
        <v/>
      </c>
      <c r="F12" s="33">
        <f>F9-F11</f>
        <v/>
      </c>
      <c r="G12" s="33">
        <f>G9-G11</f>
        <v/>
      </c>
      <c r="H12" s="33">
        <f>H9-H11</f>
        <v/>
      </c>
      <c r="I12" s="33">
        <f>I9-I11</f>
        <v/>
      </c>
      <c r="J12" s="33">
        <f>J9-J11</f>
        <v/>
      </c>
    </row>
    <row r="13">
      <c r="A13" s="7" t="inlineStr">
        <is>
          <t>Net finance income</t>
        </is>
      </c>
      <c r="B13" s="17">
        <f>$E$13*B5/$E$5*0.85</f>
        <v/>
      </c>
      <c r="C13" s="17">
        <f>$E$13*C5/$E$5*0.85</f>
        <v/>
      </c>
      <c r="D13" s="17">
        <f>$E$13*D5/$E$5*0.85</f>
        <v/>
      </c>
      <c r="E13" s="17">
        <f>Assumptions!$C$60*Assumptions!$C$45-Assumptions!$C$59*Assumptions!$C$46</f>
        <v/>
      </c>
      <c r="F13" s="18">
        <f>'Cash Flow'!B16</f>
        <v/>
      </c>
      <c r="G13" s="18">
        <f>'Cash Flow'!C16</f>
        <v/>
      </c>
      <c r="H13" s="18">
        <f>'Cash Flow'!D16</f>
        <v/>
      </c>
      <c r="I13" s="18">
        <f>'Cash Flow'!E16</f>
        <v/>
      </c>
      <c r="J13" s="18">
        <f>'Cash Flow'!F16</f>
        <v/>
      </c>
    </row>
    <row r="14">
      <c r="A14" s="13" t="inlineStr">
        <is>
          <t>Profit after tax (disclosed for history)</t>
        </is>
      </c>
      <c r="B14" s="33">
        <f>Assumptions!$C$12</f>
        <v/>
      </c>
      <c r="C14" s="33">
        <f>Assumptions!$C$15</f>
        <v/>
      </c>
      <c r="D14" s="33">
        <f>Assumptions!$C$19</f>
        <v/>
      </c>
      <c r="E14" s="33">
        <f>'Product Lines'!B56</f>
        <v/>
      </c>
      <c r="F14" s="33">
        <f>(F12+F13)*(1-Assumptions!$C$61)</f>
        <v/>
      </c>
      <c r="G14" s="33">
        <f>(G12+G13)*(1-Assumptions!$C$61)</f>
        <v/>
      </c>
      <c r="H14" s="33">
        <f>(H12+H13)*(1-Assumptions!$C$61)</f>
        <v/>
      </c>
      <c r="I14" s="33">
        <f>(I12+I13)*(1-Assumptions!$C$61)</f>
        <v/>
      </c>
      <c r="J14" s="33">
        <f>(J12+J13)*(1-Assumptions!$C$61)</f>
        <v/>
      </c>
    </row>
    <row r="15">
      <c r="A15" s="7" t="inlineStr">
        <is>
          <t>Profit before tax</t>
        </is>
      </c>
      <c r="B15" s="17">
        <f>B14/(1-Assumptions!$C$61)</f>
        <v/>
      </c>
      <c r="C15" s="17">
        <f>C14/(1-Assumptions!$C$61)</f>
        <v/>
      </c>
      <c r="D15" s="17">
        <f>D14/(1-Assumptions!$C$61)</f>
        <v/>
      </c>
      <c r="E15" s="17">
        <f>E14/(1-Assumptions!$C$61)</f>
        <v/>
      </c>
      <c r="F15" s="17">
        <f>F14/(1-Assumptions!$C$61)</f>
        <v/>
      </c>
      <c r="G15" s="17">
        <f>G14/(1-Assumptions!$C$61)</f>
        <v/>
      </c>
      <c r="H15" s="17">
        <f>H14/(1-Assumptions!$C$61)</f>
        <v/>
      </c>
      <c r="I15" s="17">
        <f>I14/(1-Assumptions!$C$61)</f>
        <v/>
      </c>
      <c r="J15" s="17">
        <f>J14/(1-Assumptions!$C$61)</f>
        <v/>
      </c>
    </row>
    <row r="16">
      <c r="A16" s="7" t="inlineStr">
        <is>
          <t>Other and non-operating income</t>
        </is>
      </c>
      <c r="B16" s="17">
        <f>B15-B12-B13</f>
        <v/>
      </c>
      <c r="C16" s="17">
        <f>C15-C12-C13</f>
        <v/>
      </c>
      <c r="D16" s="17">
        <f>D15-D12-D13</f>
        <v/>
      </c>
      <c r="E16" s="17">
        <f>E15-E12-E13</f>
        <v/>
      </c>
      <c r="F16" s="17">
        <f>F15-F12-F13</f>
        <v/>
      </c>
      <c r="G16" s="17">
        <f>G15-G12-G13</f>
        <v/>
      </c>
      <c r="H16" s="17">
        <f>H15-H12-H13</f>
        <v/>
      </c>
      <c r="I16" s="17">
        <f>I15-I12-I13</f>
        <v/>
      </c>
      <c r="J16" s="17">
        <f>J15-J12-J13</f>
        <v/>
      </c>
    </row>
    <row r="17">
      <c r="A17" s="7" t="inlineStr">
        <is>
          <t>Tax</t>
        </is>
      </c>
      <c r="B17" s="17">
        <f>B14-B15</f>
        <v/>
      </c>
      <c r="C17" s="17">
        <f>C14-C15</f>
        <v/>
      </c>
      <c r="D17" s="17">
        <f>D14-D15</f>
        <v/>
      </c>
      <c r="E17" s="17">
        <f>E14-E15</f>
        <v/>
      </c>
      <c r="F17" s="17">
        <f>F14-F15</f>
        <v/>
      </c>
      <c r="G17" s="17">
        <f>G14-G15</f>
        <v/>
      </c>
      <c r="H17" s="17">
        <f>H14-H15</f>
        <v/>
      </c>
      <c r="I17" s="17">
        <f>I14-I15</f>
        <v/>
      </c>
      <c r="J17" s="17">
        <f>J14-J15</f>
        <v/>
      </c>
    </row>
    <row r="18">
      <c r="A18" s="7" t="inlineStr">
        <is>
          <t>Minority interests</t>
        </is>
      </c>
      <c r="B18" s="17">
        <f>B14*Assumptions!$C$70</f>
        <v/>
      </c>
      <c r="C18" s="17">
        <f>C14*Assumptions!$C$70</f>
        <v/>
      </c>
      <c r="D18" s="17">
        <f>D14*Assumptions!$C$70</f>
        <v/>
      </c>
      <c r="E18" s="17">
        <f>E14*Assumptions!$C$70</f>
        <v/>
      </c>
      <c r="F18" s="17">
        <f>F14*Assumptions!$C$70</f>
        <v/>
      </c>
      <c r="G18" s="17">
        <f>G14*Assumptions!$C$70</f>
        <v/>
      </c>
      <c r="H18" s="17">
        <f>H14*Assumptions!$C$70</f>
        <v/>
      </c>
      <c r="I18" s="17">
        <f>I14*Assumptions!$C$70</f>
        <v/>
      </c>
      <c r="J18" s="17">
        <f>J14*Assumptions!$C$70</f>
        <v/>
      </c>
    </row>
    <row r="19">
      <c r="A19" s="13" t="inlineStr">
        <is>
          <t>PROFIT ATTRIBUTABLE TO SHAREHOLDERS</t>
        </is>
      </c>
      <c r="B19" s="33">
        <f>B14-B18</f>
        <v/>
      </c>
      <c r="C19" s="33">
        <f>C14-C18</f>
        <v/>
      </c>
      <c r="D19" s="33">
        <f>D14-D18</f>
        <v/>
      </c>
      <c r="E19" s="33">
        <f>E14-E18</f>
        <v/>
      </c>
      <c r="F19" s="33">
        <f>F14-F18</f>
        <v/>
      </c>
      <c r="G19" s="33">
        <f>G14-G18</f>
        <v/>
      </c>
      <c r="H19" s="33">
        <f>H14-H18</f>
        <v/>
      </c>
      <c r="I19" s="33">
        <f>I14-I18</f>
        <v/>
      </c>
      <c r="J19" s="33">
        <f>J14-J18</f>
        <v/>
      </c>
    </row>
    <row r="20">
      <c r="A20" s="7" t="inlineStr">
        <is>
          <t>Earnings per share (EGP)</t>
        </is>
      </c>
      <c r="B20" s="20">
        <f>B19/Assumptions!$C$6</f>
        <v/>
      </c>
      <c r="C20" s="20">
        <f>C19/Assumptions!$C$6</f>
        <v/>
      </c>
      <c r="D20" s="20">
        <f>D19/Assumptions!$C$6</f>
        <v/>
      </c>
      <c r="E20" s="20">
        <f>E19/Assumptions!$C$6</f>
        <v/>
      </c>
      <c r="F20" s="20">
        <f>F19/Assumptions!$C$6</f>
        <v/>
      </c>
      <c r="G20" s="20">
        <f>G19/Assumptions!$C$6</f>
        <v/>
      </c>
      <c r="H20" s="20">
        <f>H19/Assumptions!$C$6</f>
        <v/>
      </c>
      <c r="I20" s="20">
        <f>I19/Assumptions!$C$6</f>
        <v/>
      </c>
      <c r="J20" s="20">
        <f>J19/Assumptions!$C$6</f>
        <v/>
      </c>
    </row>
    <row r="21"/>
    <row r="22" ht="28" customHeight="1">
      <c r="A22" s="21" t="inlineStr">
        <is>
          <t>Only the historical PROFIT AFTER TAX is a pasted value — it is the disclosed figure. Every other line in every column is a formula. Note the OTHER INCOME line: it is the residual between disclosed profit and the operating result, and it is large in the devaluation years and small now. The forecast carries NONE of it, which is why forecast attributable profit is not a simple extrapolation of the reported record.</t>
        </is>
      </c>
    </row>
  </sheetData>
  <mergeCells count="1">
    <mergeCell ref="A22:K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Balance sheet — four historical periods and five forecast years</t>
        </is>
      </c>
      <c r="B1" s="2" t="n"/>
      <c r="C1" s="2" t="n"/>
      <c r="D1" s="2" t="n"/>
      <c r="E1" s="2" t="n"/>
      <c r="F1" s="2" t="n"/>
      <c r="G1" s="2" t="n"/>
      <c r="H1" s="2" t="n"/>
      <c r="I1" s="2" t="n"/>
      <c r="J1" s="2" t="n"/>
      <c r="K1" s="2" t="n"/>
    </row>
    <row r="2">
      <c r="A2" s="11" t="inlineStr">
        <is>
          <t>History rolled back from the disclosed snapshot through disclosed profit and dividends; the forecast rolls forward off the waterfall.</t>
        </is>
      </c>
    </row>
    <row r="3"/>
    <row r="4">
      <c r="A4" s="12" t="inlineStr">
        <is>
          <t>EGP mn</t>
        </is>
      </c>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Revenue (memo)</t>
        </is>
      </c>
      <c r="B5" s="18">
        <f>'Income Statement'!B5</f>
        <v/>
      </c>
      <c r="C5" s="18">
        <f>'Income Statement'!C5</f>
        <v/>
      </c>
      <c r="D5" s="18">
        <f>'Income Statement'!D5</f>
        <v/>
      </c>
      <c r="E5" s="18">
        <f>'Income Statement'!E5</f>
        <v/>
      </c>
      <c r="F5" s="18">
        <f>DCF!B5</f>
        <v/>
      </c>
      <c r="G5" s="18">
        <f>DCF!C5</f>
        <v/>
      </c>
      <c r="H5" s="18">
        <f>DCF!D5</f>
        <v/>
      </c>
      <c r="I5" s="18">
        <f>DCF!E5</f>
        <v/>
      </c>
      <c r="J5" s="18">
        <f>DCF!F5</f>
        <v/>
      </c>
    </row>
    <row r="6">
      <c r="A6" s="7" t="inlineStr">
        <is>
          <t>Cost of sales (memo)</t>
        </is>
      </c>
      <c r="B6" s="17">
        <f>'Income Statement'!B5-'Income Statement'!B7</f>
        <v/>
      </c>
      <c r="C6" s="17">
        <f>'Income Statement'!C5-'Income Statement'!C7</f>
        <v/>
      </c>
      <c r="D6" s="17">
        <f>'Income Statement'!D5-'Income Statement'!D7</f>
        <v/>
      </c>
      <c r="E6" s="17">
        <f>'Income Statement'!E5-'Income Statement'!E7</f>
        <v/>
      </c>
      <c r="F6" s="17">
        <f>DCF!B5-DCF!B7</f>
        <v/>
      </c>
      <c r="G6" s="17">
        <f>DCF!C5-DCF!C7</f>
        <v/>
      </c>
      <c r="H6" s="17">
        <f>DCF!D5-DCF!D7</f>
        <v/>
      </c>
      <c r="I6" s="17">
        <f>DCF!E5-DCF!E7</f>
        <v/>
      </c>
      <c r="J6" s="17">
        <f>DCF!F5-DCF!F7</f>
        <v/>
      </c>
    </row>
    <row r="7"/>
    <row r="8">
      <c r="A8" s="5" t="inlineStr">
        <is>
          <t>ASSETS</t>
        </is>
      </c>
      <c r="B8" s="6" t="n"/>
      <c r="C8" s="6" t="n"/>
      <c r="D8" s="6" t="n"/>
      <c r="E8" s="6" t="n"/>
      <c r="F8" s="6" t="n"/>
      <c r="G8" s="6" t="n"/>
      <c r="H8" s="6" t="n"/>
      <c r="I8" s="6" t="n"/>
      <c r="J8" s="6" t="n"/>
      <c r="K8" s="6" t="n"/>
    </row>
    <row r="9">
      <c r="A9" s="7" t="inlineStr">
        <is>
          <t>Property, plant and equipment</t>
        </is>
      </c>
      <c r="B9" s="17">
        <f>$E$9*(B5/$E$5)^0.5</f>
        <v/>
      </c>
      <c r="C9" s="17">
        <f>$E$9*(C5/$E$5)^0.5</f>
        <v/>
      </c>
      <c r="D9" s="17">
        <f>$E$9*(D5/$E$5)^0.5</f>
        <v/>
      </c>
      <c r="E9" s="17">
        <f>Assumptions!$C$43-Assumptions!$C$45-E10-E11-Assumptions!$C$50</f>
        <v/>
      </c>
      <c r="F9" s="18">
        <f>DCF!B23</f>
        <v/>
      </c>
      <c r="G9" s="18">
        <f>DCF!C23</f>
        <v/>
      </c>
      <c r="H9" s="18">
        <f>DCF!D23</f>
        <v/>
      </c>
      <c r="I9" s="18">
        <f>DCF!E23</f>
        <v/>
      </c>
      <c r="J9" s="18">
        <f>DCF!F23</f>
        <v/>
      </c>
    </row>
    <row r="10">
      <c r="A10" s="7" t="inlineStr">
        <is>
          <t>Inventories</t>
        </is>
      </c>
      <c r="B10" s="17">
        <f>B6*Assumptions!$C$48/365</f>
        <v/>
      </c>
      <c r="C10" s="17">
        <f>C6*Assumptions!$C$48/365</f>
        <v/>
      </c>
      <c r="D10" s="17">
        <f>D6*Assumptions!$C$48/365</f>
        <v/>
      </c>
      <c r="E10" s="17">
        <f>E6*Assumptions!$C$48/365</f>
        <v/>
      </c>
      <c r="F10" s="17">
        <f>F6*Assumptions!$C$48/365</f>
        <v/>
      </c>
      <c r="G10" s="17">
        <f>G6*Assumptions!$C$48/365</f>
        <v/>
      </c>
      <c r="H10" s="17">
        <f>H6*Assumptions!$C$48/365</f>
        <v/>
      </c>
      <c r="I10" s="17">
        <f>I6*Assumptions!$C$48/365</f>
        <v/>
      </c>
      <c r="J10" s="17">
        <f>J6*Assumptions!$C$48/365</f>
        <v/>
      </c>
    </row>
    <row r="11">
      <c r="A11" s="7" t="inlineStr">
        <is>
          <t>Trade receivables</t>
        </is>
      </c>
      <c r="B11" s="17">
        <f>B5*Assumptions!$C$47/365</f>
        <v/>
      </c>
      <c r="C11" s="17">
        <f>C5*Assumptions!$C$47/365</f>
        <v/>
      </c>
      <c r="D11" s="17">
        <f>D5*Assumptions!$C$47/365</f>
        <v/>
      </c>
      <c r="E11" s="17">
        <f>E5*Assumptions!$C$47/365</f>
        <v/>
      </c>
      <c r="F11" s="17">
        <f>F5*Assumptions!$C$47/365</f>
        <v/>
      </c>
      <c r="G11" s="17">
        <f>G5*Assumptions!$C$47/365</f>
        <v/>
      </c>
      <c r="H11" s="17">
        <f>H5*Assumptions!$C$47/365</f>
        <v/>
      </c>
      <c r="I11" s="17">
        <f>I5*Assumptions!$C$47/365</f>
        <v/>
      </c>
      <c r="J11" s="17">
        <f>J5*Assumptions!$C$47/365</f>
        <v/>
      </c>
    </row>
    <row r="12">
      <c r="A12" s="7" t="inlineStr">
        <is>
          <t>Other current assets</t>
        </is>
      </c>
      <c r="B12" s="18">
        <f>Assumptions!$C$50</f>
        <v/>
      </c>
      <c r="C12" s="18">
        <f>Assumptions!$C$50</f>
        <v/>
      </c>
      <c r="D12" s="18">
        <f>Assumptions!$C$50</f>
        <v/>
      </c>
      <c r="E12" s="18">
        <f>Assumptions!$C$50</f>
        <v/>
      </c>
      <c r="F12" s="18">
        <f>Assumptions!$C$50</f>
        <v/>
      </c>
      <c r="G12" s="18">
        <f>Assumptions!$C$50</f>
        <v/>
      </c>
      <c r="H12" s="18">
        <f>Assumptions!$C$50</f>
        <v/>
      </c>
      <c r="I12" s="18">
        <f>Assumptions!$C$50</f>
        <v/>
      </c>
      <c r="J12" s="18">
        <f>Assumptions!$C$50</f>
        <v/>
      </c>
    </row>
    <row r="13">
      <c r="A13" s="7" t="inlineStr">
        <is>
          <t>Cash and equivalents</t>
        </is>
      </c>
      <c r="B13" s="17">
        <f>B20+B21+B17+B19+Assumptions!$C$46-B9-B10-B11-Assumptions!$C$50</f>
        <v/>
      </c>
      <c r="C13" s="17">
        <f>C20+C21+C17+C19+Assumptions!$C$46-C9-C10-C11-Assumptions!$C$50</f>
        <v/>
      </c>
      <c r="D13" s="17">
        <f>D20+D21+D17+D19+Assumptions!$C$46-D9-D10-D11-Assumptions!$C$50</f>
        <v/>
      </c>
      <c r="E13" s="18">
        <f>Assumptions!$C$45</f>
        <v/>
      </c>
      <c r="F13" s="17">
        <f>Assumptions!$C$46-'Cash Flow'!B$22</f>
        <v/>
      </c>
      <c r="G13" s="17">
        <f>Assumptions!$C$46-'Cash Flow'!C$22</f>
        <v/>
      </c>
      <c r="H13" s="17">
        <f>Assumptions!$C$46-'Cash Flow'!D$22</f>
        <v/>
      </c>
      <c r="I13" s="17">
        <f>Assumptions!$C$46-'Cash Flow'!E$22</f>
        <v/>
      </c>
      <c r="J13" s="17">
        <f>Assumptions!$C$46-'Cash Flow'!F$22</f>
        <v/>
      </c>
    </row>
    <row r="14">
      <c r="A14" s="13" t="inlineStr">
        <is>
          <t>TOTAL ASSETS</t>
        </is>
      </c>
      <c r="B14" s="33">
        <f>B9+B10+B11+B12+B13</f>
        <v/>
      </c>
      <c r="C14" s="33">
        <f>C9+C10+C11+C12+C13</f>
        <v/>
      </c>
      <c r="D14" s="33">
        <f>D9+D10+D11+D12+D13</f>
        <v/>
      </c>
      <c r="E14" s="33">
        <f>E9+E10+E11+E12+E13</f>
        <v/>
      </c>
      <c r="F14" s="33">
        <f>F9+F10+F11+F12+F13</f>
        <v/>
      </c>
      <c r="G14" s="33">
        <f>G9+G10+G11+G12+G13</f>
        <v/>
      </c>
      <c r="H14" s="33">
        <f>H9+H10+H11+H12+H13</f>
        <v/>
      </c>
      <c r="I14" s="33">
        <f>I9+I10+I11+I12+I13</f>
        <v/>
      </c>
      <c r="J14" s="33">
        <f>J9+J10+J11+J12+J13</f>
        <v/>
      </c>
    </row>
    <row r="15"/>
    <row r="16">
      <c r="A16" s="5" t="inlineStr">
        <is>
          <t>LIABILITIES AND EQUITY</t>
        </is>
      </c>
      <c r="B16" s="6" t="n"/>
      <c r="C16" s="6" t="n"/>
      <c r="D16" s="6" t="n"/>
      <c r="E16" s="6" t="n"/>
      <c r="F16" s="6" t="n"/>
      <c r="G16" s="6" t="n"/>
      <c r="H16" s="6" t="n"/>
      <c r="I16" s="6" t="n"/>
      <c r="J16" s="6" t="n"/>
      <c r="K16" s="6" t="n"/>
    </row>
    <row r="17">
      <c r="A17" s="7" t="inlineStr">
        <is>
          <t>Trade payables</t>
        </is>
      </c>
      <c r="B17" s="17">
        <f>B6*Assumptions!$C$49/365</f>
        <v/>
      </c>
      <c r="C17" s="17">
        <f>C6*Assumptions!$C$49/365</f>
        <v/>
      </c>
      <c r="D17" s="17">
        <f>D6*Assumptions!$C$49/365</f>
        <v/>
      </c>
      <c r="E17" s="17">
        <f>E6*Assumptions!$C$49/365</f>
        <v/>
      </c>
      <c r="F17" s="17">
        <f>F6*Assumptions!$C$49/365</f>
        <v/>
      </c>
      <c r="G17" s="17">
        <f>G6*Assumptions!$C$49/365</f>
        <v/>
      </c>
      <c r="H17" s="17">
        <f>H6*Assumptions!$C$49/365</f>
        <v/>
      </c>
      <c r="I17" s="17">
        <f>I6*Assumptions!$C$49/365</f>
        <v/>
      </c>
      <c r="J17" s="17">
        <f>J6*Assumptions!$C$49/365</f>
        <v/>
      </c>
    </row>
    <row r="18">
      <c r="A18" s="7" t="inlineStr">
        <is>
          <t>Gross debt</t>
        </is>
      </c>
      <c r="B18" s="23">
        <f>Assumptions!$C$46</f>
        <v/>
      </c>
      <c r="C18" s="23">
        <f>Assumptions!$C$46</f>
        <v/>
      </c>
      <c r="D18" s="23">
        <f>Assumptions!$C$46</f>
        <v/>
      </c>
      <c r="E18" s="23">
        <f>Assumptions!$C$46</f>
        <v/>
      </c>
      <c r="F18" s="23">
        <f>Assumptions!$C$46</f>
        <v/>
      </c>
      <c r="G18" s="23">
        <f>Assumptions!$C$46</f>
        <v/>
      </c>
      <c r="H18" s="23">
        <f>Assumptions!$C$46</f>
        <v/>
      </c>
      <c r="I18" s="23">
        <f>Assumptions!$C$46</f>
        <v/>
      </c>
      <c r="J18" s="23">
        <f>Assumptions!$C$46</f>
        <v/>
      </c>
    </row>
    <row r="19">
      <c r="A19" s="7" t="inlineStr">
        <is>
          <t>Other liabilities, provisions and tax</t>
        </is>
      </c>
      <c r="B19" s="17">
        <f>$E$19*B5/$E$5</f>
        <v/>
      </c>
      <c r="C19" s="17">
        <f>$E$19*C5/$E$5</f>
        <v/>
      </c>
      <c r="D19" s="17">
        <f>$E$19*D5/$E$5</f>
        <v/>
      </c>
      <c r="E19" s="17">
        <f>Assumptions!$C$44-Assumptions!$C$46-E17</f>
        <v/>
      </c>
      <c r="F19" s="17">
        <f>F5/E5*E19</f>
        <v/>
      </c>
      <c r="G19" s="17">
        <f>G5/E5*E19</f>
        <v/>
      </c>
      <c r="H19" s="17">
        <f>H5/E5*E19</f>
        <v/>
      </c>
      <c r="I19" s="17">
        <f>I5/E5*E19</f>
        <v/>
      </c>
      <c r="J19" s="17">
        <f>J5/E5*E19</f>
        <v/>
      </c>
    </row>
    <row r="20">
      <c r="A20" s="7" t="inlineStr">
        <is>
          <t>Shareholders equity (attributable)</t>
        </is>
      </c>
      <c r="B20" s="17">
        <f>C20/(1-Assumptions!$C$70)-Assumptions!$C$15+Assumptions!$C$52*Assumptions!$C$6-(C20/(1-Assumptions!$C$70)-Assumptions!$C$15+Assumptions!$C$52*Assumptions!$C$6)*Assumptions!$C$70</f>
        <v/>
      </c>
      <c r="C20" s="17">
        <f>D20/(1-Assumptions!$C$70)-Assumptions!$C$19+Assumptions!$C$52*Assumptions!$C$6-(D20/(1-Assumptions!$C$70)-Assumptions!$C$19+Assumptions!$C$52*Assumptions!$C$6)*Assumptions!$C$70</f>
        <v/>
      </c>
      <c r="D20" s="17">
        <f>E20/(1-Assumptions!$C$70)-Assumptions!$C$23+0.5*Assumptions!$C$52*Assumptions!$C$6-(E20/(1-Assumptions!$C$70)-Assumptions!$C$23+0.5*Assumptions!$C$52*Assumptions!$C$6)*Assumptions!$C$70</f>
        <v/>
      </c>
      <c r="E20" s="17">
        <f>(Assumptions!$C$43-Assumptions!$C$44)*(1-Assumptions!$C$70)</f>
        <v/>
      </c>
      <c r="F20" s="18">
        <f>'Cash Flow'!B$25</f>
        <v/>
      </c>
      <c r="G20" s="18">
        <f>'Cash Flow'!C$25</f>
        <v/>
      </c>
      <c r="H20" s="18">
        <f>'Cash Flow'!D$25</f>
        <v/>
      </c>
      <c r="I20" s="18">
        <f>'Cash Flow'!E$25</f>
        <v/>
      </c>
      <c r="J20" s="18">
        <f>'Cash Flow'!F$25</f>
        <v/>
      </c>
    </row>
    <row r="21">
      <c r="A21" s="7" t="inlineStr">
        <is>
          <t>Minority interests</t>
        </is>
      </c>
      <c r="B21" s="17">
        <f>B20/(1-Assumptions!$C$70)*Assumptions!$C$70</f>
        <v/>
      </c>
      <c r="C21" s="17">
        <f>C20/(1-Assumptions!$C$70)*Assumptions!$C$70</f>
        <v/>
      </c>
      <c r="D21" s="17">
        <f>D20/(1-Assumptions!$C$70)*Assumptions!$C$70</f>
        <v/>
      </c>
      <c r="E21" s="17">
        <f>E20/(1-Assumptions!$C$70)*Assumptions!$C$70</f>
        <v/>
      </c>
      <c r="F21" s="17">
        <f>F20/(1-Assumptions!$C$70)*Assumptions!$C$70</f>
        <v/>
      </c>
      <c r="G21" s="17">
        <f>G20/(1-Assumptions!$C$70)*Assumptions!$C$70</f>
        <v/>
      </c>
      <c r="H21" s="17">
        <f>H20/(1-Assumptions!$C$70)*Assumptions!$C$70</f>
        <v/>
      </c>
      <c r="I21" s="17">
        <f>I20/(1-Assumptions!$C$70)*Assumptions!$C$70</f>
        <v/>
      </c>
      <c r="J21" s="17">
        <f>J20/(1-Assumptions!$C$70)*Assumptions!$C$70</f>
        <v/>
      </c>
    </row>
    <row r="22">
      <c r="A22" s="13" t="inlineStr">
        <is>
          <t>TOTAL LIABILITIES AND EQUITY</t>
        </is>
      </c>
      <c r="B22" s="33">
        <f>B17+B18+B19+B20+B21</f>
        <v/>
      </c>
      <c r="C22" s="33">
        <f>C17+C18+C19+C20+C21</f>
        <v/>
      </c>
      <c r="D22" s="33">
        <f>D17+D18+D19+D20+D21</f>
        <v/>
      </c>
      <c r="E22" s="33">
        <f>E17+E18+E19+E20+E21</f>
        <v/>
      </c>
      <c r="F22" s="33">
        <f>F17+F18+F19+F20+F21</f>
        <v/>
      </c>
      <c r="G22" s="33">
        <f>G17+G18+G19+G20+G21</f>
        <v/>
      </c>
      <c r="H22" s="33">
        <f>H17+H18+H19+H20+H21</f>
        <v/>
      </c>
      <c r="I22" s="33">
        <f>I17+I18+I19+I20+I21</f>
        <v/>
      </c>
      <c r="J22" s="33">
        <f>J17+J18+J19+J20+J21</f>
        <v/>
      </c>
    </row>
    <row r="23"/>
    <row r="24">
      <c r="A24" s="5" t="inlineStr">
        <is>
          <t>DERIVED</t>
        </is>
      </c>
      <c r="B24" s="6" t="n"/>
      <c r="C24" s="6" t="n"/>
      <c r="D24" s="6" t="n"/>
      <c r="E24" s="6" t="n"/>
      <c r="F24" s="6" t="n"/>
      <c r="G24" s="6" t="n"/>
      <c r="H24" s="6" t="n"/>
      <c r="I24" s="6" t="n"/>
      <c r="J24" s="6" t="n"/>
      <c r="K24" s="6" t="n"/>
    </row>
    <row r="25">
      <c r="A25" s="7" t="inlineStr">
        <is>
          <t>Net working capital</t>
        </is>
      </c>
      <c r="B25" s="17">
        <f>B10+B11+B12-B17</f>
        <v/>
      </c>
      <c r="C25" s="17">
        <f>C10+C11+C12-C17</f>
        <v/>
      </c>
      <c r="D25" s="17">
        <f>D10+D11+D12-D17</f>
        <v/>
      </c>
      <c r="E25" s="17">
        <f>E10+E11+E12-E17</f>
        <v/>
      </c>
      <c r="F25" s="18">
        <f>DCF!B16</f>
        <v/>
      </c>
      <c r="G25" s="18">
        <f>DCF!C16</f>
        <v/>
      </c>
      <c r="H25" s="18">
        <f>DCF!D16</f>
        <v/>
      </c>
      <c r="I25" s="18">
        <f>DCF!E16</f>
        <v/>
      </c>
      <c r="J25" s="18">
        <f>DCF!F16</f>
        <v/>
      </c>
    </row>
    <row r="26">
      <c r="A26" s="7" t="inlineStr">
        <is>
          <t>Net working capital, % of revenue</t>
        </is>
      </c>
      <c r="B26" s="16">
        <f>B25/B5</f>
        <v/>
      </c>
      <c r="C26" s="16">
        <f>C25/C5</f>
        <v/>
      </c>
      <c r="D26" s="16">
        <f>D25/D5</f>
        <v/>
      </c>
      <c r="E26" s="16">
        <f>E25/E5</f>
        <v/>
      </c>
      <c r="F26" s="16">
        <f>F25/F5</f>
        <v/>
      </c>
      <c r="G26" s="16">
        <f>G25/G5</f>
        <v/>
      </c>
      <c r="H26" s="16">
        <f>H25/H5</f>
        <v/>
      </c>
      <c r="I26" s="16">
        <f>I25/I5</f>
        <v/>
      </c>
      <c r="J26" s="16">
        <f>J25/J5</f>
        <v/>
      </c>
    </row>
    <row r="27">
      <c r="A27" s="7" t="inlineStr">
        <is>
          <t>Net debt (negative = net cash)</t>
        </is>
      </c>
      <c r="B27" s="17">
        <f>B18-B13</f>
        <v/>
      </c>
      <c r="C27" s="17">
        <f>C18-C13</f>
        <v/>
      </c>
      <c r="D27" s="17">
        <f>D18-D13</f>
        <v/>
      </c>
      <c r="E27" s="17">
        <f>E18-E13</f>
        <v/>
      </c>
      <c r="F27" s="17">
        <f>F18-F13</f>
        <v/>
      </c>
      <c r="G27" s="17">
        <f>G18-G13</f>
        <v/>
      </c>
      <c r="H27" s="17">
        <f>H18-H13</f>
        <v/>
      </c>
      <c r="I27" s="17">
        <f>I18-I13</f>
        <v/>
      </c>
      <c r="J27" s="17">
        <f>J18-J13</f>
        <v/>
      </c>
    </row>
    <row r="28">
      <c r="A28" s="7" t="inlineStr">
        <is>
          <t>Net cash per share (EGP)</t>
        </is>
      </c>
      <c r="B28" s="20">
        <f>-B27/Assumptions!$C$6</f>
        <v/>
      </c>
      <c r="C28" s="20">
        <f>-C27/Assumptions!$C$6</f>
        <v/>
      </c>
      <c r="D28" s="20">
        <f>-D27/Assumptions!$C$6</f>
        <v/>
      </c>
      <c r="E28" s="20">
        <f>-E27/Assumptions!$C$6</f>
        <v/>
      </c>
      <c r="F28" s="20">
        <f>-F27/Assumptions!$C$6</f>
        <v/>
      </c>
      <c r="G28" s="20">
        <f>-G27/Assumptions!$C$6</f>
        <v/>
      </c>
      <c r="H28" s="20">
        <f>-H27/Assumptions!$C$6</f>
        <v/>
      </c>
      <c r="I28" s="20">
        <f>-I27/Assumptions!$C$6</f>
        <v/>
      </c>
      <c r="J28" s="20">
        <f>-J27/Assumptions!$C$6</f>
        <v/>
      </c>
    </row>
    <row r="29">
      <c r="A29" s="7" t="inlineStr">
        <is>
          <t>Balance check (assets less liabilities and equity)</t>
        </is>
      </c>
      <c r="B29" s="17">
        <f>B14-B22</f>
        <v/>
      </c>
      <c r="C29" s="17">
        <f>C14-C22</f>
        <v/>
      </c>
      <c r="D29" s="17">
        <f>D14-D22</f>
        <v/>
      </c>
      <c r="E29" s="17">
        <f>E14-E22</f>
        <v/>
      </c>
    </row>
    <row r="30"/>
    <row r="31" ht="28" customHeight="1">
      <c r="A31" s="21" t="inlineStr">
        <is>
          <t>The historical balance sheets are a reconstruction, and the workbook says so: only total assets, total liabilities, cash and gross debt are disclosed at one date. Everything else is built from days drivers and a roll-back through disclosed profit and dividends. The reconstruction is checked two ways — implied remaining asset life, and share capital plus disclosed reserves against total equity.</t>
        </is>
      </c>
    </row>
  </sheetData>
  <mergeCells count="1">
    <mergeCell ref="A31:K3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Cash flow — linked to the waterfall, not restated</t>
        </is>
      </c>
      <c r="B1" s="2" t="n"/>
      <c r="C1" s="2" t="n"/>
      <c r="D1" s="2" t="n"/>
      <c r="E1" s="2" t="n"/>
      <c r="F1" s="2" t="n"/>
      <c r="G1" s="2" t="n"/>
    </row>
    <row r="2">
      <c r="A2" s="11" t="inlineStr">
        <is>
          <t>Every line points at the discounted cash flow sheet or at the roll-forward, so the two cannot drift apart.</t>
        </is>
      </c>
    </row>
    <row r="3"/>
    <row r="4">
      <c r="A4" s="12" t="inlineStr">
        <is>
          <t>EGP mn</t>
        </is>
      </c>
      <c r="B4" s="12" t="inlineStr">
        <is>
          <t>2026E</t>
        </is>
      </c>
      <c r="C4" s="12" t="inlineStr">
        <is>
          <t>2027E</t>
        </is>
      </c>
      <c r="D4" s="12" t="inlineStr">
        <is>
          <t>2028E</t>
        </is>
      </c>
      <c r="E4" s="12" t="inlineStr">
        <is>
          <t>2029E</t>
        </is>
      </c>
      <c r="F4" s="12" t="inlineStr">
        <is>
          <t>2030E</t>
        </is>
      </c>
    </row>
    <row r="5">
      <c r="A5" s="7" t="inlineStr">
        <is>
          <t>EBITDA</t>
        </is>
      </c>
      <c r="B5" s="18">
        <f>DCF!B9</f>
        <v/>
      </c>
      <c r="C5" s="18">
        <f>DCF!C9</f>
        <v/>
      </c>
      <c r="D5" s="18">
        <f>DCF!D9</f>
        <v/>
      </c>
      <c r="E5" s="18">
        <f>DCF!E9</f>
        <v/>
      </c>
      <c r="F5" s="18">
        <f>DCF!F9</f>
        <v/>
      </c>
    </row>
    <row r="6">
      <c r="A6" s="7" t="inlineStr">
        <is>
          <t>less depreciation and amortisation</t>
        </is>
      </c>
      <c r="B6" s="18">
        <f>DCF!B11</f>
        <v/>
      </c>
      <c r="C6" s="18">
        <f>DCF!C11</f>
        <v/>
      </c>
      <c r="D6" s="18">
        <f>DCF!D11</f>
        <v/>
      </c>
      <c r="E6" s="18">
        <f>DCF!E11</f>
        <v/>
      </c>
      <c r="F6" s="18">
        <f>DCF!F11</f>
        <v/>
      </c>
    </row>
    <row r="7">
      <c r="A7" s="7" t="inlineStr">
        <is>
          <t>EBIT</t>
        </is>
      </c>
      <c r="B7" s="17">
        <f>B5-B6</f>
        <v/>
      </c>
      <c r="C7" s="17">
        <f>C5-C6</f>
        <v/>
      </c>
      <c r="D7" s="17">
        <f>D5-D6</f>
        <v/>
      </c>
      <c r="E7" s="17">
        <f>E5-E6</f>
        <v/>
      </c>
      <c r="F7" s="17">
        <f>F5-F6</f>
        <v/>
      </c>
    </row>
    <row r="8">
      <c r="A8" s="7" t="inlineStr">
        <is>
          <t>Cash tax on EBIT</t>
        </is>
      </c>
      <c r="B8" s="17">
        <f>B7*Assumptions!$C$61</f>
        <v/>
      </c>
      <c r="C8" s="17">
        <f>C7*Assumptions!$C$61</f>
        <v/>
      </c>
      <c r="D8" s="17">
        <f>D7*Assumptions!$C$61</f>
        <v/>
      </c>
      <c r="E8" s="17">
        <f>E7*Assumptions!$C$61</f>
        <v/>
      </c>
      <c r="F8" s="17">
        <f>F7*Assumptions!$C$61</f>
        <v/>
      </c>
    </row>
    <row r="9">
      <c r="A9" s="7" t="inlineStr">
        <is>
          <t>NOPAT</t>
        </is>
      </c>
      <c r="B9" s="17">
        <f>B7-B8</f>
        <v/>
      </c>
      <c r="C9" s="17">
        <f>C7-C8</f>
        <v/>
      </c>
      <c r="D9" s="17">
        <f>D7-D8</f>
        <v/>
      </c>
      <c r="E9" s="17">
        <f>E7-E8</f>
        <v/>
      </c>
      <c r="F9" s="17">
        <f>F7-F8</f>
        <v/>
      </c>
    </row>
    <row r="10">
      <c r="A10" s="7" t="inlineStr">
        <is>
          <t>add back depreciation and amortisation</t>
        </is>
      </c>
      <c r="B10" s="18">
        <f>DCF!B11</f>
        <v/>
      </c>
      <c r="C10" s="18">
        <f>DCF!C11</f>
        <v/>
      </c>
      <c r="D10" s="18">
        <f>DCF!D11</f>
        <v/>
      </c>
      <c r="E10" s="18">
        <f>DCF!E11</f>
        <v/>
      </c>
      <c r="F10" s="18">
        <f>DCF!F11</f>
        <v/>
      </c>
    </row>
    <row r="11">
      <c r="A11" s="7" t="inlineStr">
        <is>
          <t>less change in net working capital</t>
        </is>
      </c>
      <c r="B11" s="18">
        <f>DCF!B17</f>
        <v/>
      </c>
      <c r="C11" s="18">
        <f>DCF!C17</f>
        <v/>
      </c>
      <c r="D11" s="18">
        <f>DCF!D17</f>
        <v/>
      </c>
      <c r="E11" s="18">
        <f>DCF!E17</f>
        <v/>
      </c>
      <c r="F11" s="18">
        <f>DCF!F17</f>
        <v/>
      </c>
    </row>
    <row r="12">
      <c r="A12" s="13" t="inlineStr">
        <is>
          <t>OPERATING CASH FLOW</t>
        </is>
      </c>
      <c r="B12" s="33">
        <f>B9+B10-B11</f>
        <v/>
      </c>
      <c r="C12" s="33">
        <f>C9+C10-C11</f>
        <v/>
      </c>
      <c r="D12" s="33">
        <f>D9+D10-D11</f>
        <v/>
      </c>
      <c r="E12" s="33">
        <f>E9+E10-E11</f>
        <v/>
      </c>
      <c r="F12" s="33">
        <f>F9+F10-F11</f>
        <v/>
      </c>
    </row>
    <row r="13">
      <c r="A13" s="7" t="inlineStr">
        <is>
          <t>less capital expenditure</t>
        </is>
      </c>
      <c r="B13" s="18">
        <f>DCF!B15</f>
        <v/>
      </c>
      <c r="C13" s="18">
        <f>DCF!C15</f>
        <v/>
      </c>
      <c r="D13" s="18">
        <f>DCF!D15</f>
        <v/>
      </c>
      <c r="E13" s="18">
        <f>DCF!E15</f>
        <v/>
      </c>
      <c r="F13" s="18">
        <f>DCF!F15</f>
        <v/>
      </c>
    </row>
    <row r="14">
      <c r="A14" s="13" t="inlineStr">
        <is>
          <t>FREE CASH FLOW TO THE FIRM</t>
        </is>
      </c>
      <c r="B14" s="33">
        <f>B12-B13</f>
        <v/>
      </c>
      <c r="C14" s="33">
        <f>C12-C13</f>
        <v/>
      </c>
      <c r="D14" s="33">
        <f>D12-D13</f>
        <v/>
      </c>
      <c r="E14" s="33">
        <f>E12-E13</f>
        <v/>
      </c>
      <c r="F14" s="33">
        <f>F12-F13</f>
        <v/>
      </c>
    </row>
    <row r="15">
      <c r="A15" s="7" t="inlineStr">
        <is>
          <t>Opening cash (gross debt less opening net debt)</t>
        </is>
      </c>
      <c r="B15" s="17">
        <f>MAX(Assumptions!$C$46-B$21,0)</f>
        <v/>
      </c>
      <c r="C15" s="17">
        <f>MAX(Assumptions!$C$46-C$21,0)</f>
        <v/>
      </c>
      <c r="D15" s="17">
        <f>MAX(Assumptions!$C$46-D$21,0)</f>
        <v/>
      </c>
      <c r="E15" s="17">
        <f>MAX(Assumptions!$C$46-E$21,0)</f>
        <v/>
      </c>
      <c r="F15" s="17">
        <f>MAX(Assumptions!$C$46-F$21,0)</f>
        <v/>
      </c>
    </row>
    <row r="16">
      <c r="A16" s="7" t="inlineStr">
        <is>
          <t>Net finance income</t>
        </is>
      </c>
      <c r="B16" s="17">
        <f>Assumptions!$B$91*B15-Assumptions!$B$81*Assumptions!$C$46</f>
        <v/>
      </c>
      <c r="C16" s="17">
        <f>Assumptions!$C$91*C15-Assumptions!$C$81*Assumptions!$C$46</f>
        <v/>
      </c>
      <c r="D16" s="17">
        <f>Assumptions!$D$91*D15-Assumptions!$D$81*Assumptions!$C$46</f>
        <v/>
      </c>
      <c r="E16" s="17">
        <f>Assumptions!$E$91*E15-Assumptions!$E$81*Assumptions!$C$46</f>
        <v/>
      </c>
      <c r="F16" s="17">
        <f>Assumptions!$F$91*F15-Assumptions!$F$81*Assumptions!$C$46</f>
        <v/>
      </c>
    </row>
    <row r="17">
      <c r="A17" s="7" t="inlineStr">
        <is>
          <t>Attributable profit</t>
        </is>
      </c>
      <c r="B17" s="17">
        <f>(B7+B16)*(1-Assumptions!$C$61)*(1-Assumptions!$C$70)</f>
        <v/>
      </c>
      <c r="C17" s="17">
        <f>(C7+C16)*(1-Assumptions!$C$61)*(1-Assumptions!$C$70)</f>
        <v/>
      </c>
      <c r="D17" s="17">
        <f>(D7+D16)*(1-Assumptions!$C$61)*(1-Assumptions!$C$70)</f>
        <v/>
      </c>
      <c r="E17" s="17">
        <f>(E7+E16)*(1-Assumptions!$C$61)*(1-Assumptions!$C$70)</f>
        <v/>
      </c>
      <c r="F17" s="17">
        <f>(F7+F16)*(1-Assumptions!$C$61)*(1-Assumptions!$C$70)</f>
        <v/>
      </c>
    </row>
    <row r="18">
      <c r="A18" s="7" t="inlineStr">
        <is>
          <t>Dividends paid</t>
        </is>
      </c>
      <c r="B18" s="17">
        <f>Assumptions!$C$71*B17</f>
        <v/>
      </c>
      <c r="C18" s="17">
        <f>Assumptions!$C$71*C17</f>
        <v/>
      </c>
      <c r="D18" s="17">
        <f>Assumptions!$C$71*D17</f>
        <v/>
      </c>
      <c r="E18" s="17">
        <f>Assumptions!$C$71*E17</f>
        <v/>
      </c>
      <c r="F18" s="17">
        <f>Assumptions!$C$71*F17</f>
        <v/>
      </c>
    </row>
    <row r="19"/>
    <row r="20">
      <c r="A20" s="5" t="inlineStr">
        <is>
          <t>NET CASH ROLL-FORWARD</t>
        </is>
      </c>
      <c r="B20" s="6" t="n"/>
      <c r="C20" s="6" t="n"/>
      <c r="D20" s="6" t="n"/>
      <c r="E20" s="6" t="n"/>
      <c r="F20" s="6" t="n"/>
      <c r="G20" s="6" t="n"/>
    </row>
    <row r="21">
      <c r="A21" s="7" t="inlineStr">
        <is>
          <t>Opening net debt</t>
        </is>
      </c>
      <c r="B21" s="18">
        <f>'Balance Sheet'!$E$27</f>
        <v/>
      </c>
      <c r="C21" s="17">
        <f>B$22</f>
        <v/>
      </c>
      <c r="D21" s="17">
        <f>C$22</f>
        <v/>
      </c>
      <c r="E21" s="17">
        <f>D$22</f>
        <v/>
      </c>
      <c r="F21" s="17">
        <f>E$22</f>
        <v/>
      </c>
    </row>
    <row r="22">
      <c r="A22" s="13" t="inlineStr">
        <is>
          <t>Closing net debt</t>
        </is>
      </c>
      <c r="B22" s="33">
        <f>B21-(B14+B16*(1-Assumptions!$C$61))+B18</f>
        <v/>
      </c>
      <c r="C22" s="33">
        <f>C21-(C14+C16*(1-Assumptions!$C$61))+C18</f>
        <v/>
      </c>
      <c r="D22" s="33">
        <f>D21-(D14+D16*(1-Assumptions!$C$61))+D18</f>
        <v/>
      </c>
      <c r="E22" s="33">
        <f>E21-(E14+E16*(1-Assumptions!$C$61))+E18</f>
        <v/>
      </c>
      <c r="F22" s="33">
        <f>F21-(F14+F16*(1-Assumptions!$C$61))+F18</f>
        <v/>
      </c>
    </row>
    <row r="23">
      <c r="A23" s="7" t="inlineStr">
        <is>
          <t>Closing net cash</t>
        </is>
      </c>
      <c r="B23" s="17">
        <f>-B22</f>
        <v/>
      </c>
      <c r="C23" s="17">
        <f>-C22</f>
        <v/>
      </c>
      <c r="D23" s="17">
        <f>-D22</f>
        <v/>
      </c>
      <c r="E23" s="17">
        <f>-E22</f>
        <v/>
      </c>
      <c r="F23" s="17">
        <f>-F22</f>
        <v/>
      </c>
    </row>
    <row r="24">
      <c r="A24" s="7" t="inlineStr">
        <is>
          <t>Opening attributable equity</t>
        </is>
      </c>
      <c r="B24" s="18">
        <f>'Balance Sheet'!$E$20</f>
        <v/>
      </c>
      <c r="C24" s="17">
        <f>B$25</f>
        <v/>
      </c>
      <c r="D24" s="17">
        <f>C$25</f>
        <v/>
      </c>
      <c r="E24" s="17">
        <f>D$25</f>
        <v/>
      </c>
      <c r="F24" s="17">
        <f>E$25</f>
        <v/>
      </c>
    </row>
    <row r="25">
      <c r="A25" s="13" t="inlineStr">
        <is>
          <t>Closing attributable equity</t>
        </is>
      </c>
      <c r="B25" s="33">
        <f>B24+B17-B18</f>
        <v/>
      </c>
      <c r="C25" s="33">
        <f>C24+C17-C18</f>
        <v/>
      </c>
      <c r="D25" s="33">
        <f>D24+D17-D18</f>
        <v/>
      </c>
      <c r="E25" s="33">
        <f>E24+E17-E18</f>
        <v/>
      </c>
      <c r="F25" s="33">
        <f>F24+F17-F18</f>
        <v/>
      </c>
    </row>
    <row r="26"/>
    <row r="27" ht="28" customHeight="1">
      <c r="A27" s="21" t="inlineStr">
        <is>
          <t>The net-cash roll-forward closes: opening net debt less free cash flow, less the after-tax finance income the cash itself earns, plus dividends paid, equals closing net debt. It is one roll-forward, computed once here and consumed by the balance sheet, the ratios and the equity-side expert method.</t>
        </is>
      </c>
    </row>
  </sheetData>
  <mergeCells count="1">
    <mergeCell ref="A27:G2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Summary financials — the lines a reader checks first</t>
        </is>
      </c>
      <c r="B1" s="2" t="n"/>
      <c r="C1" s="2" t="n"/>
      <c r="D1" s="2" t="n"/>
      <c r="E1" s="2" t="n"/>
      <c r="F1" s="2" t="n"/>
      <c r="G1" s="2" t="n"/>
      <c r="H1" s="2" t="n"/>
      <c r="I1" s="2" t="n"/>
      <c r="J1" s="2" t="n"/>
      <c r="K1" s="2" t="n"/>
    </row>
    <row r="2"/>
    <row r="3"/>
    <row r="4">
      <c r="A4" s="12" t="inlineStr">
        <is>
          <t>EGP mn</t>
        </is>
      </c>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Revenue</t>
        </is>
      </c>
      <c r="B5" s="18">
        <f>'Income Statement'!B5</f>
        <v/>
      </c>
      <c r="C5" s="18">
        <f>'Income Statement'!C5</f>
        <v/>
      </c>
      <c r="D5" s="18">
        <f>'Income Statement'!D5</f>
        <v/>
      </c>
      <c r="E5" s="18">
        <f>'Income Statement'!E5</f>
        <v/>
      </c>
      <c r="F5" s="18">
        <f>'Income Statement'!F5</f>
        <v/>
      </c>
      <c r="G5" s="18">
        <f>'Income Statement'!G5</f>
        <v/>
      </c>
      <c r="H5" s="18">
        <f>'Income Statement'!H5</f>
        <v/>
      </c>
      <c r="I5" s="18">
        <f>'Income Statement'!I5</f>
        <v/>
      </c>
      <c r="J5" s="18">
        <f>'Income Statement'!J5</f>
        <v/>
      </c>
    </row>
    <row r="6">
      <c r="A6" s="7" t="inlineStr">
        <is>
          <t>EBITDA</t>
        </is>
      </c>
      <c r="B6" s="18">
        <f>'Income Statement'!B9</f>
        <v/>
      </c>
      <c r="C6" s="18">
        <f>'Income Statement'!C9</f>
        <v/>
      </c>
      <c r="D6" s="18">
        <f>'Income Statement'!D9</f>
        <v/>
      </c>
      <c r="E6" s="18">
        <f>'Income Statement'!E9</f>
        <v/>
      </c>
      <c r="F6" s="18">
        <f>'Income Statement'!F9</f>
        <v/>
      </c>
      <c r="G6" s="18">
        <f>'Income Statement'!G9</f>
        <v/>
      </c>
      <c r="H6" s="18">
        <f>'Income Statement'!H9</f>
        <v/>
      </c>
      <c r="I6" s="18">
        <f>'Income Statement'!I9</f>
        <v/>
      </c>
      <c r="J6" s="18">
        <f>'Income Statement'!J9</f>
        <v/>
      </c>
    </row>
    <row r="7">
      <c r="A7" s="7" t="inlineStr">
        <is>
          <t>EBIT</t>
        </is>
      </c>
      <c r="B7" s="18">
        <f>'Income Statement'!B12</f>
        <v/>
      </c>
      <c r="C7" s="18">
        <f>'Income Statement'!C12</f>
        <v/>
      </c>
      <c r="D7" s="18">
        <f>'Income Statement'!D12</f>
        <v/>
      </c>
      <c r="E7" s="18">
        <f>'Income Statement'!E12</f>
        <v/>
      </c>
      <c r="F7" s="18">
        <f>'Income Statement'!F12</f>
        <v/>
      </c>
      <c r="G7" s="18">
        <f>'Income Statement'!G12</f>
        <v/>
      </c>
      <c r="H7" s="18">
        <f>'Income Statement'!H12</f>
        <v/>
      </c>
      <c r="I7" s="18">
        <f>'Income Statement'!I12</f>
        <v/>
      </c>
      <c r="J7" s="18">
        <f>'Income Statement'!J12</f>
        <v/>
      </c>
    </row>
    <row r="8">
      <c r="A8" s="7" t="inlineStr">
        <is>
          <t>Attributable profit</t>
        </is>
      </c>
      <c r="B8" s="18">
        <f>'Income Statement'!B19</f>
        <v/>
      </c>
      <c r="C8" s="18">
        <f>'Income Statement'!C19</f>
        <v/>
      </c>
      <c r="D8" s="18">
        <f>'Income Statement'!D19</f>
        <v/>
      </c>
      <c r="E8" s="18">
        <f>'Income Statement'!E19</f>
        <v/>
      </c>
      <c r="F8" s="18">
        <f>'Income Statement'!F19</f>
        <v/>
      </c>
      <c r="G8" s="18">
        <f>'Income Statement'!G19</f>
        <v/>
      </c>
      <c r="H8" s="18">
        <f>'Income Statement'!H19</f>
        <v/>
      </c>
      <c r="I8" s="18">
        <f>'Income Statement'!I19</f>
        <v/>
      </c>
      <c r="J8" s="18">
        <f>'Income Statement'!J19</f>
        <v/>
      </c>
    </row>
    <row r="9">
      <c r="A9" s="7" t="inlineStr">
        <is>
          <t>Total assets</t>
        </is>
      </c>
      <c r="B9" s="18">
        <f>'Balance Sheet'!B14</f>
        <v/>
      </c>
      <c r="C9" s="18">
        <f>'Balance Sheet'!C14</f>
        <v/>
      </c>
      <c r="D9" s="18">
        <f>'Balance Sheet'!D14</f>
        <v/>
      </c>
      <c r="E9" s="18">
        <f>'Balance Sheet'!E14</f>
        <v/>
      </c>
      <c r="F9" s="18">
        <f>'Balance Sheet'!F14</f>
        <v/>
      </c>
      <c r="G9" s="18">
        <f>'Balance Sheet'!G14</f>
        <v/>
      </c>
      <c r="H9" s="18">
        <f>'Balance Sheet'!H14</f>
        <v/>
      </c>
      <c r="I9" s="18">
        <f>'Balance Sheet'!I14</f>
        <v/>
      </c>
      <c r="J9" s="18">
        <f>'Balance Sheet'!J14</f>
        <v/>
      </c>
    </row>
    <row r="10">
      <c r="A10" s="7" t="inlineStr">
        <is>
          <t>Shareholders equity</t>
        </is>
      </c>
      <c r="B10" s="18">
        <f>'Balance Sheet'!B20</f>
        <v/>
      </c>
      <c r="C10" s="18">
        <f>'Balance Sheet'!C20</f>
        <v/>
      </c>
      <c r="D10" s="18">
        <f>'Balance Sheet'!D20</f>
        <v/>
      </c>
      <c r="E10" s="18">
        <f>'Balance Sheet'!E20</f>
        <v/>
      </c>
      <c r="F10" s="18">
        <f>'Balance Sheet'!F20</f>
        <v/>
      </c>
      <c r="G10" s="18">
        <f>'Balance Sheet'!G20</f>
        <v/>
      </c>
      <c r="H10" s="18">
        <f>'Balance Sheet'!H20</f>
        <v/>
      </c>
      <c r="I10" s="18">
        <f>'Balance Sheet'!I20</f>
        <v/>
      </c>
      <c r="J10" s="18">
        <f>'Balance Sheet'!J20</f>
        <v/>
      </c>
    </row>
    <row r="11">
      <c r="A11" s="7" t="inlineStr">
        <is>
          <t>Net cash</t>
        </is>
      </c>
      <c r="B11" s="18">
        <f>0-'Balance Sheet'!B27</f>
        <v/>
      </c>
      <c r="C11" s="18">
        <f>0-'Balance Sheet'!C27</f>
        <v/>
      </c>
      <c r="D11" s="18">
        <f>0-'Balance Sheet'!D27</f>
        <v/>
      </c>
      <c r="E11" s="18">
        <f>0-'Balance Sheet'!E27</f>
        <v/>
      </c>
      <c r="F11" s="18">
        <f>0-'Balance Sheet'!F27</f>
        <v/>
      </c>
      <c r="G11" s="18">
        <f>0-'Balance Sheet'!G27</f>
        <v/>
      </c>
      <c r="H11" s="18">
        <f>0-'Balance Sheet'!H27</f>
        <v/>
      </c>
      <c r="I11" s="18">
        <f>0-'Balance Sheet'!I27</f>
        <v/>
      </c>
      <c r="J11" s="18">
        <f>0-'Balance Sheet'!J27</f>
        <v/>
      </c>
    </row>
    <row r="12"/>
    <row r="13">
      <c r="A13" s="7" t="inlineStr">
        <is>
          <t>Invested capital</t>
        </is>
      </c>
      <c r="F13" s="18">
        <f>DCF!B24</f>
        <v/>
      </c>
      <c r="G13" s="18">
        <f>DCF!C24</f>
        <v/>
      </c>
      <c r="H13" s="18">
        <f>DCF!D24</f>
        <v/>
      </c>
      <c r="I13" s="18">
        <f>DCF!E24</f>
        <v/>
      </c>
      <c r="J13" s="18">
        <f>DCF!F24</f>
        <v/>
      </c>
    </row>
    <row r="14">
      <c r="A14" s="7" t="inlineStr">
        <is>
          <t>Return on invested capital</t>
        </is>
      </c>
      <c r="F14" s="16">
        <f>DCF!B13/DCF!B24</f>
        <v/>
      </c>
      <c r="G14" s="16">
        <f>DCF!C13/DCF!C24</f>
        <v/>
      </c>
      <c r="H14" s="16">
        <f>DCF!D13/DCF!D24</f>
        <v/>
      </c>
      <c r="I14" s="16">
        <f>DCF!E13/DCF!E24</f>
        <v/>
      </c>
      <c r="J14" s="16">
        <f>DCF!F13/DCF!F24</f>
        <v/>
      </c>
    </row>
    <row r="15">
      <c r="A15" s="7" t="inlineStr">
        <is>
          <t>Free cash flow to the firm</t>
        </is>
      </c>
      <c r="F15" s="18">
        <f>DCF!B18</f>
        <v/>
      </c>
      <c r="G15" s="18">
        <f>DCF!C18</f>
        <v/>
      </c>
      <c r="H15" s="18">
        <f>DCF!D18</f>
        <v/>
      </c>
      <c r="I15" s="18">
        <f>DCF!E18</f>
        <v/>
      </c>
      <c r="J15" s="18">
        <f>DCF!F18</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Forward price distribution — engine output</t>
        </is>
      </c>
      <c r="B1" s="2" t="n"/>
      <c r="C1" s="2" t="n"/>
      <c r="D1" s="2" t="n"/>
      <c r="E1" s="2" t="n"/>
      <c r="F1" s="2" t="n"/>
      <c r="G1" s="2" t="n"/>
    </row>
    <row r="2">
      <c r="A2" s="11" t="inlineStr">
        <is>
          <t>PASTED VALUES. Each percentile is the output of a 50,000-path simulation and is not recomputed by this workbook. Changing a driver does NOT redraw this sheet.</t>
        </is>
      </c>
    </row>
    <row r="3"/>
    <row r="4">
      <c r="A4" s="12" t="inlineStr"/>
      <c r="B4" s="12" t="inlineStr">
        <is>
          <t>1 month</t>
        </is>
      </c>
      <c r="C4" s="12" t="inlineStr">
        <is>
          <t>3 months</t>
        </is>
      </c>
    </row>
    <row r="5">
      <c r="A5" s="7" t="inlineStr">
        <is>
          <t>Sessions to the check date</t>
        </is>
      </c>
      <c r="B5" s="24" t="n">
        <v>20</v>
      </c>
      <c r="C5" s="24" t="n">
        <v>62</v>
      </c>
    </row>
    <row r="6">
      <c r="A6" s="7" t="inlineStr">
        <is>
          <t>Target date</t>
        </is>
      </c>
      <c r="B6" s="50" t="inlineStr">
        <is>
          <t>2026-09-06</t>
        </is>
      </c>
      <c r="C6" s="50" t="inlineStr">
        <is>
          <t>2026-11-06</t>
        </is>
      </c>
    </row>
    <row r="7">
      <c r="A7" s="7" t="inlineStr">
        <is>
          <t>Grade date</t>
        </is>
      </c>
      <c r="B7" s="50" t="inlineStr">
        <is>
          <t>2026-09-06</t>
        </is>
      </c>
      <c r="C7" s="50" t="inlineStr">
        <is>
          <t>2026-11-08</t>
        </is>
      </c>
    </row>
    <row r="8">
      <c r="A8" s="7" t="inlineStr">
        <is>
          <t>5th percentile (EGP)</t>
        </is>
      </c>
      <c r="B8" s="22" t="n">
        <v>7.709561159148157</v>
      </c>
      <c r="C8" s="22" t="n">
        <v>6.901709500909541</v>
      </c>
    </row>
    <row r="9">
      <c r="A9" s="7" t="inlineStr">
        <is>
          <t>25th percentile (EGP)</t>
        </is>
      </c>
      <c r="B9" s="22" t="n">
        <v>8.598972959864378</v>
      </c>
      <c r="C9" s="22" t="n">
        <v>8.344230883407748</v>
      </c>
    </row>
    <row r="10">
      <c r="A10" s="7" t="inlineStr">
        <is>
          <t>50th percentile (EGP)</t>
        </is>
      </c>
      <c r="B10" s="22" t="n">
        <v>9.170972589675991</v>
      </c>
      <c r="C10" s="22" t="n">
        <v>9.329430138739404</v>
      </c>
    </row>
    <row r="11">
      <c r="A11" s="7" t="inlineStr">
        <is>
          <t>75th percentile (EGP)</t>
        </is>
      </c>
      <c r="B11" s="22" t="n">
        <v>9.785586992007069</v>
      </c>
      <c r="C11" s="22" t="n">
        <v>10.41934979174632</v>
      </c>
    </row>
    <row r="12">
      <c r="A12" s="7" t="inlineStr">
        <is>
          <t>95th percentile (EGP)</t>
        </is>
      </c>
      <c r="B12" s="22" t="n">
        <v>10.91362189019824</v>
      </c>
      <c r="C12" s="22" t="n">
        <v>12.60453843225594</v>
      </c>
    </row>
    <row r="13">
      <c r="A13" s="7" t="inlineStr">
        <is>
          <t>Probability above spot</t>
        </is>
      </c>
      <c r="B13" s="28" t="n">
        <v>0.53284</v>
      </c>
      <c r="C13" s="28" t="n">
        <v>0.56048</v>
      </c>
    </row>
    <row r="14">
      <c r="A14" s="7" t="inlineStr">
        <is>
          <t>Probability 10% or more up</t>
        </is>
      </c>
      <c r="B14" s="28" t="n">
        <v>0.18262</v>
      </c>
      <c r="C14" s="28" t="n">
        <v>0.3318</v>
      </c>
    </row>
    <row r="15">
      <c r="A15" s="7" t="inlineStr">
        <is>
          <t>Probability 10% or more down</t>
        </is>
      </c>
      <c r="B15" s="28" t="n">
        <v>0.12658</v>
      </c>
      <c r="C15" s="28" t="n">
        <v>0.21574</v>
      </c>
    </row>
    <row r="16">
      <c r="A16" s="7" t="inlineStr">
        <is>
          <t>Probability of touching +10%</t>
        </is>
      </c>
      <c r="B16" s="28" t="n">
        <v>0.2999</v>
      </c>
      <c r="C16" s="28" t="n">
        <v>0.56412</v>
      </c>
    </row>
    <row r="17">
      <c r="A17" s="7" t="inlineStr">
        <is>
          <t>Probability of touching -10%</t>
        </is>
      </c>
      <c r="B17" s="28" t="n">
        <v>0.21706</v>
      </c>
      <c r="C17" s="28" t="n">
        <v>0.42922</v>
      </c>
    </row>
    <row r="18">
      <c r="A18" s="7" t="inlineStr">
        <is>
          <t>Annualised volatility at the anchor</t>
        </is>
      </c>
      <c r="B18" s="28" t="n">
        <v>0.4179907789031863</v>
      </c>
      <c r="C18" s="28" t="n">
        <v>0.4085225075524802</v>
      </c>
    </row>
    <row r="19"/>
    <row r="20">
      <c r="A20" s="5" t="inlineStr">
        <is>
          <t>CALIBRATION OF THE ENGINE THAT PRODUCED THIS</t>
        </is>
      </c>
      <c r="B20" s="6" t="n"/>
      <c r="C20" s="6" t="n"/>
      <c r="D20" s="6" t="n"/>
      <c r="E20" s="6" t="n"/>
      <c r="F20" s="6" t="n"/>
      <c r="G20" s="6" t="n"/>
    </row>
    <row r="21">
      <c r="A21" s="7" t="inlineStr">
        <is>
          <t>Windows scored (post-break)</t>
        </is>
      </c>
      <c r="B21" s="24" t="n">
        <v>17</v>
      </c>
    </row>
    <row r="22">
      <c r="A22" s="7" t="inlineStr">
        <is>
          <t>First origin</t>
        </is>
      </c>
      <c r="B22" s="50" t="inlineStr">
        <is>
          <t>2022-04-05</t>
        </is>
      </c>
    </row>
    <row r="23">
      <c r="A23" s="7" t="inlineStr">
        <is>
          <t>Last origin</t>
        </is>
      </c>
      <c r="B23" s="50" t="inlineStr">
        <is>
          <t>2026-04-12</t>
        </is>
      </c>
    </row>
    <row r="24">
      <c r="A24" s="7" t="inlineStr">
        <is>
          <t>Skill against a carry-anchored random walk</t>
        </is>
      </c>
      <c r="B24" s="28" t="n">
        <v>0.006758984690108827</v>
      </c>
    </row>
    <row r="25">
      <c r="A25" s="7" t="inlineStr">
        <is>
          <t>Verdict</t>
        </is>
      </c>
      <c r="B25" s="50" t="inlineStr">
        <is>
          <t>PARITY</t>
        </is>
      </c>
    </row>
    <row r="26">
      <c r="A26" s="7" t="inlineStr">
        <is>
          <t>Coverage of the 90% band</t>
        </is>
      </c>
      <c r="B26" s="28" t="n">
        <v>0.9411764705882353</v>
      </c>
    </row>
    <row r="27">
      <c r="A27" s="7" t="inlineStr">
        <is>
          <t>Probability-integral-transform mean</t>
        </is>
      </c>
      <c r="B27" s="31" t="n">
        <v>0.4612000000000001</v>
      </c>
    </row>
    <row r="28">
      <c r="A28" s="7" t="inlineStr">
        <is>
          <t>Cone width against the benchmark</t>
        </is>
      </c>
      <c r="B28" s="31" t="n">
        <v>0.9693809251589353</v>
      </c>
    </row>
    <row r="29">
      <c r="A29" s="7" t="inlineStr">
        <is>
          <t>Market panel verdict</t>
        </is>
      </c>
      <c r="B29" s="50" t="inlineStr">
        <is>
          <t>PASS</t>
        </is>
      </c>
    </row>
    <row r="30">
      <c r="A30" s="7" t="inlineStr">
        <is>
          <t>Market panel skill</t>
        </is>
      </c>
      <c r="B30" s="28" t="n">
        <v>0.0158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Sensitivity — the cost-of-capital grids are LIVE formulas</t>
        </is>
      </c>
      <c r="B1" s="2" t="n"/>
      <c r="C1" s="2" t="n"/>
      <c r="D1" s="2" t="n"/>
      <c r="E1" s="2" t="n"/>
      <c r="F1" s="2" t="n"/>
      <c r="G1" s="2" t="n"/>
      <c r="H1" s="2" t="n"/>
      <c r="I1" s="2" t="n"/>
    </row>
    <row r="2">
      <c r="A2" s="11" t="inlineStr">
        <is>
          <t>Each cell re-runs the discount path, the terminal block and the bridge off this sheet. Only the sweeps that change REVENUE are pasted, because those need the product build re-run and cannot be a formula in a grid.</t>
        </is>
      </c>
    </row>
    <row r="3"/>
    <row r="4">
      <c r="A4" s="5" t="inlineStr">
        <is>
          <t>GRID 1 — TERMINAL COST OF CAPITAL x TERMINAL GROWTH (EGP per share, LIVE)</t>
        </is>
      </c>
      <c r="B4" s="6" t="n"/>
      <c r="C4" s="6" t="n"/>
      <c r="D4" s="6" t="n"/>
      <c r="E4" s="6" t="n"/>
      <c r="F4" s="6" t="n"/>
      <c r="G4" s="6" t="n"/>
      <c r="H4" s="6" t="n"/>
      <c r="I4" s="6" t="n"/>
    </row>
    <row r="5">
      <c r="A5" s="7" t="inlineStr">
        <is>
          <t>row: terminal rate · helper columns C:G are that row's discount factors</t>
        </is>
      </c>
    </row>
    <row r="6">
      <c r="A6" s="12" t="inlineStr">
        <is>
          <t>Terminal WACC</t>
        </is>
      </c>
      <c r="B6" s="12" t="inlineStr">
        <is>
          <t>PV explicit</t>
        </is>
      </c>
      <c r="C6" s="12" t="inlineStr">
        <is>
          <t>df1</t>
        </is>
      </c>
      <c r="D6" s="12" t="inlineStr">
        <is>
          <t>df2</t>
        </is>
      </c>
      <c r="E6" s="12" t="inlineStr">
        <is>
          <t>df3</t>
        </is>
      </c>
      <c r="F6" s="12" t="inlineStr">
        <is>
          <t>df4</t>
        </is>
      </c>
      <c r="G6" s="12" t="inlineStr">
        <is>
          <t>df5</t>
        </is>
      </c>
    </row>
    <row r="7">
      <c r="A7" s="30" t="n">
        <v>0.1452265</v>
      </c>
      <c r="B7" s="17">
        <f>DCF!B$18*C7+DCF!C$18*D7+DCF!D$18*E7+DCF!E$18*F7+DCF!F$18*G7</f>
        <v/>
      </c>
      <c r="C7" s="25">
        <f>1/(1+(DCF!$B$54-(DCF!$B$54-$A$7)*DCF!B$67))</f>
        <v/>
      </c>
      <c r="D7" s="25">
        <f>C7/(1+(DCF!$B$54-(DCF!$B$54-$A$7)*DCF!C$67))</f>
        <v/>
      </c>
      <c r="E7" s="25">
        <f>D7/(1+(DCF!$B$54-(DCF!$B$54-$A$7)*DCF!D$67))</f>
        <v/>
      </c>
      <c r="F7" s="25">
        <f>E7/(1+(DCF!$B$54-(DCF!$B$54-$A$7)*DCF!E$67))</f>
        <v/>
      </c>
      <c r="G7" s="25">
        <f>F7/(1+(DCF!$B$54-(DCF!$B$54-$A$7)*DCF!F$67))</f>
        <v/>
      </c>
    </row>
    <row r="8">
      <c r="A8" s="30" t="n">
        <v>0.1552265</v>
      </c>
      <c r="B8" s="17">
        <f>DCF!B$18*C8+DCF!C$18*D8+DCF!D$18*E8+DCF!E$18*F8+DCF!F$18*G8</f>
        <v/>
      </c>
      <c r="C8" s="25">
        <f>1/(1+(DCF!$B$54-(DCF!$B$54-$A$8)*DCF!B$67))</f>
        <v/>
      </c>
      <c r="D8" s="25">
        <f>C8/(1+(DCF!$B$54-(DCF!$B$54-$A$8)*DCF!C$67))</f>
        <v/>
      </c>
      <c r="E8" s="25">
        <f>D8/(1+(DCF!$B$54-(DCF!$B$54-$A$8)*DCF!D$67))</f>
        <v/>
      </c>
      <c r="F8" s="25">
        <f>E8/(1+(DCF!$B$54-(DCF!$B$54-$A$8)*DCF!E$67))</f>
        <v/>
      </c>
      <c r="G8" s="25">
        <f>F8/(1+(DCF!$B$54-(DCF!$B$54-$A$8)*DCF!F$67))</f>
        <v/>
      </c>
    </row>
    <row r="9">
      <c r="A9" s="30" t="n">
        <v>0.1652265</v>
      </c>
      <c r="B9" s="17">
        <f>DCF!B$18*C9+DCF!C$18*D9+DCF!D$18*E9+DCF!E$18*F9+DCF!F$18*G9</f>
        <v/>
      </c>
      <c r="C9" s="25">
        <f>1/(1+(DCF!$B$54-(DCF!$B$54-$A$9)*DCF!B$67))</f>
        <v/>
      </c>
      <c r="D9" s="25">
        <f>C9/(1+(DCF!$B$54-(DCF!$B$54-$A$9)*DCF!C$67))</f>
        <v/>
      </c>
      <c r="E9" s="25">
        <f>D9/(1+(DCF!$B$54-(DCF!$B$54-$A$9)*DCF!D$67))</f>
        <v/>
      </c>
      <c r="F9" s="25">
        <f>E9/(1+(DCF!$B$54-(DCF!$B$54-$A$9)*DCF!E$67))</f>
        <v/>
      </c>
      <c r="G9" s="25">
        <f>F9/(1+(DCF!$B$54-(DCF!$B$54-$A$9)*DCF!F$67))</f>
        <v/>
      </c>
    </row>
    <row r="10">
      <c r="A10" s="30" t="n">
        <v>0.1752265</v>
      </c>
      <c r="B10" s="17">
        <f>DCF!B$18*C10+DCF!C$18*D10+DCF!D$18*E10+DCF!E$18*F10+DCF!F$18*G10</f>
        <v/>
      </c>
      <c r="C10" s="25">
        <f>1/(1+(DCF!$B$54-(DCF!$B$54-$A$10)*DCF!B$67))</f>
        <v/>
      </c>
      <c r="D10" s="25">
        <f>C10/(1+(DCF!$B$54-(DCF!$B$54-$A$10)*DCF!C$67))</f>
        <v/>
      </c>
      <c r="E10" s="25">
        <f>D10/(1+(DCF!$B$54-(DCF!$B$54-$A$10)*DCF!D$67))</f>
        <v/>
      </c>
      <c r="F10" s="25">
        <f>E10/(1+(DCF!$B$54-(DCF!$B$54-$A$10)*DCF!E$67))</f>
        <v/>
      </c>
      <c r="G10" s="25">
        <f>F10/(1+(DCF!$B$54-(DCF!$B$54-$A$10)*DCF!F$67))</f>
        <v/>
      </c>
    </row>
    <row r="11">
      <c r="A11" s="30" t="n">
        <v>0.1852265</v>
      </c>
      <c r="B11" s="17">
        <f>DCF!B$18*C11+DCF!C$18*D11+DCF!D$18*E11+DCF!E$18*F11+DCF!F$18*G11</f>
        <v/>
      </c>
      <c r="C11" s="25">
        <f>1/(1+(DCF!$B$54-(DCF!$B$54-$A$11)*DCF!B$67))</f>
        <v/>
      </c>
      <c r="D11" s="25">
        <f>C11/(1+(DCF!$B$54-(DCF!$B$54-$A$11)*DCF!C$67))</f>
        <v/>
      </c>
      <c r="E11" s="25">
        <f>D11/(1+(DCF!$B$54-(DCF!$B$54-$A$11)*DCF!D$67))</f>
        <v/>
      </c>
      <c r="F11" s="25">
        <f>E11/(1+(DCF!$B$54-(DCF!$B$54-$A$11)*DCF!E$67))</f>
        <v/>
      </c>
      <c r="G11" s="25">
        <f>F11/(1+(DCF!$B$54-(DCF!$B$54-$A$11)*DCF!F$67))</f>
        <v/>
      </c>
    </row>
    <row r="12"/>
    <row r="13">
      <c r="A13" s="12" t="inlineStr">
        <is>
          <t>Terminal WACC \ terminal g</t>
        </is>
      </c>
      <c r="B13" s="12" t="inlineStr">
        <is>
          <t>3%</t>
        </is>
      </c>
      <c r="C13" s="12" t="inlineStr">
        <is>
          <t>4%</t>
        </is>
      </c>
      <c r="D13" s="12" t="inlineStr">
        <is>
          <t>5%</t>
        </is>
      </c>
      <c r="E13" s="12" t="inlineStr">
        <is>
          <t>6%</t>
        </is>
      </c>
      <c r="F13" s="12" t="inlineStr">
        <is>
          <t>7%</t>
        </is>
      </c>
    </row>
    <row r="14">
      <c r="A14" s="43">
        <f>A7</f>
        <v/>
      </c>
      <c r="B14" s="20">
        <f>((B7+DCF!F$13*(1+0.03)*(1-0.03/(DCF!F$13*(1+0.03)/DCF!F$24))/(A7-0.03)*G7))*(1-Assumptions!$C$70)/Assumptions!$C$6-DCF!$B$49/Assumptions!$C$6</f>
        <v/>
      </c>
      <c r="C14" s="20">
        <f>((B7+DCF!F$13*(1+0.04)*(1-0.04/(DCF!F$13*(1+0.04)/DCF!F$24))/(A7-0.04)*G7))*(1-Assumptions!$C$70)/Assumptions!$C$6-DCF!$B$49/Assumptions!$C$6</f>
        <v/>
      </c>
      <c r="D14" s="20">
        <f>((B7+DCF!F$13*(1+0.05)*(1-0.05/(DCF!F$13*(1+0.05)/DCF!F$24))/(A7-0.05)*G7))*(1-Assumptions!$C$70)/Assumptions!$C$6-DCF!$B$49/Assumptions!$C$6</f>
        <v/>
      </c>
      <c r="E14" s="20">
        <f>((B7+DCF!F$13*(1+0.06)*(1-0.06/(DCF!F$13*(1+0.06)/DCF!F$24))/(A7-0.06)*G7))*(1-Assumptions!$C$70)/Assumptions!$C$6-DCF!$B$49/Assumptions!$C$6</f>
        <v/>
      </c>
      <c r="F14" s="20">
        <f>((B7+DCF!F$13*(1+0.07)*(1-0.07/(DCF!F$13*(1+0.07)/DCF!F$24))/(A7-0.07)*G7))*(1-Assumptions!$C$70)/Assumptions!$C$6-DCF!$B$49/Assumptions!$C$6</f>
        <v/>
      </c>
    </row>
    <row r="15">
      <c r="A15" s="43">
        <f>A8</f>
        <v/>
      </c>
      <c r="B15" s="20">
        <f>((B8+DCF!F$13*(1+0.03)*(1-0.03/(DCF!F$13*(1+0.03)/DCF!F$24))/(A8-0.03)*G8))*(1-Assumptions!$C$70)/Assumptions!$C$6-DCF!$B$49/Assumptions!$C$6</f>
        <v/>
      </c>
      <c r="C15" s="20">
        <f>((B8+DCF!F$13*(1+0.04)*(1-0.04/(DCF!F$13*(1+0.04)/DCF!F$24))/(A8-0.04)*G8))*(1-Assumptions!$C$70)/Assumptions!$C$6-DCF!$B$49/Assumptions!$C$6</f>
        <v/>
      </c>
      <c r="D15" s="20">
        <f>((B8+DCF!F$13*(1+0.05)*(1-0.05/(DCF!F$13*(1+0.05)/DCF!F$24))/(A8-0.05)*G8))*(1-Assumptions!$C$70)/Assumptions!$C$6-DCF!$B$49/Assumptions!$C$6</f>
        <v/>
      </c>
      <c r="E15" s="20">
        <f>((B8+DCF!F$13*(1+0.06)*(1-0.06/(DCF!F$13*(1+0.06)/DCF!F$24))/(A8-0.06)*G8))*(1-Assumptions!$C$70)/Assumptions!$C$6-DCF!$B$49/Assumptions!$C$6</f>
        <v/>
      </c>
      <c r="F15" s="20">
        <f>((B8+DCF!F$13*(1+0.07)*(1-0.07/(DCF!F$13*(1+0.07)/DCF!F$24))/(A8-0.07)*G8))*(1-Assumptions!$C$70)/Assumptions!$C$6-DCF!$B$49/Assumptions!$C$6</f>
        <v/>
      </c>
    </row>
    <row r="16">
      <c r="A16" s="43">
        <f>A9</f>
        <v/>
      </c>
      <c r="B16" s="20">
        <f>((B9+DCF!F$13*(1+0.03)*(1-0.03/(DCF!F$13*(1+0.03)/DCF!F$24))/(A9-0.03)*G9))*(1-Assumptions!$C$70)/Assumptions!$C$6-DCF!$B$49/Assumptions!$C$6</f>
        <v/>
      </c>
      <c r="C16" s="20">
        <f>((B9+DCF!F$13*(1+0.04)*(1-0.04/(DCF!F$13*(1+0.04)/DCF!F$24))/(A9-0.04)*G9))*(1-Assumptions!$C$70)/Assumptions!$C$6-DCF!$B$49/Assumptions!$C$6</f>
        <v/>
      </c>
      <c r="D16" s="20">
        <f>((B9+DCF!F$13*(1+0.05)*(1-0.05/(DCF!F$13*(1+0.05)/DCF!F$24))/(A9-0.05)*G9))*(1-Assumptions!$C$70)/Assumptions!$C$6-DCF!$B$49/Assumptions!$C$6</f>
        <v/>
      </c>
      <c r="E16" s="20">
        <f>((B9+DCF!F$13*(1+0.06)*(1-0.06/(DCF!F$13*(1+0.06)/DCF!F$24))/(A9-0.06)*G9))*(1-Assumptions!$C$70)/Assumptions!$C$6-DCF!$B$49/Assumptions!$C$6</f>
        <v/>
      </c>
      <c r="F16" s="20">
        <f>((B9+DCF!F$13*(1+0.07)*(1-0.07/(DCF!F$13*(1+0.07)/DCF!F$24))/(A9-0.07)*G9))*(1-Assumptions!$C$70)/Assumptions!$C$6-DCF!$B$49/Assumptions!$C$6</f>
        <v/>
      </c>
    </row>
    <row r="17">
      <c r="A17" s="43">
        <f>A10</f>
        <v/>
      </c>
      <c r="B17" s="20">
        <f>((B10+DCF!F$13*(1+0.03)*(1-0.03/(DCF!F$13*(1+0.03)/DCF!F$24))/(A10-0.03)*G10))*(1-Assumptions!$C$70)/Assumptions!$C$6-DCF!$B$49/Assumptions!$C$6</f>
        <v/>
      </c>
      <c r="C17" s="20">
        <f>((B10+DCF!F$13*(1+0.04)*(1-0.04/(DCF!F$13*(1+0.04)/DCF!F$24))/(A10-0.04)*G10))*(1-Assumptions!$C$70)/Assumptions!$C$6-DCF!$B$49/Assumptions!$C$6</f>
        <v/>
      </c>
      <c r="D17" s="20">
        <f>((B10+DCF!F$13*(1+0.05)*(1-0.05/(DCF!F$13*(1+0.05)/DCF!F$24))/(A10-0.05)*G10))*(1-Assumptions!$C$70)/Assumptions!$C$6-DCF!$B$49/Assumptions!$C$6</f>
        <v/>
      </c>
      <c r="E17" s="20">
        <f>((B10+DCF!F$13*(1+0.06)*(1-0.06/(DCF!F$13*(1+0.06)/DCF!F$24))/(A10-0.06)*G10))*(1-Assumptions!$C$70)/Assumptions!$C$6-DCF!$B$49/Assumptions!$C$6</f>
        <v/>
      </c>
      <c r="F17" s="20">
        <f>((B10+DCF!F$13*(1+0.07)*(1-0.07/(DCF!F$13*(1+0.07)/DCF!F$24))/(A10-0.07)*G10))*(1-Assumptions!$C$70)/Assumptions!$C$6-DCF!$B$49/Assumptions!$C$6</f>
        <v/>
      </c>
    </row>
    <row r="18">
      <c r="A18" s="43">
        <f>A11</f>
        <v/>
      </c>
      <c r="B18" s="20">
        <f>((B11+DCF!F$13*(1+0.03)*(1-0.03/(DCF!F$13*(1+0.03)/DCF!F$24))/(A11-0.03)*G11))*(1-Assumptions!$C$70)/Assumptions!$C$6-DCF!$B$49/Assumptions!$C$6</f>
        <v/>
      </c>
      <c r="C18" s="20">
        <f>((B11+DCF!F$13*(1+0.04)*(1-0.04/(DCF!F$13*(1+0.04)/DCF!F$24))/(A11-0.04)*G11))*(1-Assumptions!$C$70)/Assumptions!$C$6-DCF!$B$49/Assumptions!$C$6</f>
        <v/>
      </c>
      <c r="D18" s="20">
        <f>((B11+DCF!F$13*(1+0.05)*(1-0.05/(DCF!F$13*(1+0.05)/DCF!F$24))/(A11-0.05)*G11))*(1-Assumptions!$C$70)/Assumptions!$C$6-DCF!$B$49/Assumptions!$C$6</f>
        <v/>
      </c>
      <c r="E18" s="20">
        <f>((B11+DCF!F$13*(1+0.06)*(1-0.06/(DCF!F$13*(1+0.06)/DCF!F$24))/(A11-0.06)*G11))*(1-Assumptions!$C$70)/Assumptions!$C$6-DCF!$B$49/Assumptions!$C$6</f>
        <v/>
      </c>
      <c r="F18" s="20">
        <f>((B11+DCF!F$13*(1+0.07)*(1-0.07/(DCF!F$13*(1+0.07)/DCF!F$24))/(A11-0.07)*G11))*(1-Assumptions!$C$70)/Assumptions!$C$6-DCF!$B$49/Assumptions!$C$6</f>
        <v/>
      </c>
    </row>
    <row r="19"/>
    <row r="20" ht="28" customHeight="1">
      <c r="A20" s="21" t="inlineStr">
        <is>
          <t>Every cell above is a formula. Change the terminal cost of capital in column A, or the growth rate in the header, and the grid redraws. The previous edition pasted all 25 cells, which is how a stale sweep can ship beside a base case it no longer reproduces.</t>
        </is>
      </c>
    </row>
    <row r="21"/>
    <row r="22">
      <c r="A22" s="5" t="inlineStr">
        <is>
          <t>GRID 2 — BETA (EGP per share, LIVE)</t>
        </is>
      </c>
      <c r="B22" s="6" t="n"/>
      <c r="C22" s="6" t="n"/>
      <c r="D22" s="6" t="n"/>
      <c r="E22" s="6" t="n"/>
      <c r="F22" s="6" t="n"/>
      <c r="G22" s="6" t="n"/>
      <c r="H22" s="6" t="n"/>
      <c r="I22" s="6" t="n"/>
    </row>
    <row r="23">
      <c r="A23" s="12" t="inlineStr">
        <is>
          <t>Beta</t>
        </is>
      </c>
      <c r="B23" s="12" t="inlineStr">
        <is>
          <t>0.60</t>
        </is>
      </c>
      <c r="C23" s="12" t="inlineStr">
        <is>
          <t>0.80</t>
        </is>
      </c>
      <c r="D23" s="12" t="inlineStr">
        <is>
          <t>0.94</t>
        </is>
      </c>
      <c r="E23" s="12" t="inlineStr">
        <is>
          <t>1.15</t>
        </is>
      </c>
      <c r="F23" s="12" t="inlineStr">
        <is>
          <t>1.30</t>
        </is>
      </c>
    </row>
    <row r="24">
      <c r="A24" s="7" t="inlineStr">
        <is>
          <t>Cost of equity, explicit</t>
        </is>
      </c>
      <c r="B24" s="43">
        <f>DCF!$B$43+0.6*DCF!$B$45</f>
        <v/>
      </c>
      <c r="C24" s="43">
        <f>DCF!$B$43+0.8*DCF!$B$45</f>
        <v/>
      </c>
      <c r="D24" s="43">
        <f>DCF!$B$43+0.9405*DCF!$B$45</f>
        <v/>
      </c>
      <c r="E24" s="43">
        <f>DCF!$B$43+1.15*DCF!$B$45</f>
        <v/>
      </c>
      <c r="F24" s="43">
        <f>DCF!$B$43+1.3*DCF!$B$45</f>
        <v/>
      </c>
    </row>
    <row r="25">
      <c r="A25" s="7" t="inlineStr">
        <is>
          <t>Cost of equity, terminal</t>
        </is>
      </c>
      <c r="B25" s="43">
        <f>Assumptions!$C$62+0.6*Assumptions!$C$63</f>
        <v/>
      </c>
      <c r="C25" s="43">
        <f>Assumptions!$C$62+0.8*Assumptions!$C$63</f>
        <v/>
      </c>
      <c r="D25" s="43">
        <f>Assumptions!$C$62+0.9405*Assumptions!$C$63</f>
        <v/>
      </c>
      <c r="E25" s="43">
        <f>Assumptions!$C$62+1.15*Assumptions!$C$63</f>
        <v/>
      </c>
      <c r="F25" s="43">
        <f>Assumptions!$C$62+1.3*Assumptions!$C$63</f>
        <v/>
      </c>
    </row>
    <row r="26">
      <c r="A26" s="7" t="inlineStr">
        <is>
          <t>WACC explicit</t>
        </is>
      </c>
      <c r="B26" s="43">
        <f>DCF!$B$52*B24+DCF!$B$51*DCF!$B$53</f>
        <v/>
      </c>
      <c r="C26" s="43">
        <f>DCF!$B$52*C24+DCF!$B$51*DCF!$B$53</f>
        <v/>
      </c>
      <c r="D26" s="43">
        <f>DCF!$B$52*D24+DCF!$B$51*DCF!$B$53</f>
        <v/>
      </c>
      <c r="E26" s="43">
        <f>DCF!$B$52*E24+DCF!$B$51*DCF!$B$53</f>
        <v/>
      </c>
      <c r="F26" s="43">
        <f>DCF!$B$52*F24+DCF!$B$51*DCF!$B$53</f>
        <v/>
      </c>
    </row>
    <row r="27">
      <c r="A27" s="7" t="inlineStr">
        <is>
          <t>WACC terminal</t>
        </is>
      </c>
      <c r="B27" s="43">
        <f>(1-Assumptions!$C$65)*B25+Assumptions!$C$65*DCF!$B$60</f>
        <v/>
      </c>
      <c r="C27" s="43">
        <f>(1-Assumptions!$C$65)*C25+Assumptions!$C$65*DCF!$B$60</f>
        <v/>
      </c>
      <c r="D27" s="43">
        <f>(1-Assumptions!$C$65)*D25+Assumptions!$C$65*DCF!$B$60</f>
        <v/>
      </c>
      <c r="E27" s="43">
        <f>(1-Assumptions!$C$65)*E25+Assumptions!$C$65*DCF!$B$60</f>
        <v/>
      </c>
      <c r="F27" s="43">
        <f>(1-Assumptions!$C$65)*F25+Assumptions!$C$65*DCF!$B$60</f>
        <v/>
      </c>
    </row>
    <row r="28">
      <c r="A28" s="7" t="inlineStr">
        <is>
          <t>df1</t>
        </is>
      </c>
      <c r="B28" s="25">
        <f>1/(1+(B26-(B26-B27)*DCF!B$67))</f>
        <v/>
      </c>
      <c r="C28" s="25">
        <f>1/(1+(C26-(C26-C27)*DCF!B$67))</f>
        <v/>
      </c>
      <c r="D28" s="25">
        <f>1/(1+(D26-(D26-D27)*DCF!B$67))</f>
        <v/>
      </c>
      <c r="E28" s="25">
        <f>1/(1+(E26-(E26-E27)*DCF!B$67))</f>
        <v/>
      </c>
      <c r="F28" s="25">
        <f>1/(1+(F26-(F26-F27)*DCF!B$67))</f>
        <v/>
      </c>
    </row>
    <row r="29">
      <c r="A29" s="7" t="inlineStr">
        <is>
          <t>df2</t>
        </is>
      </c>
      <c r="B29" s="25">
        <f>B28/(1+(B26-(B26-B27)*DCF!C$67))</f>
        <v/>
      </c>
      <c r="C29" s="25">
        <f>C28/(1+(C26-(C26-C27)*DCF!C$67))</f>
        <v/>
      </c>
      <c r="D29" s="25">
        <f>D28/(1+(D26-(D26-D27)*DCF!C$67))</f>
        <v/>
      </c>
      <c r="E29" s="25">
        <f>E28/(1+(E26-(E26-E27)*DCF!C$67))</f>
        <v/>
      </c>
      <c r="F29" s="25">
        <f>F28/(1+(F26-(F26-F27)*DCF!C$67))</f>
        <v/>
      </c>
    </row>
    <row r="30">
      <c r="A30" s="7" t="inlineStr">
        <is>
          <t>df3</t>
        </is>
      </c>
      <c r="B30" s="25">
        <f>B29/(1+(B26-(B26-B27)*DCF!D$67))</f>
        <v/>
      </c>
      <c r="C30" s="25">
        <f>C29/(1+(C26-(C26-C27)*DCF!D$67))</f>
        <v/>
      </c>
      <c r="D30" s="25">
        <f>D29/(1+(D26-(D26-D27)*DCF!D$67))</f>
        <v/>
      </c>
      <c r="E30" s="25">
        <f>E29/(1+(E26-(E26-E27)*DCF!D$67))</f>
        <v/>
      </c>
      <c r="F30" s="25">
        <f>F29/(1+(F26-(F26-F27)*DCF!D$67))</f>
        <v/>
      </c>
    </row>
    <row r="31">
      <c r="A31" s="7" t="inlineStr">
        <is>
          <t>df4</t>
        </is>
      </c>
      <c r="B31" s="25">
        <f>B30/(1+(B26-(B26-B27)*DCF!E$67))</f>
        <v/>
      </c>
      <c r="C31" s="25">
        <f>C30/(1+(C26-(C26-C27)*DCF!E$67))</f>
        <v/>
      </c>
      <c r="D31" s="25">
        <f>D30/(1+(D26-(D26-D27)*DCF!E$67))</f>
        <v/>
      </c>
      <c r="E31" s="25">
        <f>E30/(1+(E26-(E26-E27)*DCF!E$67))</f>
        <v/>
      </c>
      <c r="F31" s="25">
        <f>F30/(1+(F26-(F26-F27)*DCF!E$67))</f>
        <v/>
      </c>
    </row>
    <row r="32">
      <c r="A32" s="7" t="inlineStr">
        <is>
          <t>df5</t>
        </is>
      </c>
      <c r="B32" s="25">
        <f>B31/(1+(B26-(B26-B27)*DCF!F$67))</f>
        <v/>
      </c>
      <c r="C32" s="25">
        <f>C31/(1+(C26-(C26-C27)*DCF!F$67))</f>
        <v/>
      </c>
      <c r="D32" s="25">
        <f>D31/(1+(D26-(D26-D27)*DCF!F$67))</f>
        <v/>
      </c>
      <c r="E32" s="25">
        <f>E31/(1+(E26-(E26-E27)*DCF!F$67))</f>
        <v/>
      </c>
      <c r="F32" s="25">
        <f>F31/(1+(F26-(F26-F27)*DCF!F$67))</f>
        <v/>
      </c>
    </row>
    <row r="33">
      <c r="A33" s="7" t="inlineStr">
        <is>
          <t>PV explicit</t>
        </is>
      </c>
      <c r="B33" s="17">
        <f>DCF!B$18*B28+DCF!C$18*B29+DCF!D$18*B30+DCF!E$18*B31+DCF!F$18*B32</f>
        <v/>
      </c>
      <c r="C33" s="17">
        <f>DCF!B$18*C28+DCF!C$18*C29+DCF!D$18*C30+DCF!E$18*C31+DCF!F$18*C32</f>
        <v/>
      </c>
      <c r="D33" s="17">
        <f>DCF!B$18*D28+DCF!C$18*D29+DCF!D$18*D30+DCF!E$18*D31+DCF!F$18*D32</f>
        <v/>
      </c>
      <c r="E33" s="17">
        <f>DCF!B$18*E28+DCF!C$18*E29+DCF!D$18*E30+DCF!E$18*E31+DCF!F$18*E32</f>
        <v/>
      </c>
      <c r="F33" s="17">
        <f>DCF!B$18*F28+DCF!C$18*F29+DCF!D$18*F30+DCF!E$18*F31+DCF!F$18*F32</f>
        <v/>
      </c>
    </row>
    <row r="34"/>
    <row r="35">
      <c r="A35" s="13" t="inlineStr">
        <is>
          <t>FAIR VALUE (EGP per share)</t>
        </is>
      </c>
      <c r="B35" s="20">
        <f>(((B33)+DCF!F$13*(1+Assumptions!$C$66)*(1-DCF!$B$28)/(B27-Assumptions!$C$66)*B32))*(1-Assumptions!$C$70)/Assumptions!$C$6-DCF!$B$49/Assumptions!$C$6</f>
        <v/>
      </c>
      <c r="C35" s="20">
        <f>(((C33)+DCF!F$13*(1+Assumptions!$C$66)*(1-DCF!$B$28)/(C27-Assumptions!$C$66)*C32))*(1-Assumptions!$C$70)/Assumptions!$C$6-DCF!$B$49/Assumptions!$C$6</f>
        <v/>
      </c>
      <c r="D35" s="20">
        <f>(((D33)+DCF!F$13*(1+Assumptions!$C$66)*(1-DCF!$B$28)/(D27-Assumptions!$C$66)*D32))*(1-Assumptions!$C$70)/Assumptions!$C$6-DCF!$B$49/Assumptions!$C$6</f>
        <v/>
      </c>
      <c r="E35" s="20">
        <f>(((E33)+DCF!F$13*(1+Assumptions!$C$66)*(1-DCF!$B$28)/(E27-Assumptions!$C$66)*E32))*(1-Assumptions!$C$70)/Assumptions!$C$6-DCF!$B$49/Assumptions!$C$6</f>
        <v/>
      </c>
      <c r="F35" s="20">
        <f>(((F33)+DCF!F$13*(1+Assumptions!$C$66)*(1-DCF!$B$28)/(F27-Assumptions!$C$66)*F32))*(1-Assumptions!$C$70)/Assumptions!$C$6-DCF!$B$49/Assumptions!$C$6</f>
        <v/>
      </c>
    </row>
    <row r="36">
      <c r="A36" s="7" t="inlineStr">
        <is>
          <t>Check: the base column must reproduce the base case</t>
        </is>
      </c>
      <c r="D36" s="25">
        <f>D35-'EV Bridge'!$B$12</f>
        <v/>
      </c>
    </row>
    <row r="37"/>
    <row r="38" ht="28" customHeight="1">
      <c r="A38" s="21" t="inlineStr">
        <is>
          <t>The base column of this sweep is now a formula off the same cells the base case uses, so it cannot drift from it — the row above proves it to four decimals. The previous edition pasted this sweep and it had drifted: its centre column read 10.04 against a base case of 9.91.</t>
        </is>
      </c>
    </row>
    <row r="39"/>
    <row r="40">
      <c r="A40" s="5" t="inlineStr">
        <is>
          <t>GRID 3 — EXPLICIT x TERMINAL COST OF CAPITAL (EGP per share, LIVE)</t>
        </is>
      </c>
      <c r="B40" s="6" t="n"/>
      <c r="C40" s="6" t="n"/>
      <c r="D40" s="6" t="n"/>
      <c r="E40" s="6" t="n"/>
      <c r="F40" s="6" t="n"/>
      <c r="G40" s="6" t="n"/>
      <c r="H40" s="6" t="n"/>
      <c r="I40" s="6" t="n"/>
    </row>
    <row r="41">
      <c r="A41" s="7" t="inlineStr">
        <is>
          <t>each anchor varied independently around its own base; one formula a cell, no helper block</t>
        </is>
      </c>
    </row>
    <row r="42">
      <c r="A42" s="12" t="inlineStr">
        <is>
          <t>Explicit \ terminal</t>
        </is>
      </c>
      <c r="B42" s="51" t="n">
        <v>0.1452265</v>
      </c>
      <c r="C42" s="51" t="n">
        <v>0.1552265</v>
      </c>
      <c r="D42" s="51" t="n">
        <v>0.1652265</v>
      </c>
      <c r="E42" s="51" t="n">
        <v>0.1752265</v>
      </c>
      <c r="F42" s="51" t="n">
        <v>0.1852265</v>
      </c>
    </row>
    <row r="43">
      <c r="A43" s="30" t="n">
        <v>0.2863274586594906</v>
      </c>
      <c r="B43" s="20">
        <f>(DCF!B$18/((1+($A$43-($A$43-B$42)*DCF!B$67)))+DCF!C$18/((1+($A$43-($A$43-B$42)*DCF!B$67))*(1+($A$43-($A$43-B$42)*DCF!C$67)))+DCF!D$18/((1+($A$43-($A$43-B$42)*DCF!B$67))*(1+($A$43-($A$43-B$42)*DCF!C$67))*(1+($A$43-($A$43-B$42)*DCF!D$67)))+DCF!E$18/((1+($A$43-($A$43-B$42)*DCF!B$67))*(1+($A$43-($A$43-B$42)*DCF!C$67))*(1+($A$43-($A$43-B$42)*DCF!D$67))*(1+($A$43-($A$43-B$42)*DCF!E$67)))+DCF!F$18/((1+($A$43-($A$43-B$42)*DCF!B$67))*(1+($A$43-($A$43-B$42)*DCF!C$67))*(1+($A$43-($A$43-B$42)*DCF!D$67))*(1+($A$43-($A$43-B$42)*DCF!E$67))*(1+($A$43-($A$43-B$42)*DCF!F$67)))+DCF!F$13*(1+Assumptions!$C$66)*(1-DCF!$B$28)/(B$42-Assumptions!$C$66)/((1+($A$43-($A$43-B$42)*DCF!B$67))*(1+($A$43-($A$43-B$42)*DCF!C$67))*(1+($A$43-($A$43-B$42)*DCF!D$67))*(1+($A$43-($A$43-B$42)*DCF!E$67))*(1+($A$43-($A$43-B$42)*DCF!F$67))))*(1-Assumptions!$C$70)/Assumptions!$C$6-DCF!$B$49/Assumptions!$C$6</f>
        <v/>
      </c>
      <c r="C43" s="20">
        <f>(DCF!B$18/((1+($A$43-($A$43-C$42)*DCF!B$67)))+DCF!C$18/((1+($A$43-($A$43-C$42)*DCF!B$67))*(1+($A$43-($A$43-C$42)*DCF!C$67)))+DCF!D$18/((1+($A$43-($A$43-C$42)*DCF!B$67))*(1+($A$43-($A$43-C$42)*DCF!C$67))*(1+($A$43-($A$43-C$42)*DCF!D$67)))+DCF!E$18/((1+($A$43-($A$43-C$42)*DCF!B$67))*(1+($A$43-($A$43-C$42)*DCF!C$67))*(1+($A$43-($A$43-C$42)*DCF!D$67))*(1+($A$43-($A$43-C$42)*DCF!E$67)))+DCF!F$18/((1+($A$43-($A$43-C$42)*DCF!B$67))*(1+($A$43-($A$43-C$42)*DCF!C$67))*(1+($A$43-($A$43-C$42)*DCF!D$67))*(1+($A$43-($A$43-C$42)*DCF!E$67))*(1+($A$43-($A$43-C$42)*DCF!F$67)))+DCF!F$13*(1+Assumptions!$C$66)*(1-DCF!$B$28)/(C$42-Assumptions!$C$66)/((1+($A$43-($A$43-C$42)*DCF!B$67))*(1+($A$43-($A$43-C$42)*DCF!C$67))*(1+($A$43-($A$43-C$42)*DCF!D$67))*(1+($A$43-($A$43-C$42)*DCF!E$67))*(1+($A$43-($A$43-C$42)*DCF!F$67))))*(1-Assumptions!$C$70)/Assumptions!$C$6-DCF!$B$49/Assumptions!$C$6</f>
        <v/>
      </c>
      <c r="D43" s="20">
        <f>(DCF!B$18/((1+($A$43-($A$43-D$42)*DCF!B$67)))+DCF!C$18/((1+($A$43-($A$43-D$42)*DCF!B$67))*(1+($A$43-($A$43-D$42)*DCF!C$67)))+DCF!D$18/((1+($A$43-($A$43-D$42)*DCF!B$67))*(1+($A$43-($A$43-D$42)*DCF!C$67))*(1+($A$43-($A$43-D$42)*DCF!D$67)))+DCF!E$18/((1+($A$43-($A$43-D$42)*DCF!B$67))*(1+($A$43-($A$43-D$42)*DCF!C$67))*(1+($A$43-($A$43-D$42)*DCF!D$67))*(1+($A$43-($A$43-D$42)*DCF!E$67)))+DCF!F$18/((1+($A$43-($A$43-D$42)*DCF!B$67))*(1+($A$43-($A$43-D$42)*DCF!C$67))*(1+($A$43-($A$43-D$42)*DCF!D$67))*(1+($A$43-($A$43-D$42)*DCF!E$67))*(1+($A$43-($A$43-D$42)*DCF!F$67)))+DCF!F$13*(1+Assumptions!$C$66)*(1-DCF!$B$28)/(D$42-Assumptions!$C$66)/((1+($A$43-($A$43-D$42)*DCF!B$67))*(1+($A$43-($A$43-D$42)*DCF!C$67))*(1+($A$43-($A$43-D$42)*DCF!D$67))*(1+($A$43-($A$43-D$42)*DCF!E$67))*(1+($A$43-($A$43-D$42)*DCF!F$67))))*(1-Assumptions!$C$70)/Assumptions!$C$6-DCF!$B$49/Assumptions!$C$6</f>
        <v/>
      </c>
      <c r="E43" s="20">
        <f>(DCF!B$18/((1+($A$43-($A$43-E$42)*DCF!B$67)))+DCF!C$18/((1+($A$43-($A$43-E$42)*DCF!B$67))*(1+($A$43-($A$43-E$42)*DCF!C$67)))+DCF!D$18/((1+($A$43-($A$43-E$42)*DCF!B$67))*(1+($A$43-($A$43-E$42)*DCF!C$67))*(1+($A$43-($A$43-E$42)*DCF!D$67)))+DCF!E$18/((1+($A$43-($A$43-E$42)*DCF!B$67))*(1+($A$43-($A$43-E$42)*DCF!C$67))*(1+($A$43-($A$43-E$42)*DCF!D$67))*(1+($A$43-($A$43-E$42)*DCF!E$67)))+DCF!F$18/((1+($A$43-($A$43-E$42)*DCF!B$67))*(1+($A$43-($A$43-E$42)*DCF!C$67))*(1+($A$43-($A$43-E$42)*DCF!D$67))*(1+($A$43-($A$43-E$42)*DCF!E$67))*(1+($A$43-($A$43-E$42)*DCF!F$67)))+DCF!F$13*(1+Assumptions!$C$66)*(1-DCF!$B$28)/(E$42-Assumptions!$C$66)/((1+($A$43-($A$43-E$42)*DCF!B$67))*(1+($A$43-($A$43-E$42)*DCF!C$67))*(1+($A$43-($A$43-E$42)*DCF!D$67))*(1+($A$43-($A$43-E$42)*DCF!E$67))*(1+($A$43-($A$43-E$42)*DCF!F$67))))*(1-Assumptions!$C$70)/Assumptions!$C$6-DCF!$B$49/Assumptions!$C$6</f>
        <v/>
      </c>
      <c r="F43" s="20">
        <f>(DCF!B$18/((1+($A$43-($A$43-F$42)*DCF!B$67)))+DCF!C$18/((1+($A$43-($A$43-F$42)*DCF!B$67))*(1+($A$43-($A$43-F$42)*DCF!C$67)))+DCF!D$18/((1+($A$43-($A$43-F$42)*DCF!B$67))*(1+($A$43-($A$43-F$42)*DCF!C$67))*(1+($A$43-($A$43-F$42)*DCF!D$67)))+DCF!E$18/((1+($A$43-($A$43-F$42)*DCF!B$67))*(1+($A$43-($A$43-F$42)*DCF!C$67))*(1+($A$43-($A$43-F$42)*DCF!D$67))*(1+($A$43-($A$43-F$42)*DCF!E$67)))+DCF!F$18/((1+($A$43-($A$43-F$42)*DCF!B$67))*(1+($A$43-($A$43-F$42)*DCF!C$67))*(1+($A$43-($A$43-F$42)*DCF!D$67))*(1+($A$43-($A$43-F$42)*DCF!E$67))*(1+($A$43-($A$43-F$42)*DCF!F$67)))+DCF!F$13*(1+Assumptions!$C$66)*(1-DCF!$B$28)/(F$42-Assumptions!$C$66)/((1+($A$43-($A$43-F$42)*DCF!B$67))*(1+($A$43-($A$43-F$42)*DCF!C$67))*(1+($A$43-($A$43-F$42)*DCF!D$67))*(1+($A$43-($A$43-F$42)*DCF!E$67))*(1+($A$43-($A$43-F$42)*DCF!F$67))))*(1-Assumptions!$C$70)/Assumptions!$C$6-DCF!$B$49/Assumptions!$C$6</f>
        <v/>
      </c>
    </row>
    <row r="44">
      <c r="A44" s="30" t="n">
        <v>0.3013274586594906</v>
      </c>
      <c r="B44" s="20">
        <f>(DCF!B$18/((1+($A$44-($A$44-B$42)*DCF!B$67)))+DCF!C$18/((1+($A$44-($A$44-B$42)*DCF!B$67))*(1+($A$44-($A$44-B$42)*DCF!C$67)))+DCF!D$18/((1+($A$44-($A$44-B$42)*DCF!B$67))*(1+($A$44-($A$44-B$42)*DCF!C$67))*(1+($A$44-($A$44-B$42)*DCF!D$67)))+DCF!E$18/((1+($A$44-($A$44-B$42)*DCF!B$67))*(1+($A$44-($A$44-B$42)*DCF!C$67))*(1+($A$44-($A$44-B$42)*DCF!D$67))*(1+($A$44-($A$44-B$42)*DCF!E$67)))+DCF!F$18/((1+($A$44-($A$44-B$42)*DCF!B$67))*(1+($A$44-($A$44-B$42)*DCF!C$67))*(1+($A$44-($A$44-B$42)*DCF!D$67))*(1+($A$44-($A$44-B$42)*DCF!E$67))*(1+($A$44-($A$44-B$42)*DCF!F$67)))+DCF!F$13*(1+Assumptions!$C$66)*(1-DCF!$B$28)/(B$42-Assumptions!$C$66)/((1+($A$44-($A$44-B$42)*DCF!B$67))*(1+($A$44-($A$44-B$42)*DCF!C$67))*(1+($A$44-($A$44-B$42)*DCF!D$67))*(1+($A$44-($A$44-B$42)*DCF!E$67))*(1+($A$44-($A$44-B$42)*DCF!F$67))))*(1-Assumptions!$C$70)/Assumptions!$C$6-DCF!$B$49/Assumptions!$C$6</f>
        <v/>
      </c>
      <c r="C44" s="20">
        <f>(DCF!B$18/((1+($A$44-($A$44-C$42)*DCF!B$67)))+DCF!C$18/((1+($A$44-($A$44-C$42)*DCF!B$67))*(1+($A$44-($A$44-C$42)*DCF!C$67)))+DCF!D$18/((1+($A$44-($A$44-C$42)*DCF!B$67))*(1+($A$44-($A$44-C$42)*DCF!C$67))*(1+($A$44-($A$44-C$42)*DCF!D$67)))+DCF!E$18/((1+($A$44-($A$44-C$42)*DCF!B$67))*(1+($A$44-($A$44-C$42)*DCF!C$67))*(1+($A$44-($A$44-C$42)*DCF!D$67))*(1+($A$44-($A$44-C$42)*DCF!E$67)))+DCF!F$18/((1+($A$44-($A$44-C$42)*DCF!B$67))*(1+($A$44-($A$44-C$42)*DCF!C$67))*(1+($A$44-($A$44-C$42)*DCF!D$67))*(1+($A$44-($A$44-C$42)*DCF!E$67))*(1+($A$44-($A$44-C$42)*DCF!F$67)))+DCF!F$13*(1+Assumptions!$C$66)*(1-DCF!$B$28)/(C$42-Assumptions!$C$66)/((1+($A$44-($A$44-C$42)*DCF!B$67))*(1+($A$44-($A$44-C$42)*DCF!C$67))*(1+($A$44-($A$44-C$42)*DCF!D$67))*(1+($A$44-($A$44-C$42)*DCF!E$67))*(1+($A$44-($A$44-C$42)*DCF!F$67))))*(1-Assumptions!$C$70)/Assumptions!$C$6-DCF!$B$49/Assumptions!$C$6</f>
        <v/>
      </c>
      <c r="D44" s="20">
        <f>(DCF!B$18/((1+($A$44-($A$44-D$42)*DCF!B$67)))+DCF!C$18/((1+($A$44-($A$44-D$42)*DCF!B$67))*(1+($A$44-($A$44-D$42)*DCF!C$67)))+DCF!D$18/((1+($A$44-($A$44-D$42)*DCF!B$67))*(1+($A$44-($A$44-D$42)*DCF!C$67))*(1+($A$44-($A$44-D$42)*DCF!D$67)))+DCF!E$18/((1+($A$44-($A$44-D$42)*DCF!B$67))*(1+($A$44-($A$44-D$42)*DCF!C$67))*(1+($A$44-($A$44-D$42)*DCF!D$67))*(1+($A$44-($A$44-D$42)*DCF!E$67)))+DCF!F$18/((1+($A$44-($A$44-D$42)*DCF!B$67))*(1+($A$44-($A$44-D$42)*DCF!C$67))*(1+($A$44-($A$44-D$42)*DCF!D$67))*(1+($A$44-($A$44-D$42)*DCF!E$67))*(1+($A$44-($A$44-D$42)*DCF!F$67)))+DCF!F$13*(1+Assumptions!$C$66)*(1-DCF!$B$28)/(D$42-Assumptions!$C$66)/((1+($A$44-($A$44-D$42)*DCF!B$67))*(1+($A$44-($A$44-D$42)*DCF!C$67))*(1+($A$44-($A$44-D$42)*DCF!D$67))*(1+($A$44-($A$44-D$42)*DCF!E$67))*(1+($A$44-($A$44-D$42)*DCF!F$67))))*(1-Assumptions!$C$70)/Assumptions!$C$6-DCF!$B$49/Assumptions!$C$6</f>
        <v/>
      </c>
      <c r="E44" s="20">
        <f>(DCF!B$18/((1+($A$44-($A$44-E$42)*DCF!B$67)))+DCF!C$18/((1+($A$44-($A$44-E$42)*DCF!B$67))*(1+($A$44-($A$44-E$42)*DCF!C$67)))+DCF!D$18/((1+($A$44-($A$44-E$42)*DCF!B$67))*(1+($A$44-($A$44-E$42)*DCF!C$67))*(1+($A$44-($A$44-E$42)*DCF!D$67)))+DCF!E$18/((1+($A$44-($A$44-E$42)*DCF!B$67))*(1+($A$44-($A$44-E$42)*DCF!C$67))*(1+($A$44-($A$44-E$42)*DCF!D$67))*(1+($A$44-($A$44-E$42)*DCF!E$67)))+DCF!F$18/((1+($A$44-($A$44-E$42)*DCF!B$67))*(1+($A$44-($A$44-E$42)*DCF!C$67))*(1+($A$44-($A$44-E$42)*DCF!D$67))*(1+($A$44-($A$44-E$42)*DCF!E$67))*(1+($A$44-($A$44-E$42)*DCF!F$67)))+DCF!F$13*(1+Assumptions!$C$66)*(1-DCF!$B$28)/(E$42-Assumptions!$C$66)/((1+($A$44-($A$44-E$42)*DCF!B$67))*(1+($A$44-($A$44-E$42)*DCF!C$67))*(1+($A$44-($A$44-E$42)*DCF!D$67))*(1+($A$44-($A$44-E$42)*DCF!E$67))*(1+($A$44-($A$44-E$42)*DCF!F$67))))*(1-Assumptions!$C$70)/Assumptions!$C$6-DCF!$B$49/Assumptions!$C$6</f>
        <v/>
      </c>
      <c r="F44" s="20">
        <f>(DCF!B$18/((1+($A$44-($A$44-F$42)*DCF!B$67)))+DCF!C$18/((1+($A$44-($A$44-F$42)*DCF!B$67))*(1+($A$44-($A$44-F$42)*DCF!C$67)))+DCF!D$18/((1+($A$44-($A$44-F$42)*DCF!B$67))*(1+($A$44-($A$44-F$42)*DCF!C$67))*(1+($A$44-($A$44-F$42)*DCF!D$67)))+DCF!E$18/((1+($A$44-($A$44-F$42)*DCF!B$67))*(1+($A$44-($A$44-F$42)*DCF!C$67))*(1+($A$44-($A$44-F$42)*DCF!D$67))*(1+($A$44-($A$44-F$42)*DCF!E$67)))+DCF!F$18/((1+($A$44-($A$44-F$42)*DCF!B$67))*(1+($A$44-($A$44-F$42)*DCF!C$67))*(1+($A$44-($A$44-F$42)*DCF!D$67))*(1+($A$44-($A$44-F$42)*DCF!E$67))*(1+($A$44-($A$44-F$42)*DCF!F$67)))+DCF!F$13*(1+Assumptions!$C$66)*(1-DCF!$B$28)/(F$42-Assumptions!$C$66)/((1+($A$44-($A$44-F$42)*DCF!B$67))*(1+($A$44-($A$44-F$42)*DCF!C$67))*(1+($A$44-($A$44-F$42)*DCF!D$67))*(1+($A$44-($A$44-F$42)*DCF!E$67))*(1+($A$44-($A$44-F$42)*DCF!F$67))))*(1-Assumptions!$C$70)/Assumptions!$C$6-DCF!$B$49/Assumptions!$C$6</f>
        <v/>
      </c>
    </row>
    <row r="45">
      <c r="A45" s="30" t="n">
        <v>0.3163274586594906</v>
      </c>
      <c r="B45" s="20">
        <f>(DCF!B$18/((1+($A$45-($A$45-B$42)*DCF!B$67)))+DCF!C$18/((1+($A$45-($A$45-B$42)*DCF!B$67))*(1+($A$45-($A$45-B$42)*DCF!C$67)))+DCF!D$18/((1+($A$45-($A$45-B$42)*DCF!B$67))*(1+($A$45-($A$45-B$42)*DCF!C$67))*(1+($A$45-($A$45-B$42)*DCF!D$67)))+DCF!E$18/((1+($A$45-($A$45-B$42)*DCF!B$67))*(1+($A$45-($A$45-B$42)*DCF!C$67))*(1+($A$45-($A$45-B$42)*DCF!D$67))*(1+($A$45-($A$45-B$42)*DCF!E$67)))+DCF!F$18/((1+($A$45-($A$45-B$42)*DCF!B$67))*(1+($A$45-($A$45-B$42)*DCF!C$67))*(1+($A$45-($A$45-B$42)*DCF!D$67))*(1+($A$45-($A$45-B$42)*DCF!E$67))*(1+($A$45-($A$45-B$42)*DCF!F$67)))+DCF!F$13*(1+Assumptions!$C$66)*(1-DCF!$B$28)/(B$42-Assumptions!$C$66)/((1+($A$45-($A$45-B$42)*DCF!B$67))*(1+($A$45-($A$45-B$42)*DCF!C$67))*(1+($A$45-($A$45-B$42)*DCF!D$67))*(1+($A$45-($A$45-B$42)*DCF!E$67))*(1+($A$45-($A$45-B$42)*DCF!F$67))))*(1-Assumptions!$C$70)/Assumptions!$C$6-DCF!$B$49/Assumptions!$C$6</f>
        <v/>
      </c>
      <c r="C45" s="20">
        <f>(DCF!B$18/((1+($A$45-($A$45-C$42)*DCF!B$67)))+DCF!C$18/((1+($A$45-($A$45-C$42)*DCF!B$67))*(1+($A$45-($A$45-C$42)*DCF!C$67)))+DCF!D$18/((1+($A$45-($A$45-C$42)*DCF!B$67))*(1+($A$45-($A$45-C$42)*DCF!C$67))*(1+($A$45-($A$45-C$42)*DCF!D$67)))+DCF!E$18/((1+($A$45-($A$45-C$42)*DCF!B$67))*(1+($A$45-($A$45-C$42)*DCF!C$67))*(1+($A$45-($A$45-C$42)*DCF!D$67))*(1+($A$45-($A$45-C$42)*DCF!E$67)))+DCF!F$18/((1+($A$45-($A$45-C$42)*DCF!B$67))*(1+($A$45-($A$45-C$42)*DCF!C$67))*(1+($A$45-($A$45-C$42)*DCF!D$67))*(1+($A$45-($A$45-C$42)*DCF!E$67))*(1+($A$45-($A$45-C$42)*DCF!F$67)))+DCF!F$13*(1+Assumptions!$C$66)*(1-DCF!$B$28)/(C$42-Assumptions!$C$66)/((1+($A$45-($A$45-C$42)*DCF!B$67))*(1+($A$45-($A$45-C$42)*DCF!C$67))*(1+($A$45-($A$45-C$42)*DCF!D$67))*(1+($A$45-($A$45-C$42)*DCF!E$67))*(1+($A$45-($A$45-C$42)*DCF!F$67))))*(1-Assumptions!$C$70)/Assumptions!$C$6-DCF!$B$49/Assumptions!$C$6</f>
        <v/>
      </c>
      <c r="D45" s="20">
        <f>(DCF!B$18/((1+($A$45-($A$45-D$42)*DCF!B$67)))+DCF!C$18/((1+($A$45-($A$45-D$42)*DCF!B$67))*(1+($A$45-($A$45-D$42)*DCF!C$67)))+DCF!D$18/((1+($A$45-($A$45-D$42)*DCF!B$67))*(1+($A$45-($A$45-D$42)*DCF!C$67))*(1+($A$45-($A$45-D$42)*DCF!D$67)))+DCF!E$18/((1+($A$45-($A$45-D$42)*DCF!B$67))*(1+($A$45-($A$45-D$42)*DCF!C$67))*(1+($A$45-($A$45-D$42)*DCF!D$67))*(1+($A$45-($A$45-D$42)*DCF!E$67)))+DCF!F$18/((1+($A$45-($A$45-D$42)*DCF!B$67))*(1+($A$45-($A$45-D$42)*DCF!C$67))*(1+($A$45-($A$45-D$42)*DCF!D$67))*(1+($A$45-($A$45-D$42)*DCF!E$67))*(1+($A$45-($A$45-D$42)*DCF!F$67)))+DCF!F$13*(1+Assumptions!$C$66)*(1-DCF!$B$28)/(D$42-Assumptions!$C$66)/((1+($A$45-($A$45-D$42)*DCF!B$67))*(1+($A$45-($A$45-D$42)*DCF!C$67))*(1+($A$45-($A$45-D$42)*DCF!D$67))*(1+($A$45-($A$45-D$42)*DCF!E$67))*(1+($A$45-($A$45-D$42)*DCF!F$67))))*(1-Assumptions!$C$70)/Assumptions!$C$6-DCF!$B$49/Assumptions!$C$6</f>
        <v/>
      </c>
      <c r="E45" s="20">
        <f>(DCF!B$18/((1+($A$45-($A$45-E$42)*DCF!B$67)))+DCF!C$18/((1+($A$45-($A$45-E$42)*DCF!B$67))*(1+($A$45-($A$45-E$42)*DCF!C$67)))+DCF!D$18/((1+($A$45-($A$45-E$42)*DCF!B$67))*(1+($A$45-($A$45-E$42)*DCF!C$67))*(1+($A$45-($A$45-E$42)*DCF!D$67)))+DCF!E$18/((1+($A$45-($A$45-E$42)*DCF!B$67))*(1+($A$45-($A$45-E$42)*DCF!C$67))*(1+($A$45-($A$45-E$42)*DCF!D$67))*(1+($A$45-($A$45-E$42)*DCF!E$67)))+DCF!F$18/((1+($A$45-($A$45-E$42)*DCF!B$67))*(1+($A$45-($A$45-E$42)*DCF!C$67))*(1+($A$45-($A$45-E$42)*DCF!D$67))*(1+($A$45-($A$45-E$42)*DCF!E$67))*(1+($A$45-($A$45-E$42)*DCF!F$67)))+DCF!F$13*(1+Assumptions!$C$66)*(1-DCF!$B$28)/(E$42-Assumptions!$C$66)/((1+($A$45-($A$45-E$42)*DCF!B$67))*(1+($A$45-($A$45-E$42)*DCF!C$67))*(1+($A$45-($A$45-E$42)*DCF!D$67))*(1+($A$45-($A$45-E$42)*DCF!E$67))*(1+($A$45-($A$45-E$42)*DCF!F$67))))*(1-Assumptions!$C$70)/Assumptions!$C$6-DCF!$B$49/Assumptions!$C$6</f>
        <v/>
      </c>
      <c r="F45" s="20">
        <f>(DCF!B$18/((1+($A$45-($A$45-F$42)*DCF!B$67)))+DCF!C$18/((1+($A$45-($A$45-F$42)*DCF!B$67))*(1+($A$45-($A$45-F$42)*DCF!C$67)))+DCF!D$18/((1+($A$45-($A$45-F$42)*DCF!B$67))*(1+($A$45-($A$45-F$42)*DCF!C$67))*(1+($A$45-($A$45-F$42)*DCF!D$67)))+DCF!E$18/((1+($A$45-($A$45-F$42)*DCF!B$67))*(1+($A$45-($A$45-F$42)*DCF!C$67))*(1+($A$45-($A$45-F$42)*DCF!D$67))*(1+($A$45-($A$45-F$42)*DCF!E$67)))+DCF!F$18/((1+($A$45-($A$45-F$42)*DCF!B$67))*(1+($A$45-($A$45-F$42)*DCF!C$67))*(1+($A$45-($A$45-F$42)*DCF!D$67))*(1+($A$45-($A$45-F$42)*DCF!E$67))*(1+($A$45-($A$45-F$42)*DCF!F$67)))+DCF!F$13*(1+Assumptions!$C$66)*(1-DCF!$B$28)/(F$42-Assumptions!$C$66)/((1+($A$45-($A$45-F$42)*DCF!B$67))*(1+($A$45-($A$45-F$42)*DCF!C$67))*(1+($A$45-($A$45-F$42)*DCF!D$67))*(1+($A$45-($A$45-F$42)*DCF!E$67))*(1+($A$45-($A$45-F$42)*DCF!F$67))))*(1-Assumptions!$C$70)/Assumptions!$C$6-DCF!$B$49/Assumptions!$C$6</f>
        <v/>
      </c>
    </row>
    <row r="46">
      <c r="A46" s="30" t="n">
        <v>0.3313274586594906</v>
      </c>
      <c r="B46" s="20">
        <f>(DCF!B$18/((1+($A$46-($A$46-B$42)*DCF!B$67)))+DCF!C$18/((1+($A$46-($A$46-B$42)*DCF!B$67))*(1+($A$46-($A$46-B$42)*DCF!C$67)))+DCF!D$18/((1+($A$46-($A$46-B$42)*DCF!B$67))*(1+($A$46-($A$46-B$42)*DCF!C$67))*(1+($A$46-($A$46-B$42)*DCF!D$67)))+DCF!E$18/((1+($A$46-($A$46-B$42)*DCF!B$67))*(1+($A$46-($A$46-B$42)*DCF!C$67))*(1+($A$46-($A$46-B$42)*DCF!D$67))*(1+($A$46-($A$46-B$42)*DCF!E$67)))+DCF!F$18/((1+($A$46-($A$46-B$42)*DCF!B$67))*(1+($A$46-($A$46-B$42)*DCF!C$67))*(1+($A$46-($A$46-B$42)*DCF!D$67))*(1+($A$46-($A$46-B$42)*DCF!E$67))*(1+($A$46-($A$46-B$42)*DCF!F$67)))+DCF!F$13*(1+Assumptions!$C$66)*(1-DCF!$B$28)/(B$42-Assumptions!$C$66)/((1+($A$46-($A$46-B$42)*DCF!B$67))*(1+($A$46-($A$46-B$42)*DCF!C$67))*(1+($A$46-($A$46-B$42)*DCF!D$67))*(1+($A$46-($A$46-B$42)*DCF!E$67))*(1+($A$46-($A$46-B$42)*DCF!F$67))))*(1-Assumptions!$C$70)/Assumptions!$C$6-DCF!$B$49/Assumptions!$C$6</f>
        <v/>
      </c>
      <c r="C46" s="20">
        <f>(DCF!B$18/((1+($A$46-($A$46-C$42)*DCF!B$67)))+DCF!C$18/((1+($A$46-($A$46-C$42)*DCF!B$67))*(1+($A$46-($A$46-C$42)*DCF!C$67)))+DCF!D$18/((1+($A$46-($A$46-C$42)*DCF!B$67))*(1+($A$46-($A$46-C$42)*DCF!C$67))*(1+($A$46-($A$46-C$42)*DCF!D$67)))+DCF!E$18/((1+($A$46-($A$46-C$42)*DCF!B$67))*(1+($A$46-($A$46-C$42)*DCF!C$67))*(1+($A$46-($A$46-C$42)*DCF!D$67))*(1+($A$46-($A$46-C$42)*DCF!E$67)))+DCF!F$18/((1+($A$46-($A$46-C$42)*DCF!B$67))*(1+($A$46-($A$46-C$42)*DCF!C$67))*(1+($A$46-($A$46-C$42)*DCF!D$67))*(1+($A$46-($A$46-C$42)*DCF!E$67))*(1+($A$46-($A$46-C$42)*DCF!F$67)))+DCF!F$13*(1+Assumptions!$C$66)*(1-DCF!$B$28)/(C$42-Assumptions!$C$66)/((1+($A$46-($A$46-C$42)*DCF!B$67))*(1+($A$46-($A$46-C$42)*DCF!C$67))*(1+($A$46-($A$46-C$42)*DCF!D$67))*(1+($A$46-($A$46-C$42)*DCF!E$67))*(1+($A$46-($A$46-C$42)*DCF!F$67))))*(1-Assumptions!$C$70)/Assumptions!$C$6-DCF!$B$49/Assumptions!$C$6</f>
        <v/>
      </c>
      <c r="D46" s="20">
        <f>(DCF!B$18/((1+($A$46-($A$46-D$42)*DCF!B$67)))+DCF!C$18/((1+($A$46-($A$46-D$42)*DCF!B$67))*(1+($A$46-($A$46-D$42)*DCF!C$67)))+DCF!D$18/((1+($A$46-($A$46-D$42)*DCF!B$67))*(1+($A$46-($A$46-D$42)*DCF!C$67))*(1+($A$46-($A$46-D$42)*DCF!D$67)))+DCF!E$18/((1+($A$46-($A$46-D$42)*DCF!B$67))*(1+($A$46-($A$46-D$42)*DCF!C$67))*(1+($A$46-($A$46-D$42)*DCF!D$67))*(1+($A$46-($A$46-D$42)*DCF!E$67)))+DCF!F$18/((1+($A$46-($A$46-D$42)*DCF!B$67))*(1+($A$46-($A$46-D$42)*DCF!C$67))*(1+($A$46-($A$46-D$42)*DCF!D$67))*(1+($A$46-($A$46-D$42)*DCF!E$67))*(1+($A$46-($A$46-D$42)*DCF!F$67)))+DCF!F$13*(1+Assumptions!$C$66)*(1-DCF!$B$28)/(D$42-Assumptions!$C$66)/((1+($A$46-($A$46-D$42)*DCF!B$67))*(1+($A$46-($A$46-D$42)*DCF!C$67))*(1+($A$46-($A$46-D$42)*DCF!D$67))*(1+($A$46-($A$46-D$42)*DCF!E$67))*(1+($A$46-($A$46-D$42)*DCF!F$67))))*(1-Assumptions!$C$70)/Assumptions!$C$6-DCF!$B$49/Assumptions!$C$6</f>
        <v/>
      </c>
      <c r="E46" s="20">
        <f>(DCF!B$18/((1+($A$46-($A$46-E$42)*DCF!B$67)))+DCF!C$18/((1+($A$46-($A$46-E$42)*DCF!B$67))*(1+($A$46-($A$46-E$42)*DCF!C$67)))+DCF!D$18/((1+($A$46-($A$46-E$42)*DCF!B$67))*(1+($A$46-($A$46-E$42)*DCF!C$67))*(1+($A$46-($A$46-E$42)*DCF!D$67)))+DCF!E$18/((1+($A$46-($A$46-E$42)*DCF!B$67))*(1+($A$46-($A$46-E$42)*DCF!C$67))*(1+($A$46-($A$46-E$42)*DCF!D$67))*(1+($A$46-($A$46-E$42)*DCF!E$67)))+DCF!F$18/((1+($A$46-($A$46-E$42)*DCF!B$67))*(1+($A$46-($A$46-E$42)*DCF!C$67))*(1+($A$46-($A$46-E$42)*DCF!D$67))*(1+($A$46-($A$46-E$42)*DCF!E$67))*(1+($A$46-($A$46-E$42)*DCF!F$67)))+DCF!F$13*(1+Assumptions!$C$66)*(1-DCF!$B$28)/(E$42-Assumptions!$C$66)/((1+($A$46-($A$46-E$42)*DCF!B$67))*(1+($A$46-($A$46-E$42)*DCF!C$67))*(1+($A$46-($A$46-E$42)*DCF!D$67))*(1+($A$46-($A$46-E$42)*DCF!E$67))*(1+($A$46-($A$46-E$42)*DCF!F$67))))*(1-Assumptions!$C$70)/Assumptions!$C$6-DCF!$B$49/Assumptions!$C$6</f>
        <v/>
      </c>
      <c r="F46" s="20">
        <f>(DCF!B$18/((1+($A$46-($A$46-F$42)*DCF!B$67)))+DCF!C$18/((1+($A$46-($A$46-F$42)*DCF!B$67))*(1+($A$46-($A$46-F$42)*DCF!C$67)))+DCF!D$18/((1+($A$46-($A$46-F$42)*DCF!B$67))*(1+($A$46-($A$46-F$42)*DCF!C$67))*(1+($A$46-($A$46-F$42)*DCF!D$67)))+DCF!E$18/((1+($A$46-($A$46-F$42)*DCF!B$67))*(1+($A$46-($A$46-F$42)*DCF!C$67))*(1+($A$46-($A$46-F$42)*DCF!D$67))*(1+($A$46-($A$46-F$42)*DCF!E$67)))+DCF!F$18/((1+($A$46-($A$46-F$42)*DCF!B$67))*(1+($A$46-($A$46-F$42)*DCF!C$67))*(1+($A$46-($A$46-F$42)*DCF!D$67))*(1+($A$46-($A$46-F$42)*DCF!E$67))*(1+($A$46-($A$46-F$42)*DCF!F$67)))+DCF!F$13*(1+Assumptions!$C$66)*(1-DCF!$B$28)/(F$42-Assumptions!$C$66)/((1+($A$46-($A$46-F$42)*DCF!B$67))*(1+($A$46-($A$46-F$42)*DCF!C$67))*(1+($A$46-($A$46-F$42)*DCF!D$67))*(1+($A$46-($A$46-F$42)*DCF!E$67))*(1+($A$46-($A$46-F$42)*DCF!F$67))))*(1-Assumptions!$C$70)/Assumptions!$C$6-DCF!$B$49/Assumptions!$C$6</f>
        <v/>
      </c>
    </row>
    <row r="47">
      <c r="A47" s="30" t="n">
        <v>0.3463274586594906</v>
      </c>
      <c r="B47" s="20">
        <f>(DCF!B$18/((1+($A$47-($A$47-B$42)*DCF!B$67)))+DCF!C$18/((1+($A$47-($A$47-B$42)*DCF!B$67))*(1+($A$47-($A$47-B$42)*DCF!C$67)))+DCF!D$18/((1+($A$47-($A$47-B$42)*DCF!B$67))*(1+($A$47-($A$47-B$42)*DCF!C$67))*(1+($A$47-($A$47-B$42)*DCF!D$67)))+DCF!E$18/((1+($A$47-($A$47-B$42)*DCF!B$67))*(1+($A$47-($A$47-B$42)*DCF!C$67))*(1+($A$47-($A$47-B$42)*DCF!D$67))*(1+($A$47-($A$47-B$42)*DCF!E$67)))+DCF!F$18/((1+($A$47-($A$47-B$42)*DCF!B$67))*(1+($A$47-($A$47-B$42)*DCF!C$67))*(1+($A$47-($A$47-B$42)*DCF!D$67))*(1+($A$47-($A$47-B$42)*DCF!E$67))*(1+($A$47-($A$47-B$42)*DCF!F$67)))+DCF!F$13*(1+Assumptions!$C$66)*(1-DCF!$B$28)/(B$42-Assumptions!$C$66)/((1+($A$47-($A$47-B$42)*DCF!B$67))*(1+($A$47-($A$47-B$42)*DCF!C$67))*(1+($A$47-($A$47-B$42)*DCF!D$67))*(1+($A$47-($A$47-B$42)*DCF!E$67))*(1+($A$47-($A$47-B$42)*DCF!F$67))))*(1-Assumptions!$C$70)/Assumptions!$C$6-DCF!$B$49/Assumptions!$C$6</f>
        <v/>
      </c>
      <c r="C47" s="20">
        <f>(DCF!B$18/((1+($A$47-($A$47-C$42)*DCF!B$67)))+DCF!C$18/((1+($A$47-($A$47-C$42)*DCF!B$67))*(1+($A$47-($A$47-C$42)*DCF!C$67)))+DCF!D$18/((1+($A$47-($A$47-C$42)*DCF!B$67))*(1+($A$47-($A$47-C$42)*DCF!C$67))*(1+($A$47-($A$47-C$42)*DCF!D$67)))+DCF!E$18/((1+($A$47-($A$47-C$42)*DCF!B$67))*(1+($A$47-($A$47-C$42)*DCF!C$67))*(1+($A$47-($A$47-C$42)*DCF!D$67))*(1+($A$47-($A$47-C$42)*DCF!E$67)))+DCF!F$18/((1+($A$47-($A$47-C$42)*DCF!B$67))*(1+($A$47-($A$47-C$42)*DCF!C$67))*(1+($A$47-($A$47-C$42)*DCF!D$67))*(1+($A$47-($A$47-C$42)*DCF!E$67))*(1+($A$47-($A$47-C$42)*DCF!F$67)))+DCF!F$13*(1+Assumptions!$C$66)*(1-DCF!$B$28)/(C$42-Assumptions!$C$66)/((1+($A$47-($A$47-C$42)*DCF!B$67))*(1+($A$47-($A$47-C$42)*DCF!C$67))*(1+($A$47-($A$47-C$42)*DCF!D$67))*(1+($A$47-($A$47-C$42)*DCF!E$67))*(1+($A$47-($A$47-C$42)*DCF!F$67))))*(1-Assumptions!$C$70)/Assumptions!$C$6-DCF!$B$49/Assumptions!$C$6</f>
        <v/>
      </c>
      <c r="D47" s="20">
        <f>(DCF!B$18/((1+($A$47-($A$47-D$42)*DCF!B$67)))+DCF!C$18/((1+($A$47-($A$47-D$42)*DCF!B$67))*(1+($A$47-($A$47-D$42)*DCF!C$67)))+DCF!D$18/((1+($A$47-($A$47-D$42)*DCF!B$67))*(1+($A$47-($A$47-D$42)*DCF!C$67))*(1+($A$47-($A$47-D$42)*DCF!D$67)))+DCF!E$18/((1+($A$47-($A$47-D$42)*DCF!B$67))*(1+($A$47-($A$47-D$42)*DCF!C$67))*(1+($A$47-($A$47-D$42)*DCF!D$67))*(1+($A$47-($A$47-D$42)*DCF!E$67)))+DCF!F$18/((1+($A$47-($A$47-D$42)*DCF!B$67))*(1+($A$47-($A$47-D$42)*DCF!C$67))*(1+($A$47-($A$47-D$42)*DCF!D$67))*(1+($A$47-($A$47-D$42)*DCF!E$67))*(1+($A$47-($A$47-D$42)*DCF!F$67)))+DCF!F$13*(1+Assumptions!$C$66)*(1-DCF!$B$28)/(D$42-Assumptions!$C$66)/((1+($A$47-($A$47-D$42)*DCF!B$67))*(1+($A$47-($A$47-D$42)*DCF!C$67))*(1+($A$47-($A$47-D$42)*DCF!D$67))*(1+($A$47-($A$47-D$42)*DCF!E$67))*(1+($A$47-($A$47-D$42)*DCF!F$67))))*(1-Assumptions!$C$70)/Assumptions!$C$6-DCF!$B$49/Assumptions!$C$6</f>
        <v/>
      </c>
      <c r="E47" s="20">
        <f>(DCF!B$18/((1+($A$47-($A$47-E$42)*DCF!B$67)))+DCF!C$18/((1+($A$47-($A$47-E$42)*DCF!B$67))*(1+($A$47-($A$47-E$42)*DCF!C$67)))+DCF!D$18/((1+($A$47-($A$47-E$42)*DCF!B$67))*(1+($A$47-($A$47-E$42)*DCF!C$67))*(1+($A$47-($A$47-E$42)*DCF!D$67)))+DCF!E$18/((1+($A$47-($A$47-E$42)*DCF!B$67))*(1+($A$47-($A$47-E$42)*DCF!C$67))*(1+($A$47-($A$47-E$42)*DCF!D$67))*(1+($A$47-($A$47-E$42)*DCF!E$67)))+DCF!F$18/((1+($A$47-($A$47-E$42)*DCF!B$67))*(1+($A$47-($A$47-E$42)*DCF!C$67))*(1+($A$47-($A$47-E$42)*DCF!D$67))*(1+($A$47-($A$47-E$42)*DCF!E$67))*(1+($A$47-($A$47-E$42)*DCF!F$67)))+DCF!F$13*(1+Assumptions!$C$66)*(1-DCF!$B$28)/(E$42-Assumptions!$C$66)/((1+($A$47-($A$47-E$42)*DCF!B$67))*(1+($A$47-($A$47-E$42)*DCF!C$67))*(1+($A$47-($A$47-E$42)*DCF!D$67))*(1+($A$47-($A$47-E$42)*DCF!E$67))*(1+($A$47-($A$47-E$42)*DCF!F$67))))*(1-Assumptions!$C$70)/Assumptions!$C$6-DCF!$B$49/Assumptions!$C$6</f>
        <v/>
      </c>
      <c r="F47" s="20">
        <f>(DCF!B$18/((1+($A$47-($A$47-F$42)*DCF!B$67)))+DCF!C$18/((1+($A$47-($A$47-F$42)*DCF!B$67))*(1+($A$47-($A$47-F$42)*DCF!C$67)))+DCF!D$18/((1+($A$47-($A$47-F$42)*DCF!B$67))*(1+($A$47-($A$47-F$42)*DCF!C$67))*(1+($A$47-($A$47-F$42)*DCF!D$67)))+DCF!E$18/((1+($A$47-($A$47-F$42)*DCF!B$67))*(1+($A$47-($A$47-F$42)*DCF!C$67))*(1+($A$47-($A$47-F$42)*DCF!D$67))*(1+($A$47-($A$47-F$42)*DCF!E$67)))+DCF!F$18/((1+($A$47-($A$47-F$42)*DCF!B$67))*(1+($A$47-($A$47-F$42)*DCF!C$67))*(1+($A$47-($A$47-F$42)*DCF!D$67))*(1+($A$47-($A$47-F$42)*DCF!E$67))*(1+($A$47-($A$47-F$42)*DCF!F$67)))+DCF!F$13*(1+Assumptions!$C$66)*(1-DCF!$B$28)/(F$42-Assumptions!$C$66)/((1+($A$47-($A$47-F$42)*DCF!B$67))*(1+($A$47-($A$47-F$42)*DCF!C$67))*(1+($A$47-($A$47-F$42)*DCF!D$67))*(1+($A$47-($A$47-F$42)*DCF!E$67))*(1+($A$47-($A$47-F$42)*DCF!F$67))))*(1-Assumptions!$C$70)/Assumptions!$C$6-DCF!$B$49/Assumptions!$C$6</f>
        <v/>
      </c>
    </row>
    <row r="48"/>
    <row r="49">
      <c r="A49" s="7" t="inlineStr">
        <is>
          <t>Check: the centre cell must reproduce the base case</t>
        </is>
      </c>
      <c r="D49" s="25">
        <f>D45-'EV Bridge'!$B$12</f>
        <v/>
      </c>
    </row>
    <row r="50"/>
    <row r="51">
      <c r="A51" s="5" t="inlineStr">
        <is>
          <t>WHOLE-MODEL RE-RUNS — PASTED, and these do NOT redraw</t>
        </is>
      </c>
      <c r="B51" s="6" t="n"/>
      <c r="C51" s="6" t="n"/>
      <c r="D51" s="6" t="n"/>
      <c r="E51" s="6" t="n"/>
      <c r="F51" s="6" t="n"/>
      <c r="G51" s="6" t="n"/>
      <c r="H51" s="6" t="n"/>
      <c r="I51" s="6" t="n"/>
    </row>
    <row r="52" ht="28" customHeight="1">
      <c r="A52" s="21" t="inlineStr">
        <is>
          <t>The sweeps below change REVENUE, so each cell needs the three-line product build re-run from the top. They are complete revaluations and are the one class of cell on this sheet that cannot be a formula.</t>
        </is>
      </c>
    </row>
    <row r="53">
      <c r="A53" s="13" t="inlineStr">
        <is>
          <t>Margin ratio (specialty over fuel)</t>
        </is>
      </c>
      <c r="B53" s="29" t="n">
        <v>-0.01</v>
      </c>
      <c r="C53" s="29" t="n">
        <v>-0.005</v>
      </c>
      <c r="D53" s="29" t="n">
        <v>0</v>
      </c>
      <c r="E53" s="29" t="n">
        <v>0.005</v>
      </c>
      <c r="F53" s="29" t="n">
        <v>0.01</v>
      </c>
    </row>
    <row r="54">
      <c r="A54" s="7" t="inlineStr">
        <is>
          <t>Fair value</t>
        </is>
      </c>
      <c r="B54" s="22" t="n">
        <v>7.376368355511639</v>
      </c>
      <c r="C54" s="22" t="n">
        <v>8.387952063134712</v>
      </c>
      <c r="D54" s="22" t="n">
        <v>9.399535770757785</v>
      </c>
      <c r="E54" s="22" t="n">
        <v>10.41111947838086</v>
      </c>
      <c r="F54" s="22" t="n">
        <v>11.42270318600393</v>
      </c>
    </row>
    <row r="55"/>
    <row r="56">
      <c r="A56" s="13" t="inlineStr">
        <is>
          <t>Volume growth multiplier</t>
        </is>
      </c>
      <c r="B56" s="29" t="n">
        <v>0</v>
      </c>
      <c r="C56" s="29" t="n">
        <v>0.5</v>
      </c>
      <c r="D56" s="29" t="n">
        <v>1</v>
      </c>
      <c r="E56" s="29" t="n">
        <v>1.5</v>
      </c>
      <c r="F56" s="29" t="n">
        <v>2</v>
      </c>
    </row>
    <row r="57">
      <c r="A57" s="7" t="inlineStr">
        <is>
          <t>Fair value</t>
        </is>
      </c>
      <c r="B57" s="22" t="n">
        <v>8.040394454192397</v>
      </c>
      <c r="C57" s="22" t="n">
        <v>8.69089639724986</v>
      </c>
      <c r="D57" s="22" t="n">
        <v>9.399535770757785</v>
      </c>
      <c r="E57" s="22" t="n">
        <v>10.17033825671128</v>
      </c>
      <c r="F57" s="22" t="n">
        <v>11.00751599858174</v>
      </c>
    </row>
    <row r="58"/>
    <row r="59">
      <c r="A59" s="13" t="inlineStr">
        <is>
          <t>Exchange-rate path multiplier</t>
        </is>
      </c>
      <c r="B59" s="29" t="n">
        <v>0.9</v>
      </c>
      <c r="C59" s="29" t="n">
        <v>0.95</v>
      </c>
      <c r="D59" s="29" t="n">
        <v>1</v>
      </c>
      <c r="E59" s="29" t="n">
        <v>1.05</v>
      </c>
      <c r="F59" s="29" t="n">
        <v>1.1</v>
      </c>
    </row>
    <row r="60">
      <c r="A60" s="7" t="inlineStr">
        <is>
          <t>Fair value</t>
        </is>
      </c>
      <c r="B60" s="22" t="n">
        <v>8.666540392073383</v>
      </c>
      <c r="C60" s="22" t="n">
        <v>9.033038081415583</v>
      </c>
      <c r="D60" s="22" t="n">
        <v>9.399535770757785</v>
      </c>
      <c r="E60" s="22" t="n">
        <v>9.766033460099989</v>
      </c>
      <c r="F60" s="22" t="n">
        <v>10.13253114944219</v>
      </c>
    </row>
    <row r="61"/>
    <row r="62">
      <c r="A62" s="13" t="inlineStr">
        <is>
          <t>Net working capital, % of revenue</t>
        </is>
      </c>
      <c r="B62" s="30" t="n">
        <v>0</v>
      </c>
      <c r="C62" s="30" t="n">
        <v>0.01</v>
      </c>
      <c r="D62" s="30" t="n">
        <v>0.02021314135515365</v>
      </c>
      <c r="E62" s="30" t="n">
        <v>0.03</v>
      </c>
      <c r="F62" s="30" t="n">
        <v>0.05</v>
      </c>
    </row>
    <row r="63">
      <c r="A63" s="7" t="inlineStr">
        <is>
          <t>Fair value</t>
        </is>
      </c>
      <c r="B63" s="22" t="n">
        <v>9.754139749992664</v>
      </c>
      <c r="C63" s="22" t="n">
        <v>9.578707355292437</v>
      </c>
      <c r="D63" s="22" t="n">
        <v>9.399535770757785</v>
      </c>
      <c r="E63" s="22" t="n">
        <v>9.227842565891986</v>
      </c>
      <c r="F63" s="22" t="n">
        <v>8.876977776491534</v>
      </c>
    </row>
  </sheetData>
  <mergeCells count="3">
    <mergeCell ref="A52:I52"/>
    <mergeCell ref="A20:I20"/>
    <mergeCell ref="A38:I3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Per-share figures and ratios — every cell a formula</t>
        </is>
      </c>
      <c r="B1" s="2" t="n"/>
      <c r="C1" s="2" t="n"/>
      <c r="D1" s="2" t="n"/>
      <c r="E1" s="2" t="n"/>
      <c r="F1" s="2" t="n"/>
      <c r="G1" s="2" t="n"/>
      <c r="H1" s="2" t="n"/>
      <c r="I1" s="2" t="n"/>
      <c r="J1" s="2" t="n"/>
      <c r="K1" s="2" t="n"/>
    </row>
    <row r="2"/>
    <row r="3"/>
    <row r="4">
      <c r="A4" s="12" t="inlineStr"/>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Earnings per share (EGP)</t>
        </is>
      </c>
      <c r="B5" s="20">
        <f>'Income Statement'!B20</f>
        <v/>
      </c>
      <c r="C5" s="20">
        <f>'Income Statement'!C20</f>
        <v/>
      </c>
      <c r="D5" s="20">
        <f>'Income Statement'!D20</f>
        <v/>
      </c>
      <c r="E5" s="20">
        <f>'Income Statement'!E20</f>
        <v/>
      </c>
      <c r="F5" s="20">
        <f>'Income Statement'!F20</f>
        <v/>
      </c>
      <c r="G5" s="20">
        <f>'Income Statement'!G20</f>
        <v/>
      </c>
      <c r="H5" s="20">
        <f>'Income Statement'!H20</f>
        <v/>
      </c>
      <c r="I5" s="20">
        <f>'Income Statement'!I20</f>
        <v/>
      </c>
      <c r="J5" s="20">
        <f>'Income Statement'!J20</f>
        <v/>
      </c>
    </row>
    <row r="6">
      <c r="A6" s="7" t="inlineStr">
        <is>
          <t>Book value per share (EGP)</t>
        </is>
      </c>
      <c r="B6" s="20">
        <f>'Balance Sheet'!B20/Assumptions!$C$6</f>
        <v/>
      </c>
      <c r="C6" s="20">
        <f>'Balance Sheet'!C20/Assumptions!$C$6</f>
        <v/>
      </c>
      <c r="D6" s="20">
        <f>'Balance Sheet'!D20/Assumptions!$C$6</f>
        <v/>
      </c>
      <c r="E6" s="20">
        <f>'Balance Sheet'!E20/Assumptions!$C$6</f>
        <v/>
      </c>
      <c r="F6" s="20">
        <f>'Balance Sheet'!F20/Assumptions!$C$6</f>
        <v/>
      </c>
      <c r="G6" s="20">
        <f>'Balance Sheet'!G20/Assumptions!$C$6</f>
        <v/>
      </c>
      <c r="H6" s="20">
        <f>'Balance Sheet'!H20/Assumptions!$C$6</f>
        <v/>
      </c>
      <c r="I6" s="20">
        <f>'Balance Sheet'!I20/Assumptions!$C$6</f>
        <v/>
      </c>
      <c r="J6" s="20">
        <f>'Balance Sheet'!J20/Assumptions!$C$6</f>
        <v/>
      </c>
    </row>
    <row r="7">
      <c r="A7" s="7" t="inlineStr">
        <is>
          <t>Net cash per share (EGP)</t>
        </is>
      </c>
      <c r="B7" s="20">
        <f>0-'Balance Sheet'!B27/Assumptions!$C$6</f>
        <v/>
      </c>
      <c r="C7" s="20">
        <f>0-'Balance Sheet'!C27/Assumptions!$C$6</f>
        <v/>
      </c>
      <c r="D7" s="20">
        <f>0-'Balance Sheet'!D27/Assumptions!$C$6</f>
        <v/>
      </c>
      <c r="E7" s="20">
        <f>0-'Balance Sheet'!E27/Assumptions!$C$6</f>
        <v/>
      </c>
      <c r="F7" s="20">
        <f>0-'Balance Sheet'!F27/Assumptions!$C$6</f>
        <v/>
      </c>
      <c r="G7" s="20">
        <f>0-'Balance Sheet'!G27/Assumptions!$C$6</f>
        <v/>
      </c>
      <c r="H7" s="20">
        <f>0-'Balance Sheet'!H27/Assumptions!$C$6</f>
        <v/>
      </c>
      <c r="I7" s="20">
        <f>0-'Balance Sheet'!I27/Assumptions!$C$6</f>
        <v/>
      </c>
      <c r="J7" s="20">
        <f>0-'Balance Sheet'!J27/Assumptions!$C$6</f>
        <v/>
      </c>
    </row>
    <row r="8">
      <c r="A8" s="7" t="inlineStr">
        <is>
          <t>EBITDA margin</t>
        </is>
      </c>
      <c r="B8" s="16">
        <f>'Income Statement'!B9/'Income Statement'!B5</f>
        <v/>
      </c>
      <c r="C8" s="16">
        <f>'Income Statement'!C9/'Income Statement'!C5</f>
        <v/>
      </c>
      <c r="D8" s="16">
        <f>'Income Statement'!D9/'Income Statement'!D5</f>
        <v/>
      </c>
      <c r="E8" s="16">
        <f>'Income Statement'!E9/'Income Statement'!E5</f>
        <v/>
      </c>
      <c r="F8" s="16">
        <f>'Income Statement'!F9/'Income Statement'!F5</f>
        <v/>
      </c>
      <c r="G8" s="16">
        <f>'Income Statement'!G9/'Income Statement'!G5</f>
        <v/>
      </c>
      <c r="H8" s="16">
        <f>'Income Statement'!H9/'Income Statement'!H5</f>
        <v/>
      </c>
      <c r="I8" s="16">
        <f>'Income Statement'!I9/'Income Statement'!I5</f>
        <v/>
      </c>
      <c r="J8" s="16">
        <f>'Income Statement'!J9/'Income Statement'!J5</f>
        <v/>
      </c>
    </row>
    <row r="9">
      <c r="A9" s="7" t="inlineStr">
        <is>
          <t>Return on average equity</t>
        </is>
      </c>
      <c r="C9" s="16">
        <f>'Income Statement'!C19/(('Balance Sheet'!B20+'Balance Sheet'!C20)/2)</f>
        <v/>
      </c>
      <c r="D9" s="16">
        <f>'Income Statement'!D19/(('Balance Sheet'!C20+'Balance Sheet'!D20)/2)</f>
        <v/>
      </c>
      <c r="E9" s="16">
        <f>'Income Statement'!E19/(('Balance Sheet'!D20+'Balance Sheet'!E20)/2)</f>
        <v/>
      </c>
      <c r="F9" s="16">
        <f>'Income Statement'!F19/(('Balance Sheet'!E20+'Balance Sheet'!F20)/2)</f>
        <v/>
      </c>
      <c r="G9" s="16">
        <f>'Income Statement'!G19/(('Balance Sheet'!F20+'Balance Sheet'!G20)/2)</f>
        <v/>
      </c>
      <c r="H9" s="16">
        <f>'Income Statement'!H19/(('Balance Sheet'!G20+'Balance Sheet'!H20)/2)</f>
        <v/>
      </c>
      <c r="I9" s="16">
        <f>'Income Statement'!I19/(('Balance Sheet'!H20+'Balance Sheet'!I20)/2)</f>
        <v/>
      </c>
      <c r="J9" s="16">
        <f>'Income Statement'!J19/(('Balance Sheet'!I20+'Balance Sheet'!J20)/2)</f>
        <v/>
      </c>
    </row>
    <row r="10">
      <c r="A10" s="7" t="inlineStr">
        <is>
          <t>Asset turnover (revenue / total assets)</t>
        </is>
      </c>
      <c r="B10" s="46">
        <f>'Income Statement'!B5/'Balance Sheet'!B14</f>
        <v/>
      </c>
      <c r="C10" s="46">
        <f>'Income Statement'!C5/'Balance Sheet'!C14</f>
        <v/>
      </c>
      <c r="D10" s="46">
        <f>'Income Statement'!D5/'Balance Sheet'!D14</f>
        <v/>
      </c>
      <c r="E10" s="46">
        <f>'Income Statement'!E5/'Balance Sheet'!E14</f>
        <v/>
      </c>
      <c r="F10" s="46">
        <f>'Income Statement'!F5/'Balance Sheet'!F14</f>
        <v/>
      </c>
      <c r="G10" s="46">
        <f>'Income Statement'!G5/'Balance Sheet'!G14</f>
        <v/>
      </c>
      <c r="H10" s="46">
        <f>'Income Statement'!H5/'Balance Sheet'!H14</f>
        <v/>
      </c>
      <c r="I10" s="46">
        <f>'Income Statement'!I5/'Balance Sheet'!I14</f>
        <v/>
      </c>
      <c r="J10" s="46">
        <f>'Income Statement'!J5/'Balance Sheet'!J14</f>
        <v/>
      </c>
    </row>
    <row r="11">
      <c r="A11" s="7" t="inlineStr">
        <is>
          <t>Net working capital days</t>
        </is>
      </c>
      <c r="B11" s="35">
        <f>'Balance Sheet'!B25/'Income Statement'!B5*365</f>
        <v/>
      </c>
      <c r="C11" s="35">
        <f>'Balance Sheet'!C25/'Income Statement'!C5*365</f>
        <v/>
      </c>
      <c r="D11" s="35">
        <f>'Balance Sheet'!D25/'Income Statement'!D5*365</f>
        <v/>
      </c>
      <c r="E11" s="35">
        <f>'Balance Sheet'!E25/'Income Statement'!E5*365</f>
        <v/>
      </c>
      <c r="F11" s="35">
        <f>'Balance Sheet'!F25/'Income Statement'!F5*365</f>
        <v/>
      </c>
      <c r="G11" s="35">
        <f>'Balance Sheet'!G25/'Income Statement'!G5*365</f>
        <v/>
      </c>
      <c r="H11" s="35">
        <f>'Balance Sheet'!H25/'Income Statement'!H5*365</f>
        <v/>
      </c>
      <c r="I11" s="35">
        <f>'Balance Sheet'!I25/'Income Statement'!I5*365</f>
        <v/>
      </c>
      <c r="J11" s="35">
        <f>'Balance Sheet'!J25/'Income Statement'!J5*365</f>
        <v/>
      </c>
    </row>
    <row r="12">
      <c r="A12" s="7" t="inlineStr">
        <is>
          <t>Dividend per share (EGP)</t>
        </is>
      </c>
      <c r="B12" s="8">
        <f>Assumptions!$C$52</f>
        <v/>
      </c>
      <c r="C12" s="8">
        <f>Assumptions!$C$52</f>
        <v/>
      </c>
      <c r="D12" s="8">
        <f>Assumptions!$C$52</f>
        <v/>
      </c>
      <c r="E12" s="8">
        <f>Assumptions!$C$52</f>
        <v/>
      </c>
      <c r="F12" s="20">
        <f>'Cash Flow'!B18/Assumptions!$C$6</f>
        <v/>
      </c>
      <c r="G12" s="20">
        <f>'Cash Flow'!C18/Assumptions!$C$6</f>
        <v/>
      </c>
      <c r="H12" s="20">
        <f>'Cash Flow'!D18/Assumptions!$C$6</f>
        <v/>
      </c>
      <c r="I12" s="20">
        <f>'Cash Flow'!E18/Assumptions!$C$6</f>
        <v/>
      </c>
      <c r="J12" s="20">
        <f>'Cash Flow'!F18/Assumptions!$C$6</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Peer and sector context — refining and lubricant base oils</t>
        </is>
      </c>
      <c r="B1" s="2" t="n"/>
      <c r="C1" s="2" t="n"/>
      <c r="D1" s="2" t="n"/>
      <c r="E1" s="2" t="n"/>
      <c r="F1" s="2" t="n"/>
      <c r="G1" s="2" t="n"/>
    </row>
    <row r="2"/>
    <row r="3"/>
    <row r="4">
      <c r="A4" s="12" t="inlineStr">
        <is>
          <t>Comparator basis</t>
        </is>
      </c>
      <c r="B4" s="12" t="inlineStr">
        <is>
          <t>Multiple</t>
        </is>
      </c>
      <c r="C4" s="12" t="inlineStr">
        <is>
          <t>Applied to (EGP mn)</t>
        </is>
      </c>
      <c r="D4" s="12" t="inlineStr">
        <is>
          <t>Implied value (EGP/share)</t>
        </is>
      </c>
    </row>
    <row r="5">
      <c r="A5" s="7" t="inlineStr">
        <is>
          <t>Company trailing enterprise value / EBITDA (computed)</t>
        </is>
      </c>
      <c r="B5" s="19">
        <f>'Relative &amp; Normalized'!$B$13</f>
        <v/>
      </c>
      <c r="C5" s="18">
        <f>DCF!C9</f>
        <v/>
      </c>
      <c r="D5" s="20">
        <f>B5*C5*DCF!C19*(1-Assumptions!$C$70)/Assumptions!$C$6-DCF!$B$49/Assumptions!$C$6</f>
        <v/>
      </c>
    </row>
    <row r="6">
      <c r="A6" s="7" t="inlineStr">
        <is>
          <t>Justified enterprise value / EBITDA (adopted)</t>
        </is>
      </c>
      <c r="B6" s="19">
        <f>Assumptions!$C$72</f>
        <v/>
      </c>
      <c r="C6" s="18">
        <f>DCF!C9</f>
        <v/>
      </c>
      <c r="D6" s="20">
        <f>B6*C6*DCF!C19*(1-Assumptions!$C$70)/Assumptions!$C$6-DCF!$B$49/Assumptions!$C$6</f>
        <v/>
      </c>
    </row>
    <row r="7">
      <c r="A7" s="7" t="inlineStr">
        <is>
          <t>House low bound — NOT a peer observation</t>
        </is>
      </c>
      <c r="B7" s="19">
        <f>Assumptions!$C$73</f>
        <v/>
      </c>
      <c r="C7" s="18">
        <f>DCF!C9</f>
        <v/>
      </c>
      <c r="D7" s="20">
        <f>B7*C7*DCF!C19*(1-Assumptions!$C$70)/Assumptions!$C$6-DCF!$B$49/Assumptions!$C$6</f>
        <v/>
      </c>
    </row>
    <row r="8">
      <c r="A8" s="7" t="inlineStr">
        <is>
          <t>House high bound — NOT a peer observation</t>
        </is>
      </c>
      <c r="B8" s="19">
        <f>Assumptions!$C$74</f>
        <v/>
      </c>
      <c r="C8" s="18">
        <f>DCF!C9</f>
        <v/>
      </c>
      <c r="D8" s="20">
        <f>B8*C8*DCF!C19*(1-Assumptions!$C$70)/Assumptions!$C$6-DCF!$B$49/Assumptions!$C$6</f>
        <v/>
      </c>
    </row>
    <row r="9"/>
    <row r="10">
      <c r="A10" s="5" t="inlineStr">
        <is>
          <t>SECTOR INDICATORS — WHAT ACTUALLY DRIVES A PROCESSOR</t>
        </is>
      </c>
      <c r="B10" s="6" t="n"/>
      <c r="C10" s="6" t="n"/>
      <c r="D10" s="6" t="n"/>
      <c r="E10" s="6" t="n"/>
      <c r="F10" s="6" t="n"/>
      <c r="G10" s="6" t="n"/>
    </row>
    <row r="11">
      <c r="A11" s="12" t="inlineStr">
        <is>
          <t>Indicator</t>
        </is>
      </c>
      <c r="B11" s="12" t="inlineStr">
        <is>
          <t>2026E</t>
        </is>
      </c>
      <c r="C11" s="12" t="inlineStr">
        <is>
          <t>2027E</t>
        </is>
      </c>
      <c r="D11" s="12" t="inlineStr">
        <is>
          <t>2028E</t>
        </is>
      </c>
      <c r="E11" s="12" t="inlineStr">
        <is>
          <t>2029E</t>
        </is>
      </c>
      <c r="F11" s="12" t="inlineStr">
        <is>
          <t>2030E</t>
        </is>
      </c>
    </row>
    <row r="12">
      <c r="A12" s="7" t="inlineStr">
        <is>
          <t>Throughput (mn tonnes)</t>
        </is>
      </c>
      <c r="B12" s="38">
        <f>'Product Lines'!C54</f>
        <v/>
      </c>
      <c r="C12" s="38">
        <f>'Product Lines'!D54</f>
        <v/>
      </c>
      <c r="D12" s="38">
        <f>'Product Lines'!E54</f>
        <v/>
      </c>
      <c r="E12" s="38">
        <f>'Product Lines'!F54</f>
        <v/>
      </c>
      <c r="F12" s="38">
        <f>'Product Lines'!G54</f>
        <v/>
      </c>
    </row>
    <row r="13">
      <c r="A13" s="7" t="inlineStr">
        <is>
          <t>EBITDA per tonne (EGP)</t>
        </is>
      </c>
      <c r="B13" s="17">
        <f>DCF!B9/'Product Lines'!C54</f>
        <v/>
      </c>
      <c r="C13" s="17">
        <f>DCF!C9/'Product Lines'!D54</f>
        <v/>
      </c>
      <c r="D13" s="17">
        <f>DCF!D9/'Product Lines'!E54</f>
        <v/>
      </c>
      <c r="E13" s="17">
        <f>DCF!E9/'Product Lines'!F54</f>
        <v/>
      </c>
      <c r="F13" s="17">
        <f>DCF!F9/'Product Lines'!G54</f>
        <v/>
      </c>
    </row>
    <row r="14">
      <c r="A14" s="7" t="inlineStr">
        <is>
          <t>Specialty share of revenue</t>
        </is>
      </c>
      <c r="B14" s="16">
        <f>'Product Lines'!C51</f>
        <v/>
      </c>
      <c r="C14" s="16">
        <f>'Product Lines'!D51</f>
        <v/>
      </c>
      <c r="D14" s="16">
        <f>'Product Lines'!E51</f>
        <v/>
      </c>
      <c r="E14" s="16">
        <f>'Product Lines'!F51</f>
        <v/>
      </c>
      <c r="F14" s="16">
        <f>'Product Lines'!G51</f>
        <v/>
      </c>
    </row>
    <row r="15">
      <c r="A15" s="7" t="inlineStr">
        <is>
          <t>Gross profit per tonne (EGP)</t>
        </is>
      </c>
      <c r="B15" s="17">
        <f>DCF!B7/'Product Lines'!C54</f>
        <v/>
      </c>
      <c r="C15" s="17">
        <f>DCF!C7/'Product Lines'!D54</f>
        <v/>
      </c>
      <c r="D15" s="17">
        <f>DCF!D7/'Product Lines'!E54</f>
        <v/>
      </c>
      <c r="E15" s="17">
        <f>DCF!E7/'Product Lines'!F54</f>
        <v/>
      </c>
      <c r="F15" s="17">
        <f>DCF!F7/'Product Lines'!G54</f>
        <v/>
      </c>
    </row>
    <row r="16">
      <c r="A16" s="7" t="inlineStr">
        <is>
          <t>Capital expenditure per tonne (EGP)</t>
        </is>
      </c>
      <c r="B16" s="17">
        <f>DCF!B15/'Product Lines'!C54</f>
        <v/>
      </c>
      <c r="C16" s="17">
        <f>DCF!C15/'Product Lines'!D54</f>
        <v/>
      </c>
      <c r="D16" s="17">
        <f>DCF!D15/'Product Lines'!E54</f>
        <v/>
      </c>
      <c r="E16" s="17">
        <f>DCF!E15/'Product Lines'!F54</f>
        <v/>
      </c>
      <c r="F16" s="17">
        <f>DCF!F15/'Product Lines'!G54</f>
        <v/>
      </c>
    </row>
    <row r="17"/>
    <row r="18" ht="28" customHeight="1">
      <c r="A18" s="21" t="inlineStr">
        <is>
          <t>A refinery is not valued on revenue growth. The indicators that matter are throughput, the margin earned on each tonne, the share of that tonnage in the high-value specialty slate, and the capital needed to keep the plant running — all four are on this sheet and all four are formulas.</t>
        </is>
      </c>
    </row>
  </sheetData>
  <mergeCells count="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2026-08-06T16:24:43Z</dcterms:created>
  <dcterms:modified xmlns:dcterms="http://purl.org/dc/terms/" xmlns:xsi="http://www.w3.org/2001/XMLSchema-instance" xsi:type="dcterms:W3CDTF">2026-08-06T16:24:43Z</dcterms:modified>
</cp:coreProperties>
</file>