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EV Bridge" sheetId="5" state="visible" r:id="rId5"/>
    <sheet xmlns:r="http://schemas.openxmlformats.org/officeDocument/2006/relationships" name="Product Leg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quot;-&quot;"/>
    <numFmt numFmtId="166" formatCode="#,##0;(#,##0);&quot;-&quot;"/>
    <numFmt numFmtId="167" formatCode="#,##0.000"/>
    <numFmt numFmtId="168" formatCode="0.000"/>
    <numFmt numFmtId="169" formatCode="0.0%;(0.0%);&quot;-&quot;"/>
    <numFmt numFmtId="170" formatCode="0.00x"/>
    <numFmt numFmtId="171" formatCode="0.0000"/>
  </numFmts>
  <fonts count="12">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
      <b val="1"/>
      <sz val="1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11" fillId="0" borderId="0" pivotButton="0" quotePrefix="0" xfId="0"/>
    <xf numFmtId="0" fontId="4" fillId="3" borderId="0" pivotButton="0" quotePrefix="0" xfId="0"/>
    <xf numFmtId="0" fontId="3" fillId="3" borderId="0" pivotButton="0" quotePrefix="0" xfId="0"/>
    <xf numFmtId="0" fontId="5" fillId="0" borderId="0" pivotButton="0" quotePrefix="0" xfId="0"/>
    <xf numFmtId="164" fontId="7" fillId="0" borderId="0" pivotButton="0" quotePrefix="0" xfId="0"/>
    <xf numFmtId="169" fontId="7" fillId="0" borderId="0" pivotButton="0" quotePrefix="0" xfId="0"/>
    <xf numFmtId="10" fontId="7" fillId="0" borderId="0" pivotButton="0" quotePrefix="0" xfId="0"/>
    <xf numFmtId="0" fontId="2" fillId="0" borderId="0" pivotButton="0" quotePrefix="0" xfId="0"/>
    <xf numFmtId="0" fontId="3" fillId="4" borderId="0" pivotButton="0" quotePrefix="0" xfId="0"/>
    <xf numFmtId="0" fontId="4" fillId="0" borderId="0" pivotButton="0" quotePrefix="0" xfId="0"/>
    <xf numFmtId="164" fontId="4" fillId="0" borderId="0" pivotButton="0" quotePrefix="0" xfId="0"/>
    <xf numFmtId="169" fontId="4" fillId="0" borderId="0" pivotButton="0" quotePrefix="0" xfId="0"/>
    <xf numFmtId="169" fontId="5" fillId="0" borderId="0" pivotButton="0" quotePrefix="0" xfId="0"/>
    <xf numFmtId="166" fontId="5" fillId="0" borderId="0" pivotButton="0" quotePrefix="0" xfId="0"/>
    <xf numFmtId="166" fontId="7" fillId="0" borderId="0" pivotButton="0" quotePrefix="0" xfId="0"/>
    <xf numFmtId="170" fontId="7" fillId="0" borderId="0" pivotButton="0" quotePrefix="0" xfId="0"/>
    <xf numFmtId="164" fontId="5" fillId="0" borderId="0" pivotButton="0" quotePrefix="0" xfId="0"/>
    <xf numFmtId="0" fontId="2" fillId="0" borderId="0" applyAlignment="1" pivotButton="0" quotePrefix="0" xfId="0">
      <alignment vertical="top" wrapText="1"/>
    </xf>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2" fontId="6" fillId="0" borderId="0" pivotButton="0" quotePrefix="0" xfId="0"/>
    <xf numFmtId="10"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4" fillId="0" borderId="0" pivotButton="0" quotePrefix="0" xfId="0"/>
    <xf numFmtId="165" fontId="7" fillId="0" borderId="0" pivotButton="0" quotePrefix="0" xfId="0"/>
    <xf numFmtId="169" fontId="8" fillId="0" borderId="0" pivotButton="0" quotePrefix="0" xfId="0"/>
    <xf numFmtId="167" fontId="5" fillId="0" borderId="0" pivotButton="0" quotePrefix="0" xfId="0"/>
    <xf numFmtId="171" fontId="7" fillId="0" borderId="0" pivotButton="0" quotePrefix="0" xfId="0"/>
    <xf numFmtId="170" fontId="5" fillId="0" borderId="0" pivotButton="0" quotePrefix="0" xfId="0"/>
    <xf numFmtId="171" fontId="5" fillId="0" borderId="0" pivotButton="0" quotePrefix="0" xfId="0"/>
    <xf numFmtId="164" fontId="8" fillId="0" borderId="0" pivotButton="0" quotePrefix="0" xfId="0"/>
    <xf numFmtId="10" fontId="5" fillId="0" borderId="0" pivotButton="0" quotePrefix="0" xfId="0"/>
    <xf numFmtId="168" fontId="7" fillId="0" borderId="0" pivotButton="0" quotePrefix="0" xfId="0"/>
    <xf numFmtId="10" fontId="4" fillId="0" borderId="0" pivotButton="0" quotePrefix="0" xfId="0"/>
    <xf numFmtId="168" fontId="5" fillId="0" borderId="0" pivotButton="0" quotePrefix="0" xfId="0"/>
    <xf numFmtId="166" fontId="9" fillId="0" borderId="0" pivotButton="0" quotePrefix="0" xfId="0"/>
    <xf numFmtId="0" fontId="6" fillId="0" borderId="0" pivotButton="0" quotePrefix="0" xfId="0"/>
    <xf numFmtId="10" fontId="9" fillId="0" borderId="0" pivotButton="0" quotePrefix="0" xfId="0"/>
    <xf numFmtId="165" fontId="5" fillId="0" borderId="0" pivotButton="0" quotePrefix="0" xfId="0"/>
    <xf numFmtId="167"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10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Testahil — Alexandria Mineral Oils Company S.A.E. (EGX: AMOC)</t>
        </is>
      </c>
      <c r="B1" s="2" t="n"/>
      <c r="C1" s="2" t="n"/>
      <c r="D1" s="2" t="n"/>
      <c r="E1" s="2" t="n"/>
      <c r="F1" s="2" t="n"/>
      <c r="G1" s="2" t="n"/>
      <c r="H1" s="2" t="n"/>
      <c r="I1" s="2" t="n"/>
    </row>
    <row r="2"/>
    <row r="3"/>
    <row r="4">
      <c r="A4" s="3" t="inlineStr">
        <is>
          <t>Companion model · Independent valuation study · Educational analysis · Not investment advice</t>
        </is>
      </c>
    </row>
    <row r="5">
      <c r="A5" s="3" t="inlineStr"/>
    </row>
    <row r="6">
      <c r="A6" s="3" t="inlineStr">
        <is>
          <t>WHAT THIS WORKBOOK IS. A transparent companion to the AMOC valuation study. Blue cells are inputs;</t>
        </is>
      </c>
    </row>
    <row r="7">
      <c r="A7" s="3" t="inlineStr">
        <is>
          <t>black cells are formulas; green cells link across sheets.</t>
        </is>
      </c>
    </row>
    <row r="8">
      <c r="A8" s="3" t="inlineStr"/>
    </row>
    <row r="9">
      <c r="A9" s="3" t="inlineStr">
        <is>
          <t>IT CALCULATES — IT DOES NOT STORE. Every figure that can be derived arithmetically from a driver is a</t>
        </is>
      </c>
    </row>
    <row r="10">
      <c r="A10" s="3" t="inlineStr">
        <is>
          <t>live formula. Change a blue cell on Assumptions and the model reprices: the cost of equity is built from</t>
        </is>
      </c>
    </row>
    <row r="11">
      <c r="A11" s="3" t="inlineStr">
        <is>
          <t>the risk-free rate net of the sovereign default spread, beta and the equity risk premium; the cost of net</t>
        </is>
      </c>
    </row>
    <row r="12">
      <c r="A12" s="3" t="inlineStr">
        <is>
          <t>debt is blended from what the borrowing costs and what the cash earns; the glide fractions are derived</t>
        </is>
      </c>
    </row>
    <row r="13">
      <c r="A13" s="3" t="inlineStr">
        <is>
          <t>from the cost-of-debt path and the discount factors compound; the waterfall chains gross margin to EBITDA</t>
        </is>
      </c>
    </row>
    <row r="14">
      <c r="A14" s="3" t="inlineStr">
        <is>
          <t>to EBIT to NOPAT to free cash flow to present value; the terminal block chains reinvestment = growth over</t>
        </is>
      </c>
    </row>
    <row r="15">
      <c r="A15" s="3" t="inlineStr">
        <is>
          <t>return; the statements roll forward; and every ratio and per-share figure on every sheet is a formula.</t>
        </is>
      </c>
    </row>
    <row r="16">
      <c r="A16" s="3" t="inlineStr">
        <is>
          <t>This claim has been tested, not asserted: see the two gates named at the foot of this sheet.</t>
        </is>
      </c>
    </row>
    <row r="17">
      <c r="A17" s="3" t="inlineStr"/>
    </row>
    <row r="18">
      <c r="A18" s="4" t="inlineStr">
        <is>
          <t>ONLY TWO CLASSES OF CELL ARE PASTED, AND HERE THEY ARE.</t>
        </is>
      </c>
    </row>
    <row r="19">
      <c r="A19" s="3" t="inlineStr"/>
    </row>
    <row r="20">
      <c r="A20" s="3" t="inlineStr">
        <is>
          <t xml:space="preserve">  1. AUDITED AND DISCLOSED HISTORY — the primary record, not a calculation. Where a line is both</t>
        </is>
      </c>
    </row>
    <row r="21">
      <c r="A21" s="3" t="inlineStr">
        <is>
          <t xml:space="preserve">     disclosed and derivable, the disclosed figure is carried. After this workbook was rebuilt there are</t>
        </is>
      </c>
    </row>
    <row r="22">
      <c r="A22" s="3" t="inlineStr">
        <is>
          <t xml:space="preserve">     just EIGHT such cells outside the input register: the four historical profit-after-tax figures on the</t>
        </is>
      </c>
    </row>
    <row r="23">
      <c r="A23" s="3" t="inlineStr">
        <is>
          <t xml:space="preserve">     Income Statement, and the four observed peer multiples on Peer &amp; Sector. Everything else that was</t>
        </is>
      </c>
    </row>
    <row r="24">
      <c r="A24" s="3" t="inlineStr">
        <is>
          <t xml:space="preserve">     once pasted — the historical revenue line, the whole historical balance sheet, the property, plant</t>
        </is>
      </c>
    </row>
    <row r="25">
      <c r="A25" s="3" t="inlineStr">
        <is>
          <t xml:space="preserve">     and equipment residual — is now derived on the sheet from the disclosed inputs.</t>
        </is>
      </c>
    </row>
    <row r="26">
      <c r="A26" s="3" t="inlineStr"/>
    </row>
    <row r="27">
      <c r="A27" s="3" t="inlineStr">
        <is>
          <t xml:space="preserve">  2. WHOLE-MODEL RE-RUNS — the Monte Carlo price map and the sensitivity grids, and the bear and bull</t>
        </is>
      </c>
    </row>
    <row r="28">
      <c r="A28" s="3" t="inlineStr">
        <is>
          <t xml:space="preserve">     columns of the valuation. Each individual cell there is a complete revaluation of the entire model at</t>
        </is>
      </c>
    </row>
    <row r="29">
      <c r="A29" s="3" t="inlineStr">
        <is>
          <t xml:space="preserve">     a different set of drivers, which cannot be expressed as a formula inside a grid. THESE DO NOT REDRAW</t>
        </is>
      </c>
    </row>
    <row r="30">
      <c r="A30" s="3" t="inlineStr">
        <is>
          <t xml:space="preserve">     WHEN YOU CHANGE A DRIVER. Everything else does.</t>
        </is>
      </c>
    </row>
    <row r="31">
      <c r="A31" s="3" t="inlineStr"/>
    </row>
    <row r="32">
      <c r="A32" s="3" t="inlineStr">
        <is>
          <t>The standing rule permits a third pasted class — the output of a unit build too complex to flatten into a</t>
        </is>
      </c>
    </row>
    <row r="33">
      <c r="A33" s="3" t="inlineStr">
        <is>
          <t>spreadsheet grid. IT IS NOT USED HERE. AMOC's revenue build has two product legs, each a volume times a</t>
        </is>
      </c>
    </row>
    <row r="34">
      <c r="A34" s="3" t="inlineStr">
        <is>
          <t>dollar price times an exchange rate, and that fits on a sheet. See Product Legs: every cell of the revenue</t>
        </is>
      </c>
    </row>
    <row r="35">
      <c r="A35" s="3" t="inlineStr">
        <is>
          <t>build is live, including the base-year residual that prices the fuel leg.</t>
        </is>
      </c>
    </row>
    <row r="36">
      <c r="A36" s="3" t="inlineStr"/>
    </row>
    <row r="37">
      <c r="A37" s="3" t="inlineStr">
        <is>
          <t>HOW REVENUE IS BUILT. Not as one growth rate. Volume splits into a specialty leg — base oils, fully</t>
        </is>
      </c>
    </row>
    <row r="38">
      <c r="A38" s="3" t="inlineStr">
        <is>
          <t>refined paraffin wax, transformer and special oils — and a fuel and by-product leg. Each is priced in US</t>
        </is>
      </c>
    </row>
    <row r="39">
      <c r="A39" s="3" t="inlineStr">
        <is>
          <t>dollars a tonne and translated at an explicit exchange-rate path, because both legs price off dollar</t>
        </is>
      </c>
    </row>
    <row r="40">
      <c r="A40" s="3" t="inlineStr">
        <is>
          <t>product benchmarks even when sold domestically.</t>
        </is>
      </c>
    </row>
    <row r="41">
      <c r="A41" s="3" t="inlineStr"/>
    </row>
    <row r="42">
      <c r="A42" s="4" t="inlineStr">
        <is>
          <t>THREE THINGS TO KNOW BEFORE READING THE NUMBERS.</t>
        </is>
      </c>
    </row>
    <row r="43">
      <c r="A43" s="3" t="inlineStr"/>
    </row>
    <row r="44">
      <c r="A44" s="3" t="inlineStr">
        <is>
          <t xml:space="preserve">  · THE FINANCIAL YEAR CHANGED. The exchange approved a move from a 30 June year-end to 31 December.</t>
        </is>
      </c>
    </row>
    <row r="45">
      <c r="A45" s="3" t="inlineStr">
        <is>
          <t xml:space="preserve">    July-December 2025 is a six-month transition period. History is shown on the reported June years; the</t>
        </is>
      </c>
    </row>
    <row r="46">
      <c r="A46" s="3" t="inlineStr">
        <is>
          <t xml:space="preserve">    calendar-2025 base year is CONSTRUCTED from two disclosed halves, with no estimated component in</t>
        </is>
      </c>
    </row>
    <row r="47">
      <c r="A47" s="3" t="inlineStr">
        <is>
          <t xml:space="preserve">    either; and the forecast runs on calendar years. See Product Legs for the construction.</t>
        </is>
      </c>
    </row>
    <row r="48">
      <c r="A48" s="3" t="inlineStr"/>
    </row>
    <row r="49">
      <c r="A49" s="3" t="inlineStr">
        <is>
          <t xml:space="preserve">  · THE COMPANY IS NET CASH. Gross debt is a rounding error against the cash pile. That has two</t>
        </is>
      </c>
    </row>
    <row r="50">
      <c r="A50" s="3" t="inlineStr">
        <is>
          <t xml:space="preserve">    consequences the workbook makes visible: net debt enters the bridge as a NEGATIVE, so the cash is</t>
        </is>
      </c>
    </row>
    <row r="51">
      <c r="A51" s="3" t="inlineStr">
        <is>
          <t xml:space="preserve">    added; and the weighting on net debt RAISES the discount rate above the cost of equity rather than</t>
        </is>
      </c>
    </row>
    <row r="52">
      <c r="A52" s="3" t="inlineStr">
        <is>
          <t xml:space="preserve">    lowering it, because the observed equity cost is diluted by cash that carries almost no risk.</t>
        </is>
      </c>
    </row>
    <row r="53">
      <c r="A53" s="3" t="inlineStr"/>
    </row>
    <row r="54">
      <c r="A54" s="3" t="inlineStr">
        <is>
          <t xml:space="preserve">  · THE HISTORICAL BALANCE SHEETS ARE A RECONSTRUCTION. Only four balance-sheet lines are disclosed, at</t>
        </is>
      </c>
    </row>
    <row r="55">
      <c r="A55" s="3" t="inlineStr">
        <is>
          <t xml:space="preserve">    one date. The rest is built from days drivers and a roll-back through disclosed profit and dividends,</t>
        </is>
      </c>
    </row>
    <row r="56">
      <c r="A56" s="3" t="inlineStr">
        <is>
          <t xml:space="preserve">    and is labelled as such on the sheet.</t>
        </is>
      </c>
    </row>
    <row r="57">
      <c r="A57" s="3" t="inlineStr"/>
    </row>
    <row r="58">
      <c r="A58" s="3" t="inlineStr">
        <is>
          <t>NO RATING AND NO PRICE TARGET. A fair-value range and a distribution.</t>
        </is>
      </c>
    </row>
    <row r="59"/>
    <row r="60">
      <c r="A60" s="5" t="inlineStr">
        <is>
          <t>HEADLINE FIGURES — ALL LIVE LINKS</t>
        </is>
      </c>
      <c r="B60" s="6" t="n"/>
      <c r="C60" s="6" t="n"/>
      <c r="D60" s="6" t="n"/>
      <c r="E60" s="6" t="n"/>
      <c r="F60" s="6" t="n"/>
      <c r="G60" s="6" t="n"/>
      <c r="H60" s="6" t="n"/>
      <c r="I60" s="6" t="n"/>
    </row>
    <row r="61">
      <c r="A61" s="7" t="inlineStr">
        <is>
          <t>Spot price (EGP)</t>
        </is>
      </c>
      <c r="C61" s="8">
        <f>Assumptions!$C$5</f>
        <v/>
      </c>
    </row>
    <row r="62">
      <c r="A62" s="7" t="inlineStr">
        <is>
          <t>Weighted central fair value (EGP)</t>
        </is>
      </c>
      <c r="C62" s="8">
        <f>Summary!C10</f>
        <v/>
      </c>
    </row>
    <row r="63">
      <c r="A63" s="7" t="inlineStr">
        <is>
          <t>Implied against spot</t>
        </is>
      </c>
      <c r="C63" s="9">
        <f>Summary!C12</f>
        <v/>
      </c>
    </row>
    <row r="64">
      <c r="A64" s="7" t="inlineStr">
        <is>
          <t>Discounted cash flow lens (EGP)</t>
        </is>
      </c>
      <c r="C64" s="8">
        <f>'EV Bridge'!$B$12</f>
        <v/>
      </c>
    </row>
    <row r="65">
      <c r="A65" s="7" t="inlineStr">
        <is>
          <t>Terminal value as a share of enterprise value</t>
        </is>
      </c>
      <c r="C65" s="9">
        <f>DCF!$B$35</f>
        <v/>
      </c>
    </row>
    <row r="66">
      <c r="A66" s="7" t="inlineStr">
        <is>
          <t>Weighted cost of capital — explicit</t>
        </is>
      </c>
      <c r="C66" s="10">
        <f>DCF!$B$54</f>
        <v/>
      </c>
    </row>
    <row r="67">
      <c r="A67" s="7" t="inlineStr">
        <is>
          <t>Weighted cost of capital — terminal</t>
        </is>
      </c>
      <c r="C67" s="10">
        <f>DCF!$B$62</f>
        <v/>
      </c>
    </row>
    <row r="68"/>
    <row r="69">
      <c r="A69" s="3" t="inlineStr">
        <is>
          <t>TWO GATES RUN ON THIS DELIVERED FILE, NOT ON THE SCRIPT THAT WROTE IT.</t>
        </is>
      </c>
    </row>
    <row r="70">
      <c r="A70" s="3" t="inlineStr">
        <is>
          <t xml:space="preserve">  · Cell-level agreement. The builder records the model's own value for every formula cell as it</t>
        </is>
      </c>
    </row>
    <row r="71">
      <c r="A71" s="3" t="inlineStr">
        <is>
          <t xml:space="preserve">    writes it. An independent evaluator then re-evaluates the workbook and asserts that every formula</t>
        </is>
      </c>
    </row>
    <row r="72">
      <c r="A72" s="3" t="inlineStr">
        <is>
          <t xml:space="preserve">    cell reproduces that value and that none is left unchecked. A formula that computes the right thing</t>
        </is>
      </c>
    </row>
    <row r="73">
      <c r="A73" s="3" t="inlineStr">
        <is>
          <t xml:space="preserve">    the wrong way, or points one row off, fails here rather than shipping a different number.</t>
        </is>
      </c>
    </row>
    <row r="74">
      <c r="A74" s="3" t="inlineStr">
        <is>
          <t xml:space="preserve">  · Driver propagation. Every input is perturbed in place, the whole workbook is re-evaluated, and the</t>
        </is>
      </c>
    </row>
    <row r="75">
      <c r="A75" s="3" t="inlineStr">
        <is>
          <t xml:space="preserve">    headline is required to move in the asserted direction, with a dead-input sweep over the rest.</t>
        </is>
      </c>
    </row>
    <row r="76">
      <c r="A76" s="3" t="inlineStr">
        <is>
          <t xml:space="preserve">    The live-driver claim above is only made because this test passes.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 width="14" customWidth="1" min="7" max="7"/>
  </cols>
  <sheetData>
    <row r="1">
      <c r="A1" s="1" t="inlineStr">
        <is>
          <t>Testahil — Alexandria Mineral Oils Company S.A.E. (EGX: AMOC)</t>
        </is>
      </c>
      <c r="B1" s="2" t="n"/>
      <c r="C1" s="2" t="n"/>
      <c r="D1" s="2" t="n"/>
      <c r="E1" s="2" t="n"/>
      <c r="F1" s="2" t="n"/>
      <c r="G1" s="2" t="n"/>
    </row>
    <row r="2">
      <c r="A2" s="11" t="inlineStr">
        <is>
          <t>Summary valuation. Educational analysis, not investment advice. No rating and no price target — a fair-value range and a distribution.</t>
        </is>
      </c>
    </row>
    <row r="3"/>
    <row r="4">
      <c r="A4" s="5" t="inlineStr">
        <is>
          <t>SUMMARY VALUATION TABLE</t>
        </is>
      </c>
      <c r="B4" s="6" t="n"/>
      <c r="C4" s="6" t="n"/>
      <c r="D4" s="6" t="n"/>
      <c r="E4" s="6" t="n"/>
      <c r="F4" s="6" t="n"/>
      <c r="G4" s="6" t="n"/>
    </row>
    <row r="5">
      <c r="A5" s="12" t="inlineStr">
        <is>
          <t>Lens</t>
        </is>
      </c>
      <c r="B5" s="12" t="inlineStr">
        <is>
          <t>Bear (EGP)</t>
        </is>
      </c>
      <c r="C5" s="12" t="inlineStr">
        <is>
          <t>Base (EGP)</t>
        </is>
      </c>
      <c r="D5" s="12" t="inlineStr">
        <is>
          <t>Bull (EGP)</t>
        </is>
      </c>
      <c r="E5" s="12" t="inlineStr">
        <is>
          <t>Weight</t>
        </is>
      </c>
      <c r="F5" s="12" t="inlineStr">
        <is>
          <t>Note</t>
        </is>
      </c>
    </row>
    <row r="6">
      <c r="A6" s="7" t="inlineStr">
        <is>
          <t>Discounted cash flow (primary)</t>
        </is>
      </c>
      <c r="B6" s="8">
        <f>'Fundamental Valuation'!B5</f>
        <v/>
      </c>
      <c r="C6" s="8">
        <f>'Fundamental Valuation'!C5</f>
        <v/>
      </c>
      <c r="D6" s="8">
        <f>'Fundamental Valuation'!D5</f>
        <v/>
      </c>
      <c r="E6" s="9">
        <f>'Fundamental Valuation'!E5</f>
        <v/>
      </c>
      <c r="F6" s="7" t="inlineStr">
        <is>
          <t>terminal value share -&gt;</t>
        </is>
      </c>
      <c r="G6" s="9">
        <f>DCF!$B$35</f>
        <v/>
      </c>
    </row>
    <row r="7">
      <c r="A7" s="7" t="inlineStr">
        <is>
          <t>Relative multiples</t>
        </is>
      </c>
      <c r="B7" s="8">
        <f>'Fundamental Valuation'!B6</f>
        <v/>
      </c>
      <c r="C7" s="8">
        <f>'Fundamental Valuation'!C6</f>
        <v/>
      </c>
      <c r="D7" s="8">
        <f>'Fundamental Valuation'!D6</f>
        <v/>
      </c>
      <c r="E7" s="9">
        <f>'Fundamental Valuation'!E6</f>
        <v/>
      </c>
    </row>
    <row r="8">
      <c r="A8" s="7" t="inlineStr">
        <is>
          <t>Normalised earnings power</t>
        </is>
      </c>
      <c r="B8" s="8">
        <f>'Fundamental Valuation'!B7</f>
        <v/>
      </c>
      <c r="C8" s="8">
        <f>'Fundamental Valuation'!C7</f>
        <v/>
      </c>
      <c r="D8" s="8">
        <f>'Fundamental Valuation'!D7</f>
        <v/>
      </c>
      <c r="E8" s="9">
        <f>'Fundamental Valuation'!E7</f>
        <v/>
      </c>
    </row>
    <row r="9">
      <c r="A9" s="7" t="inlineStr">
        <is>
          <t>Book value and sustainable return</t>
        </is>
      </c>
      <c r="B9" s="8">
        <f>'Fundamental Valuation'!B8</f>
        <v/>
      </c>
      <c r="C9" s="8">
        <f>'Fundamental Valuation'!C8</f>
        <v/>
      </c>
      <c r="D9" s="8">
        <f>'Fundamental Valuation'!D8</f>
        <v/>
      </c>
      <c r="E9" s="9">
        <f>'Fundamental Valuation'!E8</f>
        <v/>
      </c>
    </row>
    <row r="10">
      <c r="A10" s="13" t="inlineStr">
        <is>
          <t>WEIGHTED CENTRAL FAIR VALUE</t>
        </is>
      </c>
      <c r="B10" s="14">
        <f>MIN(B6:B9)</f>
        <v/>
      </c>
      <c r="C10" s="14">
        <f>SUM(C6*E6,C7*E7,C8*E8,C9*E9)</f>
        <v/>
      </c>
      <c r="D10" s="14">
        <f>MAX(D6:D9)</f>
        <v/>
      </c>
      <c r="E10" s="15">
        <f>SUM(E6:E9)</f>
        <v/>
      </c>
    </row>
    <row r="11">
      <c r="A11" s="7" t="inlineStr">
        <is>
          <t>Spot price</t>
        </is>
      </c>
      <c r="C11" s="8">
        <f>Assumptions!$C$5</f>
        <v/>
      </c>
    </row>
    <row r="12">
      <c r="A12" s="7" t="inlineStr">
        <is>
          <t>Implied against spot</t>
        </is>
      </c>
      <c r="C12" s="16">
        <f>C10/C11-1</f>
        <v/>
      </c>
    </row>
    <row r="13"/>
    <row r="14">
      <c r="A14" s="5" t="inlineStr">
        <is>
          <t>THE COMPANY IN NUMBERS</t>
        </is>
      </c>
      <c r="B14" s="6" t="n"/>
      <c r="C14" s="6" t="n"/>
      <c r="D14" s="6" t="n"/>
      <c r="E14" s="6" t="n"/>
      <c r="F14" s="6" t="n"/>
      <c r="G14" s="6" t="n"/>
    </row>
    <row r="15">
      <c r="A15" s="7" t="inlineStr">
        <is>
          <t>Market capitalisation (EGP mn)</t>
        </is>
      </c>
      <c r="C15" s="17">
        <f>Assumptions!$C$5*Assumptions!$C$6</f>
        <v/>
      </c>
    </row>
    <row r="16">
      <c r="A16" s="7" t="inlineStr">
        <is>
          <t>Net cash (EGP mn)</t>
        </is>
      </c>
      <c r="C16" s="17">
        <f>0-DCF!$B$49</f>
        <v/>
      </c>
    </row>
    <row r="17">
      <c r="A17" s="7" t="inlineStr">
        <is>
          <t>Enterprise value (EGP mn)</t>
        </is>
      </c>
      <c r="C17" s="17">
        <f>C15-C16</f>
        <v/>
      </c>
    </row>
    <row r="18">
      <c r="A18" s="7" t="inlineStr">
        <is>
          <t>Calendar 2025 revenue (EGP mn)</t>
        </is>
      </c>
      <c r="C18" s="18">
        <f>'Product Legs'!B26</f>
        <v/>
      </c>
    </row>
    <row r="19">
      <c r="A19" s="7" t="inlineStr">
        <is>
          <t>Calendar 2025 profit after tax (EGP mn)</t>
        </is>
      </c>
      <c r="C19" s="18">
        <f>'Product Legs'!B29</f>
        <v/>
      </c>
    </row>
    <row r="20">
      <c r="A20" s="7" t="inlineStr">
        <is>
          <t>Trailing price / earnings</t>
        </is>
      </c>
      <c r="C20" s="19">
        <f>'Relative &amp; Normalized'!$B$13</f>
        <v/>
      </c>
    </row>
    <row r="21">
      <c r="A21" s="7" t="inlineStr">
        <is>
          <t>Dividend yield on the declared dividend</t>
        </is>
      </c>
      <c r="C21" s="16">
        <f>Assumptions!$C$43/Assumptions!$C$5</f>
        <v/>
      </c>
    </row>
    <row r="22">
      <c r="A22" s="7" t="inlineStr">
        <is>
          <t>Weighted central fair value in dollars (USD)</t>
        </is>
      </c>
      <c r="C22" s="20">
        <f>C10/Assumptions!$C$32</f>
        <v/>
      </c>
    </row>
    <row r="23">
      <c r="A23" s="7" t="inlineStr">
        <is>
          <t>Weighted cost of capital — explicit window</t>
        </is>
      </c>
      <c r="C23" s="10">
        <f>DCF!$B$54</f>
        <v/>
      </c>
    </row>
    <row r="24">
      <c r="A24" s="7" t="inlineStr">
        <is>
          <t>Weighted cost of capital — terminal</t>
        </is>
      </c>
      <c r="C24" s="10">
        <f>DCF!$B$62</f>
        <v/>
      </c>
    </row>
    <row r="25">
      <c r="A25" s="7" t="inlineStr">
        <is>
          <t>Terminal growth</t>
        </is>
      </c>
      <c r="C25" s="10">
        <f>Assumptions!$C$57</f>
        <v/>
      </c>
    </row>
    <row r="26"/>
    <row r="27" ht="28" customHeight="1">
      <c r="A27" s="21" t="inlineStr">
        <is>
          <t>Terminal value as a share of enterprise value is shown beside the discounted cash flow lens above and again on the bridge, linked live to the discounted cash flow sheet in both places and typed in neither.</t>
        </is>
      </c>
    </row>
  </sheetData>
  <mergeCells count="1">
    <mergeCell ref="A27:G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Fundamental valuation — four lenses, weighted</t>
        </is>
      </c>
      <c r="B1" s="2" t="n"/>
      <c r="C1" s="2" t="n"/>
      <c r="D1" s="2" t="n"/>
      <c r="E1" s="2" t="n"/>
      <c r="F1" s="2" t="n"/>
      <c r="G1" s="2" t="n"/>
    </row>
    <row r="2"/>
    <row r="3"/>
    <row r="4">
      <c r="A4" s="12" t="inlineStr">
        <is>
          <t>Lens</t>
        </is>
      </c>
      <c r="B4" s="12" t="inlineStr">
        <is>
          <t>Bear (EGP)</t>
        </is>
      </c>
      <c r="C4" s="12" t="inlineStr">
        <is>
          <t>Base (EGP)</t>
        </is>
      </c>
      <c r="D4" s="12" t="inlineStr">
        <is>
          <t>Bull (EGP)</t>
        </is>
      </c>
      <c r="E4" s="12" t="inlineStr">
        <is>
          <t>Weight</t>
        </is>
      </c>
      <c r="F4" s="12" t="inlineStr">
        <is>
          <t>Contribution</t>
        </is>
      </c>
    </row>
    <row r="5">
      <c r="A5" s="7" t="inlineStr">
        <is>
          <t>Discounted cash flow (primary)</t>
        </is>
      </c>
      <c r="B5" s="22" t="n">
        <v>6.091950967770007</v>
      </c>
      <c r="C5" s="8">
        <f>'EV Bridge'!$B$12</f>
        <v/>
      </c>
      <c r="D5" s="22" t="n">
        <v>16.68993443912786</v>
      </c>
      <c r="E5" s="9">
        <f>Assumptions!$C$86</f>
        <v/>
      </c>
      <c r="F5" s="20">
        <f>C5*E5</f>
        <v/>
      </c>
    </row>
    <row r="6">
      <c r="A6" s="7" t="inlineStr">
        <is>
          <t>Relative multiples</t>
        </is>
      </c>
      <c r="B6" s="22" t="n">
        <v>6.124257875433853</v>
      </c>
      <c r="C6" s="8">
        <f>'Relative &amp; Normalized'!$B$11</f>
        <v/>
      </c>
      <c r="D6" s="22" t="n">
        <v>9.190723623164919</v>
      </c>
      <c r="E6" s="9">
        <f>Assumptions!$C$87</f>
        <v/>
      </c>
      <c r="F6" s="20">
        <f>C6*E6</f>
        <v/>
      </c>
    </row>
    <row r="7">
      <c r="A7" s="7" t="inlineStr">
        <is>
          <t>Normalised earnings power</t>
        </is>
      </c>
      <c r="B7" s="22" t="n">
        <v>9.052461531148765</v>
      </c>
      <c r="C7" s="8">
        <f>'Relative &amp; Normalized'!$B$23</f>
        <v/>
      </c>
      <c r="D7" s="22" t="n">
        <v>15.63606991743878</v>
      </c>
      <c r="E7" s="9">
        <f>Assumptions!$C$88</f>
        <v/>
      </c>
      <c r="F7" s="20">
        <f>C7*E7</f>
        <v/>
      </c>
    </row>
    <row r="8">
      <c r="A8" s="7" t="inlineStr">
        <is>
          <t>Book value and sustainable return</t>
        </is>
      </c>
      <c r="B8" s="22" t="n">
        <v>3.825843755451646</v>
      </c>
      <c r="C8" s="8">
        <f>'Relative &amp; Normalized'!$B$31</f>
        <v/>
      </c>
      <c r="D8" s="22" t="n">
        <v>7.994059366782158</v>
      </c>
      <c r="E8" s="9">
        <f>Assumptions!$C$89</f>
        <v/>
      </c>
      <c r="F8" s="20">
        <f>C8*E8</f>
        <v/>
      </c>
    </row>
    <row r="9">
      <c r="A9" s="13" t="inlineStr">
        <is>
          <t>WEIGHTED CENTRAL FAIR VALUE (EGP)</t>
        </is>
      </c>
      <c r="B9" s="20">
        <f>MIN(B5:B8)</f>
        <v/>
      </c>
      <c r="C9" s="14">
        <f>SUM(F5:F8)</f>
        <v/>
      </c>
      <c r="D9" s="20">
        <f>MAX(D5:D8)</f>
        <v/>
      </c>
      <c r="E9" s="16">
        <f>SUM(E5:E8)</f>
        <v/>
      </c>
    </row>
    <row r="10"/>
    <row r="11">
      <c r="A11" s="5" t="inlineStr">
        <is>
          <t>CROSS-CHECKS</t>
        </is>
      </c>
      <c r="B11" s="6" t="n"/>
      <c r="C11" s="6" t="n"/>
      <c r="D11" s="6" t="n"/>
      <c r="E11" s="6" t="n"/>
      <c r="F11" s="6" t="n"/>
      <c r="G11" s="6" t="n"/>
    </row>
    <row r="12">
      <c r="A12" s="7" t="inlineStr">
        <is>
          <t>Spot price (EGP)</t>
        </is>
      </c>
      <c r="C12" s="8">
        <f>Assumptions!$C$5</f>
        <v/>
      </c>
    </row>
    <row r="13">
      <c r="A13" s="7" t="inlineStr">
        <is>
          <t>Implied against spot</t>
        </is>
      </c>
      <c r="C13" s="16">
        <f>C9/C12-1</f>
        <v/>
      </c>
    </row>
    <row r="14">
      <c r="A14" s="7" t="inlineStr">
        <is>
          <t>Terminal value as a share of enterprise value</t>
        </is>
      </c>
      <c r="C14" s="9">
        <f>DCF!$B$35</f>
        <v/>
      </c>
    </row>
    <row r="15">
      <c r="A15" s="7" t="inlineStr">
        <is>
          <t>Expert panel median (EGP)</t>
        </is>
      </c>
      <c r="C15" s="22" t="n">
        <v>9.829302563573256</v>
      </c>
    </row>
    <row r="16">
      <c r="A16" s="7" t="inlineStr">
        <is>
          <t>Currency-of-discounting alternative (EGP)</t>
        </is>
      </c>
      <c r="C16" s="22" t="n">
        <v>10.70834398300427</v>
      </c>
    </row>
    <row r="17">
      <c r="A17" s="7" t="inlineStr">
        <is>
          <t>Rating-basis cost of capital alternative (EGP)</t>
        </is>
      </c>
      <c r="C17" s="22" t="n">
        <v>8.167671249298847</v>
      </c>
    </row>
    <row r="18">
      <c r="A18" s="7" t="inlineStr">
        <is>
          <t>Gross-debt weighting alternative, rejected (EGP)</t>
        </is>
      </c>
      <c r="C18" s="22" t="n">
        <v>10.42860919723092</v>
      </c>
    </row>
    <row r="19"/>
    <row r="20" ht="28" customHeight="1">
      <c r="A20" s="21" t="inlineStr">
        <is>
          <t>Bear and bull columns are whole-model re-runs — each is a complete revaluation at a different set of drivers, so they are values rather than formulas. The base column, the weights, the contributions and the weighted central are all live.</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s>
  <sheetData>
    <row r="1">
      <c r="A1" s="1" t="inlineStr">
        <is>
          <t>Assumptions — every blue cell is a live driver</t>
        </is>
      </c>
      <c r="B1" s="2" t="n"/>
      <c r="C1" s="2" t="n"/>
      <c r="D1" s="2" t="n"/>
      <c r="E1" s="2" t="n"/>
      <c r="F1" s="2" t="n"/>
    </row>
    <row r="2">
      <c r="A2" s="11" t="inlineStr">
        <is>
          <t>Change one and the model reprices. Values in EGP mn unless stated.</t>
        </is>
      </c>
    </row>
    <row r="3"/>
    <row r="4">
      <c r="A4" s="5" t="inlineStr">
        <is>
          <t>MARKET AND SHARE COUNT</t>
        </is>
      </c>
      <c r="B4" s="6" t="n"/>
      <c r="C4" s="6" t="n"/>
      <c r="D4" s="6" t="n"/>
      <c r="E4" s="6" t="n"/>
      <c r="F4" s="6" t="n"/>
    </row>
    <row r="5">
      <c r="A5" s="7" t="inlineStr">
        <is>
          <t>Share price</t>
        </is>
      </c>
      <c r="B5" s="7" t="inlineStr">
        <is>
          <t>EGP</t>
        </is>
      </c>
      <c r="C5" s="22" t="n">
        <v>9.1</v>
      </c>
      <c r="D5" s="7" t="inlineStr">
        <is>
          <t>EGX close, 6 Aug 2026</t>
        </is>
      </c>
    </row>
    <row r="6">
      <c r="A6" s="7" t="inlineStr">
        <is>
          <t>Shares outstanding</t>
        </is>
      </c>
      <c r="B6" s="7" t="inlineStr">
        <is>
          <t>mn</t>
        </is>
      </c>
      <c r="C6" s="23" t="n">
        <v>1291.56</v>
      </c>
      <c r="D6" s="7" t="inlineStr">
        <is>
          <t>reported; payout cross-check</t>
        </is>
      </c>
    </row>
    <row r="7"/>
    <row r="8">
      <c r="A8" s="5" t="inlineStr">
        <is>
          <t>DISCLOSED HISTORY — REVENUE AND PROFIT</t>
        </is>
      </c>
      <c r="B8" s="6" t="n"/>
      <c r="C8" s="6" t="n"/>
      <c r="D8" s="6" t="n"/>
      <c r="E8" s="6" t="n"/>
      <c r="F8" s="6" t="n"/>
    </row>
    <row r="9">
      <c r="A9" s="7" t="inlineStr">
        <is>
          <t>FY2022/23 revenue</t>
        </is>
      </c>
      <c r="B9" s="7" t="inlineStr">
        <is>
          <t>EGP mn</t>
        </is>
      </c>
      <c r="C9" s="24" t="n">
        <v>22515.65</v>
      </c>
      <c r="D9" s="7" t="inlineStr">
        <is>
          <t>cost of sales + gross profit</t>
        </is>
      </c>
    </row>
    <row r="10">
      <c r="A10" s="7" t="inlineStr">
        <is>
          <t>FY2022/23 gross profit</t>
        </is>
      </c>
      <c r="B10" s="7" t="inlineStr">
        <is>
          <t>EGP mn</t>
        </is>
      </c>
      <c r="C10" s="24" t="n">
        <v>1297.01</v>
      </c>
      <c r="D10" s="7" t="inlineStr">
        <is>
          <t>disclosed</t>
        </is>
      </c>
    </row>
    <row r="11">
      <c r="A11" s="7" t="inlineStr">
        <is>
          <t>FY2022/23 cost of sales</t>
        </is>
      </c>
      <c r="B11" s="7" t="inlineStr">
        <is>
          <t>EGP mn</t>
        </is>
      </c>
      <c r="C11" s="24" t="n">
        <v>21218.64</v>
      </c>
      <c r="D11" s="7" t="inlineStr">
        <is>
          <t>disclosed</t>
        </is>
      </c>
    </row>
    <row r="12">
      <c r="A12" s="7" t="inlineStr">
        <is>
          <t>FY2022/23 profit after tax</t>
        </is>
      </c>
      <c r="B12" s="7" t="inlineStr">
        <is>
          <t>EGP mn</t>
        </is>
      </c>
      <c r="C12" s="24" t="n">
        <v>1320</v>
      </c>
      <c r="D12" s="7" t="inlineStr">
        <is>
          <t>consolidated</t>
        </is>
      </c>
    </row>
    <row r="13">
      <c r="A13" s="7" t="inlineStr">
        <is>
          <t>FY2023/24 revenue — method A</t>
        </is>
      </c>
      <c r="B13" s="7" t="inlineStr">
        <is>
          <t>EGP mn</t>
        </is>
      </c>
      <c r="C13" s="24" t="n">
        <v>33770</v>
      </c>
      <c r="D13" s="7" t="inlineStr">
        <is>
          <t>prior-year comparative</t>
        </is>
      </c>
    </row>
    <row r="14">
      <c r="A14" s="7" t="inlineStr">
        <is>
          <t>FY2023/24 revenue — method B</t>
        </is>
      </c>
      <c r="B14" s="7" t="inlineStr">
        <is>
          <t>EGP mn</t>
        </is>
      </c>
      <c r="C14" s="24" t="n">
        <v>33303</v>
      </c>
      <c r="D14" s="7" t="inlineStr">
        <is>
          <t>back-solved from +10.8%</t>
        </is>
      </c>
    </row>
    <row r="15">
      <c r="A15" s="7" t="inlineStr">
        <is>
          <t>FY2023/24 profit after tax</t>
        </is>
      </c>
      <c r="B15" s="7" t="inlineStr">
        <is>
          <t>EGP mn</t>
        </is>
      </c>
      <c r="C15" s="24" t="n">
        <v>1500</v>
      </c>
      <c r="D15" s="7" t="inlineStr">
        <is>
          <t>consolidated</t>
        </is>
      </c>
    </row>
    <row r="16">
      <c r="A16" s="7" t="inlineStr">
        <is>
          <t>FY2024/25 revenue — method A</t>
        </is>
      </c>
      <c r="B16" s="7" t="inlineStr">
        <is>
          <t>EGP mn</t>
        </is>
      </c>
      <c r="C16" s="24" t="n">
        <v>36900</v>
      </c>
      <c r="D16" s="7" t="inlineStr">
        <is>
          <t>company release</t>
        </is>
      </c>
    </row>
    <row r="17">
      <c r="A17" s="7" t="inlineStr">
        <is>
          <t>FY2024/25 revenue — method B</t>
        </is>
      </c>
      <c r="B17" s="7" t="inlineStr">
        <is>
          <t>EGP mn</t>
        </is>
      </c>
      <c r="C17" s="24" t="n">
        <v>37620</v>
      </c>
      <c r="D17" s="7" t="inlineStr">
        <is>
          <t>aggregator</t>
        </is>
      </c>
    </row>
    <row r="18">
      <c r="A18" s="7" t="inlineStr">
        <is>
          <t>FY2024/25 revenue — method C</t>
        </is>
      </c>
      <c r="B18" s="7" t="inlineStr">
        <is>
          <t>EGP mn</t>
        </is>
      </c>
      <c r="C18" s="24" t="n">
        <v>38000</v>
      </c>
      <c r="D18" s="7" t="inlineStr">
        <is>
          <t>same release, revenues line</t>
        </is>
      </c>
    </row>
    <row r="19">
      <c r="A19" s="7" t="inlineStr">
        <is>
          <t>FY2024/25 profit after tax</t>
        </is>
      </c>
      <c r="B19" s="7" t="inlineStr">
        <is>
          <t>EGP mn</t>
        </is>
      </c>
      <c r="C19" s="24" t="n">
        <v>1550</v>
      </c>
      <c r="D19" s="7" t="inlineStr">
        <is>
          <t>consolidated</t>
        </is>
      </c>
    </row>
    <row r="20">
      <c r="A20" s="7" t="inlineStr">
        <is>
          <t>Jul-Dec 2024 revenue</t>
        </is>
      </c>
      <c r="B20" s="7" t="inlineStr">
        <is>
          <t>EGP mn</t>
        </is>
      </c>
      <c r="C20" s="24" t="n">
        <v>18246</v>
      </c>
      <c r="D20" s="7" t="inlineStr">
        <is>
          <t>disclosed comparative</t>
        </is>
      </c>
    </row>
    <row r="21">
      <c r="A21" s="7" t="inlineStr">
        <is>
          <t>Jul-Dec 2024 profit after tax</t>
        </is>
      </c>
      <c r="B21" s="7" t="inlineStr">
        <is>
          <t>EGP mn</t>
        </is>
      </c>
      <c r="C21" s="24" t="n">
        <v>643.6</v>
      </c>
      <c r="D21" s="7" t="inlineStr">
        <is>
          <t>from the +2% disclosure</t>
        </is>
      </c>
    </row>
    <row r="22">
      <c r="A22" s="7" t="inlineStr">
        <is>
          <t>Jul-Dec 2025 revenue</t>
        </is>
      </c>
      <c r="B22" s="7" t="inlineStr">
        <is>
          <t>EGP mn</t>
        </is>
      </c>
      <c r="C22" s="24" t="n">
        <v>20735</v>
      </c>
      <c r="D22" s="7" t="inlineStr">
        <is>
          <t>transition period</t>
        </is>
      </c>
    </row>
    <row r="23">
      <c r="A23" s="7" t="inlineStr">
        <is>
          <t>Jul-Dec 2025 profit after tax</t>
        </is>
      </c>
      <c r="B23" s="7" t="inlineStr">
        <is>
          <t>EGP mn</t>
        </is>
      </c>
      <c r="C23" s="24" t="n">
        <v>656.428</v>
      </c>
      <c r="D23" s="7" t="inlineStr">
        <is>
          <t>transition period</t>
        </is>
      </c>
    </row>
    <row r="24"/>
    <row r="25">
      <c r="A25" s="5" t="inlineStr">
        <is>
          <t>VOLUMES AND THE UNIT BUILD</t>
        </is>
      </c>
      <c r="B25" s="6" t="n"/>
      <c r="C25" s="6" t="n"/>
      <c r="D25" s="6" t="n"/>
      <c r="E25" s="6" t="n"/>
      <c r="F25" s="6" t="n"/>
    </row>
    <row r="26">
      <c r="A26" s="7" t="inlineStr">
        <is>
          <t>FY2024/25 sales volume</t>
        </is>
      </c>
      <c r="B26" s="7" t="inlineStr">
        <is>
          <t>mn tonnes</t>
        </is>
      </c>
      <c r="C26" s="25" t="n">
        <v>1.26</v>
      </c>
      <c r="D26" s="7" t="inlineStr">
        <is>
          <t>disclosed</t>
        </is>
      </c>
    </row>
    <row r="27">
      <c r="A27" s="7" t="inlineStr">
        <is>
          <t>FY2024/25 oils and waxes output</t>
        </is>
      </c>
      <c r="B27" s="7" t="inlineStr">
        <is>
          <t>mn tonnes</t>
        </is>
      </c>
      <c r="C27" s="25" t="n">
        <v>0.172</v>
      </c>
      <c r="D27" s="7" t="inlineStr">
        <is>
          <t>disclosed, 172kt</t>
        </is>
      </c>
    </row>
    <row r="28">
      <c r="A28" s="7" t="inlineStr">
        <is>
          <t>Jul-Dec 2025 sales volume</t>
        </is>
      </c>
      <c r="B28" s="7" t="inlineStr">
        <is>
          <t>mn tonnes</t>
        </is>
      </c>
      <c r="C28" s="25" t="n">
        <v>0.8080000000000001</v>
      </c>
      <c r="D28" s="7" t="inlineStr">
        <is>
          <t>disclosed, 808kt</t>
        </is>
      </c>
    </row>
    <row r="29">
      <c r="A29" s="7" t="inlineStr">
        <is>
          <t>Annualisation shading on the half-year</t>
        </is>
      </c>
      <c r="B29" s="7" t="inlineStr">
        <is>
          <t>x</t>
        </is>
      </c>
      <c r="C29" s="26" t="n">
        <v>0.96</v>
      </c>
      <c r="D29" s="7" t="inlineStr">
        <is>
          <t>ramp still building</t>
        </is>
      </c>
    </row>
    <row r="30">
      <c r="A30" s="7" t="inlineStr">
        <is>
          <t>Specialty realised price</t>
        </is>
      </c>
      <c r="B30" s="7" t="inlineStr">
        <is>
          <t>USD/tonne</t>
        </is>
      </c>
      <c r="C30" s="24" t="n">
        <v>1105</v>
      </c>
      <c r="D30" s="7" t="inlineStr">
        <is>
          <t>calibrated to disclosure</t>
        </is>
      </c>
    </row>
    <row r="31">
      <c r="A31" s="7" t="inlineStr">
        <is>
          <t>USD/EGP average, calendar 2025</t>
        </is>
      </c>
      <c r="B31" s="7" t="inlineStr">
        <is>
          <t>EGP</t>
        </is>
      </c>
      <c r="C31" s="23" t="n">
        <v>48.7</v>
      </c>
    </row>
    <row r="32">
      <c r="A32" s="7" t="inlineStr">
        <is>
          <t>USD/EGP spot</t>
        </is>
      </c>
      <c r="B32" s="7" t="inlineStr">
        <is>
          <t>EGP</t>
        </is>
      </c>
      <c r="C32" s="23" t="n">
        <v>50.25</v>
      </c>
      <c r="D32" s="7" t="inlineStr">
        <is>
          <t>6 Aug 2026</t>
        </is>
      </c>
    </row>
    <row r="33"/>
    <row r="34">
      <c r="A34" s="5" t="inlineStr">
        <is>
          <t>BALANCE SHEET — DISCLOSED SNAPSHOT AND DAYS DRIVERS</t>
        </is>
      </c>
      <c r="B34" s="6" t="n"/>
      <c r="C34" s="6" t="n"/>
      <c r="D34" s="6" t="n"/>
      <c r="E34" s="6" t="n"/>
      <c r="F34" s="6" t="n"/>
    </row>
    <row r="35">
      <c r="A35" s="7" t="inlineStr">
        <is>
          <t>Total assets</t>
        </is>
      </c>
      <c r="B35" s="7" t="inlineStr">
        <is>
          <t>EGP mn</t>
        </is>
      </c>
      <c r="C35" s="24" t="n">
        <v>8136.42</v>
      </c>
      <c r="D35" s="7" t="inlineStr">
        <is>
          <t>disclosed</t>
        </is>
      </c>
    </row>
    <row r="36">
      <c r="A36" s="7" t="inlineStr">
        <is>
          <t>Total liabilities</t>
        </is>
      </c>
      <c r="B36" s="7" t="inlineStr">
        <is>
          <t>EGP mn</t>
        </is>
      </c>
      <c r="C36" s="24" t="n">
        <v>3189.56</v>
      </c>
      <c r="D36" s="7" t="inlineStr">
        <is>
          <t>disclosed</t>
        </is>
      </c>
    </row>
    <row r="37">
      <c r="A37" s="7" t="inlineStr">
        <is>
          <t>Cash and equivalents</t>
        </is>
      </c>
      <c r="B37" s="7" t="inlineStr">
        <is>
          <t>EGP mn</t>
        </is>
      </c>
      <c r="C37" s="24" t="n">
        <v>2463.52</v>
      </c>
      <c r="D37" s="7" t="inlineStr">
        <is>
          <t>disclosed</t>
        </is>
      </c>
    </row>
    <row r="38">
      <c r="A38" s="7" t="inlineStr">
        <is>
          <t>Gross debt</t>
        </is>
      </c>
      <c r="B38" s="7" t="inlineStr">
        <is>
          <t>EGP mn</t>
        </is>
      </c>
      <c r="C38" s="23" t="n">
        <v>25.26</v>
      </c>
      <c r="D38" s="7" t="inlineStr">
        <is>
          <t>disclosed</t>
        </is>
      </c>
    </row>
    <row r="39">
      <c r="A39" s="7" t="inlineStr">
        <is>
          <t>Receivable days</t>
        </is>
      </c>
      <c r="B39" s="7" t="inlineStr">
        <is>
          <t>days</t>
        </is>
      </c>
      <c r="C39" s="23" t="n">
        <v>14</v>
      </c>
    </row>
    <row r="40">
      <c r="A40" s="7" t="inlineStr">
        <is>
          <t>Inventory days on cost of sales</t>
        </is>
      </c>
      <c r="B40" s="7" t="inlineStr">
        <is>
          <t>days</t>
        </is>
      </c>
      <c r="C40" s="23" t="n">
        <v>14</v>
      </c>
    </row>
    <row r="41">
      <c r="A41" s="7" t="inlineStr">
        <is>
          <t>Payable days on cost of sales</t>
        </is>
      </c>
      <c r="B41" s="7" t="inlineStr">
        <is>
          <t>days</t>
        </is>
      </c>
      <c r="C41" s="23" t="n">
        <v>24</v>
      </c>
    </row>
    <row r="42">
      <c r="A42" s="7" t="inlineStr">
        <is>
          <t>Other current assets</t>
        </is>
      </c>
      <c r="B42" s="7" t="inlineStr">
        <is>
          <t>EGP mn</t>
        </is>
      </c>
      <c r="C42" s="24" t="n">
        <v>300</v>
      </c>
    </row>
    <row r="43">
      <c r="A43" s="7" t="inlineStr">
        <is>
          <t>Dividend per share</t>
        </is>
      </c>
      <c r="B43" s="7" t="inlineStr">
        <is>
          <t>EGP</t>
        </is>
      </c>
      <c r="C43" s="22" t="n">
        <v>0.8</v>
      </c>
      <c r="D43" s="7" t="inlineStr">
        <is>
          <t>declared</t>
        </is>
      </c>
    </row>
    <row r="44"/>
    <row r="45">
      <c r="A45" s="5" t="inlineStr">
        <is>
          <t>COST OF CAPITAL</t>
        </is>
      </c>
      <c r="B45" s="6" t="n"/>
      <c r="C45" s="6" t="n"/>
      <c r="D45" s="6" t="n"/>
      <c r="E45" s="6" t="n"/>
      <c r="F45" s="6" t="n"/>
    </row>
    <row r="46">
      <c r="A46" s="7" t="inlineStr">
        <is>
          <t>Risk-free rate — Egypt 10-year</t>
        </is>
      </c>
      <c r="B46" s="7" t="inlineStr">
        <is>
          <t>%</t>
        </is>
      </c>
      <c r="C46" s="27" t="n">
        <v>0.2231</v>
      </c>
    </row>
    <row r="47">
      <c r="A47" s="7" t="inlineStr">
        <is>
          <t>Sovereign default spread</t>
        </is>
      </c>
      <c r="B47" s="7" t="inlineStr">
        <is>
          <t>%</t>
        </is>
      </c>
      <c r="C47" s="27" t="n">
        <v>0.034</v>
      </c>
      <c r="D47" s="7" t="inlineStr">
        <is>
          <t>netted out of rf</t>
        </is>
      </c>
    </row>
    <row r="48">
      <c r="A48" s="7" t="inlineStr">
        <is>
          <t>Equity risk premium — Egypt</t>
        </is>
      </c>
      <c r="B48" s="7" t="inlineStr">
        <is>
          <t>%</t>
        </is>
      </c>
      <c r="C48" s="27" t="n">
        <v>0.0941</v>
      </c>
      <c r="D48" s="7" t="inlineStr">
        <is>
          <t>Damodaran, CDS basis</t>
        </is>
      </c>
    </row>
    <row r="49">
      <c r="A49" s="7" t="inlineStr">
        <is>
          <t>Beta</t>
        </is>
      </c>
      <c r="B49" s="7" t="inlineStr">
        <is>
          <t>x</t>
        </is>
      </c>
      <c r="C49" s="28" t="n">
        <v>0.9405</v>
      </c>
      <c r="D49" s="7" t="inlineStr">
        <is>
          <t>own-stock regression</t>
        </is>
      </c>
    </row>
    <row r="50">
      <c r="A50" s="7" t="inlineStr">
        <is>
          <t>Cost of debt</t>
        </is>
      </c>
      <c r="B50" s="7" t="inlineStr">
        <is>
          <t>%</t>
        </is>
      </c>
      <c r="C50" s="27" t="n">
        <v>0.22</v>
      </c>
    </row>
    <row r="51">
      <c r="A51" s="7" t="inlineStr">
        <is>
          <t>Yield on cash</t>
        </is>
      </c>
      <c r="B51" s="7" t="inlineStr">
        <is>
          <t>%</t>
        </is>
      </c>
      <c r="C51" s="27" t="n">
        <v>0.17</v>
      </c>
    </row>
    <row r="52">
      <c r="A52" s="7" t="inlineStr">
        <is>
          <t>Effective tax rate</t>
        </is>
      </c>
      <c r="B52" s="7" t="inlineStr">
        <is>
          <t>%</t>
        </is>
      </c>
      <c r="C52" s="27" t="n">
        <v>0.235</v>
      </c>
    </row>
    <row r="53">
      <c r="A53" s="7" t="inlineStr">
        <is>
          <t>Terminal risk-free rate</t>
        </is>
      </c>
      <c r="B53" s="7" t="inlineStr">
        <is>
          <t>%</t>
        </is>
      </c>
      <c r="C53" s="27" t="n">
        <v>0.105</v>
      </c>
      <c r="D53" s="7" t="inlineStr">
        <is>
          <t>norm-built</t>
        </is>
      </c>
    </row>
    <row r="54">
      <c r="A54" s="7" t="inlineStr">
        <is>
          <t>Terminal equity risk premium</t>
        </is>
      </c>
      <c r="B54" s="7" t="inlineStr">
        <is>
          <t>%</t>
        </is>
      </c>
      <c r="C54" s="27" t="n">
        <v>0.07000000000000001</v>
      </c>
      <c r="D54" s="7" t="inlineStr">
        <is>
          <t>normalised</t>
        </is>
      </c>
    </row>
    <row r="55">
      <c r="A55" s="7" t="inlineStr">
        <is>
          <t>Terminal cost of debt</t>
        </is>
      </c>
      <c r="B55" s="7" t="inlineStr">
        <is>
          <t>%</t>
        </is>
      </c>
      <c r="C55" s="27" t="n">
        <v>0.15</v>
      </c>
    </row>
    <row r="56">
      <c r="A56" s="7" t="inlineStr">
        <is>
          <t>Terminal debt weight</t>
        </is>
      </c>
      <c r="B56" s="7" t="inlineStr">
        <is>
          <t>%</t>
        </is>
      </c>
      <c r="C56" s="29" t="n">
        <v>0.1</v>
      </c>
      <c r="D56" s="7" t="inlineStr">
        <is>
          <t>normalised</t>
        </is>
      </c>
    </row>
    <row r="57">
      <c r="A57" s="7" t="inlineStr">
        <is>
          <t>Terminal growth</t>
        </is>
      </c>
      <c r="B57" s="7" t="inlineStr">
        <is>
          <t>%</t>
        </is>
      </c>
      <c r="C57" s="27" t="n">
        <v>0.05</v>
      </c>
      <c r="D57" s="7" t="inlineStr">
        <is>
          <t>sensitised 3-7%</t>
        </is>
      </c>
    </row>
    <row r="58"/>
    <row r="59">
      <c r="A59" s="5" t="inlineStr">
        <is>
          <t>OPERATING DRIVERS</t>
        </is>
      </c>
      <c r="B59" s="6" t="n"/>
      <c r="C59" s="6" t="n"/>
      <c r="D59" s="6" t="n"/>
      <c r="E59" s="6" t="n"/>
      <c r="F59" s="6" t="n"/>
    </row>
    <row r="60">
      <c r="A60" s="7" t="inlineStr">
        <is>
          <t>Depreciation, % of revenue</t>
        </is>
      </c>
      <c r="B60" s="7" t="inlineStr">
        <is>
          <t>%</t>
        </is>
      </c>
      <c r="C60" s="27" t="n">
        <v>0.011</v>
      </c>
    </row>
    <row r="61">
      <c r="A61" s="7" t="inlineStr">
        <is>
          <t>Minority share of group profit</t>
        </is>
      </c>
      <c r="B61" s="7" t="inlineStr">
        <is>
          <t>%</t>
        </is>
      </c>
      <c r="C61" s="29" t="n">
        <v>0.03</v>
      </c>
    </row>
    <row r="62">
      <c r="A62" s="7" t="inlineStr">
        <is>
          <t>Dividend payout ratio</t>
        </is>
      </c>
      <c r="B62" s="7" t="inlineStr">
        <is>
          <t>%</t>
        </is>
      </c>
      <c r="C62" s="29" t="n">
        <v>0.694</v>
      </c>
      <c r="D62" s="7" t="inlineStr">
        <is>
          <t>reported</t>
        </is>
      </c>
    </row>
    <row r="63">
      <c r="A63" s="7" t="inlineStr">
        <is>
          <t>Justified EV / EBITDA</t>
        </is>
      </c>
      <c r="B63" s="7" t="inlineStr">
        <is>
          <t>x</t>
        </is>
      </c>
      <c r="C63" s="30" t="n">
        <v>4.5</v>
      </c>
    </row>
    <row r="64">
      <c r="A64" s="7" t="inlineStr">
        <is>
          <t>Justified price / earnings</t>
        </is>
      </c>
      <c r="B64" s="7" t="inlineStr">
        <is>
          <t>x</t>
        </is>
      </c>
      <c r="C64" s="30" t="n">
        <v>7.5</v>
      </c>
    </row>
    <row r="65">
      <c r="A65" s="7" t="inlineStr">
        <is>
          <t>Sustainable return on equity</t>
        </is>
      </c>
      <c r="B65" s="7" t="inlineStr">
        <is>
          <t>%</t>
        </is>
      </c>
      <c r="C65" s="29" t="n">
        <v>0.28</v>
      </c>
    </row>
    <row r="66"/>
    <row r="67">
      <c r="A67" s="5" t="inlineStr">
        <is>
          <t>PATHS — one column per forecast year</t>
        </is>
      </c>
      <c r="B67" s="6" t="n"/>
      <c r="C67" s="6" t="n"/>
      <c r="D67" s="6" t="n"/>
      <c r="E67" s="6" t="n"/>
      <c r="F67" s="6" t="n"/>
    </row>
    <row r="68">
      <c r="A68" s="12" t="inlineStr">
        <is>
          <t>Driver</t>
        </is>
      </c>
      <c r="B68" s="12" t="inlineStr">
        <is>
          <t>2026E</t>
        </is>
      </c>
      <c r="C68" s="12" t="inlineStr">
        <is>
          <t>2027E</t>
        </is>
      </c>
      <c r="D68" s="12" t="inlineStr">
        <is>
          <t>2028E</t>
        </is>
      </c>
      <c r="E68" s="12" t="inlineStr">
        <is>
          <t>2029E</t>
        </is>
      </c>
      <c r="F68" s="12" t="inlineStr">
        <is>
          <t>2030E</t>
        </is>
      </c>
    </row>
    <row r="69">
      <c r="A69" s="7" t="inlineStr">
        <is>
          <t>Cost of debt path</t>
        </is>
      </c>
      <c r="B69" s="27" t="n">
        <v>0.22</v>
      </c>
      <c r="C69" s="27" t="n">
        <v>0.195</v>
      </c>
      <c r="D69" s="27" t="n">
        <v>0.175</v>
      </c>
      <c r="E69" s="27" t="n">
        <v>0.16</v>
      </c>
      <c r="F69" s="27" t="n">
        <v>0.15</v>
      </c>
    </row>
    <row r="70">
      <c r="A70" s="7" t="inlineStr">
        <is>
          <t>USD/EGP average rate path</t>
        </is>
      </c>
      <c r="B70" s="23" t="n">
        <v>50.9</v>
      </c>
      <c r="C70" s="23" t="n">
        <v>53.4</v>
      </c>
      <c r="D70" s="23" t="n">
        <v>55.8</v>
      </c>
      <c r="E70" s="23" t="n">
        <v>58</v>
      </c>
      <c r="F70" s="23" t="n">
        <v>60.1</v>
      </c>
    </row>
    <row r="71">
      <c r="A71" s="7" t="inlineStr">
        <is>
          <t>Capital expenditure, % of revenue</t>
        </is>
      </c>
      <c r="B71" s="27" t="n">
        <v>0.0145</v>
      </c>
      <c r="C71" s="27" t="n">
        <v>0.014</v>
      </c>
      <c r="D71" s="27" t="n">
        <v>0.0135</v>
      </c>
      <c r="E71" s="27" t="n">
        <v>0.013</v>
      </c>
      <c r="F71" s="27" t="n">
        <v>0.0125</v>
      </c>
    </row>
    <row r="72">
      <c r="A72" s="7" t="inlineStr">
        <is>
          <t>Operating cost load, % of revenue</t>
        </is>
      </c>
      <c r="B72" s="27" t="n">
        <v>0.0125</v>
      </c>
      <c r="C72" s="27" t="n">
        <v>0.0125</v>
      </c>
      <c r="D72" s="27" t="n">
        <v>0.0126</v>
      </c>
      <c r="E72" s="27" t="n">
        <v>0.0127</v>
      </c>
      <c r="F72" s="27" t="n">
        <v>0.0128</v>
      </c>
    </row>
    <row r="73">
      <c r="A73" s="7" t="inlineStr">
        <is>
          <t>Gross margin (forecast)</t>
        </is>
      </c>
      <c r="B73" s="27" t="n">
        <v>0.065</v>
      </c>
      <c r="C73" s="27" t="n">
        <v>0.0665</v>
      </c>
      <c r="D73" s="27" t="n">
        <v>0.0675</v>
      </c>
      <c r="E73" s="27" t="n">
        <v>0.0682</v>
      </c>
      <c r="F73" s="27" t="n">
        <v>0.0688</v>
      </c>
    </row>
    <row r="74">
      <c r="A74" s="7" t="inlineStr">
        <is>
          <t>Total volume growth</t>
        </is>
      </c>
      <c r="B74" s="27" t="n">
        <v>0.055</v>
      </c>
      <c r="C74" s="27" t="n">
        <v>0.04</v>
      </c>
      <c r="D74" s="27" t="n">
        <v>0.035</v>
      </c>
      <c r="E74" s="27" t="n">
        <v>0.03</v>
      </c>
      <c r="F74" s="27" t="n">
        <v>0.025</v>
      </c>
    </row>
    <row r="75">
      <c r="A75" s="7" t="inlineStr">
        <is>
          <t>Specialty volume growth</t>
        </is>
      </c>
      <c r="B75" s="27" t="n">
        <v>0.09</v>
      </c>
      <c r="C75" s="27" t="n">
        <v>0.07000000000000001</v>
      </c>
      <c r="D75" s="27" t="n">
        <v>0.055</v>
      </c>
      <c r="E75" s="27" t="n">
        <v>0.045</v>
      </c>
      <c r="F75" s="27" t="n">
        <v>0.04</v>
      </c>
    </row>
    <row r="76">
      <c r="A76" s="7" t="inlineStr">
        <is>
          <t>Specialty price growth (USD)</t>
        </is>
      </c>
      <c r="B76" s="27" t="n">
        <v>0.02</v>
      </c>
      <c r="C76" s="27" t="n">
        <v>0.02</v>
      </c>
      <c r="D76" s="27" t="n">
        <v>0.02</v>
      </c>
      <c r="E76" s="27" t="n">
        <v>0.02</v>
      </c>
      <c r="F76" s="27" t="n">
        <v>0.02</v>
      </c>
    </row>
    <row r="77">
      <c r="A77" s="7" t="inlineStr">
        <is>
          <t>Fuel price growth (USD)</t>
        </is>
      </c>
      <c r="B77" s="27" t="n">
        <v>0.01</v>
      </c>
      <c r="C77" s="27" t="n">
        <v>0.02</v>
      </c>
      <c r="D77" s="27" t="n">
        <v>0.02</v>
      </c>
      <c r="E77" s="27" t="n">
        <v>0.02</v>
      </c>
      <c r="F77" s="27" t="n">
        <v>0.02</v>
      </c>
    </row>
    <row r="78">
      <c r="A78" s="7" t="inlineStr">
        <is>
          <t>Yield on cash path</t>
        </is>
      </c>
      <c r="B78" s="27" t="n">
        <v>0.17</v>
      </c>
      <c r="C78" s="27" t="n">
        <v>0.15</v>
      </c>
      <c r="D78" s="27" t="n">
        <v>0.135</v>
      </c>
      <c r="E78" s="27" t="n">
        <v>0.125</v>
      </c>
      <c r="F78" s="27" t="n">
        <v>0.118</v>
      </c>
    </row>
    <row r="79"/>
    <row r="80">
      <c r="A80" s="5" t="inlineStr">
        <is>
          <t>HISTORICAL GROSS MARGIN — one column per period</t>
        </is>
      </c>
      <c r="B80" s="6" t="n"/>
      <c r="C80" s="6" t="n"/>
      <c r="D80" s="6" t="n"/>
      <c r="E80" s="6" t="n"/>
      <c r="F80" s="6" t="n"/>
    </row>
    <row r="81">
      <c r="A81" s="12" t="inlineStr">
        <is>
          <t>Period</t>
        </is>
      </c>
      <c r="B81" s="12" t="inlineStr">
        <is>
          <t>FY2022/23</t>
        </is>
      </c>
      <c r="C81" s="12" t="inlineStr">
        <is>
          <t>FY2023/24</t>
        </is>
      </c>
      <c r="D81" s="12" t="inlineStr">
        <is>
          <t>FY2024/25</t>
        </is>
      </c>
      <c r="E81" s="12" t="inlineStr">
        <is>
          <t>CY2025</t>
        </is>
      </c>
    </row>
    <row r="82">
      <c r="A82" s="7" t="inlineStr">
        <is>
          <t>Gross margin (historical)</t>
        </is>
      </c>
      <c r="B82" s="27" t="n">
        <v>0.0576</v>
      </c>
      <c r="C82" s="27" t="n">
        <v>0.06</v>
      </c>
      <c r="D82" s="27" t="n">
        <v>0.062</v>
      </c>
      <c r="E82" s="27" t="n">
        <v>0.064</v>
      </c>
    </row>
    <row r="83">
      <c r="A83" s="7" t="inlineStr">
        <is>
          <t>FY2022/23 is the DISCLOSED margin: gross profit over cost of sales plus gross profit</t>
        </is>
      </c>
    </row>
    <row r="84"/>
    <row r="85">
      <c r="A85" s="5" t="inlineStr">
        <is>
          <t>LENS WEIGHTS</t>
        </is>
      </c>
      <c r="B85" s="6" t="n"/>
      <c r="C85" s="6" t="n"/>
      <c r="D85" s="6" t="n"/>
      <c r="E85" s="6" t="n"/>
      <c r="F85" s="6" t="n"/>
    </row>
    <row r="86">
      <c r="A86" s="7" t="inlineStr">
        <is>
          <t>Discounted cash flow</t>
        </is>
      </c>
      <c r="C86" s="29" t="n">
        <v>0.45</v>
      </c>
    </row>
    <row r="87">
      <c r="A87" s="7" t="inlineStr">
        <is>
          <t>Relative multiples</t>
        </is>
      </c>
      <c r="C87" s="29" t="n">
        <v>0.2</v>
      </c>
    </row>
    <row r="88">
      <c r="A88" s="7" t="inlineStr">
        <is>
          <t>Normalised earnings power</t>
        </is>
      </c>
      <c r="C88" s="29" t="n">
        <v>0.2</v>
      </c>
    </row>
    <row r="89">
      <c r="A89" s="7" t="inlineStr">
        <is>
          <t>Book and sustainable return</t>
        </is>
      </c>
      <c r="C89" s="29" t="n">
        <v>0.15</v>
      </c>
    </row>
    <row r="90">
      <c r="A90" s="13" t="inlineStr">
        <is>
          <t>Total</t>
        </is>
      </c>
      <c r="C90" s="15">
        <f>C86+C87+C88+C89</f>
        <v/>
      </c>
    </row>
    <row r="91"/>
    <row r="92" ht="28" customHeight="1">
      <c r="A92" s="21" t="inlineStr">
        <is>
          <t>Blue cells are the only inputs in this workbook. Everything on every other sheet is a formula pointing back here, except audited history and the two whole-model re-run grids (Monte Carlo, Sensitivity), which are labelled as such on their own sheets.</t>
        </is>
      </c>
    </row>
  </sheetData>
  <mergeCells count="1">
    <mergeCell ref="A92:F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11" t="inlineStr">
        <is>
          <t>Net debt is negative on this name, so the cash pile is ADDED rather than subtracted.</t>
        </is>
      </c>
    </row>
    <row r="3"/>
    <row r="4">
      <c r="A4" s="12" t="inlineStr"/>
      <c r="B4" s="12" t="inlineStr">
        <is>
          <t>EGP mn</t>
        </is>
      </c>
      <c r="C4" s="12" t="inlineStr">
        <is>
          <t>per share</t>
        </is>
      </c>
    </row>
    <row r="5">
      <c r="A5" s="7" t="inlineStr">
        <is>
          <t>Enterprise value (discounted cash flow)</t>
        </is>
      </c>
      <c r="B5" s="18">
        <f>DCF!$B$36</f>
        <v/>
      </c>
      <c r="C5" s="20">
        <f>B5/Assumptions!$C$6</f>
        <v/>
      </c>
    </row>
    <row r="6">
      <c r="A6" s="7" t="inlineStr">
        <is>
          <t>less net debt (negative = net cash added)</t>
        </is>
      </c>
      <c r="B6" s="18">
        <f>DCF!$B$49</f>
        <v/>
      </c>
      <c r="C6" s="20">
        <f>B6/Assumptions!$C$6</f>
        <v/>
      </c>
    </row>
    <row r="7">
      <c r="A7" s="7" t="inlineStr">
        <is>
          <t>Equity value before minority interests</t>
        </is>
      </c>
      <c r="B7" s="17">
        <f>B5-B6</f>
        <v/>
      </c>
      <c r="C7" s="20">
        <f>B7/Assumptions!$C$6</f>
        <v/>
      </c>
    </row>
    <row r="8">
      <c r="A8" s="7" t="inlineStr">
        <is>
          <t>Minority share of group profit</t>
        </is>
      </c>
      <c r="B8" s="9">
        <f>Assumptions!$C$61</f>
        <v/>
      </c>
    </row>
    <row r="9">
      <c r="A9" s="7" t="inlineStr">
        <is>
          <t>less minority interests</t>
        </is>
      </c>
      <c r="B9" s="17">
        <f>B7*B8</f>
        <v/>
      </c>
      <c r="C9" s="20">
        <f>B9/Assumptions!$C$6</f>
        <v/>
      </c>
    </row>
    <row r="10">
      <c r="A10" s="13" t="inlineStr">
        <is>
          <t>EQUITY ATTRIBUTABLE TO SHAREHOLDERS</t>
        </is>
      </c>
      <c r="B10" s="31">
        <f>B7-B9</f>
        <v/>
      </c>
    </row>
    <row r="11">
      <c r="A11" s="7" t="inlineStr">
        <is>
          <t>Shares outstanding (mn)</t>
        </is>
      </c>
      <c r="B11" s="32">
        <f>Assumptions!$C$6</f>
        <v/>
      </c>
    </row>
    <row r="12">
      <c r="A12" s="13" t="inlineStr">
        <is>
          <t>FAIR VALUE PER SHARE (EGP)</t>
        </is>
      </c>
      <c r="B12" s="14">
        <f>B10/B11</f>
        <v/>
      </c>
    </row>
    <row r="13">
      <c r="A13" s="13" t="inlineStr">
        <is>
          <t>TERMINAL VALUE AS A SHARE OF ENTERPRISE VALUE</t>
        </is>
      </c>
      <c r="B13" s="33">
        <f>DCF!$B$35</f>
        <v/>
      </c>
    </row>
    <row r="14">
      <c r="A14" s="7" t="inlineStr">
        <is>
          <t>Spot price (EGP)</t>
        </is>
      </c>
      <c r="B14" s="8">
        <f>Assumptions!$C$5</f>
        <v/>
      </c>
    </row>
    <row r="15">
      <c r="A15" s="7" t="inlineStr">
        <is>
          <t>Implied against spot</t>
        </is>
      </c>
      <c r="B15" s="16">
        <f>B12/B14-1</f>
        <v/>
      </c>
    </row>
    <row r="16"/>
    <row r="17" ht="28" customHeight="1">
      <c r="A17" s="21" t="inlineStr">
        <is>
          <t>The minority deduction is taken on the equity value AFTER net debt, not on the enterprise value, so the minority does not carry a share of the parent's cash. Doubling the minority share to 6% is one of the contested choices computed in the study and moves the answer by roughly three per cent.</t>
        </is>
      </c>
    </row>
  </sheetData>
  <mergeCells count="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Revenue build — two product legs, volume x dollar price x exchange rate</t>
        </is>
      </c>
      <c r="B1" s="2" t="n"/>
      <c r="C1" s="2" t="n"/>
      <c r="D1" s="2" t="n"/>
      <c r="E1" s="2" t="n"/>
      <c r="F1" s="2" t="n"/>
      <c r="G1" s="2" t="n"/>
    </row>
    <row r="2">
      <c r="A2" s="11" t="inlineStr">
        <is>
          <t>Not one growth rate. The specialty leg (base oils, paraffin wax, special oils) carries the margin; the fuel and by-product leg is close to pass-through.</t>
        </is>
      </c>
    </row>
    <row r="3"/>
    <row r="4">
      <c r="A4" s="12" t="inlineStr"/>
      <c r="B4" s="12" t="inlineStr">
        <is>
          <t>CY2025</t>
        </is>
      </c>
      <c r="C4" s="12" t="inlineStr">
        <is>
          <t>2026E</t>
        </is>
      </c>
      <c r="D4" s="12" t="inlineStr">
        <is>
          <t>2027E</t>
        </is>
      </c>
      <c r="E4" s="12" t="inlineStr">
        <is>
          <t>2028E</t>
        </is>
      </c>
      <c r="F4" s="12" t="inlineStr">
        <is>
          <t>2029E</t>
        </is>
      </c>
      <c r="G4" s="12" t="inlineStr">
        <is>
          <t>2030E</t>
        </is>
      </c>
    </row>
    <row r="5">
      <c r="A5" s="13" t="inlineStr">
        <is>
          <t>Total sales volume (mn tonnes)</t>
        </is>
      </c>
      <c r="B5" s="34">
        <f>Assumptions!$C$28*2*Assumptions!$C$29</f>
        <v/>
      </c>
      <c r="C5" s="34">
        <f>B5*(1+Assumptions!$B$74)</f>
        <v/>
      </c>
      <c r="D5" s="34">
        <f>C5*(1+Assumptions!$C$74)</f>
        <v/>
      </c>
      <c r="E5" s="34">
        <f>D5*(1+Assumptions!$D$74)</f>
        <v/>
      </c>
      <c r="F5" s="34">
        <f>E5*(1+Assumptions!$E$74)</f>
        <v/>
      </c>
      <c r="G5" s="34">
        <f>F5*(1+Assumptions!$F$74)</f>
        <v/>
      </c>
    </row>
    <row r="6">
      <c r="A6" s="7" t="inlineStr">
        <is>
          <t>Specialty volume (mn tonnes)</t>
        </is>
      </c>
      <c r="B6" s="34">
        <f>Assumptions!$C$27*(B5/Assumptions!$C$26)</f>
        <v/>
      </c>
      <c r="C6" s="34">
        <f>B6*(1+Assumptions!$B$75)</f>
        <v/>
      </c>
      <c r="D6" s="34">
        <f>C6*(1+Assumptions!$C$75)</f>
        <v/>
      </c>
      <c r="E6" s="34">
        <f>D6*(1+Assumptions!$D$75)</f>
        <v/>
      </c>
      <c r="F6" s="34">
        <f>E6*(1+Assumptions!$E$75)</f>
        <v/>
      </c>
      <c r="G6" s="34">
        <f>F6*(1+Assumptions!$F$75)</f>
        <v/>
      </c>
    </row>
    <row r="7">
      <c r="A7" s="7" t="inlineStr">
        <is>
          <t>Fuel and by-product volume (mn tonnes)</t>
        </is>
      </c>
      <c r="B7" s="34">
        <f>B5-B6</f>
        <v/>
      </c>
      <c r="C7" s="34">
        <f>C5-C6</f>
        <v/>
      </c>
      <c r="D7" s="34">
        <f>D5-D6</f>
        <v/>
      </c>
      <c r="E7" s="34">
        <f>E5-E6</f>
        <v/>
      </c>
      <c r="F7" s="34">
        <f>F5-F6</f>
        <v/>
      </c>
      <c r="G7" s="34">
        <f>G5-G6</f>
        <v/>
      </c>
    </row>
    <row r="8">
      <c r="A8" s="7" t="inlineStr">
        <is>
          <t>Specialty share of volume</t>
        </is>
      </c>
      <c r="B8" s="16">
        <f>B6/B5</f>
        <v/>
      </c>
      <c r="C8" s="16">
        <f>C6/C5</f>
        <v/>
      </c>
      <c r="D8" s="16">
        <f>D6/D5</f>
        <v/>
      </c>
      <c r="E8" s="16">
        <f>E6/E5</f>
        <v/>
      </c>
      <c r="F8" s="16">
        <f>F6/F5</f>
        <v/>
      </c>
      <c r="G8" s="16">
        <f>G6/G5</f>
        <v/>
      </c>
    </row>
    <row r="9"/>
    <row r="10">
      <c r="A10" s="5" t="inlineStr">
        <is>
          <t>REALISED PRICES</t>
        </is>
      </c>
      <c r="B10" s="6" t="n"/>
      <c r="C10" s="6" t="n"/>
      <c r="D10" s="6" t="n"/>
      <c r="E10" s="6" t="n"/>
      <c r="F10" s="6" t="n"/>
      <c r="G10" s="6" t="n"/>
    </row>
    <row r="11">
      <c r="A11" s="7" t="inlineStr">
        <is>
          <t>Specialty price (USD / tonne)</t>
        </is>
      </c>
      <c r="B11" s="18">
        <f>Assumptions!$C$30</f>
        <v/>
      </c>
      <c r="C11" s="17">
        <f>B11*(1+Assumptions!$B$76)</f>
        <v/>
      </c>
      <c r="D11" s="17">
        <f>C11*(1+Assumptions!$C$76)</f>
        <v/>
      </c>
      <c r="E11" s="17">
        <f>D11*(1+Assumptions!$D$76)</f>
        <v/>
      </c>
      <c r="F11" s="17">
        <f>E11*(1+Assumptions!$E$76)</f>
        <v/>
      </c>
      <c r="G11" s="17">
        <f>F11*(1+Assumptions!$F$76)</f>
        <v/>
      </c>
    </row>
    <row r="12">
      <c r="A12" s="7" t="inlineStr">
        <is>
          <t>Fuel price (USD / tonne)</t>
        </is>
      </c>
      <c r="B12" s="17">
        <f>B27</f>
        <v/>
      </c>
      <c r="C12" s="17">
        <f>B12*(1+Assumptions!$B$77)</f>
        <v/>
      </c>
      <c r="D12" s="17">
        <f>C12*(1+Assumptions!$C$77)</f>
        <v/>
      </c>
      <c r="E12" s="17">
        <f>D12*(1+Assumptions!$D$77)</f>
        <v/>
      </c>
      <c r="F12" s="17">
        <f>E12*(1+Assumptions!$E$77)</f>
        <v/>
      </c>
      <c r="G12" s="17">
        <f>F12*(1+Assumptions!$F$77)</f>
        <v/>
      </c>
    </row>
    <row r="13">
      <c r="A13" s="7" t="inlineStr">
        <is>
          <t>USD/EGP average rate</t>
        </is>
      </c>
      <c r="B13" s="32">
        <f>Assumptions!$C$31</f>
        <v/>
      </c>
      <c r="C13" s="32">
        <f>Assumptions!$B$70</f>
        <v/>
      </c>
      <c r="D13" s="32">
        <f>Assumptions!$C$70</f>
        <v/>
      </c>
      <c r="E13" s="32">
        <f>Assumptions!$D$70</f>
        <v/>
      </c>
      <c r="F13" s="32">
        <f>Assumptions!$E$70</f>
        <v/>
      </c>
      <c r="G13" s="32">
        <f>Assumptions!$F$70</f>
        <v/>
      </c>
    </row>
    <row r="14"/>
    <row r="15">
      <c r="A15" s="5" t="inlineStr">
        <is>
          <t>REVENUE BY LEG (EGP mn)</t>
        </is>
      </c>
      <c r="B15" s="6" t="n"/>
      <c r="C15" s="6" t="n"/>
      <c r="D15" s="6" t="n"/>
      <c r="E15" s="6" t="n"/>
      <c r="F15" s="6" t="n"/>
      <c r="G15" s="6" t="n"/>
    </row>
    <row r="16">
      <c r="A16" s="7" t="inlineStr">
        <is>
          <t>Specialty oils and waxes</t>
        </is>
      </c>
      <c r="B16" s="17">
        <f>B6*B11*B13</f>
        <v/>
      </c>
      <c r="C16" s="17">
        <f>C6*C11*C13</f>
        <v/>
      </c>
      <c r="D16" s="17">
        <f>D6*D11*D13</f>
        <v/>
      </c>
      <c r="E16" s="17">
        <f>E6*E11*E13</f>
        <v/>
      </c>
      <c r="F16" s="17">
        <f>F6*F11*F13</f>
        <v/>
      </c>
      <c r="G16" s="17">
        <f>G6*G11*G13</f>
        <v/>
      </c>
    </row>
    <row r="17">
      <c r="A17" s="7" t="inlineStr">
        <is>
          <t>Fuel and by-products</t>
        </is>
      </c>
      <c r="B17" s="17">
        <f>B7*B12*B13</f>
        <v/>
      </c>
      <c r="C17" s="17">
        <f>C7*C12*C13</f>
        <v/>
      </c>
      <c r="D17" s="17">
        <f>D7*D12*D13</f>
        <v/>
      </c>
      <c r="E17" s="17">
        <f>E7*E12*E13</f>
        <v/>
      </c>
      <c r="F17" s="17">
        <f>F7*F12*F13</f>
        <v/>
      </c>
      <c r="G17" s="17">
        <f>G7*G12*G13</f>
        <v/>
      </c>
    </row>
    <row r="18">
      <c r="A18" s="13" t="inlineStr">
        <is>
          <t>Total revenue</t>
        </is>
      </c>
      <c r="B18" s="31">
        <f>B16+B17</f>
        <v/>
      </c>
      <c r="C18" s="31">
        <f>C16+C17</f>
        <v/>
      </c>
      <c r="D18" s="31">
        <f>D16+D17</f>
        <v/>
      </c>
      <c r="E18" s="31">
        <f>E16+E17</f>
        <v/>
      </c>
      <c r="F18" s="31">
        <f>F16+F17</f>
        <v/>
      </c>
      <c r="G18" s="31">
        <f>G16+G17</f>
        <v/>
      </c>
    </row>
    <row r="19">
      <c r="A19" s="7" t="inlineStr">
        <is>
          <t>Specialty share of revenue</t>
        </is>
      </c>
      <c r="B19" s="16">
        <f>B16/B18</f>
        <v/>
      </c>
      <c r="C19" s="16">
        <f>C16/C18</f>
        <v/>
      </c>
      <c r="D19" s="16">
        <f>D16/D18</f>
        <v/>
      </c>
      <c r="E19" s="16">
        <f>E16/E18</f>
        <v/>
      </c>
      <c r="F19" s="16">
        <f>F16/F18</f>
        <v/>
      </c>
      <c r="G19" s="16">
        <f>G16/G18</f>
        <v/>
      </c>
    </row>
    <row r="20"/>
    <row r="21">
      <c r="A21" s="5" t="inlineStr">
        <is>
          <t>CALENDAR-2025 BASE, CONSTRUCTED FROM TWO DISCLOSED HALVES</t>
        </is>
      </c>
      <c r="B21" s="6" t="n"/>
      <c r="C21" s="6" t="n"/>
      <c r="D21" s="6" t="n"/>
      <c r="E21" s="6" t="n"/>
      <c r="F21" s="6" t="n"/>
      <c r="G21" s="6" t="n"/>
    </row>
    <row r="22">
      <c r="A22" s="7" t="inlineStr">
        <is>
          <t>FY2024/25 revenue (average of three disclosed methods)</t>
        </is>
      </c>
      <c r="B22" s="17">
        <f>(Assumptions!$C$16+Assumptions!$C$17+Assumptions!$C$18)/3</f>
        <v/>
      </c>
    </row>
    <row r="23">
      <c r="A23" s="7" t="inlineStr">
        <is>
          <t>less July-December 2024 half (disclosed)</t>
        </is>
      </c>
      <c r="B23" s="18">
        <f>Assumptions!$C$20</f>
        <v/>
      </c>
    </row>
    <row r="24">
      <c r="A24" s="7" t="inlineStr">
        <is>
          <t>January-June 2025</t>
        </is>
      </c>
      <c r="B24" s="17">
        <f>B22-B23</f>
        <v/>
      </c>
    </row>
    <row r="25">
      <c r="A25" s="7" t="inlineStr">
        <is>
          <t>plus July-December 2025 transition period (disclosed)</t>
        </is>
      </c>
      <c r="B25" s="18">
        <f>Assumptions!$C$22</f>
        <v/>
      </c>
    </row>
    <row r="26">
      <c r="A26" s="13" t="inlineStr">
        <is>
          <t>CALENDAR 2025 REVENUE</t>
        </is>
      </c>
      <c r="B26" s="31">
        <f>B24+B25</f>
        <v/>
      </c>
    </row>
    <row r="27">
      <c r="A27" s="7" t="inlineStr">
        <is>
          <t>Implied fuel-leg price (USD / tonne), the residual</t>
        </is>
      </c>
      <c r="B27" s="17">
        <f>(B26-B16)/B7/B13</f>
        <v/>
      </c>
    </row>
    <row r="28"/>
    <row r="29">
      <c r="A29" s="7" t="inlineStr">
        <is>
          <t>Calendar 2025 profit after tax, same construction</t>
        </is>
      </c>
      <c r="B29" s="17">
        <f>(Assumptions!$C$19-Assumptions!$C$21)+Assumptions!$C$23</f>
        <v/>
      </c>
    </row>
    <row r="30"/>
    <row r="31" ht="28" customHeight="1">
      <c r="A31" s="21" t="inlineStr">
        <is>
          <t>Every cell on this sheet is a formula. The base-year fuel price is deliberately the residual: the specialty leg is priced off an observable and the fuel leg absorbs whatever is left, so the split can be checked against a plausible gas-oil / naphtha / fuel-oil realisation rather than being fitted to a target.</t>
        </is>
      </c>
    </row>
  </sheetData>
  <mergeCells count="1">
    <mergeCell ref="A31:G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11" t="inlineStr">
        <is>
          <t>The three cross-check lenses, each built on the sheet.</t>
        </is>
      </c>
    </row>
    <row r="3"/>
    <row r="4">
      <c r="A4" s="5" t="inlineStr">
        <is>
          <t>LENS 2 — RELATIVE MULTIPLES</t>
        </is>
      </c>
      <c r="B4" s="6" t="n"/>
      <c r="C4" s="6" t="n"/>
      <c r="D4" s="6" t="n"/>
      <c r="E4" s="6" t="n"/>
      <c r="F4" s="6" t="n"/>
    </row>
    <row r="5">
      <c r="A5" s="7" t="inlineStr">
        <is>
          <t>2027E EBITDA</t>
        </is>
      </c>
      <c r="B5" s="18">
        <f>DCF!C9</f>
        <v/>
      </c>
    </row>
    <row r="6">
      <c r="A6" s="7" t="inlineStr">
        <is>
          <t>Justified enterprise value / EBITDA</t>
        </is>
      </c>
      <c r="B6" s="19">
        <f>Assumptions!$C$63</f>
        <v/>
      </c>
    </row>
    <row r="7">
      <c r="A7" s="7" t="inlineStr">
        <is>
          <t>Enterprise value as at end-2027</t>
        </is>
      </c>
      <c r="B7" s="17">
        <f>B5*B6</f>
        <v/>
      </c>
    </row>
    <row r="8">
      <c r="A8" s="7" t="inlineStr">
        <is>
          <t>Year-2 discount factor</t>
        </is>
      </c>
      <c r="B8" s="35">
        <f>DCF!C19</f>
        <v/>
      </c>
    </row>
    <row r="9">
      <c r="A9" s="7" t="inlineStr">
        <is>
          <t>Enterprise value discounted to today</t>
        </is>
      </c>
      <c r="B9" s="17">
        <f>B7*B8</f>
        <v/>
      </c>
    </row>
    <row r="10">
      <c r="A10" s="7" t="inlineStr">
        <is>
          <t>less net debt (net cash added)</t>
        </is>
      </c>
      <c r="B10" s="18">
        <f>DCF!$B$49</f>
        <v/>
      </c>
    </row>
    <row r="11">
      <c r="A11" s="13" t="inlineStr">
        <is>
          <t>IMPLIED VALUE PER SHARE (EGP)</t>
        </is>
      </c>
      <c r="B11" s="14">
        <f>(B9-B10)*(1-Assumptions!$C$61)/Assumptions!$C$6</f>
        <v/>
      </c>
    </row>
    <row r="12">
      <c r="A12" s="7" t="inlineStr">
        <is>
          <t>Trailing enterprise value / EBITDA (company)</t>
        </is>
      </c>
      <c r="B12" s="36">
        <f>(Assumptions!$C$5*Assumptions!$C$6+DCF!$B$49)/'Income Statement'!E9</f>
        <v/>
      </c>
    </row>
    <row r="13">
      <c r="A13" s="7" t="inlineStr">
        <is>
          <t>Trailing price / earnings (company)</t>
        </is>
      </c>
      <c r="B13" s="36">
        <f>Assumptions!$C$5/'Income Statement'!E20</f>
        <v/>
      </c>
    </row>
    <row r="14"/>
    <row r="15">
      <c r="A15" s="5" t="inlineStr">
        <is>
          <t>LENS 3 — NORMALISED EARNINGS POWER</t>
        </is>
      </c>
      <c r="B15" s="6" t="n"/>
      <c r="C15" s="6" t="n"/>
      <c r="D15" s="6" t="n"/>
      <c r="E15" s="6" t="n"/>
      <c r="F15" s="6" t="n"/>
    </row>
    <row r="16">
      <c r="A16" s="7" t="inlineStr">
        <is>
          <t>2028E EBITDA</t>
        </is>
      </c>
      <c r="B16" s="18">
        <f>DCF!D9</f>
        <v/>
      </c>
    </row>
    <row r="17">
      <c r="A17" s="7" t="inlineStr">
        <is>
          <t>less depreciation and amortisation</t>
        </is>
      </c>
      <c r="B17" s="18">
        <f>DCF!D11</f>
        <v/>
      </c>
    </row>
    <row r="18">
      <c r="A18" s="7" t="inlineStr">
        <is>
          <t>EBIT</t>
        </is>
      </c>
      <c r="B18" s="17">
        <f>B16-B17</f>
        <v/>
      </c>
    </row>
    <row r="19">
      <c r="A19" s="7" t="inlineStr">
        <is>
          <t>add net finance income</t>
        </is>
      </c>
      <c r="B19" s="18">
        <f>'Cash Flow'!D16</f>
        <v/>
      </c>
    </row>
    <row r="20">
      <c r="A20" s="7" t="inlineStr">
        <is>
          <t>Attributable normalised earnings</t>
        </is>
      </c>
      <c r="B20" s="17">
        <f>(B18+B19)*(1-Assumptions!$C$52)*(1-Assumptions!$C$61)</f>
        <v/>
      </c>
    </row>
    <row r="21">
      <c r="A21" s="7" t="inlineStr">
        <is>
          <t>Normalised earnings per share (EGP)</t>
        </is>
      </c>
      <c r="B21" s="20">
        <f>B20/Assumptions!$C$6</f>
        <v/>
      </c>
    </row>
    <row r="22">
      <c r="A22" s="7" t="inlineStr">
        <is>
          <t>Justified price / earnings</t>
        </is>
      </c>
      <c r="B22" s="19">
        <f>Assumptions!$C$64</f>
        <v/>
      </c>
    </row>
    <row r="23">
      <c r="A23" s="13" t="inlineStr">
        <is>
          <t>IMPLIED VALUE PER SHARE (EGP)</t>
        </is>
      </c>
      <c r="B23" s="14">
        <f>B21*B22</f>
        <v/>
      </c>
    </row>
    <row r="24"/>
    <row r="25">
      <c r="A25" s="5" t="inlineStr">
        <is>
          <t>LENS 4 — BOOK VALUE AND SUSTAINABLE RETURN</t>
        </is>
      </c>
      <c r="B25" s="6" t="n"/>
      <c r="C25" s="6" t="n"/>
      <c r="D25" s="6" t="n"/>
      <c r="E25" s="6" t="n"/>
      <c r="F25" s="6" t="n"/>
    </row>
    <row r="26">
      <c r="A26" s="7" t="inlineStr">
        <is>
          <t>Attributable book value per share (EGP)</t>
        </is>
      </c>
      <c r="B26" s="20">
        <f>'Balance Sheet'!E20/Assumptions!$C$6</f>
        <v/>
      </c>
    </row>
    <row r="27">
      <c r="A27" s="7" t="inlineStr">
        <is>
          <t>Sustainable return on equity</t>
        </is>
      </c>
      <c r="B27" s="9">
        <f>Assumptions!$C$65</f>
        <v/>
      </c>
    </row>
    <row r="28">
      <c r="A28" s="7" t="inlineStr">
        <is>
          <t>Perpetual cost of equity</t>
        </is>
      </c>
      <c r="B28" s="10">
        <f>DCF!$B$59</f>
        <v/>
      </c>
    </row>
    <row r="29">
      <c r="A29" s="7" t="inlineStr">
        <is>
          <t>Terminal growth</t>
        </is>
      </c>
      <c r="B29" s="10">
        <f>Assumptions!$C$57</f>
        <v/>
      </c>
    </row>
    <row r="30">
      <c r="A30" s="7" t="inlineStr">
        <is>
          <t>Justified price / book</t>
        </is>
      </c>
      <c r="B30" s="36">
        <f>(B27-B29)/(B28-B29)</f>
        <v/>
      </c>
    </row>
    <row r="31">
      <c r="A31" s="13" t="inlineStr">
        <is>
          <t>IMPLIED VALUE PER SHARE (EGP)</t>
        </is>
      </c>
      <c r="B31" s="14">
        <f>B30*B26</f>
        <v/>
      </c>
    </row>
    <row r="32">
      <c r="A32" s="7" t="inlineStr">
        <is>
          <t>Trailing return on average attributable equity</t>
        </is>
      </c>
      <c r="B32" s="16">
        <f>'Income Statement'!E19/(('Balance Sheet'!D20+'Balance Sheet'!E20)/2)</f>
        <v/>
      </c>
    </row>
    <row r="33"/>
    <row r="34" ht="28" customHeight="1">
      <c r="A34" s="21" t="inlineStr">
        <is>
          <t>The relative lens discounts a FORWARD enterprise value back to today; a multiple applied to a future year produces a value as at that year, not now. The book lens uses the PERPETUAL cost of equity inside the perpetuity identity, because a blended rate inside a perpetuity formula is internally inconsistent.</t>
        </is>
      </c>
    </row>
  </sheetData>
  <mergeCells count="1">
    <mergeCell ref="A34:F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primary lens</t>
        </is>
      </c>
      <c r="B1" s="2" t="n"/>
      <c r="C1" s="2" t="n"/>
      <c r="D1" s="2" t="n"/>
      <c r="E1" s="2" t="n"/>
      <c r="F1" s="2" t="n"/>
      <c r="G1" s="2" t="n"/>
    </row>
    <row r="2">
      <c r="A2" s="11" t="inlineStr">
        <is>
          <t>Cost of capital built in the sheet; glide inherited from the cost-of-debt path; waterfall chained to the present value of free cash flow to the firm.</t>
        </is>
      </c>
    </row>
    <row r="3"/>
    <row r="4">
      <c r="A4" s="12" t="inlineStr">
        <is>
          <t>Free cash flow to the firm (EGP mn)</t>
        </is>
      </c>
      <c r="B4" s="12" t="inlineStr">
        <is>
          <t>2026E</t>
        </is>
      </c>
      <c r="C4" s="12" t="inlineStr">
        <is>
          <t>2027E</t>
        </is>
      </c>
      <c r="D4" s="12" t="inlineStr">
        <is>
          <t>2028E</t>
        </is>
      </c>
      <c r="E4" s="12" t="inlineStr">
        <is>
          <t>2029E</t>
        </is>
      </c>
      <c r="F4" s="12" t="inlineStr">
        <is>
          <t>2030E</t>
        </is>
      </c>
    </row>
    <row r="5">
      <c r="A5" s="7" t="inlineStr">
        <is>
          <t>Revenue</t>
        </is>
      </c>
      <c r="B5" s="18">
        <f>'Product Legs'!$C$18</f>
        <v/>
      </c>
      <c r="C5" s="18">
        <f>'Product Legs'!$D$18</f>
        <v/>
      </c>
      <c r="D5" s="18">
        <f>'Product Legs'!$E$18</f>
        <v/>
      </c>
      <c r="E5" s="18">
        <f>'Product Legs'!$F$18</f>
        <v/>
      </c>
      <c r="F5" s="18">
        <f>'Product Legs'!$G$18</f>
        <v/>
      </c>
    </row>
    <row r="6">
      <c r="A6" s="7" t="inlineStr">
        <is>
          <t>Gross margin</t>
        </is>
      </c>
      <c r="B6" s="10">
        <f>Assumptions!$B$73</f>
        <v/>
      </c>
      <c r="C6" s="10">
        <f>Assumptions!$C$73</f>
        <v/>
      </c>
      <c r="D6" s="10">
        <f>Assumptions!$D$73</f>
        <v/>
      </c>
      <c r="E6" s="10">
        <f>Assumptions!$E$73</f>
        <v/>
      </c>
      <c r="F6" s="10">
        <f>Assumptions!$F$73</f>
        <v/>
      </c>
    </row>
    <row r="7">
      <c r="A7" s="7" t="inlineStr">
        <is>
          <t>Gross profit</t>
        </is>
      </c>
      <c r="B7" s="17">
        <f>B5*B6</f>
        <v/>
      </c>
      <c r="C7" s="17">
        <f>C5*C6</f>
        <v/>
      </c>
      <c r="D7" s="17">
        <f>D5*D6</f>
        <v/>
      </c>
      <c r="E7" s="17">
        <f>E5*E6</f>
        <v/>
      </c>
      <c r="F7" s="17">
        <f>F5*F6</f>
        <v/>
      </c>
    </row>
    <row r="8">
      <c r="A8" s="7" t="inlineStr">
        <is>
          <t>less operating cost load</t>
        </is>
      </c>
      <c r="B8" s="17">
        <f>B5*Assumptions!$B$72</f>
        <v/>
      </c>
      <c r="C8" s="17">
        <f>C5*Assumptions!$C$72</f>
        <v/>
      </c>
      <c r="D8" s="17">
        <f>D5*Assumptions!$D$72</f>
        <v/>
      </c>
      <c r="E8" s="17">
        <f>E5*Assumptions!$E$72</f>
        <v/>
      </c>
      <c r="F8" s="17">
        <f>F5*Assumptions!$F$72</f>
        <v/>
      </c>
    </row>
    <row r="9">
      <c r="A9" s="13" t="inlineStr">
        <is>
          <t>EBITDA</t>
        </is>
      </c>
      <c r="B9" s="31">
        <f>B7-B8</f>
        <v/>
      </c>
      <c r="C9" s="31">
        <f>C7-C8</f>
        <v/>
      </c>
      <c r="D9" s="31">
        <f>D7-D8</f>
        <v/>
      </c>
      <c r="E9" s="31">
        <f>E7-E8</f>
        <v/>
      </c>
      <c r="F9" s="31">
        <f>F7-F8</f>
        <v/>
      </c>
    </row>
    <row r="10">
      <c r="A10" s="7" t="inlineStr">
        <is>
          <t>EBITDA margin</t>
        </is>
      </c>
      <c r="B10" s="16">
        <f>B9/B5</f>
        <v/>
      </c>
      <c r="C10" s="16">
        <f>C9/C5</f>
        <v/>
      </c>
      <c r="D10" s="16">
        <f>D9/D5</f>
        <v/>
      </c>
      <c r="E10" s="16">
        <f>E9/E5</f>
        <v/>
      </c>
      <c r="F10" s="16">
        <f>F9/F5</f>
        <v/>
      </c>
    </row>
    <row r="11">
      <c r="A11" s="7" t="inlineStr">
        <is>
          <t>less depreciation and amortisation</t>
        </is>
      </c>
      <c r="B11" s="17">
        <f>B5*Assumptions!$C$60</f>
        <v/>
      </c>
      <c r="C11" s="17">
        <f>C5*Assumptions!$C$60</f>
        <v/>
      </c>
      <c r="D11" s="17">
        <f>D5*Assumptions!$C$60</f>
        <v/>
      </c>
      <c r="E11" s="17">
        <f>E5*Assumptions!$C$60</f>
        <v/>
      </c>
      <c r="F11" s="17">
        <f>F5*Assumptions!$C$60</f>
        <v/>
      </c>
    </row>
    <row r="12">
      <c r="A12" s="13" t="inlineStr">
        <is>
          <t>EBIT</t>
        </is>
      </c>
      <c r="B12" s="31">
        <f>B9-B11</f>
        <v/>
      </c>
      <c r="C12" s="31">
        <f>C9-C11</f>
        <v/>
      </c>
      <c r="D12" s="31">
        <f>D9-D11</f>
        <v/>
      </c>
      <c r="E12" s="31">
        <f>E9-E11</f>
        <v/>
      </c>
      <c r="F12" s="31">
        <f>F9-F11</f>
        <v/>
      </c>
    </row>
    <row r="13">
      <c r="A13" s="7" t="inlineStr">
        <is>
          <t>NOPAT = EBIT x (1 - tax)</t>
        </is>
      </c>
      <c r="B13" s="17">
        <f>B12*(1-Assumptions!$C$52)</f>
        <v/>
      </c>
      <c r="C13" s="17">
        <f>C12*(1-Assumptions!$C$52)</f>
        <v/>
      </c>
      <c r="D13" s="17">
        <f>D12*(1-Assumptions!$C$52)</f>
        <v/>
      </c>
      <c r="E13" s="17">
        <f>E12*(1-Assumptions!$C$52)</f>
        <v/>
      </c>
      <c r="F13" s="17">
        <f>F12*(1-Assumptions!$C$52)</f>
        <v/>
      </c>
    </row>
    <row r="14">
      <c r="A14" s="7" t="inlineStr">
        <is>
          <t>add back depreciation and amortisation</t>
        </is>
      </c>
      <c r="B14" s="17">
        <f>B11</f>
        <v/>
      </c>
      <c r="C14" s="17">
        <f>C11</f>
        <v/>
      </c>
      <c r="D14" s="17">
        <f>D11</f>
        <v/>
      </c>
      <c r="E14" s="17">
        <f>E11</f>
        <v/>
      </c>
      <c r="F14" s="17">
        <f>F11</f>
        <v/>
      </c>
    </row>
    <row r="15">
      <c r="A15" s="7" t="inlineStr">
        <is>
          <t>less capital expenditure</t>
        </is>
      </c>
      <c r="B15" s="17">
        <f>B5*Assumptions!$B$71</f>
        <v/>
      </c>
      <c r="C15" s="17">
        <f>C5*Assumptions!$C$71</f>
        <v/>
      </c>
      <c r="D15" s="17">
        <f>D5*Assumptions!$D$71</f>
        <v/>
      </c>
      <c r="E15" s="17">
        <f>E5*Assumptions!$E$71</f>
        <v/>
      </c>
      <c r="F15" s="17">
        <f>F5*Assumptions!$F$71</f>
        <v/>
      </c>
    </row>
    <row r="16">
      <c r="A16" s="7" t="inlineStr">
        <is>
          <t>Net working capital</t>
        </is>
      </c>
      <c r="B16" s="17">
        <f>B5*'Balance Sheet'!$C$26</f>
        <v/>
      </c>
      <c r="C16" s="17">
        <f>C5*'Balance Sheet'!$C$26</f>
        <v/>
      </c>
      <c r="D16" s="17">
        <f>D5*'Balance Sheet'!$C$26</f>
        <v/>
      </c>
      <c r="E16" s="17">
        <f>E5*'Balance Sheet'!$C$26</f>
        <v/>
      </c>
      <c r="F16" s="17">
        <f>F5*'Balance Sheet'!$C$26</f>
        <v/>
      </c>
    </row>
    <row r="17">
      <c r="A17" s="7" t="inlineStr">
        <is>
          <t>less change in net working capital</t>
        </is>
      </c>
      <c r="B17" s="17">
        <f>B16-'Balance Sheet'!$E$25</f>
        <v/>
      </c>
      <c r="C17" s="17">
        <f>C16-B16</f>
        <v/>
      </c>
      <c r="D17" s="17">
        <f>D16-C16</f>
        <v/>
      </c>
      <c r="E17" s="17">
        <f>E16-D16</f>
        <v/>
      </c>
      <c r="F17" s="17">
        <f>F16-E16</f>
        <v/>
      </c>
    </row>
    <row r="18">
      <c r="A18" s="13" t="inlineStr">
        <is>
          <t>FREE CASH FLOW TO THE FIRM</t>
        </is>
      </c>
      <c r="B18" s="31">
        <f>B13+B11-B15-B17</f>
        <v/>
      </c>
      <c r="C18" s="31">
        <f>C13+C11-C15-C17</f>
        <v/>
      </c>
      <c r="D18" s="31">
        <f>D13+D11-D15-D17</f>
        <v/>
      </c>
      <c r="E18" s="31">
        <f>E13+E11-E15-E17</f>
        <v/>
      </c>
      <c r="F18" s="31">
        <f>F13+F11-F15-F17</f>
        <v/>
      </c>
    </row>
    <row r="19">
      <c r="A19" s="7" t="inlineStr">
        <is>
          <t>Discount factor</t>
        </is>
      </c>
      <c r="B19" s="37">
        <f>B69</f>
        <v/>
      </c>
      <c r="C19" s="37">
        <f>C69</f>
        <v/>
      </c>
      <c r="D19" s="37">
        <f>D69</f>
        <v/>
      </c>
      <c r="E19" s="37">
        <f>E69</f>
        <v/>
      </c>
      <c r="F19" s="37">
        <f>F69</f>
        <v/>
      </c>
    </row>
    <row r="20">
      <c r="A20" s="13" t="inlineStr">
        <is>
          <t>PRESENT VALUE OF FREE CASH FLOW</t>
        </is>
      </c>
      <c r="B20" s="31">
        <f>B18*B19</f>
        <v/>
      </c>
      <c r="C20" s="31">
        <f>C18*C19</f>
        <v/>
      </c>
      <c r="D20" s="31">
        <f>D18*D19</f>
        <v/>
      </c>
      <c r="E20" s="31">
        <f>E18*E19</f>
        <v/>
      </c>
      <c r="F20" s="31">
        <f>F18*F19</f>
        <v/>
      </c>
    </row>
    <row r="21"/>
    <row r="22">
      <c r="A22" s="5" t="inlineStr">
        <is>
          <t>INVESTED CAPITAL AND THE TERMINAL BLOCK</t>
        </is>
      </c>
      <c r="B22" s="6" t="n"/>
      <c r="C22" s="6" t="n"/>
      <c r="D22" s="6" t="n"/>
      <c r="E22" s="6" t="n"/>
      <c r="F22" s="6" t="n"/>
      <c r="G22" s="6" t="n"/>
    </row>
    <row r="23">
      <c r="A23" s="7" t="inlineStr">
        <is>
          <t>Property, plant and equipment (roll-forward)</t>
        </is>
      </c>
      <c r="B23" s="17">
        <f>'Balance Sheet'!$E$9+B15-B11</f>
        <v/>
      </c>
      <c r="C23" s="17">
        <f>B23+C15-C11</f>
        <v/>
      </c>
      <c r="D23" s="17">
        <f>C23+D15-D11</f>
        <v/>
      </c>
      <c r="E23" s="17">
        <f>D23+E15-E11</f>
        <v/>
      </c>
      <c r="F23" s="17">
        <f>E23+F15-F11</f>
        <v/>
      </c>
    </row>
    <row r="24">
      <c r="A24" s="7" t="inlineStr">
        <is>
          <t>Invested capital</t>
        </is>
      </c>
      <c r="B24" s="17">
        <f>B16+B23</f>
        <v/>
      </c>
      <c r="C24" s="17">
        <f>C16+C23</f>
        <v/>
      </c>
      <c r="D24" s="17">
        <f>D16+D23</f>
        <v/>
      </c>
      <c r="E24" s="17">
        <f>E16+E23</f>
        <v/>
      </c>
      <c r="F24" s="17">
        <f>F16+F23</f>
        <v/>
      </c>
    </row>
    <row r="25">
      <c r="A25" s="7" t="inlineStr">
        <is>
          <t>Return on invested capital</t>
        </is>
      </c>
      <c r="B25" s="16">
        <f>B13/B24</f>
        <v/>
      </c>
      <c r="C25" s="16">
        <f>C13/C24</f>
        <v/>
      </c>
      <c r="D25" s="16">
        <f>D13/D24</f>
        <v/>
      </c>
      <c r="E25" s="16">
        <f>E13/E24</f>
        <v/>
      </c>
      <c r="F25" s="16">
        <f>F13/F24</f>
        <v/>
      </c>
    </row>
    <row r="26">
      <c r="A26" s="7" t="inlineStr">
        <is>
          <t>Terminal growth</t>
        </is>
      </c>
      <c r="B26" s="10">
        <f>Assumptions!$C$57</f>
        <v/>
      </c>
    </row>
    <row r="27">
      <c r="A27" s="7" t="inlineStr">
        <is>
          <t>Terminal return on invested capital</t>
        </is>
      </c>
      <c r="B27" s="16">
        <f>F13*(1+B26)/F24</f>
        <v/>
      </c>
    </row>
    <row r="28">
      <c r="A28" s="7" t="inlineStr">
        <is>
          <t>Required reinvestment rate = g / return</t>
        </is>
      </c>
      <c r="B28" s="16">
        <f>B26/B27</f>
        <v/>
      </c>
    </row>
    <row r="29">
      <c r="A29" s="7" t="inlineStr">
        <is>
          <t>Terminal NOPAT</t>
        </is>
      </c>
      <c r="B29" s="17">
        <f>F13*(1+B26)</f>
        <v/>
      </c>
    </row>
    <row r="30">
      <c r="A30" s="13" t="inlineStr">
        <is>
          <t>TERMINAL VALUE</t>
        </is>
      </c>
      <c r="B30" s="31">
        <f>B29*(1-B28)/(B62-B26)</f>
        <v/>
      </c>
    </row>
    <row r="31"/>
    <row r="32">
      <c r="A32" s="5" t="inlineStr">
        <is>
          <t>ENTERPRISE VALUE</t>
        </is>
      </c>
      <c r="B32" s="6" t="n"/>
      <c r="C32" s="6" t="n"/>
      <c r="D32" s="6" t="n"/>
      <c r="E32" s="6" t="n"/>
      <c r="F32" s="6" t="n"/>
      <c r="G32" s="6" t="n"/>
    </row>
    <row r="33">
      <c r="A33" s="7" t="inlineStr">
        <is>
          <t>Present value of the explicit window</t>
        </is>
      </c>
      <c r="B33" s="17">
        <f>SUM(B20:F20)</f>
        <v/>
      </c>
    </row>
    <row r="34">
      <c r="A34" s="7" t="inlineStr">
        <is>
          <t>Present value of the terminal value</t>
        </is>
      </c>
      <c r="B34" s="17">
        <f>B30*F19</f>
        <v/>
      </c>
    </row>
    <row r="35">
      <c r="A35" s="13" t="inlineStr">
        <is>
          <t>Terminal value as a share of enterprise value</t>
        </is>
      </c>
      <c r="B35" s="15">
        <f>B34/(B33+B34)</f>
        <v/>
      </c>
    </row>
    <row r="36">
      <c r="A36" s="13" t="inlineStr">
        <is>
          <t>ENTERPRISE VALUE</t>
        </is>
      </c>
      <c r="B36" s="31">
        <f>B33+B34</f>
        <v/>
      </c>
    </row>
    <row r="37">
      <c r="A37" s="13" t="inlineStr">
        <is>
          <t>Fair value per share (from the bridge)</t>
        </is>
      </c>
      <c r="B37" s="38">
        <f>'EV Bridge'!$B$12</f>
        <v/>
      </c>
    </row>
    <row r="38"/>
    <row r="39" ht="28" customHeight="1">
      <c r="A39" s="21" t="inlineStr">
        <is>
          <t>One date, one price of time: the terminal value is capitalised at the terminal cost of capital and discounted at the SAME year-5 cumulative factor as year 5 cash flow. Discounting a terminal value at a lower rate than the cash flow arriving on the same day is the commonest way a target price is manufactured, and it is not done here.</t>
        </is>
      </c>
    </row>
    <row r="40">
      <c r="A40" s="5" t="inlineStr">
        <is>
          <t>COST OF CAPITAL — EXPLICIT WINDOW</t>
        </is>
      </c>
      <c r="B40" s="6" t="n"/>
      <c r="C40" s="6" t="n"/>
      <c r="D40" s="6" t="n"/>
      <c r="E40" s="6" t="n"/>
      <c r="F40" s="6" t="n"/>
      <c r="G40" s="6" t="n"/>
    </row>
    <row r="41">
      <c r="A41" s="7" t="inlineStr">
        <is>
          <t>Risk-free rate (Egypt 10-year)</t>
        </is>
      </c>
      <c r="B41" s="10">
        <f>Assumptions!$C$46</f>
        <v/>
      </c>
    </row>
    <row r="42">
      <c r="A42" s="7" t="inlineStr">
        <is>
          <t>less sovereign default spread</t>
        </is>
      </c>
      <c r="B42" s="10">
        <f>Assumptions!$C$47</f>
        <v/>
      </c>
    </row>
    <row r="43">
      <c r="A43" s="7" t="inlineStr">
        <is>
          <t>Risk-free net of sovereign risk</t>
        </is>
      </c>
      <c r="B43" s="39">
        <f>B41-B42</f>
        <v/>
      </c>
    </row>
    <row r="44">
      <c r="A44" s="7" t="inlineStr">
        <is>
          <t>Beta</t>
        </is>
      </c>
      <c r="B44" s="40">
        <f>Assumptions!$C$49</f>
        <v/>
      </c>
    </row>
    <row r="45">
      <c r="A45" s="7" t="inlineStr">
        <is>
          <t>Equity risk premium</t>
        </is>
      </c>
      <c r="B45" s="10">
        <f>Assumptions!$C$48</f>
        <v/>
      </c>
    </row>
    <row r="46">
      <c r="A46" s="13" t="inlineStr">
        <is>
          <t>Cost of equity</t>
        </is>
      </c>
      <c r="B46" s="41">
        <f>B43+B44*B45</f>
        <v/>
      </c>
    </row>
    <row r="47">
      <c r="A47" s="7" t="inlineStr">
        <is>
          <t>Gross debt</t>
        </is>
      </c>
      <c r="B47" s="32">
        <f>Assumptions!$C$38</f>
        <v/>
      </c>
    </row>
    <row r="48">
      <c r="A48" s="7" t="inlineStr">
        <is>
          <t>Cash and equivalents</t>
        </is>
      </c>
      <c r="B48" s="18">
        <f>Assumptions!$C$37</f>
        <v/>
      </c>
    </row>
    <row r="49">
      <c r="A49" s="7" t="inlineStr">
        <is>
          <t>Net debt (negative = net cash)</t>
        </is>
      </c>
      <c r="B49" s="17">
        <f>B47-B48</f>
        <v/>
      </c>
    </row>
    <row r="50">
      <c r="A50" s="7" t="inlineStr">
        <is>
          <t>Market capitalisation</t>
        </is>
      </c>
      <c r="B50" s="17">
        <f>Assumptions!$C$5*Assumptions!$C$6</f>
        <v/>
      </c>
    </row>
    <row r="51">
      <c r="A51" s="7" t="inlineStr">
        <is>
          <t>Debt weight</t>
        </is>
      </c>
      <c r="B51" s="16">
        <f>B49/(B49+B50)</f>
        <v/>
      </c>
    </row>
    <row r="52">
      <c r="A52" s="7" t="inlineStr">
        <is>
          <t>Equity weight</t>
        </is>
      </c>
      <c r="B52" s="16">
        <f>1-B51</f>
        <v/>
      </c>
    </row>
    <row r="53">
      <c r="A53" s="7" t="inlineStr">
        <is>
          <t>After-tax cost of net debt</t>
        </is>
      </c>
      <c r="B53" s="39">
        <f>(Assumptions!$C$50*B47-Assumptions!$C$51*B48)/(B47-B48)*(1-Assumptions!$C$52)</f>
        <v/>
      </c>
    </row>
    <row r="54">
      <c r="A54" s="13" t="inlineStr">
        <is>
          <t>WEIGHTED COST OF CAPITAL — EXPLICIT</t>
        </is>
      </c>
      <c r="B54" s="41">
        <f>B52*B46+B51*B53</f>
        <v/>
      </c>
    </row>
    <row r="55"/>
    <row r="56">
      <c r="A56" s="5" t="inlineStr">
        <is>
          <t>COST OF CAPITAL — TERMINAL (norm-built)</t>
        </is>
      </c>
      <c r="B56" s="6" t="n"/>
      <c r="C56" s="6" t="n"/>
      <c r="D56" s="6" t="n"/>
      <c r="E56" s="6" t="n"/>
      <c r="F56" s="6" t="n"/>
      <c r="G56" s="6" t="n"/>
    </row>
    <row r="57">
      <c r="A57" s="7" t="inlineStr">
        <is>
          <t>Terminal risk-free rate</t>
        </is>
      </c>
      <c r="B57" s="10">
        <f>Assumptions!$C$53</f>
        <v/>
      </c>
    </row>
    <row r="58">
      <c r="A58" s="7" t="inlineStr">
        <is>
          <t>Terminal equity risk premium</t>
        </is>
      </c>
      <c r="B58" s="10">
        <f>Assumptions!$C$54</f>
        <v/>
      </c>
    </row>
    <row r="59">
      <c r="A59" s="7" t="inlineStr">
        <is>
          <t>Terminal cost of equity</t>
        </is>
      </c>
      <c r="B59" s="39">
        <f>B57+B44*B58</f>
        <v/>
      </c>
    </row>
    <row r="60">
      <c r="A60" s="7" t="inlineStr">
        <is>
          <t>Terminal after-tax cost of debt</t>
        </is>
      </c>
      <c r="B60" s="39">
        <f>Assumptions!$C$55*(1-Assumptions!$C$52)</f>
        <v/>
      </c>
    </row>
    <row r="61">
      <c r="A61" s="7" t="inlineStr">
        <is>
          <t>Terminal debt weight</t>
        </is>
      </c>
      <c r="B61" s="9">
        <f>Assumptions!$C$56</f>
        <v/>
      </c>
    </row>
    <row r="62">
      <c r="A62" s="13" t="inlineStr">
        <is>
          <t>WEIGHTED COST OF CAPITAL — TERMINAL</t>
        </is>
      </c>
      <c r="B62" s="41">
        <f>(1-B61)*B59+B61*B60</f>
        <v/>
      </c>
    </row>
    <row r="63"/>
    <row r="64">
      <c r="A64" s="5" t="inlineStr">
        <is>
          <t>THE GLIDE — fractions inherited from the cost-of-debt path</t>
        </is>
      </c>
      <c r="B64" s="6" t="n"/>
      <c r="C64" s="6" t="n"/>
      <c r="D64" s="6" t="n"/>
      <c r="E64" s="6" t="n"/>
      <c r="F64" s="6" t="n"/>
      <c r="G64" s="6" t="n"/>
    </row>
    <row r="65">
      <c r="A65" s="12" t="inlineStr"/>
      <c r="B65" s="12" t="inlineStr">
        <is>
          <t>2026E</t>
        </is>
      </c>
      <c r="C65" s="12" t="inlineStr">
        <is>
          <t>2027E</t>
        </is>
      </c>
      <c r="D65" s="12" t="inlineStr">
        <is>
          <t>2028E</t>
        </is>
      </c>
      <c r="E65" s="12" t="inlineStr">
        <is>
          <t>2029E</t>
        </is>
      </c>
      <c r="F65" s="12" t="inlineStr">
        <is>
          <t>2030E</t>
        </is>
      </c>
    </row>
    <row r="66">
      <c r="A66" s="7" t="inlineStr">
        <is>
          <t>Cost of debt path</t>
        </is>
      </c>
      <c r="B66" s="10">
        <f>Assumptions!$B$69</f>
        <v/>
      </c>
      <c r="C66" s="10">
        <f>Assumptions!$C$69</f>
        <v/>
      </c>
      <c r="D66" s="10">
        <f>Assumptions!$D$69</f>
        <v/>
      </c>
      <c r="E66" s="10">
        <f>Assumptions!$E$69</f>
        <v/>
      </c>
      <c r="F66" s="10">
        <f>Assumptions!$F$69</f>
        <v/>
      </c>
    </row>
    <row r="67">
      <c r="A67" s="7" t="inlineStr">
        <is>
          <t>Cumulative progress (glide fraction)</t>
        </is>
      </c>
      <c r="B67" s="42">
        <f>(B66-B66)/(B66-F66)</f>
        <v/>
      </c>
      <c r="C67" s="42">
        <f>(B66-C66)/(B66-F66)</f>
        <v/>
      </c>
      <c r="D67" s="42">
        <f>(B66-D66)/(B66-F66)</f>
        <v/>
      </c>
      <c r="E67" s="42">
        <f>(B66-E66)/(B66-F66)</f>
        <v/>
      </c>
      <c r="F67" s="42">
        <f>(B66-F66)/(B66-F66)</f>
        <v/>
      </c>
    </row>
    <row r="68">
      <c r="A68" s="13" t="inlineStr">
        <is>
          <t>Forward cost of capital</t>
        </is>
      </c>
      <c r="B68" s="41">
        <f>$B$54-($B$54-$B$62)*B67</f>
        <v/>
      </c>
      <c r="C68" s="41">
        <f>$B$54-($B$54-$B$62)*C67</f>
        <v/>
      </c>
      <c r="D68" s="41">
        <f>$B$54-($B$54-$B$62)*D67</f>
        <v/>
      </c>
      <c r="E68" s="41">
        <f>$B$54-($B$54-$B$62)*E67</f>
        <v/>
      </c>
      <c r="F68" s="41">
        <f>$B$54-($B$54-$B$62)*F67</f>
        <v/>
      </c>
    </row>
    <row r="69">
      <c r="A69" s="7" t="inlineStr">
        <is>
          <t>Cumulative discount factor</t>
        </is>
      </c>
      <c r="B69" s="37">
        <f>1/(1+B68)</f>
        <v/>
      </c>
      <c r="C69" s="37">
        <f>B69/(1+C68)</f>
        <v/>
      </c>
      <c r="D69" s="37">
        <f>C69/(1+D68)</f>
        <v/>
      </c>
      <c r="E69" s="37">
        <f>D69/(1+E68)</f>
        <v/>
      </c>
      <c r="F69" s="37">
        <f>E69/(1+F68)</f>
        <v/>
      </c>
    </row>
  </sheetData>
  <mergeCells count="1">
    <mergeCell ref="A39:G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Income statement — four historical periods and five forecast years</t>
        </is>
      </c>
      <c r="B1" s="2" t="n"/>
      <c r="C1" s="2" t="n"/>
      <c r="D1" s="2" t="n"/>
      <c r="E1" s="2" t="n"/>
      <c r="F1" s="2" t="n"/>
      <c r="G1" s="2" t="n"/>
      <c r="H1" s="2" t="n"/>
      <c r="I1" s="2" t="n"/>
      <c r="J1" s="2" t="n"/>
      <c r="K1" s="2" t="n"/>
    </row>
    <row r="2">
      <c r="A2" s="11" t="inlineStr">
        <is>
          <t>Historical periods are the reported June financial years plus the constructed calendar-2025 base; the forecast runs on calendar years after the year-end change.</t>
        </is>
      </c>
    </row>
    <row r="3"/>
    <row r="4">
      <c r="A4" s="12" t="inlineStr">
        <is>
          <t>EGP mn</t>
        </is>
      </c>
      <c r="B4" s="12" t="inlineStr">
        <is>
          <t>FY2022/23</t>
        </is>
      </c>
      <c r="C4" s="12" t="inlineStr">
        <is>
          <t>FY2023/24</t>
        </is>
      </c>
      <c r="D4" s="12" t="inlineStr">
        <is>
          <t>FY2024/25</t>
        </is>
      </c>
      <c r="E4" s="12" t="inlineStr">
        <is>
          <t>CY2025</t>
        </is>
      </c>
      <c r="F4" s="12" t="inlineStr">
        <is>
          <t>2026E</t>
        </is>
      </c>
      <c r="G4" s="12" t="inlineStr">
        <is>
          <t>2027E</t>
        </is>
      </c>
      <c r="H4" s="12" t="inlineStr">
        <is>
          <t>2028E</t>
        </is>
      </c>
      <c r="I4" s="12" t="inlineStr">
        <is>
          <t>2029E</t>
        </is>
      </c>
      <c r="J4" s="12" t="inlineStr">
        <is>
          <t>2030E</t>
        </is>
      </c>
    </row>
    <row r="5">
      <c r="A5" s="7" t="inlineStr">
        <is>
          <t>Revenue</t>
        </is>
      </c>
      <c r="B5" s="18">
        <f>Assumptions!$C$9</f>
        <v/>
      </c>
      <c r="C5" s="17">
        <f>(Assumptions!$C$13+Assumptions!$C$14)/2</f>
        <v/>
      </c>
      <c r="D5" s="18">
        <f>'Product Legs'!B22</f>
        <v/>
      </c>
      <c r="E5" s="18">
        <f>'Product Legs'!B26</f>
        <v/>
      </c>
      <c r="F5" s="18">
        <f>DCF!B5</f>
        <v/>
      </c>
      <c r="G5" s="18">
        <f>DCF!C5</f>
        <v/>
      </c>
      <c r="H5" s="18">
        <f>DCF!D5</f>
        <v/>
      </c>
      <c r="I5" s="18">
        <f>DCF!E5</f>
        <v/>
      </c>
      <c r="J5" s="18">
        <f>DCF!F5</f>
        <v/>
      </c>
    </row>
    <row r="6">
      <c r="A6" s="7" t="inlineStr">
        <is>
          <t>Gross margin</t>
        </is>
      </c>
      <c r="B6" s="16">
        <f>Assumptions!$B$82</f>
        <v/>
      </c>
      <c r="C6" s="16">
        <f>Assumptions!$C$82</f>
        <v/>
      </c>
      <c r="D6" s="16">
        <f>Assumptions!$D$82</f>
        <v/>
      </c>
      <c r="E6" s="16">
        <f>Assumptions!$E$82</f>
        <v/>
      </c>
      <c r="F6" s="16">
        <f>Assumptions!$B$73</f>
        <v/>
      </c>
      <c r="G6" s="16">
        <f>Assumptions!$C$73</f>
        <v/>
      </c>
      <c r="H6" s="16">
        <f>Assumptions!$D$73</f>
        <v/>
      </c>
      <c r="I6" s="16">
        <f>Assumptions!$E$73</f>
        <v/>
      </c>
      <c r="J6" s="16">
        <f>Assumptions!$F$73</f>
        <v/>
      </c>
    </row>
    <row r="7">
      <c r="A7" s="7" t="inlineStr">
        <is>
          <t>Gross profit</t>
        </is>
      </c>
      <c r="B7" s="17">
        <f>B5*B6</f>
        <v/>
      </c>
      <c r="C7" s="17">
        <f>C5*C6</f>
        <v/>
      </c>
      <c r="D7" s="17">
        <f>D5*D6</f>
        <v/>
      </c>
      <c r="E7" s="17">
        <f>E5*E6</f>
        <v/>
      </c>
      <c r="F7" s="17">
        <f>F5*F6</f>
        <v/>
      </c>
      <c r="G7" s="17">
        <f>G5*G6</f>
        <v/>
      </c>
      <c r="H7" s="17">
        <f>H5*H6</f>
        <v/>
      </c>
      <c r="I7" s="17">
        <f>I5*I6</f>
        <v/>
      </c>
      <c r="J7" s="17">
        <f>J5*J6</f>
        <v/>
      </c>
    </row>
    <row r="8">
      <c r="A8" s="7" t="inlineStr">
        <is>
          <t>Operating cost load</t>
        </is>
      </c>
      <c r="B8" s="17">
        <f>B5*Assumptions!$B$72</f>
        <v/>
      </c>
      <c r="C8" s="17">
        <f>C5*Assumptions!$B$72</f>
        <v/>
      </c>
      <c r="D8" s="17">
        <f>D5*Assumptions!$B$72</f>
        <v/>
      </c>
      <c r="E8" s="17">
        <f>E5*Assumptions!$B$72</f>
        <v/>
      </c>
      <c r="F8" s="18">
        <f>DCF!B8</f>
        <v/>
      </c>
      <c r="G8" s="18">
        <f>DCF!C8</f>
        <v/>
      </c>
      <c r="H8" s="18">
        <f>DCF!D8</f>
        <v/>
      </c>
      <c r="I8" s="18">
        <f>DCF!E8</f>
        <v/>
      </c>
      <c r="J8" s="18">
        <f>DCF!F8</f>
        <v/>
      </c>
    </row>
    <row r="9">
      <c r="A9" s="13" t="inlineStr">
        <is>
          <t>EBITDA</t>
        </is>
      </c>
      <c r="B9" s="31">
        <f>B7-B8</f>
        <v/>
      </c>
      <c r="C9" s="31">
        <f>C7-C8</f>
        <v/>
      </c>
      <c r="D9" s="31">
        <f>D7-D8</f>
        <v/>
      </c>
      <c r="E9" s="31">
        <f>E7-E8</f>
        <v/>
      </c>
      <c r="F9" s="31">
        <f>F7-F8</f>
        <v/>
      </c>
      <c r="G9" s="31">
        <f>G7-G8</f>
        <v/>
      </c>
      <c r="H9" s="31">
        <f>H7-H8</f>
        <v/>
      </c>
      <c r="I9" s="31">
        <f>I7-I8</f>
        <v/>
      </c>
      <c r="J9" s="31">
        <f>J7-J8</f>
        <v/>
      </c>
    </row>
    <row r="10">
      <c r="A10" s="7" t="inlineStr">
        <is>
          <t>EBITDA margin</t>
        </is>
      </c>
      <c r="B10" s="16">
        <f>B9/B5</f>
        <v/>
      </c>
      <c r="C10" s="16">
        <f>C9/C5</f>
        <v/>
      </c>
      <c r="D10" s="16">
        <f>D9/D5</f>
        <v/>
      </c>
      <c r="E10" s="16">
        <f>E9/E5</f>
        <v/>
      </c>
      <c r="F10" s="16">
        <f>F9/F5</f>
        <v/>
      </c>
      <c r="G10" s="16">
        <f>G9/G5</f>
        <v/>
      </c>
      <c r="H10" s="16">
        <f>H9/H5</f>
        <v/>
      </c>
      <c r="I10" s="16">
        <f>I9/I5</f>
        <v/>
      </c>
      <c r="J10" s="16">
        <f>J9/J5</f>
        <v/>
      </c>
    </row>
    <row r="11">
      <c r="A11" s="7" t="inlineStr">
        <is>
          <t>Depreciation and amortisation</t>
        </is>
      </c>
      <c r="B11" s="17">
        <f>B5*Assumptions!$C$60</f>
        <v/>
      </c>
      <c r="C11" s="17">
        <f>C5*Assumptions!$C$60</f>
        <v/>
      </c>
      <c r="D11" s="17">
        <f>D5*Assumptions!$C$60</f>
        <v/>
      </c>
      <c r="E11" s="17">
        <f>E5*Assumptions!$C$60</f>
        <v/>
      </c>
      <c r="F11" s="18">
        <f>DCF!B11</f>
        <v/>
      </c>
      <c r="G11" s="18">
        <f>DCF!C11</f>
        <v/>
      </c>
      <c r="H11" s="18">
        <f>DCF!D11</f>
        <v/>
      </c>
      <c r="I11" s="18">
        <f>DCF!E11</f>
        <v/>
      </c>
      <c r="J11" s="18">
        <f>DCF!F11</f>
        <v/>
      </c>
    </row>
    <row r="12">
      <c r="A12" s="13" t="inlineStr">
        <is>
          <t>EBIT</t>
        </is>
      </c>
      <c r="B12" s="31">
        <f>B9-B11</f>
        <v/>
      </c>
      <c r="C12" s="31">
        <f>C9-C11</f>
        <v/>
      </c>
      <c r="D12" s="31">
        <f>D9-D11</f>
        <v/>
      </c>
      <c r="E12" s="31">
        <f>E9-E11</f>
        <v/>
      </c>
      <c r="F12" s="31">
        <f>F9-F11</f>
        <v/>
      </c>
      <c r="G12" s="31">
        <f>G9-G11</f>
        <v/>
      </c>
      <c r="H12" s="31">
        <f>H9-H11</f>
        <v/>
      </c>
      <c r="I12" s="31">
        <f>I9-I11</f>
        <v/>
      </c>
      <c r="J12" s="31">
        <f>J9-J11</f>
        <v/>
      </c>
    </row>
    <row r="13">
      <c r="A13" s="7" t="inlineStr">
        <is>
          <t>Net finance income</t>
        </is>
      </c>
      <c r="B13" s="17">
        <f>$E$13*B5/$E$5*0.85</f>
        <v/>
      </c>
      <c r="C13" s="17">
        <f>$E$13*C5/$E$5*0.85</f>
        <v/>
      </c>
      <c r="D13" s="17">
        <f>$E$13*D5/$E$5*0.85</f>
        <v/>
      </c>
      <c r="E13" s="17">
        <f>Assumptions!$C$51*Assumptions!$C$37-Assumptions!$C$50*Assumptions!$C$38</f>
        <v/>
      </c>
      <c r="F13" s="18">
        <f>'Cash Flow'!B16</f>
        <v/>
      </c>
      <c r="G13" s="18">
        <f>'Cash Flow'!C16</f>
        <v/>
      </c>
      <c r="H13" s="18">
        <f>'Cash Flow'!D16</f>
        <v/>
      </c>
      <c r="I13" s="18">
        <f>'Cash Flow'!E16</f>
        <v/>
      </c>
      <c r="J13" s="18">
        <f>'Cash Flow'!F16</f>
        <v/>
      </c>
    </row>
    <row r="14">
      <c r="A14" s="13" t="inlineStr">
        <is>
          <t>Profit after tax (disclosed for history)</t>
        </is>
      </c>
      <c r="B14" s="43" t="n">
        <v>1320</v>
      </c>
      <c r="C14" s="43" t="n">
        <v>1500</v>
      </c>
      <c r="D14" s="43" t="n">
        <v>1550</v>
      </c>
      <c r="E14" s="43" t="n">
        <v>1562.828</v>
      </c>
      <c r="F14" s="31">
        <f>(F12+F13)*(1-Assumptions!$C$52)</f>
        <v/>
      </c>
      <c r="G14" s="31">
        <f>(G12+G13)*(1-Assumptions!$C$52)</f>
        <v/>
      </c>
      <c r="H14" s="31">
        <f>(H12+H13)*(1-Assumptions!$C$52)</f>
        <v/>
      </c>
      <c r="I14" s="31">
        <f>(I12+I13)*(1-Assumptions!$C$52)</f>
        <v/>
      </c>
      <c r="J14" s="31">
        <f>(J12+J13)*(1-Assumptions!$C$52)</f>
        <v/>
      </c>
    </row>
    <row r="15">
      <c r="A15" s="7" t="inlineStr">
        <is>
          <t>Profit before tax</t>
        </is>
      </c>
      <c r="B15" s="17">
        <f>B14/(1-Assumptions!$C$52)</f>
        <v/>
      </c>
      <c r="C15" s="17">
        <f>C14/(1-Assumptions!$C$52)</f>
        <v/>
      </c>
      <c r="D15" s="17">
        <f>D14/(1-Assumptions!$C$52)</f>
        <v/>
      </c>
      <c r="E15" s="17">
        <f>E14/(1-Assumptions!$C$52)</f>
        <v/>
      </c>
      <c r="F15" s="17">
        <f>F14/(1-Assumptions!$C$52)</f>
        <v/>
      </c>
      <c r="G15" s="17">
        <f>G14/(1-Assumptions!$C$52)</f>
        <v/>
      </c>
      <c r="H15" s="17">
        <f>H14/(1-Assumptions!$C$52)</f>
        <v/>
      </c>
      <c r="I15" s="17">
        <f>I14/(1-Assumptions!$C$52)</f>
        <v/>
      </c>
      <c r="J15" s="17">
        <f>J14/(1-Assumptions!$C$52)</f>
        <v/>
      </c>
    </row>
    <row r="16">
      <c r="A16" s="7" t="inlineStr">
        <is>
          <t>Other and non-operating income</t>
        </is>
      </c>
      <c r="B16" s="17">
        <f>B15-B12-B13</f>
        <v/>
      </c>
      <c r="C16" s="17">
        <f>C15-C12-C13</f>
        <v/>
      </c>
      <c r="D16" s="17">
        <f>D15-D12-D13</f>
        <v/>
      </c>
      <c r="E16" s="17">
        <f>E15-E12-E13</f>
        <v/>
      </c>
      <c r="F16" s="17">
        <f>F15-F12-F13</f>
        <v/>
      </c>
      <c r="G16" s="17">
        <f>G15-G12-G13</f>
        <v/>
      </c>
      <c r="H16" s="17">
        <f>H15-H12-H13</f>
        <v/>
      </c>
      <c r="I16" s="17">
        <f>I15-I12-I13</f>
        <v/>
      </c>
      <c r="J16" s="17">
        <f>J15-J12-J13</f>
        <v/>
      </c>
    </row>
    <row r="17">
      <c r="A17" s="7" t="inlineStr">
        <is>
          <t>Tax</t>
        </is>
      </c>
      <c r="B17" s="17">
        <f>B14-B15</f>
        <v/>
      </c>
      <c r="C17" s="17">
        <f>C14-C15</f>
        <v/>
      </c>
      <c r="D17" s="17">
        <f>D14-D15</f>
        <v/>
      </c>
      <c r="E17" s="17">
        <f>E14-E15</f>
        <v/>
      </c>
      <c r="F17" s="17">
        <f>F14-F15</f>
        <v/>
      </c>
      <c r="G17" s="17">
        <f>G14-G15</f>
        <v/>
      </c>
      <c r="H17" s="17">
        <f>H14-H15</f>
        <v/>
      </c>
      <c r="I17" s="17">
        <f>I14-I15</f>
        <v/>
      </c>
      <c r="J17" s="17">
        <f>J14-J15</f>
        <v/>
      </c>
    </row>
    <row r="18">
      <c r="A18" s="7" t="inlineStr">
        <is>
          <t>Minority interests</t>
        </is>
      </c>
      <c r="B18" s="17">
        <f>B14*Assumptions!$C$61</f>
        <v/>
      </c>
      <c r="C18" s="17">
        <f>C14*Assumptions!$C$61</f>
        <v/>
      </c>
      <c r="D18" s="17">
        <f>D14*Assumptions!$C$61</f>
        <v/>
      </c>
      <c r="E18" s="17">
        <f>E14*Assumptions!$C$61</f>
        <v/>
      </c>
      <c r="F18" s="17">
        <f>F14*Assumptions!$C$61</f>
        <v/>
      </c>
      <c r="G18" s="17">
        <f>G14*Assumptions!$C$61</f>
        <v/>
      </c>
      <c r="H18" s="17">
        <f>H14*Assumptions!$C$61</f>
        <v/>
      </c>
      <c r="I18" s="17">
        <f>I14*Assumptions!$C$61</f>
        <v/>
      </c>
      <c r="J18" s="17">
        <f>J14*Assumptions!$C$61</f>
        <v/>
      </c>
    </row>
    <row r="19">
      <c r="A19" s="13" t="inlineStr">
        <is>
          <t>PROFIT ATTRIBUTABLE TO SHAREHOLDERS</t>
        </is>
      </c>
      <c r="B19" s="31">
        <f>B14-B18</f>
        <v/>
      </c>
      <c r="C19" s="31">
        <f>C14-C18</f>
        <v/>
      </c>
      <c r="D19" s="31">
        <f>D14-D18</f>
        <v/>
      </c>
      <c r="E19" s="31">
        <f>E14-E18</f>
        <v/>
      </c>
      <c r="F19" s="31">
        <f>F14-F18</f>
        <v/>
      </c>
      <c r="G19" s="31">
        <f>G14-G18</f>
        <v/>
      </c>
      <c r="H19" s="31">
        <f>H14-H18</f>
        <v/>
      </c>
      <c r="I19" s="31">
        <f>I14-I18</f>
        <v/>
      </c>
      <c r="J19" s="31">
        <f>J14-J18</f>
        <v/>
      </c>
    </row>
    <row r="20">
      <c r="A20" s="7" t="inlineStr">
        <is>
          <t>Earnings per share (EGP)</t>
        </is>
      </c>
      <c r="B20" s="20">
        <f>B19/Assumptions!$C$6</f>
        <v/>
      </c>
      <c r="C20" s="20">
        <f>C19/Assumptions!$C$6</f>
        <v/>
      </c>
      <c r="D20" s="20">
        <f>D19/Assumptions!$C$6</f>
        <v/>
      </c>
      <c r="E20" s="20">
        <f>E19/Assumptions!$C$6</f>
        <v/>
      </c>
      <c r="F20" s="20">
        <f>F19/Assumptions!$C$6</f>
        <v/>
      </c>
      <c r="G20" s="20">
        <f>G19/Assumptions!$C$6</f>
        <v/>
      </c>
      <c r="H20" s="20">
        <f>H19/Assumptions!$C$6</f>
        <v/>
      </c>
      <c r="I20" s="20">
        <f>I19/Assumptions!$C$6</f>
        <v/>
      </c>
      <c r="J20" s="20">
        <f>J19/Assumptions!$C$6</f>
        <v/>
      </c>
    </row>
    <row r="21"/>
    <row r="22" ht="28" customHeight="1">
      <c r="A22" s="21" t="inlineStr">
        <is>
          <t>Only the historical PROFIT AFTER TAX is a pasted value — it is the disclosed figure. Every other line in every column is a formula. Note the OTHER INCOME line: it is the residual between disclosed profit and the operating result, and it is large in the devaluation years and small now. The forecast carries NONE of it, which is why forecast attributable profit is not a simple extrapolation of the reported record.</t>
        </is>
      </c>
    </row>
  </sheetData>
  <mergeCells count="1">
    <mergeCell ref="A22:K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Balance sheet — four historical periods and five forecast years</t>
        </is>
      </c>
      <c r="B1" s="2" t="n"/>
      <c r="C1" s="2" t="n"/>
      <c r="D1" s="2" t="n"/>
      <c r="E1" s="2" t="n"/>
      <c r="F1" s="2" t="n"/>
      <c r="G1" s="2" t="n"/>
      <c r="H1" s="2" t="n"/>
      <c r="I1" s="2" t="n"/>
      <c r="J1" s="2" t="n"/>
      <c r="K1" s="2" t="n"/>
    </row>
    <row r="2">
      <c r="A2" s="11" t="inlineStr">
        <is>
          <t>History rolled back from the disclosed snapshot through disclosed profit and dividends; the forecast rolls forward off the waterfall.</t>
        </is>
      </c>
    </row>
    <row r="3"/>
    <row r="4">
      <c r="A4" s="12" t="inlineStr">
        <is>
          <t>EGP mn</t>
        </is>
      </c>
      <c r="B4" s="12" t="inlineStr">
        <is>
          <t>FY2022/23</t>
        </is>
      </c>
      <c r="C4" s="12" t="inlineStr">
        <is>
          <t>FY2023/24</t>
        </is>
      </c>
      <c r="D4" s="12" t="inlineStr">
        <is>
          <t>FY2024/25</t>
        </is>
      </c>
      <c r="E4" s="12" t="inlineStr">
        <is>
          <t>CY2025</t>
        </is>
      </c>
      <c r="F4" s="12" t="inlineStr">
        <is>
          <t>2026E</t>
        </is>
      </c>
      <c r="G4" s="12" t="inlineStr">
        <is>
          <t>2027E</t>
        </is>
      </c>
      <c r="H4" s="12" t="inlineStr">
        <is>
          <t>2028E</t>
        </is>
      </c>
      <c r="I4" s="12" t="inlineStr">
        <is>
          <t>2029E</t>
        </is>
      </c>
      <c r="J4" s="12" t="inlineStr">
        <is>
          <t>2030E</t>
        </is>
      </c>
    </row>
    <row r="5">
      <c r="A5" s="7" t="inlineStr">
        <is>
          <t>Revenue (memo)</t>
        </is>
      </c>
      <c r="B5" s="18">
        <f>'Income Statement'!B5</f>
        <v/>
      </c>
      <c r="C5" s="18">
        <f>'Income Statement'!C5</f>
        <v/>
      </c>
      <c r="D5" s="18">
        <f>'Income Statement'!D5</f>
        <v/>
      </c>
      <c r="E5" s="18">
        <f>'Income Statement'!E5</f>
        <v/>
      </c>
      <c r="F5" s="18">
        <f>DCF!B5</f>
        <v/>
      </c>
      <c r="G5" s="18">
        <f>DCF!C5</f>
        <v/>
      </c>
      <c r="H5" s="18">
        <f>DCF!D5</f>
        <v/>
      </c>
      <c r="I5" s="18">
        <f>DCF!E5</f>
        <v/>
      </c>
      <c r="J5" s="18">
        <f>DCF!F5</f>
        <v/>
      </c>
    </row>
    <row r="6">
      <c r="A6" s="7" t="inlineStr">
        <is>
          <t>Cost of sales (memo)</t>
        </is>
      </c>
      <c r="B6" s="17">
        <f>'Income Statement'!B5-'Income Statement'!B7</f>
        <v/>
      </c>
      <c r="C6" s="17">
        <f>'Income Statement'!C5-'Income Statement'!C7</f>
        <v/>
      </c>
      <c r="D6" s="17">
        <f>'Income Statement'!D5-'Income Statement'!D7</f>
        <v/>
      </c>
      <c r="E6" s="17">
        <f>'Income Statement'!E5-'Income Statement'!E7</f>
        <v/>
      </c>
      <c r="F6" s="17">
        <f>DCF!B5-DCF!B7</f>
        <v/>
      </c>
      <c r="G6" s="17">
        <f>DCF!C5-DCF!C7</f>
        <v/>
      </c>
      <c r="H6" s="17">
        <f>DCF!D5-DCF!D7</f>
        <v/>
      </c>
      <c r="I6" s="17">
        <f>DCF!E5-DCF!E7</f>
        <v/>
      </c>
      <c r="J6" s="17">
        <f>DCF!F5-DCF!F7</f>
        <v/>
      </c>
    </row>
    <row r="7"/>
    <row r="8">
      <c r="A8" s="5" t="inlineStr">
        <is>
          <t>ASSETS</t>
        </is>
      </c>
      <c r="B8" s="6" t="n"/>
      <c r="C8" s="6" t="n"/>
      <c r="D8" s="6" t="n"/>
      <c r="E8" s="6" t="n"/>
      <c r="F8" s="6" t="n"/>
      <c r="G8" s="6" t="n"/>
      <c r="H8" s="6" t="n"/>
      <c r="I8" s="6" t="n"/>
      <c r="J8" s="6" t="n"/>
      <c r="K8" s="6" t="n"/>
    </row>
    <row r="9">
      <c r="A9" s="7" t="inlineStr">
        <is>
          <t>Property, plant and equipment</t>
        </is>
      </c>
      <c r="B9" s="17">
        <f>$E$9*(B5/$E$5)^0.5</f>
        <v/>
      </c>
      <c r="C9" s="17">
        <f>$E$9*(C5/$E$5)^0.5</f>
        <v/>
      </c>
      <c r="D9" s="17">
        <f>$E$9*(D5/$E$5)^0.5</f>
        <v/>
      </c>
      <c r="E9" s="17">
        <f>Assumptions!$C$35-Assumptions!$C$37-E10-E11-Assumptions!$C$42</f>
        <v/>
      </c>
      <c r="F9" s="18">
        <f>DCF!B23</f>
        <v/>
      </c>
      <c r="G9" s="18">
        <f>DCF!C23</f>
        <v/>
      </c>
      <c r="H9" s="18">
        <f>DCF!D23</f>
        <v/>
      </c>
      <c r="I9" s="18">
        <f>DCF!E23</f>
        <v/>
      </c>
      <c r="J9" s="18">
        <f>DCF!F23</f>
        <v/>
      </c>
    </row>
    <row r="10">
      <c r="A10" s="7" t="inlineStr">
        <is>
          <t>Inventories</t>
        </is>
      </c>
      <c r="B10" s="17">
        <f>B6*Assumptions!$C$40/365</f>
        <v/>
      </c>
      <c r="C10" s="17">
        <f>C6*Assumptions!$C$40/365</f>
        <v/>
      </c>
      <c r="D10" s="17">
        <f>D6*Assumptions!$C$40/365</f>
        <v/>
      </c>
      <c r="E10" s="17">
        <f>E6*Assumptions!$C$40/365</f>
        <v/>
      </c>
      <c r="F10" s="17">
        <f>F6*Assumptions!$C$40/365</f>
        <v/>
      </c>
      <c r="G10" s="17">
        <f>G6*Assumptions!$C$40/365</f>
        <v/>
      </c>
      <c r="H10" s="17">
        <f>H6*Assumptions!$C$40/365</f>
        <v/>
      </c>
      <c r="I10" s="17">
        <f>I6*Assumptions!$C$40/365</f>
        <v/>
      </c>
      <c r="J10" s="17">
        <f>J6*Assumptions!$C$40/365</f>
        <v/>
      </c>
    </row>
    <row r="11">
      <c r="A11" s="7" t="inlineStr">
        <is>
          <t>Trade receivables</t>
        </is>
      </c>
      <c r="B11" s="17">
        <f>B5*Assumptions!$C$39/365</f>
        <v/>
      </c>
      <c r="C11" s="17">
        <f>C5*Assumptions!$C$39/365</f>
        <v/>
      </c>
      <c r="D11" s="17">
        <f>D5*Assumptions!$C$39/365</f>
        <v/>
      </c>
      <c r="E11" s="17">
        <f>E5*Assumptions!$C$39/365</f>
        <v/>
      </c>
      <c r="F11" s="17">
        <f>F5*Assumptions!$C$39/365</f>
        <v/>
      </c>
      <c r="G11" s="17">
        <f>G5*Assumptions!$C$39/365</f>
        <v/>
      </c>
      <c r="H11" s="17">
        <f>H5*Assumptions!$C$39/365</f>
        <v/>
      </c>
      <c r="I11" s="17">
        <f>I5*Assumptions!$C$39/365</f>
        <v/>
      </c>
      <c r="J11" s="17">
        <f>J5*Assumptions!$C$39/365</f>
        <v/>
      </c>
    </row>
    <row r="12">
      <c r="A12" s="7" t="inlineStr">
        <is>
          <t>Other current assets</t>
        </is>
      </c>
      <c r="B12" s="18">
        <f>Assumptions!$C$42</f>
        <v/>
      </c>
      <c r="C12" s="18">
        <f>Assumptions!$C$42</f>
        <v/>
      </c>
      <c r="D12" s="18">
        <f>Assumptions!$C$42</f>
        <v/>
      </c>
      <c r="E12" s="18">
        <f>Assumptions!$C$42</f>
        <v/>
      </c>
      <c r="F12" s="18">
        <f>Assumptions!$C$42</f>
        <v/>
      </c>
      <c r="G12" s="18">
        <f>Assumptions!$C$42</f>
        <v/>
      </c>
      <c r="H12" s="18">
        <f>Assumptions!$C$42</f>
        <v/>
      </c>
      <c r="I12" s="18">
        <f>Assumptions!$C$42</f>
        <v/>
      </c>
      <c r="J12" s="18">
        <f>Assumptions!$C$42</f>
        <v/>
      </c>
    </row>
    <row r="13">
      <c r="A13" s="7" t="inlineStr">
        <is>
          <t>Cash and equivalents</t>
        </is>
      </c>
      <c r="B13" s="17">
        <f>B20+B21+B17+B19+Assumptions!$C$38-B9-B10-B11-Assumptions!$C$42</f>
        <v/>
      </c>
      <c r="C13" s="17">
        <f>C20+C21+C17+C19+Assumptions!$C$38-C9-C10-C11-Assumptions!$C$42</f>
        <v/>
      </c>
      <c r="D13" s="17">
        <f>D20+D21+D17+D19+Assumptions!$C$38-D9-D10-D11-Assumptions!$C$42</f>
        <v/>
      </c>
      <c r="E13" s="18">
        <f>Assumptions!$C$37</f>
        <v/>
      </c>
      <c r="F13" s="17">
        <f>Assumptions!$C$38-'Cash Flow'!B$22</f>
        <v/>
      </c>
      <c r="G13" s="17">
        <f>Assumptions!$C$38-'Cash Flow'!C$22</f>
        <v/>
      </c>
      <c r="H13" s="17">
        <f>Assumptions!$C$38-'Cash Flow'!D$22</f>
        <v/>
      </c>
      <c r="I13" s="17">
        <f>Assumptions!$C$38-'Cash Flow'!E$22</f>
        <v/>
      </c>
      <c r="J13" s="17">
        <f>Assumptions!$C$38-'Cash Flow'!F$22</f>
        <v/>
      </c>
    </row>
    <row r="14">
      <c r="A14" s="13" t="inlineStr">
        <is>
          <t>TOTAL ASSETS</t>
        </is>
      </c>
      <c r="B14" s="31">
        <f>B9+B10+B11+B12+B13</f>
        <v/>
      </c>
      <c r="C14" s="31">
        <f>C9+C10+C11+C12+C13</f>
        <v/>
      </c>
      <c r="D14" s="31">
        <f>D9+D10+D11+D12+D13</f>
        <v/>
      </c>
      <c r="E14" s="31">
        <f>E9+E10+E11+E12+E13</f>
        <v/>
      </c>
      <c r="F14" s="31">
        <f>F9+F10+F11+F12+F13</f>
        <v/>
      </c>
      <c r="G14" s="31">
        <f>G9+G10+G11+G12+G13</f>
        <v/>
      </c>
      <c r="H14" s="31">
        <f>H9+H10+H11+H12+H13</f>
        <v/>
      </c>
      <c r="I14" s="31">
        <f>I9+I10+I11+I12+I13</f>
        <v/>
      </c>
      <c r="J14" s="31">
        <f>J9+J10+J11+J12+J13</f>
        <v/>
      </c>
    </row>
    <row r="15"/>
    <row r="16">
      <c r="A16" s="5" t="inlineStr">
        <is>
          <t>LIABILITIES AND EQUITY</t>
        </is>
      </c>
      <c r="B16" s="6" t="n"/>
      <c r="C16" s="6" t="n"/>
      <c r="D16" s="6" t="n"/>
      <c r="E16" s="6" t="n"/>
      <c r="F16" s="6" t="n"/>
      <c r="G16" s="6" t="n"/>
      <c r="H16" s="6" t="n"/>
      <c r="I16" s="6" t="n"/>
      <c r="J16" s="6" t="n"/>
      <c r="K16" s="6" t="n"/>
    </row>
    <row r="17">
      <c r="A17" s="7" t="inlineStr">
        <is>
          <t>Trade payables</t>
        </is>
      </c>
      <c r="B17" s="17">
        <f>B6*Assumptions!$C$41/365</f>
        <v/>
      </c>
      <c r="C17" s="17">
        <f>C6*Assumptions!$C$41/365</f>
        <v/>
      </c>
      <c r="D17" s="17">
        <f>D6*Assumptions!$C$41/365</f>
        <v/>
      </c>
      <c r="E17" s="17">
        <f>E6*Assumptions!$C$41/365</f>
        <v/>
      </c>
      <c r="F17" s="17">
        <f>F6*Assumptions!$C$41/365</f>
        <v/>
      </c>
      <c r="G17" s="17">
        <f>G6*Assumptions!$C$41/365</f>
        <v/>
      </c>
      <c r="H17" s="17">
        <f>H6*Assumptions!$C$41/365</f>
        <v/>
      </c>
      <c r="I17" s="17">
        <f>I6*Assumptions!$C$41/365</f>
        <v/>
      </c>
      <c r="J17" s="17">
        <f>J6*Assumptions!$C$41/365</f>
        <v/>
      </c>
    </row>
    <row r="18">
      <c r="A18" s="7" t="inlineStr">
        <is>
          <t>Gross debt</t>
        </is>
      </c>
      <c r="B18" s="32">
        <f>Assumptions!$C$38</f>
        <v/>
      </c>
      <c r="C18" s="32">
        <f>Assumptions!$C$38</f>
        <v/>
      </c>
      <c r="D18" s="32">
        <f>Assumptions!$C$38</f>
        <v/>
      </c>
      <c r="E18" s="32">
        <f>Assumptions!$C$38</f>
        <v/>
      </c>
      <c r="F18" s="32">
        <f>Assumptions!$C$38</f>
        <v/>
      </c>
      <c r="G18" s="32">
        <f>Assumptions!$C$38</f>
        <v/>
      </c>
      <c r="H18" s="32">
        <f>Assumptions!$C$38</f>
        <v/>
      </c>
      <c r="I18" s="32">
        <f>Assumptions!$C$38</f>
        <v/>
      </c>
      <c r="J18" s="32">
        <f>Assumptions!$C$38</f>
        <v/>
      </c>
    </row>
    <row r="19">
      <c r="A19" s="7" t="inlineStr">
        <is>
          <t>Other liabilities, provisions and tax</t>
        </is>
      </c>
      <c r="B19" s="17">
        <f>$E$19*B5/$E$5</f>
        <v/>
      </c>
      <c r="C19" s="17">
        <f>$E$19*C5/$E$5</f>
        <v/>
      </c>
      <c r="D19" s="17">
        <f>$E$19*D5/$E$5</f>
        <v/>
      </c>
      <c r="E19" s="17">
        <f>Assumptions!$C$36-Assumptions!$C$38-E17</f>
        <v/>
      </c>
      <c r="F19" s="17">
        <f>F5/E5*E19</f>
        <v/>
      </c>
      <c r="G19" s="17">
        <f>G5/E5*E19</f>
        <v/>
      </c>
      <c r="H19" s="17">
        <f>H5/E5*E19</f>
        <v/>
      </c>
      <c r="I19" s="17">
        <f>I5/E5*E19</f>
        <v/>
      </c>
      <c r="J19" s="17">
        <f>J5/E5*E19</f>
        <v/>
      </c>
    </row>
    <row r="20">
      <c r="A20" s="7" t="inlineStr">
        <is>
          <t>Shareholders equity (attributable)</t>
        </is>
      </c>
      <c r="B20" s="17">
        <f>C20/(1-Assumptions!$C$61)-Assumptions!$C$15+Assumptions!$C$43*Assumptions!$C$6-(C20/(1-Assumptions!$C$61)-Assumptions!$C$15+Assumptions!$C$43*Assumptions!$C$6)*Assumptions!$C$61</f>
        <v/>
      </c>
      <c r="C20" s="17">
        <f>D20/(1-Assumptions!$C$61)-Assumptions!$C$19+Assumptions!$C$43*Assumptions!$C$6-(D20/(1-Assumptions!$C$61)-Assumptions!$C$19+Assumptions!$C$43*Assumptions!$C$6)*Assumptions!$C$61</f>
        <v/>
      </c>
      <c r="D20" s="17">
        <f>E20/(1-Assumptions!$C$61)-Assumptions!$C$23+0.5*Assumptions!$C$43*Assumptions!$C$6-(E20/(1-Assumptions!$C$61)-Assumptions!$C$23+0.5*Assumptions!$C$43*Assumptions!$C$6)*Assumptions!$C$61</f>
        <v/>
      </c>
      <c r="E20" s="17">
        <f>(Assumptions!$C$35-Assumptions!$C$36)*(1-Assumptions!$C$61)</f>
        <v/>
      </c>
      <c r="F20" s="18">
        <f>'Cash Flow'!B$25</f>
        <v/>
      </c>
      <c r="G20" s="18">
        <f>'Cash Flow'!C$25</f>
        <v/>
      </c>
      <c r="H20" s="18">
        <f>'Cash Flow'!D$25</f>
        <v/>
      </c>
      <c r="I20" s="18">
        <f>'Cash Flow'!E$25</f>
        <v/>
      </c>
      <c r="J20" s="18">
        <f>'Cash Flow'!F$25</f>
        <v/>
      </c>
    </row>
    <row r="21">
      <c r="A21" s="7" t="inlineStr">
        <is>
          <t>Minority interests</t>
        </is>
      </c>
      <c r="B21" s="17">
        <f>B20/(1-Assumptions!$C$61)*Assumptions!$C$61</f>
        <v/>
      </c>
      <c r="C21" s="17">
        <f>C20/(1-Assumptions!$C$61)*Assumptions!$C$61</f>
        <v/>
      </c>
      <c r="D21" s="17">
        <f>D20/(1-Assumptions!$C$61)*Assumptions!$C$61</f>
        <v/>
      </c>
      <c r="E21" s="17">
        <f>E20/(1-Assumptions!$C$61)*Assumptions!$C$61</f>
        <v/>
      </c>
      <c r="F21" s="17">
        <f>F20/(1-Assumptions!$C$61)*Assumptions!$C$61</f>
        <v/>
      </c>
      <c r="G21" s="17">
        <f>G20/(1-Assumptions!$C$61)*Assumptions!$C$61</f>
        <v/>
      </c>
      <c r="H21" s="17">
        <f>H20/(1-Assumptions!$C$61)*Assumptions!$C$61</f>
        <v/>
      </c>
      <c r="I21" s="17">
        <f>I20/(1-Assumptions!$C$61)*Assumptions!$C$61</f>
        <v/>
      </c>
      <c r="J21" s="17">
        <f>J20/(1-Assumptions!$C$61)*Assumptions!$C$61</f>
        <v/>
      </c>
    </row>
    <row r="22">
      <c r="A22" s="13" t="inlineStr">
        <is>
          <t>TOTAL LIABILITIES AND EQUITY</t>
        </is>
      </c>
      <c r="B22" s="31">
        <f>B17+B18+B19+B20+B21</f>
        <v/>
      </c>
      <c r="C22" s="31">
        <f>C17+C18+C19+C20+C21</f>
        <v/>
      </c>
      <c r="D22" s="31">
        <f>D17+D18+D19+D20+D21</f>
        <v/>
      </c>
      <c r="E22" s="31">
        <f>E17+E18+E19+E20+E21</f>
        <v/>
      </c>
      <c r="F22" s="31">
        <f>F17+F18+F19+F20+F21</f>
        <v/>
      </c>
      <c r="G22" s="31">
        <f>G17+G18+G19+G20+G21</f>
        <v/>
      </c>
      <c r="H22" s="31">
        <f>H17+H18+H19+H20+H21</f>
        <v/>
      </c>
      <c r="I22" s="31">
        <f>I17+I18+I19+I20+I21</f>
        <v/>
      </c>
      <c r="J22" s="31">
        <f>J17+J18+J19+J20+J21</f>
        <v/>
      </c>
    </row>
    <row r="23"/>
    <row r="24">
      <c r="A24" s="5" t="inlineStr">
        <is>
          <t>DERIVED</t>
        </is>
      </c>
      <c r="B24" s="6" t="n"/>
      <c r="C24" s="6" t="n"/>
      <c r="D24" s="6" t="n"/>
      <c r="E24" s="6" t="n"/>
      <c r="F24" s="6" t="n"/>
      <c r="G24" s="6" t="n"/>
      <c r="H24" s="6" t="n"/>
      <c r="I24" s="6" t="n"/>
      <c r="J24" s="6" t="n"/>
      <c r="K24" s="6" t="n"/>
    </row>
    <row r="25">
      <c r="A25" s="7" t="inlineStr">
        <is>
          <t>Net working capital</t>
        </is>
      </c>
      <c r="B25" s="17">
        <f>B10+B11+B12-B17</f>
        <v/>
      </c>
      <c r="C25" s="17">
        <f>C10+C11+C12-C17</f>
        <v/>
      </c>
      <c r="D25" s="17">
        <f>D10+D11+D12-D17</f>
        <v/>
      </c>
      <c r="E25" s="17">
        <f>E10+E11+E12-E17</f>
        <v/>
      </c>
      <c r="F25" s="18">
        <f>DCF!B16</f>
        <v/>
      </c>
      <c r="G25" s="18">
        <f>DCF!C16</f>
        <v/>
      </c>
      <c r="H25" s="18">
        <f>DCF!D16</f>
        <v/>
      </c>
      <c r="I25" s="18">
        <f>DCF!E16</f>
        <v/>
      </c>
      <c r="J25" s="18">
        <f>DCF!F16</f>
        <v/>
      </c>
    </row>
    <row r="26">
      <c r="A26" s="7" t="inlineStr">
        <is>
          <t>Net working capital, % of revenue</t>
        </is>
      </c>
      <c r="B26" s="16">
        <f>B25/B5</f>
        <v/>
      </c>
      <c r="C26" s="16">
        <f>E25/E5</f>
        <v/>
      </c>
      <c r="D26" s="16">
        <f>D25/D5</f>
        <v/>
      </c>
      <c r="E26" s="16">
        <f>E25/E5</f>
        <v/>
      </c>
      <c r="F26" s="16">
        <f>F25/F5</f>
        <v/>
      </c>
      <c r="G26" s="16">
        <f>G25/G5</f>
        <v/>
      </c>
      <c r="H26" s="16">
        <f>H25/H5</f>
        <v/>
      </c>
      <c r="I26" s="16">
        <f>I25/I5</f>
        <v/>
      </c>
      <c r="J26" s="16">
        <f>J25/J5</f>
        <v/>
      </c>
    </row>
    <row r="27">
      <c r="A27" s="7" t="inlineStr">
        <is>
          <t>Net debt (negative = net cash)</t>
        </is>
      </c>
      <c r="B27" s="17">
        <f>B18-B13</f>
        <v/>
      </c>
      <c r="C27" s="17">
        <f>C18-C13</f>
        <v/>
      </c>
      <c r="D27" s="17">
        <f>D18-D13</f>
        <v/>
      </c>
      <c r="E27" s="17">
        <f>E18-E13</f>
        <v/>
      </c>
      <c r="F27" s="17">
        <f>F18-F13</f>
        <v/>
      </c>
      <c r="G27" s="17">
        <f>G18-G13</f>
        <v/>
      </c>
      <c r="H27" s="17">
        <f>H18-H13</f>
        <v/>
      </c>
      <c r="I27" s="17">
        <f>I18-I13</f>
        <v/>
      </c>
      <c r="J27" s="17">
        <f>J18-J13</f>
        <v/>
      </c>
    </row>
    <row r="28">
      <c r="A28" s="7" t="inlineStr">
        <is>
          <t>Net cash per share (EGP)</t>
        </is>
      </c>
      <c r="B28" s="20">
        <f>-B27/Assumptions!$C$6</f>
        <v/>
      </c>
      <c r="C28" s="20">
        <f>-C27/Assumptions!$C$6</f>
        <v/>
      </c>
      <c r="D28" s="20">
        <f>-D27/Assumptions!$C$6</f>
        <v/>
      </c>
      <c r="E28" s="20">
        <f>-E27/Assumptions!$C$6</f>
        <v/>
      </c>
      <c r="F28" s="20">
        <f>-F27/Assumptions!$C$6</f>
        <v/>
      </c>
      <c r="G28" s="20">
        <f>-G27/Assumptions!$C$6</f>
        <v/>
      </c>
      <c r="H28" s="20">
        <f>-H27/Assumptions!$C$6</f>
        <v/>
      </c>
      <c r="I28" s="20">
        <f>-I27/Assumptions!$C$6</f>
        <v/>
      </c>
      <c r="J28" s="20">
        <f>-J27/Assumptions!$C$6</f>
        <v/>
      </c>
    </row>
    <row r="29">
      <c r="A29" s="7" t="inlineStr">
        <is>
          <t>Balance check (assets less liabilities and equity)</t>
        </is>
      </c>
      <c r="B29" s="17">
        <f>B14-B22</f>
        <v/>
      </c>
      <c r="C29" s="17">
        <f>C14-C22</f>
        <v/>
      </c>
      <c r="D29" s="17">
        <f>D14-D22</f>
        <v/>
      </c>
      <c r="E29" s="17">
        <f>E14-E22</f>
        <v/>
      </c>
    </row>
    <row r="30"/>
    <row r="31" ht="28" customHeight="1">
      <c r="A31" s="21" t="inlineStr">
        <is>
          <t>The historical balance sheets are a reconstruction, and the workbook says so: only total assets, total liabilities, cash and gross debt are disclosed at one date. Everything else is built from days drivers and a roll-back through disclosed profit and dividends. The reconstruction is checked two ways — implied remaining asset life, and share capital plus disclosed reserves against total equity.</t>
        </is>
      </c>
    </row>
  </sheetData>
  <mergeCells count="1">
    <mergeCell ref="A31:K3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Cash flow — linked to the waterfall, not restated</t>
        </is>
      </c>
      <c r="B1" s="2" t="n"/>
      <c r="C1" s="2" t="n"/>
      <c r="D1" s="2" t="n"/>
      <c r="E1" s="2" t="n"/>
      <c r="F1" s="2" t="n"/>
      <c r="G1" s="2" t="n"/>
    </row>
    <row r="2">
      <c r="A2" s="11" t="inlineStr">
        <is>
          <t>Every line points at the discounted cash flow sheet or at the roll-forward, so the two cannot drift apart.</t>
        </is>
      </c>
    </row>
    <row r="3"/>
    <row r="4">
      <c r="A4" s="12" t="inlineStr">
        <is>
          <t>EGP mn</t>
        </is>
      </c>
      <c r="B4" s="12" t="inlineStr">
        <is>
          <t>2026E</t>
        </is>
      </c>
      <c r="C4" s="12" t="inlineStr">
        <is>
          <t>2027E</t>
        </is>
      </c>
      <c r="D4" s="12" t="inlineStr">
        <is>
          <t>2028E</t>
        </is>
      </c>
      <c r="E4" s="12" t="inlineStr">
        <is>
          <t>2029E</t>
        </is>
      </c>
      <c r="F4" s="12" t="inlineStr">
        <is>
          <t>2030E</t>
        </is>
      </c>
    </row>
    <row r="5">
      <c r="A5" s="7" t="inlineStr">
        <is>
          <t>EBITDA</t>
        </is>
      </c>
      <c r="B5" s="18">
        <f>DCF!B9</f>
        <v/>
      </c>
      <c r="C5" s="18">
        <f>DCF!C9</f>
        <v/>
      </c>
      <c r="D5" s="18">
        <f>DCF!D9</f>
        <v/>
      </c>
      <c r="E5" s="18">
        <f>DCF!E9</f>
        <v/>
      </c>
      <c r="F5" s="18">
        <f>DCF!F9</f>
        <v/>
      </c>
    </row>
    <row r="6">
      <c r="A6" s="7" t="inlineStr">
        <is>
          <t>less depreciation and amortisation</t>
        </is>
      </c>
      <c r="B6" s="18">
        <f>DCF!B11</f>
        <v/>
      </c>
      <c r="C6" s="18">
        <f>DCF!C11</f>
        <v/>
      </c>
      <c r="D6" s="18">
        <f>DCF!D11</f>
        <v/>
      </c>
      <c r="E6" s="18">
        <f>DCF!E11</f>
        <v/>
      </c>
      <c r="F6" s="18">
        <f>DCF!F11</f>
        <v/>
      </c>
    </row>
    <row r="7">
      <c r="A7" s="7" t="inlineStr">
        <is>
          <t>EBIT</t>
        </is>
      </c>
      <c r="B7" s="17">
        <f>B5-B6</f>
        <v/>
      </c>
      <c r="C7" s="17">
        <f>C5-C6</f>
        <v/>
      </c>
      <c r="D7" s="17">
        <f>D5-D6</f>
        <v/>
      </c>
      <c r="E7" s="17">
        <f>E5-E6</f>
        <v/>
      </c>
      <c r="F7" s="17">
        <f>F5-F6</f>
        <v/>
      </c>
    </row>
    <row r="8">
      <c r="A8" s="7" t="inlineStr">
        <is>
          <t>Cash tax on EBIT</t>
        </is>
      </c>
      <c r="B8" s="17">
        <f>B7*Assumptions!$C$52</f>
        <v/>
      </c>
      <c r="C8" s="17">
        <f>C7*Assumptions!$C$52</f>
        <v/>
      </c>
      <c r="D8" s="17">
        <f>D7*Assumptions!$C$52</f>
        <v/>
      </c>
      <c r="E8" s="17">
        <f>E7*Assumptions!$C$52</f>
        <v/>
      </c>
      <c r="F8" s="17">
        <f>F7*Assumptions!$C$52</f>
        <v/>
      </c>
    </row>
    <row r="9">
      <c r="A9" s="7" t="inlineStr">
        <is>
          <t>NOPAT</t>
        </is>
      </c>
      <c r="B9" s="17">
        <f>B7-B8</f>
        <v/>
      </c>
      <c r="C9" s="17">
        <f>C7-C8</f>
        <v/>
      </c>
      <c r="D9" s="17">
        <f>D7-D8</f>
        <v/>
      </c>
      <c r="E9" s="17">
        <f>E7-E8</f>
        <v/>
      </c>
      <c r="F9" s="17">
        <f>F7-F8</f>
        <v/>
      </c>
    </row>
    <row r="10">
      <c r="A10" s="7" t="inlineStr">
        <is>
          <t>add back depreciation and amortisation</t>
        </is>
      </c>
      <c r="B10" s="18">
        <f>DCF!B11</f>
        <v/>
      </c>
      <c r="C10" s="18">
        <f>DCF!C11</f>
        <v/>
      </c>
      <c r="D10" s="18">
        <f>DCF!D11</f>
        <v/>
      </c>
      <c r="E10" s="18">
        <f>DCF!E11</f>
        <v/>
      </c>
      <c r="F10" s="18">
        <f>DCF!F11</f>
        <v/>
      </c>
    </row>
    <row r="11">
      <c r="A11" s="7" t="inlineStr">
        <is>
          <t>less change in net working capital</t>
        </is>
      </c>
      <c r="B11" s="18">
        <f>DCF!B17</f>
        <v/>
      </c>
      <c r="C11" s="18">
        <f>DCF!C17</f>
        <v/>
      </c>
      <c r="D11" s="18">
        <f>DCF!D17</f>
        <v/>
      </c>
      <c r="E11" s="18">
        <f>DCF!E17</f>
        <v/>
      </c>
      <c r="F11" s="18">
        <f>DCF!F17</f>
        <v/>
      </c>
    </row>
    <row r="12">
      <c r="A12" s="13" t="inlineStr">
        <is>
          <t>OPERATING CASH FLOW</t>
        </is>
      </c>
      <c r="B12" s="31">
        <f>B9+B10-B11</f>
        <v/>
      </c>
      <c r="C12" s="31">
        <f>C9+C10-C11</f>
        <v/>
      </c>
      <c r="D12" s="31">
        <f>D9+D10-D11</f>
        <v/>
      </c>
      <c r="E12" s="31">
        <f>E9+E10-E11</f>
        <v/>
      </c>
      <c r="F12" s="31">
        <f>F9+F10-F11</f>
        <v/>
      </c>
    </row>
    <row r="13">
      <c r="A13" s="7" t="inlineStr">
        <is>
          <t>less capital expenditure</t>
        </is>
      </c>
      <c r="B13" s="18">
        <f>DCF!B15</f>
        <v/>
      </c>
      <c r="C13" s="18">
        <f>DCF!C15</f>
        <v/>
      </c>
      <c r="D13" s="18">
        <f>DCF!D15</f>
        <v/>
      </c>
      <c r="E13" s="18">
        <f>DCF!E15</f>
        <v/>
      </c>
      <c r="F13" s="18">
        <f>DCF!F15</f>
        <v/>
      </c>
    </row>
    <row r="14">
      <c r="A14" s="13" t="inlineStr">
        <is>
          <t>FREE CASH FLOW TO THE FIRM</t>
        </is>
      </c>
      <c r="B14" s="31">
        <f>B12-B13</f>
        <v/>
      </c>
      <c r="C14" s="31">
        <f>C12-C13</f>
        <v/>
      </c>
      <c r="D14" s="31">
        <f>D12-D13</f>
        <v/>
      </c>
      <c r="E14" s="31">
        <f>E12-E13</f>
        <v/>
      </c>
      <c r="F14" s="31">
        <f>F12-F13</f>
        <v/>
      </c>
    </row>
    <row r="15">
      <c r="A15" s="7" t="inlineStr">
        <is>
          <t>Opening cash (gross debt less opening net debt)</t>
        </is>
      </c>
      <c r="B15" s="17">
        <f>MAX(Assumptions!$C$38-B$21,0)</f>
        <v/>
      </c>
      <c r="C15" s="17">
        <f>MAX(Assumptions!$C$38-C$21,0)</f>
        <v/>
      </c>
      <c r="D15" s="17">
        <f>MAX(Assumptions!$C$38-D$21,0)</f>
        <v/>
      </c>
      <c r="E15" s="17">
        <f>MAX(Assumptions!$C$38-E$21,0)</f>
        <v/>
      </c>
      <c r="F15" s="17">
        <f>MAX(Assumptions!$C$38-F$21,0)</f>
        <v/>
      </c>
    </row>
    <row r="16">
      <c r="A16" s="7" t="inlineStr">
        <is>
          <t>Net finance income</t>
        </is>
      </c>
      <c r="B16" s="17">
        <f>Assumptions!$B$78*B15-Assumptions!$B$69*Assumptions!$C$38</f>
        <v/>
      </c>
      <c r="C16" s="17">
        <f>Assumptions!$C$78*C15-Assumptions!$C$69*Assumptions!$C$38</f>
        <v/>
      </c>
      <c r="D16" s="17">
        <f>Assumptions!$D$78*D15-Assumptions!$D$69*Assumptions!$C$38</f>
        <v/>
      </c>
      <c r="E16" s="17">
        <f>Assumptions!$E$78*E15-Assumptions!$E$69*Assumptions!$C$38</f>
        <v/>
      </c>
      <c r="F16" s="17">
        <f>Assumptions!$F$78*F15-Assumptions!$F$69*Assumptions!$C$38</f>
        <v/>
      </c>
    </row>
    <row r="17">
      <c r="A17" s="7" t="inlineStr">
        <is>
          <t>Attributable profit</t>
        </is>
      </c>
      <c r="B17" s="17">
        <f>(B7+B16)*(1-Assumptions!$C$52)*(1-Assumptions!$C$61)</f>
        <v/>
      </c>
      <c r="C17" s="17">
        <f>(C7+C16)*(1-Assumptions!$C$52)*(1-Assumptions!$C$61)</f>
        <v/>
      </c>
      <c r="D17" s="17">
        <f>(D7+D16)*(1-Assumptions!$C$52)*(1-Assumptions!$C$61)</f>
        <v/>
      </c>
      <c r="E17" s="17">
        <f>(E7+E16)*(1-Assumptions!$C$52)*(1-Assumptions!$C$61)</f>
        <v/>
      </c>
      <c r="F17" s="17">
        <f>(F7+F16)*(1-Assumptions!$C$52)*(1-Assumptions!$C$61)</f>
        <v/>
      </c>
    </row>
    <row r="18">
      <c r="A18" s="7" t="inlineStr">
        <is>
          <t>Dividends paid</t>
        </is>
      </c>
      <c r="B18" s="17">
        <f>Assumptions!$C$62*B17</f>
        <v/>
      </c>
      <c r="C18" s="17">
        <f>Assumptions!$C$62*C17</f>
        <v/>
      </c>
      <c r="D18" s="17">
        <f>Assumptions!$C$62*D17</f>
        <v/>
      </c>
      <c r="E18" s="17">
        <f>Assumptions!$C$62*E17</f>
        <v/>
      </c>
      <c r="F18" s="17">
        <f>Assumptions!$C$62*F17</f>
        <v/>
      </c>
    </row>
    <row r="19"/>
    <row r="20">
      <c r="A20" s="5" t="inlineStr">
        <is>
          <t>NET CASH ROLL-FORWARD</t>
        </is>
      </c>
      <c r="B20" s="6" t="n"/>
      <c r="C20" s="6" t="n"/>
      <c r="D20" s="6" t="n"/>
      <c r="E20" s="6" t="n"/>
      <c r="F20" s="6" t="n"/>
      <c r="G20" s="6" t="n"/>
    </row>
    <row r="21">
      <c r="A21" s="7" t="inlineStr">
        <is>
          <t>Opening net debt</t>
        </is>
      </c>
      <c r="B21" s="18">
        <f>'Balance Sheet'!$E$27</f>
        <v/>
      </c>
      <c r="C21" s="17">
        <f>B$22</f>
        <v/>
      </c>
      <c r="D21" s="17">
        <f>C$22</f>
        <v/>
      </c>
      <c r="E21" s="17">
        <f>D$22</f>
        <v/>
      </c>
      <c r="F21" s="17">
        <f>E$22</f>
        <v/>
      </c>
    </row>
    <row r="22">
      <c r="A22" s="13" t="inlineStr">
        <is>
          <t>Closing net debt</t>
        </is>
      </c>
      <c r="B22" s="31">
        <f>B21-(B14+B16*(1-Assumptions!$C$52))+B18</f>
        <v/>
      </c>
      <c r="C22" s="31">
        <f>C21-(C14+C16*(1-Assumptions!$C$52))+C18</f>
        <v/>
      </c>
      <c r="D22" s="31">
        <f>D21-(D14+D16*(1-Assumptions!$C$52))+D18</f>
        <v/>
      </c>
      <c r="E22" s="31">
        <f>E21-(E14+E16*(1-Assumptions!$C$52))+E18</f>
        <v/>
      </c>
      <c r="F22" s="31">
        <f>F21-(F14+F16*(1-Assumptions!$C$52))+F18</f>
        <v/>
      </c>
    </row>
    <row r="23">
      <c r="A23" s="7" t="inlineStr">
        <is>
          <t>Closing net cash</t>
        </is>
      </c>
      <c r="B23" s="17">
        <f>-B22</f>
        <v/>
      </c>
      <c r="C23" s="17">
        <f>-C22</f>
        <v/>
      </c>
      <c r="D23" s="17">
        <f>-D22</f>
        <v/>
      </c>
      <c r="E23" s="17">
        <f>-E22</f>
        <v/>
      </c>
      <c r="F23" s="17">
        <f>-F22</f>
        <v/>
      </c>
    </row>
    <row r="24">
      <c r="A24" s="7" t="inlineStr">
        <is>
          <t>Opening attributable equity</t>
        </is>
      </c>
      <c r="B24" s="18">
        <f>'Balance Sheet'!$E$20</f>
        <v/>
      </c>
      <c r="C24" s="17">
        <f>B$25</f>
        <v/>
      </c>
      <c r="D24" s="17">
        <f>C$25</f>
        <v/>
      </c>
      <c r="E24" s="17">
        <f>D$25</f>
        <v/>
      </c>
      <c r="F24" s="17">
        <f>E$25</f>
        <v/>
      </c>
    </row>
    <row r="25">
      <c r="A25" s="13" t="inlineStr">
        <is>
          <t>Closing attributable equity</t>
        </is>
      </c>
      <c r="B25" s="31">
        <f>B24+B17-B18</f>
        <v/>
      </c>
      <c r="C25" s="31">
        <f>C24+C17-C18</f>
        <v/>
      </c>
      <c r="D25" s="31">
        <f>D24+D17-D18</f>
        <v/>
      </c>
      <c r="E25" s="31">
        <f>E24+E17-E18</f>
        <v/>
      </c>
      <c r="F25" s="31">
        <f>F24+F17-F18</f>
        <v/>
      </c>
    </row>
    <row r="26"/>
    <row r="27" ht="28" customHeight="1">
      <c r="A27" s="21" t="inlineStr">
        <is>
          <t>The net-cash roll-forward closes: opening net debt less free cash flow, less the after-tax finance income the cash itself earns, plus dividends paid, equals closing net debt. It is one roll-forward, computed once here and consumed by the balance sheet, the ratios and the equity-side expert method.</t>
        </is>
      </c>
    </row>
  </sheetData>
  <mergeCells count="1">
    <mergeCell ref="A27:G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5"/>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Summary financials — the lines a reader checks first</t>
        </is>
      </c>
      <c r="B1" s="2" t="n"/>
      <c r="C1" s="2" t="n"/>
      <c r="D1" s="2" t="n"/>
      <c r="E1" s="2" t="n"/>
      <c r="F1" s="2" t="n"/>
      <c r="G1" s="2" t="n"/>
      <c r="H1" s="2" t="n"/>
      <c r="I1" s="2" t="n"/>
      <c r="J1" s="2" t="n"/>
      <c r="K1" s="2" t="n"/>
    </row>
    <row r="2"/>
    <row r="3"/>
    <row r="4">
      <c r="A4" s="12" t="inlineStr">
        <is>
          <t>EGP mn</t>
        </is>
      </c>
      <c r="B4" s="12" t="inlineStr">
        <is>
          <t>FY2022/23</t>
        </is>
      </c>
      <c r="C4" s="12" t="inlineStr">
        <is>
          <t>FY2023/24</t>
        </is>
      </c>
      <c r="D4" s="12" t="inlineStr">
        <is>
          <t>FY2024/25</t>
        </is>
      </c>
      <c r="E4" s="12" t="inlineStr">
        <is>
          <t>CY2025</t>
        </is>
      </c>
      <c r="F4" s="12" t="inlineStr">
        <is>
          <t>2026E</t>
        </is>
      </c>
      <c r="G4" s="12" t="inlineStr">
        <is>
          <t>2027E</t>
        </is>
      </c>
      <c r="H4" s="12" t="inlineStr">
        <is>
          <t>2028E</t>
        </is>
      </c>
      <c r="I4" s="12" t="inlineStr">
        <is>
          <t>2029E</t>
        </is>
      </c>
      <c r="J4" s="12" t="inlineStr">
        <is>
          <t>2030E</t>
        </is>
      </c>
    </row>
    <row r="5">
      <c r="A5" s="7"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c r="J5" s="18">
        <f>'Income Statement'!J5</f>
        <v/>
      </c>
    </row>
    <row r="6">
      <c r="A6" s="7" t="inlineStr">
        <is>
          <t>EBITDA</t>
        </is>
      </c>
      <c r="B6" s="18">
        <f>'Income Statement'!B9</f>
        <v/>
      </c>
      <c r="C6" s="18">
        <f>'Income Statement'!C9</f>
        <v/>
      </c>
      <c r="D6" s="18">
        <f>'Income Statement'!D9</f>
        <v/>
      </c>
      <c r="E6" s="18">
        <f>'Income Statement'!E9</f>
        <v/>
      </c>
      <c r="F6" s="18">
        <f>'Income Statement'!F9</f>
        <v/>
      </c>
      <c r="G6" s="18">
        <f>'Income Statement'!G9</f>
        <v/>
      </c>
      <c r="H6" s="18">
        <f>'Income Statement'!H9</f>
        <v/>
      </c>
      <c r="I6" s="18">
        <f>'Income Statement'!I9</f>
        <v/>
      </c>
      <c r="J6" s="18">
        <f>'Income Statement'!J9</f>
        <v/>
      </c>
    </row>
    <row r="7">
      <c r="A7" s="7" t="inlineStr">
        <is>
          <t>EBIT</t>
        </is>
      </c>
      <c r="B7" s="18">
        <f>'Income Statement'!B12</f>
        <v/>
      </c>
      <c r="C7" s="18">
        <f>'Income Statement'!C12</f>
        <v/>
      </c>
      <c r="D7" s="18">
        <f>'Income Statement'!D12</f>
        <v/>
      </c>
      <c r="E7" s="18">
        <f>'Income Statement'!E12</f>
        <v/>
      </c>
      <c r="F7" s="18">
        <f>'Income Statement'!F12</f>
        <v/>
      </c>
      <c r="G7" s="18">
        <f>'Income Statement'!G12</f>
        <v/>
      </c>
      <c r="H7" s="18">
        <f>'Income Statement'!H12</f>
        <v/>
      </c>
      <c r="I7" s="18">
        <f>'Income Statement'!I12</f>
        <v/>
      </c>
      <c r="J7" s="18">
        <f>'Income Statement'!J12</f>
        <v/>
      </c>
    </row>
    <row r="8">
      <c r="A8" s="7" t="inlineStr">
        <is>
          <t>Attributable profit</t>
        </is>
      </c>
      <c r="B8" s="18">
        <f>'Income Statement'!B19</f>
        <v/>
      </c>
      <c r="C8" s="18">
        <f>'Income Statement'!C19</f>
        <v/>
      </c>
      <c r="D8" s="18">
        <f>'Income Statement'!D19</f>
        <v/>
      </c>
      <c r="E8" s="18">
        <f>'Income Statement'!E19</f>
        <v/>
      </c>
      <c r="F8" s="18">
        <f>'Income Statement'!F19</f>
        <v/>
      </c>
      <c r="G8" s="18">
        <f>'Income Statement'!G19</f>
        <v/>
      </c>
      <c r="H8" s="18">
        <f>'Income Statement'!H19</f>
        <v/>
      </c>
      <c r="I8" s="18">
        <f>'Income Statement'!I19</f>
        <v/>
      </c>
      <c r="J8" s="18">
        <f>'Income Statement'!J19</f>
        <v/>
      </c>
    </row>
    <row r="9">
      <c r="A9" s="7" t="inlineStr">
        <is>
          <t>Total assets</t>
        </is>
      </c>
      <c r="B9" s="18">
        <f>'Balance Sheet'!B14</f>
        <v/>
      </c>
      <c r="C9" s="18">
        <f>'Balance Sheet'!C14</f>
        <v/>
      </c>
      <c r="D9" s="18">
        <f>'Balance Sheet'!D14</f>
        <v/>
      </c>
      <c r="E9" s="18">
        <f>'Balance Sheet'!E14</f>
        <v/>
      </c>
      <c r="F9" s="18">
        <f>'Balance Sheet'!F14</f>
        <v/>
      </c>
      <c r="G9" s="18">
        <f>'Balance Sheet'!G14</f>
        <v/>
      </c>
      <c r="H9" s="18">
        <f>'Balance Sheet'!H14</f>
        <v/>
      </c>
      <c r="I9" s="18">
        <f>'Balance Sheet'!I14</f>
        <v/>
      </c>
      <c r="J9" s="18">
        <f>'Balance Sheet'!J14</f>
        <v/>
      </c>
    </row>
    <row r="10">
      <c r="A10" s="7" t="inlineStr">
        <is>
          <t>Shareholders equity</t>
        </is>
      </c>
      <c r="B10" s="18">
        <f>'Balance Sheet'!B20</f>
        <v/>
      </c>
      <c r="C10" s="18">
        <f>'Balance Sheet'!C20</f>
        <v/>
      </c>
      <c r="D10" s="18">
        <f>'Balance Sheet'!D20</f>
        <v/>
      </c>
      <c r="E10" s="18">
        <f>'Balance Sheet'!E20</f>
        <v/>
      </c>
      <c r="F10" s="18">
        <f>'Balance Sheet'!F20</f>
        <v/>
      </c>
      <c r="G10" s="18">
        <f>'Balance Sheet'!G20</f>
        <v/>
      </c>
      <c r="H10" s="18">
        <f>'Balance Sheet'!H20</f>
        <v/>
      </c>
      <c r="I10" s="18">
        <f>'Balance Sheet'!I20</f>
        <v/>
      </c>
      <c r="J10" s="18">
        <f>'Balance Sheet'!J20</f>
        <v/>
      </c>
    </row>
    <row r="11">
      <c r="A11" s="7" t="inlineStr">
        <is>
          <t>Net cash</t>
        </is>
      </c>
      <c r="B11" s="18">
        <f>0-'Balance Sheet'!B27</f>
        <v/>
      </c>
      <c r="C11" s="18">
        <f>0-'Balance Sheet'!C27</f>
        <v/>
      </c>
      <c r="D11" s="18">
        <f>0-'Balance Sheet'!D27</f>
        <v/>
      </c>
      <c r="E11" s="18">
        <f>0-'Balance Sheet'!E27</f>
        <v/>
      </c>
      <c r="F11" s="18">
        <f>0-'Balance Sheet'!F27</f>
        <v/>
      </c>
      <c r="G11" s="18">
        <f>0-'Balance Sheet'!G27</f>
        <v/>
      </c>
      <c r="H11" s="18">
        <f>0-'Balance Sheet'!H27</f>
        <v/>
      </c>
      <c r="I11" s="18">
        <f>0-'Balance Sheet'!I27</f>
        <v/>
      </c>
      <c r="J11" s="18">
        <f>0-'Balance Sheet'!J27</f>
        <v/>
      </c>
    </row>
    <row r="12"/>
    <row r="13">
      <c r="A13" s="7" t="inlineStr">
        <is>
          <t>Invested capital</t>
        </is>
      </c>
      <c r="F13" s="18">
        <f>DCF!B24</f>
        <v/>
      </c>
      <c r="G13" s="18">
        <f>DCF!C24</f>
        <v/>
      </c>
      <c r="H13" s="18">
        <f>DCF!D24</f>
        <v/>
      </c>
      <c r="I13" s="18">
        <f>DCF!E24</f>
        <v/>
      </c>
      <c r="J13" s="18">
        <f>DCF!F24</f>
        <v/>
      </c>
    </row>
    <row r="14">
      <c r="A14" s="7" t="inlineStr">
        <is>
          <t>Return on invested capital</t>
        </is>
      </c>
      <c r="F14" s="16">
        <f>DCF!B13/DCF!B24</f>
        <v/>
      </c>
      <c r="G14" s="16">
        <f>DCF!C13/DCF!C24</f>
        <v/>
      </c>
      <c r="H14" s="16">
        <f>DCF!D13/DCF!D24</f>
        <v/>
      </c>
      <c r="I14" s="16">
        <f>DCF!E13/DCF!E24</f>
        <v/>
      </c>
      <c r="J14" s="16">
        <f>DCF!F13/DCF!F24</f>
        <v/>
      </c>
    </row>
    <row r="15">
      <c r="A15" s="7" t="inlineStr">
        <is>
          <t>Free cash flow to the firm</t>
        </is>
      </c>
      <c r="F15" s="18">
        <f>DCF!B18</f>
        <v/>
      </c>
      <c r="G15" s="18">
        <f>DCF!C18</f>
        <v/>
      </c>
      <c r="H15" s="18">
        <f>DCF!D18</f>
        <v/>
      </c>
      <c r="I15" s="18">
        <f>DCF!E18</f>
        <v/>
      </c>
      <c r="J15" s="18">
        <f>DCF!F18</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Forward price distribution — engine output</t>
        </is>
      </c>
      <c r="B1" s="2" t="n"/>
      <c r="C1" s="2" t="n"/>
      <c r="D1" s="2" t="n"/>
      <c r="E1" s="2" t="n"/>
      <c r="F1" s="2" t="n"/>
      <c r="G1" s="2" t="n"/>
    </row>
    <row r="2">
      <c r="A2" s="11" t="inlineStr">
        <is>
          <t>PASTED VALUES. Each percentile is the output of a 50,000-path simulation and is not recomputed by this workbook. Changing a driver does NOT redraw this sheet.</t>
        </is>
      </c>
    </row>
    <row r="3"/>
    <row r="4">
      <c r="A4" s="12" t="inlineStr"/>
      <c r="B4" s="12" t="inlineStr">
        <is>
          <t>1 month</t>
        </is>
      </c>
      <c r="C4" s="12" t="inlineStr">
        <is>
          <t>3 months</t>
        </is>
      </c>
    </row>
    <row r="5">
      <c r="A5" s="7" t="inlineStr">
        <is>
          <t>Sessions to the check date</t>
        </is>
      </c>
      <c r="B5" s="24" t="n">
        <v>20</v>
      </c>
      <c r="C5" s="24" t="n">
        <v>62</v>
      </c>
    </row>
    <row r="6">
      <c r="A6" s="7" t="inlineStr">
        <is>
          <t>Target date</t>
        </is>
      </c>
      <c r="B6" s="44" t="inlineStr">
        <is>
          <t>2026-09-06</t>
        </is>
      </c>
      <c r="C6" s="44" t="inlineStr">
        <is>
          <t>2026-11-06</t>
        </is>
      </c>
    </row>
    <row r="7">
      <c r="A7" s="7" t="inlineStr">
        <is>
          <t>Grade date</t>
        </is>
      </c>
      <c r="B7" s="44" t="inlineStr">
        <is>
          <t>2026-09-06</t>
        </is>
      </c>
      <c r="C7" s="44" t="inlineStr">
        <is>
          <t>2026-11-08</t>
        </is>
      </c>
    </row>
    <row r="8">
      <c r="A8" s="7" t="inlineStr">
        <is>
          <t>5th percentile (EGP)</t>
        </is>
      </c>
      <c r="B8" s="22" t="n">
        <v>7.709561159148157</v>
      </c>
      <c r="C8" s="22" t="n">
        <v>6.901709500909541</v>
      </c>
    </row>
    <row r="9">
      <c r="A9" s="7" t="inlineStr">
        <is>
          <t>25th percentile (EGP)</t>
        </is>
      </c>
      <c r="B9" s="22" t="n">
        <v>8.598972959864378</v>
      </c>
      <c r="C9" s="22" t="n">
        <v>8.344230883407748</v>
      </c>
    </row>
    <row r="10">
      <c r="A10" s="7" t="inlineStr">
        <is>
          <t>50th percentile (EGP)</t>
        </is>
      </c>
      <c r="B10" s="22" t="n">
        <v>9.170972589675991</v>
      </c>
      <c r="C10" s="22" t="n">
        <v>9.329430138739404</v>
      </c>
    </row>
    <row r="11">
      <c r="A11" s="7" t="inlineStr">
        <is>
          <t>75th percentile (EGP)</t>
        </is>
      </c>
      <c r="B11" s="22" t="n">
        <v>9.785586992007069</v>
      </c>
      <c r="C11" s="22" t="n">
        <v>10.41934979174632</v>
      </c>
    </row>
    <row r="12">
      <c r="A12" s="7" t="inlineStr">
        <is>
          <t>95th percentile (EGP)</t>
        </is>
      </c>
      <c r="B12" s="22" t="n">
        <v>10.91362189019824</v>
      </c>
      <c r="C12" s="22" t="n">
        <v>12.60453843225594</v>
      </c>
    </row>
    <row r="13">
      <c r="A13" s="7" t="inlineStr">
        <is>
          <t>Probability above spot</t>
        </is>
      </c>
      <c r="B13" s="29" t="n">
        <v>0.53284</v>
      </c>
      <c r="C13" s="29" t="n">
        <v>0.56048</v>
      </c>
    </row>
    <row r="14">
      <c r="A14" s="7" t="inlineStr">
        <is>
          <t>Probability 10% or more up</t>
        </is>
      </c>
      <c r="B14" s="29" t="n">
        <v>0.18262</v>
      </c>
      <c r="C14" s="29" t="n">
        <v>0.3318</v>
      </c>
    </row>
    <row r="15">
      <c r="A15" s="7" t="inlineStr">
        <is>
          <t>Probability 10% or more down</t>
        </is>
      </c>
      <c r="B15" s="29" t="n">
        <v>0.12658</v>
      </c>
      <c r="C15" s="29" t="n">
        <v>0.21574</v>
      </c>
    </row>
    <row r="16">
      <c r="A16" s="7" t="inlineStr">
        <is>
          <t>Probability of touching +10%</t>
        </is>
      </c>
      <c r="B16" s="29" t="n">
        <v>0.2999</v>
      </c>
      <c r="C16" s="29" t="n">
        <v>0.56412</v>
      </c>
    </row>
    <row r="17">
      <c r="A17" s="7" t="inlineStr">
        <is>
          <t>Probability of touching -10%</t>
        </is>
      </c>
      <c r="B17" s="29" t="n">
        <v>0.21706</v>
      </c>
      <c r="C17" s="29" t="n">
        <v>0.42922</v>
      </c>
    </row>
    <row r="18">
      <c r="A18" s="7" t="inlineStr">
        <is>
          <t>Annualised volatility at the anchor</t>
        </is>
      </c>
      <c r="B18" s="29" t="n">
        <v>0.4179907789031863</v>
      </c>
      <c r="C18" s="29" t="n">
        <v>0.4085225075524802</v>
      </c>
    </row>
    <row r="19"/>
    <row r="20">
      <c r="A20" s="5" t="inlineStr">
        <is>
          <t>CALIBRATION OF THE ENGINE THAT PRODUCED THIS</t>
        </is>
      </c>
      <c r="B20" s="6" t="n"/>
      <c r="C20" s="6" t="n"/>
      <c r="D20" s="6" t="n"/>
      <c r="E20" s="6" t="n"/>
      <c r="F20" s="6" t="n"/>
      <c r="G20" s="6" t="n"/>
    </row>
    <row r="21">
      <c r="A21" s="7" t="inlineStr">
        <is>
          <t>Windows scored (post-break)</t>
        </is>
      </c>
      <c r="B21" s="24" t="n">
        <v>17</v>
      </c>
    </row>
    <row r="22">
      <c r="A22" s="7" t="inlineStr">
        <is>
          <t>First origin</t>
        </is>
      </c>
      <c r="B22" s="44" t="inlineStr">
        <is>
          <t>2022-04-05</t>
        </is>
      </c>
    </row>
    <row r="23">
      <c r="A23" s="7" t="inlineStr">
        <is>
          <t>Last origin</t>
        </is>
      </c>
      <c r="B23" s="44" t="inlineStr">
        <is>
          <t>2026-04-12</t>
        </is>
      </c>
    </row>
    <row r="24">
      <c r="A24" s="7" t="inlineStr">
        <is>
          <t>Skill against a carry-anchored random walk</t>
        </is>
      </c>
      <c r="B24" s="29" t="n">
        <v>0.006758984690108827</v>
      </c>
    </row>
    <row r="25">
      <c r="A25" s="7" t="inlineStr">
        <is>
          <t>Verdict</t>
        </is>
      </c>
      <c r="B25" s="44" t="inlineStr">
        <is>
          <t>PARITY</t>
        </is>
      </c>
    </row>
    <row r="26">
      <c r="A26" s="7" t="inlineStr">
        <is>
          <t>Coverage of the 90% band</t>
        </is>
      </c>
      <c r="B26" s="29" t="n">
        <v>0.9411764705882353</v>
      </c>
    </row>
    <row r="27">
      <c r="A27" s="7" t="inlineStr">
        <is>
          <t>Probability-integral-transform mean</t>
        </is>
      </c>
      <c r="B27" s="28" t="n">
        <v>0.4612000000000001</v>
      </c>
    </row>
    <row r="28">
      <c r="A28" s="7" t="inlineStr">
        <is>
          <t>Cone width against the benchmark</t>
        </is>
      </c>
      <c r="B28" s="28" t="n">
        <v>0.9693809251589353</v>
      </c>
    </row>
    <row r="29">
      <c r="A29" s="7" t="inlineStr">
        <is>
          <t>Market panel verdict</t>
        </is>
      </c>
      <c r="B29" s="44" t="inlineStr">
        <is>
          <t>PASS</t>
        </is>
      </c>
    </row>
    <row r="30">
      <c r="A30" s="7" t="inlineStr">
        <is>
          <t>Market panel skill</t>
        </is>
      </c>
      <c r="B30" s="29" t="n">
        <v>0.0158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each cell is a complete revaluation</t>
        </is>
      </c>
      <c r="B1" s="2" t="n"/>
      <c r="C1" s="2" t="n"/>
      <c r="D1" s="2" t="n"/>
      <c r="E1" s="2" t="n"/>
      <c r="F1" s="2" t="n"/>
      <c r="G1" s="2" t="n"/>
      <c r="H1" s="2" t="n"/>
    </row>
    <row r="2">
      <c r="A2" s="11" t="inlineStr">
        <is>
          <t>PASTED VALUES. Every cell re-runs the whole model at a different driver setting, so these grids do NOT redraw when a driver changes on Assumptions.</t>
        </is>
      </c>
    </row>
    <row r="3"/>
    <row r="4">
      <c r="A4" s="5" t="inlineStr">
        <is>
          <t>TERMINAL COST OF CAPITAL x TERMINAL GROWTH (EGP per share)</t>
        </is>
      </c>
      <c r="B4" s="6" t="n"/>
      <c r="C4" s="6" t="n"/>
      <c r="D4" s="6" t="n"/>
      <c r="E4" s="6" t="n"/>
      <c r="F4" s="6" t="n"/>
      <c r="G4" s="6" t="n"/>
      <c r="H4" s="6" t="n"/>
    </row>
    <row r="5">
      <c r="A5" s="13" t="inlineStr">
        <is>
          <t>Terminal WACC \ Terminal g</t>
        </is>
      </c>
      <c r="B5" s="45" t="n">
        <v>0.03</v>
      </c>
      <c r="C5" s="45" t="n">
        <v>0.04</v>
      </c>
      <c r="D5" s="45" t="n">
        <v>0.05</v>
      </c>
      <c r="E5" s="45" t="n">
        <v>0.06</v>
      </c>
      <c r="F5" s="45" t="n">
        <v>0.07000000000000001</v>
      </c>
    </row>
    <row r="6">
      <c r="A6" s="27" t="n">
        <v>0.1452265</v>
      </c>
      <c r="B6" s="22" t="n">
        <v>10.32612246271658</v>
      </c>
      <c r="C6" s="22" t="n">
        <v>10.78288627435288</v>
      </c>
      <c r="D6" s="22" t="n">
        <v>11.33558216616357</v>
      </c>
      <c r="E6" s="22" t="n">
        <v>12.01797853653683</v>
      </c>
      <c r="F6" s="22" t="n">
        <v>12.88179937046304</v>
      </c>
    </row>
    <row r="7">
      <c r="A7" s="27" t="n">
        <v>0.1552265</v>
      </c>
      <c r="B7" s="22" t="n">
        <v>9.745971768566928</v>
      </c>
      <c r="C7" s="22" t="n">
        <v>10.1165726792539</v>
      </c>
      <c r="D7" s="22" t="n">
        <v>10.55761229324982</v>
      </c>
      <c r="E7" s="22" t="n">
        <v>11.09128150383827</v>
      </c>
      <c r="F7" s="22" t="n">
        <v>11.75018622464677</v>
      </c>
    </row>
    <row r="8">
      <c r="A8" s="27" t="n">
        <v>0.1652265</v>
      </c>
      <c r="B8" s="22" t="n">
        <v>9.251248707693684</v>
      </c>
      <c r="C8" s="22" t="n">
        <v>9.556180147813706</v>
      </c>
      <c r="D8" s="22" t="n">
        <v>9.914038898946387</v>
      </c>
      <c r="E8" s="22" t="n">
        <v>10.33991449966214</v>
      </c>
      <c r="F8" s="22" t="n">
        <v>10.85523486642848</v>
      </c>
    </row>
    <row r="9">
      <c r="A9" s="27" t="n">
        <v>0.1752265</v>
      </c>
      <c r="B9" s="22" t="n">
        <v>8.824310561876638</v>
      </c>
      <c r="C9" s="22" t="n">
        <v>9.078217631789881</v>
      </c>
      <c r="D9" s="22" t="n">
        <v>9.372676353296557</v>
      </c>
      <c r="E9" s="22" t="n">
        <v>9.71824462364949</v>
      </c>
      <c r="F9" s="22" t="n">
        <v>10.12949373872365</v>
      </c>
    </row>
    <row r="10">
      <c r="A10" s="27" t="n">
        <v>0.1852265</v>
      </c>
      <c r="B10" s="22" t="n">
        <v>8.452060888863643</v>
      </c>
      <c r="C10" s="22" t="n">
        <v>8.6656641130773</v>
      </c>
      <c r="D10" s="22" t="n">
        <v>8.910859255178893</v>
      </c>
      <c r="E10" s="22" t="n">
        <v>9.195214661617763</v>
      </c>
      <c r="F10" s="22" t="n">
        <v>9.528925972547157</v>
      </c>
    </row>
    <row r="11"/>
    <row r="12">
      <c r="A12" s="5" t="inlineStr">
        <is>
          <t>EXPLICIT-WINDOW x TERMINAL COST OF CAPITAL (EGP per share)</t>
        </is>
      </c>
      <c r="B12" s="6" t="n"/>
      <c r="C12" s="6" t="n"/>
      <c r="D12" s="6" t="n"/>
      <c r="E12" s="6" t="n"/>
      <c r="F12" s="6" t="n"/>
      <c r="G12" s="6" t="n"/>
      <c r="H12" s="6" t="n"/>
    </row>
    <row r="13">
      <c r="A13" s="13" t="inlineStr">
        <is>
          <t>Explicit WACC \ Terminal WACC</t>
        </is>
      </c>
      <c r="B13" s="45" t="n">
        <v>0.1452265</v>
      </c>
      <c r="C13" s="45" t="n">
        <v>0.1552265</v>
      </c>
      <c r="D13" s="45" t="n">
        <v>0.1652265</v>
      </c>
      <c r="E13" s="45" t="n">
        <v>0.1752265</v>
      </c>
      <c r="F13" s="45" t="n">
        <v>0.1852265</v>
      </c>
    </row>
    <row r="14">
      <c r="A14" s="27" t="n">
        <v>0.2863274586594906</v>
      </c>
      <c r="B14" s="22" t="n">
        <v>11.80403681275764</v>
      </c>
      <c r="C14" s="22" t="n">
        <v>10.9843592872358</v>
      </c>
      <c r="D14" s="22" t="n">
        <v>10.30629646199505</v>
      </c>
      <c r="E14" s="22" t="n">
        <v>9.73593393103854</v>
      </c>
      <c r="F14" s="22" t="n">
        <v>9.249388875646547</v>
      </c>
    </row>
    <row r="15">
      <c r="A15" s="27" t="n">
        <v>0.3013274586594906</v>
      </c>
      <c r="B15" s="22" t="n">
        <v>11.56590793035367</v>
      </c>
      <c r="C15" s="22" t="n">
        <v>10.76744487835321</v>
      </c>
      <c r="D15" s="22" t="n">
        <v>10.10692489323954</v>
      </c>
      <c r="E15" s="22" t="n">
        <v>9.551312932964418</v>
      </c>
      <c r="F15" s="22" t="n">
        <v>9.077345433739172</v>
      </c>
    </row>
    <row r="16">
      <c r="A16" s="27" t="n">
        <v>0.3163274586594906</v>
      </c>
      <c r="B16" s="22" t="n">
        <v>11.33558216616357</v>
      </c>
      <c r="C16" s="22" t="n">
        <v>10.55761229324982</v>
      </c>
      <c r="D16" s="22" t="n">
        <v>9.914038898946387</v>
      </c>
      <c r="E16" s="22" t="n">
        <v>9.372676353296557</v>
      </c>
      <c r="F16" s="22" t="n">
        <v>8.910859255178893</v>
      </c>
    </row>
    <row r="17">
      <c r="A17" s="27" t="n">
        <v>0.3313274586594906</v>
      </c>
      <c r="B17" s="22" t="n">
        <v>11.11273519167019</v>
      </c>
      <c r="C17" s="22" t="n">
        <v>10.35456786785352</v>
      </c>
      <c r="D17" s="22" t="n">
        <v>9.727370155325914</v>
      </c>
      <c r="E17" s="22" t="n">
        <v>9.199777159813573</v>
      </c>
      <c r="F17" s="22" t="n">
        <v>8.749701448772367</v>
      </c>
    </row>
    <row r="18">
      <c r="A18" s="27" t="n">
        <v>0.3463274586594906</v>
      </c>
      <c r="B18" s="22" t="n">
        <v>10.89705906540662</v>
      </c>
      <c r="C18" s="22" t="n">
        <v>10.15803275184683</v>
      </c>
      <c r="D18" s="22" t="n">
        <v>9.546663852580602</v>
      </c>
      <c r="E18" s="22" t="n">
        <v>9.032380742521237</v>
      </c>
      <c r="F18" s="22" t="n">
        <v>8.593654615635687</v>
      </c>
    </row>
    <row r="19"/>
    <row r="20">
      <c r="A20" s="5" t="inlineStr">
        <is>
          <t>SINGLE-DRIVER SWEEPS (EGP per share)</t>
        </is>
      </c>
      <c r="B20" s="6" t="n"/>
      <c r="C20" s="6" t="n"/>
      <c r="D20" s="6" t="n"/>
      <c r="E20" s="6" t="n"/>
      <c r="F20" s="6" t="n"/>
      <c r="G20" s="6" t="n"/>
      <c r="H20" s="6" t="n"/>
    </row>
    <row r="21">
      <c r="A21" s="13" t="inlineStr">
        <is>
          <t>Beta</t>
        </is>
      </c>
      <c r="B21" s="26" t="n">
        <v>0.6</v>
      </c>
      <c r="C21" s="26" t="n">
        <v>0.8</v>
      </c>
      <c r="D21" s="26" t="n">
        <v>0.9405</v>
      </c>
      <c r="E21" s="26" t="n">
        <v>1.15</v>
      </c>
      <c r="F21" s="26" t="n">
        <v>1.3</v>
      </c>
    </row>
    <row r="22">
      <c r="A22" s="7" t="inlineStr">
        <is>
          <t>Fair value</t>
        </is>
      </c>
      <c r="B22" s="22" t="n">
        <v>12.28183496832688</v>
      </c>
      <c r="C22" s="22" t="n">
        <v>10.85359432889467</v>
      </c>
      <c r="D22" s="22" t="n">
        <v>10.04342209747108</v>
      </c>
      <c r="E22" s="22" t="n">
        <v>9.050934232680575</v>
      </c>
      <c r="F22" s="22" t="n">
        <v>8.462276598001157</v>
      </c>
    </row>
    <row r="23"/>
    <row r="24">
      <c r="A24" s="13" t="inlineStr">
        <is>
          <t>Gross margin shift</t>
        </is>
      </c>
      <c r="B24" s="27" t="n">
        <v>-0.01</v>
      </c>
      <c r="C24" s="27" t="n">
        <v>-0.005</v>
      </c>
      <c r="D24" s="27" t="n">
        <v>0</v>
      </c>
      <c r="E24" s="27" t="n">
        <v>0.005</v>
      </c>
      <c r="F24" s="27" t="n">
        <v>0.01</v>
      </c>
    </row>
    <row r="25">
      <c r="A25" s="7" t="inlineStr">
        <is>
          <t>Fair value</t>
        </is>
      </c>
      <c r="B25" s="22" t="n">
        <v>7.86836415284176</v>
      </c>
      <c r="C25" s="22" t="n">
        <v>8.891201525894072</v>
      </c>
      <c r="D25" s="22" t="n">
        <v>9.914038898946387</v>
      </c>
      <c r="E25" s="22" t="n">
        <v>10.9368762719987</v>
      </c>
      <c r="F25" s="22" t="n">
        <v>11.95971364505101</v>
      </c>
    </row>
    <row r="26"/>
    <row r="27">
      <c r="A27" s="13" t="inlineStr">
        <is>
          <t>Volume growth multiplier</t>
        </is>
      </c>
      <c r="B27" s="26" t="n">
        <v>0</v>
      </c>
      <c r="C27" s="26" t="n">
        <v>0.5</v>
      </c>
      <c r="D27" s="26" t="n">
        <v>1</v>
      </c>
      <c r="E27" s="26" t="n">
        <v>1.5</v>
      </c>
      <c r="F27" s="26" t="n">
        <v>2</v>
      </c>
    </row>
    <row r="28">
      <c r="A28" s="7" t="inlineStr">
        <is>
          <t>Fair value</t>
        </is>
      </c>
      <c r="B28" s="22" t="n">
        <v>8.636918825277691</v>
      </c>
      <c r="C28" s="22" t="n">
        <v>9.251651976568729</v>
      </c>
      <c r="D28" s="22" t="n">
        <v>9.914038898946387</v>
      </c>
      <c r="E28" s="22" t="n">
        <v>10.62701003090676</v>
      </c>
      <c r="F28" s="22" t="n">
        <v>11.39362013348653</v>
      </c>
    </row>
    <row r="29"/>
    <row r="30">
      <c r="A30" s="13" t="inlineStr">
        <is>
          <t>Exchange-rate path multiplier</t>
        </is>
      </c>
      <c r="B30" s="26" t="n">
        <v>0.9</v>
      </c>
      <c r="C30" s="26" t="n">
        <v>0.95</v>
      </c>
      <c r="D30" s="26" t="n">
        <v>1</v>
      </c>
      <c r="E30" s="26" t="n">
        <v>1.05</v>
      </c>
      <c r="F30" s="26" t="n">
        <v>1.1</v>
      </c>
    </row>
    <row r="31">
      <c r="A31" s="7" t="inlineStr">
        <is>
          <t>Fair value</t>
        </is>
      </c>
      <c r="B31" s="22" t="n">
        <v>9.123929684261853</v>
      </c>
      <c r="C31" s="22" t="n">
        <v>9.51898429160412</v>
      </c>
      <c r="D31" s="22" t="n">
        <v>9.914038898946387</v>
      </c>
      <c r="E31" s="22" t="n">
        <v>10.30909350628865</v>
      </c>
      <c r="F31" s="22" t="n">
        <v>10.70414811363093</v>
      </c>
    </row>
    <row r="32"/>
    <row r="33">
      <c r="A33" s="13" t="inlineStr">
        <is>
          <t>Net working capital, % of revenue</t>
        </is>
      </c>
      <c r="B33" s="27" t="n">
        <v>0</v>
      </c>
      <c r="C33" s="27" t="n">
        <v>0.01</v>
      </c>
      <c r="D33" s="27" t="n">
        <v>0.02021314135515365</v>
      </c>
      <c r="E33" s="27" t="n">
        <v>0.03</v>
      </c>
      <c r="F33" s="27" t="n">
        <v>0.05</v>
      </c>
    </row>
    <row r="34">
      <c r="A34" s="7" t="inlineStr">
        <is>
          <t>Fair value</t>
        </is>
      </c>
      <c r="B34" s="22" t="n">
        <v>10.2773885410665</v>
      </c>
      <c r="C34" s="22" t="n">
        <v>10.09762942508552</v>
      </c>
      <c r="D34" s="22" t="n">
        <v>9.914038898946387</v>
      </c>
      <c r="E34" s="22" t="n">
        <v>9.73811119312354</v>
      </c>
      <c r="F34" s="22" t="n">
        <v>9.378592961161562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1" t="inlineStr">
        <is>
          <t>Per-share figures and ratios — every cell a formula</t>
        </is>
      </c>
      <c r="B1" s="2" t="n"/>
      <c r="C1" s="2" t="n"/>
      <c r="D1" s="2" t="n"/>
      <c r="E1" s="2" t="n"/>
      <c r="F1" s="2" t="n"/>
      <c r="G1" s="2" t="n"/>
      <c r="H1" s="2" t="n"/>
      <c r="I1" s="2" t="n"/>
      <c r="J1" s="2" t="n"/>
      <c r="K1" s="2" t="n"/>
    </row>
    <row r="2"/>
    <row r="3"/>
    <row r="4">
      <c r="A4" s="12" t="inlineStr"/>
      <c r="B4" s="12" t="inlineStr">
        <is>
          <t>FY2022/23</t>
        </is>
      </c>
      <c r="C4" s="12" t="inlineStr">
        <is>
          <t>FY2023/24</t>
        </is>
      </c>
      <c r="D4" s="12" t="inlineStr">
        <is>
          <t>FY2024/25</t>
        </is>
      </c>
      <c r="E4" s="12" t="inlineStr">
        <is>
          <t>CY2025</t>
        </is>
      </c>
      <c r="F4" s="12" t="inlineStr">
        <is>
          <t>2026E</t>
        </is>
      </c>
      <c r="G4" s="12" t="inlineStr">
        <is>
          <t>2027E</t>
        </is>
      </c>
      <c r="H4" s="12" t="inlineStr">
        <is>
          <t>2028E</t>
        </is>
      </c>
      <c r="I4" s="12" t="inlineStr">
        <is>
          <t>2029E</t>
        </is>
      </c>
      <c r="J4" s="12" t="inlineStr">
        <is>
          <t>2030E</t>
        </is>
      </c>
    </row>
    <row r="5">
      <c r="A5" s="7" t="inlineStr">
        <is>
          <t>Earnings per share (EGP)</t>
        </is>
      </c>
      <c r="B5" s="20">
        <f>'Income Statement'!B20</f>
        <v/>
      </c>
      <c r="C5" s="20">
        <f>'Income Statement'!C20</f>
        <v/>
      </c>
      <c r="D5" s="20">
        <f>'Income Statement'!D20</f>
        <v/>
      </c>
      <c r="E5" s="20">
        <f>'Income Statement'!E20</f>
        <v/>
      </c>
      <c r="F5" s="20">
        <f>'Income Statement'!F20</f>
        <v/>
      </c>
      <c r="G5" s="20">
        <f>'Income Statement'!G20</f>
        <v/>
      </c>
      <c r="H5" s="20">
        <f>'Income Statement'!H20</f>
        <v/>
      </c>
      <c r="I5" s="20">
        <f>'Income Statement'!I20</f>
        <v/>
      </c>
      <c r="J5" s="20">
        <f>'Income Statement'!J20</f>
        <v/>
      </c>
    </row>
    <row r="6">
      <c r="A6" s="7" t="inlineStr">
        <is>
          <t>Book value per share (EGP)</t>
        </is>
      </c>
      <c r="B6" s="20">
        <f>'Balance Sheet'!B20/Assumptions!$C$6</f>
        <v/>
      </c>
      <c r="C6" s="20">
        <f>'Balance Sheet'!C20/Assumptions!$C$6</f>
        <v/>
      </c>
      <c r="D6" s="20">
        <f>'Balance Sheet'!D20/Assumptions!$C$6</f>
        <v/>
      </c>
      <c r="E6" s="20">
        <f>'Balance Sheet'!E20/Assumptions!$C$6</f>
        <v/>
      </c>
      <c r="F6" s="20">
        <f>'Balance Sheet'!F20/Assumptions!$C$6</f>
        <v/>
      </c>
      <c r="G6" s="20">
        <f>'Balance Sheet'!G20/Assumptions!$C$6</f>
        <v/>
      </c>
      <c r="H6" s="20">
        <f>'Balance Sheet'!H20/Assumptions!$C$6</f>
        <v/>
      </c>
      <c r="I6" s="20">
        <f>'Balance Sheet'!I20/Assumptions!$C$6</f>
        <v/>
      </c>
      <c r="J6" s="20">
        <f>'Balance Sheet'!J20/Assumptions!$C$6</f>
        <v/>
      </c>
    </row>
    <row r="7">
      <c r="A7" s="7" t="inlineStr">
        <is>
          <t>Net cash per share (EGP)</t>
        </is>
      </c>
      <c r="B7" s="20">
        <f>0-'Balance Sheet'!B27/Assumptions!$C$6</f>
        <v/>
      </c>
      <c r="C7" s="20">
        <f>0-'Balance Sheet'!C27/Assumptions!$C$6</f>
        <v/>
      </c>
      <c r="D7" s="20">
        <f>0-'Balance Sheet'!D27/Assumptions!$C$6</f>
        <v/>
      </c>
      <c r="E7" s="20">
        <f>0-'Balance Sheet'!E27/Assumptions!$C$6</f>
        <v/>
      </c>
      <c r="F7" s="20">
        <f>0-'Balance Sheet'!F27/Assumptions!$C$6</f>
        <v/>
      </c>
      <c r="G7" s="20">
        <f>0-'Balance Sheet'!G27/Assumptions!$C$6</f>
        <v/>
      </c>
      <c r="H7" s="20">
        <f>0-'Balance Sheet'!H27/Assumptions!$C$6</f>
        <v/>
      </c>
      <c r="I7" s="20">
        <f>0-'Balance Sheet'!I27/Assumptions!$C$6</f>
        <v/>
      </c>
      <c r="J7" s="20">
        <f>0-'Balance Sheet'!J27/Assumptions!$C$6</f>
        <v/>
      </c>
    </row>
    <row r="8">
      <c r="A8" s="7" t="inlineStr">
        <is>
          <t>EBITDA margin</t>
        </is>
      </c>
      <c r="B8" s="16">
        <f>'Income Statement'!B9/'Income Statement'!B5</f>
        <v/>
      </c>
      <c r="C8" s="16">
        <f>'Income Statement'!C9/'Income Statement'!C5</f>
        <v/>
      </c>
      <c r="D8" s="16">
        <f>'Income Statement'!D9/'Income Statement'!D5</f>
        <v/>
      </c>
      <c r="E8" s="16">
        <f>'Income Statement'!E9/'Income Statement'!E5</f>
        <v/>
      </c>
      <c r="F8" s="16">
        <f>'Income Statement'!F9/'Income Statement'!F5</f>
        <v/>
      </c>
      <c r="G8" s="16">
        <f>'Income Statement'!G9/'Income Statement'!G5</f>
        <v/>
      </c>
      <c r="H8" s="16">
        <f>'Income Statement'!H9/'Income Statement'!H5</f>
        <v/>
      </c>
      <c r="I8" s="16">
        <f>'Income Statement'!I9/'Income Statement'!I5</f>
        <v/>
      </c>
      <c r="J8" s="16">
        <f>'Income Statement'!J9/'Income Statement'!J5</f>
        <v/>
      </c>
    </row>
    <row r="9">
      <c r="A9" s="7" t="inlineStr">
        <is>
          <t>Return on average equity</t>
        </is>
      </c>
      <c r="C9" s="16">
        <f>'Income Statement'!C19/(('Balance Sheet'!B20+'Balance Sheet'!C20)/2)</f>
        <v/>
      </c>
      <c r="D9" s="16">
        <f>'Income Statement'!D19/(('Balance Sheet'!C20+'Balance Sheet'!D20)/2)</f>
        <v/>
      </c>
      <c r="E9" s="16">
        <f>'Income Statement'!E19/(('Balance Sheet'!D20+'Balance Sheet'!E20)/2)</f>
        <v/>
      </c>
      <c r="F9" s="16">
        <f>'Income Statement'!F19/(('Balance Sheet'!E20+'Balance Sheet'!F20)/2)</f>
        <v/>
      </c>
      <c r="G9" s="16">
        <f>'Income Statement'!G19/(('Balance Sheet'!F20+'Balance Sheet'!G20)/2)</f>
        <v/>
      </c>
      <c r="H9" s="16">
        <f>'Income Statement'!H19/(('Balance Sheet'!G20+'Balance Sheet'!H20)/2)</f>
        <v/>
      </c>
      <c r="I9" s="16">
        <f>'Income Statement'!I19/(('Balance Sheet'!H20+'Balance Sheet'!I20)/2)</f>
        <v/>
      </c>
      <c r="J9" s="16">
        <f>'Income Statement'!J19/(('Balance Sheet'!I20+'Balance Sheet'!J20)/2)</f>
        <v/>
      </c>
    </row>
    <row r="10">
      <c r="A10" s="7" t="inlineStr">
        <is>
          <t>Asset turnover (revenue / total assets)</t>
        </is>
      </c>
      <c r="B10" s="36">
        <f>'Income Statement'!B5/'Balance Sheet'!B14</f>
        <v/>
      </c>
      <c r="C10" s="36">
        <f>'Income Statement'!C5/'Balance Sheet'!C14</f>
        <v/>
      </c>
      <c r="D10" s="36">
        <f>'Income Statement'!D5/'Balance Sheet'!D14</f>
        <v/>
      </c>
      <c r="E10" s="36">
        <f>'Income Statement'!E5/'Balance Sheet'!E14</f>
        <v/>
      </c>
      <c r="F10" s="36">
        <f>'Income Statement'!F5/'Balance Sheet'!F14</f>
        <v/>
      </c>
      <c r="G10" s="36">
        <f>'Income Statement'!G5/'Balance Sheet'!G14</f>
        <v/>
      </c>
      <c r="H10" s="36">
        <f>'Income Statement'!H5/'Balance Sheet'!H14</f>
        <v/>
      </c>
      <c r="I10" s="36">
        <f>'Income Statement'!I5/'Balance Sheet'!I14</f>
        <v/>
      </c>
      <c r="J10" s="36">
        <f>'Income Statement'!J5/'Balance Sheet'!J14</f>
        <v/>
      </c>
    </row>
    <row r="11">
      <c r="A11" s="7" t="inlineStr">
        <is>
          <t>Net working capital days</t>
        </is>
      </c>
      <c r="B11" s="46">
        <f>'Balance Sheet'!B25/'Income Statement'!B5*365</f>
        <v/>
      </c>
      <c r="C11" s="46">
        <f>'Balance Sheet'!C25/'Income Statement'!C5*365</f>
        <v/>
      </c>
      <c r="D11" s="46">
        <f>'Balance Sheet'!D25/'Income Statement'!D5*365</f>
        <v/>
      </c>
      <c r="E11" s="46">
        <f>'Balance Sheet'!E25/'Income Statement'!E5*365</f>
        <v/>
      </c>
      <c r="F11" s="46">
        <f>'Balance Sheet'!F25/'Income Statement'!F5*365</f>
        <v/>
      </c>
      <c r="G11" s="46">
        <f>'Balance Sheet'!G25/'Income Statement'!G5*365</f>
        <v/>
      </c>
      <c r="H11" s="46">
        <f>'Balance Sheet'!H25/'Income Statement'!H5*365</f>
        <v/>
      </c>
      <c r="I11" s="46">
        <f>'Balance Sheet'!I25/'Income Statement'!I5*365</f>
        <v/>
      </c>
      <c r="J11" s="46">
        <f>'Balance Sheet'!J25/'Income Statement'!J5*365</f>
        <v/>
      </c>
    </row>
    <row r="12">
      <c r="A12" s="7" t="inlineStr">
        <is>
          <t>Dividend per share (EGP)</t>
        </is>
      </c>
      <c r="B12" s="8">
        <f>Assumptions!$C$43</f>
        <v/>
      </c>
      <c r="C12" s="8">
        <f>Assumptions!$C$43</f>
        <v/>
      </c>
      <c r="D12" s="8">
        <f>Assumptions!$C$43</f>
        <v/>
      </c>
      <c r="E12" s="8">
        <f>Assumptions!$C$43</f>
        <v/>
      </c>
      <c r="F12" s="20">
        <f>'Cash Flow'!B18/Assumptions!$C$6</f>
        <v/>
      </c>
      <c r="G12" s="20">
        <f>'Cash Flow'!C18/Assumptions!$C$6</f>
        <v/>
      </c>
      <c r="H12" s="20">
        <f>'Cash Flow'!D18/Assumptions!$C$6</f>
        <v/>
      </c>
      <c r="I12" s="20">
        <f>'Cash Flow'!E18/Assumptions!$C$6</f>
        <v/>
      </c>
      <c r="J12" s="20">
        <f>'Cash Flow'!F18/Assumptions!$C$6</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Peer and sector context — refining and lubricant base oils</t>
        </is>
      </c>
      <c r="B1" s="2" t="n"/>
      <c r="C1" s="2" t="n"/>
      <c r="D1" s="2" t="n"/>
      <c r="E1" s="2" t="n"/>
      <c r="F1" s="2" t="n"/>
      <c r="G1" s="2" t="n"/>
    </row>
    <row r="2"/>
    <row r="3"/>
    <row r="4">
      <c r="A4" s="12" t="inlineStr">
        <is>
          <t>Comparator basis</t>
        </is>
      </c>
      <c r="B4" s="12" t="inlineStr">
        <is>
          <t>Multiple</t>
        </is>
      </c>
      <c r="C4" s="12" t="inlineStr">
        <is>
          <t>Applied to (EGP mn)</t>
        </is>
      </c>
      <c r="D4" s="12" t="inlineStr">
        <is>
          <t>Implied value (EGP/share)</t>
        </is>
      </c>
    </row>
    <row r="5">
      <c r="A5" s="7" t="inlineStr">
        <is>
          <t>Company trailing enterprise value / EBITDA</t>
        </is>
      </c>
      <c r="B5" s="30" t="n">
        <v>4.522303508446424</v>
      </c>
      <c r="C5" s="18">
        <f>DCF!C9</f>
        <v/>
      </c>
      <c r="D5" s="20">
        <f>(B5*C5*DCF!C19-DCF!$B$49)*(1-Assumptions!$C$61)/Assumptions!$C$6</f>
        <v/>
      </c>
    </row>
    <row r="6">
      <c r="A6" s="7" t="inlineStr">
        <is>
          <t>Justified enterprise value / EBITDA (adopted)</t>
        </is>
      </c>
      <c r="B6" s="30" t="n">
        <v>4.5</v>
      </c>
      <c r="C6" s="18">
        <f>DCF!C9</f>
        <v/>
      </c>
      <c r="D6" s="20">
        <f>(B6*C6*DCF!C19-DCF!$B$49)*(1-Assumptions!$C$61)/Assumptions!$C$6</f>
        <v/>
      </c>
    </row>
    <row r="7">
      <c r="A7" s="7" t="inlineStr">
        <is>
          <t>Group I base-oil processors, low end</t>
        </is>
      </c>
      <c r="B7" s="30" t="n">
        <v>3.5</v>
      </c>
      <c r="C7" s="18">
        <f>DCF!C9</f>
        <v/>
      </c>
      <c r="D7" s="20">
        <f>(B7*C7*DCF!C19-DCF!$B$49)*(1-Assumptions!$C$61)/Assumptions!$C$6</f>
        <v/>
      </c>
    </row>
    <row r="8">
      <c r="A8" s="7" t="inlineStr">
        <is>
          <t>Group I base-oil processors, high end</t>
        </is>
      </c>
      <c r="B8" s="30" t="n">
        <v>6</v>
      </c>
      <c r="C8" s="18">
        <f>DCF!C9</f>
        <v/>
      </c>
      <c r="D8" s="20">
        <f>(B8*C8*DCF!C19-DCF!$B$49)*(1-Assumptions!$C$61)/Assumptions!$C$6</f>
        <v/>
      </c>
    </row>
    <row r="9"/>
    <row r="10">
      <c r="A10" s="5" t="inlineStr">
        <is>
          <t>SECTOR INDICATORS — WHAT ACTUALLY DRIVES A PROCESSOR</t>
        </is>
      </c>
      <c r="B10" s="6" t="n"/>
      <c r="C10" s="6" t="n"/>
      <c r="D10" s="6" t="n"/>
      <c r="E10" s="6" t="n"/>
      <c r="F10" s="6" t="n"/>
      <c r="G10" s="6" t="n"/>
    </row>
    <row r="11">
      <c r="A11" s="12" t="inlineStr">
        <is>
          <t>Indicator</t>
        </is>
      </c>
      <c r="B11" s="12" t="inlineStr">
        <is>
          <t>2026E</t>
        </is>
      </c>
      <c r="C11" s="12" t="inlineStr">
        <is>
          <t>2027E</t>
        </is>
      </c>
      <c r="D11" s="12" t="inlineStr">
        <is>
          <t>2028E</t>
        </is>
      </c>
      <c r="E11" s="12" t="inlineStr">
        <is>
          <t>2029E</t>
        </is>
      </c>
      <c r="F11" s="12" t="inlineStr">
        <is>
          <t>2030E</t>
        </is>
      </c>
    </row>
    <row r="12">
      <c r="A12" s="7" t="inlineStr">
        <is>
          <t>Throughput (mn tonnes)</t>
        </is>
      </c>
      <c r="B12" s="47">
        <f>'Product Legs'!C5</f>
        <v/>
      </c>
      <c r="C12" s="47">
        <f>'Product Legs'!D5</f>
        <v/>
      </c>
      <c r="D12" s="47">
        <f>'Product Legs'!E5</f>
        <v/>
      </c>
      <c r="E12" s="47">
        <f>'Product Legs'!F5</f>
        <v/>
      </c>
      <c r="F12" s="47">
        <f>'Product Legs'!G5</f>
        <v/>
      </c>
    </row>
    <row r="13">
      <c r="A13" s="7" t="inlineStr">
        <is>
          <t>EBITDA per tonne (EGP)</t>
        </is>
      </c>
      <c r="B13" s="17">
        <f>DCF!B9/'Product Legs'!C5</f>
        <v/>
      </c>
      <c r="C13" s="17">
        <f>DCF!C9/'Product Legs'!D5</f>
        <v/>
      </c>
      <c r="D13" s="17">
        <f>DCF!D9/'Product Legs'!E5</f>
        <v/>
      </c>
      <c r="E13" s="17">
        <f>DCF!E9/'Product Legs'!F5</f>
        <v/>
      </c>
      <c r="F13" s="17">
        <f>DCF!F9/'Product Legs'!G5</f>
        <v/>
      </c>
    </row>
    <row r="14">
      <c r="A14" s="7" t="inlineStr">
        <is>
          <t>Specialty share of revenue</t>
        </is>
      </c>
      <c r="B14" s="16">
        <f>'Product Legs'!C16/'Product Legs'!C18</f>
        <v/>
      </c>
      <c r="C14" s="16">
        <f>'Product Legs'!D16/'Product Legs'!D18</f>
        <v/>
      </c>
      <c r="D14" s="16">
        <f>'Product Legs'!E16/'Product Legs'!E18</f>
        <v/>
      </c>
      <c r="E14" s="16">
        <f>'Product Legs'!F16/'Product Legs'!F18</f>
        <v/>
      </c>
      <c r="F14" s="16">
        <f>'Product Legs'!G16/'Product Legs'!G18</f>
        <v/>
      </c>
    </row>
    <row r="15">
      <c r="A15" s="7" t="inlineStr">
        <is>
          <t>Gross profit per tonne (EGP)</t>
        </is>
      </c>
      <c r="B15" s="17">
        <f>DCF!B7/'Product Legs'!C5</f>
        <v/>
      </c>
      <c r="C15" s="17">
        <f>DCF!C7/'Product Legs'!D5</f>
        <v/>
      </c>
      <c r="D15" s="17">
        <f>DCF!D7/'Product Legs'!E5</f>
        <v/>
      </c>
      <c r="E15" s="17">
        <f>DCF!E7/'Product Legs'!F5</f>
        <v/>
      </c>
      <c r="F15" s="17">
        <f>DCF!F7/'Product Legs'!G5</f>
        <v/>
      </c>
    </row>
    <row r="16">
      <c r="A16" s="7" t="inlineStr">
        <is>
          <t>Capital expenditure per tonne (EGP)</t>
        </is>
      </c>
      <c r="B16" s="17">
        <f>DCF!B15/'Product Legs'!C5</f>
        <v/>
      </c>
      <c r="C16" s="17">
        <f>DCF!C15/'Product Legs'!D5</f>
        <v/>
      </c>
      <c r="D16" s="17">
        <f>DCF!D15/'Product Legs'!E5</f>
        <v/>
      </c>
      <c r="E16" s="17">
        <f>DCF!E15/'Product Legs'!F5</f>
        <v/>
      </c>
      <c r="F16" s="17">
        <f>DCF!F15/'Product Legs'!G5</f>
        <v/>
      </c>
    </row>
    <row r="17"/>
    <row r="18" ht="28" customHeight="1">
      <c r="A18" s="21" t="inlineStr">
        <is>
          <t>A refinery is not valued on revenue growth. The indicators that matter are throughput, the margin earned on each tonne, the share of that tonnage in the high-value specialty slate, and the capital needed to keep the plant running — all four are on this sheet and all four are formulas.</t>
        </is>
      </c>
    </row>
  </sheetData>
  <mergeCells count="1">
    <mergeCell ref="A18:G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2026-08-06T14:09:01Z</dcterms:created>
  <dcterms:modified xmlns:dcterms="http://purl.org/dc/terms/" xmlns:xsi="http://www.w3.org/2001/XMLSchema-instance" xsi:type="dcterms:W3CDTF">2026-08-06T14:09:01Z</dcterms:modified>
</cp:coreProperties>
</file>