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Product and Cost" sheetId="4" state="visible" r:id="rId4"/>
    <sheet xmlns:r="http://schemas.openxmlformats.org/officeDocument/2006/relationships" name="Forecast" sheetId="5" state="visible" r:id="rId5"/>
    <sheet xmlns:r="http://schemas.openxmlformats.org/officeDocument/2006/relationships" name="DCF" sheetId="6" state="visible" r:id="rId6"/>
    <sheet xmlns:r="http://schemas.openxmlformats.org/officeDocument/2006/relationships" name="EV Bridge" sheetId="7" state="visible" r:id="rId7"/>
    <sheet xmlns:r="http://schemas.openxmlformats.org/officeDocument/2006/relationships" name="Other Lenses" sheetId="8" state="visible" r:id="rId8"/>
    <sheet xmlns:r="http://schemas.openxmlformats.org/officeDocument/2006/relationships" name="Statements"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000%"/>
    <numFmt numFmtId="166" formatCode="0.0%"/>
    <numFmt numFmtId="167" formatCode="#,##0.000"/>
    <numFmt numFmtId="168" formatCode="0.000"/>
    <numFmt numFmtId="169" formatCode="0.0&quot;x&quot;"/>
    <numFmt numFmtId="170" formatCode="0.00&quot;x&quot;"/>
    <numFmt numFmtId="171" formatCode="0.0000"/>
  </numFmts>
  <fonts count="13">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color rgb="006E7B77"/>
      <sz val="8"/>
    </font>
    <font>
      <color rgb="002E6B4F"/>
      <sz val="10"/>
    </font>
    <font>
      <i val="1"/>
      <color rgb="006E7B77"/>
      <sz val="8.5"/>
    </font>
    <font>
      <b val="1"/>
      <color rgb="002E6B4F"/>
      <sz val="10"/>
    </font>
    <font>
      <sz val="10"/>
    </font>
    <font>
      <b val="1"/>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0" fillId="2" borderId="0" pivotButton="0" quotePrefix="0" xfId="0"/>
    <xf numFmtId="0" fontId="11" fillId="0" borderId="0" pivotButton="0" quotePrefix="0" xfId="0"/>
    <xf numFmtId="0" fontId="12" fillId="0" borderId="0" pivotButton="0" quotePrefix="0" xfId="0"/>
    <xf numFmtId="0" fontId="4" fillId="3" borderId="0" pivotButton="0" quotePrefix="0" xfId="0"/>
    <xf numFmtId="0" fontId="0" fillId="3" borderId="0" pivotButton="0" quotePrefix="0" xfId="0"/>
    <xf numFmtId="0" fontId="5" fillId="0" borderId="0" pivotButton="0" quotePrefix="0" xfId="0"/>
    <xf numFmtId="4" fontId="8" fillId="0" borderId="0" pivotButton="0" quotePrefix="0" xfId="0"/>
    <xf numFmtId="166" fontId="8" fillId="0" borderId="0" pivotButton="0" quotePrefix="0" xfId="0"/>
    <xf numFmtId="3" fontId="8" fillId="0" borderId="0" pivotButton="0" quotePrefix="0" xfId="0"/>
    <xf numFmtId="165" fontId="8" fillId="0" borderId="0" pivotButton="0" quotePrefix="0" xfId="0"/>
    <xf numFmtId="10" fontId="8" fillId="0" borderId="0" pivotButton="0" quotePrefix="0" xfId="0"/>
    <xf numFmtId="0" fontId="2" fillId="0" borderId="0" applyAlignment="1" pivotButton="0" quotePrefix="0" xfId="0">
      <alignment vertical="top" wrapText="1"/>
    </xf>
    <xf numFmtId="0" fontId="3" fillId="3" borderId="0" applyAlignment="1" pivotButton="0" quotePrefix="0" xfId="0">
      <alignment vertical="bottom" wrapText="1"/>
    </xf>
    <xf numFmtId="4" fontId="6" fillId="0" borderId="0" pivotButton="0" quotePrefix="0" xfId="0"/>
    <xf numFmtId="166" fontId="5" fillId="0" borderId="0" pivotButton="0" quotePrefix="0" xfId="0"/>
    <xf numFmtId="4" fontId="5" fillId="0" borderId="0" pivotButton="0" quotePrefix="0" xfId="0"/>
    <xf numFmtId="0" fontId="4" fillId="0" borderId="0" pivotButton="0" quotePrefix="0" xfId="0"/>
    <xf numFmtId="4" fontId="4" fillId="0" borderId="0" pivotButton="0" quotePrefix="0" xfId="0"/>
    <xf numFmtId="166" fontId="4" fillId="0" borderId="0" pivotButton="0" quotePrefix="0" xfId="0"/>
    <xf numFmtId="0" fontId="4" fillId="4" borderId="0" pivotButton="0" quotePrefix="0" xfId="0"/>
    <xf numFmtId="0" fontId="0" fillId="4" borderId="0" pivotButton="0" quotePrefix="0" xfId="0"/>
    <xf numFmtId="3" fontId="5" fillId="0" borderId="0" pivotButton="0" quotePrefix="0" xfId="0"/>
    <xf numFmtId="165" fontId="5" fillId="0" borderId="0" pivotButton="0" quotePrefix="0" xfId="0"/>
    <xf numFmtId="10" fontId="5" fillId="0" borderId="0" pivotButton="0" quotePrefix="0" xfId="0"/>
    <xf numFmtId="170" fontId="5" fillId="0" borderId="0" pivotButton="0" quotePrefix="0" xfId="0"/>
    <xf numFmtId="0" fontId="7" fillId="0" borderId="0" applyAlignment="1" pivotButton="0" quotePrefix="0" xfId="0">
      <alignment vertical="top" wrapText="1"/>
    </xf>
    <xf numFmtId="164" fontId="6" fillId="0" borderId="0" pivotButton="0" quotePrefix="0" xfId="0"/>
    <xf numFmtId="3"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0" fontId="7" fillId="0" borderId="0" pivotButton="0" quotePrefix="0" xfId="0"/>
    <xf numFmtId="167" fontId="4" fillId="0" borderId="0" pivotButton="0" quotePrefix="0" xfId="0"/>
    <xf numFmtId="3" fontId="4" fillId="0" borderId="0" pivotButton="0" quotePrefix="0" xfId="0"/>
    <xf numFmtId="10" fontId="6" fillId="0" borderId="0" pivotButton="0" quotePrefix="0" xfId="0"/>
    <xf numFmtId="168" fontId="6" fillId="0" borderId="0" pivotButton="0" quotePrefix="0" xfId="0"/>
    <xf numFmtId="169" fontId="6" fillId="0" borderId="0" pivotButton="0" quotePrefix="0" xfId="0"/>
    <xf numFmtId="167" fontId="8" fillId="0" borderId="0" pivotButton="0" quotePrefix="0" xfId="0"/>
    <xf numFmtId="10" fontId="4" fillId="0" borderId="0" pivotButton="0" quotePrefix="0" xfId="0"/>
    <xf numFmtId="0" fontId="9" fillId="0" borderId="0" applyAlignment="1" pivotButton="0" quotePrefix="0" xfId="0">
      <alignment vertical="top" wrapText="1"/>
    </xf>
    <xf numFmtId="2" fontId="5" fillId="0" borderId="0" pivotButton="0" quotePrefix="0" xfId="0"/>
    <xf numFmtId="165" fontId="4" fillId="0" borderId="0" pivotButton="0" quotePrefix="0" xfId="0"/>
    <xf numFmtId="170" fontId="4" fillId="0" borderId="0" pivotButton="0" quotePrefix="0" xfId="0"/>
    <xf numFmtId="171" fontId="5" fillId="0" borderId="0" pivotButton="0" quotePrefix="0" xfId="0"/>
    <xf numFmtId="168" fontId="5" fillId="0" borderId="0" pivotButton="0" quotePrefix="0" xfId="0"/>
    <xf numFmtId="10" fontId="10" fillId="0" borderId="0" pivotButton="0" quotePrefix="0" xfId="0"/>
    <xf numFmtId="169" fontId="8" fillId="0" borderId="0" pivotButton="0" quotePrefix="0" xfId="0"/>
    <xf numFmtId="169" fontId="5" fillId="0" borderId="0" pivotButton="0" quotePrefix="0" xfId="0"/>
    <xf numFmtId="3" fontId="10" fillId="0" borderId="0" pivotButton="0" quotePrefix="0" xfId="0"/>
    <xf numFmtId="2"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64"/>
  <sheetViews>
    <sheetView showGridLines="0" workbookViewId="0">
      <selection activeCell="A1" sqref="A1"/>
    </sheetView>
  </sheetViews>
  <sheetFormatPr baseColWidth="8" defaultRowHeight="15"/>
  <cols>
    <col width="1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Testahil — Alexandria Mineral Oils Company S.A.E. (EGX: AMOC)</t>
        </is>
      </c>
    </row>
    <row r="2"/>
    <row r="3">
      <c r="A3" s="2" t="n"/>
      <c r="B3" s="2" t="n"/>
      <c r="C3" s="2" t="n"/>
      <c r="D3" s="2" t="n"/>
    </row>
    <row r="4">
      <c r="A4" s="3" t="inlineStr">
        <is>
          <t>Companion model · Independent valuation study · Educational analysis · Not investment advice</t>
        </is>
      </c>
    </row>
    <row r="5">
      <c r="A5" s="3" t="inlineStr"/>
    </row>
    <row r="6">
      <c r="A6" s="4" t="inlineStr">
        <is>
          <t>THIS EDITION IS BUILT ON THE AUDITED FINANCIAL STATEMENTS.</t>
        </is>
      </c>
    </row>
    <row r="7">
      <c r="A7" s="3" t="inlineStr">
        <is>
          <t>The consolidated statements for the transition period 1 July 2025 to 31 December 2025, audited by</t>
        </is>
      </c>
    </row>
    <row r="8">
      <c r="A8" s="3" t="inlineStr">
        <is>
          <t>Crowe (Dr A. M. Hegazy &amp; Co) with an UNQUALIFIED opinion signed at Giza on 18 February 2026; the</t>
        </is>
      </c>
    </row>
    <row r="9">
      <c r="A9" s="3" t="inlineStr">
        <is>
          <t>limited-review statements for the six months to 31 December 2024; and the reviewed statements for</t>
        </is>
      </c>
    </row>
    <row r="10">
      <c r="A10" s="3" t="inlineStr">
        <is>
          <t>the three months to 31 March 2026. Every company figure on the Assumptions sheet carries one of</t>
        </is>
      </c>
    </row>
    <row r="11">
      <c r="A11" s="3" t="inlineStr">
        <is>
          <t>those three as its source, with the note number where the filing gives one.</t>
        </is>
      </c>
    </row>
    <row r="12">
      <c r="A12" s="3" t="inlineStr"/>
    </row>
    <row r="13">
      <c r="A13" s="3" t="inlineStr">
        <is>
          <t>WHAT THAT REPLACED. The first edition of this model was built without the filings, which could not</t>
        </is>
      </c>
    </row>
    <row r="14">
      <c r="A14" s="3" t="inlineStr">
        <is>
          <t>be reached from the build environment. It triangulated revenue across press reports, reconstructed</t>
        </is>
      </c>
    </row>
    <row r="15">
      <c r="A15" s="3" t="inlineStr">
        <is>
          <t>the balance sheet from four disclosed lines and a set of days assumptions, and BUILT a cost stack</t>
        </is>
      </c>
    </row>
    <row r="16">
      <c r="A16" s="3" t="inlineStr">
        <is>
          <t>from house estimates of yields, energy intensity and a solved feedstock differential. All of that</t>
        </is>
      </c>
    </row>
    <row r="17">
      <c r="A17" s="3" t="inlineStr">
        <is>
          <t>is gone. Twelve published assumptions were overturned, and the fair value moved from EGP 9.38 to</t>
        </is>
      </c>
    </row>
    <row r="18">
      <c r="A18" s="3" t="inlineStr">
        <is>
          <t>the figure on the Summary sheet.</t>
        </is>
      </c>
    </row>
    <row r="19">
      <c r="A19" s="3" t="inlineStr"/>
    </row>
    <row r="20">
      <c r="A20" s="3" t="inlineStr">
        <is>
          <t>IT CALCULATES — IT DOES NOT STORE. Blue cells are inputs; black cells are formulas; green cells</t>
        </is>
      </c>
    </row>
    <row r="21">
      <c r="A21" s="3" t="inlineStr">
        <is>
          <t>link across sheets. Change a blue cell and the model reprices: the cost of equity is built from the</t>
        </is>
      </c>
    </row>
    <row r="22">
      <c r="A22" s="3" t="inlineStr">
        <is>
          <t>risk-free rate net of the sovereign default spread, beta and the equity premium; the glide</t>
        </is>
      </c>
    </row>
    <row r="23">
      <c r="A23" s="3" t="inlineStr">
        <is>
          <t>fractions are derived from the cost-of-debt path and the discount factors compound; the waterfall</t>
        </is>
      </c>
    </row>
    <row r="24">
      <c r="A24" s="3" t="inlineStr">
        <is>
          <t>chains gross profit to EBITDA to EBIT to NOPAT to free cash flow to present value; the terminal</t>
        </is>
      </c>
    </row>
    <row r="25">
      <c r="A25" s="3" t="inlineStr">
        <is>
          <t>block chains reinvestment = growth over return; every ratio and per-share figure is a formula.</t>
        </is>
      </c>
    </row>
    <row r="26">
      <c r="A26" s="3" t="inlineStr"/>
    </row>
    <row r="27">
      <c r="A27" s="4" t="inlineStr">
        <is>
          <t>ONLY TWO CLASSES OF CELL ARE PASTED.</t>
        </is>
      </c>
    </row>
    <row r="28">
      <c r="A28" s="3" t="inlineStr">
        <is>
          <t xml:space="preserve">  1. AUDITED AND DISCLOSED HISTORY — the primary record, not a calculation. Every one of these sits</t>
        </is>
      </c>
    </row>
    <row r="29">
      <c r="A29" s="3" t="inlineStr">
        <is>
          <t xml:space="preserve">     on the Assumptions sheet with its filing and note reference.</t>
        </is>
      </c>
    </row>
    <row r="30">
      <c r="A30" s="3" t="inlineStr">
        <is>
          <t xml:space="preserve">  2. WHOLE-MODEL RE-RUNS — the bear and bull columns on Summary. Each is a complete revaluation of</t>
        </is>
      </c>
    </row>
    <row r="31">
      <c r="A31" s="3" t="inlineStr">
        <is>
          <t xml:space="preserve">     the model at a different set of drivers, which cannot be expressed as a formula inside a grid.</t>
        </is>
      </c>
    </row>
    <row r="32">
      <c r="A32" s="3" t="inlineStr">
        <is>
          <t xml:space="preserve">     THESE DO NOT REDRAW WHEN YOU CHANGE A DRIVER. Everything else does.</t>
        </is>
      </c>
    </row>
    <row r="33">
      <c r="A33" s="3" t="inlineStr"/>
    </row>
    <row r="34">
      <c r="A34" s="4" t="inlineStr">
        <is>
          <t>THREE THINGS TO KNOW BEFORE READING THE NUMBERS.</t>
        </is>
      </c>
    </row>
    <row r="35">
      <c r="A35" s="3" t="inlineStr"/>
    </row>
    <row r="36">
      <c r="A36" s="3" t="inlineStr">
        <is>
          <t xml:space="preserve">  · THERE IS NO CLEAN AUDITED TWELVE-MONTH PERIOD. The year-end moved from 30 June to 31 December</t>
        </is>
      </c>
    </row>
    <row r="37">
      <c r="A37" s="3" t="inlineStr">
        <is>
          <t xml:space="preserve">    and the April-to-June 2025 quarter is not separately filed. The base year is the NINE contiguous</t>
        </is>
      </c>
    </row>
    <row r="38">
      <c r="A38" s="3" t="inlineStr">
        <is>
          <t xml:space="preserve">    audited months from 1 July 2025 to 31 March 2026, annualised by four thirds. That scaling is the</t>
        </is>
      </c>
    </row>
    <row r="39">
      <c r="A39" s="3" t="inlineStr">
        <is>
          <t xml:space="preserve">    only step between the filings and the base year and it is shown on Product and Cost.</t>
        </is>
      </c>
    </row>
    <row r="40">
      <c r="A40" s="3" t="inlineStr"/>
    </row>
    <row r="41">
      <c r="A41" s="3" t="inlineStr">
        <is>
          <t xml:space="preserve">  · CAPITAL EXPENDITURE IS RUNNING BELOW DEPRECIATION. Cash paid for fixed assets and projects under</t>
        </is>
      </c>
    </row>
    <row r="42">
      <c r="A42" s="3" t="inlineStr">
        <is>
          <t xml:space="preserve">    construction was EGP 30.4mn in the audited half and EGP 65.0mn in the reviewed quarter. The plant</t>
        </is>
      </c>
    </row>
    <row r="43">
      <c r="A43" s="3" t="inlineStr">
        <is>
          <t xml:space="preserve">    is being run, not renewed. That single fact does more to this valuation than any assumption in</t>
        </is>
      </c>
    </row>
    <row r="44">
      <c r="A44" s="3" t="inlineStr">
        <is>
          <t xml:space="preserve">    it, and it cuts both ways: it lifts free cash flow now and it makes the terminal growth rate</t>
        </is>
      </c>
    </row>
    <row r="45">
      <c r="A45" s="3" t="inlineStr">
        <is>
          <t xml:space="preserve">    hard to defend, because growth = return x reinvestment implies a NEGATIVE steady-state rate on</t>
        </is>
      </c>
    </row>
    <row r="46">
      <c r="A46" s="3" t="inlineStr">
        <is>
          <t xml:space="preserve">    the recent record.</t>
        </is>
      </c>
    </row>
    <row r="47">
      <c r="A47" s="3" t="inlineStr"/>
    </row>
    <row r="48">
      <c r="A48" s="3" t="inlineStr">
        <is>
          <t xml:space="preserve">  · THE COMPANY IS NET CASH. Cash of EGP 2,463.5mn against loans of EGP 21.0mn. Net debt therefore</t>
        </is>
      </c>
    </row>
    <row r="49">
      <c r="A49" s="3" t="inlineStr">
        <is>
          <t xml:space="preserve">    enters the bridge as a NEGATIVE, and the weighting on net debt RAISES the discount rate above</t>
        </is>
      </c>
    </row>
    <row r="50">
      <c r="A50" s="3" t="inlineStr">
        <is>
          <t xml:space="preserve">    the cost of equity rather than lowering it. A further EGP 508.8mn of deposits is PLEDGED against</t>
        </is>
      </c>
    </row>
    <row r="51">
      <c r="A51" s="3" t="inlineStr">
        <is>
          <t xml:space="preserve">    credit facilities and is deliberately NOT counted as free cash.</t>
        </is>
      </c>
    </row>
    <row r="52">
      <c r="A52" s="3" t="inlineStr"/>
    </row>
    <row r="53">
      <c r="A53" s="3" t="inlineStr">
        <is>
          <t>NO RATING AND NO PRICE TARGET. A fair-value range and a distribution.</t>
        </is>
      </c>
    </row>
    <row r="54"/>
    <row r="55">
      <c r="A55" s="5" t="inlineStr">
        <is>
          <t>HEADLINE FIGURES — ALL LIVE LINKS</t>
        </is>
      </c>
      <c r="B55" s="6" t="n"/>
      <c r="C55" s="6" t="n"/>
      <c r="D55" s="6" t="n"/>
    </row>
    <row r="56">
      <c r="A56" s="7" t="inlineStr">
        <is>
          <t>Spot price (EGP)</t>
        </is>
      </c>
      <c r="C56" s="8">
        <f>Assumptions!$C$6</f>
        <v/>
      </c>
    </row>
    <row r="57">
      <c r="A57" s="7" t="inlineStr">
        <is>
          <t>Weighted central fair value (EGP)</t>
        </is>
      </c>
      <c r="C57" s="8">
        <f>Summary!C9</f>
        <v/>
      </c>
    </row>
    <row r="58">
      <c r="A58" s="7" t="inlineStr">
        <is>
          <t>Implied against spot</t>
        </is>
      </c>
      <c r="C58" s="9">
        <f>Summary!C12</f>
        <v/>
      </c>
    </row>
    <row r="59">
      <c r="A59" s="7" t="inlineStr">
        <is>
          <t>Discounted cash flow lens (EGP)</t>
        </is>
      </c>
      <c r="C59" s="8">
        <f>'EV Bridge'!$B$11</f>
        <v/>
      </c>
    </row>
    <row r="60">
      <c r="A60" s="7" t="inlineStr">
        <is>
          <t>Base-year revenue (EGP)</t>
        </is>
      </c>
      <c r="C60" s="10">
        <f>'Product and Cost'!E$35</f>
        <v/>
      </c>
    </row>
    <row r="61">
      <c r="A61" s="7" t="inlineStr">
        <is>
          <t>Base-year gross margin, as filed</t>
        </is>
      </c>
      <c r="C61" s="11">
        <f>'Product and Cost'!D$38</f>
        <v/>
      </c>
    </row>
    <row r="62">
      <c r="A62" s="7" t="inlineStr">
        <is>
          <t>Terminal value as a share of enterprise value</t>
        </is>
      </c>
      <c r="C62" s="12">
        <f>DCF!$B$38</f>
        <v/>
      </c>
    </row>
    <row r="63">
      <c r="A63" s="7" t="inlineStr">
        <is>
          <t>Weighted cost of capital — explicit</t>
        </is>
      </c>
      <c r="C63" s="12">
        <f>DCF!$B$12</f>
        <v/>
      </c>
    </row>
    <row r="64">
      <c r="A64" s="7" t="inlineStr">
        <is>
          <t>Weighted cost of capital — terminal</t>
        </is>
      </c>
      <c r="C64" s="12">
        <f>DCF!$B$14</f>
        <v/>
      </c>
    </row>
  </sheetData>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F21"/>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Fair value — four lenses, weighted</t>
        </is>
      </c>
    </row>
    <row r="2" ht="30" customHeight="1">
      <c r="A2" s="13" t="inlineStr">
        <is>
          <t>Bear and bull are whole-model re-runs and are values, not formulas. Everything else is live.</t>
        </is>
      </c>
    </row>
    <row r="3">
      <c r="A3" s="2" t="n"/>
      <c r="B3" s="2" t="n"/>
      <c r="C3" s="2" t="n"/>
      <c r="D3" s="2" t="n"/>
      <c r="E3" s="2" t="n"/>
      <c r="F3" s="2" t="n"/>
    </row>
    <row r="4">
      <c r="A4" s="14" t="inlineStr">
        <is>
          <t>Lens</t>
        </is>
      </c>
      <c r="B4" s="14" t="inlineStr">
        <is>
          <t>Bear (EGP)</t>
        </is>
      </c>
      <c r="C4" s="14" t="inlineStr">
        <is>
          <t>Base (EGP)</t>
        </is>
      </c>
      <c r="D4" s="14" t="inlineStr">
        <is>
          <t>Bull (EGP)</t>
        </is>
      </c>
      <c r="E4" s="14" t="inlineStr">
        <is>
          <t>Weight</t>
        </is>
      </c>
      <c r="F4" s="14" t="inlineStr">
        <is>
          <t>Contribution</t>
        </is>
      </c>
    </row>
    <row r="5">
      <c r="A5" s="7" t="inlineStr">
        <is>
          <t>Discounted cash flow (primary)</t>
        </is>
      </c>
      <c r="B5" s="15" t="n">
        <v>2.365852151589731</v>
      </c>
      <c r="C5" s="8">
        <f>'EV Bridge'!$B$11</f>
        <v/>
      </c>
      <c r="D5" s="15" t="n">
        <v>14.65863459902409</v>
      </c>
      <c r="E5" s="16">
        <f>Assumptions!$C$137</f>
        <v/>
      </c>
      <c r="F5" s="17">
        <f>C5*E5</f>
        <v/>
      </c>
    </row>
    <row r="6">
      <c r="A6" s="7" t="inlineStr">
        <is>
          <t>Relative multiples</t>
        </is>
      </c>
      <c r="B6" s="15" t="n">
        <v>5.623207223609321</v>
      </c>
      <c r="C6" s="8">
        <f>'Other Lenses'!$B$10</f>
        <v/>
      </c>
      <c r="D6" s="15" t="n">
        <v>7.578198422777281</v>
      </c>
      <c r="E6" s="16">
        <f>Assumptions!$C$138</f>
        <v/>
      </c>
      <c r="F6" s="17">
        <f>C6*E6</f>
        <v/>
      </c>
    </row>
    <row r="7">
      <c r="A7" s="7" t="inlineStr">
        <is>
          <t>Normalised earnings power</t>
        </is>
      </c>
      <c r="B7" s="15" t="n">
        <v>6.380627459644426</v>
      </c>
      <c r="C7" s="8">
        <f>'Other Lenses'!$B$17</f>
        <v/>
      </c>
      <c r="D7" s="15" t="n">
        <v>11.02108379393128</v>
      </c>
      <c r="E7" s="16">
        <f>Assumptions!$C$139</f>
        <v/>
      </c>
      <c r="F7" s="17">
        <f>C7*E7</f>
        <v/>
      </c>
    </row>
    <row r="8">
      <c r="A8" s="7" t="inlineStr">
        <is>
          <t>Book value and sustainable return</t>
        </is>
      </c>
      <c r="B8" s="15" t="n">
        <v>3.819835494741683</v>
      </c>
      <c r="C8" s="8">
        <f>'Other Lenses'!$B$22</f>
        <v/>
      </c>
      <c r="D8" s="15" t="n">
        <v>7.981505170668397</v>
      </c>
      <c r="E8" s="16">
        <f>Assumptions!$C$140</f>
        <v/>
      </c>
      <c r="F8" s="17">
        <f>C8*E8</f>
        <v/>
      </c>
    </row>
    <row r="9">
      <c r="A9" s="18" t="inlineStr">
        <is>
          <t>WEIGHTED CENTRAL FAIR VALUE</t>
        </is>
      </c>
      <c r="B9" s="19">
        <f>MIN(B5:B8)</f>
        <v/>
      </c>
      <c r="C9" s="19">
        <f>SUM(F5:F8)</f>
        <v/>
      </c>
      <c r="D9" s="19">
        <f>MAX(D5:D8)</f>
        <v/>
      </c>
      <c r="E9" s="20">
        <f>SUM(E5:E8)</f>
        <v/>
      </c>
    </row>
    <row r="10"/>
    <row r="11">
      <c r="A11" s="7" t="inlineStr">
        <is>
          <t>Spot price</t>
        </is>
      </c>
      <c r="C11" s="8">
        <f>Assumptions!$C$6</f>
        <v/>
      </c>
    </row>
    <row r="12">
      <c r="A12" s="18" t="inlineStr">
        <is>
          <t>Implied against spot</t>
        </is>
      </c>
      <c r="C12" s="20">
        <f>C9/C11-1</f>
        <v/>
      </c>
    </row>
    <row r="13"/>
    <row r="14">
      <c r="A14" s="21" t="inlineStr">
        <is>
          <t>BASE-YEAR CHECKS — all live off the filings</t>
        </is>
      </c>
      <c r="B14" s="22" t="n"/>
      <c r="C14" s="22" t="n"/>
      <c r="D14" s="22" t="n"/>
      <c r="E14" s="22" t="n"/>
      <c r="F14" s="22" t="n"/>
    </row>
    <row r="15">
      <c r="A15" s="7" t="inlineStr">
        <is>
          <t>Base-year revenue (9 audited months x 4/3)</t>
        </is>
      </c>
      <c r="C15" s="23">
        <f>'Product and Cost'!E$35</f>
        <v/>
      </c>
    </row>
    <row r="16">
      <c r="A16" s="7" t="inlineStr">
        <is>
          <t>Base-year gross margin, as filed</t>
        </is>
      </c>
      <c r="C16" s="24">
        <f>'Product and Cost'!D$38</f>
        <v/>
      </c>
    </row>
    <row r="17">
      <c r="A17" s="7" t="inlineStr">
        <is>
          <t>Effective tax rate, computed</t>
        </is>
      </c>
      <c r="C17" s="25">
        <f>'Product and Cost'!E$43</f>
        <v/>
      </c>
    </row>
    <row r="18">
      <c r="A18" s="7" t="inlineStr">
        <is>
          <t>Capital expenditure / depreciation</t>
        </is>
      </c>
      <c r="C18" s="26">
        <f>'Product and Cost'!E$41/'Product and Cost'!E$40</f>
        <v/>
      </c>
    </row>
    <row r="19">
      <c r="A19" s="7" t="inlineStr">
        <is>
          <t>Net cash per share</t>
        </is>
      </c>
      <c r="C19" s="17">
        <f>-DCF!B7/(Assumptions!$C$7*1000000)</f>
        <v/>
      </c>
    </row>
    <row r="20">
      <c r="A20" s="7" t="inlineStr">
        <is>
          <t>Terminal value as a share of enterprise value</t>
        </is>
      </c>
      <c r="C20" s="25">
        <f>DCF!B38</f>
        <v/>
      </c>
    </row>
    <row r="21">
      <c r="A21" s="7" t="inlineStr">
        <is>
          <t>Minority share of group profit, DISCLOSED</t>
        </is>
      </c>
      <c r="C21" s="24">
        <f>Assumptions!$C$82</f>
        <v/>
      </c>
    </row>
  </sheetData>
  <mergeCells count="1">
    <mergeCell ref="A2:F2"/>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F140"/>
  <sheetViews>
    <sheetView showGridLines="0" workbookViewId="0">
      <selection activeCell="A1" sqref="A1"/>
    </sheetView>
  </sheetViews>
  <sheetFormatPr baseColWidth="8" defaultRowHeight="15"/>
  <cols>
    <col width="46" customWidth="1" min="1" max="1"/>
    <col width="10" customWidth="1" min="2" max="2"/>
    <col width="18" customWidth="1" min="3" max="3"/>
    <col width="13" customWidth="1" min="4" max="4"/>
    <col width="11" customWidth="1" min="5" max="5"/>
    <col width="82" customWidth="1" min="6" max="6"/>
    <col width="15" customWidth="1" min="7" max="7"/>
    <col width="15" customWidth="1" min="8" max="8"/>
    <col width="15" customWidth="1" min="9" max="9"/>
    <col width="15" customWidth="1" min="10" max="10"/>
  </cols>
  <sheetData>
    <row r="1">
      <c r="A1" s="1" t="inlineStr">
        <is>
          <t>Assumptions — every driver in the model, with its source</t>
        </is>
      </c>
    </row>
    <row r="2" ht="30" customHeight="1">
      <c r="A2" s="13" t="inlineStr">
        <is>
          <t>Blue cells are inputs. Change one and the whole workbook reprices. Company-layer inputs carry the audited or reviewed filing they were read from, with the note number where the filing gives one.</t>
        </is>
      </c>
    </row>
    <row r="3">
      <c r="A3" s="2" t="n"/>
      <c r="B3" s="2" t="n"/>
      <c r="C3" s="2" t="n"/>
      <c r="D3" s="2" t="n"/>
      <c r="E3" s="2" t="n"/>
      <c r="F3" s="2" t="n"/>
    </row>
    <row r="4">
      <c r="A4" s="14" t="inlineStr">
        <is>
          <t>Driver</t>
        </is>
      </c>
      <c r="B4" s="14" t="inlineStr">
        <is>
          <t>Unit</t>
        </is>
      </c>
      <c r="C4" s="14" t="inlineStr">
        <is>
          <t>Value</t>
        </is>
      </c>
      <c r="D4" s="14" t="inlineStr">
        <is>
          <t>Date</t>
        </is>
      </c>
      <c r="E4" s="14" t="inlineStr">
        <is>
          <t>Layer</t>
        </is>
      </c>
      <c r="F4" s="14" t="inlineStr">
        <is>
          <t>Source</t>
        </is>
      </c>
    </row>
    <row r="5">
      <c r="A5" s="21" t="inlineStr">
        <is>
          <t>MARKET</t>
        </is>
      </c>
      <c r="B5" s="22" t="n"/>
      <c r="C5" s="22" t="n"/>
      <c r="D5" s="22" t="n"/>
      <c r="E5" s="22" t="n"/>
      <c r="F5" s="22" t="n"/>
    </row>
    <row r="6" ht="14" customHeight="1">
      <c r="A6" s="7" t="inlineStr">
        <is>
          <t>Share price</t>
        </is>
      </c>
      <c r="B6" s="7" t="inlineStr">
        <is>
          <t>EGP</t>
        </is>
      </c>
      <c r="C6" s="15" t="n">
        <v>9.1</v>
      </c>
      <c r="D6" s="7" t="inlineStr">
        <is>
          <t>2026-08-06</t>
        </is>
      </c>
      <c r="E6" s="7" t="inlineStr">
        <is>
          <t>Company</t>
        </is>
      </c>
      <c r="F6" s="27" t="inlineStr">
        <is>
          <t>AMOC closing price on the Egyptian Exchange, 6 August 2026</t>
        </is>
      </c>
    </row>
    <row r="7" ht="19" customHeight="1">
      <c r="A7" s="7" t="inlineStr">
        <is>
          <t>Shares outstanding</t>
        </is>
      </c>
      <c r="B7" s="7" t="inlineStr">
        <is>
          <t>mn</t>
        </is>
      </c>
      <c r="C7" s="28" t="n">
        <v>1291.5</v>
      </c>
      <c r="D7" s="7" t="inlineStr">
        <is>
          <t>2025-12-31</t>
        </is>
      </c>
      <c r="E7" s="7" t="inlineStr">
        <is>
          <t>Company</t>
        </is>
      </c>
      <c r="F7" s="27" t="inlineStr">
        <is>
          <t>Issued and paid-up capital EGP 1,291,500,000 at EGP 1 par = 1,291,500,000 shares (note 18-L, share split to EGP 1 par recorded in the Commercial Register 24-Jan-2018)</t>
        </is>
      </c>
    </row>
    <row r="8"/>
    <row r="9">
      <c r="A9" s="21" t="inlineStr">
        <is>
          <t>THE AUDITED PERIODS — read off the filings, nothing triangulated</t>
        </is>
      </c>
      <c r="B9" s="22" t="n"/>
      <c r="C9" s="22" t="n"/>
      <c r="D9" s="22" t="n"/>
      <c r="E9" s="22" t="n"/>
      <c r="F9" s="22" t="n"/>
    </row>
    <row r="10" ht="19" customHeight="1">
      <c r="A10" s="7" t="inlineStr">
        <is>
          <t>Net sales, 6M to 31-Dec-2025</t>
        </is>
      </c>
      <c r="B10" s="7" t="inlineStr">
        <is>
          <t>EGP</t>
        </is>
      </c>
      <c r="C10" s="29" t="n">
        <v>20735725812</v>
      </c>
      <c r="D10" s="7" t="inlineStr">
        <is>
          <t>2025-12-31</t>
        </is>
      </c>
      <c r="E10" s="7" t="inlineStr">
        <is>
          <t>Company</t>
        </is>
      </c>
      <c r="F10" s="27" t="inlineStr">
        <is>
          <t>Net sales, six months to 31-Dec-2025. Audited consolidated FS, transition period 1-Jul-2025 to 31-Dec-2025, Crowe unqualified, 18-Feb-2026</t>
        </is>
      </c>
    </row>
    <row r="11" ht="19" customHeight="1">
      <c r="A11" s="7" t="inlineStr">
        <is>
          <t>Cost of sales, 6M to 31-Dec-2025</t>
        </is>
      </c>
      <c r="B11" s="7" t="inlineStr">
        <is>
          <t>EGP</t>
        </is>
      </c>
      <c r="C11" s="29" t="n">
        <v>19461550746</v>
      </c>
      <c r="D11" s="7" t="inlineStr">
        <is>
          <t>2025-12-31</t>
        </is>
      </c>
      <c r="E11" s="7" t="inlineStr">
        <is>
          <t>Company</t>
        </is>
      </c>
      <c r="F11" s="27" t="inlineStr">
        <is>
          <t>Cost of sales, six months to 31-Dec-2025. Audited consolidated FS, transition period 1-Jul-2025 to 31-Dec-2025, Crowe unqualified, 18-Feb-2026</t>
        </is>
      </c>
    </row>
    <row r="12" ht="19" customHeight="1">
      <c r="A12" s="7" t="inlineStr">
        <is>
          <t>G&amp;A expenses, 6M to 31-Dec-2025</t>
        </is>
      </c>
      <c r="B12" s="7" t="inlineStr">
        <is>
          <t>EGP</t>
        </is>
      </c>
      <c r="C12" s="29" t="n">
        <v>585636101</v>
      </c>
      <c r="D12" s="7" t="inlineStr">
        <is>
          <t>2025-12-31</t>
        </is>
      </c>
      <c r="E12" s="7" t="inlineStr">
        <is>
          <t>Company</t>
        </is>
      </c>
      <c r="F12" s="27" t="inlineStr">
        <is>
          <t>General and administrative expenses, six months to 31-Dec-2025 (note 15-B). Audited consolidated FS, transition period 1-Jul-2025 to 31-Dec-2025, Crowe unqualified, 18-Feb-2026</t>
        </is>
      </c>
    </row>
    <row r="13" ht="19" customHeight="1">
      <c r="A13" s="7" t="inlineStr">
        <is>
          <t>Marketing and selling, 6M to 31-Dec-2025</t>
        </is>
      </c>
      <c r="B13" s="7" t="inlineStr">
        <is>
          <t>EGP</t>
        </is>
      </c>
      <c r="C13" s="29" t="n">
        <v>93729199</v>
      </c>
      <c r="D13" s="7" t="inlineStr">
        <is>
          <t>2025-12-31</t>
        </is>
      </c>
      <c r="E13" s="7" t="inlineStr">
        <is>
          <t>Company</t>
        </is>
      </c>
      <c r="F13" s="27" t="inlineStr">
        <is>
          <t>Marketing and selling expenses, six months to 31-Dec-2025 (note 15-C). Audited consolidated FS, transition period 1-Jul-2025 to 31-Dec-2025, Crowe unqualified, 18-Feb-2026</t>
        </is>
      </c>
    </row>
    <row r="14" ht="28.5" customHeight="1">
      <c r="A14" s="7" t="inlineStr">
        <is>
          <t>Other operating expenses, 6M to 31-Dec-2025</t>
        </is>
      </c>
      <c r="B14" s="7" t="inlineStr">
        <is>
          <t>EGP</t>
        </is>
      </c>
      <c r="C14" s="29" t="n">
        <v>108781309</v>
      </c>
      <c r="D14" s="7" t="inlineStr">
        <is>
          <t>2025-12-25</t>
        </is>
      </c>
      <c r="E14" s="7" t="inlineStr">
        <is>
          <t>Company</t>
        </is>
      </c>
      <c r="F14" s="27" t="inlineStr">
        <is>
          <t>Other operating expenses, six months to 31-Dec-2025 (note 15-D): compensation and fines 101,393,395, donations 5,162,500, board transport and attendance 2,225,414. Audited consolidated FS, transition period 1-Jul-2025 to 31-Dec-2025, Crowe unqualified, 18-Feb-2026</t>
        </is>
      </c>
    </row>
    <row r="15" ht="47.5" customHeight="1">
      <c r="A15" s="7" t="inlineStr">
        <is>
          <t>Other revenue, 6M to 31-Dec-2025</t>
        </is>
      </c>
      <c r="B15" s="7" t="inlineStr">
        <is>
          <t>EGP</t>
        </is>
      </c>
      <c r="C15" s="29" t="n">
        <v>345744052</v>
      </c>
      <c r="D15" s="7" t="inlineStr">
        <is>
          <t>2025-12-31</t>
        </is>
      </c>
      <c r="E15" s="7" t="inlineStr">
        <is>
          <t>Company</t>
        </is>
      </c>
      <c r="F15" s="27"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16" ht="19" customHeight="1">
      <c r="A16" s="7" t="inlineStr">
        <is>
          <t>Revenue from investments, 6M to 31-Dec-2025</t>
        </is>
      </c>
      <c r="B16" s="7" t="inlineStr">
        <is>
          <t>EGP</t>
        </is>
      </c>
      <c r="C16" s="29" t="n">
        <v>13520000</v>
      </c>
      <c r="D16" s="7" t="inlineStr">
        <is>
          <t>2025-12-31</t>
        </is>
      </c>
      <c r="E16" s="7" t="inlineStr">
        <is>
          <t>Company</t>
        </is>
      </c>
      <c r="F16" s="27" t="inlineStr">
        <is>
          <t>Revenue from investments — dividend from Alexandria Specialized Petroleum Products Co (note 14-C). Audited consolidated FS, transition period 1-Jul-2025 to 31-Dec-2025, Crowe unqualified, 18-Feb-2026</t>
        </is>
      </c>
    </row>
    <row r="17" ht="19" customHeight="1">
      <c r="A17" s="7" t="inlineStr">
        <is>
          <t>Formed provisions, 6M to 31-Dec-2025</t>
        </is>
      </c>
      <c r="B17" s="7" t="inlineStr">
        <is>
          <t>EGP</t>
        </is>
      </c>
      <c r="C17" s="29" t="n">
        <v>2467769</v>
      </c>
      <c r="D17" s="7" t="inlineStr">
        <is>
          <t>2025-12-31</t>
        </is>
      </c>
      <c r="E17" s="7" t="inlineStr">
        <is>
          <t>Company</t>
        </is>
      </c>
      <c r="F17" s="27" t="inlineStr">
        <is>
          <t>Formed provisions charged in the six months to 31-Dec-2025. Audited consolidated FS, transition period 1-Jul-2025 to 31-Dec-2025, Crowe unqualified, 18-Feb-2026</t>
        </is>
      </c>
    </row>
    <row r="18" ht="28.5" customHeight="1">
      <c r="A18" s="7" t="inlineStr">
        <is>
          <t>Finance expenses, 6M to 31-Dec-2025</t>
        </is>
      </c>
      <c r="B18" s="7" t="inlineStr">
        <is>
          <t>EGP</t>
        </is>
      </c>
      <c r="C18" s="29" t="n">
        <v>1892108</v>
      </c>
      <c r="D18" s="7" t="inlineStr">
        <is>
          <t>2025-12-31</t>
        </is>
      </c>
      <c r="E18" s="7" t="inlineStr">
        <is>
          <t>Company</t>
        </is>
      </c>
      <c r="F18" s="27" t="inlineStr">
        <is>
          <t>Finance expenses, six months to 31-Dec-2025 (note 15-E): loan interest and charges 1,130,556, lease interest 761,552. Audited consolidated FS, transition period 1-Jul-2025 to 31-Dec-2025, Crowe unqualified, 18-Feb-2026</t>
        </is>
      </c>
    </row>
    <row r="19" ht="19" customHeight="1">
      <c r="A19" s="7" t="inlineStr">
        <is>
          <t>Current income tax, 6M to 31-Dec-2025</t>
        </is>
      </c>
      <c r="B19" s="7" t="inlineStr">
        <is>
          <t>EGP</t>
        </is>
      </c>
      <c r="C19" s="29" t="n">
        <v>203945433</v>
      </c>
      <c r="D19" s="7" t="inlineStr">
        <is>
          <t>2025-12-31</t>
        </is>
      </c>
      <c r="E19" s="7" t="inlineStr">
        <is>
          <t>Company</t>
        </is>
      </c>
      <c r="F19" s="27" t="inlineStr">
        <is>
          <t>Current income tax, six months to 31-Dec-2025. Audited consolidated FS, transition period 1-Jul-2025 to 31-Dec-2025, Crowe unqualified, 18-Feb-2026</t>
        </is>
      </c>
    </row>
    <row r="20" ht="19" customHeight="1">
      <c r="A20" s="7" t="inlineStr">
        <is>
          <t>Deferred tax credit, 6M to 31-Dec-2025</t>
        </is>
      </c>
      <c r="B20" s="7" t="inlineStr">
        <is>
          <t>EGP</t>
        </is>
      </c>
      <c r="C20" s="29" t="n">
        <v>19441512</v>
      </c>
      <c r="D20" s="7" t="inlineStr">
        <is>
          <t>2025-12-31</t>
        </is>
      </c>
      <c r="E20" s="7" t="inlineStr">
        <is>
          <t>Company</t>
        </is>
      </c>
      <c r="F20" s="27" t="inlineStr">
        <is>
          <t>Deferred tax CREDIT, six months to 31-Dec-2025. Audited consolidated FS, transition period 1-Jul-2025 to 31-Dec-2025, Crowe unqualified, 18-Feb-2026</t>
        </is>
      </c>
    </row>
    <row r="21" ht="19" customHeight="1">
      <c r="A21" s="7" t="inlineStr">
        <is>
          <t>Net profit after tax, 6M to 31-Dec-2025</t>
        </is>
      </c>
      <c r="B21" s="7" t="inlineStr">
        <is>
          <t>EGP</t>
        </is>
      </c>
      <c r="C21" s="29" t="n">
        <v>656428711</v>
      </c>
      <c r="D21" s="7" t="inlineStr">
        <is>
          <t>2025-12-31</t>
        </is>
      </c>
      <c r="E21" s="7" t="inlineStr">
        <is>
          <t>Company</t>
        </is>
      </c>
      <c r="F21" s="27" t="inlineStr">
        <is>
          <t>Net profit after tax, six months to 31-Dec-2025. Audited consolidated FS, transition period 1-Jul-2025 to 31-Dec-2025, Crowe unqualified, 18-Feb-2026</t>
        </is>
      </c>
    </row>
    <row r="22" ht="19" customHeight="1">
      <c r="A22" s="7" t="inlineStr">
        <is>
          <t>Minority share of profit, 6M to 31-Dec-2025</t>
        </is>
      </c>
      <c r="B22" s="7" t="inlineStr">
        <is>
          <t>EGP</t>
        </is>
      </c>
      <c r="C22" s="29" t="n">
        <v>30488250</v>
      </c>
      <c r="D22" s="7" t="inlineStr">
        <is>
          <t>2025-12-31</t>
        </is>
      </c>
      <c r="E22" s="7" t="inlineStr">
        <is>
          <t>Company</t>
        </is>
      </c>
      <c r="F22" s="27" t="inlineStr">
        <is>
          <t>Non-controlling interest share of profit, six months to 31-Dec-2025. Audited consolidated FS, transition period 1-Jul-2025 to 31-Dec-2025, Crowe unqualified, 18-Feb-2026</t>
        </is>
      </c>
    </row>
    <row r="23" ht="28.5" customHeight="1">
      <c r="A23" s="7" t="inlineStr">
        <is>
          <t>Employees profit share and BOD bonuses, 6M to Dec-2025</t>
        </is>
      </c>
      <c r="B23" s="7" t="inlineStr">
        <is>
          <t>EGP</t>
        </is>
      </c>
      <c r="C23" s="29" t="n">
        <v>67467871</v>
      </c>
      <c r="D23" s="7" t="inlineStr">
        <is>
          <t>2025-12-31</t>
        </is>
      </c>
      <c r="E23" s="7" t="inlineStr">
        <is>
          <t>Company</t>
        </is>
      </c>
      <c r="F23" s="27"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24" ht="14" customHeight="1">
      <c r="A24" s="7" t="inlineStr">
        <is>
          <t>Net sales, 3M to 31-Mar-2026</t>
        </is>
      </c>
      <c r="B24" s="7" t="inlineStr">
        <is>
          <t>EGP</t>
        </is>
      </c>
      <c r="C24" s="29" t="n">
        <v>10510779160</v>
      </c>
      <c r="D24" s="7" t="inlineStr">
        <is>
          <t>2026-03-31</t>
        </is>
      </c>
      <c r="E24" s="7" t="inlineStr">
        <is>
          <t>Company</t>
        </is>
      </c>
      <c r="F24" s="27" t="inlineStr">
        <is>
          <t>Net sales, three months to 31-Mar-2026. Reviewed consolidated FS, three months to 31-Mar-2026</t>
        </is>
      </c>
    </row>
    <row r="25" ht="14" customHeight="1">
      <c r="A25" s="7" t="inlineStr">
        <is>
          <t>Cost of sales, 3M to 31-Mar-2026</t>
        </is>
      </c>
      <c r="B25" s="7" t="inlineStr">
        <is>
          <t>EGP</t>
        </is>
      </c>
      <c r="C25" s="29" t="n">
        <v>9439744195</v>
      </c>
      <c r="D25" s="7" t="inlineStr">
        <is>
          <t>2026-03-31</t>
        </is>
      </c>
      <c r="E25" s="7" t="inlineStr">
        <is>
          <t>Company</t>
        </is>
      </c>
      <c r="F25" s="27" t="inlineStr">
        <is>
          <t>Cost of sales, three months to 31-Mar-2026. Reviewed consolidated FS, three months to 31-Mar-2026</t>
        </is>
      </c>
    </row>
    <row r="26" ht="19" customHeight="1">
      <c r="A26" s="7" t="inlineStr">
        <is>
          <t>G&amp;A expenses, 3M to 31-Mar-2026</t>
        </is>
      </c>
      <c r="B26" s="7" t="inlineStr">
        <is>
          <t>EGP</t>
        </is>
      </c>
      <c r="C26" s="29" t="n">
        <v>365952237</v>
      </c>
      <c r="D26" s="7" t="inlineStr">
        <is>
          <t>2026-03-31</t>
        </is>
      </c>
      <c r="E26" s="7" t="inlineStr">
        <is>
          <t>Company</t>
        </is>
      </c>
      <c r="F26" s="27" t="inlineStr">
        <is>
          <t>General and administrative expenses, three months to 31-Mar-2026. Reviewed consolidated FS, three months to 31-Mar-2026</t>
        </is>
      </c>
    </row>
    <row r="27" ht="19" customHeight="1">
      <c r="A27" s="7" t="inlineStr">
        <is>
          <t>Marketing and selling, 3M to 31-Mar-2026</t>
        </is>
      </c>
      <c r="B27" s="7" t="inlineStr">
        <is>
          <t>EGP</t>
        </is>
      </c>
      <c r="C27" s="29" t="n">
        <v>60830975</v>
      </c>
      <c r="D27" s="7" t="inlineStr">
        <is>
          <t>2026-03-31</t>
        </is>
      </c>
      <c r="E27" s="7" t="inlineStr">
        <is>
          <t>Company</t>
        </is>
      </c>
      <c r="F27" s="27" t="inlineStr">
        <is>
          <t>Marketing and selling expenses, three months to 31-Mar-2026. Reviewed consolidated FS, three months to 31-Mar-2026</t>
        </is>
      </c>
    </row>
    <row r="28" ht="19" customHeight="1">
      <c r="A28" s="7" t="inlineStr">
        <is>
          <t>Other operating expenses, 3M to 31-Mar-2026</t>
        </is>
      </c>
      <c r="B28" s="7" t="inlineStr">
        <is>
          <t>EGP</t>
        </is>
      </c>
      <c r="C28" s="29" t="n">
        <v>1080000</v>
      </c>
      <c r="D28" s="7" t="inlineStr">
        <is>
          <t>2026-03-31</t>
        </is>
      </c>
      <c r="E28" s="7" t="inlineStr">
        <is>
          <t>Company</t>
        </is>
      </c>
      <c r="F28" s="27" t="inlineStr">
        <is>
          <t>Other operating expenses, three months to 31-Mar-2026. Reviewed consolidated FS, three months to 31-Mar-2026</t>
        </is>
      </c>
    </row>
    <row r="29" ht="14" customHeight="1">
      <c r="A29" s="7" t="inlineStr">
        <is>
          <t>Other revenue, 3M to 31-Mar-2026</t>
        </is>
      </c>
      <c r="B29" s="7" t="inlineStr">
        <is>
          <t>EGP</t>
        </is>
      </c>
      <c r="C29" s="29" t="n">
        <v>225556509</v>
      </c>
      <c r="D29" s="7" t="inlineStr">
        <is>
          <t>2026-03-31</t>
        </is>
      </c>
      <c r="E29" s="7" t="inlineStr">
        <is>
          <t>Company</t>
        </is>
      </c>
      <c r="F29" s="27" t="inlineStr">
        <is>
          <t>Other revenue, three months to 31-Mar-2026. Reviewed consolidated FS, three months to 31-Mar-2026</t>
        </is>
      </c>
    </row>
    <row r="30" ht="19" customHeight="1">
      <c r="A30" s="7" t="inlineStr">
        <is>
          <t>Formed provisions, 3M to 31-Mar-2026</t>
        </is>
      </c>
      <c r="B30" s="7" t="inlineStr">
        <is>
          <t>EGP</t>
        </is>
      </c>
      <c r="C30" s="29" t="n">
        <v>30000000</v>
      </c>
      <c r="D30" s="7" t="inlineStr">
        <is>
          <t>2026-03-31</t>
        </is>
      </c>
      <c r="E30" s="7" t="inlineStr">
        <is>
          <t>Company</t>
        </is>
      </c>
      <c r="F30" s="27" t="inlineStr">
        <is>
          <t>Formed provisions, three months to 31-Mar-2026. Reviewed consolidated FS, three months to 31-Mar-2026</t>
        </is>
      </c>
    </row>
    <row r="31" ht="19" customHeight="1">
      <c r="A31" s="7" t="inlineStr">
        <is>
          <t>Expected credit losses formed, 3M to 31-Mar-2026</t>
        </is>
      </c>
      <c r="B31" s="7" t="inlineStr">
        <is>
          <t>EGP</t>
        </is>
      </c>
      <c r="C31" s="29" t="n">
        <v>20323123</v>
      </c>
      <c r="D31" s="7" t="inlineStr">
        <is>
          <t>2026-03-31</t>
        </is>
      </c>
      <c r="E31" s="7" t="inlineStr">
        <is>
          <t>Company</t>
        </is>
      </c>
      <c r="F31" s="27" t="inlineStr">
        <is>
          <t>Expected credit losses formed, three months to 31-Mar-2026. Reviewed consolidated FS, three months to 31-Mar-2026</t>
        </is>
      </c>
    </row>
    <row r="32" ht="14" customHeight="1">
      <c r="A32" s="7" t="inlineStr">
        <is>
          <t>Finance cost, 3M to 31-Mar-2026</t>
        </is>
      </c>
      <c r="B32" s="7" t="inlineStr">
        <is>
          <t>EGP</t>
        </is>
      </c>
      <c r="C32" s="29" t="n">
        <v>982219</v>
      </c>
      <c r="D32" s="7" t="inlineStr">
        <is>
          <t>2026-03-31</t>
        </is>
      </c>
      <c r="E32" s="7" t="inlineStr">
        <is>
          <t>Company</t>
        </is>
      </c>
      <c r="F32" s="27" t="inlineStr">
        <is>
          <t>Finance cost, three months to 31-Mar-2026. Reviewed consolidated FS, three months to 31-Mar-2026</t>
        </is>
      </c>
    </row>
    <row r="33" ht="19" customHeight="1">
      <c r="A33" s="7" t="inlineStr">
        <is>
          <t>Current income tax, 3M to 31-Mar-2026</t>
        </is>
      </c>
      <c r="B33" s="7" t="inlineStr">
        <is>
          <t>EGP</t>
        </is>
      </c>
      <c r="C33" s="29" t="n">
        <v>175094101</v>
      </c>
      <c r="D33" s="7" t="inlineStr">
        <is>
          <t>2026-03-31</t>
        </is>
      </c>
      <c r="E33" s="7" t="inlineStr">
        <is>
          <t>Company</t>
        </is>
      </c>
      <c r="F33" s="27" t="inlineStr">
        <is>
          <t>Current income tax, three months to 31-Mar-2026. Reviewed consolidated FS, three months to 31-Mar-2026</t>
        </is>
      </c>
    </row>
    <row r="34" ht="19" customHeight="1">
      <c r="A34" s="7" t="inlineStr">
        <is>
          <t>Deferred tax, 3M to 31-Mar-2026</t>
        </is>
      </c>
      <c r="B34" s="7" t="inlineStr">
        <is>
          <t>EGP</t>
        </is>
      </c>
      <c r="C34" s="29" t="n">
        <v>-7209684</v>
      </c>
      <c r="D34" s="7" t="inlineStr">
        <is>
          <t>2026-03-31</t>
        </is>
      </c>
      <c r="E34" s="7" t="inlineStr">
        <is>
          <t>Company</t>
        </is>
      </c>
      <c r="F34" s="27" t="inlineStr">
        <is>
          <t>Deferred tax EXPENSE (negative = charge), three months to 31-Mar-2026. Reviewed consolidated FS, three months to 31-Mar-2026</t>
        </is>
      </c>
    </row>
    <row r="35" ht="19" customHeight="1">
      <c r="A35" s="7" t="inlineStr">
        <is>
          <t>Net profit after tax, 3M to 31-Mar-2026</t>
        </is>
      </c>
      <c r="B35" s="7" t="inlineStr">
        <is>
          <t>EGP</t>
        </is>
      </c>
      <c r="C35" s="29" t="n">
        <v>635119535</v>
      </c>
      <c r="D35" s="7" t="inlineStr">
        <is>
          <t>2026-03-31</t>
        </is>
      </c>
      <c r="E35" s="7" t="inlineStr">
        <is>
          <t>Company</t>
        </is>
      </c>
      <c r="F35" s="27" t="inlineStr">
        <is>
          <t>Net profit after tax, three months to 31-Mar-2026. Reviewed consolidated FS, three months to 31-Mar-2026</t>
        </is>
      </c>
    </row>
    <row r="36" ht="19" customHeight="1">
      <c r="A36" s="7" t="inlineStr">
        <is>
          <t>Minority share of profit, 3M to 31-Mar-2026</t>
        </is>
      </c>
      <c r="B36" s="7" t="inlineStr">
        <is>
          <t>EGP</t>
        </is>
      </c>
      <c r="C36" s="29" t="n">
        <v>22627676</v>
      </c>
      <c r="D36" s="7" t="inlineStr">
        <is>
          <t>2026-03-31</t>
        </is>
      </c>
      <c r="E36" s="7" t="inlineStr">
        <is>
          <t>Company</t>
        </is>
      </c>
      <c r="F36" s="27" t="inlineStr">
        <is>
          <t>Non-controlling interest share of profit, three months to 31-Mar-2026. Reviewed consolidated FS, three months to 31-Mar-2026</t>
        </is>
      </c>
    </row>
    <row r="37" ht="19" customHeight="1">
      <c r="A37" s="7" t="inlineStr">
        <is>
          <t>Net sales, 6M to 31-Dec-2024</t>
        </is>
      </c>
      <c r="B37" s="7" t="inlineStr">
        <is>
          <t>EGP</t>
        </is>
      </c>
      <c r="C37" s="29" t="n">
        <v>18246078901</v>
      </c>
      <c r="D37" s="7" t="inlineStr">
        <is>
          <t>2024-12-31</t>
        </is>
      </c>
      <c r="E37" s="7" t="inlineStr">
        <is>
          <t>Company</t>
        </is>
      </c>
      <c r="F37" s="27" t="inlineStr">
        <is>
          <t>Net sales, six months to 31-Dec-2024 (comparative column). Audited consolidated FS, transition period 1-Jul-2025 to 31-Dec-2025, Crowe unqualified, 18-Feb-2026</t>
        </is>
      </c>
    </row>
    <row r="38" ht="19" customHeight="1">
      <c r="A38" s="7" t="inlineStr">
        <is>
          <t>Cost of sales, 6M to 31-Dec-2024</t>
        </is>
      </c>
      <c r="B38" s="7" t="inlineStr">
        <is>
          <t>EGP</t>
        </is>
      </c>
      <c r="C38" s="29" t="n">
        <v>16995436456</v>
      </c>
      <c r="D38" s="7" t="inlineStr">
        <is>
          <t>2024-12-31</t>
        </is>
      </c>
      <c r="E38" s="7" t="inlineStr">
        <is>
          <t>Company</t>
        </is>
      </c>
      <c r="F38" s="27" t="inlineStr">
        <is>
          <t>Cost of sales, six months to 31-Dec-2024 (comparative column). Audited consolidated FS, transition period 1-Jul-2025 to 31-Dec-2025, Crowe unqualified, 18-Feb-2026</t>
        </is>
      </c>
    </row>
    <row r="39" ht="19" customHeight="1">
      <c r="A39" s="7" t="inlineStr">
        <is>
          <t>Net profit after tax, 6M to 31-Dec-2024</t>
        </is>
      </c>
      <c r="B39" s="7" t="inlineStr">
        <is>
          <t>EGP</t>
        </is>
      </c>
      <c r="C39" s="29" t="n">
        <v>641640411</v>
      </c>
      <c r="D39" s="7" t="inlineStr">
        <is>
          <t>2024-12-31</t>
        </is>
      </c>
      <c r="E39" s="7" t="inlineStr">
        <is>
          <t>Company</t>
        </is>
      </c>
      <c r="F39" s="27" t="inlineStr">
        <is>
          <t>Net profit after tax, six months to 31-Dec-2024. Audited consolidated FS, transition period 1-Jul-2025 to 31-Dec-2025, Crowe unqualified, 18-Feb-2026</t>
        </is>
      </c>
    </row>
    <row r="40" ht="19" customHeight="1">
      <c r="A40" s="7" t="inlineStr">
        <is>
          <t>Net sales, 3M to 31-Mar-2025</t>
        </is>
      </c>
      <c r="B40" s="7" t="inlineStr">
        <is>
          <t>EGP</t>
        </is>
      </c>
      <c r="C40" s="29" t="n">
        <v>10068471935</v>
      </c>
      <c r="D40" s="7" t="inlineStr">
        <is>
          <t>2025-03-31</t>
        </is>
      </c>
      <c r="E40" s="7" t="inlineStr">
        <is>
          <t>Company</t>
        </is>
      </c>
      <c r="F40" s="27" t="inlineStr">
        <is>
          <t>Net sales, three months to 31-Mar-2025 (comparative column). Reviewed consolidated FS, three months to 31-Mar-2026</t>
        </is>
      </c>
    </row>
    <row r="41" ht="19" customHeight="1">
      <c r="A41" s="7" t="inlineStr">
        <is>
          <t>Cost of sales, 3M to 31-Mar-2025</t>
        </is>
      </c>
      <c r="B41" s="7" t="inlineStr">
        <is>
          <t>EGP</t>
        </is>
      </c>
      <c r="C41" s="29" t="n">
        <v>9559699263</v>
      </c>
      <c r="D41" s="7" t="inlineStr">
        <is>
          <t>2025-03-31</t>
        </is>
      </c>
      <c r="E41" s="7" t="inlineStr">
        <is>
          <t>Company</t>
        </is>
      </c>
      <c r="F41" s="27" t="inlineStr">
        <is>
          <t>Cost of sales, three months to 31-Mar-2025 (comparative column). Reviewed consolidated FS, three months to 31-Mar-2026</t>
        </is>
      </c>
    </row>
    <row r="42" ht="28.5" customHeight="1">
      <c r="A42" s="7" t="inlineStr">
        <is>
          <t>Majority profit, year to 30-Jun-2025</t>
        </is>
      </c>
      <c r="B42" s="7" t="inlineStr">
        <is>
          <t>EGP</t>
        </is>
      </c>
      <c r="C42" s="29" t="n">
        <v>1488520098</v>
      </c>
      <c r="D42" s="7" t="inlineStr">
        <is>
          <t>2025-06-30</t>
        </is>
      </c>
      <c r="E42" s="7" t="inlineStr">
        <is>
          <t>Company</t>
        </is>
      </c>
      <c r="F42" s="27" t="inlineStr">
        <is>
          <t>Majority profit for the financial year to 30-June-2025, read off the opening column of the consolidated statement of changes in equity at 1-July-2025. Audited consolidated FS, transition period 1-Jul-2025 to 31-Dec-2025, Crowe unqualified, 18-Feb-2026</t>
        </is>
      </c>
    </row>
    <row r="43"/>
    <row r="44">
      <c r="A44" s="21" t="inlineStr">
        <is>
          <t>NOTE 15-A — THE AUDITED COST STACK</t>
        </is>
      </c>
      <c r="B44" s="22" t="n"/>
      <c r="C44" s="22" t="n"/>
      <c r="D44" s="22" t="n"/>
      <c r="E44" s="22" t="n"/>
      <c r="F44" s="22" t="n"/>
    </row>
    <row r="45" ht="28.5" customHeight="1">
      <c r="A45" s="7" t="inlineStr">
        <is>
          <t>Cost of sales — raw materials, 6M to Dec-2025</t>
        </is>
      </c>
      <c r="B45" s="7" t="inlineStr">
        <is>
          <t>EGP</t>
        </is>
      </c>
      <c r="C45" s="29" t="n">
        <v>17650102725</v>
      </c>
      <c r="D45" s="7" t="inlineStr">
        <is>
          <t>2025-12-31</t>
        </is>
      </c>
      <c r="E45" s="7" t="inlineStr">
        <is>
          <t>Company</t>
        </is>
      </c>
      <c r="F45" s="27" t="inlineStr">
        <is>
          <t>Cost of sales — RAW MATERIALS, six months to 31-Dec-2025 (note 15-A). 90.7% of cost of sales and 85.1% of revenue: this single line is what the company is. Audited consolidated FS, transition period 1-Jul-2025 to 31-Dec-2025, Crowe unqualified, 18-Feb-2026</t>
        </is>
      </c>
    </row>
    <row r="46" ht="19" customHeight="1">
      <c r="A46" s="7" t="inlineStr">
        <is>
          <t>Cost of sales — salaries, 6M to Dec-2025</t>
        </is>
      </c>
      <c r="B46" s="7" t="inlineStr">
        <is>
          <t>EGP</t>
        </is>
      </c>
      <c r="C46" s="29" t="n">
        <v>881019497</v>
      </c>
      <c r="D46" s="7" t="inlineStr">
        <is>
          <t>2025-12-31</t>
        </is>
      </c>
      <c r="E46" s="7" t="inlineStr">
        <is>
          <t>Company</t>
        </is>
      </c>
      <c r="F46" s="27" t="inlineStr">
        <is>
          <t>Cost of sales — salaries, six months to 31-Dec-2025 (note 15-A). Audited consolidated FS, transition period 1-Jul-2025 to 31-Dec-2025, Crowe unqualified, 18-Feb-2026</t>
        </is>
      </c>
    </row>
    <row r="47" ht="38" customHeight="1">
      <c r="A47" s="7" t="inlineStr">
        <is>
          <t>Cost of sales — other (gas, power, water, spares, EPROM)</t>
        </is>
      </c>
      <c r="B47" s="7" t="inlineStr">
        <is>
          <t>EGP</t>
        </is>
      </c>
      <c r="C47" s="29" t="n">
        <v>807146755</v>
      </c>
      <c r="D47" s="7" t="inlineStr">
        <is>
          <t>2025-12-31</t>
        </is>
      </c>
      <c r="E47" s="7" t="inlineStr">
        <is>
          <t>Company</t>
        </is>
      </c>
      <c r="F47" s="27"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48" ht="19" customHeight="1">
      <c r="A48" s="7" t="inlineStr">
        <is>
          <t>Cost of sales — supporting materials</t>
        </is>
      </c>
      <c r="B48" s="7" t="inlineStr">
        <is>
          <t>EGP</t>
        </is>
      </c>
      <c r="C48" s="29" t="n">
        <v>64533723</v>
      </c>
      <c r="D48" s="7" t="inlineStr">
        <is>
          <t>2025-12-31</t>
        </is>
      </c>
      <c r="E48" s="7" t="inlineStr">
        <is>
          <t>Company</t>
        </is>
      </c>
      <c r="F48" s="27" t="inlineStr">
        <is>
          <t>Cost of sales — supporting materials (chemicals and additives), six months to 31-Dec-2025 (note 15-A). The previous edition estimated this charge at roughly five times the disclosed figure</t>
        </is>
      </c>
    </row>
    <row r="49" ht="19" customHeight="1">
      <c r="A49" s="7" t="inlineStr">
        <is>
          <t>Cost of sales — depreciation</t>
        </is>
      </c>
      <c r="B49" s="7" t="inlineStr">
        <is>
          <t>EGP</t>
        </is>
      </c>
      <c r="C49" s="29" t="n">
        <v>58748046</v>
      </c>
      <c r="D49" s="7" t="inlineStr">
        <is>
          <t>2025-12-31</t>
        </is>
      </c>
      <c r="E49" s="7" t="inlineStr">
        <is>
          <t>Company</t>
        </is>
      </c>
      <c r="F49" s="27" t="inlineStr">
        <is>
          <t>Cost of sales — depreciation, six months to 31-Dec-2025 (note 15-A). Audited consolidated FS, transition period 1-Jul-2025 to 31-Dec-2025, Crowe unqualified, 18-Feb-2026</t>
        </is>
      </c>
    </row>
    <row r="50" ht="19" customHeight="1">
      <c r="A50" s="7" t="inlineStr">
        <is>
          <t>Cost of sales — raw materials, 6M to Dec-2024</t>
        </is>
      </c>
      <c r="B50" s="7" t="inlineStr">
        <is>
          <t>EGP</t>
        </is>
      </c>
      <c r="C50" s="29" t="n">
        <v>15597464119</v>
      </c>
      <c r="D50" s="7" t="inlineStr">
        <is>
          <t>2024-12-31</t>
        </is>
      </c>
      <c r="E50" s="7" t="inlineStr">
        <is>
          <t>Company</t>
        </is>
      </c>
      <c r="F50" s="27" t="inlineStr">
        <is>
          <t>Cost of sales — raw materials, six months to 31-Dec-2024 (note 15-A comparative). Audited consolidated FS, transition period 1-Jul-2025 to 31-Dec-2025, Crowe unqualified, 18-Feb-2026</t>
        </is>
      </c>
    </row>
    <row r="51" ht="19" customHeight="1">
      <c r="A51" s="7" t="inlineStr">
        <is>
          <t>Cost of sales — salaries, 6M to Dec-2024</t>
        </is>
      </c>
      <c r="B51" s="7" t="inlineStr">
        <is>
          <t>EGP</t>
        </is>
      </c>
      <c r="C51" s="29" t="n">
        <v>634571733</v>
      </c>
      <c r="D51" s="7" t="inlineStr">
        <is>
          <t>2024-12-31</t>
        </is>
      </c>
      <c r="E51" s="7" t="inlineStr">
        <is>
          <t>Company</t>
        </is>
      </c>
      <c r="F51" s="27" t="inlineStr">
        <is>
          <t>Cost of sales — salaries, six months to 31-Dec-2024 (note 15-A comparative). Audited consolidated FS, transition period 1-Jul-2025 to 31-Dec-2025, Crowe unqualified, 18-Feb-2026</t>
        </is>
      </c>
    </row>
    <row r="52" ht="19" customHeight="1">
      <c r="A52" s="7" t="inlineStr">
        <is>
          <t>Cost of sales — other, 6M to Dec-2024</t>
        </is>
      </c>
      <c r="B52" s="7" t="inlineStr">
        <is>
          <t>EGP</t>
        </is>
      </c>
      <c r="C52" s="29" t="n">
        <v>641598547</v>
      </c>
      <c r="D52" s="7" t="inlineStr">
        <is>
          <t>2024-12-31</t>
        </is>
      </c>
      <c r="E52" s="7" t="inlineStr">
        <is>
          <t>Company</t>
        </is>
      </c>
      <c r="F52" s="27" t="inlineStr">
        <is>
          <t>Cost of sales — other expenses, six months to 31-Dec-2024. Audited consolidated FS, transition period 1-Jul-2025 to 31-Dec-2025, Crowe unqualified, 18-Feb-2026</t>
        </is>
      </c>
    </row>
    <row r="53" ht="19" customHeight="1">
      <c r="A53" s="7" t="inlineStr">
        <is>
          <t>Cost of sales — supporting materials, 6M to Dec-2024</t>
        </is>
      </c>
      <c r="B53" s="7" t="inlineStr">
        <is>
          <t>EGP</t>
        </is>
      </c>
      <c r="C53" s="29" t="n">
        <v>68294446</v>
      </c>
      <c r="D53" s="7" t="inlineStr">
        <is>
          <t>2024-12-31</t>
        </is>
      </c>
      <c r="E53" s="7" t="inlineStr">
        <is>
          <t>Company</t>
        </is>
      </c>
      <c r="F53" s="27" t="inlineStr">
        <is>
          <t>Cost of sales — supporting materials, six months to 31-Dec-2024. Audited consolidated FS, transition period 1-Jul-2025 to 31-Dec-2025, Crowe unqualified, 18-Feb-2026</t>
        </is>
      </c>
    </row>
    <row r="54" ht="19" customHeight="1">
      <c r="A54" s="7" t="inlineStr">
        <is>
          <t>Cost of sales — depreciation, 6M to Dec-2024</t>
        </is>
      </c>
      <c r="B54" s="7" t="inlineStr">
        <is>
          <t>EGP</t>
        </is>
      </c>
      <c r="C54" s="29" t="n">
        <v>53507611</v>
      </c>
      <c r="D54" s="7" t="inlineStr">
        <is>
          <t>2024-12-31</t>
        </is>
      </c>
      <c r="E54" s="7" t="inlineStr">
        <is>
          <t>Company</t>
        </is>
      </c>
      <c r="F54" s="27" t="inlineStr">
        <is>
          <t>Cost of sales — depreciation, six months to 31-Dec-2024. Audited consolidated FS, transition period 1-Jul-2025 to 31-Dec-2025, Crowe unqualified, 18-Feb-2026</t>
        </is>
      </c>
    </row>
    <row r="55"/>
    <row r="56">
      <c r="A56" s="21" t="inlineStr">
        <is>
          <t>AUDITED BALANCE SHEET AND CASH FLOW</t>
        </is>
      </c>
      <c r="B56" s="22" t="n"/>
      <c r="C56" s="22" t="n"/>
      <c r="D56" s="22" t="n"/>
      <c r="E56" s="22" t="n"/>
      <c r="F56" s="22" t="n"/>
    </row>
    <row r="57" ht="38" customHeight="1">
      <c r="A57" s="7" t="inlineStr">
        <is>
          <t>Fixed assets, net (note 6)</t>
        </is>
      </c>
      <c r="B57" s="7" t="inlineStr">
        <is>
          <t>EGP</t>
        </is>
      </c>
      <c r="C57" s="29" t="n">
        <v>893016274</v>
      </c>
      <c r="D57" s="7" t="inlineStr">
        <is>
          <t>2025-12-31</t>
        </is>
      </c>
      <c r="E57" s="7" t="inlineStr">
        <is>
          <t>Company</t>
        </is>
      </c>
      <c r="F57" s="27" t="inlineStr">
        <is>
          <t>Fixed assets net of accumulated depreciation at 31-Dec-2025 (note 6). Cost 2,740,810,692 less accumulated depreciation 1,847,794,418 — the plant is 67% written down, and 273,466,121 of it is fully depreciated and still in use. Audited consolidated FS, transition period 1-Jul-2025 to 31-Dec-2025, Crowe unqualified, 18-Feb-2026</t>
        </is>
      </c>
    </row>
    <row r="58" ht="28.5" customHeight="1">
      <c r="A58" s="7" t="inlineStr">
        <is>
          <t>Projects under construction (note 7)</t>
        </is>
      </c>
      <c r="B58" s="7" t="inlineStr">
        <is>
          <t>EGP</t>
        </is>
      </c>
      <c r="C58" s="29" t="n">
        <v>407323203</v>
      </c>
      <c r="D58" s="7" t="inlineStr">
        <is>
          <t>2025-12-31</t>
        </is>
      </c>
      <c r="E58" s="7" t="inlineStr">
        <is>
          <t>Company</t>
        </is>
      </c>
      <c r="F58" s="27" t="inlineStr">
        <is>
          <t>Projects under construction at 31-Dec-2025 (note 7): assets in development 376,746,526 (administrative building, warehouses, civil projects, ERP system) plus investment expenditure 30,576,677. Audited consolidated FS, transition period 1-Jul-2025 to 31-Dec-2025, Crowe unqualified, 18-Feb-2026</t>
        </is>
      </c>
    </row>
    <row r="59" ht="38" customHeight="1">
      <c r="A59" s="7" t="inlineStr">
        <is>
          <t>Inventory, net (note 9-A)</t>
        </is>
      </c>
      <c r="B59" s="7" t="inlineStr">
        <is>
          <t>EGP</t>
        </is>
      </c>
      <c r="C59" s="29" t="n">
        <v>2847392506</v>
      </c>
      <c r="D59" s="7" t="inlineStr">
        <is>
          <t>2025-12-31</t>
        </is>
      </c>
      <c r="E59" s="7" t="inlineStr">
        <is>
          <t>Company</t>
        </is>
      </c>
      <c r="F59" s="27" t="inlineStr">
        <is>
          <t>Inventory net of impairment at 31-Dec-2025 (note 9-A): work in process 792,134,042, finished goods 1,166,168,582, spare parts 309,298,239, supporting materials 283,470,554, raw materials 118,754,225, goods for resale 155,793,361. Audited consolidated FS, transition period 1-Jul-2025 to 31-Dec-2025, Crowe unqualified, 18-Feb-2026</t>
        </is>
      </c>
    </row>
    <row r="60" ht="38" customHeight="1">
      <c r="A60" s="7" t="inlineStr">
        <is>
          <t>Accounts receivable, net (note 9-B)</t>
        </is>
      </c>
      <c r="B60" s="7" t="inlineStr">
        <is>
          <t>EGP</t>
        </is>
      </c>
      <c r="C60" s="29" t="n">
        <v>573136185</v>
      </c>
      <c r="D60" s="7" t="inlineStr">
        <is>
          <t>2025-12-31</t>
        </is>
      </c>
      <c r="E60" s="7" t="inlineStr">
        <is>
          <t>Company</t>
        </is>
      </c>
      <c r="F60" s="27" t="inlineStr">
        <is>
          <t>Accounts receivable net at 31-Dec-2025 (note 9-B). 100% undue and unimpaired on the ageing analysis. Counterparties include Shell, ExxonMobil, Chevron, Total, TAQA/Castrol, Emarat Misr, OLA Energy and Petromine alongside the state companies. Audited consolidated FS, transition period 1-Jul-2025 to 31-Dec-2025, Crowe unqualified, 18-Feb-2026</t>
        </is>
      </c>
    </row>
    <row r="61" ht="19" customHeight="1">
      <c r="A61" s="7" t="inlineStr">
        <is>
          <t>Debtors and other debit balances</t>
        </is>
      </c>
      <c r="B61" s="7" t="inlineStr">
        <is>
          <t>EGP</t>
        </is>
      </c>
      <c r="C61" s="29" t="n">
        <v>366012664</v>
      </c>
      <c r="D61" s="7" t="inlineStr">
        <is>
          <t>2025-12-31</t>
        </is>
      </c>
      <c r="E61" s="7" t="inlineStr">
        <is>
          <t>Company</t>
        </is>
      </c>
      <c r="F61" s="27" t="inlineStr">
        <is>
          <t>Debtors and other debit balances net at 31-Dec-2025 (notes 9-C, 9-D). Audited consolidated FS, transition period 1-Jul-2025 to 31-Dec-2025, Crowe unqualified, 18-Feb-2026</t>
        </is>
      </c>
    </row>
    <row r="62" ht="38" customHeight="1">
      <c r="A62" s="7" t="inlineStr">
        <is>
          <t>Cash at banks and on hand (note 9-E)</t>
        </is>
      </c>
      <c r="B62" s="7" t="inlineStr">
        <is>
          <t>EGP</t>
        </is>
      </c>
      <c r="C62" s="29" t="n">
        <v>2463522365</v>
      </c>
      <c r="D62" s="7" t="inlineStr">
        <is>
          <t>2025-12-31</t>
        </is>
      </c>
      <c r="E62" s="7" t="inlineStr">
        <is>
          <t>Company</t>
        </is>
      </c>
      <c r="F62" s="27" t="inlineStr">
        <is>
          <t>Cash at banks and on hand at 31-Dec-2025 (note 9-E): time deposits 883,351,250 plus current accounts 2,127,100,720 plus cash on hand 166,405, less expected credit losses 38,345,960, less PLEDGED deposits 508,750,050 which sit in other financial investments. Audited consolidated FS, transition period 1-Jul-2025 to 31-Dec-2025, Crowe unqualified, 18-Feb-2026</t>
        </is>
      </c>
    </row>
    <row r="63" ht="28.5" customHeight="1">
      <c r="A63" s="7" t="inlineStr">
        <is>
          <t>Pledged deposits — NOT free cash</t>
        </is>
      </c>
      <c r="B63" s="7" t="inlineStr">
        <is>
          <t>EGP</t>
        </is>
      </c>
      <c r="C63" s="29" t="n">
        <v>508750050</v>
      </c>
      <c r="D63" s="7" t="inlineStr">
        <is>
          <t>2025-12-31</t>
        </is>
      </c>
      <c r="E63" s="7" t="inlineStr">
        <is>
          <t>Company</t>
        </is>
      </c>
      <c r="F63" s="27" t="inlineStr">
        <is>
          <t>Other financial investments at 31-Dec-2025 — deposits PLEDGED against credit facilities, so not free cash (note 9-E). Audited consolidated FS, transition period 1-Jul-2025 to 31-Dec-2025, Crowe unqualified, 18-Feb-2026</t>
        </is>
      </c>
    </row>
    <row r="64" ht="38" customHeight="1">
      <c r="A64" s="7" t="inlineStr">
        <is>
          <t>Accounts and notes payable (note 10-3)</t>
        </is>
      </c>
      <c r="B64" s="7" t="inlineStr">
        <is>
          <t>EGP</t>
        </is>
      </c>
      <c r="C64" s="29" t="n">
        <v>7942650</v>
      </c>
      <c r="D64" s="7" t="inlineStr">
        <is>
          <t>2025-12-31</t>
        </is>
      </c>
      <c r="E64" s="7" t="inlineStr">
        <is>
          <t>Company</t>
        </is>
      </c>
      <c r="F64" s="27" t="inlineStr">
        <is>
          <t>Accounts and notes payable at 31-Dec-2025 (note 10-3). The previous edition modelled a trade payable of about 2.5bn funding the working capital cycle; the actual trade payable is under 8mn and the funding sits in the EGPC current account instead. Audited consolidated FS, transition period 1-Jul-2025 to 31-Dec-2025, Crowe unqualified, 18-Feb-2026</t>
        </is>
      </c>
    </row>
    <row r="65" ht="38" customHeight="1">
      <c r="A65" s="7" t="inlineStr">
        <is>
          <t>Creditors and other credit balances (note 11)</t>
        </is>
      </c>
      <c r="B65" s="7" t="inlineStr">
        <is>
          <t>EGP</t>
        </is>
      </c>
      <c r="C65" s="29" t="n">
        <v>2044446416</v>
      </c>
      <c r="D65" s="7" t="inlineStr">
        <is>
          <t>2025-12-31</t>
        </is>
      </c>
      <c r="E65" s="7" t="inlineStr">
        <is>
          <t>Company</t>
        </is>
      </c>
      <c r="F65" s="27" t="inlineStr">
        <is>
          <t>Creditors and other credit balances at 31-Dec-2025 (note 11): EGPC current account 1,132,353,505, deposits 70,891,867, miscellaneous taxes 47,021,719, dividends payable 517,250,000, miscellaneous creditors 148,226,091, customer advances 60,028,880. Audited consolidated FS, transition period 1-Jul-2025 to 31-Dec-2025, Crowe unqualified, 18-Feb-2026</t>
        </is>
      </c>
    </row>
    <row r="66" ht="19" customHeight="1">
      <c r="A66" s="7" t="inlineStr">
        <is>
          <t>Provisions — tax disputes and claims (note 10-1)</t>
        </is>
      </c>
      <c r="B66" s="7" t="inlineStr">
        <is>
          <t>EGP</t>
        </is>
      </c>
      <c r="C66" s="29" t="n">
        <v>921440353</v>
      </c>
      <c r="D66" s="7" t="inlineStr">
        <is>
          <t>2025-12-31</t>
        </is>
      </c>
      <c r="E66" s="7" t="inlineStr">
        <is>
          <t>Company</t>
        </is>
      </c>
      <c r="F66" s="27" t="inlineStr">
        <is>
          <t>Provisions at 31-Dec-2025 (note 10-1): tax disputes 904,609,345 and claims and disputes 16,831,008. A contingent liability worth EGP 0.71 a share that the previous edition never carried at all</t>
        </is>
      </c>
    </row>
    <row r="67" ht="19" customHeight="1">
      <c r="A67" s="7" t="inlineStr">
        <is>
          <t>Long-term loans</t>
        </is>
      </c>
      <c r="B67" s="7" t="inlineStr">
        <is>
          <t>EGP</t>
        </is>
      </c>
      <c r="C67" s="29" t="n">
        <v>11805265</v>
      </c>
      <c r="D67" s="7" t="inlineStr">
        <is>
          <t>2025-12-31</t>
        </is>
      </c>
      <c r="E67" s="7" t="inlineStr">
        <is>
          <t>Company</t>
        </is>
      </c>
      <c r="F67" s="27" t="inlineStr">
        <is>
          <t>Long-term loans at 31-Dec-2025 (note 20). Audited consolidated FS, transition period 1-Jul-2025 to 31-Dec-2025, Crowe unqualified, 18-Feb-2026</t>
        </is>
      </c>
    </row>
    <row r="68" ht="19" customHeight="1">
      <c r="A68" s="7" t="inlineStr">
        <is>
          <t>Short-term loans and facilities</t>
        </is>
      </c>
      <c r="B68" s="7" t="inlineStr">
        <is>
          <t>EGP</t>
        </is>
      </c>
      <c r="C68" s="29" t="n">
        <v>9172172</v>
      </c>
      <c r="D68" s="7" t="inlineStr">
        <is>
          <t>2025-12-31</t>
        </is>
      </c>
      <c r="E68" s="7" t="inlineStr">
        <is>
          <t>Company</t>
        </is>
      </c>
      <c r="F68" s="27" t="inlineStr">
        <is>
          <t>Short-term loans and facilities at 31-Dec-2025 (note 20). Audited consolidated FS, transition period 1-Jul-2025 to 31-Dec-2025, Crowe unqualified, 18-Feb-2026</t>
        </is>
      </c>
    </row>
    <row r="69" ht="19" customHeight="1">
      <c r="A69" s="7" t="inlineStr">
        <is>
          <t>Total assets</t>
        </is>
      </c>
      <c r="B69" s="7" t="inlineStr">
        <is>
          <t>EGP</t>
        </is>
      </c>
      <c r="C69" s="29" t="n">
        <v>8136418030</v>
      </c>
      <c r="D69" s="7" t="inlineStr">
        <is>
          <t>2025-12-31</t>
        </is>
      </c>
      <c r="E69" s="7" t="inlineStr">
        <is>
          <t>Company</t>
        </is>
      </c>
      <c r="F69" s="27" t="inlineStr">
        <is>
          <t>Total assets at 31-Dec-2025. Audited consolidated FS, transition period 1-Jul-2025 to 31-Dec-2025, Crowe unqualified, 18-Feb-2026</t>
        </is>
      </c>
    </row>
    <row r="70" ht="19" customHeight="1">
      <c r="A70" s="7" t="inlineStr">
        <is>
          <t>Total liabilities</t>
        </is>
      </c>
      <c r="B70" s="7" t="inlineStr">
        <is>
          <t>EGP</t>
        </is>
      </c>
      <c r="C70" s="29" t="n">
        <v>3311643082</v>
      </c>
      <c r="D70" s="7" t="inlineStr">
        <is>
          <t>2025-12-31</t>
        </is>
      </c>
      <c r="E70" s="7" t="inlineStr">
        <is>
          <t>Company</t>
        </is>
      </c>
      <c r="F70" s="27" t="inlineStr">
        <is>
          <t>Total liabilities at 31-Dec-2025. Audited consolidated FS, transition period 1-Jul-2025 to 31-Dec-2025, Crowe unqualified, 18-Feb-2026</t>
        </is>
      </c>
    </row>
    <row r="71" ht="19" customHeight="1">
      <c r="A71" s="7" t="inlineStr">
        <is>
          <t>Total AMOC (parent) equity</t>
        </is>
      </c>
      <c r="B71" s="7" t="inlineStr">
        <is>
          <t>EGP</t>
        </is>
      </c>
      <c r="C71" s="29" t="n">
        <v>4790695948</v>
      </c>
      <c r="D71" s="7" t="inlineStr">
        <is>
          <t>2025-12-31</t>
        </is>
      </c>
      <c r="E71" s="7" t="inlineStr">
        <is>
          <t>Company</t>
        </is>
      </c>
      <c r="F71" s="27" t="inlineStr">
        <is>
          <t>Total AMOC (parent) equity at 31-Dec-2025. Audited consolidated FS, transition period 1-Jul-2025 to 31-Dec-2025, Crowe unqualified, 18-Feb-2026</t>
        </is>
      </c>
    </row>
    <row r="72" ht="19" customHeight="1">
      <c r="A72" s="7" t="inlineStr">
        <is>
          <t>Non-controlling interest carrying amount</t>
        </is>
      </c>
      <c r="B72" s="7" t="inlineStr">
        <is>
          <t>EGP</t>
        </is>
      </c>
      <c r="C72" s="29" t="n">
        <v>34079000</v>
      </c>
      <c r="D72" s="7" t="inlineStr">
        <is>
          <t>2025-12-31</t>
        </is>
      </c>
      <c r="E72" s="7" t="inlineStr">
        <is>
          <t>Company</t>
        </is>
      </c>
      <c r="F72" s="27" t="inlineStr">
        <is>
          <t>Non-controlling interest carrying amount at 31-Dec-2025. Audited consolidated FS, transition period 1-Jul-2025 to 31-Dec-2025, Crowe unqualified, 18-Feb-2026</t>
        </is>
      </c>
    </row>
    <row r="73" ht="19" customHeight="1">
      <c r="A73" s="7" t="inlineStr">
        <is>
          <t>Total AMOC equity at 30-Jun-2025</t>
        </is>
      </c>
      <c r="B73" s="7" t="inlineStr">
        <is>
          <t>EGP</t>
        </is>
      </c>
      <c r="C73" s="29" t="n">
        <v>5353528855</v>
      </c>
      <c r="D73" s="7" t="inlineStr">
        <is>
          <t>2025-06-30</t>
        </is>
      </c>
      <c r="E73" s="7" t="inlineStr">
        <is>
          <t>Company</t>
        </is>
      </c>
      <c r="F73" s="27" t="inlineStr">
        <is>
          <t>Total AMOC equity at 30-Jun-2025 (comparative column). Audited consolidated FS, transition period 1-Jul-2025 to 31-Dec-2025, Crowe unqualified, 18-Feb-2026</t>
        </is>
      </c>
    </row>
    <row r="74" ht="38" customHeight="1">
      <c r="A74" s="7" t="inlineStr">
        <is>
          <t>Depreciation and RoU amortisation, 6M to Dec-2025</t>
        </is>
      </c>
      <c r="B74" s="7" t="inlineStr">
        <is>
          <t>EGP</t>
        </is>
      </c>
      <c r="C74" s="29" t="n">
        <v>70125269</v>
      </c>
      <c r="D74" s="7" t="inlineStr">
        <is>
          <t>2025-12-31</t>
        </is>
      </c>
      <c r="E74" s="7" t="inlineStr">
        <is>
          <t>Company</t>
        </is>
      </c>
      <c r="F74" s="27"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75" ht="19" customHeight="1">
      <c r="A75" s="7" t="inlineStr">
        <is>
          <t>Depreciation and RoU amortisation, 3M to Mar-2026</t>
        </is>
      </c>
      <c r="B75" s="7" t="inlineStr">
        <is>
          <t>EGP</t>
        </is>
      </c>
      <c r="C75" s="29" t="n">
        <v>40597611</v>
      </c>
      <c r="D75" s="7" t="inlineStr">
        <is>
          <t>2026-03-31</t>
        </is>
      </c>
      <c r="E75" s="7" t="inlineStr">
        <is>
          <t>Company</t>
        </is>
      </c>
      <c r="F75" s="27" t="inlineStr">
        <is>
          <t>Fixed-asset depreciation and right-of-use amortisation, Q1-2026. Reviewed consolidated FS, three months to 31-Mar-2026</t>
        </is>
      </c>
    </row>
    <row r="76" ht="38" customHeight="1">
      <c r="A76" s="7" t="inlineStr">
        <is>
          <t>CASH capex, 6M to Dec-2025</t>
        </is>
      </c>
      <c r="B76" s="7" t="inlineStr">
        <is>
          <t>EGP</t>
        </is>
      </c>
      <c r="C76" s="29" t="n">
        <v>30357299</v>
      </c>
      <c r="D76" s="7" t="inlineStr">
        <is>
          <t>2025-12-31</t>
        </is>
      </c>
      <c r="E76" s="7" t="inlineStr">
        <is>
          <t>Company</t>
        </is>
      </c>
      <c r="F76" s="27"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77" ht="19" customHeight="1">
      <c r="A77" s="7" t="inlineStr">
        <is>
          <t>CASH capex, 3M to Mar-2026</t>
        </is>
      </c>
      <c r="B77" s="7" t="inlineStr">
        <is>
          <t>EGP</t>
        </is>
      </c>
      <c r="C77" s="29" t="n">
        <v>64984482</v>
      </c>
      <c r="D77" s="7" t="inlineStr">
        <is>
          <t>2026-03-31</t>
        </is>
      </c>
      <c r="E77" s="7" t="inlineStr">
        <is>
          <t>Company</t>
        </is>
      </c>
      <c r="F77" s="27" t="inlineStr">
        <is>
          <t>Cash paid for projects under construction and fixed assets, Q1-2026. Reviewed consolidated FS, three months to 31-Mar-2026</t>
        </is>
      </c>
    </row>
    <row r="78" ht="28.5" customHeight="1">
      <c r="A78" s="7" t="inlineStr">
        <is>
          <t>Credit interest earned, 6M to Dec-2025</t>
        </is>
      </c>
      <c r="B78" s="7" t="inlineStr">
        <is>
          <t>EGP</t>
        </is>
      </c>
      <c r="C78" s="29" t="n">
        <v>173216413</v>
      </c>
      <c r="D78" s="7" t="inlineStr">
        <is>
          <t>2025-12-31</t>
        </is>
      </c>
      <c r="E78" s="7" t="inlineStr">
        <is>
          <t>Company</t>
        </is>
      </c>
      <c r="F78" s="27" t="inlineStr">
        <is>
          <t>Credit interest earned in the six months to 31-Dec-2025, per note 14-B and the cash-flow statement. Audited consolidated FS, transition period 1-Jul-2025 to 31-Dec-2025, Crowe unqualified, 18-Feb-2026</t>
        </is>
      </c>
    </row>
    <row r="79" ht="14" customHeight="1">
      <c r="A79" s="7" t="inlineStr">
        <is>
          <t>Credit interest earned, 3M to Mar-2026</t>
        </is>
      </c>
      <c r="B79" s="7" t="inlineStr">
        <is>
          <t>EGP</t>
        </is>
      </c>
      <c r="C79" s="29" t="n">
        <v>64104178</v>
      </c>
      <c r="D79" s="7" t="inlineStr">
        <is>
          <t>2026-03-31</t>
        </is>
      </c>
      <c r="E79" s="7" t="inlineStr">
        <is>
          <t>Company</t>
        </is>
      </c>
      <c r="F79" s="27" t="inlineStr">
        <is>
          <t>Credit interest earned in Q1-2026. Reviewed consolidated FS, three months to 31-Mar-2026</t>
        </is>
      </c>
    </row>
    <row r="80" ht="19" customHeight="1">
      <c r="A80" s="7" t="inlineStr">
        <is>
          <t>Cash dividends PAID, 6M to Dec-2025</t>
        </is>
      </c>
      <c r="B80" s="7" t="inlineStr">
        <is>
          <t>EGP</t>
        </is>
      </c>
      <c r="C80" s="29" t="n">
        <v>736577469</v>
      </c>
      <c r="D80" s="7" t="inlineStr">
        <is>
          <t>2025-12-31</t>
        </is>
      </c>
      <c r="E80" s="7" t="inlineStr">
        <is>
          <t>Company</t>
        </is>
      </c>
      <c r="F80" s="27" t="inlineStr">
        <is>
          <t>Cash dividends PAID in the six months to 31-Dec-2025. Audited consolidated FS, transition period 1-Jul-2025 to 31-Dec-2025, Crowe unqualified, 18-Feb-2026</t>
        </is>
      </c>
    </row>
    <row r="81" ht="14" customHeight="1">
      <c r="A81" s="7" t="inlineStr">
        <is>
          <t>Cash dividends PAID, 3M to Mar-2026</t>
        </is>
      </c>
      <c r="B81" s="7" t="inlineStr">
        <is>
          <t>EGP</t>
        </is>
      </c>
      <c r="C81" s="29" t="n">
        <v>602957265</v>
      </c>
      <c r="D81" s="7" t="inlineStr">
        <is>
          <t>2026-03-31</t>
        </is>
      </c>
      <c r="E81" s="7" t="inlineStr">
        <is>
          <t>Company</t>
        </is>
      </c>
      <c r="F81" s="27" t="inlineStr">
        <is>
          <t>Cash dividends paid in Q1-2026. Reviewed consolidated FS, three months to 31-Mar-2026</t>
        </is>
      </c>
    </row>
    <row r="82" ht="28.5" customHeight="1">
      <c r="A82" s="7" t="inlineStr">
        <is>
          <t>Minority share of group profit — DISCLOSED</t>
        </is>
      </c>
      <c r="B82" s="7" t="inlineStr">
        <is>
          <t>%</t>
        </is>
      </c>
      <c r="C82" s="30" t="n">
        <v>0.04644563756748903</v>
      </c>
      <c r="D82" s="7" t="inlineStr">
        <is>
          <t>2025-12-31</t>
        </is>
      </c>
      <c r="E82" s="7" t="inlineStr">
        <is>
          <t>Company</t>
        </is>
      </c>
      <c r="F82" s="27" t="inlineStr">
        <is>
          <t>Non-controlling interest as a share of group profit after tax, six months to 31-Dec-2025 — DISCLOSED, not inferred. AMOC holds 86.45% of Alexandria Wax Products S.A.E. (note 1-2). The previous edition inferred 3.0% from the gap between consolidated and standalone profit; the filing says 4.645%</t>
        </is>
      </c>
    </row>
    <row r="83" ht="28.5" customHeight="1">
      <c r="A83" s="7" t="inlineStr">
        <is>
          <t>Alexandria Petroleum Company shareholding</t>
        </is>
      </c>
      <c r="B83" s="7" t="inlineStr">
        <is>
          <t>%</t>
        </is>
      </c>
      <c r="C83" s="31" t="n">
        <v>0.2077</v>
      </c>
      <c r="D83" s="7" t="inlineStr">
        <is>
          <t>2025-12-31</t>
        </is>
      </c>
      <c r="E83" s="7" t="inlineStr">
        <is>
          <t>Company</t>
        </is>
      </c>
      <c r="F83" s="27" t="inlineStr">
        <is>
          <t>Alexandria Petroleum Company holds 20.77% of AMOC (note 18, capital structure). The previous edition named the Egyptian General Petroleum Corporation as the 20% shareholder; EGPC is NOT a direct shareholder. Free float (public offering, individuals and other institutions) is 28.77%</t>
        </is>
      </c>
    </row>
    <row r="84" ht="38" customHeight="1">
      <c r="A84" s="7" t="inlineStr">
        <is>
          <t>Sales to EGPC, 6M to Dec-2025</t>
        </is>
      </c>
      <c r="B84" s="7" t="inlineStr">
        <is>
          <t>EGP</t>
        </is>
      </c>
      <c r="C84" s="29" t="n">
        <v>15872300000</v>
      </c>
      <c r="D84" s="7" t="inlineStr">
        <is>
          <t>2025-12-31</t>
        </is>
      </c>
      <c r="E84" s="7" t="inlineStr">
        <is>
          <t>Company</t>
        </is>
      </c>
      <c r="F84" s="27" t="inlineStr">
        <is>
          <t>Sales of products to the Egyptian General Petroleum Corporation in the six months to 31-Dec-2025 (note 19-3-B) — 76.5% of net sales. EGPC is also the dominant supplier, with 16.3bn of purchases in the same half. That two-sided relationship is the real governance fact, and it is disclosed. Audited consolidated FS, transition period 1-Jul-2025 to 31-Dec-2025, Crowe unqualified, 18-Feb-2026</t>
        </is>
      </c>
    </row>
    <row r="85"/>
    <row r="86">
      <c r="A86" s="21" t="inlineStr">
        <is>
          <t>NOTE 14-A — THE AUDITED PRODUCT TABLE</t>
        </is>
      </c>
      <c r="B86" s="22" t="n"/>
      <c r="C86" s="22" t="n"/>
      <c r="D86" s="22" t="n"/>
      <c r="E86" s="22" t="n"/>
      <c r="F86" s="22" t="n"/>
    </row>
    <row r="87">
      <c r="A87" s="14" t="inlineStr">
        <is>
          <t>Product line</t>
        </is>
      </c>
      <c r="B87" s="14" t="inlineStr">
        <is>
          <t>Unit</t>
        </is>
      </c>
      <c r="C87" s="14" t="inlineStr">
        <is>
          <t>Tonnes</t>
        </is>
      </c>
      <c r="D87" s="14" t="inlineStr">
        <is>
          <t>Value (EGP)</t>
        </is>
      </c>
      <c r="E87" s="14" t="inlineStr">
        <is>
          <t>Layer</t>
        </is>
      </c>
      <c r="F87" s="14" t="inlineStr">
        <is>
          <t>Source</t>
        </is>
      </c>
    </row>
    <row r="88">
      <c r="A88" s="7" t="inlineStr">
        <is>
          <t>Base and special oils</t>
        </is>
      </c>
      <c r="B88" s="7" t="inlineStr">
        <is>
          <t>tonnes</t>
        </is>
      </c>
      <c r="C88" s="32" t="n">
        <v>54968.98</v>
      </c>
      <c r="D88" s="29" t="n">
        <v>2597280264</v>
      </c>
      <c r="E88" s="7" t="inlineStr">
        <is>
          <t>Company</t>
        </is>
      </c>
      <c r="F88" s="33" t="inlineStr">
        <is>
          <t>Note 14-A, audited transition period 1-Jul-2025 to 31-Dec-2025</t>
        </is>
      </c>
    </row>
    <row r="89">
      <c r="A89" s="7" t="inlineStr">
        <is>
          <t>Paraffin wax</t>
        </is>
      </c>
      <c r="B89" s="7" t="inlineStr">
        <is>
          <t>tonnes</t>
        </is>
      </c>
      <c r="C89" s="32" t="n">
        <v>41774.2</v>
      </c>
      <c r="D89" s="29" t="n">
        <v>2041969329</v>
      </c>
      <c r="E89" s="7" t="inlineStr">
        <is>
          <t>Company</t>
        </is>
      </c>
      <c r="F89" s="33" t="inlineStr">
        <is>
          <t>Note 14-A, audited transition period 1-Jul-2025 to 31-Dec-2025</t>
        </is>
      </c>
    </row>
    <row r="90">
      <c r="A90" s="7" t="inlineStr">
        <is>
          <t>Gas oil</t>
        </is>
      </c>
      <c r="B90" s="7" t="inlineStr">
        <is>
          <t>tonnes</t>
        </is>
      </c>
      <c r="C90" s="32" t="n">
        <v>171684.881</v>
      </c>
      <c r="D90" s="29" t="n">
        <v>5121703599</v>
      </c>
      <c r="E90" s="7" t="inlineStr">
        <is>
          <t>Company</t>
        </is>
      </c>
      <c r="F90" s="33" t="inlineStr">
        <is>
          <t>Note 14-A, audited transition period 1-Jul-2025 to 31-Dec-2025</t>
        </is>
      </c>
    </row>
    <row r="91">
      <c r="A91" s="7" t="inlineStr">
        <is>
          <t>Naphtha</t>
        </is>
      </c>
      <c r="B91" s="7" t="inlineStr">
        <is>
          <t>tonnes</t>
        </is>
      </c>
      <c r="C91" s="32" t="n">
        <v>41430.857</v>
      </c>
      <c r="D91" s="29" t="n">
        <v>958746631</v>
      </c>
      <c r="E91" s="7" t="inlineStr">
        <is>
          <t>Company</t>
        </is>
      </c>
      <c r="F91" s="33" t="inlineStr">
        <is>
          <t>Note 14-A, audited transition period 1-Jul-2025 to 31-Dec-2025</t>
        </is>
      </c>
    </row>
    <row r="92">
      <c r="A92" s="7" t="inlineStr">
        <is>
          <t>Liquefied petroleum gas</t>
        </is>
      </c>
      <c r="B92" s="7" t="inlineStr">
        <is>
          <t>tonnes</t>
        </is>
      </c>
      <c r="C92" s="32" t="n">
        <v>23735.778</v>
      </c>
      <c r="D92" s="29" t="n">
        <v>816258520</v>
      </c>
      <c r="E92" s="7" t="inlineStr">
        <is>
          <t>Company</t>
        </is>
      </c>
      <c r="F92" s="33" t="inlineStr">
        <is>
          <t>Note 14-A, audited transition period 1-Jul-2025 to 31-Dec-2025</t>
        </is>
      </c>
    </row>
    <row r="93">
      <c r="A93" s="7" t="inlineStr">
        <is>
          <t>Fuel oil (mix)</t>
        </is>
      </c>
      <c r="B93" s="7" t="inlineStr">
        <is>
          <t>tonnes</t>
        </is>
      </c>
      <c r="C93" s="32" t="n">
        <v>460153.6</v>
      </c>
      <c r="D93" s="29" t="n">
        <v>8975569716</v>
      </c>
      <c r="E93" s="7" t="inlineStr">
        <is>
          <t>Company</t>
        </is>
      </c>
      <c r="F93" s="33" t="inlineStr">
        <is>
          <t>Note 14-A, audited transition period 1-Jul-2025 to 31-Dec-2025</t>
        </is>
      </c>
    </row>
    <row r="94">
      <c r="A94" s="7" t="inlineStr">
        <is>
          <t>Heavy fuel oil</t>
        </is>
      </c>
      <c r="B94" s="7" t="inlineStr">
        <is>
          <t>tonnes</t>
        </is>
      </c>
      <c r="C94" s="32" t="n">
        <v>14327.52</v>
      </c>
      <c r="D94" s="29" t="n">
        <v>224110353</v>
      </c>
      <c r="E94" s="7" t="inlineStr">
        <is>
          <t>Company</t>
        </is>
      </c>
      <c r="F94" s="33" t="inlineStr">
        <is>
          <t>Note 14-A, audited transition period 1-Jul-2025 to 31-Dec-2025</t>
        </is>
      </c>
    </row>
    <row r="95">
      <c r="A95" s="7" t="inlineStr">
        <is>
          <t>Waste</t>
        </is>
      </c>
      <c r="B95" s="7" t="inlineStr">
        <is>
          <t>tonnes</t>
        </is>
      </c>
      <c r="C95" s="32" t="n">
        <v>7.82</v>
      </c>
      <c r="D95" s="29" t="n">
        <v>87400</v>
      </c>
      <c r="E95" s="7" t="inlineStr">
        <is>
          <t>Company</t>
        </is>
      </c>
      <c r="F95" s="33" t="inlineStr">
        <is>
          <t>Note 14-A, audited transition period 1-Jul-2025 to 31-Dec-2025</t>
        </is>
      </c>
    </row>
    <row r="96">
      <c r="A96" s="18" t="inlineStr">
        <is>
          <t>TOTAL (must equal net sales for the period)</t>
        </is>
      </c>
      <c r="C96" s="34">
        <f>SUM(C88:C95)</f>
        <v/>
      </c>
      <c r="D96" s="35">
        <f>SUM(D88:D95)</f>
        <v/>
      </c>
    </row>
    <row r="97"/>
    <row r="98">
      <c r="A98" s="21" t="inlineStr">
        <is>
          <t>FORECAST DRIVERS — the only free operating parameters left</t>
        </is>
      </c>
      <c r="B98" s="22" t="n"/>
      <c r="C98" s="22" t="n"/>
      <c r="D98" s="22" t="n"/>
      <c r="E98" s="22" t="n"/>
      <c r="F98" s="22" t="n"/>
    </row>
    <row r="99">
      <c r="A99" s="14" t="inlineStr">
        <is>
          <t>Driver</t>
        </is>
      </c>
      <c r="B99" s="14" t="inlineStr">
        <is>
          <t>2026</t>
        </is>
      </c>
      <c r="C99" s="14" t="inlineStr">
        <is>
          <t>2027</t>
        </is>
      </c>
      <c r="D99" s="14" t="inlineStr">
        <is>
          <t>2028</t>
        </is>
      </c>
      <c r="E99" s="14" t="inlineStr">
        <is>
          <t>2029</t>
        </is>
      </c>
      <c r="F99" s="14" t="inlineStr">
        <is>
          <t>2030</t>
        </is>
      </c>
    </row>
    <row r="100">
      <c r="A100" s="7" t="inlineStr">
        <is>
          <t>Volume growth — Base and special oils</t>
        </is>
      </c>
      <c r="B100" s="36" t="n">
        <v>0.045</v>
      </c>
      <c r="C100" s="36" t="n">
        <v>0.04</v>
      </c>
      <c r="D100" s="36" t="n">
        <v>0.035</v>
      </c>
      <c r="E100" s="36" t="n">
        <v>0.03</v>
      </c>
      <c r="F100" s="36" t="n">
        <v>0.028</v>
      </c>
    </row>
    <row r="101">
      <c r="A101" s="7" t="inlineStr">
        <is>
          <t>Volume growth — Paraffin wax</t>
        </is>
      </c>
      <c r="B101" s="36" t="n">
        <v>0.07000000000000001</v>
      </c>
      <c r="C101" s="36" t="n">
        <v>0.055</v>
      </c>
      <c r="D101" s="36" t="n">
        <v>0.045</v>
      </c>
      <c r="E101" s="36" t="n">
        <v>0.038</v>
      </c>
      <c r="F101" s="36" t="n">
        <v>0.032</v>
      </c>
    </row>
    <row r="102">
      <c r="A102" s="7" t="inlineStr">
        <is>
          <t>Volume growth — Gas oil</t>
        </is>
      </c>
      <c r="B102" s="36" t="n">
        <v>0.02</v>
      </c>
      <c r="C102" s="36" t="n">
        <v>0.02</v>
      </c>
      <c r="D102" s="36" t="n">
        <v>0.018</v>
      </c>
      <c r="E102" s="36" t="n">
        <v>0.016</v>
      </c>
      <c r="F102" s="36" t="n">
        <v>0.015</v>
      </c>
    </row>
    <row r="103">
      <c r="A103" s="7" t="inlineStr">
        <is>
          <t>Volume growth — Naphtha</t>
        </is>
      </c>
      <c r="B103" s="36" t="n">
        <v>0.015</v>
      </c>
      <c r="C103" s="36" t="n">
        <v>0.018</v>
      </c>
      <c r="D103" s="36" t="n">
        <v>0.018</v>
      </c>
      <c r="E103" s="36" t="n">
        <v>0.016</v>
      </c>
      <c r="F103" s="36" t="n">
        <v>0.015</v>
      </c>
    </row>
    <row r="104">
      <c r="A104" s="7" t="inlineStr">
        <is>
          <t>Volume growth — Liquefied petroleum gas</t>
        </is>
      </c>
      <c r="B104" s="36" t="n">
        <v>0.025</v>
      </c>
      <c r="C104" s="36" t="n">
        <v>0.022</v>
      </c>
      <c r="D104" s="36" t="n">
        <v>0.02</v>
      </c>
      <c r="E104" s="36" t="n">
        <v>0.018</v>
      </c>
      <c r="F104" s="36" t="n">
        <v>0.016</v>
      </c>
    </row>
    <row r="105">
      <c r="A105" s="7" t="inlineStr">
        <is>
          <t>Volume growth — Fuel oil (mix)</t>
        </is>
      </c>
      <c r="B105" s="36" t="n">
        <v>0.03</v>
      </c>
      <c r="C105" s="36" t="n">
        <v>0.026</v>
      </c>
      <c r="D105" s="36" t="n">
        <v>0.022</v>
      </c>
      <c r="E105" s="36" t="n">
        <v>0.02</v>
      </c>
      <c r="F105" s="36" t="n">
        <v>0.018</v>
      </c>
    </row>
    <row r="106">
      <c r="A106" s="7" t="inlineStr">
        <is>
          <t>Volume growth — Heavy fuel oil</t>
        </is>
      </c>
      <c r="B106" s="36" t="n">
        <v>0.02</v>
      </c>
      <c r="C106" s="36" t="n">
        <v>0.018</v>
      </c>
      <c r="D106" s="36" t="n">
        <v>0.016</v>
      </c>
      <c r="E106" s="36" t="n">
        <v>0.015</v>
      </c>
      <c r="F106" s="36" t="n">
        <v>0.014</v>
      </c>
    </row>
    <row r="107">
      <c r="A107" s="7" t="inlineStr">
        <is>
          <t>Volume growth — Waste</t>
        </is>
      </c>
      <c r="B107" s="36" t="n">
        <v>0</v>
      </c>
      <c r="C107" s="36" t="n">
        <v>0</v>
      </c>
      <c r="D107" s="36" t="n">
        <v>0</v>
      </c>
      <c r="E107" s="36" t="n">
        <v>0</v>
      </c>
      <c r="F107" s="36" t="n">
        <v>0</v>
      </c>
    </row>
    <row r="108">
      <c r="A108" s="7" t="inlineStr">
        <is>
          <t>Realised price growth per tonne, all lines</t>
        </is>
      </c>
      <c r="B108" s="36" t="n">
        <v>0.09</v>
      </c>
      <c r="C108" s="36" t="n">
        <v>0.075</v>
      </c>
      <c r="D108" s="36" t="n">
        <v>0.065</v>
      </c>
      <c r="E108" s="36" t="n">
        <v>0.058</v>
      </c>
      <c r="F108" s="36" t="n">
        <v>0.052</v>
      </c>
    </row>
    <row r="109">
      <c r="A109" s="7" t="inlineStr">
        <is>
          <t>Egyptian inflation factor (pound-denominated costs)</t>
        </is>
      </c>
      <c r="B109" s="37" t="n">
        <v>1.145</v>
      </c>
      <c r="C109" s="37" t="n">
        <v>1.13</v>
      </c>
      <c r="D109" s="37" t="n">
        <v>1.115</v>
      </c>
      <c r="E109" s="37" t="n">
        <v>1.1</v>
      </c>
      <c r="F109" s="37" t="n">
        <v>1.095</v>
      </c>
    </row>
    <row r="110">
      <c r="A110" s="7" t="inlineStr">
        <is>
          <t>Cost of debt path</t>
        </is>
      </c>
      <c r="B110" s="36" t="n">
        <v>0.22</v>
      </c>
      <c r="C110" s="36" t="n">
        <v>0.195</v>
      </c>
      <c r="D110" s="36" t="n">
        <v>0.175</v>
      </c>
      <c r="E110" s="36" t="n">
        <v>0.16</v>
      </c>
      <c r="F110" s="36" t="n">
        <v>0.15</v>
      </c>
    </row>
    <row r="111">
      <c r="A111" s="7" t="inlineStr">
        <is>
          <t>Yield on cash path</t>
        </is>
      </c>
      <c r="B111" s="36" t="n">
        <v>0.17</v>
      </c>
      <c r="C111" s="36" t="n">
        <v>0.15</v>
      </c>
      <c r="D111" s="36" t="n">
        <v>0.135</v>
      </c>
      <c r="E111" s="36" t="n">
        <v>0.125</v>
      </c>
      <c r="F111" s="36" t="n">
        <v>0.118</v>
      </c>
    </row>
    <row r="112">
      <c r="A112" s="7" t="inlineStr">
        <is>
          <t>USD/EGP average rate path</t>
        </is>
      </c>
      <c r="B112" s="28" t="n">
        <v>50.9</v>
      </c>
      <c r="C112" s="28" t="n">
        <v>53.4</v>
      </c>
      <c r="D112" s="28" t="n">
        <v>55.8</v>
      </c>
      <c r="E112" s="28" t="n">
        <v>58</v>
      </c>
      <c r="F112" s="28" t="n">
        <v>60.1</v>
      </c>
    </row>
    <row r="113"/>
    <row r="114">
      <c r="A114" s="21" t="inlineStr">
        <is>
          <t>COST OF CAPITAL AND TERMINAL</t>
        </is>
      </c>
      <c r="B114" s="22" t="n"/>
      <c r="C114" s="22" t="n"/>
      <c r="D114" s="22" t="n"/>
      <c r="E114" s="22" t="n"/>
      <c r="F114" s="22" t="n"/>
    </row>
    <row r="115" ht="38" customHeight="1">
      <c r="A115" s="7" t="inlineStr">
        <is>
          <t>Raw-material pass-through factor</t>
        </is>
      </c>
      <c r="B115" s="7" t="inlineStr">
        <is>
          <t>x</t>
        </is>
      </c>
      <c r="C115" s="37" t="n">
        <v>1</v>
      </c>
      <c r="D115" s="7" t="inlineStr">
        <is>
          <t>2026-08-06</t>
        </is>
      </c>
      <c r="E115" s="7" t="inlineStr">
        <is>
          <t>House</t>
        </is>
      </c>
      <c r="F115" s="27"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6" ht="19" customHeight="1">
      <c r="A116" s="7" t="inlineStr">
        <is>
          <t>Risk-free rate — 10y EGP government bond</t>
        </is>
      </c>
      <c r="B116" s="7" t="inlineStr">
        <is>
          <t>x</t>
        </is>
      </c>
      <c r="C116" s="36" t="n">
        <v>0.2231</v>
      </c>
      <c r="D116" s="7" t="inlineStr">
        <is>
          <t>2026-07-21</t>
        </is>
      </c>
      <c r="E116" s="7" t="inlineStr">
        <is>
          <t>Country</t>
        </is>
      </c>
      <c r="F116" s="27" t="inlineStr">
        <is>
          <t>Egypt 10-year local-currency government bond yield, 22.31% (house cost-of-capital reference, cached 21-Jul-2026 print, re-verified 06-Aug-2026)</t>
        </is>
      </c>
    </row>
    <row r="117" ht="28.5" customHeight="1">
      <c r="A117" s="7" t="inlineStr">
        <is>
          <t>Sovereign default spread (CDS basis)</t>
        </is>
      </c>
      <c r="B117" s="7" t="inlineStr">
        <is>
          <t>x</t>
        </is>
      </c>
      <c r="C117" s="36" t="n">
        <v>0.034</v>
      </c>
      <c r="D117" s="7" t="inlineStr">
        <is>
          <t>2026-01-05</t>
        </is>
      </c>
      <c r="E117" s="7" t="inlineStr">
        <is>
          <t>Country</t>
        </is>
      </c>
      <c r="F117" s="27" t="inlineStr">
        <is>
          <t>Egypt credit-default-swap-implied sovereign default spread, Damodaran January-2026 country-premium file, CDS column. Netted out of the local-currency risk-free rate so sovereign default risk is not charged twice</t>
        </is>
      </c>
    </row>
    <row r="118" ht="19" customHeight="1">
      <c r="A118" s="7" t="inlineStr">
        <is>
          <t>Equity risk premium (CDS basis)</t>
        </is>
      </c>
      <c r="B118" s="7" t="inlineStr">
        <is>
          <t>x</t>
        </is>
      </c>
      <c r="C118" s="36" t="n">
        <v>0.0941</v>
      </c>
      <c r="D118" s="7" t="inlineStr">
        <is>
          <t>2026-01-05</t>
        </is>
      </c>
      <c r="E118" s="7" t="inlineStr">
        <is>
          <t>Country</t>
        </is>
      </c>
      <c r="F118" s="27" t="inlineStr">
        <is>
          <t>Damodaran original country-premium file, Egypt row, CDS column, last updated 5 January 2026 — total equity risk premium</t>
        </is>
      </c>
    </row>
    <row r="119" ht="19" customHeight="1">
      <c r="A119" s="7" t="inlineStr">
        <is>
          <t>Sovereign default spread (rating basis)</t>
        </is>
      </c>
      <c r="B119" s="7" t="inlineStr">
        <is>
          <t>x</t>
        </is>
      </c>
      <c r="C119" s="36" t="n">
        <v>0.06370000000000001</v>
      </c>
      <c r="D119" s="7" t="inlineStr">
        <is>
          <t>2026-01-05</t>
        </is>
      </c>
      <c r="E119" s="7" t="inlineStr">
        <is>
          <t>Country</t>
        </is>
      </c>
      <c r="F119" s="27" t="inlineStr">
        <is>
          <t>Damodaran adjusted default spread on the rating basis, January-2026 — the alternative construction, disclosed for the audit trail</t>
        </is>
      </c>
    </row>
    <row r="120" ht="14" customHeight="1">
      <c r="A120" s="7" t="inlineStr">
        <is>
          <t>Equity risk premium (rating basis)</t>
        </is>
      </c>
      <c r="B120" s="7" t="inlineStr">
        <is>
          <t>x</t>
        </is>
      </c>
      <c r="C120" s="36" t="n">
        <v>0.1394</v>
      </c>
      <c r="D120" s="7" t="inlineStr">
        <is>
          <t>2026-01-05</t>
        </is>
      </c>
      <c r="E120" s="7" t="inlineStr">
        <is>
          <t>Country</t>
        </is>
      </c>
      <c r="F120" s="27" t="inlineStr">
        <is>
          <t>Damodaran original country-premium file, Egypt row, rating basis, January-2026 — the alternative</t>
        </is>
      </c>
    </row>
    <row r="121" ht="38" customHeight="1">
      <c r="A121" s="7" t="inlineStr">
        <is>
          <t>Beta — own-stock regression</t>
        </is>
      </c>
      <c r="B121" s="7" t="inlineStr">
        <is>
          <t>x</t>
        </is>
      </c>
      <c r="C121" s="37" t="n">
        <v>0.9405</v>
      </c>
      <c r="D121" s="7" t="inlineStr">
        <is>
          <t>2026-08-06</t>
        </is>
      </c>
      <c r="E121" s="7" t="inlineStr">
        <is>
          <t>House</t>
        </is>
      </c>
      <c r="F121" s="27" t="inlineStr">
        <is>
          <t>Own-stock tier-1 regression: AMOC weekly log-returns against a 33-name equal-weight Egyptian Exchange composite built from the full covered library, five-year window. R-squared 0.312, n = 257, standard error 0.087, 90% confidence interval [0.797, 1.084]. Passes the usability gate comfortably and is NOT a weak instrument: the interval spans 0.29x the point estimate, well inside the 2x flag</t>
        </is>
      </c>
    </row>
    <row r="122" ht="38" customHeight="1">
      <c r="A122" s="7" t="inlineStr">
        <is>
          <t>Cost of debt</t>
        </is>
      </c>
      <c r="B122" s="7" t="inlineStr">
        <is>
          <t>x</t>
        </is>
      </c>
      <c r="C122" s="36" t="n">
        <v>0.22</v>
      </c>
      <c r="D122" s="7" t="inlineStr">
        <is>
          <t>2026-08-06</t>
        </is>
      </c>
      <c r="E122" s="7" t="inlineStr">
        <is>
          <t>House</t>
        </is>
      </c>
      <c r="F122" s="27" t="inlineStr">
        <is>
          <t>Marginal cost of debt. The gross book is EGP 25mn — 0.06% of revenue — of short-dated Egyptian-pound facilities, so the rate is taken at the corridor lending rate of 20.00% plus a 200bp corporate spread rather than pretended to be observable. The integrity gate below computes what this input is actually WORTH to the answer</t>
        </is>
      </c>
    </row>
    <row r="123" ht="19" customHeight="1">
      <c r="A123" s="7" t="inlineStr">
        <is>
          <t>Yield on cash</t>
        </is>
      </c>
      <c r="B123" s="7" t="inlineStr">
        <is>
          <t>x</t>
        </is>
      </c>
      <c r="C123" s="36" t="n">
        <v>0.17</v>
      </c>
      <c r="D123" s="7" t="inlineStr">
        <is>
          <t>2026-08-06</t>
        </is>
      </c>
      <c r="E123" s="7" t="inlineStr">
        <is>
          <t>House</t>
        </is>
      </c>
      <c r="F123" s="27" t="inlineStr">
        <is>
          <t>Yield earned on the cash pile. Egyptian treasury bills and corporate deposits price a few points under the 19.50% policy rate net of the 20% withholding on interest</t>
        </is>
      </c>
    </row>
    <row r="124" ht="28.5" customHeight="1">
      <c r="A124" s="7" t="inlineStr">
        <is>
          <t>Terminal risk-free rate</t>
        </is>
      </c>
      <c r="B124" s="7" t="inlineStr">
        <is>
          <t>x</t>
        </is>
      </c>
      <c r="C124" s="36" t="n">
        <v>0.105</v>
      </c>
      <c r="D124" s="7" t="inlineStr">
        <is>
          <t>2026-08-06</t>
        </is>
      </c>
      <c r="E124" s="7" t="inlineStr">
        <is>
          <t>House</t>
        </is>
      </c>
      <c r="F124" s="27" t="inlineStr">
        <is>
          <t>Terminal risk-free rate, norm-built: the central bank's own stated medium-term inflation target of 5% plus the standard ~5.5pp emerging-market real-rate convention. Never a raw historical average and never backed out of a price</t>
        </is>
      </c>
    </row>
    <row r="125" ht="19" customHeight="1">
      <c r="A125" s="7" t="inlineStr">
        <is>
          <t>Terminal equity risk premium</t>
        </is>
      </c>
      <c r="B125" s="7" t="inlineStr">
        <is>
          <t>x</t>
        </is>
      </c>
      <c r="C125" s="36" t="n">
        <v>0.07000000000000001</v>
      </c>
      <c r="D125" s="7" t="inlineStr">
        <is>
          <t>2026-08-06</t>
        </is>
      </c>
      <c r="E125" s="7" t="inlineStr">
        <is>
          <t>House</t>
        </is>
      </c>
      <c r="F125" s="27" t="inlineStr">
        <is>
          <t>Terminal equity risk premium, normalised below the currently elevated crisis-era level toward the rating-class norm; never held flat into perpetuity</t>
        </is>
      </c>
    </row>
    <row r="126" ht="19" customHeight="1">
      <c r="A126" s="7" t="inlineStr">
        <is>
          <t>Terminal cost of debt</t>
        </is>
      </c>
      <c r="B126" s="7" t="inlineStr">
        <is>
          <t>x</t>
        </is>
      </c>
      <c r="C126" s="36" t="n">
        <v>0.15</v>
      </c>
      <c r="D126" s="7" t="inlineStr">
        <is>
          <t>2026-08-06</t>
        </is>
      </c>
      <c r="E126" s="7" t="inlineStr">
        <is>
          <t>House</t>
        </is>
      </c>
      <c r="F126" s="27" t="inlineStr">
        <is>
          <t>Terminal cost of debt: the midpoint of the 14-16% long-run Egyptian corporate-borrowing norm, with no name-specific reason to deviate</t>
        </is>
      </c>
    </row>
    <row r="127" ht="28.5" customHeight="1">
      <c r="A127" s="7" t="inlineStr">
        <is>
          <t>Terminal debt weight</t>
        </is>
      </c>
      <c r="B127" s="7" t="inlineStr">
        <is>
          <t>%</t>
        </is>
      </c>
      <c r="C127" s="31" t="n">
        <v>0.1</v>
      </c>
      <c r="D127" s="7" t="inlineStr">
        <is>
          <t>2026-08-06</t>
        </is>
      </c>
      <c r="E127" s="7" t="inlineStr">
        <is>
          <t>House</t>
        </is>
      </c>
      <c r="F127" s="27"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28" ht="28.5" customHeight="1">
      <c r="A128" s="7" t="inlineStr">
        <is>
          <t>Terminal growth rate</t>
        </is>
      </c>
      <c r="B128" s="7" t="inlineStr">
        <is>
          <t>%</t>
        </is>
      </c>
      <c r="C128" s="31" t="n">
        <v>0.05</v>
      </c>
      <c r="D128" s="7" t="inlineStr">
        <is>
          <t>2026-08-06</t>
        </is>
      </c>
      <c r="E128" s="7" t="inlineStr">
        <is>
          <t>House</t>
        </is>
      </c>
      <c r="F128" s="27" t="inlineStr">
        <is>
          <t>Terminal growth, 5% — the standing centre for established names in this market once currency turbulence has passed, sensitised 3-7%. An EGP-nominal rate struck against an EGP-nominal terminal risk-free rate</t>
        </is>
      </c>
    </row>
    <row r="129" ht="19" customHeight="1">
      <c r="A129" s="7" t="inlineStr">
        <is>
          <t>Statutory corporate tax rate</t>
        </is>
      </c>
      <c r="B129" s="7" t="inlineStr">
        <is>
          <t>%</t>
        </is>
      </c>
      <c r="C129" s="31" t="n">
        <v>0.225</v>
      </c>
      <c r="D129" s="7" t="inlineStr">
        <is>
          <t>2026</t>
        </is>
      </c>
      <c r="E129" s="7" t="inlineStr">
        <is>
          <t>Country</t>
        </is>
      </c>
      <c r="F129" s="27" t="inlineStr">
        <is>
          <t>Egypt corporate income tax 22.5%. AMOC is a downstream processor and is taxed at the ordinary corporate rate, not the ~40.55% rate that applies to exploration and production concessions</t>
        </is>
      </c>
    </row>
    <row r="130" ht="14" customHeight="1">
      <c r="A130" s="7" t="inlineStr">
        <is>
          <t>Egyptian long-run nominal growth</t>
        </is>
      </c>
      <c r="B130" s="7" t="inlineStr">
        <is>
          <t>%</t>
        </is>
      </c>
      <c r="C130" s="31" t="n">
        <v>0.15</v>
      </c>
      <c r="D130" s="7" t="inlineStr">
        <is>
          <t>2026-08-06</t>
        </is>
      </c>
      <c r="E130" s="7" t="inlineStr">
        <is>
          <t>House</t>
        </is>
      </c>
      <c r="F130" s="27" t="inlineStr">
        <is>
          <t>Long-run Egyptian nominal growth used as the terminal ceiling for the domestic leg</t>
        </is>
      </c>
    </row>
    <row r="131" ht="38" customHeight="1">
      <c r="A131" s="7" t="inlineStr">
        <is>
          <t>Justified EV / EBITDA</t>
        </is>
      </c>
      <c r="B131" s="7" t="inlineStr">
        <is>
          <t>x</t>
        </is>
      </c>
      <c r="C131" s="38" t="n">
        <v>4.5</v>
      </c>
      <c r="D131" s="7" t="inlineStr">
        <is>
          <t>2026-08-06</t>
        </is>
      </c>
      <c r="E131" s="7" t="inlineStr">
        <is>
          <t>House</t>
        </is>
      </c>
      <c r="F131" s="27" t="inlineStr">
        <is>
          <t>Justified enterprise-value-to-EBITDA multiple on mid-cycle 2028E EBITDA. The company's own trailing multiple is around 4.6x on the constructed 2025 base. Group I base-oil refiners and independent lube processors trade 4-6x; 4.5x holds the name at its own trailing level rather than assuming a re-rating. Bear 3.5x / bull 6.0x</t>
        </is>
      </c>
    </row>
    <row r="132" ht="38" customHeight="1">
      <c r="A132" s="7" t="inlineStr">
        <is>
          <t>Justified price / earnings</t>
        </is>
      </c>
      <c r="B132" s="7" t="inlineStr">
        <is>
          <t>x</t>
        </is>
      </c>
      <c r="C132" s="38" t="n">
        <v>7.5</v>
      </c>
      <c r="D132" s="7" t="inlineStr">
        <is>
          <t>2026-08-06</t>
        </is>
      </c>
      <c r="E132" s="7" t="inlineStr">
        <is>
          <t>House</t>
        </is>
      </c>
      <c r="F132" s="27"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33" ht="19" customHeight="1">
      <c r="A133" s="7" t="inlineStr">
        <is>
          <t>Expert 1 justified price / earnings</t>
        </is>
      </c>
      <c r="B133" s="7" t="inlineStr">
        <is>
          <t>x</t>
        </is>
      </c>
      <c r="C133" s="38" t="n">
        <v>7</v>
      </c>
      <c r="D133" s="7" t="inlineStr">
        <is>
          <t>2026-08-06</t>
        </is>
      </c>
      <c r="E133" s="7" t="inlineStr">
        <is>
          <t>House</t>
        </is>
      </c>
      <c r="F133" s="27" t="inlineStr">
        <is>
          <t>Expert 1's justified price/earnings multiple. Struck below the main normalised lens deliberately: it is an independent opinion, not a re-run of the house view</t>
        </is>
      </c>
    </row>
    <row r="134" ht="28.5" customHeight="1">
      <c r="A134" s="7" t="inlineStr">
        <is>
          <t>Sustainable return on equity</t>
        </is>
      </c>
      <c r="B134" s="7" t="inlineStr">
        <is>
          <t>%</t>
        </is>
      </c>
      <c r="C134" s="31" t="n">
        <v>0.28</v>
      </c>
      <c r="D134" s="7" t="inlineStr">
        <is>
          <t>2026-08-06</t>
        </is>
      </c>
      <c r="E134" s="7" t="inlineStr">
        <is>
          <t>House</t>
        </is>
      </c>
      <c r="F134" s="27" t="inlineStr">
        <is>
          <t>Sustainable return on equity for the book lens. Trailing return on average parent equity is about 33%; the sustainable rate is struck below it because the reported figure is flattered by a heavily written-down asset base that will have to be renewed</t>
        </is>
      </c>
    </row>
    <row r="135"/>
    <row r="136">
      <c r="A136" s="21" t="inlineStr">
        <is>
          <t>LENS WEIGHTS</t>
        </is>
      </c>
      <c r="B136" s="22" t="n"/>
      <c r="C136" s="22" t="n"/>
      <c r="D136" s="22" t="n"/>
      <c r="E136" s="22" t="n"/>
      <c r="F136" s="22" t="n"/>
    </row>
    <row r="137">
      <c r="A137" s="7" t="inlineStr">
        <is>
          <t>Discounted cash flow</t>
        </is>
      </c>
      <c r="C137" s="31" t="n">
        <v>0.45</v>
      </c>
    </row>
    <row r="138">
      <c r="A138" s="7" t="inlineStr">
        <is>
          <t>Relative multiples</t>
        </is>
      </c>
      <c r="C138" s="31" t="n">
        <v>0.2</v>
      </c>
    </row>
    <row r="139">
      <c r="A139" s="7" t="inlineStr">
        <is>
          <t>Normalised earnings power</t>
        </is>
      </c>
      <c r="C139" s="31" t="n">
        <v>0.2</v>
      </c>
    </row>
    <row r="140">
      <c r="A140" s="7" t="inlineStr">
        <is>
          <t>Book value and sustainable return</t>
        </is>
      </c>
      <c r="C140" s="31" t="n">
        <v>0.15</v>
      </c>
    </row>
  </sheetData>
  <mergeCells count="1">
    <mergeCell ref="A2:F2"/>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H45"/>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Revenue and cost of sales, built off the audited notes</t>
        </is>
      </c>
    </row>
    <row r="2" ht="30" customHeight="1">
      <c r="A2" s="13" t="inlineStr">
        <is>
          <t>Note 14-A gives eight product lines with tonnes AND value. Note 15-A gives the cost stack in five components. Nothing on this sheet is reconstructed: the realisation per tonne is one disclosed number divided by another, and the cost composition is as filed.</t>
        </is>
      </c>
    </row>
    <row r="3">
      <c r="A3" s="2" t="n"/>
      <c r="B3" s="2" t="n"/>
      <c r="C3" s="2" t="n"/>
      <c r="D3" s="2" t="n"/>
      <c r="E3" s="2" t="n"/>
      <c r="F3" s="2" t="n"/>
      <c r="G3" s="2" t="n"/>
      <c r="H3" s="2" t="n"/>
    </row>
    <row r="4">
      <c r="A4" s="5" t="inlineStr">
        <is>
          <t>NOTE 14-A — AS FILED, 6 MONTHS TO 31-DEC-2025</t>
        </is>
      </c>
      <c r="B4" s="6" t="n"/>
      <c r="C4" s="6" t="n"/>
      <c r="D4" s="6" t="n"/>
      <c r="E4" s="6" t="n"/>
      <c r="F4" s="6" t="n"/>
      <c r="G4" s="6" t="n"/>
      <c r="H4" s="6" t="n"/>
    </row>
    <row r="5">
      <c r="A5" s="14" t="inlineStr">
        <is>
          <t>Product line</t>
        </is>
      </c>
      <c r="B5" s="14" t="inlineStr">
        <is>
          <t>Tonnes</t>
        </is>
      </c>
      <c r="C5" s="14" t="inlineStr">
        <is>
          <t>Value (EGP)</t>
        </is>
      </c>
      <c r="D5" s="14" t="inlineStr">
        <is>
          <t>EGP / tonne</t>
        </is>
      </c>
      <c r="E5" s="14" t="inlineStr">
        <is>
          <t>Share of tonnage</t>
        </is>
      </c>
      <c r="F5" s="14" t="inlineStr">
        <is>
          <t>Share of value</t>
        </is>
      </c>
    </row>
    <row r="6">
      <c r="A6" s="7" t="inlineStr">
        <is>
          <t>Base and special oils</t>
        </is>
      </c>
      <c r="B6" s="39">
        <f>Assumptions!$C$88</f>
        <v/>
      </c>
      <c r="C6" s="10">
        <f>Assumptions!$D$88</f>
        <v/>
      </c>
      <c r="D6" s="23">
        <f>C6/B6</f>
        <v/>
      </c>
      <c r="E6" s="25">
        <f>B6/B$14</f>
        <v/>
      </c>
      <c r="F6" s="25">
        <f>C6/C$14</f>
        <v/>
      </c>
    </row>
    <row r="7">
      <c r="A7" s="7" t="inlineStr">
        <is>
          <t>Paraffin wax</t>
        </is>
      </c>
      <c r="B7" s="39">
        <f>Assumptions!$C$89</f>
        <v/>
      </c>
      <c r="C7" s="10">
        <f>Assumptions!$D$89</f>
        <v/>
      </c>
      <c r="D7" s="23">
        <f>C7/B7</f>
        <v/>
      </c>
      <c r="E7" s="25">
        <f>B7/B$14</f>
        <v/>
      </c>
      <c r="F7" s="25">
        <f>C7/C$14</f>
        <v/>
      </c>
    </row>
    <row r="8">
      <c r="A8" s="7" t="inlineStr">
        <is>
          <t>Gas oil</t>
        </is>
      </c>
      <c r="B8" s="39">
        <f>Assumptions!$C$90</f>
        <v/>
      </c>
      <c r="C8" s="10">
        <f>Assumptions!$D$90</f>
        <v/>
      </c>
      <c r="D8" s="23">
        <f>C8/B8</f>
        <v/>
      </c>
      <c r="E8" s="25">
        <f>B8/B$14</f>
        <v/>
      </c>
      <c r="F8" s="25">
        <f>C8/C$14</f>
        <v/>
      </c>
    </row>
    <row r="9">
      <c r="A9" s="7" t="inlineStr">
        <is>
          <t>Naphtha</t>
        </is>
      </c>
      <c r="B9" s="39">
        <f>Assumptions!$C$91</f>
        <v/>
      </c>
      <c r="C9" s="10">
        <f>Assumptions!$D$91</f>
        <v/>
      </c>
      <c r="D9" s="23">
        <f>C9/B9</f>
        <v/>
      </c>
      <c r="E9" s="25">
        <f>B9/B$14</f>
        <v/>
      </c>
      <c r="F9" s="25">
        <f>C9/C$14</f>
        <v/>
      </c>
    </row>
    <row r="10">
      <c r="A10" s="7" t="inlineStr">
        <is>
          <t>Liquefied petroleum gas</t>
        </is>
      </c>
      <c r="B10" s="39">
        <f>Assumptions!$C$92</f>
        <v/>
      </c>
      <c r="C10" s="10">
        <f>Assumptions!$D$92</f>
        <v/>
      </c>
      <c r="D10" s="23">
        <f>C10/B10</f>
        <v/>
      </c>
      <c r="E10" s="25">
        <f>B10/B$14</f>
        <v/>
      </c>
      <c r="F10" s="25">
        <f>C10/C$14</f>
        <v/>
      </c>
    </row>
    <row r="11">
      <c r="A11" s="7" t="inlineStr">
        <is>
          <t>Fuel oil (mix)</t>
        </is>
      </c>
      <c r="B11" s="39">
        <f>Assumptions!$C$93</f>
        <v/>
      </c>
      <c r="C11" s="10">
        <f>Assumptions!$D$93</f>
        <v/>
      </c>
      <c r="D11" s="23">
        <f>C11/B11</f>
        <v/>
      </c>
      <c r="E11" s="25">
        <f>B11/B$14</f>
        <v/>
      </c>
      <c r="F11" s="25">
        <f>C11/C$14</f>
        <v/>
      </c>
    </row>
    <row r="12">
      <c r="A12" s="7" t="inlineStr">
        <is>
          <t>Heavy fuel oil</t>
        </is>
      </c>
      <c r="B12" s="39">
        <f>Assumptions!$C$94</f>
        <v/>
      </c>
      <c r="C12" s="10">
        <f>Assumptions!$D$94</f>
        <v/>
      </c>
      <c r="D12" s="23">
        <f>C12/B12</f>
        <v/>
      </c>
      <c r="E12" s="25">
        <f>B12/B$14</f>
        <v/>
      </c>
      <c r="F12" s="25">
        <f>C12/C$14</f>
        <v/>
      </c>
    </row>
    <row r="13">
      <c r="A13" s="7" t="inlineStr">
        <is>
          <t>Waste</t>
        </is>
      </c>
      <c r="B13" s="39">
        <f>Assumptions!$C$95</f>
        <v/>
      </c>
      <c r="C13" s="10">
        <f>Assumptions!$D$95</f>
        <v/>
      </c>
      <c r="D13" s="23">
        <f>C13/B13</f>
        <v/>
      </c>
      <c r="E13" s="25">
        <f>B13/B$14</f>
        <v/>
      </c>
      <c r="F13" s="25">
        <f>C13/C$14</f>
        <v/>
      </c>
    </row>
    <row r="14">
      <c r="A14" s="18" t="inlineStr">
        <is>
          <t>TOTAL</t>
        </is>
      </c>
      <c r="B14" s="34">
        <f>SUM(B6:B13)</f>
        <v/>
      </c>
      <c r="C14" s="35">
        <f>SUM(C6:C13)</f>
        <v/>
      </c>
      <c r="D14" s="35">
        <f>C14/B14</f>
        <v/>
      </c>
    </row>
    <row r="15">
      <c r="A15" s="18" t="inlineStr">
        <is>
          <t>Specialty slate (oils and wax)</t>
        </is>
      </c>
      <c r="E15" s="40">
        <f>E6+E7</f>
        <v/>
      </c>
      <c r="F15" s="40">
        <f>F6+F7</f>
        <v/>
      </c>
    </row>
    <row r="16"/>
    <row r="17" ht="60" customHeight="1">
      <c r="A17" s="41" t="inlineStr">
        <is>
          <t>Every realisation in column D is one disclosed number divided by another. The previous edition of this model used a THREE-line table obtained from a reviewer rather than from the filing, and had to reconstruct realisations through a crude parity and a solved crack multiple. None of that is needed: the note states tonnes and value for eight lines, and fuel oil (mix) alone is 57% of the tonnage, which the old three-line build had merged into a single slate with gas oil, naphtha and LPG.</t>
        </is>
      </c>
    </row>
    <row r="18"/>
    <row r="19">
      <c r="A19" s="5" t="inlineStr">
        <is>
          <t>NOTE 15-A — THE AUDITED COST STACK</t>
        </is>
      </c>
      <c r="B19" s="6" t="n"/>
      <c r="C19" s="6" t="n"/>
      <c r="D19" s="6" t="n"/>
      <c r="E19" s="6" t="n"/>
      <c r="F19" s="6" t="n"/>
      <c r="G19" s="6" t="n"/>
      <c r="H19" s="6" t="n"/>
    </row>
    <row r="20">
      <c r="A20" s="14" t="inlineStr">
        <is>
          <t>Component</t>
        </is>
      </c>
      <c r="B20" s="14" t="inlineStr">
        <is>
          <t>6M to Dec-2025</t>
        </is>
      </c>
      <c r="C20" s="14" t="inlineStr">
        <is>
          <t>6M to Dec-2024</t>
        </is>
      </c>
      <c r="D20" s="14" t="inlineStr">
        <is>
          <t>Share of cost of sales</t>
        </is>
      </c>
      <c r="E20" s="14" t="inlineStr">
        <is>
          <t>Share of net sales</t>
        </is>
      </c>
    </row>
    <row r="21">
      <c r="A21" s="7" t="inlineStr">
        <is>
          <t>Raw materials</t>
        </is>
      </c>
      <c r="B21" s="10">
        <f>Assumptions!$C$45</f>
        <v/>
      </c>
      <c r="C21" s="10">
        <f>Assumptions!$C$50</f>
        <v/>
      </c>
      <c r="D21" s="25">
        <f>B21/B$26</f>
        <v/>
      </c>
      <c r="E21" s="25">
        <f>B21/Assumptions!$C$10</f>
        <v/>
      </c>
    </row>
    <row r="22">
      <c r="A22" s="7" t="inlineStr">
        <is>
          <t>Salaries</t>
        </is>
      </c>
      <c r="B22" s="10">
        <f>Assumptions!$C$46</f>
        <v/>
      </c>
      <c r="C22" s="10">
        <f>Assumptions!$C$51</f>
        <v/>
      </c>
      <c r="D22" s="25">
        <f>B22/B$26</f>
        <v/>
      </c>
      <c r="E22" s="25">
        <f>B22/Assumptions!$C$10</f>
        <v/>
      </c>
    </row>
    <row r="23">
      <c r="A23" s="7" t="inlineStr">
        <is>
          <t>Other — natural gas, electricity, water, spares, EPROM contract</t>
        </is>
      </c>
      <c r="B23" s="10">
        <f>Assumptions!$C$47</f>
        <v/>
      </c>
      <c r="C23" s="10">
        <f>Assumptions!$C$52</f>
        <v/>
      </c>
      <c r="D23" s="25">
        <f>B23/B$26</f>
        <v/>
      </c>
      <c r="E23" s="25">
        <f>B23/Assumptions!$C$10</f>
        <v/>
      </c>
    </row>
    <row r="24">
      <c r="A24" s="7" t="inlineStr">
        <is>
          <t>Supporting materials (chemicals and additives)</t>
        </is>
      </c>
      <c r="B24" s="10">
        <f>Assumptions!$C$48</f>
        <v/>
      </c>
      <c r="C24" s="10">
        <f>Assumptions!$C$53</f>
        <v/>
      </c>
      <c r="D24" s="25">
        <f>B24/B$26</f>
        <v/>
      </c>
      <c r="E24" s="25">
        <f>B24/Assumptions!$C$10</f>
        <v/>
      </c>
    </row>
    <row r="25">
      <c r="A25" s="7" t="inlineStr">
        <is>
          <t>Depreciation</t>
        </is>
      </c>
      <c r="B25" s="10">
        <f>Assumptions!$C$49</f>
        <v/>
      </c>
      <c r="C25" s="10">
        <f>Assumptions!$C$54</f>
        <v/>
      </c>
      <c r="D25" s="25">
        <f>B25/B$26</f>
        <v/>
      </c>
      <c r="E25" s="25">
        <f>B25/Assumptions!$C$10</f>
        <v/>
      </c>
    </row>
    <row r="26">
      <c r="A26" s="18" t="inlineStr">
        <is>
          <t>COST OF SALES</t>
        </is>
      </c>
      <c r="B26" s="35">
        <f>SUM(B21:B25)</f>
        <v/>
      </c>
      <c r="C26" s="35">
        <f>SUM(C21:C25)</f>
        <v/>
      </c>
    </row>
    <row r="27">
      <c r="A27" s="7" t="inlineStr">
        <is>
          <t>Check: note 15-A foots to the filed cost of sales (must be zero)</t>
        </is>
      </c>
      <c r="B27" s="42">
        <f>B26-Assumptions!$C$11</f>
        <v/>
      </c>
      <c r="C27" s="42">
        <f>C26-Assumptions!$C$38</f>
        <v/>
      </c>
    </row>
    <row r="28">
      <c r="A28" s="18" t="inlineStr">
        <is>
          <t>GROSS PROFIT as filed</t>
        </is>
      </c>
      <c r="B28" s="35">
        <f>Assumptions!$C$10-B26</f>
        <v/>
      </c>
      <c r="C28" s="35">
        <f>Assumptions!$C$37-C26</f>
        <v/>
      </c>
    </row>
    <row r="29">
      <c r="A29" s="18" t="inlineStr">
        <is>
          <t>GROSS MARGIN as filed</t>
        </is>
      </c>
      <c r="B29" s="40">
        <f>B28/Assumptions!$C$10</f>
        <v/>
      </c>
      <c r="C29" s="40">
        <f>C28/Assumptions!$C$37</f>
        <v/>
      </c>
    </row>
    <row r="30"/>
    <row r="31" ht="60" customHeight="1">
      <c r="A31" s="41" t="inlineStr">
        <is>
          <t>Raw materials are 90.7% of cost of sales and 85.1% of net sales. That single line is what this company is: a pass-through processor whose value sits in the spread between what feedstock costs and what the slate fetches, and in the tonnage that spread is earned on. The previous edition BUILT this stack from house estimates of yields, energy intensity and a solved feedstock differential; it carried no salaries line inside cost of sales at all, and put chemicals at roughly five times the disclosed figure.</t>
        </is>
      </c>
    </row>
    <row r="32"/>
    <row r="33">
      <c r="A33" s="5" t="inlineStr">
        <is>
          <t>THE BASE YEAR — nine audited months, annualised</t>
        </is>
      </c>
      <c r="B33" s="6" t="n"/>
      <c r="C33" s="6" t="n"/>
      <c r="D33" s="6" t="n"/>
      <c r="E33" s="6" t="n"/>
      <c r="F33" s="6" t="n"/>
      <c r="G33" s="6" t="n"/>
      <c r="H33" s="6" t="n"/>
    </row>
    <row r="34">
      <c r="A34" s="14" t="inlineStr"/>
      <c r="B34" s="14" t="inlineStr">
        <is>
          <t>6M to Dec-2025</t>
        </is>
      </c>
      <c r="C34" s="14" t="inlineStr">
        <is>
          <t>3M to Mar-2026</t>
        </is>
      </c>
      <c r="D34" s="14" t="inlineStr">
        <is>
          <t>Nine months</t>
        </is>
      </c>
      <c r="E34" s="14" t="inlineStr">
        <is>
          <t>Annualised (x 4/3)</t>
        </is>
      </c>
    </row>
    <row r="35">
      <c r="A35" s="7" t="inlineStr">
        <is>
          <t>Net sales</t>
        </is>
      </c>
      <c r="B35" s="10">
        <f>Assumptions!$C$10</f>
        <v/>
      </c>
      <c r="C35" s="10">
        <f>Assumptions!$C$24</f>
        <v/>
      </c>
      <c r="D35" s="23">
        <f>B35+C35</f>
        <v/>
      </c>
      <c r="E35" s="35">
        <f>D35*4/3</f>
        <v/>
      </c>
    </row>
    <row r="36">
      <c r="A36" s="7" t="inlineStr">
        <is>
          <t>Cost of sales</t>
        </is>
      </c>
      <c r="B36" s="10">
        <f>Assumptions!$C$11</f>
        <v/>
      </c>
      <c r="C36" s="10">
        <f>Assumptions!$C$25</f>
        <v/>
      </c>
      <c r="D36" s="23">
        <f>B36+C36</f>
        <v/>
      </c>
      <c r="E36" s="23">
        <f>D36*4/3</f>
        <v/>
      </c>
    </row>
    <row r="37">
      <c r="A37" s="18" t="inlineStr">
        <is>
          <t>GROSS PROFIT</t>
        </is>
      </c>
      <c r="D37" s="35">
        <f>D35-D36</f>
        <v/>
      </c>
      <c r="E37" s="35">
        <f>E35-E36</f>
        <v/>
      </c>
    </row>
    <row r="38">
      <c r="A38" s="18" t="inlineStr">
        <is>
          <t>GROSS MARGIN — the base-year margin, as filed</t>
        </is>
      </c>
      <c r="D38" s="43">
        <f>D37/D35</f>
        <v/>
      </c>
    </row>
    <row r="39">
      <c r="A39" s="7" t="inlineStr">
        <is>
          <t>Operating expense (G&amp;A + marketing + other)</t>
        </is>
      </c>
      <c r="B39" s="23">
        <f>Assumptions!$C$12+Assumptions!$C$13+Assumptions!$C$14</f>
        <v/>
      </c>
      <c r="C39" s="23">
        <f>Assumptions!$C$26+Assumptions!$C$27+Assumptions!$C$28</f>
        <v/>
      </c>
      <c r="D39" s="23">
        <f>B39+C39</f>
        <v/>
      </c>
      <c r="E39" s="35">
        <f>D39*4/3</f>
        <v/>
      </c>
    </row>
    <row r="40">
      <c r="A40" s="7" t="inlineStr">
        <is>
          <t>Depreciation and right-of-use amortisation</t>
        </is>
      </c>
      <c r="B40" s="10">
        <f>Assumptions!$C$74</f>
        <v/>
      </c>
      <c r="C40" s="10">
        <f>Assumptions!$C$75</f>
        <v/>
      </c>
      <c r="D40" s="23">
        <f>B40+C40</f>
        <v/>
      </c>
      <c r="E40" s="35">
        <f>D40*4/3</f>
        <v/>
      </c>
    </row>
    <row r="41">
      <c r="A41" s="7" t="inlineStr">
        <is>
          <t>CASH capital expenditure</t>
        </is>
      </c>
      <c r="B41" s="10">
        <f>Assumptions!$C$76</f>
        <v/>
      </c>
      <c r="C41" s="10">
        <f>Assumptions!$C$77</f>
        <v/>
      </c>
      <c r="D41" s="23">
        <f>B41+C41</f>
        <v/>
      </c>
      <c r="E41" s="35">
        <f>D41*4/3</f>
        <v/>
      </c>
    </row>
    <row r="42">
      <c r="A42" s="18" t="inlineStr">
        <is>
          <t>Capital expenditure as a multiple of depreciation</t>
        </is>
      </c>
      <c r="E42" s="44">
        <f>E41/E40</f>
        <v/>
      </c>
    </row>
    <row r="43">
      <c r="A43" s="7" t="inlineStr">
        <is>
          <t>Effective tax rate (both filed periods)</t>
        </is>
      </c>
      <c r="E43" s="40">
        <f>(Assumptions!$C$19-Assumptions!$C$20+Assumptions!$C$33-Assumptions!$C$34)/(Assumptions!$C$21+Assumptions!$C$35+Assumptions!$C$19-Assumptions!$C$20+Assumptions!$C$33-Assumptions!$C$34)</f>
        <v/>
      </c>
    </row>
    <row r="44"/>
    <row r="45" ht="72" customHeight="1">
      <c r="A45" s="41" t="inlineStr">
        <is>
          <t>There is no clean audited twelve-month period: the year-end moved from 30 June to 31 December and the April-to-June 2025 quarter is not separately filed. The base year is therefore the nine CONTIGUOUS audited months, annualised by four thirds. That scaling is the only step between the filings and the base year and it is on the face of this sheet. Note the capital-expenditure multiple: cash capex is running BELOW the depreciation charge, so the plant is being run rather than renewed. That single number does more to the valuation than any assumption in it.</t>
        </is>
      </c>
    </row>
  </sheetData>
  <mergeCells count="4">
    <mergeCell ref="A45:H45"/>
    <mergeCell ref="A31:H31"/>
    <mergeCell ref="A2:H2"/>
    <mergeCell ref="A17:H17"/>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G41"/>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forecast — volume by audited line, cost by audited composition</t>
        </is>
      </c>
    </row>
    <row r="2" ht="30" customHeight="1">
      <c r="A2" s="13" t="inlineStr">
        <is>
          <t>The only free operating parameters are volume growth per line and the growth in the realised price per tonne. The cost stack keeps its filed composition: raw materials and supporting materials are pass-through; salaries and the other line are pound-denominated and inflate; depreciation is the asset-register charge.</t>
        </is>
      </c>
    </row>
    <row r="3">
      <c r="A3" s="2" t="n"/>
      <c r="B3" s="2" t="n"/>
      <c r="C3" s="2" t="n"/>
      <c r="D3" s="2" t="n"/>
      <c r="E3" s="2" t="n"/>
      <c r="F3" s="2" t="n"/>
      <c r="G3" s="2" t="n"/>
    </row>
    <row r="4">
      <c r="A4" s="5" t="inlineStr">
        <is>
          <t>VOLUME BY LINE (tonnes, annualised)</t>
        </is>
      </c>
      <c r="B4" s="6" t="n"/>
      <c r="C4" s="6" t="n"/>
      <c r="D4" s="6" t="n"/>
      <c r="E4" s="6" t="n"/>
      <c r="F4" s="6" t="n"/>
      <c r="G4" s="6" t="n"/>
    </row>
    <row r="5">
      <c r="A5" s="14" t="inlineStr"/>
      <c r="B5" s="14" t="inlineStr">
        <is>
          <t>2026</t>
        </is>
      </c>
      <c r="C5" s="14" t="inlineStr">
        <is>
          <t>2027</t>
        </is>
      </c>
      <c r="D5" s="14" t="inlineStr">
        <is>
          <t>2028</t>
        </is>
      </c>
      <c r="E5" s="14" t="inlineStr">
        <is>
          <t>2029</t>
        </is>
      </c>
      <c r="F5" s="14" t="inlineStr">
        <is>
          <t>2030</t>
        </is>
      </c>
    </row>
    <row r="6">
      <c r="A6" s="7" t="inlineStr">
        <is>
          <t>Base and special oils</t>
        </is>
      </c>
      <c r="B6" s="23">
        <f>'Product and Cost'!B6*2*(1+Assumptions!$B$100)</f>
        <v/>
      </c>
      <c r="C6" s="23">
        <f>B6*(1+Assumptions!$C$100)</f>
        <v/>
      </c>
      <c r="D6" s="23">
        <f>C6*(1+Assumptions!$D$100)</f>
        <v/>
      </c>
      <c r="E6" s="23">
        <f>D6*(1+Assumptions!$E$100)</f>
        <v/>
      </c>
      <c r="F6" s="23">
        <f>E6*(1+Assumptions!$F$100)</f>
        <v/>
      </c>
    </row>
    <row r="7">
      <c r="A7" s="7" t="inlineStr">
        <is>
          <t>Paraffin wax</t>
        </is>
      </c>
      <c r="B7" s="23">
        <f>'Product and Cost'!B7*2*(1+Assumptions!$B$101)</f>
        <v/>
      </c>
      <c r="C7" s="23">
        <f>B7*(1+Assumptions!$C$101)</f>
        <v/>
      </c>
      <c r="D7" s="23">
        <f>C7*(1+Assumptions!$D$101)</f>
        <v/>
      </c>
      <c r="E7" s="23">
        <f>D7*(1+Assumptions!$E$101)</f>
        <v/>
      </c>
      <c r="F7" s="23">
        <f>E7*(1+Assumptions!$F$101)</f>
        <v/>
      </c>
    </row>
    <row r="8">
      <c r="A8" s="7" t="inlineStr">
        <is>
          <t>Gas oil</t>
        </is>
      </c>
      <c r="B8" s="23">
        <f>'Product and Cost'!B8*2*(1+Assumptions!$B$102)</f>
        <v/>
      </c>
      <c r="C8" s="23">
        <f>B8*(1+Assumptions!$C$102)</f>
        <v/>
      </c>
      <c r="D8" s="23">
        <f>C8*(1+Assumptions!$D$102)</f>
        <v/>
      </c>
      <c r="E8" s="23">
        <f>D8*(1+Assumptions!$E$102)</f>
        <v/>
      </c>
      <c r="F8" s="23">
        <f>E8*(1+Assumptions!$F$102)</f>
        <v/>
      </c>
    </row>
    <row r="9">
      <c r="A9" s="7" t="inlineStr">
        <is>
          <t>Naphtha</t>
        </is>
      </c>
      <c r="B9" s="23">
        <f>'Product and Cost'!B9*2*(1+Assumptions!$B$103)</f>
        <v/>
      </c>
      <c r="C9" s="23">
        <f>B9*(1+Assumptions!$C$103)</f>
        <v/>
      </c>
      <c r="D9" s="23">
        <f>C9*(1+Assumptions!$D$103)</f>
        <v/>
      </c>
      <c r="E9" s="23">
        <f>D9*(1+Assumptions!$E$103)</f>
        <v/>
      </c>
      <c r="F9" s="23">
        <f>E9*(1+Assumptions!$F$103)</f>
        <v/>
      </c>
    </row>
    <row r="10">
      <c r="A10" s="7" t="inlineStr">
        <is>
          <t>Liquefied petroleum gas</t>
        </is>
      </c>
      <c r="B10" s="23">
        <f>'Product and Cost'!B10*2*(1+Assumptions!$B$104)</f>
        <v/>
      </c>
      <c r="C10" s="23">
        <f>B10*(1+Assumptions!$C$104)</f>
        <v/>
      </c>
      <c r="D10" s="23">
        <f>C10*(1+Assumptions!$D$104)</f>
        <v/>
      </c>
      <c r="E10" s="23">
        <f>D10*(1+Assumptions!$E$104)</f>
        <v/>
      </c>
      <c r="F10" s="23">
        <f>E10*(1+Assumptions!$F$104)</f>
        <v/>
      </c>
    </row>
    <row r="11">
      <c r="A11" s="7" t="inlineStr">
        <is>
          <t>Fuel oil (mix)</t>
        </is>
      </c>
      <c r="B11" s="23">
        <f>'Product and Cost'!B11*2*(1+Assumptions!$B$105)</f>
        <v/>
      </c>
      <c r="C11" s="23">
        <f>B11*(1+Assumptions!$C$105)</f>
        <v/>
      </c>
      <c r="D11" s="23">
        <f>C11*(1+Assumptions!$D$105)</f>
        <v/>
      </c>
      <c r="E11" s="23">
        <f>D11*(1+Assumptions!$E$105)</f>
        <v/>
      </c>
      <c r="F11" s="23">
        <f>E11*(1+Assumptions!$F$105)</f>
        <v/>
      </c>
    </row>
    <row r="12">
      <c r="A12" s="7" t="inlineStr">
        <is>
          <t>Heavy fuel oil</t>
        </is>
      </c>
      <c r="B12" s="23">
        <f>'Product and Cost'!B12*2*(1+Assumptions!$B$106)</f>
        <v/>
      </c>
      <c r="C12" s="23">
        <f>B12*(1+Assumptions!$C$106)</f>
        <v/>
      </c>
      <c r="D12" s="23">
        <f>C12*(1+Assumptions!$D$106)</f>
        <v/>
      </c>
      <c r="E12" s="23">
        <f>D12*(1+Assumptions!$E$106)</f>
        <v/>
      </c>
      <c r="F12" s="23">
        <f>E12*(1+Assumptions!$F$106)</f>
        <v/>
      </c>
    </row>
    <row r="13">
      <c r="A13" s="7" t="inlineStr">
        <is>
          <t>Waste</t>
        </is>
      </c>
      <c r="B13" s="23">
        <f>'Product and Cost'!B13*2*(1+Assumptions!$B$107)</f>
        <v/>
      </c>
      <c r="C13" s="23">
        <f>B13*(1+Assumptions!$C$107)</f>
        <v/>
      </c>
      <c r="D13" s="23">
        <f>C13*(1+Assumptions!$D$107)</f>
        <v/>
      </c>
      <c r="E13" s="23">
        <f>D13*(1+Assumptions!$E$107)</f>
        <v/>
      </c>
      <c r="F13" s="23">
        <f>E13*(1+Assumptions!$F$107)</f>
        <v/>
      </c>
    </row>
    <row r="14">
      <c r="A14" s="18" t="inlineStr">
        <is>
          <t>TOTAL TONNES</t>
        </is>
      </c>
      <c r="B14" s="35">
        <f>B6+B7+B8+B9+B10+B11+B12+B13</f>
        <v/>
      </c>
      <c r="C14" s="35">
        <f>C6+C7+C8+C9+C10+C11+C12+C13</f>
        <v/>
      </c>
      <c r="D14" s="35">
        <f>D6+D7+D8+D9+D10+D11+D12+D13</f>
        <v/>
      </c>
      <c r="E14" s="35">
        <f>E6+E7+E8+E9+E10+E11+E12+E13</f>
        <v/>
      </c>
      <c r="F14" s="35">
        <f>F6+F7+F8+F9+F10+F11+F12+F13</f>
        <v/>
      </c>
    </row>
    <row r="15">
      <c r="A15" s="7" t="inlineStr">
        <is>
          <t>Realised price index (base year = 1.00)</t>
        </is>
      </c>
      <c r="B15" s="45">
        <f>(1+Assumptions!$B$108)</f>
        <v/>
      </c>
      <c r="C15" s="45">
        <f>B15*(1+Assumptions!$C$108)</f>
        <v/>
      </c>
      <c r="D15" s="45">
        <f>C15*(1+Assumptions!$D$108)</f>
        <v/>
      </c>
      <c r="E15" s="45">
        <f>D15*(1+Assumptions!$E$108)</f>
        <v/>
      </c>
      <c r="F15" s="45">
        <f>E15*(1+Assumptions!$F$108)</f>
        <v/>
      </c>
    </row>
    <row r="16">
      <c r="A16" s="5" t="inlineStr">
        <is>
          <t>REVENUE BY LINE (EGP)</t>
        </is>
      </c>
      <c r="B16" s="6" t="n"/>
      <c r="C16" s="6" t="n"/>
      <c r="D16" s="6" t="n"/>
      <c r="E16" s="6" t="n"/>
      <c r="F16" s="6" t="n"/>
      <c r="G16" s="6" t="n"/>
    </row>
    <row r="17">
      <c r="A17" s="7" t="inlineStr">
        <is>
          <t>Base and special oils</t>
        </is>
      </c>
      <c r="B17" s="23">
        <f>B6*'Product and Cost'!$D$6*B$15</f>
        <v/>
      </c>
      <c r="C17" s="23">
        <f>C6*'Product and Cost'!$D$6*C$15</f>
        <v/>
      </c>
      <c r="D17" s="23">
        <f>D6*'Product and Cost'!$D$6*D$15</f>
        <v/>
      </c>
      <c r="E17" s="23">
        <f>E6*'Product and Cost'!$D$6*E$15</f>
        <v/>
      </c>
      <c r="F17" s="23">
        <f>F6*'Product and Cost'!$D$6*F$15</f>
        <v/>
      </c>
    </row>
    <row r="18">
      <c r="A18" s="7" t="inlineStr">
        <is>
          <t>Paraffin wax</t>
        </is>
      </c>
      <c r="B18" s="23">
        <f>B7*'Product and Cost'!$D$7*B$15</f>
        <v/>
      </c>
      <c r="C18" s="23">
        <f>C7*'Product and Cost'!$D$7*C$15</f>
        <v/>
      </c>
      <c r="D18" s="23">
        <f>D7*'Product and Cost'!$D$7*D$15</f>
        <v/>
      </c>
      <c r="E18" s="23">
        <f>E7*'Product and Cost'!$D$7*E$15</f>
        <v/>
      </c>
      <c r="F18" s="23">
        <f>F7*'Product and Cost'!$D$7*F$15</f>
        <v/>
      </c>
    </row>
    <row r="19">
      <c r="A19" s="7" t="inlineStr">
        <is>
          <t>Gas oil</t>
        </is>
      </c>
      <c r="B19" s="23">
        <f>B8*'Product and Cost'!$D$8*B$15</f>
        <v/>
      </c>
      <c r="C19" s="23">
        <f>C8*'Product and Cost'!$D$8*C$15</f>
        <v/>
      </c>
      <c r="D19" s="23">
        <f>D8*'Product and Cost'!$D$8*D$15</f>
        <v/>
      </c>
      <c r="E19" s="23">
        <f>E8*'Product and Cost'!$D$8*E$15</f>
        <v/>
      </c>
      <c r="F19" s="23">
        <f>F8*'Product and Cost'!$D$8*F$15</f>
        <v/>
      </c>
    </row>
    <row r="20">
      <c r="A20" s="7" t="inlineStr">
        <is>
          <t>Naphtha</t>
        </is>
      </c>
      <c r="B20" s="23">
        <f>B9*'Product and Cost'!$D$9*B$15</f>
        <v/>
      </c>
      <c r="C20" s="23">
        <f>C9*'Product and Cost'!$D$9*C$15</f>
        <v/>
      </c>
      <c r="D20" s="23">
        <f>D9*'Product and Cost'!$D$9*D$15</f>
        <v/>
      </c>
      <c r="E20" s="23">
        <f>E9*'Product and Cost'!$D$9*E$15</f>
        <v/>
      </c>
      <c r="F20" s="23">
        <f>F9*'Product and Cost'!$D$9*F$15</f>
        <v/>
      </c>
    </row>
    <row r="21">
      <c r="A21" s="7" t="inlineStr">
        <is>
          <t>Liquefied petroleum gas</t>
        </is>
      </c>
      <c r="B21" s="23">
        <f>B10*'Product and Cost'!$D$10*B$15</f>
        <v/>
      </c>
      <c r="C21" s="23">
        <f>C10*'Product and Cost'!$D$10*C$15</f>
        <v/>
      </c>
      <c r="D21" s="23">
        <f>D10*'Product and Cost'!$D$10*D$15</f>
        <v/>
      </c>
      <c r="E21" s="23">
        <f>E10*'Product and Cost'!$D$10*E$15</f>
        <v/>
      </c>
      <c r="F21" s="23">
        <f>F10*'Product and Cost'!$D$10*F$15</f>
        <v/>
      </c>
    </row>
    <row r="22">
      <c r="A22" s="7" t="inlineStr">
        <is>
          <t>Fuel oil (mix)</t>
        </is>
      </c>
      <c r="B22" s="23">
        <f>B11*'Product and Cost'!$D$11*B$15</f>
        <v/>
      </c>
      <c r="C22" s="23">
        <f>C11*'Product and Cost'!$D$11*C$15</f>
        <v/>
      </c>
      <c r="D22" s="23">
        <f>D11*'Product and Cost'!$D$11*D$15</f>
        <v/>
      </c>
      <c r="E22" s="23">
        <f>E11*'Product and Cost'!$D$11*E$15</f>
        <v/>
      </c>
      <c r="F22" s="23">
        <f>F11*'Product and Cost'!$D$11*F$15</f>
        <v/>
      </c>
    </row>
    <row r="23">
      <c r="A23" s="7" t="inlineStr">
        <is>
          <t>Heavy fuel oil</t>
        </is>
      </c>
      <c r="B23" s="23">
        <f>B12*'Product and Cost'!$D$12*B$15</f>
        <v/>
      </c>
      <c r="C23" s="23">
        <f>C12*'Product and Cost'!$D$12*C$15</f>
        <v/>
      </c>
      <c r="D23" s="23">
        <f>D12*'Product and Cost'!$D$12*D$15</f>
        <v/>
      </c>
      <c r="E23" s="23">
        <f>E12*'Product and Cost'!$D$12*E$15</f>
        <v/>
      </c>
      <c r="F23" s="23">
        <f>F12*'Product and Cost'!$D$12*F$15</f>
        <v/>
      </c>
    </row>
    <row r="24">
      <c r="A24" s="7" t="inlineStr">
        <is>
          <t>Waste</t>
        </is>
      </c>
      <c r="B24" s="23">
        <f>B13*'Product and Cost'!$D$13*B$15</f>
        <v/>
      </c>
      <c r="C24" s="23">
        <f>C13*'Product and Cost'!$D$13*C$15</f>
        <v/>
      </c>
      <c r="D24" s="23">
        <f>D13*'Product and Cost'!$D$13*D$15</f>
        <v/>
      </c>
      <c r="E24" s="23">
        <f>E13*'Product and Cost'!$D$13*E$15</f>
        <v/>
      </c>
      <c r="F24" s="23">
        <f>F13*'Product and Cost'!$D$13*F$15</f>
        <v/>
      </c>
    </row>
    <row r="25">
      <c r="A25" s="18" t="inlineStr">
        <is>
          <t>TOTAL REVENUE</t>
        </is>
      </c>
      <c r="B25" s="35">
        <f>B17+B18+B19+B20+B21+B22+B23+B24</f>
        <v/>
      </c>
      <c r="C25" s="35">
        <f>C17+C18+C19+C20+C21+C22+C23+C24</f>
        <v/>
      </c>
      <c r="D25" s="35">
        <f>D17+D18+D19+D20+D21+D22+D23+D24</f>
        <v/>
      </c>
      <c r="E25" s="35">
        <f>E17+E18+E19+E20+E21+E22+E23+E24</f>
        <v/>
      </c>
      <c r="F25" s="35">
        <f>F17+F18+F19+F20+F21+F22+F23+F24</f>
        <v/>
      </c>
    </row>
    <row r="26">
      <c r="A26" s="7" t="inlineStr">
        <is>
          <t>Specialty share of revenue</t>
        </is>
      </c>
      <c r="B26" s="25">
        <f>(B17+B18)/B25</f>
        <v/>
      </c>
      <c r="C26" s="25">
        <f>(C17+C18)/C25</f>
        <v/>
      </c>
      <c r="D26" s="25">
        <f>(D17+D18)/D25</f>
        <v/>
      </c>
      <c r="E26" s="25">
        <f>(E17+E18)/E25</f>
        <v/>
      </c>
      <c r="F26" s="25">
        <f>(F17+F18)/F25</f>
        <v/>
      </c>
    </row>
    <row r="27">
      <c r="A27" s="7" t="inlineStr">
        <is>
          <t>Volume index vs base year</t>
        </is>
      </c>
      <c r="B27" s="45">
        <f>B14/('Product and Cost'!B$14*2)</f>
        <v/>
      </c>
      <c r="C27" s="45">
        <f>C14/('Product and Cost'!B$14*2)</f>
        <v/>
      </c>
      <c r="D27" s="45">
        <f>D14/('Product and Cost'!B$14*2)</f>
        <v/>
      </c>
      <c r="E27" s="45">
        <f>E14/('Product and Cost'!B$14*2)</f>
        <v/>
      </c>
      <c r="F27" s="45">
        <f>F14/('Product and Cost'!B$14*2)</f>
        <v/>
      </c>
    </row>
    <row r="28">
      <c r="A28" s="7" t="inlineStr">
        <is>
          <t>Inflation index (pound-denominated costs)</t>
        </is>
      </c>
      <c r="B28" s="45">
        <f>Assumptions!$B$109</f>
        <v/>
      </c>
      <c r="C28" s="45">
        <f>B28*Assumptions!$C$109</f>
        <v/>
      </c>
      <c r="D28" s="45">
        <f>C28*Assumptions!$D$109</f>
        <v/>
      </c>
      <c r="E28" s="45">
        <f>D28*Assumptions!$E$109</f>
        <v/>
      </c>
      <c r="F28" s="45">
        <f>E28*Assumptions!$F$109</f>
        <v/>
      </c>
    </row>
    <row r="29">
      <c r="A29" s="5" t="inlineStr">
        <is>
          <t>COST OF SALES — the audited composition, rolled forward</t>
        </is>
      </c>
      <c r="B29" s="6" t="n"/>
      <c r="C29" s="6" t="n"/>
      <c r="D29" s="6" t="n"/>
      <c r="E29" s="6" t="n"/>
      <c r="F29" s="6" t="n"/>
      <c r="G29" s="6" t="n"/>
    </row>
    <row r="30">
      <c r="A30" s="7" t="inlineStr">
        <is>
          <t>Raw materials (pass-through: volume x price)</t>
        </is>
      </c>
      <c r="B30" s="23">
        <f>(('Product and Cost'!D$35-'Product and Cost'!D$37)*4/3)*'Product and Cost'!D$21*B27*B15*Assumptions!$C$115</f>
        <v/>
      </c>
      <c r="C30" s="23">
        <f>(('Product and Cost'!D$35-'Product and Cost'!D$37)*4/3)*'Product and Cost'!D$21*C27*C15*Assumptions!$C$115</f>
        <v/>
      </c>
      <c r="D30" s="23">
        <f>(('Product and Cost'!D$35-'Product and Cost'!D$37)*4/3)*'Product and Cost'!D$21*D27*D15*Assumptions!$C$115</f>
        <v/>
      </c>
      <c r="E30" s="23">
        <f>(('Product and Cost'!D$35-'Product and Cost'!D$37)*4/3)*'Product and Cost'!D$21*E27*E15*Assumptions!$C$115</f>
        <v/>
      </c>
      <c r="F30" s="23">
        <f>(('Product and Cost'!D$35-'Product and Cost'!D$37)*4/3)*'Product and Cost'!D$21*F27*F15*Assumptions!$C$115</f>
        <v/>
      </c>
    </row>
    <row r="31">
      <c r="A31" s="7" t="inlineStr">
        <is>
          <t>Supporting materials (pass-through)</t>
        </is>
      </c>
      <c r="B31" s="23">
        <f>(('Product and Cost'!D$35-'Product and Cost'!D$37)*4/3)*'Product and Cost'!D$24*B27*B15</f>
        <v/>
      </c>
      <c r="C31" s="23">
        <f>(('Product and Cost'!D$35-'Product and Cost'!D$37)*4/3)*'Product and Cost'!D$24*C27*C15</f>
        <v/>
      </c>
      <c r="D31" s="23">
        <f>(('Product and Cost'!D$35-'Product and Cost'!D$37)*4/3)*'Product and Cost'!D$24*D27*D15</f>
        <v/>
      </c>
      <c r="E31" s="23">
        <f>(('Product and Cost'!D$35-'Product and Cost'!D$37)*4/3)*'Product and Cost'!D$24*E27*E15</f>
        <v/>
      </c>
      <c r="F31" s="23">
        <f>(('Product and Cost'!D$35-'Product and Cost'!D$37)*4/3)*'Product and Cost'!D$24*F27*F15</f>
        <v/>
      </c>
    </row>
    <row r="32">
      <c r="A32" s="7" t="inlineStr">
        <is>
          <t>Salaries (pound-denominated: inflates)</t>
        </is>
      </c>
      <c r="B32" s="23">
        <f>(('Product and Cost'!D$35-'Product and Cost'!D$37)*4/3)*'Product and Cost'!D$22*B28</f>
        <v/>
      </c>
      <c r="C32" s="23">
        <f>(('Product and Cost'!D$35-'Product and Cost'!D$37)*4/3)*'Product and Cost'!D$22*C28</f>
        <v/>
      </c>
      <c r="D32" s="23">
        <f>(('Product and Cost'!D$35-'Product and Cost'!D$37)*4/3)*'Product and Cost'!D$22*D28</f>
        <v/>
      </c>
      <c r="E32" s="23">
        <f>(('Product and Cost'!D$35-'Product and Cost'!D$37)*4/3)*'Product and Cost'!D$22*E28</f>
        <v/>
      </c>
      <c r="F32" s="23">
        <f>(('Product and Cost'!D$35-'Product and Cost'!D$37)*4/3)*'Product and Cost'!D$22*F28</f>
        <v/>
      </c>
    </row>
    <row r="33">
      <c r="A33" s="7" t="inlineStr">
        <is>
          <t>Other — gas, power, water, spares, EPROM (inflates)</t>
        </is>
      </c>
      <c r="B33" s="23">
        <f>(('Product and Cost'!D$35-'Product and Cost'!D$37)*4/3)*'Product and Cost'!D$23*B28</f>
        <v/>
      </c>
      <c r="C33" s="23">
        <f>(('Product and Cost'!D$35-'Product and Cost'!D$37)*4/3)*'Product and Cost'!D$23*C28</f>
        <v/>
      </c>
      <c r="D33" s="23">
        <f>(('Product and Cost'!D$35-'Product and Cost'!D$37)*4/3)*'Product and Cost'!D$23*D28</f>
        <v/>
      </c>
      <c r="E33" s="23">
        <f>(('Product and Cost'!D$35-'Product and Cost'!D$37)*4/3)*'Product and Cost'!D$23*E28</f>
        <v/>
      </c>
      <c r="F33" s="23">
        <f>(('Product and Cost'!D$35-'Product and Cost'!D$37)*4/3)*'Product and Cost'!D$23*F28</f>
        <v/>
      </c>
    </row>
    <row r="34">
      <c r="A34" s="7" t="inlineStr">
        <is>
          <t>Depreciation (asset register)</t>
        </is>
      </c>
      <c r="B34" s="23">
        <f>(('Product and Cost'!D$35-'Product and Cost'!D$37)*4/3)*'Product and Cost'!D$25</f>
        <v/>
      </c>
      <c r="C34" s="23">
        <f>(('Product and Cost'!D$35-'Product and Cost'!D$37)*4/3)*'Product and Cost'!D$25</f>
        <v/>
      </c>
      <c r="D34" s="23">
        <f>(('Product and Cost'!D$35-'Product and Cost'!D$37)*4/3)*'Product and Cost'!D$25</f>
        <v/>
      </c>
      <c r="E34" s="23">
        <f>(('Product and Cost'!D$35-'Product and Cost'!D$37)*4/3)*'Product and Cost'!D$25</f>
        <v/>
      </c>
      <c r="F34" s="23">
        <f>(('Product and Cost'!D$35-'Product and Cost'!D$37)*4/3)*'Product and Cost'!D$25</f>
        <v/>
      </c>
    </row>
    <row r="35">
      <c r="A35" s="18" t="inlineStr">
        <is>
          <t>COST OF SALES</t>
        </is>
      </c>
      <c r="B35" s="35">
        <f>B30+B31+B32+B33+B34</f>
        <v/>
      </c>
      <c r="C35" s="35">
        <f>C30+C31+C32+C33+C34</f>
        <v/>
      </c>
      <c r="D35" s="35">
        <f>D30+D31+D32+D33+D34</f>
        <v/>
      </c>
      <c r="E35" s="35">
        <f>E30+E31+E32+E33+E34</f>
        <v/>
      </c>
      <c r="F35" s="35">
        <f>F30+F31+F32+F33+F34</f>
        <v/>
      </c>
    </row>
    <row r="36">
      <c r="A36" s="18" t="inlineStr">
        <is>
          <t>GROSS PROFIT</t>
        </is>
      </c>
      <c r="B36" s="35">
        <f>B25-B35</f>
        <v/>
      </c>
      <c r="C36" s="35">
        <f>C25-C35</f>
        <v/>
      </c>
      <c r="D36" s="35">
        <f>D25-D35</f>
        <v/>
      </c>
      <c r="E36" s="35">
        <f>E25-E35</f>
        <v/>
      </c>
      <c r="F36" s="35">
        <f>F25-F35</f>
        <v/>
      </c>
    </row>
    <row r="37">
      <c r="A37" s="18" t="inlineStr">
        <is>
          <t>GROSS MARGIN — an OUTPUT of the audited composition</t>
        </is>
      </c>
      <c r="B37" s="40">
        <f>B36/B25</f>
        <v/>
      </c>
      <c r="C37" s="40">
        <f>C36/C25</f>
        <v/>
      </c>
      <c r="D37" s="40">
        <f>D36/D25</f>
        <v/>
      </c>
      <c r="E37" s="40">
        <f>E36/E25</f>
        <v/>
      </c>
      <c r="F37" s="40">
        <f>F36/F25</f>
        <v/>
      </c>
    </row>
    <row r="38">
      <c r="A38" s="7" t="inlineStr">
        <is>
          <t>Operating expense (inflates)</t>
        </is>
      </c>
      <c r="B38" s="23">
        <f>'Product and Cost'!E$39*B28</f>
        <v/>
      </c>
      <c r="C38" s="23">
        <f>'Product and Cost'!E$39*C28</f>
        <v/>
      </c>
      <c r="D38" s="23">
        <f>'Product and Cost'!E$39*D28</f>
        <v/>
      </c>
      <c r="E38" s="23">
        <f>'Product and Cost'!E$39*E28</f>
        <v/>
      </c>
      <c r="F38" s="23">
        <f>'Product and Cost'!E$39*F28</f>
        <v/>
      </c>
    </row>
    <row r="39">
      <c r="A39" s="18" t="inlineStr">
        <is>
          <t>EBITDA</t>
        </is>
      </c>
      <c r="B39" s="35">
        <f>B36-B38+'Product and Cost'!E$40</f>
        <v/>
      </c>
      <c r="C39" s="35">
        <f>C36-C38+'Product and Cost'!E$40</f>
        <v/>
      </c>
      <c r="D39" s="35">
        <f>D36-D38+'Product and Cost'!E$40</f>
        <v/>
      </c>
      <c r="E39" s="35">
        <f>E36-E38+'Product and Cost'!E$40</f>
        <v/>
      </c>
      <c r="F39" s="35">
        <f>F36-F38+'Product and Cost'!E$40</f>
        <v/>
      </c>
    </row>
    <row r="40">
      <c r="A40" s="7" t="inlineStr">
        <is>
          <t>less depreciation and amortisation</t>
        </is>
      </c>
      <c r="B40" s="23">
        <f>'Product and Cost'!E$40</f>
        <v/>
      </c>
      <c r="C40" s="23">
        <f>'Product and Cost'!E$40</f>
        <v/>
      </c>
      <c r="D40" s="23">
        <f>'Product and Cost'!E$40</f>
        <v/>
      </c>
      <c r="E40" s="23">
        <f>'Product and Cost'!E$40</f>
        <v/>
      </c>
      <c r="F40" s="23">
        <f>'Product and Cost'!E$40</f>
        <v/>
      </c>
    </row>
    <row r="41">
      <c r="A41" s="18" t="inlineStr">
        <is>
          <t>EBIT</t>
        </is>
      </c>
      <c r="B41" s="35">
        <f>B39-B40</f>
        <v/>
      </c>
      <c r="C41" s="35">
        <f>C39-C40</f>
        <v/>
      </c>
      <c r="D41" s="35">
        <f>D39-D40</f>
        <v/>
      </c>
      <c r="E41" s="35">
        <f>E39-E40</f>
        <v/>
      </c>
      <c r="F41" s="35">
        <f>F39-F40</f>
        <v/>
      </c>
    </row>
  </sheetData>
  <mergeCells count="1">
    <mergeCell ref="A2:G2"/>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G38"/>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Discounted cash flow — the waterfall and the terminal block</t>
        </is>
      </c>
    </row>
    <row r="2" ht="30" customHeight="1">
      <c r="A2" s="13" t="inlineStr">
        <is>
          <t>The cost of capital slides from an explicit-window rate to a terminal rate, each year discounted at its own forward rate. Capital expenditure is held at the ACTUAL cash run rate from the filings, inflated.</t>
        </is>
      </c>
    </row>
    <row r="3">
      <c r="A3" s="2" t="n"/>
      <c r="B3" s="2" t="n"/>
      <c r="C3" s="2" t="n"/>
      <c r="D3" s="2" t="n"/>
      <c r="E3" s="2" t="n"/>
      <c r="F3" s="2" t="n"/>
      <c r="G3" s="2" t="n"/>
    </row>
    <row r="4">
      <c r="A4" s="5" t="inlineStr">
        <is>
          <t>COST OF CAPITAL</t>
        </is>
      </c>
      <c r="B4" s="6" t="n"/>
      <c r="C4" s="6" t="n"/>
      <c r="D4" s="6" t="n"/>
      <c r="E4" s="6" t="n"/>
      <c r="F4" s="6" t="n"/>
      <c r="G4" s="6" t="n"/>
    </row>
    <row r="5">
      <c r="A5" s="7" t="inlineStr">
        <is>
          <t>Risk-free rate less sovereign default spread</t>
        </is>
      </c>
      <c r="B5" s="25">
        <f>Assumptions!$C$116-Assumptions!$C$117</f>
        <v/>
      </c>
    </row>
    <row r="6">
      <c r="A6" s="18" t="inlineStr">
        <is>
          <t>COST OF EQUITY, explicit window</t>
        </is>
      </c>
      <c r="B6" s="40">
        <f>B5+Assumptions!$C$121*Assumptions!$C$118</f>
        <v/>
      </c>
    </row>
    <row r="7">
      <c r="A7" s="7" t="inlineStr">
        <is>
          <t>Net debt (negative = net cash)</t>
        </is>
      </c>
      <c r="B7" s="23">
        <f>Assumptions!$C$67+Assumptions!$C$68-Assumptions!$C$62</f>
        <v/>
      </c>
    </row>
    <row r="8">
      <c r="A8" s="7" t="inlineStr">
        <is>
          <t>Market capitalisation</t>
        </is>
      </c>
      <c r="B8" s="23">
        <f>Assumptions!$C$6*Assumptions!$C$7*1000000</f>
        <v/>
      </c>
    </row>
    <row r="9">
      <c r="A9" s="7" t="inlineStr">
        <is>
          <t>Debt weight (NEGATIVE — the company is net cash)</t>
        </is>
      </c>
      <c r="B9" s="25">
        <f>B7/(B7+B8)</f>
        <v/>
      </c>
    </row>
    <row r="10">
      <c r="A10" s="7" t="inlineStr">
        <is>
          <t>Equity weight</t>
        </is>
      </c>
      <c r="B10" s="25">
        <f>1-B9</f>
        <v/>
      </c>
    </row>
    <row r="11">
      <c r="A11" s="7" t="inlineStr">
        <is>
          <t>Cost of net debt, after tax</t>
        </is>
      </c>
      <c r="B11" s="25">
        <f>(Assumptions!$C$122*(Assumptions!$C$67+Assumptions!$C$68)-Assumptions!$C$123*Assumptions!$C$62)/((Assumptions!$C$67+Assumptions!$C$68)-Assumptions!$C$62)*(1-'Product and Cost'!E$43)</f>
        <v/>
      </c>
    </row>
    <row r="12">
      <c r="A12" s="18" t="inlineStr">
        <is>
          <t>WEIGHTED COST OF CAPITAL — explicit window</t>
        </is>
      </c>
      <c r="B12" s="40">
        <f>B10*B6+B9*B11</f>
        <v/>
      </c>
    </row>
    <row r="13">
      <c r="A13" s="7" t="inlineStr">
        <is>
          <t>Terminal cost of equity</t>
        </is>
      </c>
      <c r="B13" s="25">
        <f>Assumptions!$C$124+Assumptions!$C$121*Assumptions!$C$125</f>
        <v/>
      </c>
    </row>
    <row r="14">
      <c r="A14" s="18" t="inlineStr">
        <is>
          <t>WEIGHTED COST OF CAPITAL — terminal</t>
        </is>
      </c>
      <c r="B14" s="40">
        <f>(1-Assumptions!$C$127)*B13+Assumptions!$C$127*Assumptions!$C$126*(1-'Product and Cost'!E$43)</f>
        <v/>
      </c>
    </row>
    <row r="15"/>
    <row r="16">
      <c r="A16" s="5" t="inlineStr">
        <is>
          <t>THE GLIDE AND THE WATERFALL</t>
        </is>
      </c>
      <c r="B16" s="6" t="n"/>
      <c r="C16" s="6" t="n"/>
      <c r="D16" s="6" t="n"/>
      <c r="E16" s="6" t="n"/>
      <c r="F16" s="6" t="n"/>
      <c r="G16" s="6" t="n"/>
    </row>
    <row r="17">
      <c r="A17" s="14" t="inlineStr"/>
      <c r="B17" s="14" t="inlineStr">
        <is>
          <t>2026</t>
        </is>
      </c>
      <c r="C17" s="14" t="inlineStr">
        <is>
          <t>2027</t>
        </is>
      </c>
      <c r="D17" s="14" t="inlineStr">
        <is>
          <t>2028</t>
        </is>
      </c>
      <c r="E17" s="14" t="inlineStr">
        <is>
          <t>2029</t>
        </is>
      </c>
      <c r="F17" s="14" t="inlineStr">
        <is>
          <t>2030</t>
        </is>
      </c>
    </row>
    <row r="18">
      <c r="A18" s="7" t="inlineStr">
        <is>
          <t>Cumulative progress along the cost-of-debt path</t>
        </is>
      </c>
      <c r="B18" s="46">
        <f>(Assumptions!$B$110-Assumptions!$B$110)/(Assumptions!$B$110-Assumptions!$F$110)</f>
        <v/>
      </c>
      <c r="C18" s="46">
        <f>(Assumptions!$B$110-Assumptions!$C$110)/(Assumptions!$B$110-Assumptions!$F$110)</f>
        <v/>
      </c>
      <c r="D18" s="46">
        <f>(Assumptions!$B$110-Assumptions!$D$110)/(Assumptions!$B$110-Assumptions!$F$110)</f>
        <v/>
      </c>
      <c r="E18" s="46">
        <f>(Assumptions!$B$110-Assumptions!$E$110)/(Assumptions!$B$110-Assumptions!$F$110)</f>
        <v/>
      </c>
      <c r="F18" s="46">
        <f>(Assumptions!$B$110-Assumptions!$F$110)/(Assumptions!$B$110-Assumptions!$F$110)</f>
        <v/>
      </c>
    </row>
    <row r="19">
      <c r="A19" s="7" t="inlineStr">
        <is>
          <t>Forward cost of capital</t>
        </is>
      </c>
      <c r="B19" s="25">
        <f>$B$12-($B$12-$B$14)*B18</f>
        <v/>
      </c>
      <c r="C19" s="25">
        <f>$B$12-($B$12-$B$14)*C18</f>
        <v/>
      </c>
      <c r="D19" s="25">
        <f>$B$12-($B$12-$B$14)*D18</f>
        <v/>
      </c>
      <c r="E19" s="25">
        <f>$B$12-($B$12-$B$14)*E18</f>
        <v/>
      </c>
      <c r="F19" s="25">
        <f>$B$12-($B$12-$B$14)*F18</f>
        <v/>
      </c>
    </row>
    <row r="20">
      <c r="A20" s="7" t="inlineStr">
        <is>
          <t>Cumulative discount factor</t>
        </is>
      </c>
      <c r="B20" s="45">
        <f>1/(1+B19)</f>
        <v/>
      </c>
      <c r="C20" s="45">
        <f>B20/(1+C19)</f>
        <v/>
      </c>
      <c r="D20" s="45">
        <f>C20/(1+D19)</f>
        <v/>
      </c>
      <c r="E20" s="45">
        <f>D20/(1+E19)</f>
        <v/>
      </c>
      <c r="F20" s="45">
        <f>E20/(1+F19)</f>
        <v/>
      </c>
    </row>
    <row r="21">
      <c r="A21" s="7" t="inlineStr">
        <is>
          <t>EBIT</t>
        </is>
      </c>
      <c r="B21" s="10">
        <f>Forecast!B41</f>
        <v/>
      </c>
      <c r="C21" s="10">
        <f>Forecast!C41</f>
        <v/>
      </c>
      <c r="D21" s="10">
        <f>Forecast!D41</f>
        <v/>
      </c>
      <c r="E21" s="10">
        <f>Forecast!E41</f>
        <v/>
      </c>
      <c r="F21" s="10">
        <f>Forecast!F41</f>
        <v/>
      </c>
    </row>
    <row r="22">
      <c r="A22" s="7" t="inlineStr">
        <is>
          <t>NOPAT = EBIT x (1 - effective tax)</t>
        </is>
      </c>
      <c r="B22" s="23">
        <f>B21*(1-'Product and Cost'!E$43)</f>
        <v/>
      </c>
      <c r="C22" s="23">
        <f>C21*(1-'Product and Cost'!E$43)</f>
        <v/>
      </c>
      <c r="D22" s="23">
        <f>D21*(1-'Product and Cost'!E$43)</f>
        <v/>
      </c>
      <c r="E22" s="23">
        <f>E21*(1-'Product and Cost'!E$43)</f>
        <v/>
      </c>
      <c r="F22" s="23">
        <f>F21*(1-'Product and Cost'!E$43)</f>
        <v/>
      </c>
    </row>
    <row r="23">
      <c r="A23" s="7" t="inlineStr">
        <is>
          <t>add back depreciation and amortisation</t>
        </is>
      </c>
      <c r="B23" s="10">
        <f>Forecast!B40</f>
        <v/>
      </c>
      <c r="C23" s="10">
        <f>Forecast!C40</f>
        <v/>
      </c>
      <c r="D23" s="10">
        <f>Forecast!D40</f>
        <v/>
      </c>
      <c r="E23" s="10">
        <f>Forecast!E40</f>
        <v/>
      </c>
      <c r="F23" s="10">
        <f>Forecast!F40</f>
        <v/>
      </c>
    </row>
    <row r="24">
      <c r="A24" s="7" t="inlineStr">
        <is>
          <t>less capital expenditure (ACTUAL run rate, inflated)</t>
        </is>
      </c>
      <c r="B24" s="23">
        <f>'Product and Cost'!E$41*Forecast!B28</f>
        <v/>
      </c>
      <c r="C24" s="23">
        <f>'Product and Cost'!E$41*Forecast!C28</f>
        <v/>
      </c>
      <c r="D24" s="23">
        <f>'Product and Cost'!E$41*Forecast!D28</f>
        <v/>
      </c>
      <c r="E24" s="23">
        <f>'Product and Cost'!E$41*Forecast!E28</f>
        <v/>
      </c>
      <c r="F24" s="23">
        <f>'Product and Cost'!E$41*Forecast!F28</f>
        <v/>
      </c>
    </row>
    <row r="25">
      <c r="A25" s="7" t="inlineStr">
        <is>
          <t>Net working capital</t>
        </is>
      </c>
      <c r="B25" s="23">
        <f>Forecast!B25*((Assumptions!$C$59+Assumptions!$C$60+Assumptions!$C$61-Assumptions!$C$64-Assumptions!$C$65)/'Product and Cost'!E$35)</f>
        <v/>
      </c>
      <c r="C25" s="23">
        <f>Forecast!C25*((Assumptions!$C$59+Assumptions!$C$60+Assumptions!$C$61-Assumptions!$C$64-Assumptions!$C$65)/'Product and Cost'!E$35)</f>
        <v/>
      </c>
      <c r="D25" s="23">
        <f>Forecast!D25*((Assumptions!$C$59+Assumptions!$C$60+Assumptions!$C$61-Assumptions!$C$64-Assumptions!$C$65)/'Product and Cost'!E$35)</f>
        <v/>
      </c>
      <c r="E25" s="23">
        <f>Forecast!E25*((Assumptions!$C$59+Assumptions!$C$60+Assumptions!$C$61-Assumptions!$C$64-Assumptions!$C$65)/'Product and Cost'!E$35)</f>
        <v/>
      </c>
      <c r="F25" s="23">
        <f>Forecast!F25*((Assumptions!$C$59+Assumptions!$C$60+Assumptions!$C$61-Assumptions!$C$64-Assumptions!$C$65)/'Product and Cost'!E$35)</f>
        <v/>
      </c>
    </row>
    <row r="26">
      <c r="A26" s="7" t="inlineStr">
        <is>
          <t>less change in net working capital</t>
        </is>
      </c>
      <c r="B26" s="23">
        <f>B25-(Assumptions!$C$59+Assumptions!$C$60+Assumptions!$C$61-Assumptions!$C$64-Assumptions!$C$65)</f>
        <v/>
      </c>
      <c r="C26" s="23">
        <f>C25-B25</f>
        <v/>
      </c>
      <c r="D26" s="23">
        <f>D25-C25</f>
        <v/>
      </c>
      <c r="E26" s="23">
        <f>E25-D25</f>
        <v/>
      </c>
      <c r="F26" s="23">
        <f>F25-E25</f>
        <v/>
      </c>
    </row>
    <row r="27">
      <c r="A27" s="18" t="inlineStr">
        <is>
          <t>FREE CASH FLOW TO THE FIRM</t>
        </is>
      </c>
      <c r="B27" s="35">
        <f>B22+B23-B24-B26</f>
        <v/>
      </c>
      <c r="C27" s="35">
        <f>C22+C23-C24-C26</f>
        <v/>
      </c>
      <c r="D27" s="35">
        <f>D22+D23-D24-D26</f>
        <v/>
      </c>
      <c r="E27" s="35">
        <f>E22+E23-E24-E26</f>
        <v/>
      </c>
      <c r="F27" s="35">
        <f>F22+F23-F24-F26</f>
        <v/>
      </c>
    </row>
    <row r="28">
      <c r="A28" s="18" t="inlineStr">
        <is>
          <t>PRESENT VALUE OF FREE CASH FLOW</t>
        </is>
      </c>
      <c r="B28" s="35">
        <f>B27*B20</f>
        <v/>
      </c>
      <c r="C28" s="35">
        <f>C27*C20</f>
        <v/>
      </c>
      <c r="D28" s="35">
        <f>D27*D20</f>
        <v/>
      </c>
      <c r="E28" s="35">
        <f>E27*E20</f>
        <v/>
      </c>
      <c r="F28" s="35">
        <f>F27*F20</f>
        <v/>
      </c>
    </row>
    <row r="29"/>
    <row r="30">
      <c r="A30" s="5" t="inlineStr">
        <is>
          <t>THE TERMINAL BLOCK</t>
        </is>
      </c>
      <c r="B30" s="6" t="n"/>
      <c r="C30" s="6" t="n"/>
      <c r="D30" s="6" t="n"/>
      <c r="E30" s="6" t="n"/>
      <c r="F30" s="6" t="n"/>
      <c r="G30" s="6" t="n"/>
    </row>
    <row r="31">
      <c r="A31" s="7" t="inlineStr">
        <is>
          <t>Invested capital at the end of the window</t>
        </is>
      </c>
      <c r="B31" s="23">
        <f>F25+(Assumptions!$C$57+Assumptions!$C$58)+SUM(B24:F24)-SUM(B23:F23)</f>
        <v/>
      </c>
    </row>
    <row r="32">
      <c r="A32" s="7" t="inlineStr">
        <is>
          <t>Terminal return on invested capital</t>
        </is>
      </c>
      <c r="B32" s="25">
        <f>F22*(1+Assumptions!$C$128)/B31</f>
        <v/>
      </c>
    </row>
    <row r="33">
      <c r="A33" s="7" t="inlineStr">
        <is>
          <t>Required reinvestment rate = growth / return</t>
        </is>
      </c>
      <c r="B33" s="25">
        <f>Assumptions!$C$128/B32</f>
        <v/>
      </c>
    </row>
    <row r="34">
      <c r="A34" s="18" t="inlineStr">
        <is>
          <t>TERMINAL VALUE</t>
        </is>
      </c>
      <c r="B34" s="35">
        <f>F22*(1+Assumptions!$C$128)*(1-B33)/(B14-Assumptions!$C$128)</f>
        <v/>
      </c>
    </row>
    <row r="35">
      <c r="A35" s="18" t="inlineStr">
        <is>
          <t>Present value of the terminal block</t>
        </is>
      </c>
      <c r="B35" s="35">
        <f>B34*F20</f>
        <v/>
      </c>
    </row>
    <row r="36">
      <c r="A36" s="7" t="inlineStr">
        <is>
          <t>Present value of the explicit window</t>
        </is>
      </c>
      <c r="B36" s="23">
        <f>SUM(B28:F28)</f>
        <v/>
      </c>
    </row>
    <row r="37">
      <c r="A37" s="18" t="inlineStr">
        <is>
          <t>ENTERPRISE VALUE</t>
        </is>
      </c>
      <c r="B37" s="35">
        <f>B36+B35</f>
        <v/>
      </c>
    </row>
    <row r="38">
      <c r="A38" s="18" t="inlineStr">
        <is>
          <t>TERMINAL VALUE AS A SHARE OF ENTERPRISE VALUE</t>
        </is>
      </c>
      <c r="B38" s="40">
        <f>B35/B37</f>
        <v/>
      </c>
    </row>
  </sheetData>
  <mergeCells count="1">
    <mergeCell ref="A2:G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D19"/>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Enterprise value to equity</t>
        </is>
      </c>
    </row>
    <row r="2" ht="30" customHeight="1">
      <c r="A2" s="13" t="inlineStr">
        <is>
          <t>Minorities come off the OPERATING enterprise value, before the cash is added. The cash belongs to the parent and is added in full.</t>
        </is>
      </c>
    </row>
    <row r="3">
      <c r="A3" s="2" t="n"/>
      <c r="B3" s="2" t="n"/>
      <c r="C3" s="2" t="n"/>
      <c r="D3" s="2" t="n"/>
    </row>
    <row r="4">
      <c r="A4" s="14" t="inlineStr"/>
      <c r="B4" s="14" t="inlineStr">
        <is>
          <t>EGP</t>
        </is>
      </c>
      <c r="C4" s="14" t="inlineStr">
        <is>
          <t>per share</t>
        </is>
      </c>
    </row>
    <row r="5">
      <c r="A5" s="7" t="inlineStr">
        <is>
          <t>ENTERPRISE VALUE (the operating assets)</t>
        </is>
      </c>
      <c r="B5" s="10">
        <f>DCF!$B$37</f>
        <v/>
      </c>
      <c r="C5" s="17">
        <f>B5/(Assumptions!$C$7*1000000)</f>
        <v/>
      </c>
    </row>
    <row r="6">
      <c r="A6" s="7" t="inlineStr">
        <is>
          <t>Minority share of group profit — DISCLOSED (note: 86.45% of the wax subsidiary)</t>
        </is>
      </c>
      <c r="B6" s="11">
        <f>Assumptions!$C$82</f>
        <v/>
      </c>
    </row>
    <row r="7">
      <c r="A7" s="7" t="inlineStr">
        <is>
          <t>less minority interests, ON THE ENTERPRISE VALUE</t>
        </is>
      </c>
      <c r="B7" s="23">
        <f>B5*B6</f>
        <v/>
      </c>
      <c r="C7" s="17">
        <f>B7/(Assumptions!$C$7*1000000)</f>
        <v/>
      </c>
    </row>
    <row r="8">
      <c r="A8" s="7" t="inlineStr">
        <is>
          <t>Operating assets attributable to shareholders</t>
        </is>
      </c>
      <c r="B8" s="23">
        <f>B5-B7</f>
        <v/>
      </c>
    </row>
    <row r="9">
      <c r="A9" s="7" t="inlineStr">
        <is>
          <t>less net debt (negative = net cash ADDED in full)</t>
        </is>
      </c>
      <c r="B9" s="10">
        <f>DCF!$B$7</f>
        <v/>
      </c>
      <c r="C9" s="17">
        <f>B9/(Assumptions!$C$7*1000000)</f>
        <v/>
      </c>
    </row>
    <row r="10">
      <c r="A10" s="18" t="inlineStr">
        <is>
          <t>EQUITY ATTRIBUTABLE TO SHAREHOLDERS</t>
        </is>
      </c>
      <c r="B10" s="35">
        <f>B8-B9</f>
        <v/>
      </c>
    </row>
    <row r="11">
      <c r="A11" s="18" t="inlineStr">
        <is>
          <t>FAIR VALUE PER SHARE (EGP)</t>
        </is>
      </c>
      <c r="B11" s="19">
        <f>B10/(Assumptions!$C$7*1000000)</f>
        <v/>
      </c>
    </row>
    <row r="12">
      <c r="A12" s="18" t="inlineStr">
        <is>
          <t>TERMINAL VALUE AS A SHARE OF ENTERPRISE VALUE</t>
        </is>
      </c>
      <c r="B12" s="47">
        <f>DCF!$B$38</f>
        <v/>
      </c>
    </row>
    <row r="13">
      <c r="A13" s="7" t="inlineStr">
        <is>
          <t>Spot price (EGP)</t>
        </is>
      </c>
      <c r="B13" s="8">
        <f>Assumptions!$C$6</f>
        <v/>
      </c>
    </row>
    <row r="14">
      <c r="A14" s="7" t="inlineStr">
        <is>
          <t>Implied against spot</t>
        </is>
      </c>
      <c r="B14" s="16">
        <f>B11/B13-1</f>
        <v/>
      </c>
    </row>
    <row r="15"/>
    <row r="16">
      <c r="A16" s="7" t="inlineStr">
        <is>
          <t>MEMO — pledged deposits, NOT counted as free cash</t>
        </is>
      </c>
      <c r="B16" s="10">
        <f>Assumptions!$C$63</f>
        <v/>
      </c>
      <c r="C16" s="17">
        <f>B16/(Assumptions!$C$7*1000000)</f>
        <v/>
      </c>
    </row>
    <row r="17">
      <c r="A17" s="7" t="inlineStr">
        <is>
          <t>MEMO — tax-disputes and claims provision (note 10-1), NOT deducted here</t>
        </is>
      </c>
      <c r="B17" s="10">
        <f>Assumptions!$C$66</f>
        <v/>
      </c>
      <c r="C17" s="17">
        <f>B17/(Assumptions!$C$7*1000000)</f>
        <v/>
      </c>
    </row>
    <row r="18"/>
    <row r="19" ht="60" customHeight="1">
      <c r="A19" s="41" t="inlineStr">
        <is>
          <t>Two disclosed balances sit beside this bridge and neither is inside it. The pledged deposits are real cash but are charged against credit facilities, so they are not free and are excluded from net debt. The tax-disputes provision is a liability the company has recognised; it is not deducted from equity value here because the earnings the model discounts are struck after the tax charge that provision relates to, but a reader who thinks the exposure is incremental should subtract it and the per-share figure is given so they can.</t>
        </is>
      </c>
    </row>
  </sheetData>
  <mergeCells count="2">
    <mergeCell ref="A19:D19"/>
    <mergeCell ref="A2:D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C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three cross-check lenses</t>
        </is>
      </c>
    </row>
    <row r="2"/>
    <row r="3">
      <c r="A3" s="2" t="n"/>
      <c r="B3" s="2" t="n"/>
      <c r="C3" s="2" t="n"/>
    </row>
    <row r="4">
      <c r="A4" s="5" t="inlineStr">
        <is>
          <t>LENS 2 — RELATIVE MULTIPLES</t>
        </is>
      </c>
      <c r="B4" s="6" t="n"/>
      <c r="C4" s="6" t="n"/>
    </row>
    <row r="5">
      <c r="A5" s="7" t="inlineStr">
        <is>
          <t>2027E EBITDA</t>
        </is>
      </c>
      <c r="B5" s="10">
        <f>Forecast!C39</f>
        <v/>
      </c>
    </row>
    <row r="6">
      <c r="A6" s="7" t="inlineStr">
        <is>
          <t>Justified EV / EBITDA</t>
        </is>
      </c>
      <c r="B6" s="48">
        <f>Assumptions!$C$131</f>
        <v/>
      </c>
    </row>
    <row r="7">
      <c r="A7" s="7" t="inlineStr">
        <is>
          <t>Forward enterprise value</t>
        </is>
      </c>
      <c r="B7" s="23">
        <f>B5*B6</f>
        <v/>
      </c>
    </row>
    <row r="8">
      <c r="A8" s="7" t="inlineStr">
        <is>
          <t>discounted back at the year-2 factor</t>
        </is>
      </c>
      <c r="B8" s="23">
        <f>B7*DCF!C20</f>
        <v/>
      </c>
    </row>
    <row r="9">
      <c r="A9" s="7" t="inlineStr">
        <is>
          <t>add interim present value of free cash flow</t>
        </is>
      </c>
      <c r="B9" s="23">
        <f>DCF!B28+DCF!C28</f>
        <v/>
      </c>
    </row>
    <row r="10">
      <c r="A10" s="18" t="inlineStr">
        <is>
          <t>IMPLIED VALUE PER SHARE</t>
        </is>
      </c>
      <c r="B10" s="19">
        <f>((B8+B9)*(1-Assumptions!$C$82)-DCF!B7)/(Assumptions!$C$7*1000000)</f>
        <v/>
      </c>
    </row>
    <row r="11"/>
    <row r="12">
      <c r="A12" s="5" t="inlineStr">
        <is>
          <t>LENS 3 — NORMALISED EARNINGS POWER</t>
        </is>
      </c>
      <c r="B12" s="6" t="n"/>
      <c r="C12" s="6" t="n"/>
    </row>
    <row r="13">
      <c r="A13" s="7" t="inlineStr">
        <is>
          <t>2028E EBIT</t>
        </is>
      </c>
      <c r="B13" s="10">
        <f>Forecast!D41</f>
        <v/>
      </c>
    </row>
    <row r="14">
      <c r="A14" s="7" t="inlineStr">
        <is>
          <t>add net finance income</t>
        </is>
      </c>
      <c r="B14" s="23">
        <f>(Assumptions!$C$78+Assumptions!$C$79)*4/3</f>
        <v/>
      </c>
    </row>
    <row r="15">
      <c r="A15" s="7" t="inlineStr">
        <is>
          <t>Attributable normalised earnings</t>
        </is>
      </c>
      <c r="B15" s="23">
        <f>(B13+B14)*(1-'Product and Cost'!E$43)*(1-Assumptions!$C$82)</f>
        <v/>
      </c>
    </row>
    <row r="16">
      <c r="A16" s="7" t="inlineStr">
        <is>
          <t>Normalised earnings per share</t>
        </is>
      </c>
      <c r="B16" s="17">
        <f>B15/(Assumptions!$C$7*1000000)</f>
        <v/>
      </c>
    </row>
    <row r="17">
      <c r="A17" s="18" t="inlineStr">
        <is>
          <t>IMPLIED VALUE PER SHARE</t>
        </is>
      </c>
      <c r="B17" s="19">
        <f>B16*Assumptions!$C$132</f>
        <v/>
      </c>
    </row>
    <row r="18"/>
    <row r="19">
      <c r="A19" s="5" t="inlineStr">
        <is>
          <t>LENS 4 — BOOK VALUE AND SUSTAINABLE RETURN</t>
        </is>
      </c>
      <c r="B19" s="6" t="n"/>
      <c r="C19" s="6" t="n"/>
    </row>
    <row r="20">
      <c r="A20" s="7" t="inlineStr">
        <is>
          <t>Attributable book value per share (AUDITED)</t>
        </is>
      </c>
      <c r="B20" s="17">
        <f>Assumptions!$C$71/(Assumptions!$C$7*1000000)</f>
        <v/>
      </c>
    </row>
    <row r="21">
      <c r="A21" s="7" t="inlineStr">
        <is>
          <t>Justified price / book = (ROE - g) / (Ke - g)</t>
        </is>
      </c>
      <c r="B21" s="49">
        <f>(Assumptions!$C$134-Assumptions!$C$128)/(DCF!B13-Assumptions!$C$128)</f>
        <v/>
      </c>
    </row>
    <row r="22">
      <c r="A22" s="18" t="inlineStr">
        <is>
          <t>IMPLIED VALUE PER SHARE</t>
        </is>
      </c>
      <c r="B22" s="19">
        <f>B20*B21</f>
        <v/>
      </c>
    </row>
  </sheetData>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J37"/>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filed periods, and the forecast beside them</t>
        </is>
      </c>
    </row>
    <row r="2" ht="30" customHeight="1">
      <c r="A2" s="13" t="inlineStr">
        <is>
          <t>The four historical columns are AS FILED. No line in them is reconstructed, driven off a days assumption, or rolled back through profit and dividends.</t>
        </is>
      </c>
    </row>
    <row r="3">
      <c r="A3" s="2" t="n"/>
      <c r="B3" s="2" t="n"/>
      <c r="C3" s="2" t="n"/>
      <c r="D3" s="2" t="n"/>
      <c r="E3" s="2" t="n"/>
      <c r="F3" s="2" t="n"/>
      <c r="G3" s="2" t="n"/>
      <c r="H3" s="2" t="n"/>
      <c r="I3" s="2" t="n"/>
      <c r="J3" s="2" t="n"/>
    </row>
    <row r="4">
      <c r="A4" s="5" t="inlineStr">
        <is>
          <t>PROFIT OR LOSS — AS FILED</t>
        </is>
      </c>
      <c r="B4" s="6" t="n"/>
      <c r="C4" s="6" t="n"/>
      <c r="D4" s="6" t="n"/>
      <c r="E4" s="6" t="n"/>
      <c r="F4" s="6" t="n"/>
      <c r="G4" s="6" t="n"/>
      <c r="H4" s="6" t="n"/>
      <c r="I4" s="6" t="n"/>
      <c r="J4" s="6" t="n"/>
    </row>
    <row r="5">
      <c r="A5" s="14" t="inlineStr"/>
      <c r="B5" s="14" t="inlineStr">
        <is>
          <t>6M Dec-2024</t>
        </is>
      </c>
      <c r="C5" s="14" t="inlineStr">
        <is>
          <t>3M Mar-2025</t>
        </is>
      </c>
      <c r="D5" s="14" t="inlineStr">
        <is>
          <t>6M Dec-2025</t>
        </is>
      </c>
      <c r="E5" s="14" t="inlineStr">
        <is>
          <t>3M Mar-2026</t>
        </is>
      </c>
      <c r="F5" s="14" t="inlineStr">
        <is>
          <t>2026</t>
        </is>
      </c>
      <c r="G5" s="14" t="inlineStr">
        <is>
          <t>2027</t>
        </is>
      </c>
      <c r="H5" s="14" t="inlineStr">
        <is>
          <t>2028</t>
        </is>
      </c>
      <c r="I5" s="14" t="inlineStr">
        <is>
          <t>2029</t>
        </is>
      </c>
      <c r="J5" s="14" t="inlineStr">
        <is>
          <t>2030</t>
        </is>
      </c>
    </row>
    <row r="6">
      <c r="A6" s="7" t="inlineStr">
        <is>
          <t>Net sales</t>
        </is>
      </c>
      <c r="B6" s="10">
        <f>Assumptions!$C$37</f>
        <v/>
      </c>
      <c r="C6" s="10">
        <f>Assumptions!$C$40</f>
        <v/>
      </c>
      <c r="D6" s="10">
        <f>Assumptions!$C$10</f>
        <v/>
      </c>
      <c r="E6" s="10">
        <f>Assumptions!$C$24</f>
        <v/>
      </c>
      <c r="F6" s="10">
        <f>Forecast!B25</f>
        <v/>
      </c>
      <c r="G6" s="10">
        <f>Forecast!C25</f>
        <v/>
      </c>
      <c r="H6" s="10">
        <f>Forecast!D25</f>
        <v/>
      </c>
      <c r="I6" s="10">
        <f>Forecast!E25</f>
        <v/>
      </c>
      <c r="J6" s="10">
        <f>Forecast!F25</f>
        <v/>
      </c>
    </row>
    <row r="7">
      <c r="A7" s="7" t="inlineStr">
        <is>
          <t>Cost of sales</t>
        </is>
      </c>
      <c r="B7" s="10">
        <f>-Assumptions!$C$38</f>
        <v/>
      </c>
      <c r="C7" s="10">
        <f>-Assumptions!$C$41</f>
        <v/>
      </c>
      <c r="D7" s="10">
        <f>-Assumptions!$C$11</f>
        <v/>
      </c>
      <c r="E7" s="10">
        <f>-Assumptions!$C$25</f>
        <v/>
      </c>
      <c r="F7" s="23">
        <f>-Forecast!B35</f>
        <v/>
      </c>
      <c r="G7" s="23">
        <f>-Forecast!C35</f>
        <v/>
      </c>
      <c r="H7" s="23">
        <f>-Forecast!D35</f>
        <v/>
      </c>
      <c r="I7" s="23">
        <f>-Forecast!E35</f>
        <v/>
      </c>
      <c r="J7" s="23">
        <f>-Forecast!F35</f>
        <v/>
      </c>
    </row>
    <row r="8">
      <c r="A8" s="18" t="inlineStr">
        <is>
          <t>GROSS PROFIT</t>
        </is>
      </c>
      <c r="B8" s="35">
        <f>B6+B7</f>
        <v/>
      </c>
      <c r="C8" s="35">
        <f>C6+C7</f>
        <v/>
      </c>
      <c r="D8" s="35">
        <f>D6+D7</f>
        <v/>
      </c>
      <c r="E8" s="35">
        <f>E6+E7</f>
        <v/>
      </c>
      <c r="F8" s="35">
        <f>F6+F7</f>
        <v/>
      </c>
      <c r="G8" s="35">
        <f>G6+G7</f>
        <v/>
      </c>
      <c r="H8" s="35">
        <f>H6+H7</f>
        <v/>
      </c>
      <c r="I8" s="35">
        <f>I6+I7</f>
        <v/>
      </c>
      <c r="J8" s="35">
        <f>J6+J7</f>
        <v/>
      </c>
    </row>
    <row r="9">
      <c r="A9" s="18" t="inlineStr">
        <is>
          <t>GROSS MARGIN</t>
        </is>
      </c>
      <c r="B9" s="40">
        <f>B8/B6</f>
        <v/>
      </c>
      <c r="C9" s="40">
        <f>C8/C6</f>
        <v/>
      </c>
      <c r="D9" s="40">
        <f>D8/D6</f>
        <v/>
      </c>
      <c r="E9" s="40">
        <f>E8/E6</f>
        <v/>
      </c>
      <c r="F9" s="40">
        <f>F8/F6</f>
        <v/>
      </c>
      <c r="G9" s="40">
        <f>G8/G6</f>
        <v/>
      </c>
      <c r="H9" s="40">
        <f>H8/H6</f>
        <v/>
      </c>
      <c r="I9" s="40">
        <f>I8/I6</f>
        <v/>
      </c>
      <c r="J9" s="40">
        <f>J8/J6</f>
        <v/>
      </c>
    </row>
    <row r="10">
      <c r="A10" s="7" t="inlineStr">
        <is>
          <t>Operating expense (G&amp;A, marketing, other)</t>
        </is>
      </c>
      <c r="D10" s="23">
        <f>-(Assumptions!$C$12+Assumptions!$C$13+Assumptions!$C$14)</f>
        <v/>
      </c>
      <c r="E10" s="23">
        <f>-(Assumptions!$C$26+Assumptions!$C$27+Assumptions!$C$28)</f>
        <v/>
      </c>
      <c r="F10" s="23">
        <f>-Forecast!B38</f>
        <v/>
      </c>
      <c r="G10" s="23">
        <f>-Forecast!C38</f>
        <v/>
      </c>
      <c r="H10" s="23">
        <f>-Forecast!D38</f>
        <v/>
      </c>
      <c r="I10" s="23">
        <f>-Forecast!E38</f>
        <v/>
      </c>
      <c r="J10" s="23">
        <f>-Forecast!F38</f>
        <v/>
      </c>
    </row>
    <row r="11">
      <c r="A11" s="18" t="inlineStr">
        <is>
          <t>EBITDA</t>
        </is>
      </c>
      <c r="F11" s="50">
        <f>Forecast!B39</f>
        <v/>
      </c>
      <c r="G11" s="50">
        <f>Forecast!C39</f>
        <v/>
      </c>
      <c r="H11" s="50">
        <f>Forecast!D39</f>
        <v/>
      </c>
      <c r="I11" s="50">
        <f>Forecast!E39</f>
        <v/>
      </c>
      <c r="J11" s="50">
        <f>Forecast!F39</f>
        <v/>
      </c>
    </row>
    <row r="12">
      <c r="A12" s="18" t="inlineStr">
        <is>
          <t>EBIT</t>
        </is>
      </c>
      <c r="F12" s="50">
        <f>Forecast!B41</f>
        <v/>
      </c>
      <c r="G12" s="50">
        <f>Forecast!C41</f>
        <v/>
      </c>
      <c r="H12" s="50">
        <f>Forecast!D41</f>
        <v/>
      </c>
      <c r="I12" s="50">
        <f>Forecast!E41</f>
        <v/>
      </c>
      <c r="J12" s="50">
        <f>Forecast!F41</f>
        <v/>
      </c>
    </row>
    <row r="13">
      <c r="A13" s="18" t="inlineStr">
        <is>
          <t>Net profit after tax — AS FILED</t>
        </is>
      </c>
      <c r="B13" s="50">
        <f>Assumptions!$C$39</f>
        <v/>
      </c>
      <c r="D13" s="50">
        <f>Assumptions!$C$21</f>
        <v/>
      </c>
      <c r="E13" s="50">
        <f>Assumptions!$C$35</f>
        <v/>
      </c>
    </row>
    <row r="14">
      <c r="A14" s="7" t="inlineStr">
        <is>
          <t>Minority interest — AS FILED</t>
        </is>
      </c>
      <c r="D14" s="10">
        <f>Assumptions!$C$22</f>
        <v/>
      </c>
      <c r="E14" s="10">
        <f>Assumptions!$C$36</f>
        <v/>
      </c>
    </row>
    <row r="15">
      <c r="A15" s="18" t="inlineStr">
        <is>
          <t>Attributable to AMOC shareholders</t>
        </is>
      </c>
      <c r="D15" s="35">
        <f>D13-D14</f>
        <v/>
      </c>
      <c r="E15" s="35">
        <f>E13-E14</f>
        <v/>
      </c>
    </row>
    <row r="16"/>
    <row r="17">
      <c r="A17" s="5" t="inlineStr">
        <is>
          <t>BALANCE SHEET AT 31-DEC-2025 — AS FILED</t>
        </is>
      </c>
      <c r="B17" s="6" t="n"/>
      <c r="C17" s="6" t="n"/>
      <c r="D17" s="6" t="n"/>
      <c r="E17" s="6" t="n"/>
      <c r="F17" s="6" t="n"/>
      <c r="G17" s="6" t="n"/>
      <c r="H17" s="6" t="n"/>
      <c r="I17" s="6" t="n"/>
      <c r="J17" s="6" t="n"/>
    </row>
    <row r="18">
      <c r="A18" s="7" t="inlineStr">
        <is>
          <t>Fixed assets, net (note 6)</t>
        </is>
      </c>
      <c r="B18" s="10">
        <f>Assumptions!$C$57</f>
        <v/>
      </c>
    </row>
    <row r="19">
      <c r="A19" s="7" t="inlineStr">
        <is>
          <t>Projects under construction (note 7)</t>
        </is>
      </c>
      <c r="B19" s="10">
        <f>Assumptions!$C$58</f>
        <v/>
      </c>
    </row>
    <row r="20">
      <c r="A20" s="7" t="inlineStr">
        <is>
          <t>Inventory, net (note 9-A)</t>
        </is>
      </c>
      <c r="B20" s="10">
        <f>Assumptions!$C$59</f>
        <v/>
      </c>
    </row>
    <row r="21">
      <c r="A21" s="7" t="inlineStr">
        <is>
          <t>Accounts receivable, net (note 9-B)</t>
        </is>
      </c>
      <c r="B21" s="10">
        <f>Assumptions!$C$60</f>
        <v/>
      </c>
    </row>
    <row r="22">
      <c r="A22" s="7" t="inlineStr">
        <is>
          <t>Debtors and other debit balances</t>
        </is>
      </c>
      <c r="B22" s="10">
        <f>Assumptions!$C$61</f>
        <v/>
      </c>
    </row>
    <row r="23">
      <c r="A23" s="7" t="inlineStr">
        <is>
          <t>Cash at banks and on hand (note 9-E)</t>
        </is>
      </c>
      <c r="B23" s="10">
        <f>Assumptions!$C$62</f>
        <v/>
      </c>
    </row>
    <row r="24">
      <c r="A24" s="7" t="inlineStr">
        <is>
          <t>Pledged deposits (other financial investments)</t>
        </is>
      </c>
      <c r="B24" s="10">
        <f>Assumptions!$C$63</f>
        <v/>
      </c>
    </row>
    <row r="25">
      <c r="A25" s="7" t="inlineStr">
        <is>
          <t>Accounts and notes payable (note 10-3)</t>
        </is>
      </c>
      <c r="B25" s="10">
        <f>Assumptions!$C$64</f>
        <v/>
      </c>
    </row>
    <row r="26">
      <c r="A26" s="7" t="inlineStr">
        <is>
          <t>Creditors and other credit balances (note 11)</t>
        </is>
      </c>
      <c r="B26" s="10">
        <f>Assumptions!$C$65</f>
        <v/>
      </c>
    </row>
    <row r="27">
      <c r="A27" s="7" t="inlineStr">
        <is>
          <t>Provisions (note 10-1)</t>
        </is>
      </c>
      <c r="B27" s="10">
        <f>Assumptions!$C$66</f>
        <v/>
      </c>
    </row>
    <row r="28">
      <c r="A28" s="7" t="inlineStr">
        <is>
          <t>Long-term loans</t>
        </is>
      </c>
      <c r="B28" s="10">
        <f>Assumptions!$C$67</f>
        <v/>
      </c>
    </row>
    <row r="29">
      <c r="A29" s="7" t="inlineStr">
        <is>
          <t>Short-term loans and facilities</t>
        </is>
      </c>
      <c r="B29" s="10">
        <f>Assumptions!$C$68</f>
        <v/>
      </c>
    </row>
    <row r="30">
      <c r="A30" s="7" t="inlineStr">
        <is>
          <t>Total assets</t>
        </is>
      </c>
      <c r="B30" s="10">
        <f>Assumptions!$C$69</f>
        <v/>
      </c>
    </row>
    <row r="31">
      <c r="A31" s="7" t="inlineStr">
        <is>
          <t>Total liabilities</t>
        </is>
      </c>
      <c r="B31" s="10">
        <f>Assumptions!$C$70</f>
        <v/>
      </c>
    </row>
    <row r="32">
      <c r="A32" s="7" t="inlineStr">
        <is>
          <t>Total AMOC equity</t>
        </is>
      </c>
      <c r="B32" s="10">
        <f>Assumptions!$C$71</f>
        <v/>
      </c>
    </row>
    <row r="33">
      <c r="A33" s="7" t="inlineStr">
        <is>
          <t>Non-controlling interest</t>
        </is>
      </c>
      <c r="B33" s="10">
        <f>Assumptions!$C$72</f>
        <v/>
      </c>
    </row>
    <row r="34">
      <c r="A34" s="18" t="inlineStr">
        <is>
          <t>CHECK: assets less liabilities less total equity (must be zero)</t>
        </is>
      </c>
      <c r="B34" s="51">
        <f>Assumptions!$C$69-Assumptions!$C$70-Assumptions!$C$71-Assumptions!$C$72</f>
        <v/>
      </c>
    </row>
    <row r="35">
      <c r="A35" s="18" t="inlineStr">
        <is>
          <t>NET WORKING CAPITAL</t>
        </is>
      </c>
      <c r="B35" s="35">
        <f>Assumptions!$C$59+Assumptions!$C$60+Assumptions!$C$61-Assumptions!$C$64-Assumptions!$C$65</f>
        <v/>
      </c>
    </row>
    <row r="36">
      <c r="A36" s="18" t="inlineStr">
        <is>
          <t>INVESTED CAPITAL</t>
        </is>
      </c>
      <c r="B36" s="35">
        <f>B35+Assumptions!$C$57+Assumptions!$C$58</f>
        <v/>
      </c>
    </row>
    <row r="37">
      <c r="A37" s="18" t="inlineStr">
        <is>
          <t>NET CASH</t>
        </is>
      </c>
      <c r="B37" s="35">
        <f>Assumptions!$C$62-Assumptions!$C$67-Assumptions!$C$68</f>
        <v/>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2026-08-06T21:26:44Z</dcterms:created>
  <dcterms:modified xmlns:dcterms="http://purl.org/dc/terms/" xmlns:xsi="http://www.w3.org/2001/XMLSchema-instance" xsi:type="dcterms:W3CDTF">2026-08-06T21:26:44Z</dcterms:modified>
</cp:coreProperties>
</file>