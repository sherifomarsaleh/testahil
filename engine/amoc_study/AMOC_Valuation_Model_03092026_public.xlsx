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1.673203365046849</v>
      </c>
      <c r="C6" s="9">
        <f>'Fundamental Valuation'!B10</f>
        <v/>
      </c>
      <c r="D6" s="8" t="n">
        <v>23.90485159462365</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7.007467250043815</v>
      </c>
      <c r="C8" s="9">
        <f>'Fundamental Valuation'!D12</f>
        <v/>
      </c>
      <c r="D8" s="8" t="n">
        <v>11.12037821977265</v>
      </c>
      <c r="E8" s="10">
        <f>Assumptions!$B$191</f>
        <v/>
      </c>
    </row>
    <row r="9">
      <c r="A9" s="7" t="inlineStr">
        <is>
          <t>Book value and sustainable return</t>
        </is>
      </c>
      <c r="B9" s="8" t="n">
        <v>4.735521527125914</v>
      </c>
      <c r="C9" s="9">
        <f>'Fundamental Valuation'!E13</f>
        <v/>
      </c>
      <c r="D9" s="8" t="n">
        <v>7.116643453998376</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0.2285092330</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0.908</v>
      </c>
      <c r="C176" s="7" t="inlineStr">
        <is>
          <t>Company</t>
        </is>
      </c>
      <c r="D176" s="7"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60" customHeight="1">
      <c r="A180" s="7" t="inlineStr">
        <is>
          <t>Terminal real risk-free rate</t>
        </is>
      </c>
      <c r="B180" s="29" t="n">
        <v>0.055</v>
      </c>
      <c r="C180" s="7" t="inlineStr">
        <is>
          <t>House</t>
        </is>
      </c>
      <c r="D180" s="7"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0.161982185805472</v>
      </c>
      <c r="I27" s="22">
        <f>B830</f>
        <v/>
      </c>
    </row>
    <row r="28">
      <c r="A28" s="7" t="inlineStr">
        <is>
          <t xml:space="preserve">   grid point 2: 0.8000</t>
        </is>
      </c>
      <c r="F28" s="29" t="n">
        <v>0.26438</v>
      </c>
      <c r="G28" s="29" t="n">
        <v>0.1745821858054719</v>
      </c>
      <c r="I28" s="22">
        <f>B879</f>
        <v/>
      </c>
    </row>
    <row r="29">
      <c r="A29" s="7" t="inlineStr">
        <is>
          <t xml:space="preserve">   grid point 3: 0.9080</t>
        </is>
      </c>
      <c r="F29" s="29" t="n">
        <v>0.2745428</v>
      </c>
      <c r="G29" s="29" t="n">
        <v>0.181386185805472</v>
      </c>
      <c r="I29" s="22">
        <f>B928</f>
        <v/>
      </c>
      <c r="J29" s="43">
        <f>B928-DCF!B65</f>
        <v/>
      </c>
    </row>
    <row r="30">
      <c r="A30" s="7" t="inlineStr">
        <is>
          <t xml:space="preserve">   grid point 4: 1.1500</t>
        </is>
      </c>
      <c r="F30" s="29" t="n">
        <v>0.297315</v>
      </c>
      <c r="G30" s="29" t="n">
        <v>0.196632185805472</v>
      </c>
      <c r="I30" s="22">
        <f>B977</f>
        <v/>
      </c>
    </row>
    <row r="31">
      <c r="A31" s="7" t="inlineStr">
        <is>
          <t xml:space="preserve">   grid point 5: 1.3000</t>
        </is>
      </c>
      <c r="F31" s="29" t="n">
        <v>0.31143</v>
      </c>
      <c r="G31" s="29" t="n">
        <v>0.206082185805472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2026-09-03T14:19:08Z</dcterms:created>
  <dcterms:modified xmlns:dcterms="http://purl.org/dc/terms/" xmlns:xsi="http://www.w3.org/2001/XMLSchema-instance" xsi:type="dcterms:W3CDTF">2026-09-03T14:19:08Z</dcterms:modified>
</cp:coreProperties>
</file>