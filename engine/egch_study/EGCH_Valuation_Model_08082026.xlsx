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5" fontId="7"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t>
        </is>
      </c>
    </row>
    <row r="11">
      <c r="A11" s="6" t="inlineStr">
        <is>
          <t>Low (floored at zero — limited liability)</t>
        </is>
      </c>
      <c r="B11" s="11">
        <f>MAX(0,MIN(B5:B8))</f>
        <v/>
      </c>
    </row>
    <row r="12">
      <c r="A12" s="6" t="inlineStr">
        <is>
          <t>High</t>
        </is>
      </c>
      <c r="B12" s="11">
        <f>MAX(B5:C8)</f>
        <v/>
      </c>
    </row>
    <row r="13">
      <c r="A13" s="6" t="inlineStr">
        <is>
          <t>Spread across the four lenses</t>
        </is>
      </c>
      <c r="B13" s="11">
        <f>B12-B11</f>
        <v/>
      </c>
    </row>
    <row r="14">
      <c r="A14" s="6" t="inlineStr">
        <is>
          <t>Spot price, 6 August 2026</t>
        </is>
      </c>
      <c r="B14" s="12" t="n">
        <v>13.98</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0.07933489569564534</v>
      </c>
    </row>
    <row r="26">
      <c r="A26" s="6" t="inlineStr">
        <is>
          <t>Sovereign ten-year yield the same day, for comparison</t>
        </is>
      </c>
      <c r="B26" s="15" t="n">
        <v>0.23</v>
      </c>
    </row>
    <row r="27">
      <c r="A27" s="6" t="inlineStr">
        <is>
          <t>Cost of capital built in this model, year one</t>
        </is>
      </c>
      <c r="B27" s="16">
        <f>'Assumptions'!C102</f>
        <v/>
      </c>
    </row>
    <row r="28">
      <c r="A28" s="6" t="inlineStr">
        <is>
          <t>Cost of capital on the CDS premium basis, year one</t>
        </is>
      </c>
      <c r="B28" s="16">
        <f>'Assumptions'!C100*'Assumptions'!C92+'Assumptions'!C101*'Assumptions'!C98*(1-'Assumptions'!C99)</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B5*1000000/'Assumptions'!C6</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'Assumptions'!C91</f>
        <v/>
      </c>
      <c r="C14" s="9" t="inlineStr">
        <is>
          <t>Built on the Assumptions sheet</t>
        </is>
      </c>
    </row>
    <row r="15" ht="14" customHeight="1">
      <c r="A15" s="6" t="inlineStr">
        <is>
          <t>Terminal growth</t>
        </is>
      </c>
      <c r="B15" s="8">
        <f>'Assumptions'!C109</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B14*0+'Assumptions'!C7*'Assumptions'!C6/1000000/B5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-0.6670929341943478</v>
      </c>
    </row>
    <row r="24">
      <c r="A24" s="6" t="inlineStr">
        <is>
          <t>Cash flow — programme stopped</t>
        </is>
      </c>
      <c r="B24" s="12" t="n">
        <v>3.337010452983641</v>
      </c>
    </row>
    <row r="25">
      <c r="A25" s="6" t="inlineStr">
        <is>
          <t>Book value and sustainable return</t>
        </is>
      </c>
      <c r="B25" s="12" t="n">
        <v>0.5772439672035078</v>
      </c>
    </row>
    <row r="26">
      <c r="A26" s="6" t="inlineStr">
        <is>
          <t>Relative multiples</t>
        </is>
      </c>
      <c r="B26" s="12" t="n">
        <v>7.340407384570012</v>
      </c>
    </row>
    <row r="27">
      <c r="A27" s="6" t="inlineStr">
        <is>
          <t>Normalised earnings power</t>
        </is>
      </c>
      <c r="B27" s="12" t="n">
        <v>3.776252679840041</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37"/>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THE CAPITALISATION</t>
        </is>
      </c>
    </row>
    <row r="6" ht="24" customHeight="1">
      <c r="A6" s="6" t="inlineStr">
        <is>
          <t>Shares outstanding</t>
        </is>
      </c>
      <c r="B6" s="6" t="inlineStr">
        <is>
          <t>shares</t>
        </is>
      </c>
      <c r="C6" s="13" t="n">
        <v>1986578999</v>
      </c>
      <c r="D6" s="9" t="inlineStr">
        <is>
          <t>Audited financial statements, year ended 30 June 2025 (Central Auditing Organization, report dated 23 September 2025), note 14 share capital</t>
        </is>
      </c>
    </row>
    <row r="7" ht="14" customHeight="1">
      <c r="A7" s="6" t="inlineStr">
        <is>
          <t>Anchor price</t>
        </is>
      </c>
      <c r="B7" s="6" t="inlineStr">
        <is>
          <t>EGP</t>
        </is>
      </c>
      <c r="C7" s="12" t="n">
        <v>13.98</v>
      </c>
      <c r="D7" s="9" t="inlineStr">
        <is>
          <t>Exchange close, from the study's own price library</t>
        </is>
      </c>
    </row>
    <row r="8" ht="24" customHeight="1">
      <c r="A8" s="6" t="inlineStr">
        <is>
          <t>Exchange rate, FY2024/25 average</t>
        </is>
      </c>
      <c r="B8" s="6" t="inlineStr">
        <is>
          <t>EGP/US$</t>
        </is>
      </c>
      <c r="C8" s="12" t="n">
        <v>49</v>
      </c>
      <c r="D8" s="9" t="inlineStr">
        <is>
          <t>Constructed: the rate that reconciles note 20 export revenue to the disclosed export price and the implied export tonnage</t>
        </is>
      </c>
    </row>
    <row r="9" ht="14" customHeight="1">
      <c r="A9" s="6" t="inlineStr">
        <is>
          <t>Normalised-earnings multiple, low</t>
        </is>
      </c>
      <c r="B9" s="6" t="inlineStr">
        <is>
          <t>x</t>
        </is>
      </c>
      <c r="C9" s="20" t="n">
        <v>8</v>
      </c>
      <c r="D9" s="9" t="inlineStr">
        <is>
          <t>Multiple applied to mid-cycle profit after tax, low end</t>
        </is>
      </c>
    </row>
    <row r="10" ht="14" customHeight="1">
      <c r="A10" s="6" t="inlineStr">
        <is>
          <t>Normalised-earnings multiple, central</t>
        </is>
      </c>
      <c r="B10" s="6" t="inlineStr">
        <is>
          <t>x</t>
        </is>
      </c>
      <c r="C10" s="20" t="n">
        <v>10</v>
      </c>
      <c r="D10" s="9" t="inlineStr">
        <is>
          <t>Multiple applied to mid-cycle profit after tax, central</t>
        </is>
      </c>
    </row>
    <row r="11" ht="14" customHeight="1">
      <c r="A11" s="6" t="inlineStr">
        <is>
          <t>Normalised-earnings multiple, high</t>
        </is>
      </c>
      <c r="B11" s="6" t="inlineStr">
        <is>
          <t>x</t>
        </is>
      </c>
      <c r="C11" s="20" t="n">
        <v>12</v>
      </c>
      <c r="D11" s="9" t="inlineStr">
        <is>
          <t>Multiple applied to mid-cycle profit after tax, high end</t>
        </is>
      </c>
    </row>
    <row r="12">
      <c r="A12" s="10" t="inlineStr">
        <is>
          <t>CAPACITY AND VOLUME</t>
        </is>
      </c>
    </row>
    <row r="13" ht="14" customHeight="1">
      <c r="A13" s="6" t="inlineStr">
        <is>
          <t>Urea design capacity</t>
        </is>
      </c>
      <c r="B13" s="6" t="inlineStr">
        <is>
          <t>tonnes/year</t>
        </is>
      </c>
      <c r="C13" s="13" t="n">
        <v>574875</v>
      </c>
      <c r="D13" s="9" t="inlineStr">
        <is>
          <t>Constructed: 1,575 t/day contractual plate times 365 days</t>
        </is>
      </c>
    </row>
    <row r="14" ht="24" customHeight="1">
      <c r="A14" s="6" t="inlineStr">
        <is>
          <t>Ammonia design capacity</t>
        </is>
      </c>
      <c r="B14" s="6" t="inlineStr">
        <is>
          <t>tonnes/year</t>
        </is>
      </c>
      <c r="C14" s="13" t="n">
        <v>438000</v>
      </c>
      <c r="D14" s="9" t="inlineStr">
        <is>
          <t>Audited financial statements, year ended 30 June 2025 (Central Auditing Organization, report dated 23 September 2025), note 28</t>
        </is>
      </c>
    </row>
    <row r="15" ht="24" customHeight="1">
      <c r="A15" s="6" t="inlineStr">
        <is>
          <t>Ammonia per tonne of urea</t>
        </is>
      </c>
      <c r="B15" s="6" t="inlineStr">
        <is>
          <t>tonnes</t>
        </is>
      </c>
      <c r="C15" s="21" t="n">
        <v>0.619889556570605</v>
      </c>
      <c r="D15" s="9" t="inlineStr">
        <is>
          <t>Constructed: FY2024/25 ammonia output divided by FY2024/25 urea output, both from the auditor's product cost table</t>
        </is>
      </c>
    </row>
    <row r="16" ht="36" customHeight="1">
      <c r="A16" s="6" t="inlineStr">
        <is>
          <t>Urea capacity utilisation — FY2026/27</t>
        </is>
      </c>
      <c r="B16" s="6" t="inlineStr">
        <is>
          <t>% of plate</t>
        </is>
      </c>
      <c r="C16" s="15" t="n">
        <v>0.913</v>
      </c>
      <c r="D16" s="9" t="inlineStr">
        <is>
          <t>Constructed: utilisation path. Audited output ran 586.4kt in FY2022/23 (2% above plate), 521.9kt in FY2023/24 and 513.4kt in FY2024/25; the path never returns to plate because the summer gas curtailment is structural.</t>
        </is>
      </c>
    </row>
    <row r="17" ht="36" customHeight="1">
      <c r="A17" s="6" t="inlineStr">
        <is>
          <t>Urea capacity utilisation — FY2027/28</t>
        </is>
      </c>
      <c r="B17" s="6" t="inlineStr">
        <is>
          <t>% of plate</t>
        </is>
      </c>
      <c r="C17" s="15" t="n">
        <v>0.922</v>
      </c>
      <c r="D17" s="9" t="inlineStr">
        <is>
          <t>Constructed: utilisation path. Audited output ran 586.4kt in FY2022/23 (2% above plate), 521.9kt in FY2023/24 and 513.4kt in FY2024/25; the path never returns to plate because the summer gas curtailment is structural.</t>
        </is>
      </c>
    </row>
    <row r="18" ht="36" customHeight="1">
      <c r="A18" s="6" t="inlineStr">
        <is>
          <t>Urea capacity utilisation — FY2028/29</t>
        </is>
      </c>
      <c r="B18" s="6" t="inlineStr">
        <is>
          <t>% of plate</t>
        </is>
      </c>
      <c r="C18" s="15" t="n">
        <v>0.93</v>
      </c>
      <c r="D18" s="9" t="inlineStr">
        <is>
          <t>Constructed: utilisation path. Audited output ran 586.4kt in FY2022/23 (2% above plate), 521.9kt in FY2023/24 and 513.4kt in FY2024/25; the path never returns to plate because the summer gas curtailment is structural.</t>
        </is>
      </c>
    </row>
    <row r="19" ht="36" customHeight="1">
      <c r="A19" s="6" t="inlineStr">
        <is>
          <t>Urea capacity utilisation — FY2029/30</t>
        </is>
      </c>
      <c r="B19" s="6" t="inlineStr">
        <is>
          <t>% of plate</t>
        </is>
      </c>
      <c r="C19" s="15" t="n">
        <v>0.9389999999999999</v>
      </c>
      <c r="D19" s="9" t="inlineStr">
        <is>
          <t>Constructed: utilisation path. Audited output ran 586.4kt in FY2022/23 (2% above plate), 521.9kt in FY2023/24 and 513.4kt in FY2024/25; the path never returns to plate because the summer gas curtailment is structural.</t>
        </is>
      </c>
    </row>
    <row r="20" ht="36" customHeight="1">
      <c r="A20" s="6" t="inlineStr">
        <is>
          <t>Urea capacity utilisation — FY2030/31</t>
        </is>
      </c>
      <c r="B20" s="6" t="inlineStr">
        <is>
          <t>% of plate</t>
        </is>
      </c>
      <c r="C20" s="15" t="n">
        <v>0.948</v>
      </c>
      <c r="D20" s="9" t="inlineStr">
        <is>
          <t>Constructed: utilisation path. Audited output ran 586.4kt in FY2022/23 (2% above plate), 521.9kt in FY2023/24 and 513.4kt in FY2024/25; the path never returns to plate because the summer gas curtailment is structural.</t>
        </is>
      </c>
    </row>
    <row r="21" ht="24" customHeight="1">
      <c r="A21" s="6" t="inlineStr">
        <is>
          <t>Subsidised deliveries — FY2026/27</t>
        </is>
      </c>
      <c r="B21" s="6" t="inlineStr">
        <is>
          <t>tonnes</t>
        </is>
      </c>
      <c r="C21" s="13" t="n">
        <v>155000</v>
      </c>
      <c r="D21" s="9" t="inlineStr">
        <is>
          <t>Constructed: subsidised delivery path. The company met 147kt of a 322kt requirement in the fourteen months to August 2025, a 46% compliance rate the forecast does not assume away.</t>
        </is>
      </c>
    </row>
    <row r="22" ht="24" customHeight="1">
      <c r="A22" s="6" t="inlineStr">
        <is>
          <t>Subsidised deliveries — FY2027/28</t>
        </is>
      </c>
      <c r="B22" s="6" t="inlineStr">
        <is>
          <t>tonnes</t>
        </is>
      </c>
      <c r="C22" s="13" t="n">
        <v>160000</v>
      </c>
      <c r="D22" s="9" t="inlineStr">
        <is>
          <t>Constructed: subsidised delivery path. The company met 147kt of a 322kt requirement in the fourteen months to August 2025, a 46% compliance rate the forecast does not assume away.</t>
        </is>
      </c>
    </row>
    <row r="23" ht="24" customHeight="1">
      <c r="A23" s="6" t="inlineStr">
        <is>
          <t>Subsidised deliveries — FY2028/29</t>
        </is>
      </c>
      <c r="B23" s="6" t="inlineStr">
        <is>
          <t>tonnes</t>
        </is>
      </c>
      <c r="C23" s="13" t="n">
        <v>165000</v>
      </c>
      <c r="D23" s="9" t="inlineStr">
        <is>
          <t>Constructed: subsidised delivery path. The company met 147kt of a 322kt requirement in the fourteen months to August 2025, a 46% compliance rate the forecast does not assume away.</t>
        </is>
      </c>
    </row>
    <row r="24" ht="24" customHeight="1">
      <c r="A24" s="6" t="inlineStr">
        <is>
          <t>Subsidised deliveries — FY2029/30</t>
        </is>
      </c>
      <c r="B24" s="6" t="inlineStr">
        <is>
          <t>tonnes</t>
        </is>
      </c>
      <c r="C24" s="13" t="n">
        <v>170000</v>
      </c>
      <c r="D24" s="9" t="inlineStr">
        <is>
          <t>Constructed: subsidised delivery path. The company met 147kt of a 322kt requirement in the fourteen months to August 2025, a 46% compliance rate the forecast does not assume away.</t>
        </is>
      </c>
    </row>
    <row r="25" ht="24" customHeight="1">
      <c r="A25" s="6" t="inlineStr">
        <is>
          <t>Subsidised deliveries — FY2030/31</t>
        </is>
      </c>
      <c r="B25" s="6" t="inlineStr">
        <is>
          <t>tonnes</t>
        </is>
      </c>
      <c r="C25" s="13" t="n">
        <v>175000</v>
      </c>
      <c r="D25" s="9" t="inlineStr">
        <is>
          <t>Constructed: subsidised delivery path. The company met 147kt of a 322kt requirement in the fourteen months to August 2025, a 46% compliance rate the forecast does not assume away.</t>
        </is>
      </c>
    </row>
    <row r="26" ht="14" customHeight="1">
      <c r="A26" s="6" t="inlineStr">
        <is>
          <t>Local free-market volume — FY2026/27</t>
        </is>
      </c>
      <c r="B26" s="6" t="inlineStr">
        <is>
          <t>tonnes</t>
        </is>
      </c>
      <c r="C26" s="13" t="n">
        <v>40000</v>
      </c>
      <c r="D26" s="9" t="inlineStr">
        <is>
          <t>Constructed: local free-market volume path from the 37.1kt implied for FY2024/25.</t>
        </is>
      </c>
    </row>
    <row r="27" ht="14" customHeight="1">
      <c r="A27" s="6" t="inlineStr">
        <is>
          <t>Local free-market volume — FY2027/28</t>
        </is>
      </c>
      <c r="B27" s="6" t="inlineStr">
        <is>
          <t>tonnes</t>
        </is>
      </c>
      <c r="C27" s="13" t="n">
        <v>41000</v>
      </c>
      <c r="D27" s="9" t="inlineStr">
        <is>
          <t>Constructed: local free-market volume path from the 37.1kt implied for FY2024/25.</t>
        </is>
      </c>
    </row>
    <row r="28" ht="14" customHeight="1">
      <c r="A28" s="6" t="inlineStr">
        <is>
          <t>Local free-market volume — FY2028/29</t>
        </is>
      </c>
      <c r="B28" s="6" t="inlineStr">
        <is>
          <t>tonnes</t>
        </is>
      </c>
      <c r="C28" s="13" t="n">
        <v>42000</v>
      </c>
      <c r="D28" s="9" t="inlineStr">
        <is>
          <t>Constructed: local free-market volume path from the 37.1kt implied for FY2024/25.</t>
        </is>
      </c>
    </row>
    <row r="29" ht="14" customHeight="1">
      <c r="A29" s="6" t="inlineStr">
        <is>
          <t>Local free-market volume — FY2029/30</t>
        </is>
      </c>
      <c r="B29" s="6" t="inlineStr">
        <is>
          <t>tonnes</t>
        </is>
      </c>
      <c r="C29" s="13" t="n">
        <v>43000</v>
      </c>
      <c r="D29" s="9" t="inlineStr">
        <is>
          <t>Constructed: local free-market volume path from the 37.1kt implied for FY2024/25.</t>
        </is>
      </c>
    </row>
    <row r="30" ht="14" customHeight="1">
      <c r="A30" s="6" t="inlineStr">
        <is>
          <t>Local free-market volume — FY2030/31</t>
        </is>
      </c>
      <c r="B30" s="6" t="inlineStr">
        <is>
          <t>tonnes</t>
        </is>
      </c>
      <c r="C30" s="13" t="n">
        <v>44000</v>
      </c>
      <c r="D30" s="9" t="inlineStr">
        <is>
          <t>Constructed: local free-market volume path from the 37.1kt implied for FY2024/25.</t>
        </is>
      </c>
    </row>
    <row r="32">
      <c r="A32" s="10" t="inlineStr">
        <is>
          <t>PRICES</t>
        </is>
      </c>
    </row>
    <row r="33" ht="24" customHeight="1">
      <c r="A33" s="6" t="inlineStr">
        <is>
          <t>Export urea price — FY2026/27</t>
        </is>
      </c>
      <c r="B33" s="6" t="inlineStr">
        <is>
          <t>US$/tonne</t>
        </is>
      </c>
      <c r="C33" s="20" t="n">
        <v>530</v>
      </c>
      <c r="D33" s="9" t="inlineStr">
        <is>
          <t>Constructed: export price path, mean-reverting from the August 2026 quote toward the cash cost of the marginal gas-based producer.</t>
        </is>
      </c>
    </row>
    <row r="34" ht="24" customHeight="1">
      <c r="A34" s="6" t="inlineStr">
        <is>
          <t>Export urea price — FY2027/28</t>
        </is>
      </c>
      <c r="B34" s="6" t="inlineStr">
        <is>
          <t>US$/tonne</t>
        </is>
      </c>
      <c r="C34" s="20" t="n">
        <v>500</v>
      </c>
      <c r="D34" s="9" t="inlineStr">
        <is>
          <t>Constructed: export price path, mean-reverting from the August 2026 quote toward the cash cost of the marginal gas-based producer.</t>
        </is>
      </c>
    </row>
    <row r="35" ht="24" customHeight="1">
      <c r="A35" s="6" t="inlineStr">
        <is>
          <t>Export urea price — FY2028/29</t>
        </is>
      </c>
      <c r="B35" s="6" t="inlineStr">
        <is>
          <t>US$/tonne</t>
        </is>
      </c>
      <c r="C35" s="20" t="n">
        <v>470</v>
      </c>
      <c r="D35" s="9" t="inlineStr">
        <is>
          <t>Constructed: export price path, mean-reverting from the August 2026 quote toward the cash cost of the marginal gas-based producer.</t>
        </is>
      </c>
    </row>
    <row r="36" ht="24" customHeight="1">
      <c r="A36" s="6" t="inlineStr">
        <is>
          <t>Export urea price — FY2029/30</t>
        </is>
      </c>
      <c r="B36" s="6" t="inlineStr">
        <is>
          <t>US$/tonne</t>
        </is>
      </c>
      <c r="C36" s="20" t="n">
        <v>450</v>
      </c>
      <c r="D36" s="9" t="inlineStr">
        <is>
          <t>Constructed: export price path, mean-reverting from the August 2026 quote toward the cash cost of the marginal gas-based producer.</t>
        </is>
      </c>
    </row>
    <row r="37" ht="24" customHeight="1">
      <c r="A37" s="6" t="inlineStr">
        <is>
          <t>Export urea price — FY2030/31</t>
        </is>
      </c>
      <c r="B37" s="6" t="inlineStr">
        <is>
          <t>US$/tonne</t>
        </is>
      </c>
      <c r="C37" s="20" t="n">
        <v>440</v>
      </c>
      <c r="D37" s="9" t="inlineStr">
        <is>
          <t>Constructed: export price path, mean-reverting from the August 2026 quote toward the cash cost of the marginal gas-based producer.</t>
        </is>
      </c>
    </row>
    <row r="38" ht="24" customHeight="1">
      <c r="A38" s="6" t="inlineStr">
        <is>
          <t>Egyptian pounds per US dollar — FY2026/27</t>
        </is>
      </c>
      <c r="B38" s="6" t="inlineStr">
        <is>
          <t>EGP/US$</t>
        </is>
      </c>
      <c r="C38" s="12" t="n">
        <v>53.4853515625</v>
      </c>
      <c r="D38" s="9" t="inlineStr">
        <is>
          <t>Derived: the spot rate compounded at the relative-purchasing-power wedge against the model's own inflation path, year by year</t>
        </is>
      </c>
    </row>
    <row r="39" ht="24" customHeight="1">
      <c r="A39" s="6" t="inlineStr">
        <is>
          <t>Egyptian pounds per US dollar — FY2027/28</t>
        </is>
      </c>
      <c r="B39" s="6" t="inlineStr">
        <is>
          <t>EGP/US$</t>
        </is>
      </c>
      <c r="C39" s="12" t="n">
        <v>56.67149066925049</v>
      </c>
      <c r="D39" s="9" t="inlineStr">
        <is>
          <t>Derived: the spot rate compounded at the relative-purchasing-power wedge against the model's own inflation path, year by year</t>
        </is>
      </c>
    </row>
    <row r="40" ht="24" customHeight="1">
      <c r="A40" s="6" t="inlineStr">
        <is>
          <t>Egyptian pounds per US dollar — FY2028/29</t>
        </is>
      </c>
      <c r="B40" s="6" t="inlineStr">
        <is>
          <t>EGP/US$</t>
        </is>
      </c>
      <c r="C40" s="12" t="n">
        <v>59.49399655219167</v>
      </c>
      <c r="D40" s="9" t="inlineStr">
        <is>
          <t>Derived: the spot rate compounded at the relative-purchasing-power wedge against the model's own inflation path, year by year</t>
        </is>
      </c>
    </row>
    <row r="41" ht="24" customHeight="1">
      <c r="A41" s="6" t="inlineStr">
        <is>
          <t>Egyptian pounds per US dollar — FY2029/30</t>
        </is>
      </c>
      <c r="B41" s="6" t="inlineStr">
        <is>
          <t>EGP/US$</t>
        </is>
      </c>
      <c r="C41" s="12" t="n">
        <v>62.16657842855966</v>
      </c>
      <c r="D41" s="9" t="inlineStr">
        <is>
          <t>Derived: the spot rate compounded at the relative-purchasing-power wedge against the model's own inflation path, year by year</t>
        </is>
      </c>
    </row>
    <row r="42" ht="24" customHeight="1">
      <c r="A42" s="6" t="inlineStr">
        <is>
          <t>Egyptian pounds per US dollar — FY2030/31</t>
        </is>
      </c>
      <c r="B42" s="6" t="inlineStr">
        <is>
          <t>EGP/US$</t>
        </is>
      </c>
      <c r="C42" s="12" t="n">
        <v>64.95921769390512</v>
      </c>
      <c r="D42" s="9" t="inlineStr">
        <is>
          <t>Derived: the spot rate compounded at the relative-purchasing-power wedge against the model's own inflation path, year by year</t>
        </is>
      </c>
    </row>
    <row r="43" ht="14" customHeight="1">
      <c r="A43" s="6" t="inlineStr">
        <is>
          <t>Export duty</t>
        </is>
      </c>
      <c r="B43" s="6" t="inlineStr">
        <is>
          <t>% of export value</t>
        </is>
      </c>
      <c r="C43" s="15" t="n">
        <v>0.1</v>
      </c>
      <c r="D43" s="9" t="inlineStr">
        <is>
          <t>2026 replacement of the shortfall levy with an ad-valorem duty tied to the global price</t>
        </is>
      </c>
    </row>
    <row r="44" ht="14" customHeight="1">
      <c r="A44" s="6" t="inlineStr">
        <is>
          <t>Subsidised price — FY2026/27</t>
        </is>
      </c>
      <c r="B44" s="6" t="inlineStr">
        <is>
          <t>EGP/tonne</t>
        </is>
      </c>
      <c r="C44" s="13" t="n">
        <v>7526</v>
      </c>
      <c r="D44" s="9" t="inlineStr">
        <is>
          <t>Constructed: administered subsidised price path from the EGP 6,000 cooperative supply price.</t>
        </is>
      </c>
    </row>
    <row r="45" ht="14" customHeight="1">
      <c r="A45" s="6" t="inlineStr">
        <is>
          <t>Subsidised price — FY2027/28</t>
        </is>
      </c>
      <c r="B45" s="6" t="inlineStr">
        <is>
          <t>EGP/tonne</t>
        </is>
      </c>
      <c r="C45" s="13" t="n">
        <v>8429</v>
      </c>
      <c r="D45" s="9" t="inlineStr">
        <is>
          <t>Constructed: administered subsidised price path from the EGP 6,000 cooperative supply price.</t>
        </is>
      </c>
    </row>
    <row r="46" ht="14" customHeight="1">
      <c r="A46" s="6" t="inlineStr">
        <is>
          <t>Subsidised price — FY2028/29</t>
        </is>
      </c>
      <c r="B46" s="6" t="inlineStr">
        <is>
          <t>EGP/tonne</t>
        </is>
      </c>
      <c r="C46" s="13" t="n">
        <v>9272</v>
      </c>
      <c r="D46" s="9" t="inlineStr">
        <is>
          <t>Constructed: administered subsidised price path from the EGP 6,000 cooperative supply price.</t>
        </is>
      </c>
    </row>
    <row r="47" ht="14" customHeight="1">
      <c r="A47" s="6" t="inlineStr">
        <is>
          <t>Subsidised price — FY2029/30</t>
        </is>
      </c>
      <c r="B47" s="6" t="inlineStr">
        <is>
          <t>EGP/tonne</t>
        </is>
      </c>
      <c r="C47" s="13" t="n">
        <v>10106</v>
      </c>
      <c r="D47" s="9" t="inlineStr">
        <is>
          <t>Constructed: administered subsidised price path from the EGP 6,000 cooperative supply price.</t>
        </is>
      </c>
    </row>
    <row r="48" ht="14" customHeight="1">
      <c r="A48" s="6" t="inlineStr">
        <is>
          <t>Subsidised price — FY2030/31</t>
        </is>
      </c>
      <c r="B48" s="6" t="inlineStr">
        <is>
          <t>EGP/tonne</t>
        </is>
      </c>
      <c r="C48" s="13" t="n">
        <v>10915</v>
      </c>
      <c r="D48" s="9" t="inlineStr">
        <is>
          <t>Constructed: administered subsidised price path from the EGP 6,000 cooperative supply price.</t>
        </is>
      </c>
    </row>
    <row r="49" ht="24" customHeight="1">
      <c r="A49" s="6" t="inlineStr">
        <is>
          <t>Local free price as % of export parity</t>
        </is>
      </c>
      <c r="B49" s="6" t="inlineStr">
        <is>
          <t>%</t>
        </is>
      </c>
      <c r="C49" s="15" t="n">
        <v>0.9</v>
      </c>
      <c r="D49" s="9" t="inlineStr">
        <is>
          <t>Constructed: local free-market urea clears at about 90% of export parity, implied by the FY2024/25 note-20 local revenue net of the subsidised and nitrate legs</t>
        </is>
      </c>
    </row>
    <row r="50" ht="24" customHeight="1">
      <c r="A50" s="6" t="inlineStr">
        <is>
          <t>Nitrate volume — FY2026/27</t>
        </is>
      </c>
      <c r="B50" s="6" t="inlineStr">
        <is>
          <t>tonnes</t>
        </is>
      </c>
      <c r="C50" s="13" t="n">
        <v>26000</v>
      </c>
      <c r="D50" s="9" t="inlineStr">
        <is>
          <t>Constructed: nitrate volume path, flat on the FY2024/25 combined granulated and low-density output.</t>
        </is>
      </c>
    </row>
    <row r="51" ht="24" customHeight="1">
      <c r="A51" s="6" t="inlineStr">
        <is>
          <t>Nitrate volume — FY2027/28</t>
        </is>
      </c>
      <c r="B51" s="6" t="inlineStr">
        <is>
          <t>tonnes</t>
        </is>
      </c>
      <c r="C51" s="13" t="n">
        <v>26000</v>
      </c>
      <c r="D51" s="9" t="inlineStr">
        <is>
          <t>Constructed: nitrate volume path, flat on the FY2024/25 combined granulated and low-density output.</t>
        </is>
      </c>
    </row>
    <row r="52" ht="24" customHeight="1">
      <c r="A52" s="6" t="inlineStr">
        <is>
          <t>Nitrate volume — FY2028/29</t>
        </is>
      </c>
      <c r="B52" s="6" t="inlineStr">
        <is>
          <t>tonnes</t>
        </is>
      </c>
      <c r="C52" s="13" t="n">
        <v>26000</v>
      </c>
      <c r="D52" s="9" t="inlineStr">
        <is>
          <t>Constructed: nitrate volume path, flat on the FY2024/25 combined granulated and low-density output.</t>
        </is>
      </c>
    </row>
    <row r="53" ht="24" customHeight="1">
      <c r="A53" s="6" t="inlineStr">
        <is>
          <t>Nitrate volume — FY2029/30</t>
        </is>
      </c>
      <c r="B53" s="6" t="inlineStr">
        <is>
          <t>tonnes</t>
        </is>
      </c>
      <c r="C53" s="13" t="n">
        <v>26000</v>
      </c>
      <c r="D53" s="9" t="inlineStr">
        <is>
          <t>Constructed: nitrate volume path, flat on the FY2024/25 combined granulated and low-density output.</t>
        </is>
      </c>
    </row>
    <row r="54" ht="24" customHeight="1">
      <c r="A54" s="6" t="inlineStr">
        <is>
          <t>Nitrate volume — FY2030/31</t>
        </is>
      </c>
      <c r="B54" s="6" t="inlineStr">
        <is>
          <t>tonnes</t>
        </is>
      </c>
      <c r="C54" s="13" t="n">
        <v>26000</v>
      </c>
      <c r="D54" s="9" t="inlineStr">
        <is>
          <t>Constructed: nitrate volume path, flat on the FY2024/25 combined granulated and low-density output.</t>
        </is>
      </c>
    </row>
    <row r="55" ht="24" customHeight="1">
      <c r="A55" s="6" t="inlineStr">
        <is>
          <t>Nitrate price, FY2024/25 basis</t>
        </is>
      </c>
      <c r="B55" s="6" t="inlineStr">
        <is>
          <t>EGP/tonne</t>
        </is>
      </c>
      <c r="C55" s="13" t="n">
        <v>20000</v>
      </c>
      <c r="D55" s="9" t="inlineStr">
        <is>
          <t>Implied by the note-20 local revenue net of the subsidised and free-market urea legs; indexed forward on the currency</t>
        </is>
      </c>
    </row>
    <row r="56" ht="14" customHeight="1">
      <c r="A56" s="6" t="inlineStr">
        <is>
          <t>Other revenue — FY2026/27</t>
        </is>
      </c>
      <c r="B56" s="6" t="inlineStr">
        <is>
          <t>EGP m</t>
        </is>
      </c>
      <c r="C56" s="20" t="n">
        <v>140</v>
      </c>
      <c r="D56" s="9" t="inlineStr">
        <is>
          <t>Constructed: merchant nitric acid, the ferrosilicon plant's rent and services.</t>
        </is>
      </c>
    </row>
    <row r="57" ht="14" customHeight="1">
      <c r="A57" s="6" t="inlineStr">
        <is>
          <t>Other revenue — FY2027/28</t>
        </is>
      </c>
      <c r="B57" s="6" t="inlineStr">
        <is>
          <t>EGP m</t>
        </is>
      </c>
      <c r="C57" s="20" t="n">
        <v>152</v>
      </c>
      <c r="D57" s="9" t="inlineStr">
        <is>
          <t>Constructed: merchant nitric acid, the ferrosilicon plant's rent and services.</t>
        </is>
      </c>
    </row>
    <row r="58" ht="14" customHeight="1">
      <c r="A58" s="6" t="inlineStr">
        <is>
          <t>Other revenue — FY2028/29</t>
        </is>
      </c>
      <c r="B58" s="6" t="inlineStr">
        <is>
          <t>EGP m</t>
        </is>
      </c>
      <c r="C58" s="20" t="n">
        <v>163</v>
      </c>
      <c r="D58" s="9" t="inlineStr">
        <is>
          <t>Constructed: merchant nitric acid, the ferrosilicon plant's rent and services.</t>
        </is>
      </c>
    </row>
    <row r="59" ht="14" customHeight="1">
      <c r="A59" s="6" t="inlineStr">
        <is>
          <t>Other revenue — FY2029/30</t>
        </is>
      </c>
      <c r="B59" s="6" t="inlineStr">
        <is>
          <t>EGP m</t>
        </is>
      </c>
      <c r="C59" s="20" t="n">
        <v>174</v>
      </c>
      <c r="D59" s="9" t="inlineStr">
        <is>
          <t>Constructed: merchant nitric acid, the ferrosilicon plant's rent and services.</t>
        </is>
      </c>
    </row>
    <row r="60" ht="14" customHeight="1">
      <c r="A60" s="6" t="inlineStr">
        <is>
          <t>Other revenue — FY2030/31</t>
        </is>
      </c>
      <c r="B60" s="6" t="inlineStr">
        <is>
          <t>EGP m</t>
        </is>
      </c>
      <c r="C60" s="20" t="n">
        <v>186</v>
      </c>
      <c r="D60" s="9" t="inlineStr">
        <is>
          <t>Constructed: merchant nitric acid, the ferrosilicon plant's rent and services.</t>
        </is>
      </c>
    </row>
    <row r="62">
      <c r="A62" s="10" t="inlineStr">
        <is>
          <t>COST STACK — ONE ESCALATOR PER PHYSICAL DRIVER</t>
        </is>
      </c>
    </row>
    <row r="63" ht="48" customHeight="1">
      <c r="A63" s="6" t="inlineStr">
        <is>
          <t>Gas per tonne of ammonia</t>
        </is>
      </c>
      <c r="B63" s="6" t="inlineStr">
        <is>
          <t>m3</t>
        </is>
      </c>
      <c r="C63" s="13" t="n">
        <v>1292</v>
      </c>
      <c r="D63"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64" ht="36" customHeight="1">
      <c r="A64" s="6" t="inlineStr">
        <is>
          <t>Realised gas price</t>
        </is>
      </c>
      <c r="B64" s="6" t="inlineStr">
        <is>
          <t>US$/mmBtu</t>
        </is>
      </c>
      <c r="C64" s="12" t="n">
        <v>4.68</v>
      </c>
      <c r="D64" s="9" t="inlineStr">
        <is>
          <t>Constructed: the company's own Q1 disclosure values 31,313,235 m3 of lost gas at EGP 251m, or EGP 8.016/m3, which converts to about US$4.68/mmBtu at the prevailing rate — below the US$5.75 contract price, which the study carries as its downside case</t>
        </is>
      </c>
    </row>
    <row r="65" ht="14" customHeight="1">
      <c r="A65" s="6" t="inlineStr">
        <is>
          <t>Energy conversion</t>
        </is>
      </c>
      <c r="B65" s="6" t="inlineStr">
        <is>
          <t>mmBtu per m3</t>
        </is>
      </c>
      <c r="C65" s="22" t="n">
        <v>0.03531</v>
      </c>
      <c r="D65" s="9" t="inlineStr">
        <is>
          <t>Constructed: standard gross calorific conversion</t>
        </is>
      </c>
    </row>
    <row r="66" ht="24" customHeight="1">
      <c r="A66" s="6" t="inlineStr">
        <is>
          <t>Other materials per tonne of urea</t>
        </is>
      </c>
      <c r="B66" s="6" t="inlineStr">
        <is>
          <t>EGP</t>
        </is>
      </c>
      <c r="C66" s="13" t="n">
        <v>2141.977268521675</v>
      </c>
      <c r="D66" s="9" t="inlineStr">
        <is>
          <t>The FY2024/25 materials line less modelled gas, over urea output: packaging, catalysts and consumable spares</t>
        </is>
      </c>
    </row>
    <row r="67" ht="24" customHeight="1">
      <c r="A67" s="6" t="inlineStr">
        <is>
          <t>Wages in cost of sales, FY2024/25</t>
        </is>
      </c>
      <c r="B67" s="6" t="inlineStr">
        <is>
          <t>EGP m</t>
        </is>
      </c>
      <c r="C67" s="20" t="n">
        <v>212.857</v>
      </c>
      <c r="D67" s="9" t="inlineStr">
        <is>
          <t>Audited financial statements, year ended 30 June 2025 (Central Auditing Organization, report dated 23 September 2025), note 21</t>
        </is>
      </c>
    </row>
    <row r="68" ht="24" customHeight="1">
      <c r="A68" s="6" t="inlineStr">
        <is>
          <t>Purchased services, FY2024/25</t>
        </is>
      </c>
      <c r="B68" s="6" t="inlineStr">
        <is>
          <t>EGP m</t>
        </is>
      </c>
      <c r="C68" s="20" t="n">
        <v>62.557</v>
      </c>
      <c r="D68" s="9" t="inlineStr">
        <is>
          <t>Audited financial statements, year ended 30 June 2025 (Central Auditing Organization, report dated 23 September 2025), note 21</t>
        </is>
      </c>
    </row>
    <row r="69" ht="24" customHeight="1">
      <c r="A69" s="6" t="inlineStr">
        <is>
          <t>Inland freight per export tonne</t>
        </is>
      </c>
      <c r="B69" s="6" t="inlineStr">
        <is>
          <t>EGP</t>
        </is>
      </c>
      <c r="C69" s="13" t="n">
        <v>1741.725316670984</v>
      </c>
      <c r="D69" s="9" t="inlineStr">
        <is>
          <t>Audited financial statements, year ended 30 June 2025 (Central Auditing Organization, report dated 23 September 2025), note 22 freight and commissions over the implied export tonnage</t>
        </is>
      </c>
    </row>
    <row r="70" ht="24" customHeight="1">
      <c r="A70" s="6" t="inlineStr">
        <is>
          <t>Other selling cost, FY2024/25</t>
        </is>
      </c>
      <c r="B70" s="6" t="inlineStr">
        <is>
          <t>EGP m</t>
        </is>
      </c>
      <c r="C70" s="20" t="n">
        <v>176.305</v>
      </c>
      <c r="D70" s="9" t="inlineStr">
        <is>
          <t>Audited financial statements, year ended 30 June 2025 (Central Auditing Organization, report dated 23 September 2025), note 22 selling materials, wages and other selling expense</t>
        </is>
      </c>
    </row>
    <row r="71" ht="24" customHeight="1">
      <c r="A71" s="6" t="inlineStr">
        <is>
          <t>Administrative expense, FY2024/25</t>
        </is>
      </c>
      <c r="B71" s="6" t="inlineStr">
        <is>
          <t>EGP m</t>
        </is>
      </c>
      <c r="C71" s="20" t="n">
        <v>359.624</v>
      </c>
      <c r="D71" s="9" t="inlineStr">
        <is>
          <t>Audited financial statements, year ended 30 June 2025 (Central Auditing Organization, report dated 23 September 2025), income statement</t>
        </is>
      </c>
    </row>
    <row r="72" ht="24" customHeight="1">
      <c r="A72" s="6" t="inlineStr">
        <is>
          <t>Stoppage and abnormal gas cost — FY2026/27</t>
        </is>
      </c>
      <c r="B72" s="6" t="inlineStr">
        <is>
          <t>EGP m</t>
        </is>
      </c>
      <c r="C72" s="20" t="n">
        <v>150</v>
      </c>
      <c r="D72" s="9" t="inlineStr">
        <is>
          <t>Constructed: stoppage and abnormal-gas cost, decaying as supply normalises from the EGP 164.5m charged in FY2024/25.</t>
        </is>
      </c>
    </row>
    <row r="73" ht="24" customHeight="1">
      <c r="A73" s="6" t="inlineStr">
        <is>
          <t>Stoppage and abnormal gas cost — FY2027/28</t>
        </is>
      </c>
      <c r="B73" s="6" t="inlineStr">
        <is>
          <t>EGP m</t>
        </is>
      </c>
      <c r="C73" s="20" t="n">
        <v>120</v>
      </c>
      <c r="D73" s="9" t="inlineStr">
        <is>
          <t>Constructed: stoppage and abnormal-gas cost, decaying as supply normalises from the EGP 164.5m charged in FY2024/25.</t>
        </is>
      </c>
    </row>
    <row r="74" ht="24" customHeight="1">
      <c r="A74" s="6" t="inlineStr">
        <is>
          <t>Stoppage and abnormal gas cost — FY2028/29</t>
        </is>
      </c>
      <c r="B74" s="6" t="inlineStr">
        <is>
          <t>EGP m</t>
        </is>
      </c>
      <c r="C74" s="20" t="n">
        <v>100</v>
      </c>
      <c r="D74" s="9" t="inlineStr">
        <is>
          <t>Constructed: stoppage and abnormal-gas cost, decaying as supply normalises from the EGP 164.5m charged in FY2024/25.</t>
        </is>
      </c>
    </row>
    <row r="75" ht="24" customHeight="1">
      <c r="A75" s="6" t="inlineStr">
        <is>
          <t>Stoppage and abnormal gas cost — FY2029/30</t>
        </is>
      </c>
      <c r="B75" s="6" t="inlineStr">
        <is>
          <t>EGP m</t>
        </is>
      </c>
      <c r="C75" s="20" t="n">
        <v>90</v>
      </c>
      <c r="D75" s="9" t="inlineStr">
        <is>
          <t>Constructed: stoppage and abnormal-gas cost, decaying as supply normalises from the EGP 164.5m charged in FY2024/25.</t>
        </is>
      </c>
    </row>
    <row r="76" ht="24" customHeight="1">
      <c r="A76" s="6" t="inlineStr">
        <is>
          <t>Stoppage and abnormal gas cost — FY2030/31</t>
        </is>
      </c>
      <c r="B76" s="6" t="inlineStr">
        <is>
          <t>EGP m</t>
        </is>
      </c>
      <c r="C76" s="20" t="n">
        <v>80</v>
      </c>
      <c r="D76" s="9" t="inlineStr">
        <is>
          <t>Constructed: stoppage and abnormal-gas cost, decaying as supply normalises from the EGP 164.5m charged in FY2024/25.</t>
        </is>
      </c>
    </row>
    <row r="77" ht="14" customHeight="1">
      <c r="A77" s="6" t="inlineStr">
        <is>
          <t>Egyptian inflation — FY2026/27</t>
        </is>
      </c>
      <c r="B77" s="6" t="inlineStr">
        <is>
          <t>%</t>
        </is>
      </c>
      <c r="C77" s="15" t="n">
        <v>0.1</v>
      </c>
      <c r="D77" s="9" t="inlineStr">
        <is>
          <t>Domestic inflation converging from the June 2026 print on the central bank's target.</t>
        </is>
      </c>
    </row>
    <row r="78" ht="14" customHeight="1">
      <c r="A78" s="6" t="inlineStr">
        <is>
          <t>Egyptian inflation — FY2027/28</t>
        </is>
      </c>
      <c r="B78" s="6" t="inlineStr">
        <is>
          <t>%</t>
        </is>
      </c>
      <c r="C78" s="15" t="n">
        <v>0.08500000000000001</v>
      </c>
      <c r="D78" s="9" t="inlineStr">
        <is>
          <t>Domestic inflation converging from the June 2026 print on the central bank's target.</t>
        </is>
      </c>
    </row>
    <row r="79" ht="14" customHeight="1">
      <c r="A79" s="6" t="inlineStr">
        <is>
          <t>Egyptian inflation — FY2028/29</t>
        </is>
      </c>
      <c r="B79" s="6" t="inlineStr">
        <is>
          <t>%</t>
        </is>
      </c>
      <c r="C79" s="15" t="n">
        <v>0.075</v>
      </c>
      <c r="D79" s="9" t="inlineStr">
        <is>
          <t>Domestic inflation converging from the June 2026 print on the central bank's target.</t>
        </is>
      </c>
    </row>
    <row r="80" ht="14" customHeight="1">
      <c r="A80" s="6" t="inlineStr">
        <is>
          <t>Egyptian inflation — FY2029/30</t>
        </is>
      </c>
      <c r="B80" s="6" t="inlineStr">
        <is>
          <t>%</t>
        </is>
      </c>
      <c r="C80" s="15" t="n">
        <v>0.07000000000000001</v>
      </c>
      <c r="D80" s="9" t="inlineStr">
        <is>
          <t>Domestic inflation converging from the June 2026 print on the central bank's target.</t>
        </is>
      </c>
    </row>
    <row r="81" ht="14" customHeight="1">
      <c r="A81" s="6" t="inlineStr">
        <is>
          <t>Egyptian inflation — FY2030/31</t>
        </is>
      </c>
      <c r="B81" s="6" t="inlineStr">
        <is>
          <t>%</t>
        </is>
      </c>
      <c r="C81" s="15" t="n">
        <v>0.07000000000000001</v>
      </c>
      <c r="D81" s="9" t="inlineStr">
        <is>
          <t>Domestic inflation converging from the June 2026 print on the central bank's target.</t>
        </is>
      </c>
    </row>
    <row r="83">
      <c r="A83" s="10" t="inlineStr">
        <is>
          <t>COST OF CAPITAL</t>
        </is>
      </c>
    </row>
    <row r="84" ht="14" customHeight="1">
      <c r="A84" s="6" t="inlineStr">
        <is>
          <t>Observed ten-year government yield</t>
        </is>
      </c>
      <c r="B84" s="6" t="inlineStr">
        <is>
          <t>%</t>
        </is>
      </c>
      <c r="C84" s="23" t="n">
        <v>0.23</v>
      </c>
      <c r="D84" s="9" t="inlineStr">
        <is>
          <t>Egypt ten-year government bond yield, market quote</t>
        </is>
      </c>
    </row>
    <row r="85" ht="14" customHeight="1">
      <c r="A85" s="6" t="inlineStr">
        <is>
          <t>Sovereign default spread, rating basis</t>
        </is>
      </c>
      <c r="B85" s="6" t="inlineStr">
        <is>
          <t>%</t>
        </is>
      </c>
      <c r="C85" s="23" t="n">
        <v>0.06372478453347744</v>
      </c>
      <c r="D85" s="9" t="inlineStr">
        <is>
          <t>Country risk premium workbook, original file, Egypt row, adjusted default spread</t>
        </is>
      </c>
    </row>
    <row r="86">
      <c r="A86" s="6" t="inlineStr">
        <is>
          <t>Normalised risk-free rate, rating basis</t>
        </is>
      </c>
      <c r="B86" s="6" t="inlineStr">
        <is>
          <t>%</t>
        </is>
      </c>
      <c r="C86" s="16">
        <f>'Assumptions'!C84-'Assumptions'!C85</f>
        <v/>
      </c>
      <c r="D86" s="9" t="inlineStr">
        <is>
          <t>Country risk enters ONCE, through the premium below. Using the raw local yield with a country-loaded premium would charge Egypt's sovereign risk twice.</t>
        </is>
      </c>
    </row>
    <row r="87" ht="14" customHeight="1">
      <c r="A87" s="6" t="inlineStr">
        <is>
          <t>Equity risk premium, rating basis</t>
        </is>
      </c>
      <c r="B87" s="6" t="inlineStr">
        <is>
          <t>%</t>
        </is>
      </c>
      <c r="C87" s="23" t="n">
        <v>0.139376943200201</v>
      </c>
      <c r="D87" s="9" t="inlineStr">
        <is>
          <t>Country risk premium workbook, original file, Egypt row, rating basis total equity risk premium</t>
        </is>
      </c>
    </row>
    <row r="88" ht="14" customHeight="1">
      <c r="A88" s="6" t="inlineStr">
        <is>
          <t>Sovereign default spread, CDS basis</t>
        </is>
      </c>
      <c r="B88" s="6" t="inlineStr">
        <is>
          <t>%</t>
        </is>
      </c>
      <c r="C88" s="23" t="n">
        <v>0.0341</v>
      </c>
      <c r="D88" s="9" t="inlineStr">
        <is>
          <t>Country risk premium workbook, original file, Egypt row, ten-year CDS spread</t>
        </is>
      </c>
    </row>
    <row r="89" ht="36" customHeight="1">
      <c r="A89" s="6" t="inlineStr">
        <is>
          <t>Equity risk premium, CDS basis</t>
        </is>
      </c>
      <c r="B89" s="6" t="inlineStr">
        <is>
          <t>%</t>
        </is>
      </c>
      <c r="C89" s="23" t="n">
        <v>0.0941</v>
      </c>
      <c r="D89" s="9"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0" ht="24" customHeight="1">
      <c r="A90" s="6" t="inlineStr">
        <is>
          <t>Beta</t>
        </is>
      </c>
      <c r="B90" s="6" t="inlineStr">
        <is>
          <t>x</t>
        </is>
      </c>
      <c r="C90" s="21" t="n">
        <v>1.052664590352939</v>
      </c>
      <c r="D90" s="9" t="inlineStr">
        <is>
          <t>Own-stock weekly regression, 257 observations over five years against an equal-weight index of 35 Egyptian names with the subject excluded, R-squared 0.283, standard error 0.105</t>
        </is>
      </c>
    </row>
    <row r="91">
      <c r="A91" s="6" t="inlineStr">
        <is>
          <t>Cost of equity, rating basis</t>
        </is>
      </c>
      <c r="B91" s="6" t="inlineStr">
        <is>
          <t>%</t>
        </is>
      </c>
      <c r="C91" s="16">
        <f>'Assumptions'!C86+'Assumptions'!C90*'Assumptions'!C87</f>
        <v/>
      </c>
    </row>
    <row r="92">
      <c r="A92" s="6" t="inlineStr">
        <is>
          <t>Cost of equity, CDS basis</t>
        </is>
      </c>
      <c r="B92" s="6" t="inlineStr">
        <is>
          <t>%</t>
        </is>
      </c>
      <c r="C92" s="16">
        <f>'Assumptions'!C84-'Assumptions'!C88+'Assumptions'!C90*'Assumptions'!C89</f>
        <v/>
      </c>
    </row>
    <row r="93" ht="24" customHeight="1">
      <c r="A93" s="6" t="inlineStr">
        <is>
          <t>Cost of debt, local currency</t>
        </is>
      </c>
      <c r="B93" s="6" t="inlineStr">
        <is>
          <t>%</t>
        </is>
      </c>
      <c r="C93" s="23" t="n">
        <v>0.194</v>
      </c>
      <c r="D93" s="9" t="inlineStr">
        <is>
          <t>Constructed: EGP 96,896,001 of interest on the EGP 500,000,000 holding-company facility drawn in FY2024/25 — the company's own latest local borrowing</t>
        </is>
      </c>
    </row>
    <row r="94" ht="14" customHeight="1">
      <c r="A94" s="6" t="inlineStr">
        <is>
          <t>Cost of debt, dollar tranche, in dollars</t>
        </is>
      </c>
      <c r="B94" s="6" t="inlineStr">
        <is>
          <t>%</t>
        </is>
      </c>
      <c r="C94" s="23" t="n">
        <v>0.117</v>
      </c>
      <c r="D94" s="9" t="inlineStr">
        <is>
          <t>Constructed: EGP 1,338.0m of FY2024/25 interest on a mean dollar balance of about US$233m</t>
        </is>
      </c>
    </row>
    <row r="95" ht="60" customHeight="1">
      <c r="A95" s="6" t="inlineStr">
        <is>
          <t>Expected currency depreciation</t>
        </is>
      </c>
      <c r="B95" s="6" t="inlineStr">
        <is>
          <t>%</t>
        </is>
      </c>
      <c r="C95" s="23" t="n">
        <v>0.025390625</v>
      </c>
      <c r="D95" s="9"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96">
      <c r="A96" s="6" t="inlineStr">
        <is>
          <t>Dollar debt at local-equivalent cost</t>
        </is>
      </c>
      <c r="B96" s="6" t="inlineStr">
        <is>
          <t>%</t>
        </is>
      </c>
      <c r="C96" s="16">
        <f>(1+'Assumptions'!C94)*(1+'Assumptions'!C95)-1</f>
        <v/>
      </c>
    </row>
    <row r="97" ht="24" customHeight="1">
      <c r="A97" s="6" t="inlineStr">
        <is>
          <t>Share of debt in local currency</t>
        </is>
      </c>
      <c r="B97" s="6" t="inlineStr">
        <is>
          <t>%</t>
        </is>
      </c>
      <c r="C97" s="15" t="n">
        <v>0.003135811265216677</v>
      </c>
      <c r="D97" s="9" t="inlineStr">
        <is>
          <t>The pound tranche of the project loan was repaid in June 2024, so the book is almost entirely dollar</t>
        </is>
      </c>
    </row>
    <row r="98">
      <c r="A98" s="6" t="inlineStr">
        <is>
          <t>Blended pre-tax cost of debt</t>
        </is>
      </c>
      <c r="B98" s="6" t="inlineStr">
        <is>
          <t>%</t>
        </is>
      </c>
      <c r="C98" s="16">
        <f>'Assumptions'!C97*'Assumptions'!C93+(1-'Assumptions'!C97)*'Assumptions'!C96</f>
        <v/>
      </c>
    </row>
    <row r="99" ht="24" customHeight="1">
      <c r="A99" s="6" t="inlineStr">
        <is>
          <t>Tax rate</t>
        </is>
      </c>
      <c r="B99" s="6" t="inlineStr">
        <is>
          <t>%</t>
        </is>
      </c>
      <c r="C99" s="15" t="n">
        <v>0.225</v>
      </c>
      <c r="D99" s="9" t="inlineStr">
        <is>
          <t>Audited financial statements, year ended 30 June 2025 (Central Auditing Organization, report dated 23 September 2025), note 5-16 income tax</t>
        </is>
      </c>
    </row>
    <row r="100" ht="14" customHeight="1">
      <c r="A100" s="6" t="inlineStr">
        <is>
          <t>Equity weight</t>
        </is>
      </c>
      <c r="B100" s="6" t="inlineStr">
        <is>
          <t>%</t>
        </is>
      </c>
      <c r="C100" s="15" t="n">
        <v>0.6548338567778519</v>
      </c>
      <c r="D100" s="9" t="inlineStr">
        <is>
          <t>Market-value equity over market-value equity plus debt</t>
        </is>
      </c>
    </row>
    <row r="101" ht="14" customHeight="1">
      <c r="A101" s="6" t="inlineStr">
        <is>
          <t>Debt weight</t>
        </is>
      </c>
      <c r="B101" s="6" t="inlineStr">
        <is>
          <t>%</t>
        </is>
      </c>
      <c r="C101" s="15" t="n">
        <v>0.3451661432221481</v>
      </c>
      <c r="D101" s="9" t="inlineStr">
        <is>
          <t>One less the equity weight</t>
        </is>
      </c>
    </row>
    <row r="102">
      <c r="A102" s="6" t="inlineStr">
        <is>
          <t>Cost of capital, year one</t>
        </is>
      </c>
      <c r="B102" s="6" t="inlineStr">
        <is>
          <t>%</t>
        </is>
      </c>
      <c r="C102" s="16">
        <f>'Assumptions'!C100*'Assumptions'!C91+'Assumptions'!C101*'Assumptions'!C98*(1-'Assumptions'!C99)</f>
        <v/>
      </c>
    </row>
    <row r="103" ht="14" customHeight="1">
      <c r="A103" s="6" t="inlineStr">
        <is>
          <t>Long-run inflation</t>
        </is>
      </c>
      <c r="B103" s="6" t="inlineStr">
        <is>
          <t>%</t>
        </is>
      </c>
      <c r="C103" s="15" t="n">
        <v>0.07000000000000001</v>
      </c>
      <c r="D103" s="9" t="inlineStr">
        <is>
          <t>Central bank published medium-term inflation target</t>
        </is>
      </c>
    </row>
    <row r="104" ht="24" customHeight="1">
      <c r="A104" s="6" t="inlineStr">
        <is>
          <t>Long-run real rate</t>
        </is>
      </c>
      <c r="B104" s="6" t="inlineStr">
        <is>
          <t>%</t>
        </is>
      </c>
      <c r="C104" s="15" t="n">
        <v>0.035</v>
      </c>
      <c r="D104" s="9" t="inlineStr">
        <is>
          <t>Constructed: long-run emerging-market real policy rate, used to build the terminal risk-free rate from its own components rather than from a spot yield</t>
        </is>
      </c>
    </row>
    <row r="105">
      <c r="A105" s="6" t="inlineStr">
        <is>
          <t>Terminal normalised risk-free rate</t>
        </is>
      </c>
      <c r="B105" s="6" t="inlineStr">
        <is>
          <t>%</t>
        </is>
      </c>
      <c r="C105" s="16">
        <f>(1+'Assumptions'!C103)*(1+'Assumptions'!C104)-1</f>
        <v/>
      </c>
    </row>
    <row r="106" ht="14" customHeight="1">
      <c r="A106" s="6" t="inlineStr">
        <is>
          <t>Long-run dollar cost of debt</t>
        </is>
      </c>
      <c r="B106" s="6" t="inlineStr">
        <is>
          <t>%</t>
        </is>
      </c>
      <c r="C106" s="23" t="n">
        <v>0.09</v>
      </c>
      <c r="D106" s="9" t="inlineStr">
        <is>
          <t>Constructed: long-run corporate dollar cost of debt</t>
        </is>
      </c>
    </row>
    <row r="107">
      <c r="A107" s="6" t="inlineStr">
        <is>
          <t>Terminal cost of debt, local-equivalent</t>
        </is>
      </c>
      <c r="B107" s="6" t="inlineStr">
        <is>
          <t>%</t>
        </is>
      </c>
      <c r="C107" s="16">
        <f>(1+'Assumptions'!C106)*(1+'Assumptions'!C95)-1</f>
        <v/>
      </c>
    </row>
    <row r="108">
      <c r="A108" s="6" t="inlineStr">
        <is>
          <t>TERMINAL COST OF CAPITAL</t>
        </is>
      </c>
      <c r="B108" s="6" t="inlineStr">
        <is>
          <t>%</t>
        </is>
      </c>
      <c r="C108" s="16">
        <f>'Assumptions'!C100*('Assumptions'!C105+'Assumptions'!C90*'Assumptions'!C87)+'Assumptions'!C101*'Assumptions'!C107*(1-'Assumptions'!C99)</f>
        <v/>
      </c>
    </row>
    <row r="109" ht="60" customHeight="1">
      <c r="A109" s="6" t="inlineStr">
        <is>
          <t>Terminal growth</t>
        </is>
      </c>
      <c r="B109" s="6" t="inlineStr">
        <is>
          <t>%</t>
        </is>
      </c>
      <c r="C109" s="15" t="n">
        <v>0.05</v>
      </c>
      <c r="D109" s="9" t="inlineStr">
        <is>
          <t>Terminal growth set at the central bank's LONGEST-HORIZON published inflation target: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0" ht="24" customHeight="1">
      <c r="A110" s="6" t="inlineStr">
        <is>
          <t>Terminal return on invested capital</t>
        </is>
      </c>
      <c r="B110" s="6" t="inlineStr">
        <is>
          <t>%</t>
        </is>
      </c>
      <c r="C110" s="15" t="n">
        <v>0.18</v>
      </c>
      <c r="D110" s="9" t="inlineStr">
        <is>
          <t>Constructed: terminal return on invested capital, which sets the terminal reinvestment rate as growth divided by return on capital</t>
        </is>
      </c>
    </row>
    <row r="112">
      <c r="A112" s="10" t="inlineStr">
        <is>
          <t>CAPITAL, WORKING CAPITAL AND THE PROJECT</t>
        </is>
      </c>
    </row>
    <row r="113" ht="24" customHeight="1">
      <c r="A113" s="6" t="inlineStr">
        <is>
          <t>Depreciation charge, FY2024/25</t>
        </is>
      </c>
      <c r="B113" s="6" t="inlineStr">
        <is>
          <t>EGP m</t>
        </is>
      </c>
      <c r="C113" s="20" t="n">
        <v>771.213</v>
      </c>
      <c r="D113" s="9" t="inlineStr">
        <is>
          <t>Audited financial statements, year ended 30 June 2025 (Central Auditing Organization, report dated 23 September 2025), note 6 fixed-asset register</t>
        </is>
      </c>
    </row>
    <row r="114" ht="24" customHeight="1">
      <c r="A114" s="6" t="inlineStr">
        <is>
          <t>Amortisation, FY2024/25</t>
        </is>
      </c>
      <c r="B114" s="6" t="inlineStr">
        <is>
          <t>EGP m</t>
        </is>
      </c>
      <c r="C114" s="20" t="n">
        <v>119.378</v>
      </c>
      <c r="D114" s="9" t="inlineStr">
        <is>
          <t>Audited financial statements, year ended 30 June 2025 (Central Auditing Organization, report dated 23 September 2025), note 10 usufruct intangible</t>
        </is>
      </c>
    </row>
    <row r="115" ht="60" customHeight="1">
      <c r="A115" s="6" t="inlineStr">
        <is>
          <t>Project capital expenditure — FY2026/27</t>
        </is>
      </c>
      <c r="B115" s="6" t="inlineStr">
        <is>
          <t>EGP m</t>
        </is>
      </c>
      <c r="C115" s="14">
        <f>'Cash Flow'!B30</f>
        <v/>
      </c>
      <c r="D115"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6" ht="60" customHeight="1">
      <c r="A116" s="6" t="inlineStr">
        <is>
          <t>Project capital expenditure — FY2027/28</t>
        </is>
      </c>
      <c r="B116" s="6" t="inlineStr">
        <is>
          <t>EGP m</t>
        </is>
      </c>
      <c r="C116" s="13" t="n">
        <v>3100</v>
      </c>
      <c r="D116"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7" ht="60" customHeight="1">
      <c r="A117" s="6" t="inlineStr">
        <is>
          <t>Project capital expenditure — FY2028/29</t>
        </is>
      </c>
      <c r="B117" s="6" t="inlineStr">
        <is>
          <t>EGP m</t>
        </is>
      </c>
      <c r="C117" s="13" t="n">
        <v>3300</v>
      </c>
      <c r="D117"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8" ht="60" customHeight="1">
      <c r="A118" s="6" t="inlineStr">
        <is>
          <t>Project capital expenditure — FY2029/30</t>
        </is>
      </c>
      <c r="B118" s="6" t="inlineStr">
        <is>
          <t>EGP m</t>
        </is>
      </c>
      <c r="C118" s="13" t="n">
        <v>3200</v>
      </c>
      <c r="D118"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9" ht="60" customHeight="1">
      <c r="A119" s="6" t="inlineStr">
        <is>
          <t>Project capital expenditure — FY2030/31</t>
        </is>
      </c>
      <c r="B119" s="6" t="inlineStr">
        <is>
          <t>EGP m</t>
        </is>
      </c>
      <c r="C119" s="14">
        <f>'Cash Flow'!D34-(C115+C116+C117+C118)</f>
        <v/>
      </c>
      <c r="D119"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0" ht="24" customHeight="1">
      <c r="A120" s="6" t="inlineStr">
        <is>
          <t>Depreciation escalation on the existing base</t>
        </is>
      </c>
      <c r="B120" s="6" t="inlineStr">
        <is>
          <t>per year</t>
        </is>
      </c>
      <c r="C120" s="15" t="n">
        <v>0.02</v>
      </c>
      <c r="D120" s="9" t="inlineStr">
        <is>
          <t>Constructed: escalation on the existing depreciation base, reflecting ordinary additions to the plant already in service</t>
        </is>
      </c>
    </row>
    <row r="121" ht="24" customHeight="1">
      <c r="A121" s="6" t="inlineStr">
        <is>
          <t>Depreciation rate on the new complex</t>
        </is>
      </c>
      <c r="B121" s="6" t="inlineStr">
        <is>
          <t>per year</t>
        </is>
      </c>
      <c r="C121" s="23" t="n">
        <v>0.0395</v>
      </c>
      <c r="D121" s="9" t="inlineStr">
        <is>
          <t>Audited financial statements, year ended 30 June 2025 (Central Auditing Organization, report dated 23 September 2025), note 5-2 depreciation rates</t>
        </is>
      </c>
    </row>
    <row r="122" ht="48" customHeight="1">
      <c r="A122" s="6" t="inlineStr">
        <is>
          <t>New complex nameplate</t>
        </is>
      </c>
      <c r="B122" s="6" t="inlineStr">
        <is>
          <t>tonnes/day</t>
        </is>
      </c>
      <c r="C122" s="13" t="n">
        <v>800</v>
      </c>
      <c r="D122"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23" ht="24" customHeight="1">
      <c r="A123" s="6" t="inlineStr">
        <is>
          <t>Operating days a year</t>
        </is>
      </c>
      <c r="B123" s="6" t="inlineStr">
        <is>
          <t>days</t>
        </is>
      </c>
      <c r="C123" s="13" t="n">
        <v>330</v>
      </c>
      <c r="D123" s="9" t="inlineStr">
        <is>
          <t>Constructed: operating days a year for a continuous nitrate line, net of the turnaround the company takes annually</t>
        </is>
      </c>
    </row>
    <row r="124" ht="24" customHeight="1">
      <c r="A124" s="6" t="inlineStr">
        <is>
          <t>Steady-state depreciation wedge in the terminal year</t>
        </is>
      </c>
      <c r="B124" s="6" t="inlineStr">
        <is>
          <t>ratio</t>
        </is>
      </c>
      <c r="C124" s="15" t="n">
        <v>0.025</v>
      </c>
      <c r="D124" s="9" t="inlineStr">
        <is>
          <t>Constructed: steady-state gap between the terminal inflation target and the currency wedge, held constant in the terminal year</t>
        </is>
      </c>
    </row>
    <row r="125" ht="24" customHeight="1">
      <c r="A125" s="6" t="inlineStr">
        <is>
          <t>The complex is completed and in service (1 = yes)</t>
        </is>
      </c>
      <c r="B125" s="6" t="inlineStr">
        <is>
          <t>switch</t>
        </is>
      </c>
      <c r="C125" s="13" t="n">
        <v>1</v>
      </c>
      <c r="D125" s="9" t="inlineStr">
        <is>
          <t>Case switch. Zero in the capital-discipline column, where the plant is never finished and therefore never depreciated.</t>
        </is>
      </c>
    </row>
    <row r="126" ht="36" customHeight="1">
      <c r="A126" s="6" t="inlineStr">
        <is>
          <t>Approved cost of the new complex</t>
        </is>
      </c>
      <c r="B126" s="6" t="inlineStr">
        <is>
          <t>EGP m</t>
        </is>
      </c>
      <c r="C126" s="13" t="n">
        <v>20341.668</v>
      </c>
      <c r="D126" s="9" t="inlineStr">
        <is>
          <t>Audited financial statements, year ended 30 June 2025 (Central Auditing Organization, report dated 23 September 2025), note 18-3 — bank-approved investment cost, agreement of 25 June 2025; dual-currency tranches at the approval rate</t>
        </is>
      </c>
    </row>
    <row r="127" ht="72" customHeight="1">
      <c r="A127" s="6" t="inlineStr">
        <is>
          <t>Maintenance capital expenditure</t>
        </is>
      </c>
      <c r="B127" s="6" t="inlineStr">
        <is>
          <t>% of revenue</t>
        </is>
      </c>
      <c r="C127" s="8">
        <f>'Cash Flow'!D28</f>
        <v/>
      </c>
      <c r="D127" s="9"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28" ht="36" customHeight="1">
      <c r="A128" s="6" t="inlineStr">
        <is>
          <t>Wind-down cost if the programme is stopped</t>
        </is>
      </c>
      <c r="B128" s="6" t="inlineStr">
        <is>
          <t>EGP m</t>
        </is>
      </c>
      <c r="C128" s="13" t="n">
        <v>1000</v>
      </c>
      <c r="D128" s="9" t="inlineStr">
        <is>
          <t>Constructed: capital-discipline case only: the cost of stopping the programme in the first forecast year — contract settlement and site preservation. No filing states it; it is the study's estimate and is flagged.</t>
        </is>
      </c>
    </row>
    <row r="129" ht="24" customHeight="1">
      <c r="A129" s="6" t="inlineStr">
        <is>
          <t>Ammonia per tonne of nitrate</t>
        </is>
      </c>
      <c r="B129" s="6" t="inlineStr">
        <is>
          <t>tonnes</t>
        </is>
      </c>
      <c r="C129" s="12" t="n">
        <v>0.43</v>
      </c>
      <c r="D129" s="9" t="inlineStr">
        <is>
          <t>Constructed: ammonia per tonne of ammonium nitrate through the nitric-acid route plus direct neutralisation</t>
        </is>
      </c>
    </row>
    <row r="130" ht="40" customHeight="1">
      <c r="A130" s="6" t="inlineStr">
        <is>
          <t>Project nameplate (derived, not disclosed)</t>
        </is>
      </c>
      <c r="B130" s="6" t="inlineStr">
        <is>
          <t>tonnes/year</t>
        </is>
      </c>
      <c r="C130" s="14">
        <f>'Assumptions'!C122*'Assumptions'!C123</f>
        <v/>
      </c>
      <c r="D130"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1" ht="40" customHeight="1">
      <c r="A131" s="6" t="inlineStr">
        <is>
          <t>Cross-check: nameplate derived from the ammonia surplus</t>
        </is>
      </c>
      <c r="B131" s="6" t="inlineStr">
        <is>
          <t>tonnes/year</t>
        </is>
      </c>
      <c r="C131" s="14">
        <f>('Assumptions'!C14-'Assumptions'!C13*'Assumptions'!C15)/'Assumptions'!C129</f>
        <v/>
      </c>
      <c r="D131" s="9" t="inlineStr">
        <is>
          <t>The construction the study used before the engineering award was found. Retained as a cross-check on the disclosed plate, not as the plate itself.</t>
        </is>
      </c>
    </row>
    <row r="132" ht="14" customHeight="1">
      <c r="A132" s="6" t="inlineStr">
        <is>
          <t>Project utilisation in the terminal year</t>
        </is>
      </c>
      <c r="B132" s="6" t="inlineStr">
        <is>
          <t>%</t>
        </is>
      </c>
      <c r="C132" s="15" t="n">
        <v>0.5</v>
      </c>
      <c r="D132" s="9" t="inlineStr">
        <is>
          <t>Constructed: project utilisation in the terminal year, central case</t>
        </is>
      </c>
    </row>
    <row r="133" ht="14" customHeight="1">
      <c r="A133" s="6" t="inlineStr">
        <is>
          <t>Nitrate price</t>
        </is>
      </c>
      <c r="B133" s="6" t="inlineStr">
        <is>
          <t>US$/tonne</t>
        </is>
      </c>
      <c r="C133" s="13" t="n">
        <v>280</v>
      </c>
      <c r="D133" s="9" t="inlineStr">
        <is>
          <t>Mid-cycle ammonium nitrate pricing</t>
        </is>
      </c>
    </row>
    <row r="134" ht="14" customHeight="1">
      <c r="A134" s="6" t="inlineStr">
        <is>
          <t>Project cash margin</t>
        </is>
      </c>
      <c r="B134" s="6" t="inlineStr">
        <is>
          <t>% of revenue</t>
        </is>
      </c>
      <c r="C134" s="15" t="n">
        <v>0.32</v>
      </c>
      <c r="D134" s="9" t="inlineStr">
        <is>
          <t>Constructed: conversion margin on ammonium nitrate over its own ammonia feedstock</t>
        </is>
      </c>
    </row>
    <row r="135" ht="14" customHeight="1">
      <c r="A135" s="6" t="inlineStr">
        <is>
          <t>Days sales outstanding</t>
        </is>
      </c>
      <c r="B135" s="6" t="inlineStr">
        <is>
          <t>days</t>
        </is>
      </c>
      <c r="C135" s="20" t="n">
        <v>26.77469536556713</v>
      </c>
      <c r="D135" s="9" t="inlineStr">
        <is>
          <t>Constructed: FY2024/25 receivables over revenue</t>
        </is>
      </c>
    </row>
    <row r="136" ht="14" customHeight="1">
      <c r="A136" s="6" t="inlineStr">
        <is>
          <t>Days inventory outstanding</t>
        </is>
      </c>
      <c r="B136" s="6" t="inlineStr">
        <is>
          <t>days</t>
        </is>
      </c>
      <c r="C136" s="20" t="n">
        <v>165.2475279747788</v>
      </c>
      <c r="D136" s="9" t="inlineStr">
        <is>
          <t>Constructed: FY2024/25 inventory over cost of sales</t>
        </is>
      </c>
    </row>
    <row r="137" ht="14" customHeight="1">
      <c r="A137" s="6" t="inlineStr">
        <is>
          <t>Days payable outstanding</t>
        </is>
      </c>
      <c r="B137" s="6" t="inlineStr">
        <is>
          <t>days</t>
        </is>
      </c>
      <c r="C137" s="20" t="n">
        <v>83.17161071710899</v>
      </c>
      <c r="D137"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6"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6" t="inlineStr">
        <is>
          <t>Subsidised volume (tonnes)</t>
        </is>
      </c>
      <c r="B7" s="14">
        <f>'Assumptions'!C21</f>
        <v/>
      </c>
      <c r="C7" s="14">
        <f>'Assumptions'!C22</f>
        <v/>
      </c>
      <c r="D7" s="14">
        <f>'Assumptions'!C23</f>
        <v/>
      </c>
      <c r="E7" s="14">
        <f>'Assumptions'!C24</f>
        <v/>
      </c>
      <c r="F7" s="14">
        <f>'Assumptions'!C25</f>
        <v/>
      </c>
    </row>
    <row r="8">
      <c r="A8" s="6" t="inlineStr">
        <is>
          <t>Local free-market volume (tonnes)</t>
        </is>
      </c>
      <c r="B8" s="14">
        <f>'Assumptions'!C26</f>
        <v/>
      </c>
      <c r="C8" s="14">
        <f>'Assumptions'!C27</f>
        <v/>
      </c>
      <c r="D8" s="14">
        <f>'Assumptions'!C28</f>
        <v/>
      </c>
      <c r="E8" s="14">
        <f>'Assumptions'!C29</f>
        <v/>
      </c>
      <c r="F8" s="14">
        <f>'Assumptions'!C30</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'Assumptions'!C33*'Assumptions'!C38*(1-'Assumptions'!C43)</f>
        <v/>
      </c>
      <c r="C10" s="14">
        <f>'Assumptions'!C34*'Assumptions'!C39*(1-'Assumptions'!C43)</f>
        <v/>
      </c>
      <c r="D10" s="14">
        <f>'Assumptions'!C35*'Assumptions'!C40*(1-'Assumptions'!C43)</f>
        <v/>
      </c>
      <c r="E10" s="14">
        <f>'Assumptions'!C36*'Assumptions'!C41*(1-'Assumptions'!C43)</f>
        <v/>
      </c>
      <c r="F10" s="14">
        <f>'Assumptions'!C37*'Assumptions'!C42*(1-'Assumptions'!C43)</f>
        <v/>
      </c>
    </row>
    <row r="11">
      <c r="A11" s="6" t="inlineStr">
        <is>
          <t>Local free-market price (EGP/tonne)</t>
        </is>
      </c>
      <c r="B11" s="14">
        <f>'Assumptions'!C33*'Assumptions'!C38*'Assumptions'!C49</f>
        <v/>
      </c>
      <c r="C11" s="14">
        <f>'Assumptions'!C34*'Assumptions'!C39*'Assumptions'!C49</f>
        <v/>
      </c>
      <c r="D11" s="14">
        <f>'Assumptions'!C35*'Assumptions'!C40*'Assumptions'!C49</f>
        <v/>
      </c>
      <c r="E11" s="14">
        <f>'Assumptions'!C36*'Assumptions'!C41*'Assumptions'!C49</f>
        <v/>
      </c>
      <c r="F11" s="14">
        <f>'Assumptions'!C37*'Assumptions'!C42*'Assumptions'!C49</f>
        <v/>
      </c>
    </row>
    <row r="12">
      <c r="A12" s="6" t="inlineStr">
        <is>
          <t>Nitrate price (EGP/tonne)</t>
        </is>
      </c>
      <c r="B12" s="14">
        <f>'Assumptions'!C55*'Assumptions'!C38/'Assumptions'!C8</f>
        <v/>
      </c>
      <c r="C12" s="14">
        <f>'Assumptions'!C55*'Assumptions'!C39/'Assumptions'!C8</f>
        <v/>
      </c>
      <c r="D12" s="14">
        <f>'Assumptions'!C55*'Assumptions'!C40/'Assumptions'!C8</f>
        <v/>
      </c>
      <c r="E12" s="14">
        <f>'Assumptions'!C55*'Assumptions'!C41/'Assumptions'!C8</f>
        <v/>
      </c>
      <c r="F12" s="14">
        <f>'Assumptions'!C55*'Assumptions'!C42/'Assumptions'!C8</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B7*'Assumptions'!C44/1000000</f>
        <v/>
      </c>
      <c r="C14" s="14">
        <f>C7*'Assumptions'!C45/1000000</f>
        <v/>
      </c>
      <c r="D14" s="14">
        <f>D7*'Assumptions'!C46/1000000</f>
        <v/>
      </c>
      <c r="E14" s="14">
        <f>E7*'Assumptions'!C47/1000000</f>
        <v/>
      </c>
      <c r="F14" s="14">
        <f>F7*'Assumptions'!C48/1000000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'Assumptions'!C50*B12/1000000</f>
        <v/>
      </c>
      <c r="C16" s="14">
        <f>'Assumptions'!C51*C12/1000000</f>
        <v/>
      </c>
      <c r="D16" s="14">
        <f>'Assumptions'!C52*D12/1000000</f>
        <v/>
      </c>
      <c r="E16" s="14">
        <f>'Assumptions'!C53*E12/1000000</f>
        <v/>
      </c>
      <c r="F16" s="14">
        <f>'Assumptions'!C54*F12/1000000</f>
        <v/>
      </c>
    </row>
    <row r="17">
      <c r="A17" s="6" t="inlineStr">
        <is>
          <t>Other revenue (EGP m)</t>
        </is>
      </c>
      <c r="B17" s="14">
        <f>'Assumptions'!C56</f>
        <v/>
      </c>
      <c r="C17" s="14">
        <f>'Assumptions'!C57</f>
        <v/>
      </c>
      <c r="D17" s="14">
        <f>'Assumptions'!C58</f>
        <v/>
      </c>
      <c r="E17" s="14">
        <f>'Assumptions'!C59</f>
        <v/>
      </c>
      <c r="F17" s="14">
        <f>'Assumptions'!C60</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'Assumptions'!C64*'Assumptions'!C65*'Assumptions'!C38</f>
        <v/>
      </c>
      <c r="C19" s="11">
        <f>'Assumptions'!C64*'Assumptions'!C65*'Assumptions'!C39</f>
        <v/>
      </c>
      <c r="D19" s="11">
        <f>'Assumptions'!C64*'Assumptions'!C65*'Assumptions'!C40</f>
        <v/>
      </c>
      <c r="E19" s="11">
        <f>'Assumptions'!C64*'Assumptions'!C65*'Assumptions'!C41</f>
        <v/>
      </c>
      <c r="F19" s="11">
        <f>'Assumptions'!C64*'Assumptions'!C65*'Assumptions'!C42</f>
        <v/>
      </c>
    </row>
    <row r="20">
      <c r="A20" s="6" t="inlineStr">
        <is>
          <t>Natural gas (EGP m)</t>
        </is>
      </c>
      <c r="B20" s="14">
        <f>B6*'Assumptions'!C63*B19/1000000</f>
        <v/>
      </c>
      <c r="C20" s="14">
        <f>C6*'Assumptions'!C63*C19/1000000</f>
        <v/>
      </c>
      <c r="D20" s="14">
        <f>D6*'Assumptions'!C63*D19/1000000</f>
        <v/>
      </c>
      <c r="E20" s="14">
        <f>E6*'Assumptions'!C63*E19/1000000</f>
        <v/>
      </c>
      <c r="F20" s="14">
        <f>F6*'Assumptions'!C63*F19/1000000</f>
        <v/>
      </c>
    </row>
    <row r="21">
      <c r="A21" s="6" t="inlineStr">
        <is>
          <t>Cumulative inflation index</t>
        </is>
      </c>
      <c r="B21" s="19">
        <f>(1+'Assumptions'!C77)</f>
        <v/>
      </c>
      <c r="C21" s="19">
        <f>(1+'Assumptions'!C77)*(1+'Assumptions'!C78)</f>
        <v/>
      </c>
      <c r="D21" s="19">
        <f>(1+'Assumptions'!C77)*(1+'Assumptions'!C78)*(1+'Assumptions'!C79)</f>
        <v/>
      </c>
      <c r="E21" s="19">
        <f>(1+'Assumptions'!C77)*(1+'Assumptions'!C78)*(1+'Assumptions'!C79)*(1+'Assumptions'!C80)</f>
        <v/>
      </c>
      <c r="F21" s="19">
        <f>(1+'Assumptions'!C77)*(1+'Assumptions'!C78)*(1+'Assumptions'!C79)*(1+'Assumptions'!C80)*(1+'Assumptions'!C81)</f>
        <v/>
      </c>
    </row>
    <row r="22">
      <c r="A22" s="6" t="inlineStr">
        <is>
          <t>Other materials (EGP m)</t>
        </is>
      </c>
      <c r="B22" s="14">
        <f>B5*'Assumptions'!C66*B21/1000000</f>
        <v/>
      </c>
      <c r="C22" s="14">
        <f>C5*'Assumptions'!C66*C21/1000000</f>
        <v/>
      </c>
      <c r="D22" s="14">
        <f>D5*'Assumptions'!C66*D21/1000000</f>
        <v/>
      </c>
      <c r="E22" s="14">
        <f>E5*'Assumptions'!C66*E21/1000000</f>
        <v/>
      </c>
      <c r="F22" s="14">
        <f>F5*'Assumptions'!C66*F21/1000000</f>
        <v/>
      </c>
    </row>
    <row r="23">
      <c r="A23" s="6" t="inlineStr">
        <is>
          <t>Wages (EGP m)</t>
        </is>
      </c>
      <c r="B23" s="14">
        <f>'Assumptions'!C67*B21</f>
        <v/>
      </c>
      <c r="C23" s="14">
        <f>'Assumptions'!C67*C21</f>
        <v/>
      </c>
      <c r="D23" s="14">
        <f>'Assumptions'!C67*D21</f>
        <v/>
      </c>
      <c r="E23" s="14">
        <f>'Assumptions'!C67*E21</f>
        <v/>
      </c>
      <c r="F23" s="14">
        <f>'Assumptions'!C67*F21</f>
        <v/>
      </c>
    </row>
    <row r="24">
      <c r="A24" s="6" t="inlineStr">
        <is>
          <t>Purchased services (EGP m)</t>
        </is>
      </c>
      <c r="B24" s="14">
        <f>'Assumptions'!C68*B21</f>
        <v/>
      </c>
      <c r="C24" s="14">
        <f>'Assumptions'!C68*C21</f>
        <v/>
      </c>
      <c r="D24" s="14">
        <f>'Assumptions'!C68*D21</f>
        <v/>
      </c>
      <c r="E24" s="14">
        <f>'Assumptions'!C68*E21</f>
        <v/>
      </c>
      <c r="F24" s="14">
        <f>'Assumptions'!C68*F21</f>
        <v/>
      </c>
    </row>
    <row r="25">
      <c r="A25" s="6" t="inlineStr">
        <is>
          <t>Depreciation and amortisation (EGP m)</t>
        </is>
      </c>
      <c r="B25" s="14">
        <f>'Assumptions'!C113*(1+'Assumptions'!C120*0)+'Assumptions'!C114</f>
        <v/>
      </c>
      <c r="C25" s="14">
        <f>'Assumptions'!C113*(1+'Assumptions'!C120*1)+'Assumptions'!C114+SUM('Assumptions'!C115:C115)*'Assumptions'!C121</f>
        <v/>
      </c>
      <c r="D25" s="14">
        <f>'Assumptions'!C113*(1+'Assumptions'!C120*2)+'Assumptions'!C114+SUM('Assumptions'!C115:C116)*'Assumptions'!C121</f>
        <v/>
      </c>
      <c r="E25" s="14">
        <f>'Assumptions'!C113*(1+'Assumptions'!C120*3)+'Assumptions'!C114+SUM('Assumptions'!C115:C117)*'Assumptions'!C121</f>
        <v/>
      </c>
      <c r="F25" s="14">
        <f>'Assumptions'!C113*(1+'Assumptions'!C120*4)+'Assumptions'!C114+SUM('Assumptions'!C115:C118)*'Assumptions'!C121</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B9*'Assumptions'!C69*B21/1000000</f>
        <v/>
      </c>
      <c r="C29" s="14">
        <f>C9*'Assumptions'!C69*C21/1000000</f>
        <v/>
      </c>
      <c r="D29" s="14">
        <f>D9*'Assumptions'!C69*D21/1000000</f>
        <v/>
      </c>
      <c r="E29" s="14">
        <f>E9*'Assumptions'!C69*E21/1000000</f>
        <v/>
      </c>
      <c r="F29" s="14">
        <f>F9*'Assumptions'!C69*F21/1000000</f>
        <v/>
      </c>
    </row>
    <row r="30">
      <c r="A30" s="6" t="inlineStr">
        <is>
          <t>Other selling cost (EGP m)</t>
        </is>
      </c>
      <c r="B30" s="14">
        <f>'Assumptions'!C70*B21</f>
        <v/>
      </c>
      <c r="C30" s="14">
        <f>'Assumptions'!C70*C21</f>
        <v/>
      </c>
      <c r="D30" s="14">
        <f>'Assumptions'!C70*D21</f>
        <v/>
      </c>
      <c r="E30" s="14">
        <f>'Assumptions'!C70*E21</f>
        <v/>
      </c>
      <c r="F30" s="14">
        <f>'Assumptions'!C70*F21</f>
        <v/>
      </c>
    </row>
    <row r="31">
      <c r="A31" s="6" t="inlineStr">
        <is>
          <t>Administrative (EGP m)</t>
        </is>
      </c>
      <c r="B31" s="14">
        <f>'Assumptions'!C71*B21</f>
        <v/>
      </c>
      <c r="C31" s="14">
        <f>'Assumptions'!C71*C21</f>
        <v/>
      </c>
      <c r="D31" s="14">
        <f>'Assumptions'!C71*D21</f>
        <v/>
      </c>
      <c r="E31" s="14">
        <f>'Assumptions'!C71*E21</f>
        <v/>
      </c>
      <c r="F31" s="14">
        <f>'Assumptions'!C71*F21</f>
        <v/>
      </c>
    </row>
    <row r="32">
      <c r="A32" s="6" t="inlineStr">
        <is>
          <t>Stoppage and abnormal gas cost (EGP m)</t>
        </is>
      </c>
      <c r="B32" s="14">
        <f>'Assumptions'!C72</f>
        <v/>
      </c>
      <c r="C32" s="14">
        <f>'Assumptions'!C73</f>
        <v/>
      </c>
      <c r="D32" s="14">
        <f>'Assumptions'!C74</f>
        <v/>
      </c>
      <c r="E32" s="14">
        <f>'Assumptions'!C75</f>
        <v/>
      </c>
      <c r="F32" s="14">
        <f>'Assumptions'!C76</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0" t="n">
        <v>3</v>
      </c>
      <c r="C6" s="9" t="inlineStr">
        <is>
          <t>Observed trading and transaction range</t>
        </is>
      </c>
    </row>
    <row r="7" ht="14" customHeight="1">
      <c r="A7" s="6" t="inlineStr">
        <is>
          <t>Egyptian industrial range, high</t>
        </is>
      </c>
      <c r="B7" s="20" t="n">
        <v>6</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(B9+B10+B11)*1000000/'Assumptions'!C6</f>
        <v/>
      </c>
      <c r="C12" s="9" t="inlineStr"/>
    </row>
    <row r="13" ht="14" customHeight="1">
      <c r="A13" s="6" t="inlineStr">
        <is>
          <t>At the low multiple (EGP)</t>
        </is>
      </c>
      <c r="B13" s="11">
        <f>(B5*B6+B10+B11)*1000000/'Assumptions'!C6</f>
        <v/>
      </c>
      <c r="C13" s="9" t="inlineStr"/>
    </row>
    <row r="14" ht="14" customHeight="1">
      <c r="A14" s="6" t="inlineStr">
        <is>
          <t>At the high multiple (EGP)</t>
        </is>
      </c>
      <c r="B14" s="11">
        <f>(B5*B7+B10+B11)*1000000/'Assumptions'!C6</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B21-'Assumptions'!C21-'Assumptions'!C26</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54.2</v>
      </c>
      <c r="C24" s="9" t="inlineStr">
        <is>
          <t>The second year of the currency path</t>
        </is>
      </c>
    </row>
    <row r="25" ht="14" customHeight="1">
      <c r="A25" s="6" t="inlineStr">
        <is>
          <t>Export revenue (EGP m)</t>
        </is>
      </c>
      <c r="B25" s="14">
        <f>B22*B23*B24*(1-'Assumptions'!C43)/1000000</f>
        <v/>
      </c>
      <c r="C25" s="9" t="inlineStr"/>
    </row>
    <row r="26" ht="24" customHeight="1">
      <c r="A26" s="6" t="inlineStr">
        <is>
          <t>Other revenue legs (EGP m)</t>
        </is>
      </c>
      <c r="B26" s="13" t="n">
        <v>2662.193673469388</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6707.836207316137</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(B29-'Assumptions'!C113-'Assumptions'!C114)*(1-'Assumptions'!C99)</f>
        <v/>
      </c>
      <c r="C30" s="9" t="inlineStr">
        <is>
          <t>After depreciation and tax</t>
        </is>
      </c>
    </row>
    <row r="31" ht="14" customHeight="1">
      <c r="A31" s="6" t="inlineStr">
        <is>
          <t>Value per share at the central multiple (EGP)</t>
        </is>
      </c>
      <c r="B31" s="11">
        <f>(B30*'Assumptions'!C10+B10+B11)*1000000/'Assumptions'!C6</f>
        <v/>
      </c>
      <c r="C31" s="9" t="inlineStr">
        <is>
          <t>A mature single-asset industrial in a high-inflation economy does not deserve more</t>
        </is>
      </c>
    </row>
    <row r="32" ht="14" customHeight="1">
      <c r="A32" s="6" t="inlineStr">
        <is>
          <t>At the low multiple (EGP)</t>
        </is>
      </c>
      <c r="B32" s="11">
        <f>(B30*'Assumptions'!C9+B10+B11)*1000000/'Assumptions'!C6</f>
        <v/>
      </c>
      <c r="C32" s="9" t="inlineStr"/>
    </row>
    <row r="33" ht="14" customHeight="1">
      <c r="A33" s="6" t="inlineStr">
        <is>
          <t>At the high multiple (EGP)</t>
        </is>
      </c>
      <c r="B33" s="11">
        <f>(B30*'Assumptions'!C11+B10+B11)*1000000/'Assumptions'!C6</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B9*(1-'Assumptions'!C99)</f>
        <v/>
      </c>
      <c r="C10" s="14">
        <f>C9*(1-'Assumptions'!C99)</f>
        <v/>
      </c>
      <c r="D10" s="14">
        <f>D9*(1-'Assumptions'!C99)</f>
        <v/>
      </c>
      <c r="E10" s="14">
        <f>E9*(1-'Assumptions'!C99)</f>
        <v/>
      </c>
      <c r="F10" s="14">
        <f>F9*(1-'Assumptions'!C99)</f>
        <v/>
      </c>
    </row>
    <row r="11">
      <c r="A11" s="6" t="inlineStr">
        <is>
          <t>Add back depreciation</t>
        </is>
      </c>
      <c r="B11" s="14">
        <f>B8</f>
        <v/>
      </c>
      <c r="C11" s="14">
        <f>C8</f>
        <v/>
      </c>
      <c r="D11" s="14">
        <f>D8</f>
        <v/>
      </c>
      <c r="E11" s="14">
        <f>E8</f>
        <v/>
      </c>
      <c r="F11" s="14">
        <f>F8</f>
        <v/>
      </c>
    </row>
    <row r="12">
      <c r="A12" s="6" t="inlineStr">
        <is>
          <t>Less capital expenditure</t>
        </is>
      </c>
      <c r="B12" s="14">
        <f>-($I$5*'Assumptions'!C115+$I$6*(1-$I$5)+B5*'Assumptions'!C127)</f>
        <v/>
      </c>
      <c r="C12" s="14">
        <f>-($I$5*'Assumptions'!C116+C5*'Assumptions'!C127)</f>
        <v/>
      </c>
      <c r="D12" s="14">
        <f>-($I$5*'Assumptions'!C117+D5*'Assumptions'!C127)</f>
        <v/>
      </c>
      <c r="E12" s="14">
        <f>-($I$5*'Assumptions'!C118+E5*'Assumptions'!C127)</f>
        <v/>
      </c>
      <c r="F12" s="14">
        <f>-($I$5*'Assumptions'!C119+F5*'Assumptions'!C127)</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'Assumptions'!C102+('Assumptions'!C108-'Assumptions'!C102)*0/5</f>
        <v/>
      </c>
      <c r="C15" s="27">
        <f>'Assumptions'!C102+('Assumptions'!C108-'Assumptions'!C102)*1/5</f>
        <v/>
      </c>
      <c r="D15" s="27">
        <f>'Assumptions'!C102+('Assumptions'!C108-'Assumptions'!C102)*2/5</f>
        <v/>
      </c>
      <c r="E15" s="27">
        <f>'Assumptions'!C102+('Assumptions'!C108-'Assumptions'!C102)*3/5</f>
        <v/>
      </c>
      <c r="F15" s="27">
        <f>'Assumptions'!C102+('Assumptions'!C108-'Assumptions'!C102)*4/5</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EBIT grown at terminal growth</t>
        </is>
      </c>
      <c r="B21" s="14">
        <f>F9*(1+'Assumptions'!C109)</f>
        <v/>
      </c>
      <c r="D21" s="14">
        <f>(F9+SUM('Assumptions'!C115:C118)*'Assumptions'!C121)*(1+'Assumptions'!C109)</f>
        <v/>
      </c>
    </row>
    <row r="22">
      <c r="A22" s="6" t="inlineStr">
        <is>
          <t>Project revenue in the terminal year</t>
        </is>
      </c>
      <c r="B22" s="14">
        <f>'Assumptions'!C130*'Assumptions'!C132*'Assumptions'!C133*('Assumptions'!C42*(1+'Assumptions'!C109-'Assumptions'!C124))/1000000</f>
        <v/>
      </c>
      <c r="D22" s="14">
        <f>'Assumptions'!C130*0*'Assumptions'!C133*('Assumptions'!C42*(1+'Assumptions'!C109-'Assumptions'!C124))/1000000</f>
        <v/>
      </c>
    </row>
    <row r="23">
      <c r="A23" s="6" t="inlineStr">
        <is>
          <t>Project operating profit, after its own depreciation</t>
        </is>
      </c>
      <c r="B23" s="14">
        <f>B22*'Assumptions'!C134-'Assumptions'!C125*'Assumptions'!C126*'Assumptions'!C121</f>
        <v/>
      </c>
      <c r="D23" s="14">
        <f>D22*'Assumptions'!C134-0*'Assumptions'!C126*'Assumptions'!C121</f>
        <v/>
      </c>
    </row>
    <row r="24">
      <c r="A24" s="6" t="inlineStr">
        <is>
          <t>Terminal EBIT</t>
        </is>
      </c>
      <c r="B24" s="14">
        <f>B21+B23</f>
        <v/>
      </c>
      <c r="D24" s="14">
        <f>D21+D23</f>
        <v/>
      </c>
    </row>
    <row r="25">
      <c r="A25" s="6" t="inlineStr">
        <is>
          <t>Terminal NOPAT</t>
        </is>
      </c>
      <c r="B25" s="14">
        <f>B24*(1-'Assumptions'!C99)</f>
        <v/>
      </c>
      <c r="D25" s="14">
        <f>D24*(1-'Assumptions'!C99)</f>
        <v/>
      </c>
    </row>
    <row r="26">
      <c r="A26" s="6" t="inlineStr">
        <is>
          <t>Reinvestment rate = growth / return on capital</t>
        </is>
      </c>
      <c r="B26" s="8">
        <f>'Assumptions'!C109/'Assumptions'!C110</f>
        <v/>
      </c>
      <c r="D26" s="8">
        <f>'Assumptions'!C109/'Assumptions'!C110</f>
        <v/>
      </c>
    </row>
    <row r="27">
      <c r="A27" s="6" t="inlineStr">
        <is>
          <t>Terminal free cash flow</t>
        </is>
      </c>
      <c r="B27" s="14">
        <f>B25*(1-B26)</f>
        <v/>
      </c>
      <c r="D27" s="14">
        <f>D25*(1-D26)</f>
        <v/>
      </c>
    </row>
    <row r="28">
      <c r="A28" s="6" t="inlineStr">
        <is>
          <t>TERMINAL VALUE</t>
        </is>
      </c>
      <c r="B28" s="14">
        <f>B27/('Assumptions'!C108-'Assumptions'!C109)</f>
        <v/>
      </c>
      <c r="D28" s="14">
        <f>D27/('Assumptions'!C108-'Assumptions'!C109)</f>
        <v/>
      </c>
    </row>
    <row r="33">
      <c r="A33" s="6" t="inlineStr">
        <is>
          <t>Present value of the terminal value</t>
        </is>
      </c>
      <c r="B33" s="14">
        <f>B28*F16</f>
        <v/>
      </c>
      <c r="D33" s="14">
        <f>D28*F16</f>
        <v/>
      </c>
    </row>
    <row r="36">
      <c r="A36" s="6" t="inlineStr">
        <is>
          <t>Present value of the explicit window</t>
        </is>
      </c>
      <c r="B36" s="14">
        <f>SUM(B17:F17)</f>
        <v/>
      </c>
      <c r="D36" s="14">
        <f>SUM(B54:F54)</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14639.005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B45*1000000/'Assumptions'!C6</f>
        <v/>
      </c>
      <c r="D44" s="11">
        <f>D45*1000000/'Assumptions'!C6</f>
        <v/>
      </c>
    </row>
    <row r="45">
      <c r="A45" s="10" t="inlineStr">
        <is>
          <t>EQUITY VALUE</t>
        </is>
      </c>
      <c r="B45" s="14">
        <f>B37-B41+B42+B43</f>
        <v/>
      </c>
      <c r="D45" s="14">
        <f>D37-D41+D42+D43</f>
        <v/>
      </c>
    </row>
    <row r="47">
      <c r="A47" s="10" t="inlineStr">
        <is>
          <t>PROGRAMME STOPPED — the same operating build, project capital removed</t>
        </is>
      </c>
    </row>
    <row r="48">
      <c r="A48" s="5" t="inlineStr">
        <is>
          <t>EGP million</t>
        </is>
      </c>
      <c r="B48" s="5" t="inlineStr">
        <is>
          <t>FY2026/27</t>
        </is>
      </c>
      <c r="C48" s="5" t="inlineStr">
        <is>
          <t>FY2027/28</t>
        </is>
      </c>
      <c r="D48" s="5" t="inlineStr">
        <is>
          <t>FY2028/29</t>
        </is>
      </c>
      <c r="E48" s="5" t="inlineStr">
        <is>
          <t>FY2029/30</t>
        </is>
      </c>
      <c r="F48" s="5" t="inlineStr">
        <is>
          <t>FY2030/31</t>
        </is>
      </c>
    </row>
    <row r="49">
      <c r="A49" s="6" t="inlineStr">
        <is>
          <t>Free cash flow, programme carried through</t>
        </is>
      </c>
      <c r="B49" s="14">
        <f>B14</f>
        <v/>
      </c>
      <c r="C49" s="14">
        <f>C14</f>
        <v/>
      </c>
      <c r="D49" s="14">
        <f>D14</f>
        <v/>
      </c>
      <c r="E49" s="14">
        <f>E14</f>
        <v/>
      </c>
      <c r="F49" s="14">
        <f>F14</f>
        <v/>
      </c>
    </row>
    <row r="50">
      <c r="A50" s="6" t="inlineStr">
        <is>
          <t>Add back project capital not spent</t>
        </is>
      </c>
      <c r="B50" s="14">
        <f>+'Assumptions'!C115</f>
        <v/>
      </c>
      <c r="C50" s="14">
        <f>+'Assumptions'!C116</f>
        <v/>
      </c>
      <c r="D50" s="14">
        <f>+'Assumptions'!C117</f>
        <v/>
      </c>
      <c r="E50" s="14">
        <f>+'Assumptions'!C118</f>
        <v/>
      </c>
      <c r="F50" s="14">
        <f>+'Assumptions'!C119</f>
        <v/>
      </c>
    </row>
    <row r="51">
      <c r="A51" s="6" t="inlineStr">
        <is>
          <t>Less the wind-down cost</t>
        </is>
      </c>
      <c r="B51" s="14">
        <f>-'Assumptions'!C128</f>
        <v/>
      </c>
      <c r="C51" s="14">
        <f>0</f>
        <v/>
      </c>
      <c r="D51" s="14">
        <f>0</f>
        <v/>
      </c>
      <c r="E51" s="14">
        <f>0</f>
        <v/>
      </c>
      <c r="F51" s="14">
        <f>0</f>
        <v/>
      </c>
    </row>
    <row r="52">
      <c r="A52" s="6" t="inlineStr">
        <is>
          <t>Less the tax shield on depreciation never incurred</t>
        </is>
      </c>
      <c r="B52" s="14">
        <f>0</f>
        <v/>
      </c>
      <c r="C52" s="14">
        <f>-SUM('Assumptions'!C115:C115)*'Assumptions'!C121*'Assumptions'!C99</f>
        <v/>
      </c>
      <c r="D52" s="14">
        <f>-SUM('Assumptions'!C115:C116)*'Assumptions'!C121*'Assumptions'!C99</f>
        <v/>
      </c>
      <c r="E52" s="14">
        <f>-SUM('Assumptions'!C115:C117)*'Assumptions'!C121*'Assumptions'!C99</f>
        <v/>
      </c>
      <c r="F52" s="14">
        <f>-SUM('Assumptions'!C115:C118)*'Assumptions'!C121*'Assumptions'!C99</f>
        <v/>
      </c>
    </row>
    <row r="53">
      <c r="A53" s="6" t="inlineStr">
        <is>
          <t>FREE CASH FLOW, PROGRAMME STOPPED</t>
        </is>
      </c>
      <c r="B53" s="14">
        <f>B49+B50+B51+B52</f>
        <v/>
      </c>
      <c r="C53" s="14">
        <f>C49+C50+C51+C52</f>
        <v/>
      </c>
      <c r="D53" s="14">
        <f>D49+D50+D51+D52</f>
        <v/>
      </c>
      <c r="E53" s="14">
        <f>E49+E50+E51+E52</f>
        <v/>
      </c>
      <c r="F53" s="14">
        <f>F49+F50+F51+F52</f>
        <v/>
      </c>
    </row>
    <row r="54">
      <c r="A54" s="6" t="inlineStr">
        <is>
          <t>Present value</t>
        </is>
      </c>
      <c r="B54" s="14">
        <f>B53*B16</f>
        <v/>
      </c>
      <c r="C54" s="14">
        <f>C53*C16</f>
        <v/>
      </c>
      <c r="D54" s="14">
        <f>D53*D16</f>
        <v/>
      </c>
      <c r="E54" s="14">
        <f>E53*E16</f>
        <v/>
      </c>
      <c r="F54" s="14">
        <f>F53*F16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B5*'Assumptions'!C135/365</f>
        <v/>
      </c>
      <c r="C7" s="14">
        <f>C5*'Assumptions'!C135/365</f>
        <v/>
      </c>
      <c r="D7" s="14">
        <f>D5*'Assumptions'!C135/365</f>
        <v/>
      </c>
      <c r="E7" s="14">
        <f>E5*'Assumptions'!C135/365</f>
        <v/>
      </c>
      <c r="F7" s="14">
        <f>F5*'Assumptions'!C135/365</f>
        <v/>
      </c>
    </row>
    <row r="8">
      <c r="A8" s="6" t="inlineStr">
        <is>
          <t>Inventory</t>
        </is>
      </c>
      <c r="B8" s="14">
        <f>B6*'Assumptions'!C136/365</f>
        <v/>
      </c>
      <c r="C8" s="14">
        <f>C6*'Assumptions'!C136/365</f>
        <v/>
      </c>
      <c r="D8" s="14">
        <f>D6*'Assumptions'!C136/365</f>
        <v/>
      </c>
      <c r="E8" s="14">
        <f>E6*'Assumptions'!C136/365</f>
        <v/>
      </c>
      <c r="F8" s="14">
        <f>F6*'Assumptions'!C136/365</f>
        <v/>
      </c>
    </row>
    <row r="9">
      <c r="A9" s="6" t="inlineStr">
        <is>
          <t>Payables</t>
        </is>
      </c>
      <c r="B9" s="14">
        <f>B6*'Assumptions'!C137/365</f>
        <v/>
      </c>
      <c r="C9" s="14">
        <f>C6*'Assumptions'!C137/365</f>
        <v/>
      </c>
      <c r="D9" s="14">
        <f>D6*'Assumptions'!C137/365</f>
        <v/>
      </c>
      <c r="E9" s="14">
        <f>E6*'Assumptions'!C137/365</f>
        <v/>
      </c>
      <c r="F9" s="14">
        <f>F6*'Assumptions'!C137/365</f>
        <v/>
      </c>
    </row>
    <row r="10">
      <c r="A10" s="6" t="inlineStr">
        <is>
          <t>Net working capital</t>
        </is>
      </c>
      <c r="B10" s="14">
        <f>B7+B8-B9</f>
        <v/>
      </c>
      <c r="C10" s="14">
        <f>C7+C8-C9</f>
        <v/>
      </c>
      <c r="D10" s="14">
        <f>D7+D8-D9</f>
        <v/>
      </c>
      <c r="E10" s="14">
        <f>E7+E8-E9</f>
        <v/>
      </c>
      <c r="F10" s="14">
        <f>F7+F8-F9</f>
        <v/>
      </c>
    </row>
    <row r="11">
      <c r="A11" s="6" t="inlineStr">
        <is>
          <t>Opening net working capital, 31 March 2026 as reported</t>
        </is>
      </c>
      <c r="B11" s="13" t="n">
        <v>3069.424</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row r="20">
      <c r="A20" s="10" t="inlineStr">
        <is>
          <t>CAPITAL EXPENDITURE RECORD — WHAT THE COMPANY ACTUALLY SPENDS</t>
        </is>
      </c>
    </row>
    <row r="21">
      <c r="A21" s="5" t="inlineStr">
        <is>
          <t>Year</t>
        </is>
      </c>
      <c r="B21" s="5" t="inlineStr">
        <is>
          <t>Capital expenditure paid (EGP m)</t>
        </is>
      </c>
      <c r="C21" s="5" t="inlineStr">
        <is>
          <t>Revenue (EGP m)</t>
        </is>
      </c>
      <c r="D21" s="5" t="inlineStr">
        <is>
          <t>Of revenue</t>
        </is>
      </c>
      <c r="E21" s="5" t="inlineStr">
        <is>
          <t>What it was</t>
        </is>
      </c>
    </row>
    <row r="22">
      <c r="A22" s="6" t="inlineStr">
        <is>
          <t>FY2021/22</t>
        </is>
      </c>
      <c r="B22" s="20" t="n">
        <v>80.847245</v>
      </c>
      <c r="C22" s="13" t="n">
        <v>4440.701</v>
      </c>
      <c r="D22" s="8">
        <f>B22/C22</f>
        <v/>
      </c>
      <c r="E22" s="6" t="inlineStr">
        <is>
          <t>Before the project</t>
        </is>
      </c>
    </row>
    <row r="23">
      <c r="A23" s="6" t="inlineStr">
        <is>
          <t>FY2022/23</t>
        </is>
      </c>
      <c r="B23" s="20" t="n">
        <v>42.470154</v>
      </c>
      <c r="C23" s="13" t="n">
        <v>6612.226</v>
      </c>
      <c r="D23" s="8">
        <f>B23/C23</f>
        <v/>
      </c>
      <c r="E23" s="6" t="inlineStr">
        <is>
          <t>Before the project</t>
        </is>
      </c>
    </row>
    <row r="24">
      <c r="A24" s="6" t="inlineStr">
        <is>
          <t>FY2023/24</t>
        </is>
      </c>
      <c r="B24" s="20" t="n">
        <v>2396.608259</v>
      </c>
      <c r="C24" s="13" t="n">
        <v>6532.126</v>
      </c>
      <c r="D24" s="8">
        <f>B24/C24</f>
        <v/>
      </c>
      <c r="E24" s="6" t="inlineStr">
        <is>
          <t>The build begins</t>
        </is>
      </c>
    </row>
    <row r="25">
      <c r="A25" s="6" t="inlineStr">
        <is>
          <t>FY2024/25</t>
        </is>
      </c>
      <c r="B25" s="20" t="n">
        <v>1545.053761</v>
      </c>
      <c r="C25" s="13" t="n">
        <v>8602.606</v>
      </c>
      <c r="D25" s="8">
        <f>B25/C25</f>
        <v/>
      </c>
      <c r="E25" s="6" t="inlineStr">
        <is>
          <t>Building</t>
        </is>
      </c>
    </row>
    <row r="26">
      <c r="A26" s="6" t="inlineStr">
        <is>
          <t>9M FY2025/26</t>
        </is>
      </c>
      <c r="B26" s="20" t="n">
        <v>1949.134461</v>
      </c>
      <c r="C26" s="13" t="n">
        <v>7314.933</v>
      </c>
      <c r="D26" s="8">
        <f>B26/C26</f>
        <v/>
      </c>
      <c r="E26" s="6" t="inlineStr">
        <is>
          <t>Nine months actual</t>
        </is>
      </c>
    </row>
    <row r="28">
      <c r="A28" s="6" t="inlineStr">
        <is>
          <t>Pre-project maintenance rate, the two clean years pooled</t>
        </is>
      </c>
      <c r="D28" s="15">
        <f>(B22+B23)/(C22+C23)</f>
        <v/>
      </c>
      <c r="E28" s="6" t="inlineStr">
        <is>
          <t>THE MAINTENANCE DRIVER. Assumptions reads this cell.</t>
        </is>
      </c>
    </row>
    <row r="29">
      <c r="A29" s="6" t="inlineStr">
        <is>
          <t>Replacement-rate framing, the published alternative</t>
        </is>
      </c>
      <c r="B29" s="13" t="n">
        <v>17022.493</v>
      </c>
      <c r="C29" s="23" t="n">
        <v>0.0395</v>
      </c>
      <c r="D29" s="8">
        <f>B29*C29/B5</f>
        <v/>
      </c>
      <c r="E29" s="6" t="inlineStr">
        <is>
          <t>Gross fixed assets at the disclosed machinery rate, over first-forecast-year revenue. NOT used in the valuation — the downside case, published beside the central and never averaged in.</t>
        </is>
      </c>
    </row>
    <row r="30">
      <c r="A30" s="6" t="inlineStr">
        <is>
          <t>Full-year project spend at the observed run rate</t>
        </is>
      </c>
      <c r="B30" s="26">
        <f>B26*4/3</f>
        <v/>
      </c>
      <c r="E30" s="6" t="inlineStr">
        <is>
          <t>THE PROJECT PATH'S FIRST YEAR. Assumptions reads this cell.</t>
        </is>
      </c>
    </row>
    <row r="31">
      <c r="A31" s="6" t="inlineStr">
        <is>
          <t>Rate when the facility was signed, 25 June 2025</t>
        </is>
      </c>
      <c r="B31" s="12" t="n">
        <v>50</v>
      </c>
      <c r="E31" s="6" t="inlineStr">
        <is>
          <t>EGP per US dollar</t>
        </is>
      </c>
    </row>
    <row r="32">
      <c r="A32" s="6" t="inlineStr">
        <is>
          <t>Approved cost of the programme (EGP m)</t>
        </is>
      </c>
      <c r="B32" s="13" t="n">
        <v>6422.418</v>
      </c>
      <c r="C32" s="20" t="n">
        <v>278.385</v>
      </c>
      <c r="D32" s="14">
        <f>B32+C32*B31</f>
        <v/>
      </c>
      <c r="E32" s="6" t="inlineStr">
        <is>
          <t>EGP tranche, dollar tranche, and the two in one currency</t>
        </is>
      </c>
    </row>
    <row r="33">
      <c r="A33" s="6" t="inlineStr">
        <is>
          <t>Spent by 31 March 2026 (construction in progress)</t>
        </is>
      </c>
      <c r="B33" s="13" t="n">
        <v>5653.51</v>
      </c>
    </row>
    <row r="34">
      <c r="A34" s="6" t="inlineStr">
        <is>
          <t>Still to spend</t>
        </is>
      </c>
      <c r="D34" s="14">
        <f>D32-B33</f>
        <v/>
      </c>
      <c r="E34" s="6" t="inlineStr">
        <is>
          <t>THE PROJECT PATH'S LAST YEAR is this less the four before it, so the path completes the programme by construction</t>
        </is>
      </c>
    </row>
    <row r="36" ht="39" customHeight="1">
      <c r="A36" s="18"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'Assumptions'!C33</f>
        <v/>
      </c>
      <c r="C15" s="29">
        <f>'Assumptions'!C34</f>
        <v/>
      </c>
      <c r="D15" s="29">
        <f>'Assumptions'!C35</f>
        <v/>
      </c>
      <c r="E15" s="29">
        <f>'Assumptions'!C36</f>
        <v/>
      </c>
      <c r="F15" s="29">
        <f>'Assumptions'!C37</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13.98</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-2.64</v>
      </c>
      <c r="C6" s="12" t="n">
        <v>-2.74</v>
      </c>
      <c r="D6" s="12" t="n">
        <v>-2.85</v>
      </c>
      <c r="E6" s="12" t="n">
        <v>-2.91</v>
      </c>
      <c r="F6" s="12" t="n">
        <v>-2.98</v>
      </c>
    </row>
    <row r="7">
      <c r="A7" s="6" t="inlineStr">
        <is>
          <t>US$ 420/t long-run export price</t>
        </is>
      </c>
      <c r="B7" s="12" t="n">
        <v>-1.06</v>
      </c>
      <c r="C7" s="12" t="n">
        <v>-1.25</v>
      </c>
      <c r="D7" s="12" t="n">
        <v>-1.44</v>
      </c>
      <c r="E7" s="12" t="n">
        <v>-1.56</v>
      </c>
      <c r="F7" s="12" t="n">
        <v>-1.69</v>
      </c>
    </row>
    <row r="8">
      <c r="A8" s="6" t="inlineStr">
        <is>
          <t>US$ 460/t long-run export price</t>
        </is>
      </c>
      <c r="B8" s="12" t="n">
        <v>0.52</v>
      </c>
      <c r="C8" s="12" t="n">
        <v>0.24</v>
      </c>
      <c r="D8" s="12" t="n">
        <v>-0.03</v>
      </c>
      <c r="E8" s="12" t="n">
        <v>-0.21</v>
      </c>
      <c r="F8" s="12" t="n">
        <v>-0.4</v>
      </c>
    </row>
    <row r="9">
      <c r="A9" s="6" t="inlineStr">
        <is>
          <t>US$ 500/t long-run export price</t>
        </is>
      </c>
      <c r="B9" s="12" t="n">
        <v>2.1</v>
      </c>
      <c r="C9" s="12" t="n">
        <v>1.73</v>
      </c>
      <c r="D9" s="12" t="n">
        <v>1.38</v>
      </c>
      <c r="E9" s="12" t="n">
        <v>1.14</v>
      </c>
      <c r="F9" s="12" t="n">
        <v>0.9</v>
      </c>
    </row>
    <row r="10">
      <c r="A10" s="6" t="inlineStr">
        <is>
          <t>US$ 540/t long-run export price</t>
        </is>
      </c>
      <c r="B10" s="12" t="n">
        <v>3.67</v>
      </c>
      <c r="C10" s="12" t="n">
        <v>3.23</v>
      </c>
      <c r="D10" s="12" t="n">
        <v>2.79</v>
      </c>
      <c r="E10" s="12" t="n">
        <v>2.49</v>
      </c>
      <c r="F10" s="12" t="n">
        <v>2.19</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5">
      <c r="A15" s="10" t="inlineStr">
        <is>
          <t>THE CONTESTED CONSTRUCTIONS — one component moved, model re-run</t>
        </is>
      </c>
      <c r="C15" s="6" t="inlineStr">
        <is>
          <t>The published answer</t>
        </is>
      </c>
      <c r="D15" s="11">
        <f>'DCF'!B44</f>
        <v/>
      </c>
    </row>
    <row r="16">
      <c r="A16" s="5" t="inlineStr">
        <is>
          <t>Choice made</t>
        </is>
      </c>
      <c r="B16" s="5" t="inlineStr">
        <is>
          <t>The alternative</t>
        </is>
      </c>
      <c r="C16" s="5" t="inlineStr">
        <is>
          <t>EGP/share</t>
        </is>
      </c>
      <c r="D16" s="5" t="inlineStr">
        <is>
          <t>Against the published</t>
        </is>
      </c>
    </row>
    <row r="17" ht="26" customHeight="1">
      <c r="A17" s="9" t="inlineStr">
        <is>
          <t>Country risk priced off the sovereign's credit rating</t>
        </is>
      </c>
      <c r="B17" s="9" t="inlineStr">
        <is>
          <t>Priced off the sovereign's traded default swap instead, which is the narrower of the two spreads</t>
        </is>
      </c>
      <c r="C17" s="12" t="n">
        <v>-0.01815018750557796</v>
      </c>
      <c r="D17" s="11">
        <f>C17-$D$15</f>
        <v/>
      </c>
    </row>
    <row r="18" ht="26" customHeight="1">
      <c r="A18" s="9" t="inlineStr">
        <is>
          <t>A cost of capital that glides from its spot build to a terminal rate made from its own long-run components</t>
        </is>
      </c>
      <c r="B18" s="9" t="inlineStr">
        <is>
          <t>One flat spot rate applied to every explicit year and to the perpetuity</t>
        </is>
      </c>
      <c r="C18" s="12" t="n">
        <v>-1.167721151771788</v>
      </c>
      <c r="D18" s="11">
        <f>C18-$D$15</f>
        <v/>
      </c>
    </row>
    <row r="19" ht="26" customHeight="1">
      <c r="A19" s="9" t="inlineStr">
        <is>
          <t>Terminal growth at the central bank's medium-term inflation target</t>
        </is>
      </c>
      <c r="B19" s="9" t="inlineStr">
        <is>
          <t>Two percentage points below it, which is negative real maintenance growth</t>
        </is>
      </c>
      <c r="C19" s="12" t="n">
        <v>-0.6670929341943478</v>
      </c>
      <c r="D19" s="11">
        <f>C19-$D$15</f>
        <v/>
      </c>
    </row>
    <row r="20" ht="26" customHeight="1">
      <c r="A20" s="9" t="inlineStr">
        <is>
          <t>Beta from the five-year weekly regression of the share against its own local index</t>
        </is>
      </c>
      <c r="B20" s="9" t="inlineStr">
        <is>
          <t>The Dimson sum-beta from the same regression, which corrects for co-movement booked late because the share does not trade every session</t>
        </is>
      </c>
      <c r="C20" s="12" t="n">
        <v>-0.1993221562101967</v>
      </c>
      <c r="D20" s="11">
        <f>C20-$D$15</f>
        <v/>
      </c>
    </row>
    <row r="21" ht="26" customHeight="1">
      <c r="A21" s="9" t="inlineStr">
        <is>
          <t>Gas at the realised price the company's own loss disclosure implies</t>
        </is>
      </c>
      <c r="B21" s="9" t="inlineStr">
        <is>
          <t>The contract formula price in the operating agreement, which is higher</t>
        </is>
      </c>
      <c r="C21" s="12" t="n">
        <v>-2.553287069645033</v>
      </c>
      <c r="D21" s="11">
        <f>C21-$D$15</f>
        <v/>
      </c>
    </row>
    <row r="22" ht="26" customHeight="1">
      <c r="A22" s="9" t="inlineStr">
        <is>
          <t>The new complex earning at half its derived nameplate in the terminal year</t>
        </is>
      </c>
      <c r="B22" s="9" t="inlineStr">
        <is>
          <t>Seventy per cent, which is what a well-run nitrate line achieves</t>
        </is>
      </c>
      <c r="C22" s="12" t="n">
        <v>-0.4499628389347562</v>
      </c>
      <c r="D22" s="11">
        <f>C22-$D$15</f>
        <v/>
      </c>
    </row>
    <row r="23" ht="26" customHeight="1">
      <c r="A23" s="9" t="inlineStr">
        <is>
          <t>Maintenance capital expenditure at the company's own observed pre-project rate of 1.12% of revenue</t>
        </is>
      </c>
      <c r="B23" s="9" t="inlineStr">
        <is>
          <t>Replacement-rate maintenance: gross fixed assets at the disclosed 3.95% machinery depreciation rate, or 6.11% of revenue</t>
        </is>
      </c>
      <c r="C23" s="12" t="n">
        <v>-1.48122464015131</v>
      </c>
      <c r="D23" s="11">
        <f>C23-$D$15</f>
        <v/>
      </c>
    </row>
    <row r="24" ht="26" customHeight="1">
      <c r="A24" s="9" t="inlineStr">
        <is>
          <t>Terminal reinvestment of 38.9% of operating profit after tax, from growth over an 18% return on capital</t>
        </is>
      </c>
      <c r="B24" s="9" t="inlineStr">
        <is>
          <t>23.3%, from a 30% return on capital — the rate a newly completed plant earns on incremental capital while it is still filling</t>
        </is>
      </c>
      <c r="C24" s="12" t="n">
        <v>-0.4056928790197533</v>
      </c>
      <c r="D24" s="11">
        <f>C24-$D$15</f>
        <v/>
      </c>
    </row>
    <row r="25" ht="26" customHeight="1">
      <c r="A25" s="9" t="inlineStr">
        <is>
          <t>Project spending anchored on the observed run rate: the nine-month actual extended to a full year</t>
        </is>
      </c>
      <c r="B25" s="9" t="inlineStr">
        <is>
          <t>The faster profile the first issue of this study used, opening at EGP 3,000m</t>
        </is>
      </c>
      <c r="C25" s="12" t="n">
        <v>-0.8996788650758137</v>
      </c>
      <c r="D25" s="11">
        <f>C25-$D$15</f>
        <v/>
      </c>
    </row>
    <row r="27" ht="39" customHeight="1">
      <c r="A27" s="18"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'Summary'!B16/'Fundamental Valuation'!B5</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'Assumptions'!C91</f>
        <v/>
      </c>
      <c r="C8" s="9" t="inlineStr">
        <is>
          <t>Built on the Assumptions sheet</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'DCF'!B14*1000000/'Assumptions'!C6</f>
        <v/>
      </c>
      <c r="C13" s="9" t="inlineStr"/>
    </row>
    <row r="14" ht="14" customHeight="1">
      <c r="A14" s="6" t="inlineStr">
        <is>
          <t>Free cash flow per share, FY2030/31 (EGP)</t>
        </is>
      </c>
      <c r="B14" s="11">
        <f>'DCF'!F14*1000000/'Assumptions'!C6</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'Assumptions'!C69</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2026-08-09T09:32:50Z</dcterms:created>
  <dcterms:modified xmlns:dcterms="http://purl.org/dc/terms/" xmlns:xsi="http://www.w3.org/2001/XMLSchema-instance" xsi:type="dcterms:W3CDTF">2026-08-09T09:32:50Z</dcterms:modified>
</cp:coreProperties>
</file>