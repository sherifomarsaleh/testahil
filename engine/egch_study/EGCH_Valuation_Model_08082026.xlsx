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00"/>
    <numFmt numFmtId="165" formatCode="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5"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5"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4" fontId="7" fillId="0" borderId="0" pivotButton="0" quotePrefix="0" xfId="0"/>
    <xf numFmtId="164" fontId="6" fillId="0" borderId="0" pivotButton="0" quotePrefix="0" xfId="0"/>
    <xf numFmtId="166"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5" fontId="9" fillId="0" borderId="0" pivotButton="0" quotePrefix="0" xfId="0"/>
    <xf numFmtId="166" fontId="7" fillId="0" borderId="0" pivotButton="0" quotePrefix="0" xfId="0"/>
    <xf numFmtId="10" fontId="9" fillId="0" borderId="0" pivotButton="0" quotePrefix="0" xfId="0"/>
    <xf numFmtId="168" fontId="7" fillId="0" borderId="0" pivotButton="0" quotePrefix="0" xfId="0"/>
    <xf numFmtId="166"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t>
        </is>
      </c>
    </row>
    <row r="11">
      <c r="A11" s="6" t="inlineStr">
        <is>
          <t>Low (floored at zero — limited liability)</t>
        </is>
      </c>
      <c r="B11" s="11">
        <f>MAX(0,MIN(B5:B8))</f>
        <v/>
      </c>
    </row>
    <row r="12">
      <c r="A12" s="6" t="inlineStr">
        <is>
          <t>High</t>
        </is>
      </c>
      <c r="B12" s="11">
        <f>MAX(B5:C8)</f>
        <v/>
      </c>
    </row>
    <row r="13">
      <c r="A13" s="6" t="inlineStr">
        <is>
          <t>Spread across the four lenses</t>
        </is>
      </c>
      <c r="B13" s="11">
        <f>B12-B11</f>
        <v/>
      </c>
    </row>
    <row r="14">
      <c r="A14" s="6" t="inlineStr">
        <is>
          <t>Spot price, 6 August 2026</t>
        </is>
      </c>
      <c r="B14" s="12" t="n">
        <v>13.98</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0.09982039444544266</v>
      </c>
    </row>
    <row r="26">
      <c r="A26" s="6" t="inlineStr">
        <is>
          <t>Sovereign ten-year yield the same day, for comparison</t>
        </is>
      </c>
      <c r="B26" s="15" t="n">
        <v>0.23</v>
      </c>
    </row>
    <row r="27">
      <c r="A27" s="6" t="inlineStr">
        <is>
          <t>Cost of capital built in this model, year one</t>
        </is>
      </c>
      <c r="B27" s="16">
        <f>'Assumptions'!C95</f>
        <v/>
      </c>
    </row>
    <row r="28">
      <c r="A28" s="6" t="inlineStr">
        <is>
          <t>Cost of capital on the CDS premium basis, year one</t>
        </is>
      </c>
      <c r="B28" s="16">
        <f>'Assumptions'!C93*'Assumptions'!C85+'Assumptions'!C94*'Assumptions'!C91*(1-'Assumptions'!C92)</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B5*1000000/1986578999</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'Assumptions'!C84</f>
        <v/>
      </c>
      <c r="C14" s="9" t="inlineStr">
        <is>
          <t>Built on the Assumptions sheet</t>
        </is>
      </c>
    </row>
    <row r="15" ht="14" customHeight="1">
      <c r="A15" s="6" t="inlineStr">
        <is>
          <t>Terminal growth</t>
        </is>
      </c>
      <c r="B15" s="8">
        <f>'Assumptions'!C102</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B14*0+13.98*1986578999/1000000/B5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-1.297959036237704</v>
      </c>
    </row>
    <row r="24">
      <c r="A24" s="6" t="inlineStr">
        <is>
          <t>Cash flow — programme stopped</t>
        </is>
      </c>
      <c r="B24" s="12" t="n">
        <v>2.199017470666693</v>
      </c>
    </row>
    <row r="25">
      <c r="A25" s="6" t="inlineStr">
        <is>
          <t>Book value and sustainable return</t>
        </is>
      </c>
      <c r="B25" s="12" t="n">
        <v>0</v>
      </c>
    </row>
    <row r="26">
      <c r="A26" s="6" t="inlineStr">
        <is>
          <t>Relative multiples</t>
        </is>
      </c>
      <c r="B26" s="12" t="n">
        <v>6.918193137103221</v>
      </c>
    </row>
    <row r="27">
      <c r="A27" s="6" t="inlineStr">
        <is>
          <t>Normalised earnings power</t>
        </is>
      </c>
      <c r="B27" s="12" t="n">
        <v>3.776252679840041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1"/>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CAPACITY AND VOLUME</t>
        </is>
      </c>
    </row>
    <row r="6" ht="14" customHeight="1">
      <c r="A6" s="6" t="inlineStr">
        <is>
          <t>Urea design capacity</t>
        </is>
      </c>
      <c r="B6" s="6" t="inlineStr">
        <is>
          <t>tonnes/year</t>
        </is>
      </c>
      <c r="C6" s="13" t="n">
        <v>574875</v>
      </c>
      <c r="D6" s="9" t="inlineStr">
        <is>
          <t>Constructed: 1,575 t/day contractual plate times 365 days</t>
        </is>
      </c>
    </row>
    <row r="7" ht="24" customHeight="1">
      <c r="A7" s="6" t="inlineStr">
        <is>
          <t>Ammonia design capacity</t>
        </is>
      </c>
      <c r="B7" s="6" t="inlineStr">
        <is>
          <t>tonnes/year</t>
        </is>
      </c>
      <c r="C7" s="13" t="n">
        <v>438000</v>
      </c>
      <c r="D7" s="9" t="inlineStr">
        <is>
          <t>Audited financial statements, year ended 30 June 2025 (Central Auditing Organization, report dated 23 September 2025), note 28</t>
        </is>
      </c>
    </row>
    <row r="8" ht="24" customHeight="1">
      <c r="A8" s="6" t="inlineStr">
        <is>
          <t>Ammonia per tonne of urea</t>
        </is>
      </c>
      <c r="B8" s="6" t="inlineStr">
        <is>
          <t>tonnes</t>
        </is>
      </c>
      <c r="C8" s="20" t="n">
        <v>0.619889556570605</v>
      </c>
      <c r="D8" s="9" t="inlineStr">
        <is>
          <t>Constructed: FY2024/25 ammonia output divided by FY2024/25 urea output, both from the auditor's product cost table</t>
        </is>
      </c>
    </row>
    <row r="9" ht="36" customHeight="1">
      <c r="A9" s="6" t="inlineStr">
        <is>
          <t>Urea capacity utilisation — FY2026/27</t>
        </is>
      </c>
      <c r="B9" s="6" t="inlineStr">
        <is>
          <t>% of plate</t>
        </is>
      </c>
      <c r="C9" s="15" t="n">
        <v>0.913</v>
      </c>
      <c r="D9" s="9" t="inlineStr">
        <is>
          <t>Utilisation path. Audited output ran 586.4kt in FY2022/23 (2% above plate), 521.9kt in FY2023/24 and 513.4kt in FY2024/25; the path never returns to plate because the summer gas curtailment is structural.</t>
        </is>
      </c>
    </row>
    <row r="10" ht="36" customHeight="1">
      <c r="A10" s="6" t="inlineStr">
        <is>
          <t>Urea capacity utilisation — FY2027/28</t>
        </is>
      </c>
      <c r="B10" s="6" t="inlineStr">
        <is>
          <t>% of plate</t>
        </is>
      </c>
      <c r="C10" s="15" t="n">
        <v>0.922</v>
      </c>
      <c r="D10" s="9" t="inlineStr">
        <is>
          <t>Utilisation path. Audited output ran 586.4kt in FY2022/23 (2% above plate), 521.9kt in FY2023/24 and 513.4kt in FY2024/25; the path never returns to plate because the summer gas curtailment is structural.</t>
        </is>
      </c>
    </row>
    <row r="11" ht="36" customHeight="1">
      <c r="A11" s="6" t="inlineStr">
        <is>
          <t>Urea capacity utilisation — FY2028/29</t>
        </is>
      </c>
      <c r="B11" s="6" t="inlineStr">
        <is>
          <t>% of plate</t>
        </is>
      </c>
      <c r="C11" s="15" t="n">
        <v>0.93</v>
      </c>
      <c r="D11" s="9" t="inlineStr">
        <is>
          <t>Utilisation path. Audited output ran 586.4kt in FY2022/23 (2% above plate), 521.9kt in FY2023/24 and 513.4kt in FY2024/25; the path never returns to plate because the summer gas curtailment is structural.</t>
        </is>
      </c>
    </row>
    <row r="12" ht="36" customHeight="1">
      <c r="A12" s="6" t="inlineStr">
        <is>
          <t>Urea capacity utilisation — FY2029/30</t>
        </is>
      </c>
      <c r="B12" s="6" t="inlineStr">
        <is>
          <t>% of plate</t>
        </is>
      </c>
      <c r="C12" s="15" t="n">
        <v>0.9389999999999999</v>
      </c>
      <c r="D12" s="9" t="inlineStr">
        <is>
          <t>Utilisation path. Audited output ran 586.4kt in FY2022/23 (2% above plate), 521.9kt in FY2023/24 and 513.4kt in FY2024/25; the path never returns to plate because the summer gas curtailment is structural.</t>
        </is>
      </c>
    </row>
    <row r="13" ht="36" customHeight="1">
      <c r="A13" s="6" t="inlineStr">
        <is>
          <t>Urea capacity utilisation — FY2030/31</t>
        </is>
      </c>
      <c r="B13" s="6" t="inlineStr">
        <is>
          <t>% of plate</t>
        </is>
      </c>
      <c r="C13" s="15" t="n">
        <v>0.948</v>
      </c>
      <c r="D13" s="9" t="inlineStr">
        <is>
          <t>Utilisation path. Audited output ran 586.4kt in FY2022/23 (2% above plate), 521.9kt in FY2023/24 and 513.4kt in FY2024/25; the path never returns to plate because the summer gas curtailment is structural.</t>
        </is>
      </c>
    </row>
    <row r="14" ht="24" customHeight="1">
      <c r="A14" s="6" t="inlineStr">
        <is>
          <t>Subsidised deliveries — FY2026/27</t>
        </is>
      </c>
      <c r="B14" s="6" t="inlineStr">
        <is>
          <t>tonnes</t>
        </is>
      </c>
      <c r="C14" s="13" t="n">
        <v>155000</v>
      </c>
      <c r="D14" s="9" t="inlineStr">
        <is>
          <t>Subsidised delivery path. The company met 147kt of a 322kt requirement in the fourteen months to August 2025, a 46% compliance rate the forecast does not assume away.</t>
        </is>
      </c>
    </row>
    <row r="15" ht="24" customHeight="1">
      <c r="A15" s="6" t="inlineStr">
        <is>
          <t>Subsidised deliveries — FY2027/28</t>
        </is>
      </c>
      <c r="B15" s="6" t="inlineStr">
        <is>
          <t>tonnes</t>
        </is>
      </c>
      <c r="C15" s="13" t="n">
        <v>160000</v>
      </c>
      <c r="D15" s="9" t="inlineStr">
        <is>
          <t>Subsidised delivery path. The company met 147kt of a 322kt requirement in the fourteen months to August 2025, a 46% compliance rate the forecast does not assume away.</t>
        </is>
      </c>
    </row>
    <row r="16" ht="24" customHeight="1">
      <c r="A16" s="6" t="inlineStr">
        <is>
          <t>Subsidised deliveries — FY2028/29</t>
        </is>
      </c>
      <c r="B16" s="6" t="inlineStr">
        <is>
          <t>tonnes</t>
        </is>
      </c>
      <c r="C16" s="13" t="n">
        <v>165000</v>
      </c>
      <c r="D16" s="9" t="inlineStr">
        <is>
          <t>Subsidised delivery path. The company met 147kt of a 322kt requirement in the fourteen months to August 2025, a 46% compliance rate the forecast does not assume away.</t>
        </is>
      </c>
    </row>
    <row r="17" ht="24" customHeight="1">
      <c r="A17" s="6" t="inlineStr">
        <is>
          <t>Subsidised deliveries — FY2029/30</t>
        </is>
      </c>
      <c r="B17" s="6" t="inlineStr">
        <is>
          <t>tonnes</t>
        </is>
      </c>
      <c r="C17" s="13" t="n">
        <v>170000</v>
      </c>
      <c r="D17" s="9" t="inlineStr">
        <is>
          <t>Subsidised delivery path. The company met 147kt of a 322kt requirement in the fourteen months to August 2025, a 46% compliance rate the forecast does not assume away.</t>
        </is>
      </c>
    </row>
    <row r="18" ht="24" customHeight="1">
      <c r="A18" s="6" t="inlineStr">
        <is>
          <t>Subsidised deliveries — FY2030/31</t>
        </is>
      </c>
      <c r="B18" s="6" t="inlineStr">
        <is>
          <t>tonnes</t>
        </is>
      </c>
      <c r="C18" s="13" t="n">
        <v>175000</v>
      </c>
      <c r="D18" s="9" t="inlineStr">
        <is>
          <t>Subsidised delivery path. The company met 147kt of a 322kt requirement in the fourteen months to August 2025, a 46% compliance rate the forecast does not assume away.</t>
        </is>
      </c>
    </row>
    <row r="19" ht="14" customHeight="1">
      <c r="A19" s="6" t="inlineStr">
        <is>
          <t>Local free-market volume — FY2026/27</t>
        </is>
      </c>
      <c r="B19" s="6" t="inlineStr">
        <is>
          <t>tonnes</t>
        </is>
      </c>
      <c r="C19" s="13" t="n">
        <v>40000</v>
      </c>
      <c r="D19" s="9" t="inlineStr">
        <is>
          <t>Local free-market volume path from the 37.1kt implied for FY2024/25.</t>
        </is>
      </c>
    </row>
    <row r="20" ht="14" customHeight="1">
      <c r="A20" s="6" t="inlineStr">
        <is>
          <t>Local free-market volume — FY2027/28</t>
        </is>
      </c>
      <c r="B20" s="6" t="inlineStr">
        <is>
          <t>tonnes</t>
        </is>
      </c>
      <c r="C20" s="13" t="n">
        <v>41000</v>
      </c>
      <c r="D20" s="9" t="inlineStr">
        <is>
          <t>Local free-market volume path from the 37.1kt implied for FY2024/25.</t>
        </is>
      </c>
    </row>
    <row r="21" ht="14" customHeight="1">
      <c r="A21" s="6" t="inlineStr">
        <is>
          <t>Local free-market volume — FY2028/29</t>
        </is>
      </c>
      <c r="B21" s="6" t="inlineStr">
        <is>
          <t>tonnes</t>
        </is>
      </c>
      <c r="C21" s="13" t="n">
        <v>42000</v>
      </c>
      <c r="D21" s="9" t="inlineStr">
        <is>
          <t>Local free-market volume path from the 37.1kt implied for FY2024/25.</t>
        </is>
      </c>
    </row>
    <row r="22" ht="14" customHeight="1">
      <c r="A22" s="6" t="inlineStr">
        <is>
          <t>Local free-market volume — FY2029/30</t>
        </is>
      </c>
      <c r="B22" s="6" t="inlineStr">
        <is>
          <t>tonnes</t>
        </is>
      </c>
      <c r="C22" s="13" t="n">
        <v>43000</v>
      </c>
      <c r="D22" s="9" t="inlineStr">
        <is>
          <t>Local free-market volume path from the 37.1kt implied for FY2024/25.</t>
        </is>
      </c>
    </row>
    <row r="23" ht="14" customHeight="1">
      <c r="A23" s="6" t="inlineStr">
        <is>
          <t>Local free-market volume — FY2030/31</t>
        </is>
      </c>
      <c r="B23" s="6" t="inlineStr">
        <is>
          <t>tonnes</t>
        </is>
      </c>
      <c r="C23" s="13" t="n">
        <v>44000</v>
      </c>
      <c r="D23" s="9" t="inlineStr">
        <is>
          <t>Local free-market volume path from the 37.1kt implied for FY2024/25.</t>
        </is>
      </c>
    </row>
    <row r="25">
      <c r="A25" s="10" t="inlineStr">
        <is>
          <t>PRICES</t>
        </is>
      </c>
    </row>
    <row r="26" ht="24" customHeight="1">
      <c r="A26" s="6" t="inlineStr">
        <is>
          <t>Export urea price — FY2026/27</t>
        </is>
      </c>
      <c r="B26" s="6" t="inlineStr">
        <is>
          <t>US$/tonne</t>
        </is>
      </c>
      <c r="C26" s="21" t="n">
        <v>530</v>
      </c>
      <c r="D26" s="9" t="inlineStr">
        <is>
          <t>Export price path, mean-reverting from the August 2026 quote toward the cash cost of the marginal gas-based producer.</t>
        </is>
      </c>
    </row>
    <row r="27" ht="24" customHeight="1">
      <c r="A27" s="6" t="inlineStr">
        <is>
          <t>Export urea price — FY2027/28</t>
        </is>
      </c>
      <c r="B27" s="6" t="inlineStr">
        <is>
          <t>US$/tonne</t>
        </is>
      </c>
      <c r="C27" s="21" t="n">
        <v>500</v>
      </c>
      <c r="D27" s="9" t="inlineStr">
        <is>
          <t>Export price path, mean-reverting from the August 2026 quote toward the cash cost of the marginal gas-based producer.</t>
        </is>
      </c>
    </row>
    <row r="28" ht="24" customHeight="1">
      <c r="A28" s="6" t="inlineStr">
        <is>
          <t>Export urea price — FY2028/29</t>
        </is>
      </c>
      <c r="B28" s="6" t="inlineStr">
        <is>
          <t>US$/tonne</t>
        </is>
      </c>
      <c r="C28" s="21" t="n">
        <v>470</v>
      </c>
      <c r="D28" s="9" t="inlineStr">
        <is>
          <t>Export price path, mean-reverting from the August 2026 quote toward the cash cost of the marginal gas-based producer.</t>
        </is>
      </c>
    </row>
    <row r="29" ht="24" customHeight="1">
      <c r="A29" s="6" t="inlineStr">
        <is>
          <t>Export urea price — FY2029/30</t>
        </is>
      </c>
      <c r="B29" s="6" t="inlineStr">
        <is>
          <t>US$/tonne</t>
        </is>
      </c>
      <c r="C29" s="21" t="n">
        <v>450</v>
      </c>
      <c r="D29" s="9" t="inlineStr">
        <is>
          <t>Export price path, mean-reverting from the August 2026 quote toward the cash cost of the marginal gas-based producer.</t>
        </is>
      </c>
    </row>
    <row r="30" ht="24" customHeight="1">
      <c r="A30" s="6" t="inlineStr">
        <is>
          <t>Export urea price — FY2030/31</t>
        </is>
      </c>
      <c r="B30" s="6" t="inlineStr">
        <is>
          <t>US$/tonne</t>
        </is>
      </c>
      <c r="C30" s="21" t="n">
        <v>440</v>
      </c>
      <c r="D30" s="9" t="inlineStr">
        <is>
          <t>Export price path, mean-reverting from the August 2026 quote toward the cash cost of the marginal gas-based producer.</t>
        </is>
      </c>
    </row>
    <row r="31" ht="24" customHeight="1">
      <c r="A31" s="6" t="inlineStr">
        <is>
          <t>Egyptian pounds per US dollar — FY2026/27</t>
        </is>
      </c>
      <c r="B31" s="6" t="inlineStr">
        <is>
          <t>EGP/US$</t>
        </is>
      </c>
      <c r="C31" s="12" t="n">
        <v>51.9</v>
      </c>
      <c r="D31" s="9" t="inlineStr">
        <is>
          <t>Currency path at 4.5% depreciation a year from the spot rate — the same wedge used to carry the dollar debt at local-equivalent cost.</t>
        </is>
      </c>
    </row>
    <row r="32" ht="24" customHeight="1">
      <c r="A32" s="6" t="inlineStr">
        <is>
          <t>Egyptian pounds per US dollar — FY2027/28</t>
        </is>
      </c>
      <c r="B32" s="6" t="inlineStr">
        <is>
          <t>EGP/US$</t>
        </is>
      </c>
      <c r="C32" s="12" t="n">
        <v>54.2</v>
      </c>
      <c r="D32" s="9" t="inlineStr">
        <is>
          <t>Currency path at 4.5% depreciation a year from the spot rate — the same wedge used to carry the dollar debt at local-equivalent cost.</t>
        </is>
      </c>
    </row>
    <row r="33" ht="24" customHeight="1">
      <c r="A33" s="6" t="inlineStr">
        <is>
          <t>Egyptian pounds per US dollar — FY2028/29</t>
        </is>
      </c>
      <c r="B33" s="6" t="inlineStr">
        <is>
          <t>EGP/US$</t>
        </is>
      </c>
      <c r="C33" s="12" t="n">
        <v>56.7</v>
      </c>
      <c r="D33" s="9" t="inlineStr">
        <is>
          <t>Currency path at 4.5% depreciation a year from the spot rate — the same wedge used to carry the dollar debt at local-equivalent cost.</t>
        </is>
      </c>
    </row>
    <row r="34" ht="24" customHeight="1">
      <c r="A34" s="6" t="inlineStr">
        <is>
          <t>Egyptian pounds per US dollar — FY2029/30</t>
        </is>
      </c>
      <c r="B34" s="6" t="inlineStr">
        <is>
          <t>EGP/US$</t>
        </is>
      </c>
      <c r="C34" s="12" t="n">
        <v>59.2</v>
      </c>
      <c r="D34" s="9" t="inlineStr">
        <is>
          <t>Currency path at 4.5% depreciation a year from the spot rate — the same wedge used to carry the dollar debt at local-equivalent cost.</t>
        </is>
      </c>
    </row>
    <row r="35" ht="24" customHeight="1">
      <c r="A35" s="6" t="inlineStr">
        <is>
          <t>Egyptian pounds per US dollar — FY2030/31</t>
        </is>
      </c>
      <c r="B35" s="6" t="inlineStr">
        <is>
          <t>EGP/US$</t>
        </is>
      </c>
      <c r="C35" s="12" t="n">
        <v>61.9</v>
      </c>
      <c r="D35" s="9" t="inlineStr">
        <is>
          <t>Currency path at 4.5% depreciation a year from the spot rate — the same wedge used to carry the dollar debt at local-equivalent cost.</t>
        </is>
      </c>
    </row>
    <row r="36" ht="14" customHeight="1">
      <c r="A36" s="6" t="inlineStr">
        <is>
          <t>Export duty</t>
        </is>
      </c>
      <c r="B36" s="6" t="inlineStr">
        <is>
          <t>% of export value</t>
        </is>
      </c>
      <c r="C36" s="15" t="n">
        <v>0.1</v>
      </c>
      <c r="D36" s="9" t="inlineStr">
        <is>
          <t>2026 replacement of the shortfall levy with an ad-valorem duty tied to the global price</t>
        </is>
      </c>
    </row>
    <row r="37" ht="14" customHeight="1">
      <c r="A37" s="6" t="inlineStr">
        <is>
          <t>Subsidised price — FY2026/27</t>
        </is>
      </c>
      <c r="B37" s="6" t="inlineStr">
        <is>
          <t>EGP/tonne</t>
        </is>
      </c>
      <c r="C37" s="13" t="n">
        <v>7526</v>
      </c>
      <c r="D37" s="9" t="inlineStr">
        <is>
          <t>Administered subsidised price path from the EGP 6,000 cooperative supply price.</t>
        </is>
      </c>
    </row>
    <row r="38" ht="14" customHeight="1">
      <c r="A38" s="6" t="inlineStr">
        <is>
          <t>Subsidised price — FY2027/28</t>
        </is>
      </c>
      <c r="B38" s="6" t="inlineStr">
        <is>
          <t>EGP/tonne</t>
        </is>
      </c>
      <c r="C38" s="13" t="n">
        <v>8429</v>
      </c>
      <c r="D38" s="9" t="inlineStr">
        <is>
          <t>Administered subsidised price path from the EGP 6,000 cooperative supply price.</t>
        </is>
      </c>
    </row>
    <row r="39" ht="14" customHeight="1">
      <c r="A39" s="6" t="inlineStr">
        <is>
          <t>Subsidised price — FY2028/29</t>
        </is>
      </c>
      <c r="B39" s="6" t="inlineStr">
        <is>
          <t>EGP/tonne</t>
        </is>
      </c>
      <c r="C39" s="13" t="n">
        <v>9272</v>
      </c>
      <c r="D39" s="9" t="inlineStr">
        <is>
          <t>Administered subsidised price path from the EGP 6,000 cooperative supply price.</t>
        </is>
      </c>
    </row>
    <row r="40" ht="14" customHeight="1">
      <c r="A40" s="6" t="inlineStr">
        <is>
          <t>Subsidised price — FY2029/30</t>
        </is>
      </c>
      <c r="B40" s="6" t="inlineStr">
        <is>
          <t>EGP/tonne</t>
        </is>
      </c>
      <c r="C40" s="13" t="n">
        <v>10106</v>
      </c>
      <c r="D40" s="9" t="inlineStr">
        <is>
          <t>Administered subsidised price path from the EGP 6,000 cooperative supply price.</t>
        </is>
      </c>
    </row>
    <row r="41" ht="14" customHeight="1">
      <c r="A41" s="6" t="inlineStr">
        <is>
          <t>Subsidised price — FY2030/31</t>
        </is>
      </c>
      <c r="B41" s="6" t="inlineStr">
        <is>
          <t>EGP/tonne</t>
        </is>
      </c>
      <c r="C41" s="13" t="n">
        <v>10915</v>
      </c>
      <c r="D41" s="9" t="inlineStr">
        <is>
          <t>Administered subsidised price path from the EGP 6,000 cooperative supply price.</t>
        </is>
      </c>
    </row>
    <row r="42" ht="24" customHeight="1">
      <c r="A42" s="6" t="inlineStr">
        <is>
          <t>Local free price as % of export parity</t>
        </is>
      </c>
      <c r="B42" s="6" t="inlineStr">
        <is>
          <t>%</t>
        </is>
      </c>
      <c r="C42" s="15" t="n">
        <v>0.9</v>
      </c>
      <c r="D42" s="9" t="inlineStr">
        <is>
          <t>Local free-market urea clears at about 90% of export parity, implied by the FY2024/25 note-20 local revenue net of the subsidised and nitrate legs</t>
        </is>
      </c>
    </row>
    <row r="43" ht="14" customHeight="1">
      <c r="A43" s="6" t="inlineStr">
        <is>
          <t>Nitrate volume — FY2026/27</t>
        </is>
      </c>
      <c r="B43" s="6" t="inlineStr">
        <is>
          <t>tonnes</t>
        </is>
      </c>
      <c r="C43" s="13" t="n">
        <v>26000</v>
      </c>
      <c r="D43" s="9" t="inlineStr">
        <is>
          <t>Nitrate volume path, flat on the FY2024/25 combined granulated and low-density output.</t>
        </is>
      </c>
    </row>
    <row r="44" ht="14" customHeight="1">
      <c r="A44" s="6" t="inlineStr">
        <is>
          <t>Nitrate volume — FY2027/28</t>
        </is>
      </c>
      <c r="B44" s="6" t="inlineStr">
        <is>
          <t>tonnes</t>
        </is>
      </c>
      <c r="C44" s="13" t="n">
        <v>26000</v>
      </c>
      <c r="D44" s="9" t="inlineStr">
        <is>
          <t>Nitrate volume path, flat on the FY2024/25 combined granulated and low-density output.</t>
        </is>
      </c>
    </row>
    <row r="45" ht="14" customHeight="1">
      <c r="A45" s="6" t="inlineStr">
        <is>
          <t>Nitrate volume — FY2028/29</t>
        </is>
      </c>
      <c r="B45" s="6" t="inlineStr">
        <is>
          <t>tonnes</t>
        </is>
      </c>
      <c r="C45" s="13" t="n">
        <v>26000</v>
      </c>
      <c r="D45" s="9" t="inlineStr">
        <is>
          <t>Nitrate volume path, flat on the FY2024/25 combined granulated and low-density output.</t>
        </is>
      </c>
    </row>
    <row r="46" ht="14" customHeight="1">
      <c r="A46" s="6" t="inlineStr">
        <is>
          <t>Nitrate volume — FY2029/30</t>
        </is>
      </c>
      <c r="B46" s="6" t="inlineStr">
        <is>
          <t>tonnes</t>
        </is>
      </c>
      <c r="C46" s="13" t="n">
        <v>26000</v>
      </c>
      <c r="D46" s="9" t="inlineStr">
        <is>
          <t>Nitrate volume path, flat on the FY2024/25 combined granulated and low-density output.</t>
        </is>
      </c>
    </row>
    <row r="47" ht="14" customHeight="1">
      <c r="A47" s="6" t="inlineStr">
        <is>
          <t>Nitrate volume — FY2030/31</t>
        </is>
      </c>
      <c r="B47" s="6" t="inlineStr">
        <is>
          <t>tonnes</t>
        </is>
      </c>
      <c r="C47" s="13" t="n">
        <v>26000</v>
      </c>
      <c r="D47" s="9" t="inlineStr">
        <is>
          <t>Nitrate volume path, flat on the FY2024/25 combined granulated and low-density output.</t>
        </is>
      </c>
    </row>
    <row r="48" ht="24" customHeight="1">
      <c r="A48" s="6" t="inlineStr">
        <is>
          <t>Nitrate price, FY2024/25 basis</t>
        </is>
      </c>
      <c r="B48" s="6" t="inlineStr">
        <is>
          <t>EGP/tonne</t>
        </is>
      </c>
      <c r="C48" s="13" t="n">
        <v>20000</v>
      </c>
      <c r="D48" s="9" t="inlineStr">
        <is>
          <t>Implied by the note-20 local revenue net of the subsidised and free-market urea legs; indexed forward on the currency</t>
        </is>
      </c>
    </row>
    <row r="49" ht="14" customHeight="1">
      <c r="A49" s="6" t="inlineStr">
        <is>
          <t>Other revenue — FY2026/27</t>
        </is>
      </c>
      <c r="B49" s="6" t="inlineStr">
        <is>
          <t>EGP m</t>
        </is>
      </c>
      <c r="C49" s="21" t="n">
        <v>140</v>
      </c>
      <c r="D49" s="9" t="inlineStr">
        <is>
          <t>Merchant nitric acid, the ferrosilicon plant's rent and services.</t>
        </is>
      </c>
    </row>
    <row r="50" ht="14" customHeight="1">
      <c r="A50" s="6" t="inlineStr">
        <is>
          <t>Other revenue — FY2027/28</t>
        </is>
      </c>
      <c r="B50" s="6" t="inlineStr">
        <is>
          <t>EGP m</t>
        </is>
      </c>
      <c r="C50" s="21" t="n">
        <v>152</v>
      </c>
      <c r="D50" s="9" t="inlineStr">
        <is>
          <t>Merchant nitric acid, the ferrosilicon plant's rent and services.</t>
        </is>
      </c>
    </row>
    <row r="51" ht="14" customHeight="1">
      <c r="A51" s="6" t="inlineStr">
        <is>
          <t>Other revenue — FY2028/29</t>
        </is>
      </c>
      <c r="B51" s="6" t="inlineStr">
        <is>
          <t>EGP m</t>
        </is>
      </c>
      <c r="C51" s="21" t="n">
        <v>163</v>
      </c>
      <c r="D51" s="9" t="inlineStr">
        <is>
          <t>Merchant nitric acid, the ferrosilicon plant's rent and services.</t>
        </is>
      </c>
    </row>
    <row r="52" ht="14" customHeight="1">
      <c r="A52" s="6" t="inlineStr">
        <is>
          <t>Other revenue — FY2029/30</t>
        </is>
      </c>
      <c r="B52" s="6" t="inlineStr">
        <is>
          <t>EGP m</t>
        </is>
      </c>
      <c r="C52" s="21" t="n">
        <v>174</v>
      </c>
      <c r="D52" s="9" t="inlineStr">
        <is>
          <t>Merchant nitric acid, the ferrosilicon plant's rent and services.</t>
        </is>
      </c>
    </row>
    <row r="53" ht="14" customHeight="1">
      <c r="A53" s="6" t="inlineStr">
        <is>
          <t>Other revenue — FY2030/31</t>
        </is>
      </c>
      <c r="B53" s="6" t="inlineStr">
        <is>
          <t>EGP m</t>
        </is>
      </c>
      <c r="C53" s="21" t="n">
        <v>186</v>
      </c>
      <c r="D53" s="9" t="inlineStr">
        <is>
          <t>Merchant nitric acid, the ferrosilicon plant's rent and services.</t>
        </is>
      </c>
    </row>
    <row r="55">
      <c r="A55" s="10" t="inlineStr">
        <is>
          <t>COST STACK — ONE ESCALATOR PER PHYSICAL DRIVER</t>
        </is>
      </c>
    </row>
    <row r="56" ht="48" customHeight="1">
      <c r="A56" s="6" t="inlineStr">
        <is>
          <t>Gas per tonne of ammonia</t>
        </is>
      </c>
      <c r="B56" s="6" t="inlineStr">
        <is>
          <t>m3</t>
        </is>
      </c>
      <c r="C56" s="13" t="n">
        <v>1292</v>
      </c>
      <c r="D56"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57" ht="36" customHeight="1">
      <c r="A57" s="6" t="inlineStr">
        <is>
          <t>Realised gas price</t>
        </is>
      </c>
      <c r="B57" s="6" t="inlineStr">
        <is>
          <t>US$/mmBtu</t>
        </is>
      </c>
      <c r="C57" s="12" t="n">
        <v>4.68</v>
      </c>
      <c r="D57" s="9" t="inlineStr">
        <is>
          <t>Constructed: the company's own Q1 disclosure values 31,313,235 m3 of lost gas at EGP 251m, or EGP 8.016/m3, which converts to about US$4.68/mmBtu at the prevailing rate — below the US$5.75 contract price, which the study carries as its downside case</t>
        </is>
      </c>
    </row>
    <row r="58" ht="14" customHeight="1">
      <c r="A58" s="6" t="inlineStr">
        <is>
          <t>Energy conversion</t>
        </is>
      </c>
      <c r="B58" s="6" t="inlineStr">
        <is>
          <t>mmBtu per m3</t>
        </is>
      </c>
      <c r="C58" s="22" t="n">
        <v>0.03531</v>
      </c>
      <c r="D58" s="9" t="inlineStr">
        <is>
          <t>Standard gross calorific conversion</t>
        </is>
      </c>
    </row>
    <row r="59" ht="24" customHeight="1">
      <c r="A59" s="6" t="inlineStr">
        <is>
          <t>Other materials per tonne of urea</t>
        </is>
      </c>
      <c r="B59" s="6" t="inlineStr">
        <is>
          <t>EGP</t>
        </is>
      </c>
      <c r="C59" s="13" t="n">
        <v>2141.977268521675</v>
      </c>
      <c r="D59" s="9" t="inlineStr">
        <is>
          <t>The FY2024/25 materials line less modelled gas, over urea output: packaging, catalysts and consumable spares</t>
        </is>
      </c>
    </row>
    <row r="60" ht="24" customHeight="1">
      <c r="A60" s="6" t="inlineStr">
        <is>
          <t>Wages in cost of sales, FY2024/25</t>
        </is>
      </c>
      <c r="B60" s="6" t="inlineStr">
        <is>
          <t>EGP m</t>
        </is>
      </c>
      <c r="C60" s="21" t="n">
        <v>212.857</v>
      </c>
      <c r="D60" s="9" t="inlineStr">
        <is>
          <t>Audited financial statements, year ended 30 June 2025 (Central Auditing Organization, report dated 23 September 2025), note 21</t>
        </is>
      </c>
    </row>
    <row r="61" ht="24" customHeight="1">
      <c r="A61" s="6" t="inlineStr">
        <is>
          <t>Purchased services, FY2024/25</t>
        </is>
      </c>
      <c r="B61" s="6" t="inlineStr">
        <is>
          <t>EGP m</t>
        </is>
      </c>
      <c r="C61" s="21" t="n">
        <v>62.557</v>
      </c>
      <c r="D61" s="9" t="inlineStr">
        <is>
          <t>Audited financial statements, year ended 30 June 2025 (Central Auditing Organization, report dated 23 September 2025), note 21</t>
        </is>
      </c>
    </row>
    <row r="62" ht="24" customHeight="1">
      <c r="A62" s="6" t="inlineStr">
        <is>
          <t>Inland freight per export tonne</t>
        </is>
      </c>
      <c r="B62" s="6" t="inlineStr">
        <is>
          <t>EGP</t>
        </is>
      </c>
      <c r="C62" s="13" t="n">
        <v>1741.725316670984</v>
      </c>
      <c r="D62" s="9" t="inlineStr">
        <is>
          <t>Audited financial statements, year ended 30 June 2025 (Central Auditing Organization, report dated 23 September 2025), note 22 freight and commissions over the implied export tonnage</t>
        </is>
      </c>
    </row>
    <row r="63" ht="24" customHeight="1">
      <c r="A63" s="6" t="inlineStr">
        <is>
          <t>Other selling cost, FY2024/25</t>
        </is>
      </c>
      <c r="B63" s="6" t="inlineStr">
        <is>
          <t>EGP m</t>
        </is>
      </c>
      <c r="C63" s="21" t="n">
        <v>176.305</v>
      </c>
      <c r="D63" s="9" t="inlineStr">
        <is>
          <t>Audited financial statements, year ended 30 June 2025 (Central Auditing Organization, report dated 23 September 2025), note 22 selling materials, wages and other selling expense</t>
        </is>
      </c>
    </row>
    <row r="64" ht="24" customHeight="1">
      <c r="A64" s="6" t="inlineStr">
        <is>
          <t>Administrative expense, FY2024/25</t>
        </is>
      </c>
      <c r="B64" s="6" t="inlineStr">
        <is>
          <t>EGP m</t>
        </is>
      </c>
      <c r="C64" s="21" t="n">
        <v>359.624</v>
      </c>
      <c r="D64" s="9" t="inlineStr">
        <is>
          <t>Audited financial statements, year ended 30 June 2025 (Central Auditing Organization, report dated 23 September 2025), income statement</t>
        </is>
      </c>
    </row>
    <row r="65" ht="24" customHeight="1">
      <c r="A65" s="6" t="inlineStr">
        <is>
          <t>Stoppage and abnormal gas cost — FY2026/27</t>
        </is>
      </c>
      <c r="B65" s="6" t="inlineStr">
        <is>
          <t>EGP m</t>
        </is>
      </c>
      <c r="C65" s="21" t="n">
        <v>150</v>
      </c>
      <c r="D65" s="9" t="inlineStr">
        <is>
          <t>Stoppage and abnormal-gas cost, decaying as supply normalises from the EGP 164.5m charged in FY2024/25.</t>
        </is>
      </c>
    </row>
    <row r="66" ht="24" customHeight="1">
      <c r="A66" s="6" t="inlineStr">
        <is>
          <t>Stoppage and abnormal gas cost — FY2027/28</t>
        </is>
      </c>
      <c r="B66" s="6" t="inlineStr">
        <is>
          <t>EGP m</t>
        </is>
      </c>
      <c r="C66" s="21" t="n">
        <v>120</v>
      </c>
      <c r="D66" s="9" t="inlineStr">
        <is>
          <t>Stoppage and abnormal-gas cost, decaying as supply normalises from the EGP 164.5m charged in FY2024/25.</t>
        </is>
      </c>
    </row>
    <row r="67" ht="24" customHeight="1">
      <c r="A67" s="6" t="inlineStr">
        <is>
          <t>Stoppage and abnormal gas cost — FY2028/29</t>
        </is>
      </c>
      <c r="B67" s="6" t="inlineStr">
        <is>
          <t>EGP m</t>
        </is>
      </c>
      <c r="C67" s="21" t="n">
        <v>100</v>
      </c>
      <c r="D67" s="9" t="inlineStr">
        <is>
          <t>Stoppage and abnormal-gas cost, decaying as supply normalises from the EGP 164.5m charged in FY2024/25.</t>
        </is>
      </c>
    </row>
    <row r="68" ht="24" customHeight="1">
      <c r="A68" s="6" t="inlineStr">
        <is>
          <t>Stoppage and abnormal gas cost — FY2029/30</t>
        </is>
      </c>
      <c r="B68" s="6" t="inlineStr">
        <is>
          <t>EGP m</t>
        </is>
      </c>
      <c r="C68" s="21" t="n">
        <v>90</v>
      </c>
      <c r="D68" s="9" t="inlineStr">
        <is>
          <t>Stoppage and abnormal-gas cost, decaying as supply normalises from the EGP 164.5m charged in FY2024/25.</t>
        </is>
      </c>
    </row>
    <row r="69" ht="24" customHeight="1">
      <c r="A69" s="6" t="inlineStr">
        <is>
          <t>Stoppage and abnormal gas cost — FY2030/31</t>
        </is>
      </c>
      <c r="B69" s="6" t="inlineStr">
        <is>
          <t>EGP m</t>
        </is>
      </c>
      <c r="C69" s="21" t="n">
        <v>80</v>
      </c>
      <c r="D69" s="9" t="inlineStr">
        <is>
          <t>Stoppage and abnormal-gas cost, decaying as supply normalises from the EGP 164.5m charged in FY2024/25.</t>
        </is>
      </c>
    </row>
    <row r="70" ht="14" customHeight="1">
      <c r="A70" s="6" t="inlineStr">
        <is>
          <t>Egyptian inflation — FY2026/27</t>
        </is>
      </c>
      <c r="B70" s="6" t="inlineStr">
        <is>
          <t>%</t>
        </is>
      </c>
      <c r="C70" s="15" t="n">
        <v>0.1</v>
      </c>
      <c r="D70" s="9" t="inlineStr">
        <is>
          <t>Domestic inflation converging from the June 2026 print on the central bank's target.</t>
        </is>
      </c>
    </row>
    <row r="71" ht="14" customHeight="1">
      <c r="A71" s="6" t="inlineStr">
        <is>
          <t>Egyptian inflation — FY2027/28</t>
        </is>
      </c>
      <c r="B71" s="6" t="inlineStr">
        <is>
          <t>%</t>
        </is>
      </c>
      <c r="C71" s="15" t="n">
        <v>0.08500000000000001</v>
      </c>
      <c r="D71" s="9" t="inlineStr">
        <is>
          <t>Domestic inflation converging from the June 2026 print on the central bank's target.</t>
        </is>
      </c>
    </row>
    <row r="72" ht="14" customHeight="1">
      <c r="A72" s="6" t="inlineStr">
        <is>
          <t>Egyptian inflation — FY2028/29</t>
        </is>
      </c>
      <c r="B72" s="6" t="inlineStr">
        <is>
          <t>%</t>
        </is>
      </c>
      <c r="C72" s="15" t="n">
        <v>0.075</v>
      </c>
      <c r="D72" s="9" t="inlineStr">
        <is>
          <t>Domestic inflation converging from the June 2026 print on the central bank's target.</t>
        </is>
      </c>
    </row>
    <row r="73" ht="14" customHeight="1">
      <c r="A73" s="6" t="inlineStr">
        <is>
          <t>Egyptian inflation — FY2029/30</t>
        </is>
      </c>
      <c r="B73" s="6" t="inlineStr">
        <is>
          <t>%</t>
        </is>
      </c>
      <c r="C73" s="15" t="n">
        <v>0.07000000000000001</v>
      </c>
      <c r="D73" s="9" t="inlineStr">
        <is>
          <t>Domestic inflation converging from the June 2026 print on the central bank's target.</t>
        </is>
      </c>
    </row>
    <row r="74" ht="14" customHeight="1">
      <c r="A74" s="6" t="inlineStr">
        <is>
          <t>Egyptian inflation — FY2030/31</t>
        </is>
      </c>
      <c r="B74" s="6" t="inlineStr">
        <is>
          <t>%</t>
        </is>
      </c>
      <c r="C74" s="15" t="n">
        <v>0.07000000000000001</v>
      </c>
      <c r="D74" s="9" t="inlineStr">
        <is>
          <t>Domestic inflation converging from the June 2026 print on the central bank's target.</t>
        </is>
      </c>
    </row>
    <row r="76">
      <c r="A76" s="10" t="inlineStr">
        <is>
          <t>COST OF CAPITAL</t>
        </is>
      </c>
    </row>
    <row r="77" ht="14" customHeight="1">
      <c r="A77" s="6" t="inlineStr">
        <is>
          <t>Observed ten-year government yield</t>
        </is>
      </c>
      <c r="B77" s="6" t="inlineStr">
        <is>
          <t>%</t>
        </is>
      </c>
      <c r="C77" s="23" t="n">
        <v>0.23</v>
      </c>
      <c r="D77" s="9" t="inlineStr">
        <is>
          <t>Egypt ten-year government bond yield, market quote</t>
        </is>
      </c>
    </row>
    <row r="78" ht="14" customHeight="1">
      <c r="A78" s="6" t="inlineStr">
        <is>
          <t>Sovereign default spread, rating basis</t>
        </is>
      </c>
      <c r="B78" s="6" t="inlineStr">
        <is>
          <t>%</t>
        </is>
      </c>
      <c r="C78" s="23" t="n">
        <v>0.06372478453347744</v>
      </c>
      <c r="D78" s="9" t="inlineStr">
        <is>
          <t>Country risk premium workbook, original file, Egypt row, adjusted default spread</t>
        </is>
      </c>
    </row>
    <row r="79">
      <c r="A79" s="6" t="inlineStr">
        <is>
          <t>Normalised risk-free rate, rating basis</t>
        </is>
      </c>
      <c r="B79" s="6" t="inlineStr">
        <is>
          <t>%</t>
        </is>
      </c>
      <c r="C79" s="16">
        <f>'Assumptions'!C77-'Assumptions'!C78</f>
        <v/>
      </c>
      <c r="D79" s="9" t="inlineStr">
        <is>
          <t>Country risk enters ONCE, through the premium below. Using the raw local yield with a country-loaded premium would charge Egypt's sovereign risk twice.</t>
        </is>
      </c>
    </row>
    <row r="80" ht="14" customHeight="1">
      <c r="A80" s="6" t="inlineStr">
        <is>
          <t>Equity risk premium, rating basis</t>
        </is>
      </c>
      <c r="B80" s="6" t="inlineStr">
        <is>
          <t>%</t>
        </is>
      </c>
      <c r="C80" s="23" t="n">
        <v>0.139376943200201</v>
      </c>
      <c r="D80" s="9" t="inlineStr">
        <is>
          <t>Country risk premium workbook, original file, Egypt row, rating basis total equity risk premium</t>
        </is>
      </c>
    </row>
    <row r="81" ht="14" customHeight="1">
      <c r="A81" s="6" t="inlineStr">
        <is>
          <t>Sovereign default spread, CDS basis</t>
        </is>
      </c>
      <c r="B81" s="6" t="inlineStr">
        <is>
          <t>%</t>
        </is>
      </c>
      <c r="C81" s="23" t="n">
        <v>0.0355</v>
      </c>
      <c r="D81" s="9" t="inlineStr">
        <is>
          <t>Country risk premium workbook, original file, Egypt row, ten-year CDS spread</t>
        </is>
      </c>
    </row>
    <row r="82" ht="14" customHeight="1">
      <c r="A82" s="6" t="inlineStr">
        <is>
          <t>Equity risk premium, CDS basis</t>
        </is>
      </c>
      <c r="B82" s="6" t="inlineStr">
        <is>
          <t>%</t>
        </is>
      </c>
      <c r="C82" s="23" t="n">
        <v>0.09424719428808419</v>
      </c>
      <c r="D82" s="9" t="inlineStr">
        <is>
          <t>Country risk premium workbook, original file, Egypt row, CDS basis total equity risk premium</t>
        </is>
      </c>
    </row>
    <row r="83" ht="24" customHeight="1">
      <c r="A83" s="6" t="inlineStr">
        <is>
          <t>Beta</t>
        </is>
      </c>
      <c r="B83" s="6" t="inlineStr">
        <is>
          <t>x</t>
        </is>
      </c>
      <c r="C83" s="20" t="n">
        <v>1.052664590352939</v>
      </c>
      <c r="D83" s="9" t="inlineStr">
        <is>
          <t>Own-stock weekly regression, 257 observations over five years against an equal-weight index of 35 Egyptian names with the subject excluded, R-squared 0.283, standard error 0.105</t>
        </is>
      </c>
    </row>
    <row r="84">
      <c r="A84" s="6" t="inlineStr">
        <is>
          <t>Cost of equity, rating basis</t>
        </is>
      </c>
      <c r="B84" s="6" t="inlineStr">
        <is>
          <t>%</t>
        </is>
      </c>
      <c r="C84" s="16">
        <f>'Assumptions'!C79+'Assumptions'!C83*'Assumptions'!C80</f>
        <v/>
      </c>
    </row>
    <row r="85">
      <c r="A85" s="6" t="inlineStr">
        <is>
          <t>Cost of equity, CDS basis</t>
        </is>
      </c>
      <c r="B85" s="6" t="inlineStr">
        <is>
          <t>%</t>
        </is>
      </c>
      <c r="C85" s="16">
        <f>'Assumptions'!C77-'Assumptions'!C81+'Assumptions'!C83*'Assumptions'!C82</f>
        <v/>
      </c>
    </row>
    <row r="86" ht="24" customHeight="1">
      <c r="A86" s="6" t="inlineStr">
        <is>
          <t>Cost of debt, local currency</t>
        </is>
      </c>
      <c r="B86" s="6" t="inlineStr">
        <is>
          <t>%</t>
        </is>
      </c>
      <c r="C86" s="23" t="n">
        <v>0.194</v>
      </c>
      <c r="D86" s="9" t="inlineStr">
        <is>
          <t>Constructed: EGP 96,896,001 of interest on the EGP 500,000,000 holding-company facility drawn in FY2024/25 — the company's own latest local borrowing</t>
        </is>
      </c>
    </row>
    <row r="87" ht="14" customHeight="1">
      <c r="A87" s="6" t="inlineStr">
        <is>
          <t>Cost of debt, dollar tranche, in dollars</t>
        </is>
      </c>
      <c r="B87" s="6" t="inlineStr">
        <is>
          <t>%</t>
        </is>
      </c>
      <c r="C87" s="23" t="n">
        <v>0.117</v>
      </c>
      <c r="D87" s="9" t="inlineStr">
        <is>
          <t>Constructed: EGP 1,338.0m of FY2024/25 interest on a mean dollar balance of about US$233m</t>
        </is>
      </c>
    </row>
    <row r="88" ht="24" customHeight="1">
      <c r="A88" s="6" t="inlineStr">
        <is>
          <t>Expected currency depreciation</t>
        </is>
      </c>
      <c r="B88" s="6" t="inlineStr">
        <is>
          <t>%</t>
        </is>
      </c>
      <c r="C88" s="23" t="n">
        <v>0.045</v>
      </c>
      <c r="D88" s="9" t="inlineStr">
        <is>
          <t>Constructed: the central bank's 7% inflation target against about 2.4% in the United States. The SAME wedge drives the currency path in the revenue build, so the two cannot diverge.</t>
        </is>
      </c>
    </row>
    <row r="89">
      <c r="A89" s="6" t="inlineStr">
        <is>
          <t>Dollar debt at local-equivalent cost</t>
        </is>
      </c>
      <c r="B89" s="6" t="inlineStr">
        <is>
          <t>%</t>
        </is>
      </c>
      <c r="C89" s="16">
        <f>(1+'Assumptions'!C87)*(1+'Assumptions'!C88)-1</f>
        <v/>
      </c>
    </row>
    <row r="90" ht="24" customHeight="1">
      <c r="A90" s="6" t="inlineStr">
        <is>
          <t>Share of debt in local currency</t>
        </is>
      </c>
      <c r="B90" s="6" t="inlineStr">
        <is>
          <t>%</t>
        </is>
      </c>
      <c r="C90" s="15" t="n">
        <v>0.003135811265216677</v>
      </c>
      <c r="D90" s="9" t="inlineStr">
        <is>
          <t>The pound tranche of the project loan was repaid in June 2024, so the book is almost entirely dollar</t>
        </is>
      </c>
    </row>
    <row r="91">
      <c r="A91" s="6" t="inlineStr">
        <is>
          <t>Blended pre-tax cost of debt</t>
        </is>
      </c>
      <c r="B91" s="6" t="inlineStr">
        <is>
          <t>%</t>
        </is>
      </c>
      <c r="C91" s="16">
        <f>'Assumptions'!C90*'Assumptions'!C86+(1-'Assumptions'!C90)*'Assumptions'!C89</f>
        <v/>
      </c>
    </row>
    <row r="92" ht="24" customHeight="1">
      <c r="A92" s="6" t="inlineStr">
        <is>
          <t>Tax rate</t>
        </is>
      </c>
      <c r="B92" s="6" t="inlineStr">
        <is>
          <t>%</t>
        </is>
      </c>
      <c r="C92" s="15" t="n">
        <v>0.225</v>
      </c>
      <c r="D92" s="9" t="inlineStr">
        <is>
          <t>Audited financial statements, year ended 30 June 2025 (Central Auditing Organization, report dated 23 September 2025), note 5-16 income tax</t>
        </is>
      </c>
    </row>
    <row r="93" ht="14" customHeight="1">
      <c r="A93" s="6" t="inlineStr">
        <is>
          <t>Equity weight</t>
        </is>
      </c>
      <c r="B93" s="6" t="inlineStr">
        <is>
          <t>%</t>
        </is>
      </c>
      <c r="C93" s="15" t="n">
        <v>0.6548338567778519</v>
      </c>
      <c r="D93" s="9" t="inlineStr">
        <is>
          <t>Market-value equity over market-value equity plus debt</t>
        </is>
      </c>
    </row>
    <row r="94" ht="14" customHeight="1">
      <c r="A94" s="6" t="inlineStr">
        <is>
          <t>Debt weight</t>
        </is>
      </c>
      <c r="B94" s="6" t="inlineStr">
        <is>
          <t>%</t>
        </is>
      </c>
      <c r="C94" s="15" t="n">
        <v>0.3451661432221481</v>
      </c>
      <c r="D94" s="9" t="inlineStr">
        <is>
          <t>One less the equity weight</t>
        </is>
      </c>
    </row>
    <row r="95">
      <c r="A95" s="6" t="inlineStr">
        <is>
          <t>Cost of capital, year one</t>
        </is>
      </c>
      <c r="B95" s="6" t="inlineStr">
        <is>
          <t>%</t>
        </is>
      </c>
      <c r="C95" s="16">
        <f>'Assumptions'!C93*'Assumptions'!C84+'Assumptions'!C94*'Assumptions'!C91*(1-'Assumptions'!C92)</f>
        <v/>
      </c>
    </row>
    <row r="96" ht="14" customHeight="1">
      <c r="A96" s="6" t="inlineStr">
        <is>
          <t>Long-run inflation</t>
        </is>
      </c>
      <c r="B96" s="6" t="inlineStr">
        <is>
          <t>%</t>
        </is>
      </c>
      <c r="C96" s="15" t="n">
        <v>0.07000000000000001</v>
      </c>
      <c r="D96" s="9" t="inlineStr">
        <is>
          <t>Central bank published medium-term inflation target</t>
        </is>
      </c>
    </row>
    <row r="97" ht="24" customHeight="1">
      <c r="A97" s="6" t="inlineStr">
        <is>
          <t>Long-run real rate</t>
        </is>
      </c>
      <c r="B97" s="6" t="inlineStr">
        <is>
          <t>%</t>
        </is>
      </c>
      <c r="C97" s="15" t="n">
        <v>0.035</v>
      </c>
      <c r="D97" s="9" t="inlineStr">
        <is>
          <t>Long-run emerging-market real policy rate, used to build the terminal risk-free rate from its own components rather than from a spot yield</t>
        </is>
      </c>
    </row>
    <row r="98">
      <c r="A98" s="6" t="inlineStr">
        <is>
          <t>Terminal normalised risk-free rate</t>
        </is>
      </c>
      <c r="B98" s="6" t="inlineStr">
        <is>
          <t>%</t>
        </is>
      </c>
      <c r="C98" s="16">
        <f>(1+'Assumptions'!C96)*(1+'Assumptions'!C97)-1</f>
        <v/>
      </c>
    </row>
    <row r="99" ht="14" customHeight="1">
      <c r="A99" s="6" t="inlineStr">
        <is>
          <t>Long-run dollar cost of debt</t>
        </is>
      </c>
      <c r="B99" s="6" t="inlineStr">
        <is>
          <t>%</t>
        </is>
      </c>
      <c r="C99" s="23" t="n">
        <v>0.09</v>
      </c>
      <c r="D99" s="9" t="inlineStr">
        <is>
          <t>Long-run corporate dollar cost of debt</t>
        </is>
      </c>
    </row>
    <row r="100">
      <c r="A100" s="6" t="inlineStr">
        <is>
          <t>Terminal cost of debt, local-equivalent</t>
        </is>
      </c>
      <c r="B100" s="6" t="inlineStr">
        <is>
          <t>%</t>
        </is>
      </c>
      <c r="C100" s="16">
        <f>(1+'Assumptions'!C99)*(1+'Assumptions'!C88)-1</f>
        <v/>
      </c>
    </row>
    <row r="101">
      <c r="A101" s="6" t="inlineStr">
        <is>
          <t>TERMINAL COST OF CAPITAL</t>
        </is>
      </c>
      <c r="B101" s="6" t="inlineStr">
        <is>
          <t>%</t>
        </is>
      </c>
      <c r="C101" s="16">
        <f>'Assumptions'!C93*('Assumptions'!C98+'Assumptions'!C83*'Assumptions'!C80)+'Assumptions'!C94*'Assumptions'!C100*(1-'Assumptions'!C92)</f>
        <v/>
      </c>
    </row>
    <row r="102" ht="24" customHeight="1">
      <c r="A102" s="6" t="inlineStr">
        <is>
          <t>Terminal growth</t>
        </is>
      </c>
      <c r="B102" s="6" t="inlineStr">
        <is>
          <t>%</t>
        </is>
      </c>
      <c r="C102" s="15" t="n">
        <v>0.07000000000000001</v>
      </c>
      <c r="D102" s="9" t="inlineStr">
        <is>
          <t>Terminal growth set at the central bank's medium-term inflation target: nominal maintenance growth, no real growth assumed</t>
        </is>
      </c>
    </row>
    <row r="103" ht="24" customHeight="1">
      <c r="A103" s="6" t="inlineStr">
        <is>
          <t>Terminal return on invested capital</t>
        </is>
      </c>
      <c r="B103" s="6" t="inlineStr">
        <is>
          <t>%</t>
        </is>
      </c>
      <c r="C103" s="15" t="n">
        <v>0.18</v>
      </c>
      <c r="D103" s="9" t="inlineStr">
        <is>
          <t>Terminal return on invested capital, which sets the terminal reinvestment rate as growth divided by return on capital</t>
        </is>
      </c>
    </row>
    <row r="105">
      <c r="A105" s="10" t="inlineStr">
        <is>
          <t>CAPITAL, WORKING CAPITAL AND THE PROJECT</t>
        </is>
      </c>
    </row>
    <row r="106" ht="24" customHeight="1">
      <c r="A106" s="6" t="inlineStr">
        <is>
          <t>Depreciation charge, FY2024/25</t>
        </is>
      </c>
      <c r="B106" s="6" t="inlineStr">
        <is>
          <t>EGP m</t>
        </is>
      </c>
      <c r="C106" s="21" t="n">
        <v>771.213</v>
      </c>
      <c r="D106" s="9" t="inlineStr">
        <is>
          <t>Audited financial statements, year ended 30 June 2025 (Central Auditing Organization, report dated 23 September 2025), note 6 fixed-asset register</t>
        </is>
      </c>
    </row>
    <row r="107" ht="24" customHeight="1">
      <c r="A107" s="6" t="inlineStr">
        <is>
          <t>Amortisation, FY2024/25</t>
        </is>
      </c>
      <c r="B107" s="6" t="inlineStr">
        <is>
          <t>EGP m</t>
        </is>
      </c>
      <c r="C107" s="21" t="n">
        <v>119.378</v>
      </c>
      <c r="D107" s="9" t="inlineStr">
        <is>
          <t>Audited financial statements, year ended 30 June 2025 (Central Auditing Organization, report dated 23 September 2025), note 10 usufruct intangible</t>
        </is>
      </c>
    </row>
    <row r="108" ht="24" customHeight="1">
      <c r="A108" s="6" t="inlineStr">
        <is>
          <t>Project capital expenditure — FY2026/27</t>
        </is>
      </c>
      <c r="B108" s="6" t="inlineStr">
        <is>
          <t>EGP m</t>
        </is>
      </c>
      <c r="C108" s="13" t="n">
        <v>3000</v>
      </c>
      <c r="D108" s="9" t="inlineStr">
        <is>
          <t>Project spending path against the bank-approved cost and the observed pace: construction in progress moved from EGP 3,790m to EGP 5,654m over nine months.</t>
        </is>
      </c>
    </row>
    <row r="109" ht="24" customHeight="1">
      <c r="A109" s="6" t="inlineStr">
        <is>
          <t>Project capital expenditure — FY2027/28</t>
        </is>
      </c>
      <c r="B109" s="6" t="inlineStr">
        <is>
          <t>EGP m</t>
        </is>
      </c>
      <c r="C109" s="13" t="n">
        <v>3500</v>
      </c>
      <c r="D109" s="9" t="inlineStr">
        <is>
          <t>Project spending path against the bank-approved cost and the observed pace: construction in progress moved from EGP 3,790m to EGP 5,654m over nine months.</t>
        </is>
      </c>
    </row>
    <row r="110" ht="24" customHeight="1">
      <c r="A110" s="6" t="inlineStr">
        <is>
          <t>Project capital expenditure — FY2028/29</t>
        </is>
      </c>
      <c r="B110" s="6" t="inlineStr">
        <is>
          <t>EGP m</t>
        </is>
      </c>
      <c r="C110" s="13" t="n">
        <v>3500</v>
      </c>
      <c r="D110" s="9" t="inlineStr">
        <is>
          <t>Project spending path against the bank-approved cost and the observed pace: construction in progress moved from EGP 3,790m to EGP 5,654m over nine months.</t>
        </is>
      </c>
    </row>
    <row r="111" ht="24" customHeight="1">
      <c r="A111" s="6" t="inlineStr">
        <is>
          <t>Project capital expenditure — FY2029/30</t>
        </is>
      </c>
      <c r="B111" s="6" t="inlineStr">
        <is>
          <t>EGP m</t>
        </is>
      </c>
      <c r="C111" s="13" t="n">
        <v>3000</v>
      </c>
      <c r="D111" s="9" t="inlineStr">
        <is>
          <t>Project spending path against the bank-approved cost and the observed pace: construction in progress moved from EGP 3,790m to EGP 5,654m over nine months.</t>
        </is>
      </c>
    </row>
    <row r="112" ht="24" customHeight="1">
      <c r="A112" s="6" t="inlineStr">
        <is>
          <t>Project capital expenditure — FY2030/31</t>
        </is>
      </c>
      <c r="B112" s="6" t="inlineStr">
        <is>
          <t>EGP m</t>
        </is>
      </c>
      <c r="C112" s="13" t="n">
        <v>2000</v>
      </c>
      <c r="D112" s="9" t="inlineStr">
        <is>
          <t>Project spending path against the bank-approved cost and the observed pace: construction in progress moved from EGP 3,790m to EGP 5,654m over nine months.</t>
        </is>
      </c>
    </row>
    <row r="113" ht="36" customHeight="1">
      <c r="A113" s="6" t="inlineStr">
        <is>
          <t>Maintenance capital expenditure</t>
        </is>
      </c>
      <c r="B113" s="6" t="inlineStr">
        <is>
          <t>% of revenue</t>
        </is>
      </c>
      <c r="C113" s="15" t="n">
        <v>0.03</v>
      </c>
      <c r="D113" s="9" t="inlineStr">
        <is>
          <t>Maintenance capital expenditure as a share of revenue. The pre-project observed run of EGP 42.5-81m was abnormally low on a newly built plant; 3.0% is the mature-plant standard. No guidance exists, so this is sensitised.</t>
        </is>
      </c>
    </row>
    <row r="114" ht="14" customHeight="1">
      <c r="A114" s="6" t="inlineStr">
        <is>
          <t>Ammonia per tonne of nitrate</t>
        </is>
      </c>
      <c r="B114" s="6" t="inlineStr">
        <is>
          <t>tonnes</t>
        </is>
      </c>
      <c r="C114" s="12" t="n">
        <v>0.43</v>
      </c>
      <c r="D114" s="9" t="inlineStr">
        <is>
          <t>Ammonia per tonne of ammonium nitrate through the nitric-acid route plus direct neutralisation</t>
        </is>
      </c>
    </row>
    <row r="115" ht="40" customHeight="1">
      <c r="A115" s="6" t="inlineStr">
        <is>
          <t>Project nameplate (derived, not disclosed)</t>
        </is>
      </c>
      <c r="B115" s="6" t="inlineStr">
        <is>
          <t>tonnes/year</t>
        </is>
      </c>
      <c r="C115" s="14">
        <f>('Assumptions'!C7-'Assumptions'!C6*'Assumptions'!C8)/'Assumptions'!C114</f>
        <v/>
      </c>
      <c r="D115" s="9" t="inlineStr">
        <is>
          <t>Constructed and FLAGGED: no filing states the new plant's capacity. It is the ammonia design plate less the draw of urea at ITS design plate, converted at the ratio above.</t>
        </is>
      </c>
    </row>
    <row r="116" ht="14" customHeight="1">
      <c r="A116" s="6" t="inlineStr">
        <is>
          <t>Project utilisation in the terminal year</t>
        </is>
      </c>
      <c r="B116" s="6" t="inlineStr">
        <is>
          <t>%</t>
        </is>
      </c>
      <c r="C116" s="15" t="n">
        <v>0.5</v>
      </c>
      <c r="D116" s="9" t="inlineStr">
        <is>
          <t>Project utilisation in the terminal year, central case</t>
        </is>
      </c>
    </row>
    <row r="117" ht="14" customHeight="1">
      <c r="A117" s="6" t="inlineStr">
        <is>
          <t>Nitrate price</t>
        </is>
      </c>
      <c r="B117" s="6" t="inlineStr">
        <is>
          <t>US$/tonne</t>
        </is>
      </c>
      <c r="C117" s="13" t="n">
        <v>280</v>
      </c>
      <c r="D117" s="9" t="inlineStr">
        <is>
          <t>Mid-cycle ammonium nitrate pricing</t>
        </is>
      </c>
    </row>
    <row r="118" ht="14" customHeight="1">
      <c r="A118" s="6" t="inlineStr">
        <is>
          <t>Project cash margin</t>
        </is>
      </c>
      <c r="B118" s="6" t="inlineStr">
        <is>
          <t>% of revenue</t>
        </is>
      </c>
      <c r="C118" s="15" t="n">
        <v>0.32</v>
      </c>
      <c r="D118" s="9" t="inlineStr">
        <is>
          <t>Conversion margin on ammonium nitrate over its own ammonia feedstock</t>
        </is>
      </c>
    </row>
    <row r="119" ht="14" customHeight="1">
      <c r="A119" s="6" t="inlineStr">
        <is>
          <t>Days sales outstanding</t>
        </is>
      </c>
      <c r="B119" s="6" t="inlineStr">
        <is>
          <t>days</t>
        </is>
      </c>
      <c r="C119" s="21" t="n">
        <v>26.77469536556713</v>
      </c>
      <c r="D119" s="9" t="inlineStr">
        <is>
          <t>Constructed: FY2024/25 receivables over revenue</t>
        </is>
      </c>
    </row>
    <row r="120" ht="14" customHeight="1">
      <c r="A120" s="6" t="inlineStr">
        <is>
          <t>Days inventory outstanding</t>
        </is>
      </c>
      <c r="B120" s="6" t="inlineStr">
        <is>
          <t>days</t>
        </is>
      </c>
      <c r="C120" s="21" t="n">
        <v>165.2475279747788</v>
      </c>
      <c r="D120" s="9" t="inlineStr">
        <is>
          <t>Constructed: FY2024/25 inventory over cost of sales</t>
        </is>
      </c>
    </row>
    <row r="121" ht="14" customHeight="1">
      <c r="A121" s="6" t="inlineStr">
        <is>
          <t>Days payable outstanding</t>
        </is>
      </c>
      <c r="B121" s="6" t="inlineStr">
        <is>
          <t>days</t>
        </is>
      </c>
      <c r="C121" s="21" t="n">
        <v>83.17161071710899</v>
      </c>
      <c r="D121"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'Assumptions'!C6*'Assumptions'!C9</f>
        <v/>
      </c>
      <c r="C5" s="14">
        <f>'Assumptions'!C6*'Assumptions'!C10</f>
        <v/>
      </c>
      <c r="D5" s="14">
        <f>'Assumptions'!C6*'Assumptions'!C11</f>
        <v/>
      </c>
      <c r="E5" s="14">
        <f>'Assumptions'!C6*'Assumptions'!C12</f>
        <v/>
      </c>
      <c r="F5" s="14">
        <f>'Assumptions'!C6*'Assumptions'!C13</f>
        <v/>
      </c>
    </row>
    <row r="6">
      <c r="A6" s="6" t="inlineStr">
        <is>
          <t>Ammonia produced, capped at the design plate</t>
        </is>
      </c>
      <c r="B6" s="14">
        <f>MIN(B5*'Assumptions'!C8,'Assumptions'!C7)</f>
        <v/>
      </c>
      <c r="C6" s="14">
        <f>MIN(C5*'Assumptions'!C8,'Assumptions'!C7)</f>
        <v/>
      </c>
      <c r="D6" s="14">
        <f>MIN(D5*'Assumptions'!C8,'Assumptions'!C7)</f>
        <v/>
      </c>
      <c r="E6" s="14">
        <f>MIN(E5*'Assumptions'!C8,'Assumptions'!C7)</f>
        <v/>
      </c>
      <c r="F6" s="14">
        <f>MIN(F5*'Assumptions'!C8,'Assumptions'!C7)</f>
        <v/>
      </c>
    </row>
    <row r="7">
      <c r="A7" s="6" t="inlineStr">
        <is>
          <t>Subsidised volume (tonnes)</t>
        </is>
      </c>
      <c r="B7" s="14">
        <f>'Assumptions'!C14</f>
        <v/>
      </c>
      <c r="C7" s="14">
        <f>'Assumptions'!C15</f>
        <v/>
      </c>
      <c r="D7" s="14">
        <f>'Assumptions'!C16</f>
        <v/>
      </c>
      <c r="E7" s="14">
        <f>'Assumptions'!C17</f>
        <v/>
      </c>
      <c r="F7" s="14">
        <f>'Assumptions'!C18</f>
        <v/>
      </c>
    </row>
    <row r="8">
      <c r="A8" s="6" t="inlineStr">
        <is>
          <t>Local free-market volume (tonnes)</t>
        </is>
      </c>
      <c r="B8" s="14">
        <f>'Assumptions'!C19</f>
        <v/>
      </c>
      <c r="C8" s="14">
        <f>'Assumptions'!C20</f>
        <v/>
      </c>
      <c r="D8" s="14">
        <f>'Assumptions'!C21</f>
        <v/>
      </c>
      <c r="E8" s="14">
        <f>'Assumptions'!C22</f>
        <v/>
      </c>
      <c r="F8" s="14">
        <f>'Assumptions'!C23</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'Assumptions'!C26*'Assumptions'!C31*(1-'Assumptions'!C36)</f>
        <v/>
      </c>
      <c r="C10" s="14">
        <f>'Assumptions'!C27*'Assumptions'!C32*(1-'Assumptions'!C36)</f>
        <v/>
      </c>
      <c r="D10" s="14">
        <f>'Assumptions'!C28*'Assumptions'!C33*(1-'Assumptions'!C36)</f>
        <v/>
      </c>
      <c r="E10" s="14">
        <f>'Assumptions'!C29*'Assumptions'!C34*(1-'Assumptions'!C36)</f>
        <v/>
      </c>
      <c r="F10" s="14">
        <f>'Assumptions'!C30*'Assumptions'!C35*(1-'Assumptions'!C36)</f>
        <v/>
      </c>
    </row>
    <row r="11">
      <c r="A11" s="6" t="inlineStr">
        <is>
          <t>Local free-market price (EGP/tonne)</t>
        </is>
      </c>
      <c r="B11" s="14">
        <f>'Assumptions'!C26*'Assumptions'!C31*'Assumptions'!C42</f>
        <v/>
      </c>
      <c r="C11" s="14">
        <f>'Assumptions'!C27*'Assumptions'!C32*'Assumptions'!C42</f>
        <v/>
      </c>
      <c r="D11" s="14">
        <f>'Assumptions'!C28*'Assumptions'!C33*'Assumptions'!C42</f>
        <v/>
      </c>
      <c r="E11" s="14">
        <f>'Assumptions'!C29*'Assumptions'!C34*'Assumptions'!C42</f>
        <v/>
      </c>
      <c r="F11" s="14">
        <f>'Assumptions'!C30*'Assumptions'!C35*'Assumptions'!C42</f>
        <v/>
      </c>
    </row>
    <row r="12">
      <c r="A12" s="6" t="inlineStr">
        <is>
          <t>Nitrate price (EGP/tonne)</t>
        </is>
      </c>
      <c r="B12" s="14">
        <f>'Assumptions'!C48*'Assumptions'!C31/49.0</f>
        <v/>
      </c>
      <c r="C12" s="14">
        <f>'Assumptions'!C48*'Assumptions'!C32/49.0</f>
        <v/>
      </c>
      <c r="D12" s="14">
        <f>'Assumptions'!C48*'Assumptions'!C33/49.0</f>
        <v/>
      </c>
      <c r="E12" s="14">
        <f>'Assumptions'!C48*'Assumptions'!C34/49.0</f>
        <v/>
      </c>
      <c r="F12" s="14">
        <f>'Assumptions'!C48*'Assumptions'!C35/49.0</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B7*'Assumptions'!C37/1000000</f>
        <v/>
      </c>
      <c r="C14" s="14">
        <f>C7*'Assumptions'!C38/1000000</f>
        <v/>
      </c>
      <c r="D14" s="14">
        <f>D7*'Assumptions'!C39/1000000</f>
        <v/>
      </c>
      <c r="E14" s="14">
        <f>E7*'Assumptions'!C40/1000000</f>
        <v/>
      </c>
      <c r="F14" s="14">
        <f>F7*'Assumptions'!C41/1000000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'Assumptions'!C43*B12/1000000</f>
        <v/>
      </c>
      <c r="C16" s="14">
        <f>'Assumptions'!C44*C12/1000000</f>
        <v/>
      </c>
      <c r="D16" s="14">
        <f>'Assumptions'!C45*D12/1000000</f>
        <v/>
      </c>
      <c r="E16" s="14">
        <f>'Assumptions'!C46*E12/1000000</f>
        <v/>
      </c>
      <c r="F16" s="14">
        <f>'Assumptions'!C47*F12/1000000</f>
        <v/>
      </c>
    </row>
    <row r="17">
      <c r="A17" s="6" t="inlineStr">
        <is>
          <t>Other revenue (EGP m)</t>
        </is>
      </c>
      <c r="B17" s="14">
        <f>'Assumptions'!C49</f>
        <v/>
      </c>
      <c r="C17" s="14">
        <f>'Assumptions'!C50</f>
        <v/>
      </c>
      <c r="D17" s="14">
        <f>'Assumptions'!C51</f>
        <v/>
      </c>
      <c r="E17" s="14">
        <f>'Assumptions'!C52</f>
        <v/>
      </c>
      <c r="F17" s="14">
        <f>'Assumptions'!C53</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'Assumptions'!C57*'Assumptions'!C58*'Assumptions'!C31</f>
        <v/>
      </c>
      <c r="C19" s="11">
        <f>'Assumptions'!C57*'Assumptions'!C58*'Assumptions'!C32</f>
        <v/>
      </c>
      <c r="D19" s="11">
        <f>'Assumptions'!C57*'Assumptions'!C58*'Assumptions'!C33</f>
        <v/>
      </c>
      <c r="E19" s="11">
        <f>'Assumptions'!C57*'Assumptions'!C58*'Assumptions'!C34</f>
        <v/>
      </c>
      <c r="F19" s="11">
        <f>'Assumptions'!C57*'Assumptions'!C58*'Assumptions'!C35</f>
        <v/>
      </c>
    </row>
    <row r="20">
      <c r="A20" s="6" t="inlineStr">
        <is>
          <t>Natural gas (EGP m)</t>
        </is>
      </c>
      <c r="B20" s="14">
        <f>B6*'Assumptions'!C56*B19/1000000</f>
        <v/>
      </c>
      <c r="C20" s="14">
        <f>C6*'Assumptions'!C56*C19/1000000</f>
        <v/>
      </c>
      <c r="D20" s="14">
        <f>D6*'Assumptions'!C56*D19/1000000</f>
        <v/>
      </c>
      <c r="E20" s="14">
        <f>E6*'Assumptions'!C56*E19/1000000</f>
        <v/>
      </c>
      <c r="F20" s="14">
        <f>F6*'Assumptions'!C56*F19/1000000</f>
        <v/>
      </c>
    </row>
    <row r="21">
      <c r="A21" s="6" t="inlineStr">
        <is>
          <t>Cumulative inflation index</t>
        </is>
      </c>
      <c r="B21" s="19">
        <f>(1+'Assumptions'!C70)</f>
        <v/>
      </c>
      <c r="C21" s="19">
        <f>(1+'Assumptions'!C70)*(1+'Assumptions'!C71)</f>
        <v/>
      </c>
      <c r="D21" s="19">
        <f>(1+'Assumptions'!C70)*(1+'Assumptions'!C71)*(1+'Assumptions'!C72)</f>
        <v/>
      </c>
      <c r="E21" s="19">
        <f>(1+'Assumptions'!C70)*(1+'Assumptions'!C71)*(1+'Assumptions'!C72)*(1+'Assumptions'!C73)</f>
        <v/>
      </c>
      <c r="F21" s="19">
        <f>(1+'Assumptions'!C70)*(1+'Assumptions'!C71)*(1+'Assumptions'!C72)*(1+'Assumptions'!C73)*(1+'Assumptions'!C74)</f>
        <v/>
      </c>
    </row>
    <row r="22">
      <c r="A22" s="6" t="inlineStr">
        <is>
          <t>Other materials (EGP m)</t>
        </is>
      </c>
      <c r="B22" s="14">
        <f>B5*'Assumptions'!C59*B21/1000000</f>
        <v/>
      </c>
      <c r="C22" s="14">
        <f>C5*'Assumptions'!C59*C21/1000000</f>
        <v/>
      </c>
      <c r="D22" s="14">
        <f>D5*'Assumptions'!C59*D21/1000000</f>
        <v/>
      </c>
      <c r="E22" s="14">
        <f>E5*'Assumptions'!C59*E21/1000000</f>
        <v/>
      </c>
      <c r="F22" s="14">
        <f>F5*'Assumptions'!C59*F21/1000000</f>
        <v/>
      </c>
    </row>
    <row r="23">
      <c r="A23" s="6" t="inlineStr">
        <is>
          <t>Wages (EGP m)</t>
        </is>
      </c>
      <c r="B23" s="14">
        <f>'Assumptions'!C60*B21</f>
        <v/>
      </c>
      <c r="C23" s="14">
        <f>'Assumptions'!C60*C21</f>
        <v/>
      </c>
      <c r="D23" s="14">
        <f>'Assumptions'!C60*D21</f>
        <v/>
      </c>
      <c r="E23" s="14">
        <f>'Assumptions'!C60*E21</f>
        <v/>
      </c>
      <c r="F23" s="14">
        <f>'Assumptions'!C60*F21</f>
        <v/>
      </c>
    </row>
    <row r="24">
      <c r="A24" s="6" t="inlineStr">
        <is>
          <t>Purchased services (EGP m)</t>
        </is>
      </c>
      <c r="B24" s="14">
        <f>'Assumptions'!C61*B21</f>
        <v/>
      </c>
      <c r="C24" s="14">
        <f>'Assumptions'!C61*C21</f>
        <v/>
      </c>
      <c r="D24" s="14">
        <f>'Assumptions'!C61*D21</f>
        <v/>
      </c>
      <c r="E24" s="14">
        <f>'Assumptions'!C61*E21</f>
        <v/>
      </c>
      <c r="F24" s="14">
        <f>'Assumptions'!C61*F21</f>
        <v/>
      </c>
    </row>
    <row r="25">
      <c r="A25" s="6" t="inlineStr">
        <is>
          <t>Depreciation and amortisation (EGP m)</t>
        </is>
      </c>
      <c r="B25" s="14">
        <f>'Assumptions'!C106*(1+0.02*0)+'Assumptions'!C107</f>
        <v/>
      </c>
      <c r="C25" s="14">
        <f>'Assumptions'!C106*(1+0.02*1)+'Assumptions'!C107</f>
        <v/>
      </c>
      <c r="D25" s="14">
        <f>'Assumptions'!C106*(1+0.02*2)+'Assumptions'!C107</f>
        <v/>
      </c>
      <c r="E25" s="14">
        <f>'Assumptions'!C106*(1+0.02*3)+'Assumptions'!C107</f>
        <v/>
      </c>
      <c r="F25" s="14">
        <f>'Assumptions'!C106*(1+0.02*4)+'Assumptions'!C107</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B9*'Assumptions'!C62*B21/1000000</f>
        <v/>
      </c>
      <c r="C29" s="14">
        <f>C9*'Assumptions'!C62*C21/1000000</f>
        <v/>
      </c>
      <c r="D29" s="14">
        <f>D9*'Assumptions'!C62*D21/1000000</f>
        <v/>
      </c>
      <c r="E29" s="14">
        <f>E9*'Assumptions'!C62*E21/1000000</f>
        <v/>
      </c>
      <c r="F29" s="14">
        <f>F9*'Assumptions'!C62*F21/1000000</f>
        <v/>
      </c>
    </row>
    <row r="30">
      <c r="A30" s="6" t="inlineStr">
        <is>
          <t>Other selling cost (EGP m)</t>
        </is>
      </c>
      <c r="B30" s="14">
        <f>'Assumptions'!C63*B21</f>
        <v/>
      </c>
      <c r="C30" s="14">
        <f>'Assumptions'!C63*C21</f>
        <v/>
      </c>
      <c r="D30" s="14">
        <f>'Assumptions'!C63*D21</f>
        <v/>
      </c>
      <c r="E30" s="14">
        <f>'Assumptions'!C63*E21</f>
        <v/>
      </c>
      <c r="F30" s="14">
        <f>'Assumptions'!C63*F21</f>
        <v/>
      </c>
    </row>
    <row r="31">
      <c r="A31" s="6" t="inlineStr">
        <is>
          <t>Administrative (EGP m)</t>
        </is>
      </c>
      <c r="B31" s="14">
        <f>'Assumptions'!C64*B21</f>
        <v/>
      </c>
      <c r="C31" s="14">
        <f>'Assumptions'!C64*C21</f>
        <v/>
      </c>
      <c r="D31" s="14">
        <f>'Assumptions'!C64*D21</f>
        <v/>
      </c>
      <c r="E31" s="14">
        <f>'Assumptions'!C64*E21</f>
        <v/>
      </c>
      <c r="F31" s="14">
        <f>'Assumptions'!C64*F21</f>
        <v/>
      </c>
    </row>
    <row r="32">
      <c r="A32" s="6" t="inlineStr">
        <is>
          <t>Stoppage and abnormal gas cost (EGP m)</t>
        </is>
      </c>
      <c r="B32" s="14">
        <f>'Assumptions'!C65</f>
        <v/>
      </c>
      <c r="C32" s="14">
        <f>'Assumptions'!C66</f>
        <v/>
      </c>
      <c r="D32" s="14">
        <f>'Assumptions'!C67</f>
        <v/>
      </c>
      <c r="E32" s="14">
        <f>'Assumptions'!C68</f>
        <v/>
      </c>
      <c r="F32" s="14">
        <f>'Assumptions'!C69</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1" t="n">
        <v>3</v>
      </c>
      <c r="C6" s="9" t="inlineStr">
        <is>
          <t>Observed trading and transaction range</t>
        </is>
      </c>
    </row>
    <row r="7" ht="14" customHeight="1">
      <c r="A7" s="6" t="inlineStr">
        <is>
          <t>Egyptian industrial range, high</t>
        </is>
      </c>
      <c r="B7" s="21" t="n">
        <v>6</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(B9+B10+B11)*1000000/1986578999</f>
        <v/>
      </c>
      <c r="C12" s="9" t="inlineStr"/>
    </row>
    <row r="13" ht="14" customHeight="1">
      <c r="A13" s="6" t="inlineStr">
        <is>
          <t>At the low multiple (EGP)</t>
        </is>
      </c>
      <c r="B13" s="11">
        <f>(B5*B6+B10+B11)*1000000/1986578999</f>
        <v/>
      </c>
      <c r="C13" s="9" t="inlineStr"/>
    </row>
    <row r="14" ht="14" customHeight="1">
      <c r="A14" s="6" t="inlineStr">
        <is>
          <t>At the high multiple (EGP)</t>
        </is>
      </c>
      <c r="B14" s="11">
        <f>(B5*B7+B10+B11)*1000000/1986578999</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B21-155000-40000</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54.2</v>
      </c>
      <c r="C24" s="9" t="inlineStr">
        <is>
          <t>The second year of the currency path</t>
        </is>
      </c>
    </row>
    <row r="25" ht="14" customHeight="1">
      <c r="A25" s="6" t="inlineStr">
        <is>
          <t>Export revenue (EGP m)</t>
        </is>
      </c>
      <c r="B25" s="14">
        <f>B22*B23*B24*(1-'Assumptions'!C36)/1000000</f>
        <v/>
      </c>
      <c r="C25" s="9" t="inlineStr"/>
    </row>
    <row r="26" ht="24" customHeight="1">
      <c r="A26" s="6" t="inlineStr">
        <is>
          <t>Other revenue legs (EGP m)</t>
        </is>
      </c>
      <c r="B26" s="13" t="n">
        <v>2662.193673469388</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6707.836207316137</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(B29-890.591)*(1-'Assumptions'!C92)</f>
        <v/>
      </c>
      <c r="C30" s="9" t="inlineStr">
        <is>
          <t>After depreciation and tax</t>
        </is>
      </c>
    </row>
    <row r="31" ht="14" customHeight="1">
      <c r="A31" s="6" t="inlineStr">
        <is>
          <t>Value per share at ten times (EGP)</t>
        </is>
      </c>
      <c r="B31" s="11">
        <f>(B30*10+B10+B11)*1000000/1986578999</f>
        <v/>
      </c>
      <c r="C31" s="9" t="inlineStr">
        <is>
          <t>A mature single-asset industrial in a high-inflation economy does not deserve more</t>
        </is>
      </c>
    </row>
    <row r="32" ht="14" customHeight="1">
      <c r="A32" s="6" t="inlineStr">
        <is>
          <t>At eight times (EGP)</t>
        </is>
      </c>
      <c r="B32" s="11">
        <f>(B30*8+B10+B11)*1000000/1986578999</f>
        <v/>
      </c>
      <c r="C32" s="9" t="inlineStr"/>
    </row>
    <row r="33" ht="14" customHeight="1">
      <c r="A33" s="6" t="inlineStr">
        <is>
          <t>At twelve times (EGP)</t>
        </is>
      </c>
      <c r="B33" s="11">
        <f>(B30*12+B10+B11)*1000000/1986578999</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5"/>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3" customWidth="1" min="5" max="5"/>
    <col width="13"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B9*(1-'Assumptions'!C92)</f>
        <v/>
      </c>
      <c r="C10" s="14">
        <f>C9*(1-'Assumptions'!C92)</f>
        <v/>
      </c>
      <c r="D10" s="14">
        <f>D9*(1-'Assumptions'!C92)</f>
        <v/>
      </c>
      <c r="E10" s="14">
        <f>E9*(1-'Assumptions'!C92)</f>
        <v/>
      </c>
      <c r="F10" s="14">
        <f>F9*(1-'Assumptions'!C92)</f>
        <v/>
      </c>
    </row>
    <row r="11">
      <c r="A11" s="6" t="inlineStr">
        <is>
          <t>Add back depreciation</t>
        </is>
      </c>
      <c r="B11" s="14">
        <f>B8</f>
        <v/>
      </c>
      <c r="C11" s="14">
        <f>C8</f>
        <v/>
      </c>
      <c r="D11" s="14">
        <f>D8</f>
        <v/>
      </c>
      <c r="E11" s="14">
        <f>E8</f>
        <v/>
      </c>
      <c r="F11" s="14">
        <f>F8</f>
        <v/>
      </c>
    </row>
    <row r="12">
      <c r="A12" s="6" t="inlineStr">
        <is>
          <t>Less capital expenditure</t>
        </is>
      </c>
      <c r="B12" s="14">
        <f>-($I$5*'Assumptions'!C108+$I$6*(1-$I$5)+B5*'Assumptions'!C113)</f>
        <v/>
      </c>
      <c r="C12" s="14">
        <f>-($I$5*'Assumptions'!C109+C5*'Assumptions'!C113)</f>
        <v/>
      </c>
      <c r="D12" s="14">
        <f>-($I$5*'Assumptions'!C110+D5*'Assumptions'!C113)</f>
        <v/>
      </c>
      <c r="E12" s="14">
        <f>-($I$5*'Assumptions'!C111+E5*'Assumptions'!C113)</f>
        <v/>
      </c>
      <c r="F12" s="14">
        <f>-($I$5*'Assumptions'!C112+F5*'Assumptions'!C113)</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'Assumptions'!C95+('Assumptions'!C101-'Assumptions'!C95)*0/5</f>
        <v/>
      </c>
      <c r="C15" s="27">
        <f>'Assumptions'!C95+('Assumptions'!C101-'Assumptions'!C95)*1/5</f>
        <v/>
      </c>
      <c r="D15" s="27">
        <f>'Assumptions'!C95+('Assumptions'!C101-'Assumptions'!C95)*2/5</f>
        <v/>
      </c>
      <c r="E15" s="27">
        <f>'Assumptions'!C95+('Assumptions'!C101-'Assumptions'!C95)*3/5</f>
        <v/>
      </c>
      <c r="F15" s="27">
        <f>'Assumptions'!C95+('Assumptions'!C101-'Assumptions'!C95)*4/5</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EBIT grown at terminal growth</t>
        </is>
      </c>
      <c r="B21" s="14">
        <f>F9*(1+'Assumptions'!C102)</f>
        <v/>
      </c>
      <c r="D21" s="14">
        <f>F9*(1+'Assumptions'!C102)</f>
        <v/>
      </c>
    </row>
    <row r="22">
      <c r="A22" s="6" t="inlineStr">
        <is>
          <t>Project revenue in the terminal year</t>
        </is>
      </c>
      <c r="B22" s="14">
        <f>'Assumptions'!C115*'Assumptions'!C116*'Assumptions'!C117*64.6855/1000000</f>
        <v/>
      </c>
      <c r="D22" s="14">
        <f>'Assumptions'!C115*0*'Assumptions'!C117*64.6855/1000000</f>
        <v/>
      </c>
    </row>
    <row r="23">
      <c r="A23" s="6" t="inlineStr">
        <is>
          <t>Project operating profit</t>
        </is>
      </c>
      <c r="B23" s="14">
        <f>B22*'Assumptions'!C118</f>
        <v/>
      </c>
      <c r="D23" s="14">
        <f>D22*'Assumptions'!C118</f>
        <v/>
      </c>
    </row>
    <row r="24">
      <c r="A24" s="6" t="inlineStr">
        <is>
          <t>Terminal EBIT</t>
        </is>
      </c>
      <c r="B24" s="14">
        <f>B21+B23</f>
        <v/>
      </c>
      <c r="D24" s="14">
        <f>D21+D23</f>
        <v/>
      </c>
    </row>
    <row r="25">
      <c r="A25" s="6" t="inlineStr">
        <is>
          <t>Terminal NOPAT</t>
        </is>
      </c>
      <c r="B25" s="14">
        <f>B24*(1-'Assumptions'!C92)</f>
        <v/>
      </c>
      <c r="D25" s="14">
        <f>D24*(1-'Assumptions'!C92)</f>
        <v/>
      </c>
    </row>
    <row r="26">
      <c r="A26" s="6" t="inlineStr">
        <is>
          <t>Reinvestment rate = growth / return on capital</t>
        </is>
      </c>
      <c r="B26" s="8">
        <f>'Assumptions'!C102/'Assumptions'!C103</f>
        <v/>
      </c>
      <c r="D26" s="8">
        <f>'Assumptions'!C102/'Assumptions'!C103</f>
        <v/>
      </c>
    </row>
    <row r="27">
      <c r="A27" s="6" t="inlineStr">
        <is>
          <t>Terminal free cash flow</t>
        </is>
      </c>
      <c r="B27" s="14">
        <f>B25*(1-B26)</f>
        <v/>
      </c>
      <c r="D27" s="14">
        <f>D25*(1-D26)</f>
        <v/>
      </c>
    </row>
    <row r="28">
      <c r="A28" s="6" t="inlineStr">
        <is>
          <t>TERMINAL VALUE</t>
        </is>
      </c>
      <c r="B28" s="14">
        <f>B27*(1+'Assumptions'!C102)/('Assumptions'!C101-'Assumptions'!C102)</f>
        <v/>
      </c>
      <c r="D28" s="14">
        <f>D27*(1+'Assumptions'!C102)/('Assumptions'!C101-'Assumptions'!C102)</f>
        <v/>
      </c>
    </row>
    <row r="33">
      <c r="A33" s="6" t="inlineStr">
        <is>
          <t>Present value of the terminal value</t>
        </is>
      </c>
      <c r="B33" s="14">
        <f>B28*F16</f>
        <v/>
      </c>
      <c r="D33" s="14">
        <f>D28*F16</f>
        <v/>
      </c>
    </row>
    <row r="36">
      <c r="A36" s="6" t="inlineStr">
        <is>
          <t>Present value of the explicit window</t>
        </is>
      </c>
      <c r="B36" s="14">
        <f>SUM(B17:F17)</f>
        <v/>
      </c>
      <c r="D36" s="14">
        <f>SUM(B17:F17)+7684.478911</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B45*1000000/1986578999</f>
        <v/>
      </c>
      <c r="D44" s="11">
        <f>D45*1000000/1986578999</f>
        <v/>
      </c>
    </row>
    <row r="45">
      <c r="A45" s="10" t="inlineStr">
        <is>
          <t>EQUITY VALUE</t>
        </is>
      </c>
      <c r="B45" s="14">
        <f>B37-B41+B42+B43</f>
        <v/>
      </c>
      <c r="D45" s="14">
        <f>D37-D41+D42+D43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B5*'Assumptions'!C119/365</f>
        <v/>
      </c>
      <c r="C7" s="14">
        <f>C5*'Assumptions'!C119/365</f>
        <v/>
      </c>
      <c r="D7" s="14">
        <f>D5*'Assumptions'!C119/365</f>
        <v/>
      </c>
      <c r="E7" s="14">
        <f>E5*'Assumptions'!C119/365</f>
        <v/>
      </c>
      <c r="F7" s="14">
        <f>F5*'Assumptions'!C119/365</f>
        <v/>
      </c>
    </row>
    <row r="8">
      <c r="A8" s="6" t="inlineStr">
        <is>
          <t>Inventory</t>
        </is>
      </c>
      <c r="B8" s="14">
        <f>B6*'Assumptions'!C120/365</f>
        <v/>
      </c>
      <c r="C8" s="14">
        <f>C6*'Assumptions'!C120/365</f>
        <v/>
      </c>
      <c r="D8" s="14">
        <f>D6*'Assumptions'!C120/365</f>
        <v/>
      </c>
      <c r="E8" s="14">
        <f>E6*'Assumptions'!C120/365</f>
        <v/>
      </c>
      <c r="F8" s="14">
        <f>F6*'Assumptions'!C120/365</f>
        <v/>
      </c>
    </row>
    <row r="9">
      <c r="A9" s="6" t="inlineStr">
        <is>
          <t>Payables</t>
        </is>
      </c>
      <c r="B9" s="14">
        <f>B6*'Assumptions'!C121/365</f>
        <v/>
      </c>
      <c r="C9" s="14">
        <f>C6*'Assumptions'!C121/365</f>
        <v/>
      </c>
      <c r="D9" s="14">
        <f>D6*'Assumptions'!C121/365</f>
        <v/>
      </c>
      <c r="E9" s="14">
        <f>E6*'Assumptions'!C121/365</f>
        <v/>
      </c>
      <c r="F9" s="14">
        <f>F6*'Assumptions'!C121/365</f>
        <v/>
      </c>
    </row>
    <row r="10">
      <c r="A10" s="6" t="inlineStr">
        <is>
          <t>Net working capital</t>
        </is>
      </c>
      <c r="B10" s="14">
        <f>B7+B8-B9</f>
        <v/>
      </c>
      <c r="C10" s="14">
        <f>C7+C8-C9</f>
        <v/>
      </c>
      <c r="D10" s="14">
        <f>D7+D8-D9</f>
        <v/>
      </c>
      <c r="E10" s="14">
        <f>E7+E8-E9</f>
        <v/>
      </c>
      <c r="F10" s="14">
        <f>F7+F8-F9</f>
        <v/>
      </c>
    </row>
    <row r="11">
      <c r="A11" s="6" t="inlineStr">
        <is>
          <t>Opening net working capital, FY2025/26E</t>
        </is>
      </c>
      <c r="B11" s="13" t="n">
        <v>2071.224822596537</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'Assumptions'!C26</f>
        <v/>
      </c>
      <c r="C15" s="29">
        <f>'Assumptions'!C27</f>
        <v/>
      </c>
      <c r="D15" s="29">
        <f>'Assumptions'!C28</f>
        <v/>
      </c>
      <c r="E15" s="29">
        <f>'Assumptions'!C29</f>
        <v/>
      </c>
      <c r="F15" s="29">
        <f>'Assumptions'!C30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13.98</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-2.85</v>
      </c>
      <c r="C6" s="12" t="n">
        <v>-3.09</v>
      </c>
      <c r="D6" s="12" t="n">
        <v>-3.31</v>
      </c>
      <c r="E6" s="12" t="n">
        <v>-3.45</v>
      </c>
      <c r="F6" s="12" t="n">
        <v>-3.59</v>
      </c>
    </row>
    <row r="7">
      <c r="A7" s="6" t="inlineStr">
        <is>
          <t>US$ 420/t long-run export price</t>
        </is>
      </c>
      <c r="B7" s="12" t="n">
        <v>-1.31</v>
      </c>
      <c r="C7" s="12" t="n">
        <v>-1.65</v>
      </c>
      <c r="D7" s="12" t="n">
        <v>-1.97</v>
      </c>
      <c r="E7" s="12" t="n">
        <v>-2.18</v>
      </c>
      <c r="F7" s="12" t="n">
        <v>-2.38</v>
      </c>
    </row>
    <row r="8">
      <c r="A8" s="6" t="inlineStr">
        <is>
          <t>US$ 460/t long-run export price</t>
        </is>
      </c>
      <c r="B8" s="12" t="n">
        <v>0.22</v>
      </c>
      <c r="C8" s="12" t="n">
        <v>-0.22</v>
      </c>
      <c r="D8" s="12" t="n">
        <v>-0.64</v>
      </c>
      <c r="E8" s="12" t="n">
        <v>-0.91</v>
      </c>
      <c r="F8" s="12" t="n">
        <v>-1.17</v>
      </c>
    </row>
    <row r="9">
      <c r="A9" s="6" t="inlineStr">
        <is>
          <t>US$ 500/t long-run export price</t>
        </is>
      </c>
      <c r="B9" s="12" t="n">
        <v>1.76</v>
      </c>
      <c r="C9" s="12" t="n">
        <v>1.22</v>
      </c>
      <c r="D9" s="12" t="n">
        <v>0.7</v>
      </c>
      <c r="E9" s="12" t="n">
        <v>0.37</v>
      </c>
      <c r="F9" s="12" t="n">
        <v>0.04</v>
      </c>
    </row>
    <row r="10">
      <c r="A10" s="6" t="inlineStr">
        <is>
          <t>US$ 540/t long-run export price</t>
        </is>
      </c>
      <c r="B10" s="12" t="n">
        <v>3.3</v>
      </c>
      <c r="C10" s="12" t="n">
        <v>2.65</v>
      </c>
      <c r="D10" s="12" t="n">
        <v>2.04</v>
      </c>
      <c r="E10" s="12" t="n">
        <v>1.64</v>
      </c>
      <c r="F10" s="12" t="n">
        <v>1.25</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credit rating</t>
        </is>
      </c>
      <c r="B17" s="9" t="inlineStr">
        <is>
          <t>Priced off the sovereign's traded default swap instead, which is the narrower of the two spreads</t>
        </is>
      </c>
      <c r="C17" s="12" t="n">
        <v>-0.3787001056554872</v>
      </c>
      <c r="D17" s="11">
        <f>C17--1.2979590362377038</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-1.987476572573648</v>
      </c>
      <c r="D18" s="11">
        <f>C18--1.2979590362377038</f>
        <v/>
      </c>
    </row>
    <row r="19" ht="26" customHeight="1">
      <c r="A19" s="9" t="inlineStr">
        <is>
          <t>Terminal growth at the central bank's medium-term inflation target</t>
        </is>
      </c>
      <c r="B19" s="9" t="inlineStr">
        <is>
          <t>Two percentage points below it, which is negative real maintenance growth</t>
        </is>
      </c>
      <c r="C19" s="12" t="n">
        <v>-1.320722068827815</v>
      </c>
      <c r="D19" s="11">
        <f>C19--1.2979590362377038</f>
        <v/>
      </c>
    </row>
    <row r="20" ht="26" customHeight="1">
      <c r="A20" s="9" t="inlineStr">
        <is>
          <t>Beta from the five-year weekly regression of the share against its own local index</t>
        </is>
      </c>
      <c r="B20" s="9" t="inlineStr">
        <is>
          <t>The Dimson sum-beta from the same regression, which corrects for co-movement booked late because the share does not trade every session</t>
        </is>
      </c>
      <c r="C20" s="12" t="n">
        <v>-0.6727564234154667</v>
      </c>
      <c r="D20" s="11">
        <f>C20--1.2979590362377038</f>
        <v/>
      </c>
    </row>
    <row r="21" ht="26" customHeight="1">
      <c r="A21" s="9" t="inlineStr">
        <is>
          <t>Gas at the realised price the company's own loss disclosure implies</t>
        </is>
      </c>
      <c r="B21" s="9" t="inlineStr">
        <is>
          <t>The contract formula price in the operating agreement, which is higher</t>
        </is>
      </c>
      <c r="C21" s="12" t="n">
        <v>-3.086219360288026</v>
      </c>
      <c r="D21" s="11">
        <f>C21--1.2979590362377038</f>
        <v/>
      </c>
    </row>
    <row r="22" ht="26" customHeight="1">
      <c r="A22" s="9" t="inlineStr">
        <is>
          <t>The new complex earning at half its derived nameplate in the terminal year</t>
        </is>
      </c>
      <c r="B22" s="9" t="inlineStr">
        <is>
          <t>Seventy per cent, which is what a well-run nitrate line achieves</t>
        </is>
      </c>
      <c r="C22" s="12" t="n">
        <v>-1.14947084159815</v>
      </c>
      <c r="D22" s="11">
        <f>C22--1.2979590362377038</f>
        <v/>
      </c>
    </row>
    <row r="23" ht="26" customHeight="1">
      <c r="A23" s="9" t="inlineStr">
        <is>
          <t>Maintenance capital expenditure at three per cent of revenue</t>
        </is>
      </c>
      <c r="B23" s="9" t="inlineStr">
        <is>
          <t>Two per cent, nearer the company's own pre-project observed spend</t>
        </is>
      </c>
      <c r="C23" s="12" t="n">
        <v>-1.142517849292182</v>
      </c>
      <c r="D23" s="11">
        <f>C23--1.2979590362377038</f>
        <v/>
      </c>
    </row>
    <row r="25" ht="39" customHeight="1">
      <c r="A25"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'Summary'!B16/16206.086</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'Assumptions'!C84</f>
        <v/>
      </c>
      <c r="C8" s="9" t="inlineStr">
        <is>
          <t>Built on the Assumptions sheet</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'DCF'!B14*1000000/1986578999</f>
        <v/>
      </c>
      <c r="C13" s="9" t="inlineStr"/>
    </row>
    <row r="14" ht="14" customHeight="1">
      <c r="A14" s="6" t="inlineStr">
        <is>
          <t>Free cash flow per share, FY2030/31 (EGP)</t>
        </is>
      </c>
      <c r="B14" s="11">
        <f>'DCF'!F14*1000000/1986578999</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'Assumptions'!C62</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2026-08-09T05:10:11Z</dcterms:created>
  <dcterms:modified xmlns:dcterms="http://purl.org/dc/terms/" xmlns:xsi="http://www.w3.org/2001/XMLSchema-instance" xsi:type="dcterms:W3CDTF">2026-08-09T05:10:11Z</dcterms:modified>
</cp:coreProperties>
</file>