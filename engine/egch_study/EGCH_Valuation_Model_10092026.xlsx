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definedName name="_xlnm.Print_Titles" localSheetId="0">'READ FIRST'!$A:$A</definedName>
    <definedName name="_xlnm.Print_Titles" localSheetId="1">'Summary'!$A:$A</definedName>
    <definedName name="_xlnm.Print_Titles" localSheetId="2">'Fundamental Valuation'!$A:$A</definedName>
    <definedName name="_xlnm.Print_Titles" localSheetId="3">'Assumptions'!$A:$A</definedName>
    <definedName name="_xlnm.Print_Titles" localSheetId="4">'SOTP Bridge'!$A:$A</definedName>
    <definedName name="_xlnm.Print_Titles" localSheetId="5">'Segments'!$A:$A</definedName>
    <definedName name="_xlnm.Print_Titles" localSheetId="6">'Relative &amp; Normalized'!$A:$A</definedName>
    <definedName name="_xlnm.Print_Titles" localSheetId="7">'DCF'!$A:$A</definedName>
    <definedName name="_xlnm.Print_Titles" localSheetId="8">'Income Statement'!$A:$A</definedName>
    <definedName name="_xlnm.Print_Titles" localSheetId="9">'Balance Sheet'!$A:$A</definedName>
    <definedName name="_xlnm.Print_Titles" localSheetId="10">'Cash Flow'!$A:$A</definedName>
    <definedName name="_xlnm.Print_Titles" localSheetId="11">'Summary Financials'!$A:$A</definedName>
    <definedName name="_xlnm.Print_Titles" localSheetId="12">'Monte Carlo'!$A:$A</definedName>
    <definedName name="_xlnm.Print_Titles" localSheetId="13">'Sensitivity'!$A:$A</definedName>
    <definedName name="_xlnm.Print_Titles" localSheetId="14">'Per-Share &amp; Ratios'!$A:$A</definedName>
    <definedName name="_xlnm.Print_Titles" localSheetId="15">'Peer &amp; Sector'!$A:$A</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
    <numFmt numFmtId="167" formatCode="0.00000"/>
    <numFmt numFmtId="168" formatCode="0.0000"/>
  </numFmts>
  <fonts count="10">
    <font>
      <name val="Calibri"/>
      <family val="2"/>
      <color theme="1"/>
      <sz val="11"/>
      <scheme val="minor"/>
    </font>
    <font>
      <b val="1"/>
      <color rgb="001F4E79"/>
      <sz val="14"/>
    </font>
    <font>
      <b val="1"/>
      <color rgb="001F4E79"/>
    </font>
    <font>
      <sz val="10"/>
    </font>
    <font>
      <i val="1"/>
      <color rgb="00595959"/>
      <sz val="9"/>
    </font>
    <font>
      <b val="1"/>
      <color rgb="00FFFFFF"/>
      <sz val="11"/>
    </font>
    <font>
      <color rgb="001F4E79"/>
    </font>
    <font>
      <color rgb="00000000"/>
    </font>
    <font>
      <sz val="9"/>
    </font>
    <font>
      <color rgb="001E6B3A"/>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0" fontId="5" fillId="2" borderId="0" applyAlignment="1" pivotButton="0" quotePrefix="0" xfId="0">
      <alignment horizontal="center" vertical="center" wrapText="1"/>
    </xf>
    <xf numFmtId="0" fontId="6" fillId="0" borderId="0" pivotButton="0" quotePrefix="0" xfId="0"/>
    <xf numFmtId="4" fontId="9" fillId="0" borderId="0" pivotButton="0" quotePrefix="0" xfId="0"/>
    <xf numFmtId="166" fontId="7" fillId="0" borderId="0" pivotButton="0" quotePrefix="0" xfId="0"/>
    <xf numFmtId="0" fontId="6" fillId="0" borderId="0" applyAlignment="1" pivotButton="0" quotePrefix="0" xfId="0">
      <alignment vertical="top" wrapText="1"/>
    </xf>
    <xf numFmtId="4" fontId="7" fillId="0" borderId="0" pivotButton="0" quotePrefix="0" xfId="0"/>
    <xf numFmtId="4" fontId="6" fillId="0" borderId="0" pivotButton="0" quotePrefix="0" xfId="0"/>
    <xf numFmtId="3" fontId="6" fillId="0" borderId="0" pivotButton="0" quotePrefix="0" xfId="0"/>
    <xf numFmtId="3" fontId="7" fillId="0" borderId="0" pivotButton="0" quotePrefix="0" xfId="0"/>
    <xf numFmtId="166" fontId="6" fillId="0" borderId="0" pivotButton="0" quotePrefix="0" xfId="0"/>
    <xf numFmtId="10" fontId="7" fillId="0" borderId="0" pivotButton="0" quotePrefix="0" xfId="0"/>
    <xf numFmtId="0" fontId="8" fillId="0" borderId="0" applyAlignment="1" pivotButton="0" quotePrefix="0" xfId="0">
      <alignment vertical="top" wrapText="1"/>
    </xf>
    <xf numFmtId="165" fontId="7" fillId="0" borderId="0" pivotButton="0" quotePrefix="0" xfId="0"/>
    <xf numFmtId="0" fontId="2" fillId="0" borderId="0" pivotButton="0" quotePrefix="0" xfId="0"/>
    <xf numFmtId="164" fontId="6" fillId="0" borderId="0" pivotButton="0" quotePrefix="0" xfId="0"/>
    <xf numFmtId="165" fontId="6" fillId="0" borderId="0" pivotButton="0" quotePrefix="0" xfId="0"/>
    <xf numFmtId="167" fontId="6" fillId="0" borderId="0" pivotButton="0" quotePrefix="0" xfId="0"/>
    <xf numFmtId="10" fontId="6" fillId="0" borderId="0" pivotButton="0" quotePrefix="0" xfId="0"/>
    <xf numFmtId="2" fontId="6" fillId="0" borderId="0" pivotButton="0" quotePrefix="0" xfId="0"/>
    <xf numFmtId="3" fontId="9" fillId="0" borderId="0" pivotButton="0" quotePrefix="0" xfId="0"/>
    <xf numFmtId="166" fontId="9" fillId="0" borderId="0" pivotButton="0" quotePrefix="0" xfId="0"/>
    <xf numFmtId="164" fontId="7" fillId="0" borderId="0" pivotButton="0" quotePrefix="0" xfId="0"/>
    <xf numFmtId="0" fontId="5" fillId="2" borderId="0" applyAlignment="1" pivotButton="0" quotePrefix="0" xfId="0">
      <alignment horizontal="center" vertical="top" wrapText="1"/>
    </xf>
    <xf numFmtId="10" fontId="9" fillId="0" borderId="0" pivotButton="0" quotePrefix="0" xfId="0"/>
    <xf numFmtId="168" fontId="7" fillId="0" borderId="0" pivotButton="0" quotePrefix="0" xfId="0"/>
    <xf numFmtId="164"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7"/>
  <sheetViews>
    <sheetView workbookViewId="0">
      <selection activeCell="A1" sqref="A1"/>
    </sheetView>
  </sheetViews>
  <sheetFormatPr baseColWidth="8" defaultRowHeight="15"/>
  <cols>
    <col width="118" customWidth="1" min="1" max="1"/>
  </cols>
  <sheetData>
    <row r="1">
      <c r="A1" s="1" t="inlineStr">
        <is>
          <t>EGYPTIAN CHEMICAL INDUSTRIES (KIMA) — EGX: EGCH — VALUATION MODEL</t>
        </is>
      </c>
    </row>
    <row r="2"/>
    <row r="3"/>
    <row r="4" ht="14" customHeight="1">
      <c r="A4" s="2" t="inlineStr">
        <is>
          <t>WHAT THIS FILE IS</t>
        </is>
      </c>
    </row>
    <row r="5" ht="65" customHeight="1">
      <c r="A5" s="3" t="inlineStr">
        <is>
          <t>A live formula model of a single-site Egyptian nitrogen-fertilizer producer. Revenue is built product by product as tonnes times price; cost is built as physical consumption times a unit price; the cost of capital, the discount-rate glide, the free-cash-flow waterfall, the terminal block, the statement roll-forwards and every ratio are calculated in the sheet. Change a blue cell on Assumptions and the valuation recomputes.</t>
        </is>
      </c>
    </row>
    <row r="6" ht="14" customHeight="1">
      <c r="A6" s="3" t="inlineStr"/>
    </row>
    <row r="7" ht="14" customHeight="1">
      <c r="A7" s="2" t="inlineStr">
        <is>
          <t>BLUE IS AN INPUT.  BLACK IS A FORMULA.  GREEN IS A LINK TO ANOTHER SHEET.</t>
        </is>
      </c>
    </row>
    <row r="8" ht="14" customHeight="1">
      <c r="A8" s="3" t="inlineStr"/>
    </row>
    <row r="9" ht="14" customHeight="1">
      <c r="A9" s="2" t="inlineStr">
        <is>
          <t>THE THREE CLASSES OF PASTED CELL, AND THERE ARE NO OTHERS</t>
        </is>
      </c>
    </row>
    <row r="10" ht="52" customHeight="1">
      <c r="A10" s="3" t="inlineStr">
        <is>
          <t>1. AUDITED AND DISCLOSED HISTORY. The Income Statement, Balance Sheet and Cash Flow sheets carry the figures exactly as issued in the company's own audited statements for the years ended 30 June 2023, 2024 and 2025 and its reviewed nine-month accounts to 31 March 2026. Where a line is both disclosed and derivable, the DISCLOSED figure is carried and the derivation sits beside it as a check.</t>
        </is>
      </c>
    </row>
    <row r="11" ht="52" customHeight="1">
      <c r="A11" s="3" t="inlineStr">
        <is>
          <t>2. THE UNIT BUILD'S OUTPUT. Production tonnages, the split of those tonnes between the subsidised, local free-market and export channels, and the realised price in each channel are the output of a reconciliation against the audited revenue note that would be unreadable flattened into a grid. They are pasted on Assumptions; everything downstream is a formula.</t>
        </is>
      </c>
    </row>
    <row r="12" ht="39" customHeight="1">
      <c r="A12" s="3" t="inlineStr">
        <is>
          <t>3. WHOLE-MODEL RE-RUNS AND SIMULATION OUTPUT. Every cell of the Sensitivity grid is a complete revaluation at a different pair of inputs, and the Monte Carlo sheet reports statistics of a fifty-thousand-path simulation. NEITHER REDRAWS WHEN A DRIVER CHANGES, and both say so on their own sheet.</t>
        </is>
      </c>
    </row>
    <row r="13" ht="14" customHeight="1">
      <c r="A13" s="3" t="inlineStr"/>
    </row>
    <row r="14" ht="14" customHeight="1">
      <c r="A14" s="2" t="inlineStr">
        <is>
          <t>THE CONTESTED JUDGEMENT IS CARRIED BOTH WAYS, NEVER AVERAGED</t>
        </is>
      </c>
    </row>
    <row r="15" ht="65" customHeight="1">
      <c r="A15" s="3" t="inlineStr">
        <is>
          <t>This company is building a nitric-acid and ammonium-nitrate complex whose bank-approved cost is about three quarters of its own stock-market value. Whether that programme is carried through or stopped is worth more than three pounds a share — more than twice the central estimate itself. Averaging the two would report a number that is true in neither world, so both are computed and both are published: on Summary, on Fundamental Valuation, in the DCF sheet's two columns, and in the expert panel.</t>
        </is>
      </c>
    </row>
    <row r="16" ht="14" customHeight="1">
      <c r="A16" s="3" t="inlineStr"/>
    </row>
    <row r="17" ht="26" customHeight="1">
      <c r="A17" s="4" t="inlineStr">
        <is>
          <t>This is a valuation study. It is not a rating and not a price target: it reports a range of fair values and the distribution around them.</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30" customWidth="1" min="1" max="1"/>
    <col width="17" customWidth="1" min="2" max="2"/>
    <col width="17" customWidth="1" min="3" max="3"/>
    <col width="12" customWidth="1" min="4" max="4"/>
    <col width="54" customWidth="1" min="5" max="5"/>
  </cols>
  <sheetData>
    <row r="1">
      <c r="A1" s="5" t="inlineStr">
        <is>
          <t>SUMMARY — EVERY READ AT A GLANCE</t>
        </is>
      </c>
    </row>
    <row r="2" ht="30" customHeight="1">
      <c r="A2" s="4" t="inlineStr">
        <is>
          <t>Every figure here is a formula reading the valuation sheets. The contested judgement appears as two columns and is never averaged into one.</t>
        </is>
      </c>
    </row>
    <row r="3"/>
    <row r="4">
      <c r="A4" s="6" t="inlineStr">
        <is>
          <t>Lens</t>
        </is>
      </c>
      <c r="B4" s="6" t="inlineStr">
        <is>
          <t>Programme carried through (EGP/share)</t>
        </is>
      </c>
      <c r="C4" s="6" t="inlineStr">
        <is>
          <t>Programme stopped (EGP/share)</t>
        </is>
      </c>
      <c r="D4" s="6" t="inlineStr">
        <is>
          <t>Against spot</t>
        </is>
      </c>
      <c r="E4" s="6" t="inlineStr">
        <is>
          <t>What it measures</t>
        </is>
      </c>
    </row>
    <row r="5" ht="28" customHeight="1">
      <c r="A5" s="7" t="inlineStr">
        <is>
          <t>Cash flow — the primary lens</t>
        </is>
      </c>
      <c r="B5" s="8">
        <f>'DCF'!B44</f>
        <v/>
      </c>
      <c r="C5" s="8">
        <f>'DCF'!D44</f>
        <v/>
      </c>
      <c r="D5" s="9">
        <f>B5/$B$14-1</f>
        <v/>
      </c>
      <c r="E5" s="10" t="inlineStr">
        <is>
          <t>Free cash flow to the firm, discounted on a glided cost of capital</t>
        </is>
      </c>
    </row>
    <row r="6" ht="28" customHeight="1">
      <c r="A6" s="10" t="inlineStr">
        <is>
          <t>Book value and sustainable return</t>
        </is>
      </c>
      <c r="B6" s="8">
        <f>'Fundamental Valuation'!B18</f>
        <v/>
      </c>
      <c r="C6" s="8">
        <f>'Fundamental Valuation'!B18</f>
        <v/>
      </c>
      <c r="D6" s="9">
        <f>B6/$B$14-1</f>
        <v/>
      </c>
      <c r="E6" s="10" t="inlineStr">
        <is>
          <t>Book equity at the justified multiple implied by its own sustainable return</t>
        </is>
      </c>
    </row>
    <row r="7" ht="28" customHeight="1">
      <c r="A7" s="7" t="inlineStr">
        <is>
          <t>Relative multiples</t>
        </is>
      </c>
      <c r="B7" s="8">
        <f>'Relative &amp; Normalized'!B12</f>
        <v/>
      </c>
      <c r="C7" s="8">
        <f>'Relative &amp; Normalized'!B12</f>
        <v/>
      </c>
      <c r="D7" s="9">
        <f>B7/$B$14-1</f>
        <v/>
      </c>
      <c r="E7" s="10" t="inlineStr">
        <is>
          <t>Forward EBITDA at the mid-point of the Egyptian industrial range</t>
        </is>
      </c>
    </row>
    <row r="8" ht="28" customHeight="1">
      <c r="A8" s="7" t="inlineStr">
        <is>
          <t>Normalised earnings power</t>
        </is>
      </c>
      <c r="B8" s="8">
        <f>'Relative &amp; Normalized'!B31</f>
        <v/>
      </c>
      <c r="C8" s="8">
        <f>'Relative &amp; Normalized'!B31</f>
        <v/>
      </c>
      <c r="D8" s="9">
        <f>B8/$B$14-1</f>
        <v/>
      </c>
      <c r="E8" s="10" t="inlineStr">
        <is>
          <t>Mid-cycle operating profit after tax at a justified multiple</t>
        </is>
      </c>
    </row>
    <row r="9"/>
    <row r="10">
      <c r="A10" s="2" t="inlineStr">
        <is>
          <t>THE FIELD — the range of the published reads, never an average of them</t>
        </is>
      </c>
    </row>
    <row r="11">
      <c r="A11" s="7" t="inlineStr">
        <is>
          <t>Low</t>
        </is>
      </c>
      <c r="B11" s="11">
        <f>MIN(B5,C5,B7,B8)</f>
        <v/>
      </c>
    </row>
    <row r="12">
      <c r="A12" s="7" t="inlineStr">
        <is>
          <t>High</t>
        </is>
      </c>
      <c r="B12" s="11">
        <f>MAX(B5,C5,B7,B8)</f>
        <v/>
      </c>
    </row>
    <row r="13">
      <c r="A13" s="10" t="inlineStr">
        <is>
          <t>Spread across the published reads</t>
        </is>
      </c>
      <c r="B13" s="11">
        <f>B12-B11</f>
        <v/>
      </c>
    </row>
    <row r="14">
      <c r="A14" s="7" t="inlineStr">
        <is>
          <t>Spot price, 3 September 2026</t>
        </is>
      </c>
      <c r="B14" s="12" t="n">
        <v>14.41</v>
      </c>
    </row>
    <row r="15">
      <c r="A15" s="7" t="inlineStr">
        <is>
          <t>Shares outstanding</t>
        </is>
      </c>
      <c r="B15" s="13" t="n">
        <v>1986578999</v>
      </c>
    </row>
    <row r="16">
      <c r="A16" s="7" t="inlineStr">
        <is>
          <t>Market capitalisation (EGP m)</t>
        </is>
      </c>
      <c r="B16" s="14">
        <f>B14*B15/1000000</f>
        <v/>
      </c>
    </row>
    <row r="17"/>
    <row r="18">
      <c r="A18" s="2" t="inlineStr">
        <is>
          <t>THE CONTESTED JUDGEMENT — BOTH WAYS, NEVER AVERAGED</t>
        </is>
      </c>
    </row>
    <row r="19">
      <c r="A19" s="10" t="inlineStr">
        <is>
          <t>Is the ANNA capital programme carried through, or stopped?</t>
        </is>
      </c>
    </row>
    <row r="20">
      <c r="A20" s="7" t="inlineStr">
        <is>
          <t>Carried through (EGP/share)</t>
        </is>
      </c>
      <c r="B20" s="11">
        <f>B5</f>
        <v/>
      </c>
    </row>
    <row r="21">
      <c r="A21" s="7" t="inlineStr">
        <is>
          <t>Stopped (EGP/share)</t>
        </is>
      </c>
      <c r="B21" s="11">
        <f>C5</f>
        <v/>
      </c>
    </row>
    <row r="22">
      <c r="A22" s="7" t="inlineStr">
        <is>
          <t>The gap (EGP/share)</t>
        </is>
      </c>
      <c r="B22" s="11">
        <f>B21-B20</f>
        <v/>
      </c>
    </row>
    <row r="23">
      <c r="A23" s="7" t="inlineStr">
        <is>
          <t>The gap (EGP m of equity)</t>
        </is>
      </c>
      <c r="B23" s="14">
        <f>B22*$B$15/1000000</f>
        <v/>
      </c>
    </row>
    <row r="24"/>
    <row r="25">
      <c r="A25" s="10" t="inlineStr">
        <is>
          <t>Discount rate implied by the traded price (flat, nominal)</t>
        </is>
      </c>
      <c r="B25" s="15" t="n">
        <v>0.1498136460228862</v>
      </c>
    </row>
    <row r="26">
      <c r="A26" s="10" t="inlineStr">
        <is>
          <t>Sovereign ten-year yield the same day, for comparison</t>
        </is>
      </c>
      <c r="B26" s="15" t="n">
        <v>0.23</v>
      </c>
    </row>
    <row r="27">
      <c r="A27" s="10" t="inlineStr">
        <is>
          <t>Cost of capital built in this model, year one</t>
        </is>
      </c>
      <c r="B27" s="16">
        <f>'Assumptions'!C115</f>
        <v/>
      </c>
    </row>
    <row r="28">
      <c r="A28" s="10" t="inlineStr">
        <is>
          <t>Cost of capital on the RATING premium basis, year one — the published alternative</t>
        </is>
      </c>
      <c r="B28" s="16">
        <f>'Assumptions'!C113*'Assumptions'!C104+'Assumptions'!C114*'Assumptions'!C111*(1-'Assumptions'!C112)</f>
        <v/>
      </c>
    </row>
    <row r="29">
      <c r="A29" s="4" t="inlineStr">
        <is>
          <t>Both premium bases are published and neither is mixed with the other's risk-free rate.</t>
        </is>
      </c>
    </row>
    <row r="30"/>
    <row r="31" ht="26" customHeight="1">
      <c r="A31" s="17" t="inlineStr">
        <is>
          <t>Terminal value as a share of enterprise value is reported beside the cash-flow lens on the DCF sheet, in both columns, because on this company it is the number that decides the answer.</t>
        </is>
      </c>
    </row>
    <row r="32"/>
    <row r="33">
      <c r="A33" s="2" t="inlineStr">
        <is>
          <t>THE ANSWER — TWO BRANCHES, PUBLISHED SIDE BY SIDE AND NEVER AVERAGED</t>
        </is>
      </c>
    </row>
    <row r="34">
      <c r="A34" s="10" t="inlineStr">
        <is>
          <t>Cash-flow lens — ANNA programme CARRIED THROUGH (EGP/share)</t>
        </is>
      </c>
      <c r="B34" s="11">
        <f>B5</f>
        <v/>
      </c>
    </row>
    <row r="35">
      <c r="A35" s="7" t="inlineStr">
        <is>
          <t>Against spot</t>
        </is>
      </c>
      <c r="B35" s="9">
        <f>B34/$B$14-1</f>
        <v/>
      </c>
    </row>
    <row r="36">
      <c r="A36" s="10" t="inlineStr">
        <is>
          <t>Cash-flow lens — ANNA programme STOPPED (EGP/share)</t>
        </is>
      </c>
      <c r="B36" s="12" t="n">
        <v>12.77234373196298</v>
      </c>
    </row>
    <row r="37">
      <c r="A37" s="7" t="inlineStr">
        <is>
          <t>Against spot</t>
        </is>
      </c>
      <c r="B37" s="9">
        <f>B36/$B$14-1</f>
        <v/>
      </c>
    </row>
    <row r="38">
      <c r="A38" s="10" t="inlineStr">
        <is>
          <t>RETIRED — the 45/20/20/15 weighted blend, published unused</t>
        </is>
      </c>
      <c r="B38" s="12" t="n">
        <v>9.61514893727578</v>
      </c>
    </row>
    <row r="39">
      <c r="A39" s="7" t="inlineStr">
        <is>
          <t>Why it is retired</t>
        </is>
      </c>
      <c r="B39" s="7" t="inlineStr">
        <is>
          <t>the weights were typed and had never cleared an out-of-sample test</t>
        </is>
      </c>
    </row>
    <row r="40">
      <c r="A40" s="4" t="inlineStr">
        <is>
          <t>The judgement is BINARY and its two answers straddle the interesting range, so an average would describe a half-built plant — a world nobody is proposing and the company is not in. Both branches are published; neither is weighted into the other. Bear and full are the field's floor and ceiling.</t>
        </is>
      </c>
    </row>
  </sheetData>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31"/>
  <sheetViews>
    <sheetView workbookViewId="0">
      <selection activeCell="A1" sqref="A1"/>
    </sheetView>
  </sheetViews>
  <sheetFormatPr baseColWidth="8" defaultRowHeight="15"/>
  <cols>
    <col width="44" customWidth="1" min="1" max="1"/>
    <col width="14" customWidth="1" min="2" max="2"/>
    <col width="66" customWidth="1" min="3" max="3"/>
  </cols>
  <sheetData>
    <row r="1">
      <c r="A1" s="5" t="inlineStr">
        <is>
          <t>FUNDAMENTAL VALUATION — THE FOUR LENSES, ONE FIELD</t>
        </is>
      </c>
    </row>
    <row r="2" ht="30" customHeight="1">
      <c r="A2" s="4" t="inlineStr">
        <is>
          <t>The cash-flow lens is primary; the other three test it from directions it cannot test itself.</t>
        </is>
      </c>
    </row>
    <row r="3"/>
    <row r="4">
      <c r="A4" s="6" t="inlineStr">
        <is>
          <t>Lens 2 — book value and sustainable return</t>
        </is>
      </c>
      <c r="B4" s="6" t="inlineStr">
        <is>
          <t>Value</t>
        </is>
      </c>
      <c r="C4" s="6" t="inlineStr">
        <is>
          <t>Derivation</t>
        </is>
      </c>
    </row>
    <row r="5" ht="14" customHeight="1">
      <c r="A5" s="7" t="inlineStr">
        <is>
          <t>Book equity, 31 March 2026 (EGP m)</t>
        </is>
      </c>
      <c r="B5" s="13" t="n">
        <v>16206.086</v>
      </c>
      <c r="C5" s="10" t="inlineStr">
        <is>
          <t>Paid-in capital plus reserves, as reported</t>
        </is>
      </c>
    </row>
    <row r="6" ht="14" customHeight="1">
      <c r="A6" s="7" t="inlineStr">
        <is>
          <t>Book value per share (EGP)</t>
        </is>
      </c>
      <c r="B6" s="11">
        <f>B5*1000000/'Assumptions'!C6</f>
        <v/>
      </c>
      <c r="C6" s="10" t="inlineStr"/>
    </row>
    <row r="7" ht="14" customHeight="1">
      <c r="A7" s="7" t="inlineStr">
        <is>
          <t>Underlying profit FY2023/24 (EGP m)</t>
        </is>
      </c>
      <c r="B7" s="13" t="n">
        <v>503.3610000000001</v>
      </c>
      <c r="C7" s="10" t="inlineStr">
        <is>
          <t>Reported profit less the one-off investment-property revaluation gain</t>
        </is>
      </c>
    </row>
    <row r="8" ht="14" customHeight="1">
      <c r="A8" s="7" t="inlineStr">
        <is>
          <t>Underlying profit FY2024/25 (EGP m)</t>
        </is>
      </c>
      <c r="B8" s="13" t="n">
        <v>986.9640000000001</v>
      </c>
      <c r="C8" s="10" t="inlineStr">
        <is>
          <t>As reported</t>
        </is>
      </c>
    </row>
    <row r="9" ht="14" customHeight="1">
      <c r="A9" s="7" t="inlineStr">
        <is>
          <t>Opening equity FY2023/24 (EGP m)</t>
        </is>
      </c>
      <c r="B9" s="13" t="n">
        <v>7249.581</v>
      </c>
      <c r="C9" s="10" t="inlineStr">
        <is>
          <t>Prior-year closing equity</t>
        </is>
      </c>
    </row>
    <row r="10" ht="14" customHeight="1">
      <c r="A10" s="7" t="inlineStr">
        <is>
          <t>Opening equity FY2024/25 (EGP m)</t>
        </is>
      </c>
      <c r="B10" s="13" t="n">
        <v>14560.104</v>
      </c>
      <c r="C10" s="10" t="inlineStr">
        <is>
          <t>Prior-year closing equity</t>
        </is>
      </c>
    </row>
    <row r="11" ht="14" customHeight="1">
      <c r="A11" s="7" t="inlineStr">
        <is>
          <t>Return on equity FY2023/24</t>
        </is>
      </c>
      <c r="B11" s="9">
        <f>B7/B9</f>
        <v/>
      </c>
      <c r="C11" s="10" t="inlineStr"/>
    </row>
    <row r="12" ht="14" customHeight="1">
      <c r="A12" s="7" t="inlineStr">
        <is>
          <t>Return on equity FY2024/25</t>
        </is>
      </c>
      <c r="B12" s="9">
        <f>B8/B10</f>
        <v/>
      </c>
      <c r="C12" s="10" t="inlineStr"/>
    </row>
    <row r="13" ht="14" customHeight="1">
      <c r="A13" s="7" t="inlineStr">
        <is>
          <t>Sustainable return on equity</t>
        </is>
      </c>
      <c r="B13" s="9">
        <f>(B11+B12)/2</f>
        <v/>
      </c>
      <c r="C13" s="10" t="inlineStr">
        <is>
          <t>The two-year average on underlying profit</t>
        </is>
      </c>
    </row>
    <row r="14" ht="14" customHeight="1">
      <c r="A14" s="7" t="inlineStr">
        <is>
          <t>Cost of equity</t>
        </is>
      </c>
      <c r="B14" s="16">
        <f>'Assumptions'!C105</f>
        <v/>
      </c>
      <c r="C14" s="10" t="inlineStr">
        <is>
          <t>Built on the Assumptions sheet</t>
        </is>
      </c>
    </row>
    <row r="15" ht="14" customHeight="1">
      <c r="A15" s="7" t="inlineStr">
        <is>
          <t>Terminal growth</t>
        </is>
      </c>
      <c r="B15" s="9">
        <f>'Assumptions'!C122</f>
        <v/>
      </c>
      <c r="C15" s="10" t="inlineStr"/>
    </row>
    <row r="16" ht="24" customHeight="1">
      <c r="A16" s="7" t="inlineStr">
        <is>
          <t>Justified price-to-book, before flooring</t>
        </is>
      </c>
      <c r="B16" s="18">
        <f>(B13-B15)/(B14-B15)</f>
        <v/>
      </c>
      <c r="C16" s="10" t="inlineStr">
        <is>
          <t>The sustainable return does not cover even nominal maintenance growth, so this is NEGATIVE. That is the finding, not a rounding artefact.</t>
        </is>
      </c>
    </row>
    <row r="17" ht="14" customHeight="1">
      <c r="A17" s="7" t="inlineStr">
        <is>
          <t>Justified price-to-book</t>
        </is>
      </c>
      <c r="B17" s="11">
        <f>MAX(0,B16)</f>
        <v/>
      </c>
      <c r="C17" s="10" t="inlineStr">
        <is>
          <t>Floored at zero</t>
        </is>
      </c>
    </row>
    <row r="18" ht="14" customHeight="1">
      <c r="A18" s="7" t="inlineStr">
        <is>
          <t>Value per share on this lens (EGP)</t>
        </is>
      </c>
      <c r="B18" s="11">
        <f>B17*B6</f>
        <v/>
      </c>
      <c r="C18" s="10" t="inlineStr"/>
    </row>
    <row r="19" ht="14" customHeight="1">
      <c r="A19" s="7" t="inlineStr">
        <is>
          <t>Price-to-book the market pays</t>
        </is>
      </c>
      <c r="B19" s="11">
        <f>B14*0+'Assumptions'!C7*'Assumptions'!C6/1000000/B5</f>
        <v/>
      </c>
      <c r="C19" s="10" t="inlineStr">
        <is>
          <t>For comparison</t>
        </is>
      </c>
    </row>
    <row r="20"/>
    <row r="21">
      <c r="A21" s="19" t="inlineStr">
        <is>
          <t>WHAT THE FOUR LENSES SAY TOGETHER</t>
        </is>
      </c>
    </row>
    <row r="22">
      <c r="A22" s="6" t="inlineStr">
        <is>
          <t>Lens</t>
        </is>
      </c>
      <c r="B22" s="6" t="inlineStr">
        <is>
          <t>EGP per share</t>
        </is>
      </c>
      <c r="C22" s="6" t="inlineStr">
        <is>
          <t>Note</t>
        </is>
      </c>
    </row>
    <row r="23">
      <c r="A23" s="7" t="inlineStr">
        <is>
          <t>Cash flow — programme carried through</t>
        </is>
      </c>
      <c r="B23" s="12" t="n">
        <v>9.235379308069334</v>
      </c>
    </row>
    <row r="24">
      <c r="A24" s="7" t="inlineStr">
        <is>
          <t>Cash flow — programme stopped</t>
        </is>
      </c>
      <c r="B24" s="12" t="n">
        <v>12.77234373196298</v>
      </c>
    </row>
    <row r="25">
      <c r="A25" s="10" t="inlineStr">
        <is>
          <t>Book value, disclosed (a floor, never weighted)</t>
        </is>
      </c>
      <c r="B25" s="12" t="n">
        <v>8.15778582586335</v>
      </c>
    </row>
    <row r="26">
      <c r="A26" s="7" t="inlineStr">
        <is>
          <t>Relative multiples</t>
        </is>
      </c>
      <c r="B26" s="12" t="n">
        <v>19.92933486792083</v>
      </c>
    </row>
    <row r="27">
      <c r="A27" s="7" t="inlineStr">
        <is>
          <t>Normalised earnings power</t>
        </is>
      </c>
      <c r="B27" s="12" t="n">
        <v>7.366806375302057</v>
      </c>
    </row>
    <row r="28"/>
    <row r="29">
      <c r="A29" s="7" t="inlineStr">
        <is>
          <t>The field, low to high</t>
        </is>
      </c>
      <c r="B29" s="11">
        <f>MAX(0,MIN(B23:B27))</f>
        <v/>
      </c>
      <c r="C29" s="11">
        <f>MAX(B23:B27)</f>
        <v/>
      </c>
    </row>
    <row r="30"/>
    <row r="31" ht="52" customHeight="1">
      <c r="A31" s="17" t="inlineStr">
        <is>
          <t>The two cash-flow readings are the contested judgement. They are the two sides of one question and are never averaged; the other three lenses are read against both. Note that the lens giving the highest number — relative multiples — is also the one that never asks what the capital programme does to cash, which is exactly the question the cash-flow lens exists to answer.</t>
        </is>
      </c>
    </row>
  </sheetData>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1"/>
  <sheetViews>
    <sheetView workbookViewId="0">
      <selection activeCell="A1" sqref="A1"/>
    </sheetView>
  </sheetViews>
  <sheetFormatPr baseColWidth="8" defaultRowHeight="15"/>
  <cols>
    <col width="46" customWidth="1" min="1" max="1"/>
    <col width="15" customWidth="1" min="2" max="2"/>
    <col width="14" customWidth="1" min="3" max="3"/>
    <col width="76" customWidth="1" min="4" max="4"/>
  </cols>
  <sheetData>
    <row r="1">
      <c r="A1" s="1" t="inlineStr">
        <is>
          <t>ASSUMPTIONS — THE LIVE DRIVERS</t>
        </is>
      </c>
    </row>
    <row r="2" ht="30" customHeight="1">
      <c r="A2" s="4" t="inlineStr">
        <is>
          <t>Blue cells are inputs. Change one and the model reprices. Each carries its source. Every value on this sheet comes from the study's input register.</t>
        </is>
      </c>
    </row>
    <row r="3"/>
    <row r="4">
      <c r="A4" s="6" t="inlineStr">
        <is>
          <t>Driver</t>
        </is>
      </c>
      <c r="B4" s="6" t="inlineStr">
        <is>
          <t>Unit</t>
        </is>
      </c>
      <c r="C4" s="6" t="inlineStr">
        <is>
          <t>Value</t>
        </is>
      </c>
      <c r="D4" s="6" t="inlineStr">
        <is>
          <t>Source</t>
        </is>
      </c>
    </row>
    <row r="5">
      <c r="A5" s="19" t="inlineStr">
        <is>
          <t>THE CAPITALISATION</t>
        </is>
      </c>
    </row>
    <row r="6" ht="24" customHeight="1">
      <c r="A6" s="7" t="inlineStr">
        <is>
          <t>Shares outstanding</t>
        </is>
      </c>
      <c r="B6" s="7" t="inlineStr">
        <is>
          <t>shares</t>
        </is>
      </c>
      <c r="C6" s="13" t="n">
        <v>1986578999</v>
      </c>
      <c r="D6" s="10" t="inlineStr">
        <is>
          <t>Audited financial statements, year ended 30 June 2025 (Central Auditing Organization, report dated 23 September 2025), note 14 share capital</t>
        </is>
      </c>
    </row>
    <row r="7" ht="24" customHeight="1">
      <c r="A7" s="7" t="inlineStr">
        <is>
          <t>Anchor price</t>
        </is>
      </c>
      <c r="B7" s="7" t="inlineStr">
        <is>
          <t>EGP</t>
        </is>
      </c>
      <c r="C7" s="12" t="n">
        <v>14.41</v>
      </c>
      <c r="D7" s="10" t="inlineStr">
        <is>
          <t>EGCH closing price on the Egyptian Exchange, 3 September 2026. The previous edition was struck on the 6 August close of 13.98</t>
        </is>
      </c>
    </row>
    <row r="8" ht="24" customHeight="1">
      <c r="A8" s="7" t="inlineStr">
        <is>
          <t>Exchange rate, FY2024/25 average</t>
        </is>
      </c>
      <c r="B8" s="7" t="inlineStr">
        <is>
          <t>EGP/US$</t>
        </is>
      </c>
      <c r="C8" s="12" t="n">
        <v>49</v>
      </c>
      <c r="D8" s="10" t="inlineStr">
        <is>
          <t>Constructed: the rate that reconciles note 20 export revenue to the disclosed export price and the implied export tonnage</t>
        </is>
      </c>
    </row>
    <row r="9" ht="14" customHeight="1">
      <c r="A9" s="7" t="inlineStr">
        <is>
          <t>Normalised-earnings multiple, low</t>
        </is>
      </c>
      <c r="B9" s="7" t="inlineStr">
        <is>
          <t>x</t>
        </is>
      </c>
      <c r="C9" s="20" t="n">
        <v>8</v>
      </c>
      <c r="D9" s="10" t="inlineStr">
        <is>
          <t>Multiple applied to mid-cycle profit after tax, low end</t>
        </is>
      </c>
    </row>
    <row r="10" ht="14" customHeight="1">
      <c r="A10" s="7" t="inlineStr">
        <is>
          <t>Normalised-earnings multiple, central</t>
        </is>
      </c>
      <c r="B10" s="7" t="inlineStr">
        <is>
          <t>x</t>
        </is>
      </c>
      <c r="C10" s="20" t="n">
        <v>10</v>
      </c>
      <c r="D10" s="10" t="inlineStr">
        <is>
          <t>Multiple applied to mid-cycle profit after tax, central</t>
        </is>
      </c>
    </row>
    <row r="11" ht="14" customHeight="1">
      <c r="A11" s="7" t="inlineStr">
        <is>
          <t>Normalised-earnings multiple, high</t>
        </is>
      </c>
      <c r="B11" s="7" t="inlineStr">
        <is>
          <t>x</t>
        </is>
      </c>
      <c r="C11" s="20" t="n">
        <v>12</v>
      </c>
      <c r="D11" s="10" t="inlineStr">
        <is>
          <t>Multiple applied to mid-cycle profit after tax, high end</t>
        </is>
      </c>
    </row>
    <row r="12">
      <c r="A12" s="19" t="inlineStr">
        <is>
          <t>CAPACITY AND VOLUME</t>
        </is>
      </c>
    </row>
    <row r="13" ht="14" customHeight="1">
      <c r="A13" s="7" t="inlineStr">
        <is>
          <t>Urea design capacity</t>
        </is>
      </c>
      <c r="B13" s="7" t="inlineStr">
        <is>
          <t>tonnes/year</t>
        </is>
      </c>
      <c r="C13" s="13" t="n">
        <v>574875</v>
      </c>
      <c r="D13" s="10" t="inlineStr">
        <is>
          <t>Constructed: 1,575 t/day contractual plate times 365 days</t>
        </is>
      </c>
    </row>
    <row r="14" ht="24" customHeight="1">
      <c r="A14" s="7" t="inlineStr">
        <is>
          <t>Ammonia design capacity</t>
        </is>
      </c>
      <c r="B14" s="7" t="inlineStr">
        <is>
          <t>tonnes/year</t>
        </is>
      </c>
      <c r="C14" s="13" t="n">
        <v>438000</v>
      </c>
      <c r="D14" s="10" t="inlineStr">
        <is>
          <t>Audited financial statements, year ended 30 June 2025 (Central Auditing Organization, report dated 23 September 2025), note 28</t>
        </is>
      </c>
    </row>
    <row r="15" ht="24" customHeight="1">
      <c r="A15" s="7" t="inlineStr">
        <is>
          <t>Ammonia per tonne of urea</t>
        </is>
      </c>
      <c r="B15" s="7" t="inlineStr">
        <is>
          <t>tonnes</t>
        </is>
      </c>
      <c r="C15" s="21" t="n">
        <v>0.619889556570605</v>
      </c>
      <c r="D15" s="10" t="inlineStr">
        <is>
          <t>Constructed: FY2024/25 ammonia output divided by FY2024/25 urea output, both from the auditor's product cost table</t>
        </is>
      </c>
    </row>
    <row r="16" ht="36" customHeight="1">
      <c r="A16" s="7" t="inlineStr">
        <is>
          <t>Urea capacity utilisation — FY2026/27</t>
        </is>
      </c>
      <c r="B16" s="7" t="inlineStr">
        <is>
          <t>% of plate</t>
        </is>
      </c>
      <c r="C16" s="15" t="n">
        <v>0.913</v>
      </c>
      <c r="D16" s="10" t="inlineStr">
        <is>
          <t>Constructed: utilisation path. Audited output ran 586.4kt in FY2022/23 (2% above plate), 521.9kt in FY2023/24 and 513.4kt in FY2024/25; the path never returns to plate because the summer gas curtailment is structural.</t>
        </is>
      </c>
    </row>
    <row r="17" ht="36" customHeight="1">
      <c r="A17" s="7" t="inlineStr">
        <is>
          <t>Urea capacity utilisation — FY2027/28</t>
        </is>
      </c>
      <c r="B17" s="7" t="inlineStr">
        <is>
          <t>% of plate</t>
        </is>
      </c>
      <c r="C17" s="15" t="n">
        <v>0.922</v>
      </c>
      <c r="D17" s="10" t="inlineStr">
        <is>
          <t>Constructed: utilisation path. Audited output ran 586.4kt in FY2022/23 (2% above plate), 521.9kt in FY2023/24 and 513.4kt in FY2024/25; the path never returns to plate because the summer gas curtailment is structural.</t>
        </is>
      </c>
    </row>
    <row r="18" ht="36" customHeight="1">
      <c r="A18" s="7" t="inlineStr">
        <is>
          <t>Urea capacity utilisation — FY2028/29</t>
        </is>
      </c>
      <c r="B18" s="7" t="inlineStr">
        <is>
          <t>% of plate</t>
        </is>
      </c>
      <c r="C18" s="15" t="n">
        <v>0.93</v>
      </c>
      <c r="D18" s="10" t="inlineStr">
        <is>
          <t>Constructed: utilisation path. Audited output ran 586.4kt in FY2022/23 (2% above plate), 521.9kt in FY2023/24 and 513.4kt in FY2024/25; the path never returns to plate because the summer gas curtailment is structural.</t>
        </is>
      </c>
    </row>
    <row r="19" ht="36" customHeight="1">
      <c r="A19" s="7" t="inlineStr">
        <is>
          <t>Urea capacity utilisation — FY2029/30</t>
        </is>
      </c>
      <c r="B19" s="7" t="inlineStr">
        <is>
          <t>% of plate</t>
        </is>
      </c>
      <c r="C19" s="15" t="n">
        <v>0.9389999999999999</v>
      </c>
      <c r="D19" s="10" t="inlineStr">
        <is>
          <t>Constructed: utilisation path. Audited output ran 586.4kt in FY2022/23 (2% above plate), 521.9kt in FY2023/24 and 513.4kt in FY2024/25; the path never returns to plate because the summer gas curtailment is structural.</t>
        </is>
      </c>
    </row>
    <row r="20" ht="36" customHeight="1">
      <c r="A20" s="7" t="inlineStr">
        <is>
          <t>Urea capacity utilisation — FY2030/31</t>
        </is>
      </c>
      <c r="B20" s="7" t="inlineStr">
        <is>
          <t>% of plate</t>
        </is>
      </c>
      <c r="C20" s="15" t="n">
        <v>0.948</v>
      </c>
      <c r="D20" s="10" t="inlineStr">
        <is>
          <t>Constructed: utilisation path. Audited output ran 586.4kt in FY2022/23 (2% above plate), 521.9kt in FY2023/24 and 513.4kt in FY2024/25; the path never returns to plate because the summer gas curtailment is structural.</t>
        </is>
      </c>
    </row>
    <row r="21" ht="24" customHeight="1">
      <c r="A21" s="7" t="inlineStr">
        <is>
          <t>Subsidised deliveries — FY2026/27</t>
        </is>
      </c>
      <c r="B21" s="7" t="inlineStr">
        <is>
          <t>tonnes</t>
        </is>
      </c>
      <c r="C21" s="13" t="n">
        <v>155000</v>
      </c>
      <c r="D21" s="10" t="inlineStr">
        <is>
          <t>Constructed: subsidised delivery path. The company met 147kt of a 322kt requirement in the fourteen months to August 2025, a 46% compliance rate the forecast does not assume away.</t>
        </is>
      </c>
    </row>
    <row r="22" ht="24" customHeight="1">
      <c r="A22" s="7" t="inlineStr">
        <is>
          <t>Subsidised deliveries — FY2027/28</t>
        </is>
      </c>
      <c r="B22" s="7" t="inlineStr">
        <is>
          <t>tonnes</t>
        </is>
      </c>
      <c r="C22" s="13" t="n">
        <v>160000</v>
      </c>
      <c r="D22" s="10" t="inlineStr">
        <is>
          <t>Constructed: subsidised delivery path. The company met 147kt of a 322kt requirement in the fourteen months to August 2025, a 46% compliance rate the forecast does not assume away.</t>
        </is>
      </c>
    </row>
    <row r="23" ht="24" customHeight="1">
      <c r="A23" s="7" t="inlineStr">
        <is>
          <t>Subsidised deliveries — FY2028/29</t>
        </is>
      </c>
      <c r="B23" s="7" t="inlineStr">
        <is>
          <t>tonnes</t>
        </is>
      </c>
      <c r="C23" s="13" t="n">
        <v>165000</v>
      </c>
      <c r="D23" s="10" t="inlineStr">
        <is>
          <t>Constructed: subsidised delivery path. The company met 147kt of a 322kt requirement in the fourteen months to August 2025, a 46% compliance rate the forecast does not assume away.</t>
        </is>
      </c>
    </row>
    <row r="24" ht="24" customHeight="1">
      <c r="A24" s="7" t="inlineStr">
        <is>
          <t>Subsidised deliveries — FY2029/30</t>
        </is>
      </c>
      <c r="B24" s="7" t="inlineStr">
        <is>
          <t>tonnes</t>
        </is>
      </c>
      <c r="C24" s="13" t="n">
        <v>170000</v>
      </c>
      <c r="D24" s="10" t="inlineStr">
        <is>
          <t>Constructed: subsidised delivery path. The company met 147kt of a 322kt requirement in the fourteen months to August 2025, a 46% compliance rate the forecast does not assume away.</t>
        </is>
      </c>
    </row>
    <row r="25" ht="24" customHeight="1">
      <c r="A25" s="7" t="inlineStr">
        <is>
          <t>Subsidised deliveries — FY2030/31</t>
        </is>
      </c>
      <c r="B25" s="7" t="inlineStr">
        <is>
          <t>tonnes</t>
        </is>
      </c>
      <c r="C25" s="13" t="n">
        <v>175000</v>
      </c>
      <c r="D25" s="10" t="inlineStr">
        <is>
          <t>Constructed: subsidised delivery path. The company met 147kt of a 322kt requirement in the fourteen months to August 2025, a 46% compliance rate the forecast does not assume away.</t>
        </is>
      </c>
    </row>
    <row r="26" ht="14" customHeight="1">
      <c r="A26" s="7" t="inlineStr">
        <is>
          <t>Local free-market volume — FY2026/27</t>
        </is>
      </c>
      <c r="B26" s="7" t="inlineStr">
        <is>
          <t>tonnes</t>
        </is>
      </c>
      <c r="C26" s="13" t="n">
        <v>40000</v>
      </c>
      <c r="D26" s="10" t="inlineStr">
        <is>
          <t>Constructed: local free-market volume path from the 37.1kt implied for FY2024/25.</t>
        </is>
      </c>
    </row>
    <row r="27" ht="14" customHeight="1">
      <c r="A27" s="7" t="inlineStr">
        <is>
          <t>Local free-market volume — FY2027/28</t>
        </is>
      </c>
      <c r="B27" s="7" t="inlineStr">
        <is>
          <t>tonnes</t>
        </is>
      </c>
      <c r="C27" s="13" t="n">
        <v>41000</v>
      </c>
      <c r="D27" s="10" t="inlineStr">
        <is>
          <t>Constructed: local free-market volume path from the 37.1kt implied for FY2024/25.</t>
        </is>
      </c>
    </row>
    <row r="28" ht="14" customHeight="1">
      <c r="A28" s="7" t="inlineStr">
        <is>
          <t>Local free-market volume — FY2028/29</t>
        </is>
      </c>
      <c r="B28" s="7" t="inlineStr">
        <is>
          <t>tonnes</t>
        </is>
      </c>
      <c r="C28" s="13" t="n">
        <v>42000</v>
      </c>
      <c r="D28" s="10" t="inlineStr">
        <is>
          <t>Constructed: local free-market volume path from the 37.1kt implied for FY2024/25.</t>
        </is>
      </c>
    </row>
    <row r="29" ht="14" customHeight="1">
      <c r="A29" s="7" t="inlineStr">
        <is>
          <t>Local free-market volume — FY2029/30</t>
        </is>
      </c>
      <c r="B29" s="7" t="inlineStr">
        <is>
          <t>tonnes</t>
        </is>
      </c>
      <c r="C29" s="13" t="n">
        <v>43000</v>
      </c>
      <c r="D29" s="10" t="inlineStr">
        <is>
          <t>Constructed: local free-market volume path from the 37.1kt implied for FY2024/25.</t>
        </is>
      </c>
    </row>
    <row r="30" ht="14" customHeight="1">
      <c r="A30" s="7" t="inlineStr">
        <is>
          <t>Local free-market volume — FY2030/31</t>
        </is>
      </c>
      <c r="B30" s="7" t="inlineStr">
        <is>
          <t>tonnes</t>
        </is>
      </c>
      <c r="C30" s="13" t="n">
        <v>44000</v>
      </c>
      <c r="D30" s="10" t="inlineStr">
        <is>
          <t>Constructed: local free-market volume path from the 37.1kt implied for FY2024/25.</t>
        </is>
      </c>
    </row>
    <row r="31"/>
    <row r="32">
      <c r="A32" s="19" t="inlineStr">
        <is>
          <t>PRICES</t>
        </is>
      </c>
    </row>
    <row r="33" ht="36" customHeight="1">
      <c r="A33" s="7" t="inlineStr">
        <is>
          <t>Export urea price — FY2026/27</t>
        </is>
      </c>
      <c r="B33" s="7" t="inlineStr">
        <is>
          <t>US$/tonne</t>
        </is>
      </c>
      <c r="C33" s="20" t="n">
        <v>530</v>
      </c>
      <c r="D33"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4" ht="36" customHeight="1">
      <c r="A34" s="7" t="inlineStr">
        <is>
          <t>Export urea price — FY2027/28</t>
        </is>
      </c>
      <c r="B34" s="7" t="inlineStr">
        <is>
          <t>US$/tonne</t>
        </is>
      </c>
      <c r="C34" s="20" t="n">
        <v>530</v>
      </c>
      <c r="D34"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5" ht="36" customHeight="1">
      <c r="A35" s="7" t="inlineStr">
        <is>
          <t>Export urea price — FY2028/29</t>
        </is>
      </c>
      <c r="B35" s="7" t="inlineStr">
        <is>
          <t>US$/tonne</t>
        </is>
      </c>
      <c r="C35" s="20" t="n">
        <v>530</v>
      </c>
      <c r="D35"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6" ht="36" customHeight="1">
      <c r="A36" s="7" t="inlineStr">
        <is>
          <t>Export urea price — FY2029/30</t>
        </is>
      </c>
      <c r="B36" s="7" t="inlineStr">
        <is>
          <t>US$/tonne</t>
        </is>
      </c>
      <c r="C36" s="20" t="n">
        <v>530</v>
      </c>
      <c r="D36"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7" ht="36" customHeight="1">
      <c r="A37" s="7" t="inlineStr">
        <is>
          <t>Export urea price — FY2030/31</t>
        </is>
      </c>
      <c r="B37" s="7" t="inlineStr">
        <is>
          <t>US$/tonne</t>
        </is>
      </c>
      <c r="C37" s="20" t="n">
        <v>530</v>
      </c>
      <c r="D37" s="10" t="inlineStr">
        <is>
          <t>Held FLAT in nominal dollars at the opening level. No forecast of a traded commodity price is defensible, which is the convention this house applies to the same class of input elsewhere; the previous path fell 17% over five years on a construction nothing sourced.</t>
        </is>
      </c>
    </row>
    <row r="38" ht="14" customHeight="1">
      <c r="A38" s="7" t="inlineStr">
        <is>
          <t>Egyptian pounds per US dollar, spot</t>
        </is>
      </c>
      <c r="B38" s="7" t="inlineStr">
        <is>
          <t>EGP/US$</t>
        </is>
      </c>
      <c r="C38" s="12" t="n">
        <v>49.79</v>
      </c>
      <c r="D38" s="10" t="inlineStr">
        <is>
          <t>Market quote</t>
        </is>
      </c>
    </row>
    <row r="39" ht="14" customHeight="1">
      <c r="A39" s="7" t="inlineStr">
        <is>
          <t>Long-run United States inflation</t>
        </is>
      </c>
      <c r="B39" s="7" t="inlineStr">
        <is>
          <t>%</t>
        </is>
      </c>
      <c r="C39" s="15" t="n">
        <v>0.024</v>
      </c>
      <c r="D39" s="10" t="inlineStr">
        <is>
          <t>Long-run United States inflation, the other leg of the purchasing-power wedge</t>
        </is>
      </c>
    </row>
    <row r="40" ht="24" customHeight="1">
      <c r="A40" s="7" t="inlineStr">
        <is>
          <t>Currency wedge — FY2026/27</t>
        </is>
      </c>
      <c r="B40" s="7" t="inlineStr">
        <is>
          <t>%</t>
        </is>
      </c>
      <c r="C40" s="16">
        <f>(1+'Assumptions'!C84)/(1+'Assumptions'!C39)-1</f>
        <v/>
      </c>
      <c r="D40" s="10" t="inlineStr">
        <is>
          <t>Derived: the relative-purchasing-power depreciation the inflation path implies against long-run US inflation, the SAME wedge that carries the dollar debt in that year</t>
        </is>
      </c>
    </row>
    <row r="41" ht="14" customHeight="1">
      <c r="A41" s="7" t="inlineStr">
        <is>
          <t>Egyptian pounds per US dollar — FY2026/27</t>
        </is>
      </c>
      <c r="B41" s="7" t="inlineStr">
        <is>
          <t>EGP/US$</t>
        </is>
      </c>
      <c r="C41" s="11">
        <f>'Assumptions'!C38*(1+'Assumptions'!C40)</f>
        <v/>
      </c>
      <c r="D41" s="10" t="inlineStr">
        <is>
          <t>Derived: the prior year's rate carried on that year's wedge</t>
        </is>
      </c>
    </row>
    <row r="42" ht="24" customHeight="1">
      <c r="A42" s="7" t="inlineStr">
        <is>
          <t>Currency wedge — FY2027/28</t>
        </is>
      </c>
      <c r="B42" s="7" t="inlineStr">
        <is>
          <t>%</t>
        </is>
      </c>
      <c r="C42" s="16">
        <f>(1+'Assumptions'!C85)/(1+'Assumptions'!C39)-1</f>
        <v/>
      </c>
      <c r="D42" s="10" t="inlineStr">
        <is>
          <t>Derived: the relative-purchasing-power depreciation the inflation path implies against long-run US inflation, the SAME wedge that carries the dollar debt in that year</t>
        </is>
      </c>
    </row>
    <row r="43" ht="14" customHeight="1">
      <c r="A43" s="7" t="inlineStr">
        <is>
          <t>Egyptian pounds per US dollar — FY2027/28</t>
        </is>
      </c>
      <c r="B43" s="7" t="inlineStr">
        <is>
          <t>EGP/US$</t>
        </is>
      </c>
      <c r="C43" s="11">
        <f>'Assumptions'!C41*(1+'Assumptions'!C42)</f>
        <v/>
      </c>
      <c r="D43" s="10" t="inlineStr">
        <is>
          <t>Derived: the prior year's rate carried on that year's wedge</t>
        </is>
      </c>
    </row>
    <row r="44" ht="24" customHeight="1">
      <c r="A44" s="7" t="inlineStr">
        <is>
          <t>Currency wedge — FY2028/29</t>
        </is>
      </c>
      <c r="B44" s="7" t="inlineStr">
        <is>
          <t>%</t>
        </is>
      </c>
      <c r="C44" s="16">
        <f>(1+'Assumptions'!C86)/(1+'Assumptions'!C39)-1</f>
        <v/>
      </c>
      <c r="D44" s="10" t="inlineStr">
        <is>
          <t>Derived: the relative-purchasing-power depreciation the inflation path implies against long-run US inflation, the SAME wedge that carries the dollar debt in that year</t>
        </is>
      </c>
    </row>
    <row r="45" ht="14" customHeight="1">
      <c r="A45" s="7" t="inlineStr">
        <is>
          <t>Egyptian pounds per US dollar — FY2028/29</t>
        </is>
      </c>
      <c r="B45" s="7" t="inlineStr">
        <is>
          <t>EGP/US$</t>
        </is>
      </c>
      <c r="C45" s="11">
        <f>'Assumptions'!C43*(1+'Assumptions'!C44)</f>
        <v/>
      </c>
      <c r="D45" s="10" t="inlineStr">
        <is>
          <t>Derived: the prior year's rate carried on that year's wedge</t>
        </is>
      </c>
    </row>
    <row r="46" ht="24" customHeight="1">
      <c r="A46" s="7" t="inlineStr">
        <is>
          <t>Currency wedge — FY2029/30</t>
        </is>
      </c>
      <c r="B46" s="7" t="inlineStr">
        <is>
          <t>%</t>
        </is>
      </c>
      <c r="C46" s="16">
        <f>(1+'Assumptions'!C87)/(1+'Assumptions'!C39)-1</f>
        <v/>
      </c>
      <c r="D46" s="10" t="inlineStr">
        <is>
          <t>Derived: the relative-purchasing-power depreciation the inflation path implies against long-run US inflation, the SAME wedge that carries the dollar debt in that year</t>
        </is>
      </c>
    </row>
    <row r="47" ht="14" customHeight="1">
      <c r="A47" s="7" t="inlineStr">
        <is>
          <t>Egyptian pounds per US dollar — FY2029/30</t>
        </is>
      </c>
      <c r="B47" s="7" t="inlineStr">
        <is>
          <t>EGP/US$</t>
        </is>
      </c>
      <c r="C47" s="11">
        <f>'Assumptions'!C45*(1+'Assumptions'!C46)</f>
        <v/>
      </c>
      <c r="D47" s="10" t="inlineStr">
        <is>
          <t>Derived: the prior year's rate carried on that year's wedge</t>
        </is>
      </c>
    </row>
    <row r="48" ht="24" customHeight="1">
      <c r="A48" s="7" t="inlineStr">
        <is>
          <t>Currency wedge — FY2030/31</t>
        </is>
      </c>
      <c r="B48" s="7" t="inlineStr">
        <is>
          <t>%</t>
        </is>
      </c>
      <c r="C48" s="16">
        <f>(1+'Assumptions'!C88)/(1+'Assumptions'!C39)-1</f>
        <v/>
      </c>
      <c r="D48" s="10" t="inlineStr">
        <is>
          <t>Derived: the relative-purchasing-power depreciation the inflation path implies against long-run US inflation, the SAME wedge that carries the dollar debt in that year</t>
        </is>
      </c>
    </row>
    <row r="49" ht="14" customHeight="1">
      <c r="A49" s="7" t="inlineStr">
        <is>
          <t>Egyptian pounds per US dollar — FY2030/31</t>
        </is>
      </c>
      <c r="B49" s="7" t="inlineStr">
        <is>
          <t>EGP/US$</t>
        </is>
      </c>
      <c r="C49" s="11">
        <f>'Assumptions'!C47*(1+'Assumptions'!C48)</f>
        <v/>
      </c>
      <c r="D49" s="10" t="inlineStr">
        <is>
          <t>Derived: the prior year's rate carried on that year's wedge</t>
        </is>
      </c>
    </row>
    <row r="50" ht="84" customHeight="1">
      <c r="A50" s="7" t="inlineStr">
        <is>
          <t>Export duty</t>
        </is>
      </c>
      <c r="B50" s="7" t="inlineStr">
        <is>
          <t>% of export value</t>
        </is>
      </c>
      <c r="C50" s="15" t="n">
        <v>0</v>
      </c>
      <c r="D50" s="10" t="inlineStr">
        <is>
          <t>Ministerial Decision 340 of 2026, effective 1 August 2026, cancelling Decisions 190, 203 and 258 of 2026 and ending the 10% ad valorem export levy on nitrogen fertilisers. The Egyptian Customs Authority issued Circular 46 of 2026 to govern shipments whose declarations were opened before the levy ceased, which is the administrative trace a cancellation leaves and a rumour does not. This study strikes on 3 September 2026, so the rate in force at the strike is nil. The superseded chain is registered below with its own dates, because a duty that existed for three months is a fact about this year and the alternatives grid prices its return</t>
        </is>
      </c>
    </row>
    <row r="51" ht="14" customHeight="1">
      <c r="A51" s="7" t="inlineStr">
        <is>
          <t>Subsidised price — FY2026/27</t>
        </is>
      </c>
      <c r="B51" s="7" t="inlineStr">
        <is>
          <t>EGP/tonne</t>
        </is>
      </c>
      <c r="C51" s="13" t="n">
        <v>7526</v>
      </c>
      <c r="D51" s="10" t="inlineStr">
        <is>
          <t>Constructed: administered subsidised price path from the EGP 6,000 cooperative supply price.</t>
        </is>
      </c>
    </row>
    <row r="52" ht="14" customHeight="1">
      <c r="A52" s="7" t="inlineStr">
        <is>
          <t>Subsidised price — FY2027/28</t>
        </is>
      </c>
      <c r="B52" s="7" t="inlineStr">
        <is>
          <t>EGP/tonne</t>
        </is>
      </c>
      <c r="C52" s="13" t="n">
        <v>8429</v>
      </c>
      <c r="D52" s="10" t="inlineStr">
        <is>
          <t>Constructed: administered subsidised price path from the EGP 6,000 cooperative supply price.</t>
        </is>
      </c>
    </row>
    <row r="53" ht="14" customHeight="1">
      <c r="A53" s="7" t="inlineStr">
        <is>
          <t>Subsidised price — FY2028/29</t>
        </is>
      </c>
      <c r="B53" s="7" t="inlineStr">
        <is>
          <t>EGP/tonne</t>
        </is>
      </c>
      <c r="C53" s="13" t="n">
        <v>9272</v>
      </c>
      <c r="D53" s="10" t="inlineStr">
        <is>
          <t>Constructed: administered subsidised price path from the EGP 6,000 cooperative supply price.</t>
        </is>
      </c>
    </row>
    <row r="54" ht="14" customHeight="1">
      <c r="A54" s="7" t="inlineStr">
        <is>
          <t>Subsidised price — FY2029/30</t>
        </is>
      </c>
      <c r="B54" s="7" t="inlineStr">
        <is>
          <t>EGP/tonne</t>
        </is>
      </c>
      <c r="C54" s="13" t="n">
        <v>10106</v>
      </c>
      <c r="D54" s="10" t="inlineStr">
        <is>
          <t>Constructed: administered subsidised price path from the EGP 6,000 cooperative supply price.</t>
        </is>
      </c>
    </row>
    <row r="55" ht="14" customHeight="1">
      <c r="A55" s="7" t="inlineStr">
        <is>
          <t>Subsidised price — FY2030/31</t>
        </is>
      </c>
      <c r="B55" s="7" t="inlineStr">
        <is>
          <t>EGP/tonne</t>
        </is>
      </c>
      <c r="C55" s="13" t="n">
        <v>10915</v>
      </c>
      <c r="D55" s="10" t="inlineStr">
        <is>
          <t>Constructed: administered subsidised price path from the EGP 6,000 cooperative supply price.</t>
        </is>
      </c>
    </row>
    <row r="56" ht="24" customHeight="1">
      <c r="A56" s="7" t="inlineStr">
        <is>
          <t>Local free price as % of export parity</t>
        </is>
      </c>
      <c r="B56" s="7" t="inlineStr">
        <is>
          <t>%</t>
        </is>
      </c>
      <c r="C56" s="15" t="n">
        <v>0.9</v>
      </c>
      <c r="D56" s="10" t="inlineStr">
        <is>
          <t>Constructed: local free-market urea clears at about 90% of export parity, implied by the FY2024/25 note-20 local revenue net of the subsidised and nitrate legs</t>
        </is>
      </c>
    </row>
    <row r="57" ht="24" customHeight="1">
      <c r="A57" s="7" t="inlineStr">
        <is>
          <t>Nitrate volume — FY2026/27</t>
        </is>
      </c>
      <c r="B57" s="7" t="inlineStr">
        <is>
          <t>tonnes</t>
        </is>
      </c>
      <c r="C57" s="13" t="n">
        <v>26000</v>
      </c>
      <c r="D57" s="10" t="inlineStr">
        <is>
          <t>Constructed: nitrate volume path, flat on the FY2024/25 combined granulated and low-density output.</t>
        </is>
      </c>
    </row>
    <row r="58" ht="24" customHeight="1">
      <c r="A58" s="7" t="inlineStr">
        <is>
          <t>Nitrate volume — FY2027/28</t>
        </is>
      </c>
      <c r="B58" s="7" t="inlineStr">
        <is>
          <t>tonnes</t>
        </is>
      </c>
      <c r="C58" s="13" t="n">
        <v>26000</v>
      </c>
      <c r="D58" s="10" t="inlineStr">
        <is>
          <t>Constructed: nitrate volume path, flat on the FY2024/25 combined granulated and low-density output.</t>
        </is>
      </c>
    </row>
    <row r="59" ht="24" customHeight="1">
      <c r="A59" s="7" t="inlineStr">
        <is>
          <t>Nitrate volume — FY2028/29</t>
        </is>
      </c>
      <c r="B59" s="7" t="inlineStr">
        <is>
          <t>tonnes</t>
        </is>
      </c>
      <c r="C59" s="13" t="n">
        <v>26000</v>
      </c>
      <c r="D59" s="10" t="inlineStr">
        <is>
          <t>Constructed: nitrate volume path, flat on the FY2024/25 combined granulated and low-density output.</t>
        </is>
      </c>
    </row>
    <row r="60" ht="24" customHeight="1">
      <c r="A60" s="7" t="inlineStr">
        <is>
          <t>Nitrate volume — FY2029/30</t>
        </is>
      </c>
      <c r="B60" s="7" t="inlineStr">
        <is>
          <t>tonnes</t>
        </is>
      </c>
      <c r="C60" s="13" t="n">
        <v>26000</v>
      </c>
      <c r="D60" s="10" t="inlineStr">
        <is>
          <t>Constructed: nitrate volume path, flat on the FY2024/25 combined granulated and low-density output.</t>
        </is>
      </c>
    </row>
    <row r="61" ht="24" customHeight="1">
      <c r="A61" s="7" t="inlineStr">
        <is>
          <t>Nitrate volume — FY2030/31</t>
        </is>
      </c>
      <c r="B61" s="7" t="inlineStr">
        <is>
          <t>tonnes</t>
        </is>
      </c>
      <c r="C61" s="13" t="n">
        <v>26000</v>
      </c>
      <c r="D61" s="10" t="inlineStr">
        <is>
          <t>Constructed: nitrate volume path, flat on the FY2024/25 combined granulated and low-density output.</t>
        </is>
      </c>
    </row>
    <row r="62" ht="24" customHeight="1">
      <c r="A62" s="7" t="inlineStr">
        <is>
          <t>Nitrate price, FY2024/25 basis</t>
        </is>
      </c>
      <c r="B62" s="7" t="inlineStr">
        <is>
          <t>EGP/tonne</t>
        </is>
      </c>
      <c r="C62" s="13" t="n">
        <v>20000</v>
      </c>
      <c r="D62" s="10" t="inlineStr">
        <is>
          <t>Implied by the note-20 local revenue net of the subsidised and free-market urea legs; indexed forward on the currency</t>
        </is>
      </c>
    </row>
    <row r="63" ht="14" customHeight="1">
      <c r="A63" s="7" t="inlineStr">
        <is>
          <t>Other revenue — FY2026/27</t>
        </is>
      </c>
      <c r="B63" s="7" t="inlineStr">
        <is>
          <t>EGP m</t>
        </is>
      </c>
      <c r="C63" s="20" t="n">
        <v>140</v>
      </c>
      <c r="D63" s="10" t="inlineStr">
        <is>
          <t>Constructed: merchant nitric acid, the ferrosilicon plant's rent and services.</t>
        </is>
      </c>
    </row>
    <row r="64" ht="14" customHeight="1">
      <c r="A64" s="7" t="inlineStr">
        <is>
          <t>Other revenue — FY2027/28</t>
        </is>
      </c>
      <c r="B64" s="7" t="inlineStr">
        <is>
          <t>EGP m</t>
        </is>
      </c>
      <c r="C64" s="20" t="n">
        <v>152</v>
      </c>
      <c r="D64" s="10" t="inlineStr">
        <is>
          <t>Constructed: merchant nitric acid, the ferrosilicon plant's rent and services.</t>
        </is>
      </c>
    </row>
    <row r="65" ht="14" customHeight="1">
      <c r="A65" s="7" t="inlineStr">
        <is>
          <t>Other revenue — FY2028/29</t>
        </is>
      </c>
      <c r="B65" s="7" t="inlineStr">
        <is>
          <t>EGP m</t>
        </is>
      </c>
      <c r="C65" s="20" t="n">
        <v>163</v>
      </c>
      <c r="D65" s="10" t="inlineStr">
        <is>
          <t>Constructed: merchant nitric acid, the ferrosilicon plant's rent and services.</t>
        </is>
      </c>
    </row>
    <row r="66" ht="14" customHeight="1">
      <c r="A66" s="7" t="inlineStr">
        <is>
          <t>Other revenue — FY2029/30</t>
        </is>
      </c>
      <c r="B66" s="7" t="inlineStr">
        <is>
          <t>EGP m</t>
        </is>
      </c>
      <c r="C66" s="20" t="n">
        <v>174</v>
      </c>
      <c r="D66" s="10" t="inlineStr">
        <is>
          <t>Constructed: merchant nitric acid, the ferrosilicon plant's rent and services.</t>
        </is>
      </c>
    </row>
    <row r="67" ht="14" customHeight="1">
      <c r="A67" s="7" t="inlineStr">
        <is>
          <t>Other revenue — FY2030/31</t>
        </is>
      </c>
      <c r="B67" s="7" t="inlineStr">
        <is>
          <t>EGP m</t>
        </is>
      </c>
      <c r="C67" s="20" t="n">
        <v>186</v>
      </c>
      <c r="D67" s="10" t="inlineStr">
        <is>
          <t>Constructed: merchant nitric acid, the ferrosilicon plant's rent and services.</t>
        </is>
      </c>
    </row>
    <row r="68"/>
    <row r="69">
      <c r="A69" s="19" t="inlineStr">
        <is>
          <t>COST STACK — ONE ESCALATOR PER PHYSICAL DRIVER</t>
        </is>
      </c>
    </row>
    <row r="70" ht="48" customHeight="1">
      <c r="A70" s="7" t="inlineStr">
        <is>
          <t>Gas per tonne of ammonia</t>
        </is>
      </c>
      <c r="B70" s="7" t="inlineStr">
        <is>
          <t>m3</t>
        </is>
      </c>
      <c r="C70" s="13" t="n">
        <v>1292</v>
      </c>
      <c r="D70" s="10" t="inlineStr">
        <is>
          <t>Constructed and FLAGGED: the statements give a single materials line and do not split gas from the rest. Gas is set at three quarters of that line, which implies 1,292 m3 per tonne of ammonia — inside the auditor's own disclosed 1,025 to 1,771 range. This is the largest modelled allocation in the study.</t>
        </is>
      </c>
    </row>
    <row r="71" ht="36" customHeight="1">
      <c r="A71" s="7" t="inlineStr">
        <is>
          <t>Realised gas price</t>
        </is>
      </c>
      <c r="B71" s="7" t="inlineStr">
        <is>
          <t>US$/mmBtu</t>
        </is>
      </c>
      <c r="C71" s="12" t="n">
        <v>4.68</v>
      </c>
      <c r="D71" s="10" t="inlineStr">
        <is>
          <t>Constructed: the company's own Q1 disclosure values 31,313,235 m3 of lost gas at EGP 251m, or EGP 8.016/m3, which converts to about US$4.68/mmBtu at the prevailing rate — below the US$5.75 contract price, which the study carries as its downside case</t>
        </is>
      </c>
    </row>
    <row r="72" ht="14" customHeight="1">
      <c r="A72" s="7" t="inlineStr">
        <is>
          <t>Energy conversion</t>
        </is>
      </c>
      <c r="B72" s="7" t="inlineStr">
        <is>
          <t>mmBtu per m3</t>
        </is>
      </c>
      <c r="C72" s="22" t="n">
        <v>0.03531</v>
      </c>
      <c r="D72" s="10" t="inlineStr">
        <is>
          <t>Constructed: standard gross calorific conversion</t>
        </is>
      </c>
    </row>
    <row r="73" ht="24" customHeight="1">
      <c r="A73" s="7" t="inlineStr">
        <is>
          <t>Other materials per tonne of urea</t>
        </is>
      </c>
      <c r="B73" s="7" t="inlineStr">
        <is>
          <t>EGP</t>
        </is>
      </c>
      <c r="C73" s="13" t="n">
        <v>2141.977268521675</v>
      </c>
      <c r="D73" s="10" t="inlineStr">
        <is>
          <t>The FY2024/25 materials line less modelled gas, over urea output: packaging, catalysts and consumable spares</t>
        </is>
      </c>
    </row>
    <row r="74" ht="24" customHeight="1">
      <c r="A74" s="7" t="inlineStr">
        <is>
          <t>Wages in cost of sales, FY2024/25</t>
        </is>
      </c>
      <c r="B74" s="7" t="inlineStr">
        <is>
          <t>EGP m</t>
        </is>
      </c>
      <c r="C74" s="20" t="n">
        <v>212.857</v>
      </c>
      <c r="D74" s="10" t="inlineStr">
        <is>
          <t>Audited financial statements, year ended 30 June 2025 (Central Auditing Organization, report dated 23 September 2025), note 21</t>
        </is>
      </c>
    </row>
    <row r="75" ht="24" customHeight="1">
      <c r="A75" s="7" t="inlineStr">
        <is>
          <t>Purchased services, FY2024/25</t>
        </is>
      </c>
      <c r="B75" s="7" t="inlineStr">
        <is>
          <t>EGP m</t>
        </is>
      </c>
      <c r="C75" s="20" t="n">
        <v>62.557</v>
      </c>
      <c r="D75" s="10" t="inlineStr">
        <is>
          <t>Audited financial statements, year ended 30 June 2025 (Central Auditing Organization, report dated 23 September 2025), note 21</t>
        </is>
      </c>
    </row>
    <row r="76" ht="24" customHeight="1">
      <c r="A76" s="7" t="inlineStr">
        <is>
          <t>Inland freight per export tonne</t>
        </is>
      </c>
      <c r="B76" s="7" t="inlineStr">
        <is>
          <t>EGP</t>
        </is>
      </c>
      <c r="C76" s="13" t="n">
        <v>1741.725316670984</v>
      </c>
      <c r="D76" s="10" t="inlineStr">
        <is>
          <t>Audited financial statements, year ended 30 June 2025 (Central Auditing Organization, report dated 23 September 2025), note 22 freight and commissions over the implied export tonnage</t>
        </is>
      </c>
    </row>
    <row r="77" ht="24" customHeight="1">
      <c r="A77" s="7" t="inlineStr">
        <is>
          <t>Other selling cost, FY2024/25</t>
        </is>
      </c>
      <c r="B77" s="7" t="inlineStr">
        <is>
          <t>EGP m</t>
        </is>
      </c>
      <c r="C77" s="20" t="n">
        <v>176.305</v>
      </c>
      <c r="D77" s="10" t="inlineStr">
        <is>
          <t>Audited financial statements, year ended 30 June 2025 (Central Auditing Organization, report dated 23 September 2025), note 22 selling materials, wages and other selling expense</t>
        </is>
      </c>
    </row>
    <row r="78" ht="24" customHeight="1">
      <c r="A78" s="7" t="inlineStr">
        <is>
          <t>Administrative expense, FY2024/25</t>
        </is>
      </c>
      <c r="B78" s="7" t="inlineStr">
        <is>
          <t>EGP m</t>
        </is>
      </c>
      <c r="C78" s="20" t="n">
        <v>359.624</v>
      </c>
      <c r="D78" s="10" t="inlineStr">
        <is>
          <t>Audited financial statements, year ended 30 June 2025 (Central Auditing Organization, report dated 23 September 2025), income statement</t>
        </is>
      </c>
    </row>
    <row r="79" ht="24" customHeight="1">
      <c r="A79" s="7" t="inlineStr">
        <is>
          <t>Stoppage and abnormal gas cost — FY2026/27</t>
        </is>
      </c>
      <c r="B79" s="7" t="inlineStr">
        <is>
          <t>EGP m</t>
        </is>
      </c>
      <c r="C79" s="20" t="n">
        <v>150</v>
      </c>
      <c r="D79" s="10" t="inlineStr">
        <is>
          <t>Constructed: stoppage and abnormal-gas cost, decaying as supply normalises from the EGP 164.5m charged in FY2024/25.</t>
        </is>
      </c>
    </row>
    <row r="80" ht="24" customHeight="1">
      <c r="A80" s="7" t="inlineStr">
        <is>
          <t>Stoppage and abnormal gas cost — FY2027/28</t>
        </is>
      </c>
      <c r="B80" s="7" t="inlineStr">
        <is>
          <t>EGP m</t>
        </is>
      </c>
      <c r="C80" s="20" t="n">
        <v>120</v>
      </c>
      <c r="D80" s="10" t="inlineStr">
        <is>
          <t>Constructed: stoppage and abnormal-gas cost, decaying as supply normalises from the EGP 164.5m charged in FY2024/25.</t>
        </is>
      </c>
    </row>
    <row r="81" ht="24" customHeight="1">
      <c r="A81" s="7" t="inlineStr">
        <is>
          <t>Stoppage and abnormal gas cost — FY2028/29</t>
        </is>
      </c>
      <c r="B81" s="7" t="inlineStr">
        <is>
          <t>EGP m</t>
        </is>
      </c>
      <c r="C81" s="20" t="n">
        <v>100</v>
      </c>
      <c r="D81" s="10" t="inlineStr">
        <is>
          <t>Constructed: stoppage and abnormal-gas cost, decaying as supply normalises from the EGP 164.5m charged in FY2024/25.</t>
        </is>
      </c>
    </row>
    <row r="82" ht="24" customHeight="1">
      <c r="A82" s="7" t="inlineStr">
        <is>
          <t>Stoppage and abnormal gas cost — FY2029/30</t>
        </is>
      </c>
      <c r="B82" s="7" t="inlineStr">
        <is>
          <t>EGP m</t>
        </is>
      </c>
      <c r="C82" s="20" t="n">
        <v>90</v>
      </c>
      <c r="D82" s="10" t="inlineStr">
        <is>
          <t>Constructed: stoppage and abnormal-gas cost, decaying as supply normalises from the EGP 164.5m charged in FY2024/25.</t>
        </is>
      </c>
    </row>
    <row r="83" ht="24" customHeight="1">
      <c r="A83" s="7" t="inlineStr">
        <is>
          <t>Stoppage and abnormal gas cost — FY2030/31</t>
        </is>
      </c>
      <c r="B83" s="7" t="inlineStr">
        <is>
          <t>EGP m</t>
        </is>
      </c>
      <c r="C83" s="20" t="n">
        <v>80</v>
      </c>
      <c r="D83" s="10" t="inlineStr">
        <is>
          <t>Constructed: stoppage and abnormal-gas cost, decaying as supply normalises from the EGP 164.5m charged in FY2024/25.</t>
        </is>
      </c>
    </row>
    <row r="84" ht="96" customHeight="1">
      <c r="A84" s="7" t="inlineStr">
        <is>
          <t>Egyptian inflation — FY2026/27</t>
        </is>
      </c>
      <c r="B84" s="7" t="inlineStr">
        <is>
          <t>%</t>
        </is>
      </c>
      <c r="C84" s="15" t="n">
        <v>0.14</v>
      </c>
      <c r="D84"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5" ht="96" customHeight="1">
      <c r="A85" s="7" t="inlineStr">
        <is>
          <t>Egyptian inflation — FY2027/28</t>
        </is>
      </c>
      <c r="B85" s="7" t="inlineStr">
        <is>
          <t>%</t>
        </is>
      </c>
      <c r="C85" s="15" t="n">
        <v>0.105</v>
      </c>
      <c r="D85"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6" ht="96" customHeight="1">
      <c r="A86" s="7" t="inlineStr">
        <is>
          <t>Egyptian inflation — FY2028/29</t>
        </is>
      </c>
      <c r="B86" s="7" t="inlineStr">
        <is>
          <t>%</t>
        </is>
      </c>
      <c r="C86" s="15" t="n">
        <v>0.08249999999999999</v>
      </c>
      <c r="D86"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7" ht="96" customHeight="1">
      <c r="A87" s="7" t="inlineStr">
        <is>
          <t>Egyptian inflation — FY2029/30</t>
        </is>
      </c>
      <c r="B87" s="7" t="inlineStr">
        <is>
          <t>%</t>
        </is>
      </c>
      <c r="C87" s="15" t="n">
        <v>0.07250000000000001</v>
      </c>
      <c r="D87"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8" ht="96" customHeight="1">
      <c r="A88" s="7" t="inlineStr">
        <is>
          <t>Egyptian inflation — FY2030/31</t>
        </is>
      </c>
      <c r="B88" s="7" t="inlineStr">
        <is>
          <t>%</t>
        </is>
      </c>
      <c r="C88" s="15" t="n">
        <v>0.07000000000000001</v>
      </c>
      <c r="D88" s="10" t="inlineStr">
        <is>
          <t>DERIVED from the single Egyptian inflation path this series uses for every Egyptian company it values (as of 2026-09-02), mapped onto this company's 30 June fiscal year end: each fiscal year takes half of each of the two calendar years it spans, and beyond the path's last published year its long-run rate. That path is 2026 16.0% / 2027 12.0% / 2028 9.0% / 2029 7.5% / 2030 7.0%. No number here is chosen for this study: a company cannot be valued in an economy the study beside it does not recognise, so no valuation in this series sets an inflation rate of its own. Until 3 September 2026 this array read 10.0 / 7.0 / 6.0 / 5.0 / 5.0 and ended at 5% while the same study already took 7% as the long-run rate.</t>
        </is>
      </c>
    </row>
    <row r="89"/>
    <row r="90">
      <c r="A90" s="19" t="inlineStr">
        <is>
          <t>COST OF CAPITAL</t>
        </is>
      </c>
    </row>
    <row r="91" ht="14" customHeight="1">
      <c r="A91" s="7" t="inlineStr">
        <is>
          <t>Observed ten-year government yield</t>
        </is>
      </c>
      <c r="B91" s="7" t="inlineStr">
        <is>
          <t>%</t>
        </is>
      </c>
      <c r="C91" s="23" t="n">
        <v>0.23</v>
      </c>
      <c r="D91" s="10" t="inlineStr">
        <is>
          <t>Egypt ten-year government bond yield, market quote</t>
        </is>
      </c>
    </row>
    <row r="92" ht="14" customHeight="1">
      <c r="A92" s="7" t="inlineStr">
        <is>
          <t>Sovereign default spread, rating basis</t>
        </is>
      </c>
      <c r="B92" s="7" t="inlineStr">
        <is>
          <t>%</t>
        </is>
      </c>
      <c r="C92" s="23" t="n">
        <v>0.06372478453347744</v>
      </c>
      <c r="D92" s="10" t="inlineStr">
        <is>
          <t>Country risk premium workbook, original file, Egypt row, adjusted default spread</t>
        </is>
      </c>
    </row>
    <row r="93">
      <c r="A93" s="7" t="inlineStr">
        <is>
          <t>Normalised risk-free rate, rating basis</t>
        </is>
      </c>
      <c r="B93" s="7" t="inlineStr">
        <is>
          <t>%</t>
        </is>
      </c>
      <c r="C93" s="16">
        <f>'Assumptions'!C91-'Assumptions'!C92</f>
        <v/>
      </c>
      <c r="D93" s="10" t="inlineStr">
        <is>
          <t>Country risk enters ONCE, through the premium below. Using the raw local yield with a country-loaded premium would charge Egypt's sovereign risk twice.</t>
        </is>
      </c>
    </row>
    <row r="94" ht="14" customHeight="1">
      <c r="A94" s="7" t="inlineStr">
        <is>
          <t>Equity risk premium, rating basis</t>
        </is>
      </c>
      <c r="B94" s="7" t="inlineStr">
        <is>
          <t>%</t>
        </is>
      </c>
      <c r="C94" s="23" t="n">
        <v>0.139376943200201</v>
      </c>
      <c r="D94" s="10" t="inlineStr">
        <is>
          <t>Country risk premium workbook, original file, Egypt row, rating basis total equity risk premium</t>
        </is>
      </c>
    </row>
    <row r="95" ht="14" customHeight="1">
      <c r="A95" s="7" t="inlineStr">
        <is>
          <t>Sovereign default spread, CDS basis</t>
        </is>
      </c>
      <c r="B95" s="7" t="inlineStr">
        <is>
          <t>%</t>
        </is>
      </c>
      <c r="C95" s="23" t="n">
        <v>0.0341</v>
      </c>
      <c r="D95" s="10" t="inlineStr">
        <is>
          <t>Country risk premium workbook, original file, Egypt row, ten-year CDS spread</t>
        </is>
      </c>
    </row>
    <row r="96" ht="36" customHeight="1">
      <c r="A96" s="7" t="inlineStr">
        <is>
          <t>Equity risk premium, CDS basis</t>
        </is>
      </c>
      <c r="B96" s="7" t="inlineStr">
        <is>
          <t>%</t>
        </is>
      </c>
      <c r="C96" s="23" t="n">
        <v>0.0941</v>
      </c>
      <c r="D96" s="10" t="inlineStr">
        <is>
          <t>Country risk premium workbook, original file, Egypt row, equity risk premium based on the sovereign credit default swap. CORRECTED 9 August 2026: the study had 9.4247%, reconstructed from a 3.55% spread the file does not carry. Damodaran's Egypt row reads 3.41% and 9.41%.</t>
        </is>
      </c>
    </row>
    <row r="97" ht="24" customHeight="1">
      <c r="A97" s="7" t="inlineStr">
        <is>
          <t>Beta</t>
        </is>
      </c>
      <c r="B97" s="7" t="inlineStr">
        <is>
          <t>x</t>
        </is>
      </c>
      <c r="C97" s="21" t="n">
        <v>1.01981029917547</v>
      </c>
      <c r="D97" s="10" t="inlineStr">
        <is>
          <t>Own-stock weekly regression, 256 observations over 4.9 years against the published EGX30 index (as of 2026-09-08), R-squared 0.248, standard error 0.191, 90% interval 0.71 to 1.33</t>
        </is>
      </c>
    </row>
    <row r="98">
      <c r="A98" s="10" t="inlineStr">
        <is>
          <t>Normalised risk-free rate, CDS basis — THE CENTRAL</t>
        </is>
      </c>
      <c r="B98" s="7" t="inlineStr">
        <is>
          <t>%</t>
        </is>
      </c>
      <c r="C98" s="16">
        <f>'Assumptions'!C91-'Assumptions'!C95</f>
        <v/>
      </c>
    </row>
    <row r="99" ht="24" customHeight="1">
      <c r="A99" s="10" t="inlineStr">
        <is>
          <t>Equity-to-bond volatility scaling on the default spread</t>
        </is>
      </c>
      <c r="B99" s="7" t="inlineStr">
        <is>
          <t>x</t>
        </is>
      </c>
      <c r="C99" s="24" t="n">
        <v>1.52</v>
      </c>
      <c r="D99" s="10" t="inlineStr">
        <is>
          <t>the ratio of equity volatility to sovereign-bond volatility. It converts a DEBT default spread into the EQUITY country premium, which is the only premium a shareholder is exposed to</t>
        </is>
      </c>
    </row>
    <row r="100">
      <c r="A100" s="10" t="inlineStr">
        <is>
          <t xml:space="preserve">   of which the country premium, rating basis — charged FLAT</t>
        </is>
      </c>
      <c r="B100" s="7" t="inlineStr">
        <is>
          <t>%</t>
        </is>
      </c>
      <c r="C100" s="16">
        <f>'Assumptions'!C92*'Assumptions'!C99</f>
        <v/>
      </c>
    </row>
    <row r="101">
      <c r="A101" s="10" t="inlineStr">
        <is>
          <t xml:space="preserve">   of which the mature equity premium, rating basis</t>
        </is>
      </c>
      <c r="B101" s="7" t="inlineStr">
        <is>
          <t>%</t>
        </is>
      </c>
      <c r="C101" s="16">
        <f>'Assumptions'!C94-'Assumptions'!C100</f>
        <v/>
      </c>
    </row>
    <row r="102">
      <c r="A102" s="10" t="inlineStr">
        <is>
          <t xml:space="preserve">   of which the country premium, CDS basis — charged FLAT</t>
        </is>
      </c>
      <c r="B102" s="7" t="inlineStr">
        <is>
          <t>%</t>
        </is>
      </c>
      <c r="C102" s="16">
        <f>'Assumptions'!C95*'Assumptions'!C99</f>
        <v/>
      </c>
    </row>
    <row r="103">
      <c r="A103" s="10" t="inlineStr">
        <is>
          <t xml:space="preserve">   of which the mature equity premium, CDS basis</t>
        </is>
      </c>
      <c r="B103" s="7" t="inlineStr">
        <is>
          <t>%</t>
        </is>
      </c>
      <c r="C103" s="16">
        <f>'Assumptions'!C96-'Assumptions'!C102</f>
        <v/>
      </c>
    </row>
    <row r="104">
      <c r="A104" s="10" t="inlineStr">
        <is>
          <t>Cost of equity, rating basis — published, not central</t>
        </is>
      </c>
      <c r="B104" s="7" t="inlineStr">
        <is>
          <t>%</t>
        </is>
      </c>
      <c r="C104" s="16">
        <f>'Assumptions'!C93+'Assumptions'!C97*'Assumptions'!C101+'Assumptions'!C100</f>
        <v/>
      </c>
    </row>
    <row r="105">
      <c r="A105" s="7" t="inlineStr">
        <is>
          <t>Cost of equity, CDS basis — THE CENTRAL</t>
        </is>
      </c>
      <c r="B105" s="7" t="inlineStr">
        <is>
          <t>%</t>
        </is>
      </c>
      <c r="C105" s="16">
        <f>'Assumptions'!C98+'Assumptions'!C97*'Assumptions'!C103+'Assumptions'!C102</f>
        <v/>
      </c>
    </row>
    <row r="106" ht="24" customHeight="1">
      <c r="A106" s="7" t="inlineStr">
        <is>
          <t>Cost of debt, local currency</t>
        </is>
      </c>
      <c r="B106" s="7" t="inlineStr">
        <is>
          <t>%</t>
        </is>
      </c>
      <c r="C106" s="23" t="n">
        <v>0.194</v>
      </c>
      <c r="D106" s="10" t="inlineStr">
        <is>
          <t>Constructed: EGP 96,896,001 of interest on the EGP 500,000,000 holding-company facility drawn in FY2024/25 — the company's own latest local borrowing</t>
        </is>
      </c>
    </row>
    <row r="107" ht="14" customHeight="1">
      <c r="A107" s="7" t="inlineStr">
        <is>
          <t>Cost of debt, dollar tranche, in dollars</t>
        </is>
      </c>
      <c r="B107" s="7" t="inlineStr">
        <is>
          <t>%</t>
        </is>
      </c>
      <c r="C107" s="23" t="n">
        <v>0.117</v>
      </c>
      <c r="D107" s="10" t="inlineStr">
        <is>
          <t>Constructed: EGP 1,338.0m of FY2024/25 interest on a mean dollar balance of about US$233m</t>
        </is>
      </c>
    </row>
    <row r="108" ht="60" customHeight="1">
      <c r="A108" s="10" t="inlineStr">
        <is>
          <t>Terminal currency wedge (the same identity, at the terminal inflation)</t>
        </is>
      </c>
      <c r="B108" s="7" t="inlineStr">
        <is>
          <t>%</t>
        </is>
      </c>
      <c r="C108" s="23" t="n">
        <v>0.044921875</v>
      </c>
      <c r="D108" s="10" t="inlineStr">
        <is>
          <t>Constructed: the central bank's LONG-RUN 5% target against about 2.4% in the United States, on the same relative-purchasing-power identity the study states. CORRECTED 9 August 2026: the study previously asserted 4.5% flat while stating a derivation that produces a different number in every year. The wedge is now computed from the identity rather than asserted, and the currency path is built from it year by year.</t>
        </is>
      </c>
    </row>
    <row r="109">
      <c r="A109" s="10" t="inlineStr">
        <is>
          <t>Dollar debt at local-equivalent cost, year one (FY2026/27 wedge)</t>
        </is>
      </c>
      <c r="B109" s="7" t="inlineStr">
        <is>
          <t>%</t>
        </is>
      </c>
      <c r="C109" s="16">
        <f>(1+'Assumptions'!C107)*(1+'Assumptions'!C40)-1</f>
        <v/>
      </c>
    </row>
    <row r="110" ht="24" customHeight="1">
      <c r="A110" s="7" t="inlineStr">
        <is>
          <t>Share of debt in local currency</t>
        </is>
      </c>
      <c r="B110" s="7" t="inlineStr">
        <is>
          <t>%</t>
        </is>
      </c>
      <c r="C110" s="15" t="n">
        <v>0.003139216087432172</v>
      </c>
      <c r="D110" s="10" t="inlineStr">
        <is>
          <t>The pound tranche of the project loan was repaid in June 2024, so the book is almost entirely dollar</t>
        </is>
      </c>
    </row>
    <row r="111">
      <c r="A111" s="7" t="inlineStr">
        <is>
          <t>Blended pre-tax cost of debt</t>
        </is>
      </c>
      <c r="B111" s="7" t="inlineStr">
        <is>
          <t>%</t>
        </is>
      </c>
      <c r="C111" s="16">
        <f>'Assumptions'!C110*'Assumptions'!C106+(1-'Assumptions'!C110)*'Assumptions'!C109</f>
        <v/>
      </c>
    </row>
    <row r="112" ht="24" customHeight="1">
      <c r="A112" s="7" t="inlineStr">
        <is>
          <t>Tax rate</t>
        </is>
      </c>
      <c r="B112" s="7" t="inlineStr">
        <is>
          <t>%</t>
        </is>
      </c>
      <c r="C112" s="15" t="n">
        <v>0.225</v>
      </c>
      <c r="D112" s="10" t="inlineStr">
        <is>
          <t>Audited financial statements, year ended 30 June 2025 (Central Auditing Organization, report dated 23 September 2025), note 5-16 income tax</t>
        </is>
      </c>
    </row>
    <row r="113" ht="14" customHeight="1">
      <c r="A113" s="7" t="inlineStr">
        <is>
          <t>Equity weight</t>
        </is>
      </c>
      <c r="B113" s="7" t="inlineStr">
        <is>
          <t>%</t>
        </is>
      </c>
      <c r="C113" s="15" t="n">
        <v>0.6616480028913871</v>
      </c>
      <c r="D113" s="10" t="inlineStr">
        <is>
          <t>Market-value equity over market-value equity plus debt</t>
        </is>
      </c>
    </row>
    <row r="114" ht="14" customHeight="1">
      <c r="A114" s="7" t="inlineStr">
        <is>
          <t>Debt weight</t>
        </is>
      </c>
      <c r="B114" s="7" t="inlineStr">
        <is>
          <t>%</t>
        </is>
      </c>
      <c r="C114" s="15" t="n">
        <v>0.3383519971086129</v>
      </c>
      <c r="D114" s="10" t="inlineStr">
        <is>
          <t>One less the equity weight</t>
        </is>
      </c>
    </row>
    <row r="115">
      <c r="A115" s="7" t="inlineStr">
        <is>
          <t>Cost of capital, year one</t>
        </is>
      </c>
      <c r="B115" s="7" t="inlineStr">
        <is>
          <t>%</t>
        </is>
      </c>
      <c r="C115" s="16">
        <f>'Assumptions'!C113*'Assumptions'!C105+'Assumptions'!C114*'Assumptions'!C111*(1-'Assumptions'!C112)</f>
        <v/>
      </c>
    </row>
    <row r="116" ht="108" customHeight="1">
      <c r="A116" s="10" t="inlineStr">
        <is>
          <t>Terminal inflation (the same figure terminal growth is set at)</t>
        </is>
      </c>
      <c r="B116" s="7" t="inlineStr">
        <is>
          <t>%</t>
        </is>
      </c>
      <c r="C116" s="15" t="n">
        <v>0.07000000000000001</v>
      </c>
      <c r="D116" s="10" t="inlineStr">
        <is>
          <t>The inflation embedded in the TERMINAL discount rate, taken from the house macro path and NOT typed here — the SAME figure terminal growth is set at, so the two cannot drift apart. (This sentence previously described the value as 5%, the central bank's Q4-2028 target, while the path supplies 7%: a 7% value carrying a 5% justification, which is exactly the kind of unfalsifiable typed rate this series does not permit. The value has always come from the path; only the sentence was wrong.) CORRECTED 1 September 2026: the 08-08-2026 edition built the terminal risk-free rate on the 7% Q4-2026 target while growing the perpetuity at 5%, a perpetual real decline of about 2% a year that no disclosure supports (the same defect the AMOC review found, L-055). Terminal growth, the terminal risk-free rate and the terminal currency wedge now share one inflation.</t>
        </is>
      </c>
    </row>
    <row r="117" ht="24" customHeight="1">
      <c r="A117" s="7" t="inlineStr">
        <is>
          <t>Long-run real rate</t>
        </is>
      </c>
      <c r="B117" s="7" t="inlineStr">
        <is>
          <t>%</t>
        </is>
      </c>
      <c r="C117" s="15" t="n">
        <v>0.02</v>
      </c>
      <c r="D117" s="10" t="inlineStr">
        <is>
          <t>The house real-rate convention, used to build the terminal risk-free rate from its own components rather than from a spot yield</t>
        </is>
      </c>
    </row>
    <row r="118">
      <c r="A118" s="10" t="inlineStr">
        <is>
          <t>Terminal normalised risk-free rate — terminal inflation plus the long-run real rate, on the house macro path's own construction</t>
        </is>
      </c>
      <c r="B118" s="7" t="inlineStr">
        <is>
          <t>%</t>
        </is>
      </c>
      <c r="C118" s="16">
        <f>'Assumptions'!C116+'Assumptions'!C117</f>
        <v/>
      </c>
    </row>
    <row r="119" ht="14" customHeight="1">
      <c r="A119" s="7" t="inlineStr">
        <is>
          <t>Long-run dollar cost of debt</t>
        </is>
      </c>
      <c r="B119" s="7" t="inlineStr">
        <is>
          <t>%</t>
        </is>
      </c>
      <c r="C119" s="23" t="n">
        <v>0.09</v>
      </c>
      <c r="D119" s="10" t="inlineStr">
        <is>
          <t>Constructed: long-run corporate dollar cost of debt</t>
        </is>
      </c>
    </row>
    <row r="120">
      <c r="A120" s="7" t="inlineStr">
        <is>
          <t>Terminal cost of debt, local-equivalent</t>
        </is>
      </c>
      <c r="B120" s="7" t="inlineStr">
        <is>
          <t>%</t>
        </is>
      </c>
      <c r="C120" s="16">
        <f>'Assumptions'!C110*'Assumptions'!C106+(1-'Assumptions'!C110)*((1+'Assumptions'!C119)*(1+'Assumptions'!C108)-1)</f>
        <v/>
      </c>
    </row>
    <row r="121">
      <c r="A121" s="7" t="inlineStr">
        <is>
          <t>TERMINAL COST OF CAPITAL</t>
        </is>
      </c>
      <c r="B121" s="7" t="inlineStr">
        <is>
          <t>%</t>
        </is>
      </c>
      <c r="C121" s="16">
        <f>'Assumptions'!C113*('Assumptions'!C118+'Assumptions'!C97*'Assumptions'!C103+'Assumptions'!C102)+'Assumptions'!C114*'Assumptions'!C120*(1-'Assumptions'!C112)</f>
        <v/>
      </c>
    </row>
    <row r="122" ht="72" customHeight="1">
      <c r="A122" s="7" t="inlineStr">
        <is>
          <t>Terminal growth</t>
        </is>
      </c>
      <c r="B122" s="7" t="inlineStr">
        <is>
          <t>%</t>
        </is>
      </c>
      <c r="C122" s="15" t="n">
        <v>0.07000000000000006</v>
      </c>
      <c r="D122" s="10" t="inlineStr">
        <is>
          <t>Terminal growth from the house macro path: terminal inflation plus a STATED real growth of zero, so the real assumption is written down rather than inferred from the gap to the discount rate. It was 5% (+/-2) for Q4 2028. CORRECTED 9 August 2026 after external critique: the study previously used the 7% Q4-2026 target, which expires one quarter after the anchor date, as a perpetuity anchor -- and then defended it by calling 5% 'below the target', inverting the central bank's own target structure. A perpetuity takes the longest-horizon target there is.</t>
        </is>
      </c>
    </row>
    <row r="123" ht="132" customHeight="1">
      <c r="A123" s="7" t="inlineStr">
        <is>
          <t>Average age of the fixed-asset base — MEASURED</t>
        </is>
      </c>
      <c r="B123" s="7" t="inlineStr">
        <is>
          <t>years</t>
        </is>
      </c>
      <c r="C123" s="12" t="n">
        <v>4.454408352548927</v>
      </c>
      <c r="D123" s="10" t="inlineStr">
        <is>
          <t>DERIVED BY IDENTITY, labelled as derived: accumulated depreciation over the year's own charge. Under straight-line depreciation accumulated equals age times charge, so the ratio is the charge-weighted average age of the base. THE THREE CONDITIONS THAT BREAK THAT IDENTITY ARE CHECKED AND CLEAR HERE. There is no residual value: the policy note writes off cost over the useful life and mentions none. No useful life has been reassessed: the disclosed rates are unchanged from the prior year's identical table. And the base was not assembled by acquisition — it is one plant, built and extended by this company. The corroboration is that only EGP 220mn, 1.3% of the base, is fully depreciated and still in production, so almost nothing is past its accounting life and the gross-over-charge life below reads close to a true weighted life rather than a longer economic cycle. 4.45 years against the 11.04 that half of that life would assume: this plant was rebuilt recently and has another complex still under construction.</t>
        </is>
      </c>
    </row>
    <row r="124" ht="84" customHeight="1">
      <c r="A124" s="7" t="inlineStr">
        <is>
          <t>Replacement cycle the accounts imply</t>
        </is>
      </c>
      <c r="B124" s="7" t="inlineStr">
        <is>
          <t>years</t>
        </is>
      </c>
      <c r="C124" s="12" t="n">
        <v>22.07019266619699</v>
      </c>
      <c r="D124" s="10" t="inlineStr">
        <is>
          <t>DERIVED BY IDENTITY, labelled as derived: the depreciable gross cost — cost less land, which is never depreciated — over the year's own charge. It is the replacement cycle the accounts themselves run, and it sits inside the disclosed range: note 5-2 gives 3.95% on the urea and ammonia machinery (25.3 years), 9.5% on the factories (10.5), 6.5% on the workshops (15.4), 6% on the factory buildings (16.7), 2 to 5% on the residential city and the water and sewage pipes (20 to 50) and 4.75% on the intangible (21.1). A weighted life cannot be read off the note because it publishes no class balances, so the identity supplies one and the disclosed range is what checks it.</t>
        </is>
      </c>
    </row>
    <row r="125"/>
    <row r="126">
      <c r="A126" s="19" t="inlineStr">
        <is>
          <t>CAPITAL, WORKING CAPITAL AND THE PROJECT</t>
        </is>
      </c>
    </row>
    <row r="127" ht="24" customHeight="1">
      <c r="A127" s="7" t="inlineStr">
        <is>
          <t>Depreciation charge, FY2024/25</t>
        </is>
      </c>
      <c r="B127" s="7" t="inlineStr">
        <is>
          <t>EGP m</t>
        </is>
      </c>
      <c r="C127" s="20" t="n">
        <v>771.213</v>
      </c>
      <c r="D127" s="10" t="inlineStr">
        <is>
          <t>Audited financial statements, year ended 30 June 2025 (Central Auditing Organization, report dated 23 September 2025), note 6 fixed-asset register</t>
        </is>
      </c>
    </row>
    <row r="128" ht="24" customHeight="1">
      <c r="A128" s="7" t="inlineStr">
        <is>
          <t>Amortisation, FY2024/25</t>
        </is>
      </c>
      <c r="B128" s="7" t="inlineStr">
        <is>
          <t>EGP m</t>
        </is>
      </c>
      <c r="C128" s="20" t="n">
        <v>119.378</v>
      </c>
      <c r="D128" s="10" t="inlineStr">
        <is>
          <t>Audited financial statements, year ended 30 June 2025 (Central Auditing Organization, report dated 23 September 2025), note 10 usufruct intangible</t>
        </is>
      </c>
    </row>
    <row r="129" ht="60" customHeight="1">
      <c r="A129" s="7" t="inlineStr">
        <is>
          <t>Project capital expenditure — FY2026/27</t>
        </is>
      </c>
      <c r="B129" s="7" t="inlineStr">
        <is>
          <t>EGP m</t>
        </is>
      </c>
      <c r="C129" s="14">
        <f>'Cash Flow'!B30</f>
        <v/>
      </c>
      <c r="D129"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0" ht="60" customHeight="1">
      <c r="A130" s="7" t="inlineStr">
        <is>
          <t>Project capital expenditure — FY2027/28</t>
        </is>
      </c>
      <c r="B130" s="7" t="inlineStr">
        <is>
          <t>EGP m</t>
        </is>
      </c>
      <c r="C130" s="13" t="n">
        <v>3100</v>
      </c>
      <c r="D130"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1" ht="60" customHeight="1">
      <c r="A131" s="7" t="inlineStr">
        <is>
          <t>Project capital expenditure — FY2028/29</t>
        </is>
      </c>
      <c r="B131" s="7" t="inlineStr">
        <is>
          <t>EGP m</t>
        </is>
      </c>
      <c r="C131" s="13" t="n">
        <v>3300</v>
      </c>
      <c r="D131"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2" ht="60" customHeight="1">
      <c r="A132" s="7" t="inlineStr">
        <is>
          <t>Project capital expenditure — FY2029/30</t>
        </is>
      </c>
      <c r="B132" s="7" t="inlineStr">
        <is>
          <t>EGP m</t>
        </is>
      </c>
      <c r="C132" s="13" t="n">
        <v>3200</v>
      </c>
      <c r="D132"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3" ht="60" customHeight="1">
      <c r="A133" s="7" t="inlineStr">
        <is>
          <t>Project capital expenditure — FY2030/31</t>
        </is>
      </c>
      <c r="B133" s="7" t="inlineStr">
        <is>
          <t>EGP m</t>
        </is>
      </c>
      <c r="C133" s="14">
        <f>'Cash Flow'!D34-(C129+C130+C131+C132)</f>
        <v/>
      </c>
      <c r="D133" s="10" t="inlineStr">
        <is>
          <t>Constructed: project spending path, RE-ANCHORED 9 August 2026 on the observed run rate. The first year is the company's own nine-month actual extended to a full year (EGP 1,949.1m x 4/3 = EGP 2,598.8m); the remaining years complete the EGP 14,688m still to spend against the bank-approved cost. The first issue opened at EGP 3,000m, above anything the company has actually spent in a year.</t>
        </is>
      </c>
    </row>
    <row r="134" ht="24" customHeight="1">
      <c r="A134" s="7" t="inlineStr">
        <is>
          <t>Depreciation escalation on the existing base</t>
        </is>
      </c>
      <c r="B134" s="7" t="inlineStr">
        <is>
          <t>per year</t>
        </is>
      </c>
      <c r="C134" s="15" t="n">
        <v>0.02</v>
      </c>
      <c r="D134" s="10" t="inlineStr">
        <is>
          <t>Constructed: escalation on the existing depreciation base, reflecting ordinary additions to the plant already in service</t>
        </is>
      </c>
    </row>
    <row r="135" ht="24" customHeight="1">
      <c r="A135" s="7" t="inlineStr">
        <is>
          <t>Depreciation rate on the new complex</t>
        </is>
      </c>
      <c r="B135" s="7" t="inlineStr">
        <is>
          <t>per year</t>
        </is>
      </c>
      <c r="C135" s="23" t="n">
        <v>0.0395</v>
      </c>
      <c r="D135" s="10" t="inlineStr">
        <is>
          <t>Audited financial statements, year ended 30 June 2025 (Central Auditing Organization, report dated 23 September 2025), note 5-2 depreciation rates</t>
        </is>
      </c>
    </row>
    <row r="136" ht="48" customHeight="1">
      <c r="A136" s="7" t="inlineStr">
        <is>
          <t>New complex nameplate</t>
        </is>
      </c>
      <c r="B136" s="7" t="inlineStr">
        <is>
          <t>tonnes/day</t>
        </is>
      </c>
      <c r="C136" s="13" t="n">
        <v>800</v>
      </c>
      <c r="D136"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37" ht="24" customHeight="1">
      <c r="A137" s="7" t="inlineStr">
        <is>
          <t>Operating days a year</t>
        </is>
      </c>
      <c r="B137" s="7" t="inlineStr">
        <is>
          <t>days</t>
        </is>
      </c>
      <c r="C137" s="13" t="n">
        <v>330</v>
      </c>
      <c r="D137" s="10" t="inlineStr">
        <is>
          <t>Constructed: operating days a year for a continuous nitrate line, net of the turnaround the company takes annually</t>
        </is>
      </c>
    </row>
    <row r="138" ht="48" customHeight="1">
      <c r="A138" s="10" t="inlineStr">
        <is>
          <t>Steady-state depreciation wedge in the terminal year</t>
        </is>
      </c>
      <c r="B138" s="7" t="inlineStr">
        <is>
          <t>ratio</t>
        </is>
      </c>
      <c r="C138" s="15" t="n">
        <v>0.025390625</v>
      </c>
      <c r="D138" s="10" t="inlineStr">
        <is>
          <t>DERIVED: the steady-state currency depreciation the terminal inflation (5%) implies against long-run US inflation (2.4%) on the relative purchasing-power identity — the same wedge that carries the dollar debt in the terminal year. RE-SET 1 September 2026 from a typed 2.5% so that the terminal currency, the terminal cost of debt and the last explicit year share one number.</t>
        </is>
      </c>
    </row>
    <row r="139" ht="24" customHeight="1">
      <c r="A139" s="10" t="inlineStr">
        <is>
          <t>The complex is completed and in service (1 = yes)</t>
        </is>
      </c>
      <c r="B139" s="7" t="inlineStr">
        <is>
          <t>switch</t>
        </is>
      </c>
      <c r="C139" s="13" t="n">
        <v>1</v>
      </c>
      <c r="D139" s="10" t="inlineStr">
        <is>
          <t>Case switch. Zero in the capital-discipline column, where the plant is never finished and therefore never depreciated.</t>
        </is>
      </c>
    </row>
    <row r="140" ht="36" customHeight="1">
      <c r="A140" s="7" t="inlineStr">
        <is>
          <t>Approved cost of the new complex</t>
        </is>
      </c>
      <c r="B140" s="7" t="inlineStr">
        <is>
          <t>EGP m</t>
        </is>
      </c>
      <c r="C140" s="13" t="n">
        <v>20341.668</v>
      </c>
      <c r="D140" s="10" t="inlineStr">
        <is>
          <t>Audited financial statements, year ended 30 June 2025 (Central Auditing Organization, report dated 23 September 2025), note 18-3 — bank-approved investment cost, agreement of 25 June 2025; dual-currency tranches at the approval rate</t>
        </is>
      </c>
    </row>
    <row r="141" ht="72" customHeight="1">
      <c r="A141" s="7" t="inlineStr">
        <is>
          <t>Maintenance capital expenditure</t>
        </is>
      </c>
      <c r="B141" s="7" t="inlineStr">
        <is>
          <t>% of revenue</t>
        </is>
      </c>
      <c r="C141" s="9">
        <f>'Cash Flow'!D28</f>
        <v/>
      </c>
      <c r="D141" s="10" t="inlineStr">
        <is>
          <t>Maintenance capital expenditure as a share of revenue, RE-ANCHORED 9 August 2026 on the company's OWN pre-project cash-flow statements: EGP 123.3m spent across FY2021/22 and FY2022/23 on EGP 11,052.9m of revenue. The first issue of this study used a 3.0% mature-plant standard instead, which is 2.7 times what this company has ever spent to keep its plant running, and which no disclosure supports. The replacement-rate framing (gross fixed assets at the disclosed 3.95% machinery rate, 6.11% of revenue) is carried as the published alternative and as the downside case.</t>
        </is>
      </c>
    </row>
    <row r="142" ht="36" customHeight="1">
      <c r="A142" s="7" t="inlineStr">
        <is>
          <t>Wind-down cost if the programme is stopped</t>
        </is>
      </c>
      <c r="B142" s="7" t="inlineStr">
        <is>
          <t>EGP m</t>
        </is>
      </c>
      <c r="C142" s="13" t="n">
        <v>1000</v>
      </c>
      <c r="D142" s="10" t="inlineStr">
        <is>
          <t>Constructed: capital-discipline case only: the cost of stopping the programme in the first forecast year — contract settlement and site preservation. No filing states it; it is the study's estimate and is flagged.</t>
        </is>
      </c>
    </row>
    <row r="143" ht="24" customHeight="1">
      <c r="A143" s="7" t="inlineStr">
        <is>
          <t>Ammonia per tonne of nitrate</t>
        </is>
      </c>
      <c r="B143" s="7" t="inlineStr">
        <is>
          <t>tonnes</t>
        </is>
      </c>
      <c r="C143" s="12" t="n">
        <v>0.43</v>
      </c>
      <c r="D143" s="10" t="inlineStr">
        <is>
          <t>Constructed: ammonia per tonne of ammonium nitrate through the nitric-acid route plus direct neutralisation</t>
        </is>
      </c>
    </row>
    <row r="144" ht="40" customHeight="1">
      <c r="A144" s="7" t="inlineStr">
        <is>
          <t>Project nameplate (derived, not disclosed)</t>
        </is>
      </c>
      <c r="B144" s="7" t="inlineStr">
        <is>
          <t>tonnes/year</t>
        </is>
      </c>
      <c r="C144" s="14">
        <f>'Assumptions'!C136*'Assumptions'!C137</f>
        <v/>
      </c>
      <c r="D144" s="10" t="inlineStr">
        <is>
          <t>EPC award for this plant (Tecnimont S.p.A. with Orascom Construction, announced 9 June 2023): 600 t/day nitric acid converted to 800 t/day of fertilizer-grade granulated ammonium nitrate. FOUND BY EXTERNAL CRITIQUE 9 August 2026 -- the study had said 'no filing states it' and derived the plate from the ammonia surplus instead.</t>
        </is>
      </c>
    </row>
    <row r="145" ht="40" customHeight="1">
      <c r="A145" s="10" t="inlineStr">
        <is>
          <t>Cross-check: nameplate derived from the ammonia surplus</t>
        </is>
      </c>
      <c r="B145" s="7" t="inlineStr">
        <is>
          <t>tonnes/year</t>
        </is>
      </c>
      <c r="C145" s="14">
        <f>('Assumptions'!C14-'Assumptions'!C13*'Assumptions'!C15)/'Assumptions'!C143</f>
        <v/>
      </c>
      <c r="D145" s="10" t="inlineStr">
        <is>
          <t>The construction the study used before the engineering award was found. Retained as a cross-check on the disclosed plate, not as the plate itself.</t>
        </is>
      </c>
    </row>
    <row r="146" ht="14" customHeight="1">
      <c r="A146" s="7" t="inlineStr">
        <is>
          <t>Project utilisation in the terminal year</t>
        </is>
      </c>
      <c r="B146" s="7" t="inlineStr">
        <is>
          <t>%</t>
        </is>
      </c>
      <c r="C146" s="15" t="n">
        <v>0.5</v>
      </c>
      <c r="D146" s="10" t="inlineStr">
        <is>
          <t>Constructed: project utilisation in the terminal year, central case</t>
        </is>
      </c>
    </row>
    <row r="147" ht="14" customHeight="1">
      <c r="A147" s="10" t="inlineStr">
        <is>
          <t>Nitrate price — the company's own disclosed realisation, carried on the currency</t>
        </is>
      </c>
      <c r="B147" s="7" t="inlineStr">
        <is>
          <t>US$/tonne equivalent</t>
        </is>
      </c>
      <c r="C147" s="13" t="n">
        <v>408.1632653061225</v>
      </c>
      <c r="D147" s="10" t="inlineStr">
        <is>
          <t>reviewed interims, note 20 — EGP 20,000/t realised</t>
        </is>
      </c>
    </row>
    <row r="148" ht="14" customHeight="1">
      <c r="A148" s="7" t="inlineStr">
        <is>
          <t>Project cash margin</t>
        </is>
      </c>
      <c r="B148" s="7" t="inlineStr">
        <is>
          <t>% of revenue</t>
        </is>
      </c>
      <c r="C148" s="15" t="n">
        <v>0.32</v>
      </c>
      <c r="D148" s="10" t="inlineStr">
        <is>
          <t>Constructed: conversion margin on ammonium nitrate over its own ammonia feedstock</t>
        </is>
      </c>
    </row>
    <row r="149" ht="14" customHeight="1">
      <c r="A149" s="7" t="inlineStr">
        <is>
          <t>Days sales outstanding</t>
        </is>
      </c>
      <c r="B149" s="7" t="inlineStr">
        <is>
          <t>days</t>
        </is>
      </c>
      <c r="C149" s="20" t="n">
        <v>26.77469536556713</v>
      </c>
      <c r="D149" s="10" t="inlineStr">
        <is>
          <t>Constructed: FY2024/25 receivables over revenue</t>
        </is>
      </c>
    </row>
    <row r="150" ht="14" customHeight="1">
      <c r="A150" s="7" t="inlineStr">
        <is>
          <t>Days inventory outstanding</t>
        </is>
      </c>
      <c r="B150" s="7" t="inlineStr">
        <is>
          <t>days</t>
        </is>
      </c>
      <c r="C150" s="20" t="n">
        <v>165.2475279747788</v>
      </c>
      <c r="D150" s="10" t="inlineStr">
        <is>
          <t>Constructed: FY2024/25 inventory over cost of sales</t>
        </is>
      </c>
    </row>
    <row r="151" ht="14" customHeight="1">
      <c r="A151" s="7" t="inlineStr">
        <is>
          <t>Days payable outstanding</t>
        </is>
      </c>
      <c r="B151" s="7" t="inlineStr">
        <is>
          <t>days</t>
        </is>
      </c>
      <c r="C151" s="20" t="n">
        <v>83.17161071710899</v>
      </c>
      <c r="D151" s="10" t="inlineStr">
        <is>
          <t>Constructed: FY2024/25 payables over cost of sales</t>
        </is>
      </c>
    </row>
  </sheetData>
  <pageMargins left="0.3" right="0.3"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3"/>
  <sheetViews>
    <sheetView workbookViewId="0">
      <selection activeCell="A1" sqref="A1"/>
    </sheetView>
  </sheetViews>
  <sheetFormatPr baseColWidth="8" defaultRowHeight="15"/>
  <cols>
    <col width="40" customWidth="1" min="1" max="1"/>
    <col width="18" customWidth="1" min="2" max="2"/>
    <col width="18" customWidth="1" min="3" max="3"/>
    <col width="56" customWidth="1" min="4" max="4"/>
  </cols>
  <sheetData>
    <row r="1">
      <c r="A1" s="5" t="inlineStr">
        <is>
          <t>ENTERPRISE VALUE TO EQUITY — THE BRIDGE, BOTH SIDES OF THE JUDGEMENT</t>
        </is>
      </c>
    </row>
    <row r="2" ht="30" customHeight="1">
      <c r="A2" s="4" t="inlineStr">
        <is>
          <t>This company has one operating business, so there are no parts to sum. What the bridge does carry is the non-operating stack and the net debt, and it carries them for both sides of the contested judgement.</t>
        </is>
      </c>
    </row>
    <row r="3"/>
    <row r="4">
      <c r="A4" s="6" t="inlineStr">
        <is>
          <t>Component</t>
        </is>
      </c>
      <c r="B4" s="6" t="inlineStr">
        <is>
          <t>Programme carried through (EGP m)</t>
        </is>
      </c>
      <c r="C4" s="6" t="inlineStr">
        <is>
          <t>Programme stopped (EGP m)</t>
        </is>
      </c>
      <c r="D4" s="6" t="inlineStr">
        <is>
          <t>Source</t>
        </is>
      </c>
    </row>
    <row r="5" ht="26" customHeight="1">
      <c r="A5" s="7" t="inlineStr">
        <is>
          <t>Present value of the explicit window</t>
        </is>
      </c>
      <c r="B5" s="25">
        <f>'DCF'!B36</f>
        <v/>
      </c>
      <c r="C5" s="25">
        <f>'DCF'!D36</f>
        <v/>
      </c>
      <c r="D5" s="10" t="inlineStr">
        <is>
          <t>Five years of free cash flow to the firm, discounted on the glide</t>
        </is>
      </c>
    </row>
    <row r="6" ht="26" customHeight="1">
      <c r="A6" s="7" t="inlineStr">
        <is>
          <t>Present value of the terminal value</t>
        </is>
      </c>
      <c r="B6" s="25">
        <f>'DCF'!B33</f>
        <v/>
      </c>
      <c r="C6" s="25">
        <f>'DCF'!D33</f>
        <v/>
      </c>
      <c r="D6" s="10" t="inlineStr">
        <is>
          <t>The perpetuity, capitalised at the terminal cost of capital</t>
        </is>
      </c>
    </row>
    <row r="7" ht="26" customHeight="1">
      <c r="A7" s="7" t="inlineStr">
        <is>
          <t>Enterprise value</t>
        </is>
      </c>
      <c r="B7" s="25">
        <f>'DCF'!B37</f>
        <v/>
      </c>
      <c r="C7" s="25">
        <f>'DCF'!D37</f>
        <v/>
      </c>
      <c r="D7" s="10" t="inlineStr"/>
    </row>
    <row r="8" ht="26" customHeight="1">
      <c r="A8" s="10" t="inlineStr">
        <is>
          <t>Terminal value as a share of enterprise value</t>
        </is>
      </c>
      <c r="B8" s="26">
        <f>'DCF'!B38</f>
        <v/>
      </c>
      <c r="C8" s="26">
        <f>'DCF'!D38</f>
        <v/>
      </c>
      <c r="D8" s="10" t="inlineStr">
        <is>
          <t>Reported because on this company it is the number that decides the answer</t>
        </is>
      </c>
    </row>
    <row r="9" ht="26" customHeight="1">
      <c r="A9" s="7" t="inlineStr">
        <is>
          <t>Less net debt</t>
        </is>
      </c>
      <c r="B9" s="25">
        <f>-'DCF'!B41</f>
        <v/>
      </c>
      <c r="C9" s="25">
        <f>-'DCF'!D41</f>
        <v/>
      </c>
      <c r="D9" s="10" t="inlineStr">
        <is>
          <t>Gross debt less cash at 31 March 2026</t>
        </is>
      </c>
    </row>
    <row r="10" ht="26" customHeight="1">
      <c r="A10" s="7" t="inlineStr">
        <is>
          <t>Plus listed equity stakes at market</t>
        </is>
      </c>
      <c r="B10" s="25">
        <f>'DCF'!B42</f>
        <v/>
      </c>
      <c r="C10" s="25">
        <f>'DCF'!D42</f>
        <v/>
      </c>
      <c r="D10" s="10" t="inlineStr">
        <is>
          <t>Remaining holdings after the partial disposal in the first half</t>
        </is>
      </c>
    </row>
    <row r="11" ht="26" customHeight="1">
      <c r="A11" s="7" t="inlineStr">
        <is>
          <t>Plus investment property</t>
        </is>
      </c>
      <c r="B11" s="25">
        <f>'DCF'!B43</f>
        <v/>
      </c>
      <c r="C11" s="25">
        <f>'DCF'!D43</f>
        <v/>
      </c>
      <c r="D11" s="10" t="inlineStr">
        <is>
          <t>Carried at the revalued amount in the statements</t>
        </is>
      </c>
    </row>
    <row r="12" ht="26" customHeight="1">
      <c r="A12" s="7" t="inlineStr">
        <is>
          <t>Equity value</t>
        </is>
      </c>
      <c r="B12" s="25">
        <f>'DCF'!B45</f>
        <v/>
      </c>
      <c r="C12" s="25">
        <f>'DCF'!D45</f>
        <v/>
      </c>
      <c r="D12" s="10" t="inlineStr"/>
    </row>
    <row r="13" ht="26" customHeight="1">
      <c r="A13" s="7" t="inlineStr">
        <is>
          <t>Value per share (EGP)</t>
        </is>
      </c>
      <c r="B13" s="8">
        <f>'DCF'!B44</f>
        <v/>
      </c>
      <c r="C13" s="8">
        <f>'DCF'!D44</f>
        <v/>
      </c>
      <c r="D13" s="10" t="inlineStr"/>
    </row>
  </sheetData>
  <pageMargins left="0.3" right="0.3"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37"/>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5" t="inlineStr">
        <is>
          <t>SEGMENTS — THE UNIT BUILD, TONNES TIMES PRICE</t>
        </is>
      </c>
    </row>
    <row r="2" ht="30" customHeight="1">
      <c r="A2" s="4" t="inlineStr">
        <is>
          <t>The company reports one operating segment, so the build goes below it to the product and the channel, which is the finest level the statements source.</t>
        </is>
      </c>
    </row>
    <row r="3"/>
    <row r="4">
      <c r="A4" s="6" t="inlineStr">
        <is>
          <t>Tonnes and prices</t>
        </is>
      </c>
      <c r="B4" s="6" t="inlineStr">
        <is>
          <t>FY2026/27</t>
        </is>
      </c>
      <c r="C4" s="6" t="inlineStr">
        <is>
          <t>FY2027/28</t>
        </is>
      </c>
      <c r="D4" s="6" t="inlineStr">
        <is>
          <t>FY2028/29</t>
        </is>
      </c>
      <c r="E4" s="6" t="inlineStr">
        <is>
          <t>FY2029/30</t>
        </is>
      </c>
      <c r="F4" s="6" t="inlineStr">
        <is>
          <t>FY2030/31</t>
        </is>
      </c>
    </row>
    <row r="5">
      <c r="A5" s="7" t="inlineStr">
        <is>
          <t>Urea production (tonnes)</t>
        </is>
      </c>
      <c r="B5" s="14">
        <f>'Assumptions'!C13*'Assumptions'!C16</f>
        <v/>
      </c>
      <c r="C5" s="14">
        <f>'Assumptions'!C13*'Assumptions'!C17</f>
        <v/>
      </c>
      <c r="D5" s="14">
        <f>'Assumptions'!C13*'Assumptions'!C18</f>
        <v/>
      </c>
      <c r="E5" s="14">
        <f>'Assumptions'!C13*'Assumptions'!C19</f>
        <v/>
      </c>
      <c r="F5" s="14">
        <f>'Assumptions'!C13*'Assumptions'!C20</f>
        <v/>
      </c>
    </row>
    <row r="6">
      <c r="A6" s="10" t="inlineStr">
        <is>
          <t>Ammonia produced, capped at the design plate</t>
        </is>
      </c>
      <c r="B6" s="14">
        <f>MIN(B5*'Assumptions'!C15,'Assumptions'!C14)</f>
        <v/>
      </c>
      <c r="C6" s="14">
        <f>MIN(C5*'Assumptions'!C15,'Assumptions'!C14)</f>
        <v/>
      </c>
      <c r="D6" s="14">
        <f>MIN(D5*'Assumptions'!C15,'Assumptions'!C14)</f>
        <v/>
      </c>
      <c r="E6" s="14">
        <f>MIN(E5*'Assumptions'!C15,'Assumptions'!C14)</f>
        <v/>
      </c>
      <c r="F6" s="14">
        <f>MIN(F5*'Assumptions'!C15,'Assumptions'!C14)</f>
        <v/>
      </c>
    </row>
    <row r="7">
      <c r="A7" s="7" t="inlineStr">
        <is>
          <t>Subsidised volume (tonnes)</t>
        </is>
      </c>
      <c r="B7" s="14">
        <f>'Assumptions'!C21</f>
        <v/>
      </c>
      <c r="C7" s="14">
        <f>'Assumptions'!C22</f>
        <v/>
      </c>
      <c r="D7" s="14">
        <f>'Assumptions'!C23</f>
        <v/>
      </c>
      <c r="E7" s="14">
        <f>'Assumptions'!C24</f>
        <v/>
      </c>
      <c r="F7" s="14">
        <f>'Assumptions'!C25</f>
        <v/>
      </c>
    </row>
    <row r="8">
      <c r="A8" s="7" t="inlineStr">
        <is>
          <t>Local free-market volume (tonnes)</t>
        </is>
      </c>
      <c r="B8" s="14">
        <f>'Assumptions'!C26</f>
        <v/>
      </c>
      <c r="C8" s="14">
        <f>'Assumptions'!C27</f>
        <v/>
      </c>
      <c r="D8" s="14">
        <f>'Assumptions'!C28</f>
        <v/>
      </c>
      <c r="E8" s="14">
        <f>'Assumptions'!C29</f>
        <v/>
      </c>
      <c r="F8" s="14">
        <f>'Assumptions'!C30</f>
        <v/>
      </c>
    </row>
    <row r="9">
      <c r="A9" s="7" t="inlineStr">
        <is>
          <t>Export volume (tonnes)</t>
        </is>
      </c>
      <c r="B9" s="14">
        <f>B5-B7-B8</f>
        <v/>
      </c>
      <c r="C9" s="14">
        <f>C5-C7-C8</f>
        <v/>
      </c>
      <c r="D9" s="14">
        <f>D5-D7-D8</f>
        <v/>
      </c>
      <c r="E9" s="14">
        <f>E5-E7-E8</f>
        <v/>
      </c>
      <c r="F9" s="14">
        <f>F5-F7-F8</f>
        <v/>
      </c>
    </row>
    <row r="10">
      <c r="A10" s="7" t="inlineStr">
        <is>
          <t>Export price net of duty (EGP/tonne)</t>
        </is>
      </c>
      <c r="B10" s="14">
        <f>'Assumptions'!C33*'Assumptions'!C41*(1-'Assumptions'!C50)</f>
        <v/>
      </c>
      <c r="C10" s="14">
        <f>'Assumptions'!C34*'Assumptions'!C43*(1-'Assumptions'!C50)</f>
        <v/>
      </c>
      <c r="D10" s="14">
        <f>'Assumptions'!C35*'Assumptions'!C45*(1-'Assumptions'!C50)</f>
        <v/>
      </c>
      <c r="E10" s="14">
        <f>'Assumptions'!C36*'Assumptions'!C47*(1-'Assumptions'!C50)</f>
        <v/>
      </c>
      <c r="F10" s="14">
        <f>'Assumptions'!C37*'Assumptions'!C49*(1-'Assumptions'!C50)</f>
        <v/>
      </c>
    </row>
    <row r="11">
      <c r="A11" s="7" t="inlineStr">
        <is>
          <t>Local free-market price (EGP/tonne)</t>
        </is>
      </c>
      <c r="B11" s="14">
        <f>'Assumptions'!C33*'Assumptions'!C41*'Assumptions'!C56</f>
        <v/>
      </c>
      <c r="C11" s="14">
        <f>'Assumptions'!C34*'Assumptions'!C43*'Assumptions'!C56</f>
        <v/>
      </c>
      <c r="D11" s="14">
        <f>'Assumptions'!C35*'Assumptions'!C45*'Assumptions'!C56</f>
        <v/>
      </c>
      <c r="E11" s="14">
        <f>'Assumptions'!C36*'Assumptions'!C47*'Assumptions'!C56</f>
        <v/>
      </c>
      <c r="F11" s="14">
        <f>'Assumptions'!C37*'Assumptions'!C49*'Assumptions'!C56</f>
        <v/>
      </c>
    </row>
    <row r="12">
      <c r="A12" s="7" t="inlineStr">
        <is>
          <t>Nitrate price (EGP/tonne)</t>
        </is>
      </c>
      <c r="B12" s="14">
        <f>'Assumptions'!C62*'Assumptions'!C41/'Assumptions'!C8</f>
        <v/>
      </c>
      <c r="C12" s="14">
        <f>'Assumptions'!C62*'Assumptions'!C43/'Assumptions'!C8</f>
        <v/>
      </c>
      <c r="D12" s="14">
        <f>'Assumptions'!C62*'Assumptions'!C45/'Assumptions'!C8</f>
        <v/>
      </c>
      <c r="E12" s="14">
        <f>'Assumptions'!C62*'Assumptions'!C47/'Assumptions'!C8</f>
        <v/>
      </c>
      <c r="F12" s="14">
        <f>'Assumptions'!C62*'Assumptions'!C49/'Assumptions'!C8</f>
        <v/>
      </c>
    </row>
    <row r="13">
      <c r="A13" s="7" t="inlineStr">
        <is>
          <t>Export revenue (EGP m)</t>
        </is>
      </c>
      <c r="B13" s="14">
        <f>B9*B10/1000000</f>
        <v/>
      </c>
      <c r="C13" s="14">
        <f>C9*C10/1000000</f>
        <v/>
      </c>
      <c r="D13" s="14">
        <f>D9*D10/1000000</f>
        <v/>
      </c>
      <c r="E13" s="14">
        <f>E9*E10/1000000</f>
        <v/>
      </c>
      <c r="F13" s="14">
        <f>F9*F10/1000000</f>
        <v/>
      </c>
    </row>
    <row r="14">
      <c r="A14" s="7" t="inlineStr">
        <is>
          <t>Subsidised revenue (EGP m)</t>
        </is>
      </c>
      <c r="B14" s="14">
        <f>B7*'Assumptions'!C51/1000000</f>
        <v/>
      </c>
      <c r="C14" s="14">
        <f>C7*'Assumptions'!C52/1000000</f>
        <v/>
      </c>
      <c r="D14" s="14">
        <f>D7*'Assumptions'!C53/1000000</f>
        <v/>
      </c>
      <c r="E14" s="14">
        <f>E7*'Assumptions'!C54/1000000</f>
        <v/>
      </c>
      <c r="F14" s="14">
        <f>F7*'Assumptions'!C55/1000000</f>
        <v/>
      </c>
    </row>
    <row r="15">
      <c r="A15" s="7" t="inlineStr">
        <is>
          <t>Local free-market revenue (EGP m)</t>
        </is>
      </c>
      <c r="B15" s="14">
        <f>B8*B11/1000000</f>
        <v/>
      </c>
      <c r="C15" s="14">
        <f>C8*C11/1000000</f>
        <v/>
      </c>
      <c r="D15" s="14">
        <f>D8*D11/1000000</f>
        <v/>
      </c>
      <c r="E15" s="14">
        <f>E8*E11/1000000</f>
        <v/>
      </c>
      <c r="F15" s="14">
        <f>F8*F11/1000000</f>
        <v/>
      </c>
    </row>
    <row r="16">
      <c r="A16" s="7" t="inlineStr">
        <is>
          <t>Nitrate revenue (EGP m)</t>
        </is>
      </c>
      <c r="B16" s="14">
        <f>'Assumptions'!C57*B12/1000000</f>
        <v/>
      </c>
      <c r="C16" s="14">
        <f>'Assumptions'!C58*C12/1000000</f>
        <v/>
      </c>
      <c r="D16" s="14">
        <f>'Assumptions'!C59*D12/1000000</f>
        <v/>
      </c>
      <c r="E16" s="14">
        <f>'Assumptions'!C60*E12/1000000</f>
        <v/>
      </c>
      <c r="F16" s="14">
        <f>'Assumptions'!C61*F12/1000000</f>
        <v/>
      </c>
    </row>
    <row r="17">
      <c r="A17" s="7" t="inlineStr">
        <is>
          <t>Other revenue (EGP m)</t>
        </is>
      </c>
      <c r="B17" s="14">
        <f>'Assumptions'!C63</f>
        <v/>
      </c>
      <c r="C17" s="14">
        <f>'Assumptions'!C64</f>
        <v/>
      </c>
      <c r="D17" s="14">
        <f>'Assumptions'!C65</f>
        <v/>
      </c>
      <c r="E17" s="14">
        <f>'Assumptions'!C66</f>
        <v/>
      </c>
      <c r="F17" s="14">
        <f>'Assumptions'!C67</f>
        <v/>
      </c>
    </row>
    <row r="18">
      <c r="A18" s="19" t="inlineStr">
        <is>
          <t>REVENUE (EGP m)</t>
        </is>
      </c>
      <c r="B18" s="14">
        <f>SUM(B13:B17)</f>
        <v/>
      </c>
      <c r="C18" s="14">
        <f>SUM(C13:C17)</f>
        <v/>
      </c>
      <c r="D18" s="14">
        <f>SUM(D13:D17)</f>
        <v/>
      </c>
      <c r="E18" s="14">
        <f>SUM(E13:E17)</f>
        <v/>
      </c>
      <c r="F18" s="14">
        <f>SUM(F13:F17)</f>
        <v/>
      </c>
    </row>
    <row r="19">
      <c r="A19" s="7" t="inlineStr">
        <is>
          <t>Gas price (EGP per m3)</t>
        </is>
      </c>
      <c r="B19" s="11">
        <f>'Assumptions'!C71*'Assumptions'!C72*'Assumptions'!C41</f>
        <v/>
      </c>
      <c r="C19" s="11">
        <f>'Assumptions'!C71*'Assumptions'!C72*'Assumptions'!C43</f>
        <v/>
      </c>
      <c r="D19" s="11">
        <f>'Assumptions'!C71*'Assumptions'!C72*'Assumptions'!C45</f>
        <v/>
      </c>
      <c r="E19" s="11">
        <f>'Assumptions'!C71*'Assumptions'!C72*'Assumptions'!C47</f>
        <v/>
      </c>
      <c r="F19" s="11">
        <f>'Assumptions'!C71*'Assumptions'!C72*'Assumptions'!C49</f>
        <v/>
      </c>
    </row>
    <row r="20">
      <c r="A20" s="7" t="inlineStr">
        <is>
          <t>Natural gas (EGP m)</t>
        </is>
      </c>
      <c r="B20" s="14">
        <f>B6*'Assumptions'!C70*B19/1000000</f>
        <v/>
      </c>
      <c r="C20" s="14">
        <f>C6*'Assumptions'!C70*C19/1000000</f>
        <v/>
      </c>
      <c r="D20" s="14">
        <f>D6*'Assumptions'!C70*D19/1000000</f>
        <v/>
      </c>
      <c r="E20" s="14">
        <f>E6*'Assumptions'!C70*E19/1000000</f>
        <v/>
      </c>
      <c r="F20" s="14">
        <f>F6*'Assumptions'!C70*F19/1000000</f>
        <v/>
      </c>
    </row>
    <row r="21">
      <c r="A21" s="7" t="inlineStr">
        <is>
          <t>Cumulative inflation index</t>
        </is>
      </c>
      <c r="B21" s="18">
        <f>(1+'Assumptions'!C84)</f>
        <v/>
      </c>
      <c r="C21" s="18">
        <f>(1+'Assumptions'!C84)*(1+'Assumptions'!C85)</f>
        <v/>
      </c>
      <c r="D21" s="18">
        <f>(1+'Assumptions'!C84)*(1+'Assumptions'!C85)*(1+'Assumptions'!C86)</f>
        <v/>
      </c>
      <c r="E21" s="18">
        <f>(1+'Assumptions'!C84)*(1+'Assumptions'!C85)*(1+'Assumptions'!C86)*(1+'Assumptions'!C87)</f>
        <v/>
      </c>
      <c r="F21" s="18">
        <f>(1+'Assumptions'!C84)*(1+'Assumptions'!C85)*(1+'Assumptions'!C86)*(1+'Assumptions'!C87)*(1+'Assumptions'!C88)</f>
        <v/>
      </c>
    </row>
    <row r="22">
      <c r="A22" s="7" t="inlineStr">
        <is>
          <t>Other materials (EGP m)</t>
        </is>
      </c>
      <c r="B22" s="14">
        <f>B5*'Assumptions'!C73*B21/1000000</f>
        <v/>
      </c>
      <c r="C22" s="14">
        <f>C5*'Assumptions'!C73*C21/1000000</f>
        <v/>
      </c>
      <c r="D22" s="14">
        <f>D5*'Assumptions'!C73*D21/1000000</f>
        <v/>
      </c>
      <c r="E22" s="14">
        <f>E5*'Assumptions'!C73*E21/1000000</f>
        <v/>
      </c>
      <c r="F22" s="14">
        <f>F5*'Assumptions'!C73*F21/1000000</f>
        <v/>
      </c>
    </row>
    <row r="23">
      <c r="A23" s="7" t="inlineStr">
        <is>
          <t>Wages (EGP m)</t>
        </is>
      </c>
      <c r="B23" s="14">
        <f>'Assumptions'!C74*B21</f>
        <v/>
      </c>
      <c r="C23" s="14">
        <f>'Assumptions'!C74*C21</f>
        <v/>
      </c>
      <c r="D23" s="14">
        <f>'Assumptions'!C74*D21</f>
        <v/>
      </c>
      <c r="E23" s="14">
        <f>'Assumptions'!C74*E21</f>
        <v/>
      </c>
      <c r="F23" s="14">
        <f>'Assumptions'!C74*F21</f>
        <v/>
      </c>
    </row>
    <row r="24">
      <c r="A24" s="7" t="inlineStr">
        <is>
          <t>Purchased services (EGP m)</t>
        </is>
      </c>
      <c r="B24" s="14">
        <f>'Assumptions'!C75*B21</f>
        <v/>
      </c>
      <c r="C24" s="14">
        <f>'Assumptions'!C75*C21</f>
        <v/>
      </c>
      <c r="D24" s="14">
        <f>'Assumptions'!C75*D21</f>
        <v/>
      </c>
      <c r="E24" s="14">
        <f>'Assumptions'!C75*E21</f>
        <v/>
      </c>
      <c r="F24" s="14">
        <f>'Assumptions'!C75*F21</f>
        <v/>
      </c>
    </row>
    <row r="25">
      <c r="A25" s="7" t="inlineStr">
        <is>
          <t>Depreciation and amortisation (EGP m)</t>
        </is>
      </c>
      <c r="B25" s="14">
        <f>'Assumptions'!C127*(1+'Assumptions'!C134*0)+'Assumptions'!C128</f>
        <v/>
      </c>
      <c r="C25" s="14">
        <f>'Assumptions'!C127*(1+'Assumptions'!C134*1)+'Assumptions'!C128+SUM('Assumptions'!C129:C129)*'Assumptions'!C135</f>
        <v/>
      </c>
      <c r="D25" s="14">
        <f>'Assumptions'!C127*(1+'Assumptions'!C134*2)+'Assumptions'!C128+SUM('Assumptions'!C129:C130)*'Assumptions'!C135</f>
        <v/>
      </c>
      <c r="E25" s="14">
        <f>'Assumptions'!C127*(1+'Assumptions'!C134*3)+'Assumptions'!C128+SUM('Assumptions'!C129:C131)*'Assumptions'!C135</f>
        <v/>
      </c>
      <c r="F25" s="14">
        <f>'Assumptions'!C127*(1+'Assumptions'!C134*4)+'Assumptions'!C128+SUM('Assumptions'!C129:C132)*'Assumptions'!C135</f>
        <v/>
      </c>
    </row>
    <row r="26">
      <c r="A26" s="19" t="inlineStr">
        <is>
          <t>COST OF SALES (EGP m)</t>
        </is>
      </c>
      <c r="B26" s="14">
        <f>B20+B22+B23+B24+B25</f>
        <v/>
      </c>
      <c r="C26" s="14">
        <f>C20+C22+C23+C24+C25</f>
        <v/>
      </c>
      <c r="D26" s="14">
        <f>D20+D22+D23+D24+D25</f>
        <v/>
      </c>
      <c r="E26" s="14">
        <f>E20+E22+E23+E24+E25</f>
        <v/>
      </c>
      <c r="F26" s="14">
        <f>F20+F22+F23+F24+F25</f>
        <v/>
      </c>
    </row>
    <row r="27">
      <c r="A27" s="19" t="inlineStr">
        <is>
          <t>GROSS PROFIT (EGP m)</t>
        </is>
      </c>
      <c r="B27" s="14">
        <f>B18-B26</f>
        <v/>
      </c>
      <c r="C27" s="14">
        <f>C18-C26</f>
        <v/>
      </c>
      <c r="D27" s="14">
        <f>D18-D26</f>
        <v/>
      </c>
      <c r="E27" s="14">
        <f>E18-E26</f>
        <v/>
      </c>
      <c r="F27" s="14">
        <f>F18-F26</f>
        <v/>
      </c>
    </row>
    <row r="28">
      <c r="A28" s="7" t="inlineStr">
        <is>
          <t>Gross margin — an OUTPUT, never an input</t>
        </is>
      </c>
      <c r="B28" s="9">
        <f>B27/B18</f>
        <v/>
      </c>
      <c r="C28" s="9">
        <f>C27/C18</f>
        <v/>
      </c>
      <c r="D28" s="9">
        <f>D27/D18</f>
        <v/>
      </c>
      <c r="E28" s="9">
        <f>E27/E18</f>
        <v/>
      </c>
      <c r="F28" s="9">
        <f>F27/F18</f>
        <v/>
      </c>
    </row>
    <row r="29">
      <c r="A29" s="7" t="inlineStr">
        <is>
          <t>Inland freight to port (EGP m)</t>
        </is>
      </c>
      <c r="B29" s="14">
        <f>B9*'Assumptions'!C76*B21/1000000</f>
        <v/>
      </c>
      <c r="C29" s="14">
        <f>C9*'Assumptions'!C76*C21/1000000</f>
        <v/>
      </c>
      <c r="D29" s="14">
        <f>D9*'Assumptions'!C76*D21/1000000</f>
        <v/>
      </c>
      <c r="E29" s="14">
        <f>E9*'Assumptions'!C76*E21/1000000</f>
        <v/>
      </c>
      <c r="F29" s="14">
        <f>F9*'Assumptions'!C76*F21/1000000</f>
        <v/>
      </c>
    </row>
    <row r="30">
      <c r="A30" s="7" t="inlineStr">
        <is>
          <t>Other selling cost (EGP m)</t>
        </is>
      </c>
      <c r="B30" s="14">
        <f>'Assumptions'!C77*B21</f>
        <v/>
      </c>
      <c r="C30" s="14">
        <f>'Assumptions'!C77*C21</f>
        <v/>
      </c>
      <c r="D30" s="14">
        <f>'Assumptions'!C77*D21</f>
        <v/>
      </c>
      <c r="E30" s="14">
        <f>'Assumptions'!C77*E21</f>
        <v/>
      </c>
      <c r="F30" s="14">
        <f>'Assumptions'!C77*F21</f>
        <v/>
      </c>
    </row>
    <row r="31">
      <c r="A31" s="7" t="inlineStr">
        <is>
          <t>Administrative (EGP m)</t>
        </is>
      </c>
      <c r="B31" s="14">
        <f>'Assumptions'!C78*B21</f>
        <v/>
      </c>
      <c r="C31" s="14">
        <f>'Assumptions'!C78*C21</f>
        <v/>
      </c>
      <c r="D31" s="14">
        <f>'Assumptions'!C78*D21</f>
        <v/>
      </c>
      <c r="E31" s="14">
        <f>'Assumptions'!C78*E21</f>
        <v/>
      </c>
      <c r="F31" s="14">
        <f>'Assumptions'!C78*F21</f>
        <v/>
      </c>
    </row>
    <row r="32">
      <c r="A32" s="7" t="inlineStr">
        <is>
          <t>Stoppage and abnormal gas cost (EGP m)</t>
        </is>
      </c>
      <c r="B32" s="14">
        <f>'Assumptions'!C79</f>
        <v/>
      </c>
      <c r="C32" s="14">
        <f>'Assumptions'!C80</f>
        <v/>
      </c>
      <c r="D32" s="14">
        <f>'Assumptions'!C81</f>
        <v/>
      </c>
      <c r="E32" s="14">
        <f>'Assumptions'!C82</f>
        <v/>
      </c>
      <c r="F32" s="14">
        <f>'Assumptions'!C83</f>
        <v/>
      </c>
    </row>
    <row r="33">
      <c r="A33" s="19" t="inlineStr">
        <is>
          <t>EBIT (EGP m)</t>
        </is>
      </c>
      <c r="B33" s="14">
        <f>B27-B29-B30-B31-B32</f>
        <v/>
      </c>
      <c r="C33" s="14">
        <f>C27-C29-C30-C31-C32</f>
        <v/>
      </c>
      <c r="D33" s="14">
        <f>D27-D29-D30-D31-D32</f>
        <v/>
      </c>
      <c r="E33" s="14">
        <f>E27-E29-E30-E31-E32</f>
        <v/>
      </c>
      <c r="F33" s="14">
        <f>F27-F29-F30-F31-F32</f>
        <v/>
      </c>
    </row>
    <row r="34">
      <c r="A34" s="19" t="inlineStr">
        <is>
          <t>EBITDA (EGP m)</t>
        </is>
      </c>
      <c r="B34" s="14">
        <f>B33+B25</f>
        <v/>
      </c>
      <c r="C34" s="14">
        <f>C33+C25</f>
        <v/>
      </c>
      <c r="D34" s="14">
        <f>D33+D25</f>
        <v/>
      </c>
      <c r="E34" s="14">
        <f>E33+E25</f>
        <v/>
      </c>
      <c r="F34" s="14">
        <f>F33+F25</f>
        <v/>
      </c>
    </row>
    <row r="35">
      <c r="A35" s="7" t="inlineStr">
        <is>
          <t>EBITDA margin — an OUTPUT</t>
        </is>
      </c>
      <c r="B35" s="9">
        <f>B34/B18</f>
        <v/>
      </c>
      <c r="C35" s="9">
        <f>C34/C18</f>
        <v/>
      </c>
      <c r="D35" s="9">
        <f>D34/D18</f>
        <v/>
      </c>
      <c r="E35" s="9">
        <f>E34/E18</f>
        <v/>
      </c>
      <c r="F35" s="9">
        <f>F34/F18</f>
        <v/>
      </c>
    </row>
    <row r="36"/>
    <row r="37" ht="26" customHeight="1">
      <c r="A37" s="17" t="inlineStr">
        <is>
          <t>Margins are outputs of the build, not inputs to it. Nothing on this sheet sets a margin; each one falls out of tonnes, prices and physical consumption.</t>
        </is>
      </c>
    </row>
  </sheetData>
  <pageMargins left="0.3" right="0.3"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C33"/>
  <sheetViews>
    <sheetView workbookViewId="0">
      <selection activeCell="A1" sqref="A1"/>
    </sheetView>
  </sheetViews>
  <sheetFormatPr baseColWidth="8" defaultRowHeight="15"/>
  <cols>
    <col width="42" customWidth="1" min="1" max="1"/>
    <col width="15" customWidth="1" min="2" max="2"/>
    <col width="64" customWidth="1" min="3" max="3"/>
  </cols>
  <sheetData>
    <row r="1">
      <c r="A1" s="5" t="inlineStr">
        <is>
          <t>LENS 3 — RELATIVE MULTIPLES  ·  LENS 4 — NORMALISED EARNINGS POWER</t>
        </is>
      </c>
    </row>
    <row r="2" ht="30" customHeight="1">
      <c r="A2" s="4" t="inlineStr">
        <is>
          <t>Two cross-checks on the cash-flow lens, each reaching the answer from a direction the cash-flow model cannot reach it from.</t>
        </is>
      </c>
    </row>
    <row r="3"/>
    <row r="4">
      <c r="A4" s="6" t="inlineStr">
        <is>
          <t>Relative multiples</t>
        </is>
      </c>
      <c r="B4" s="6" t="inlineStr">
        <is>
          <t>Value</t>
        </is>
      </c>
      <c r="C4" s="6" t="inlineStr">
        <is>
          <t>Note</t>
        </is>
      </c>
    </row>
    <row r="5" ht="14" customHeight="1">
      <c r="A5" s="7" t="inlineStr">
        <is>
          <t>Forward EBITDA, FY2026/27 (EGP m)</t>
        </is>
      </c>
      <c r="B5" s="14">
        <f>'Segments'!B34</f>
        <v/>
      </c>
      <c r="C5" s="10" t="inlineStr">
        <is>
          <t>From the unit build</t>
        </is>
      </c>
    </row>
    <row r="6" ht="14" customHeight="1">
      <c r="A6" s="7" t="inlineStr">
        <is>
          <t>Egyptian industrial range, low</t>
        </is>
      </c>
      <c r="B6" s="20" t="n">
        <v>6</v>
      </c>
      <c r="C6" s="10" t="inlineStr">
        <is>
          <t>Observed trading and transaction range</t>
        </is>
      </c>
    </row>
    <row r="7" ht="14" customHeight="1">
      <c r="A7" s="7" t="inlineStr">
        <is>
          <t>Egyptian industrial range, high</t>
        </is>
      </c>
      <c r="B7" s="20" t="n">
        <v>9.9</v>
      </c>
      <c r="C7" s="10" t="inlineStr">
        <is>
          <t>Observed trading and transaction range</t>
        </is>
      </c>
    </row>
    <row r="8" ht="14" customHeight="1">
      <c r="A8" s="7" t="inlineStr">
        <is>
          <t>Mid-point</t>
        </is>
      </c>
      <c r="B8" s="27">
        <f>(B6+B7)/2</f>
        <v/>
      </c>
      <c r="C8" s="10" t="inlineStr"/>
    </row>
    <row r="9" ht="14" customHeight="1">
      <c r="A9" s="7" t="inlineStr">
        <is>
          <t>Enterprise value at the mid-point (EGP m)</t>
        </is>
      </c>
      <c r="B9" s="14">
        <f>B5*B8</f>
        <v/>
      </c>
      <c r="C9" s="10" t="inlineStr"/>
    </row>
    <row r="10" ht="14" customHeight="1">
      <c r="A10" s="7" t="inlineStr">
        <is>
          <t>Less net debt (EGP m)</t>
        </is>
      </c>
      <c r="B10" s="14">
        <f>-'DCF'!B41</f>
        <v/>
      </c>
      <c r="C10" s="10" t="inlineStr">
        <is>
          <t>31 March 2026</t>
        </is>
      </c>
    </row>
    <row r="11" ht="14" customHeight="1">
      <c r="A11" s="7" t="inlineStr">
        <is>
          <t>Plus non-operating assets (EGP m)</t>
        </is>
      </c>
      <c r="B11" s="14">
        <f>'DCF'!B42+'DCF'!B43</f>
        <v/>
      </c>
      <c r="C11" s="10" t="inlineStr">
        <is>
          <t>Listed stakes and investment property</t>
        </is>
      </c>
    </row>
    <row r="12" ht="14" customHeight="1">
      <c r="A12" s="7" t="inlineStr">
        <is>
          <t>Value per share on this lens (EGP)</t>
        </is>
      </c>
      <c r="B12" s="11">
        <f>(B9+B10+B11)*1000000/'Assumptions'!C6</f>
        <v/>
      </c>
      <c r="C12" s="10" t="inlineStr"/>
    </row>
    <row r="13" ht="14" customHeight="1">
      <c r="A13" s="7" t="inlineStr">
        <is>
          <t>At the low multiple (EGP)</t>
        </is>
      </c>
      <c r="B13" s="11">
        <f>(B5*B6+B10+B11)*1000000/'Assumptions'!C6</f>
        <v/>
      </c>
      <c r="C13" s="10" t="inlineStr"/>
    </row>
    <row r="14" ht="14" customHeight="1">
      <c r="A14" s="7" t="inlineStr">
        <is>
          <t>At the high multiple (EGP)</t>
        </is>
      </c>
      <c r="B14" s="11">
        <f>(B5*B7+B10+B11)*1000000/'Assumptions'!C6</f>
        <v/>
      </c>
      <c r="C14" s="10" t="inlineStr"/>
    </row>
    <row r="15" ht="14" customHeight="1">
      <c r="A15" s="7" t="inlineStr">
        <is>
          <t>Multiple the market pays</t>
        </is>
      </c>
      <c r="B15" s="27">
        <f>('Summary'!B16+'DCF'!B41)/B5</f>
        <v/>
      </c>
      <c r="C15" s="10" t="inlineStr">
        <is>
          <t>The gap between this line and the next is the whole disagreement in one number</t>
        </is>
      </c>
    </row>
    <row r="16" ht="14" customHeight="1">
      <c r="A16" s="10" t="inlineStr">
        <is>
          <t>Multiple this model's cash-flow lens implies</t>
        </is>
      </c>
      <c r="B16" s="27">
        <f>'DCF'!B37/B5</f>
        <v/>
      </c>
      <c r="C16" s="10" t="inlineStr"/>
    </row>
    <row r="17"/>
    <row r="18" ht="52" customHeight="1">
      <c r="A18" s="17" t="inlineStr">
        <is>
          <t>This lens gives the highest of the four answers, and it is worth saying why: a multiple of forward EBITDA never asks what the capital programme does to cash. It values the plant as though the money being spent on the new complex were not being spent. That is exactly the question the cash-flow lens exists to answer, which is why this one is a cross-check and not the primary read.</t>
        </is>
      </c>
    </row>
    <row r="19"/>
    <row r="20">
      <c r="A20" s="28" t="inlineStr">
        <is>
          <t>Normalised earnings power — every intermediate line</t>
        </is>
      </c>
      <c r="B20" s="6" t="inlineStr">
        <is>
          <t>Value</t>
        </is>
      </c>
      <c r="C20" s="6" t="inlineStr">
        <is>
          <t>Note</t>
        </is>
      </c>
    </row>
    <row r="21" ht="14" customHeight="1">
      <c r="A21" s="7" t="inlineStr">
        <is>
          <t>Mid-cycle urea output (tonnes)</t>
        </is>
      </c>
      <c r="B21" s="13" t="n">
        <v>540542</v>
      </c>
      <c r="C21" s="10" t="inlineStr">
        <is>
          <t>Three-year average of audited output: 586.4kt, 521.9kt and 513.4kt</t>
        </is>
      </c>
    </row>
    <row r="22" ht="14" customHeight="1">
      <c r="A22" s="7" t="inlineStr">
        <is>
          <t>Export tonnes at mid-cycle</t>
        </is>
      </c>
      <c r="B22" s="14">
        <f>B21-'Assumptions'!C21-'Assumptions'!C26</f>
        <v/>
      </c>
      <c r="C22" s="10" t="inlineStr">
        <is>
          <t>Output less the subsidised and free-market legs</t>
        </is>
      </c>
    </row>
    <row r="23" ht="24" customHeight="1">
      <c r="A23" s="7" t="inlineStr">
        <is>
          <t>Mid-cycle export price (US$/tonne)</t>
        </is>
      </c>
      <c r="B23" s="13" t="n">
        <v>400</v>
      </c>
      <c r="C23" s="10" t="inlineStr">
        <is>
          <t>Above the 2015-2020 average of roughly US$250 and well below the August 2026 quote of US$545</t>
        </is>
      </c>
    </row>
    <row r="24" ht="14" customHeight="1">
      <c r="A24" s="7" t="inlineStr">
        <is>
          <t>Exchange rate used</t>
        </is>
      </c>
      <c r="B24" s="12" t="n">
        <v>55.89</v>
      </c>
      <c r="C24" s="10" t="inlineStr">
        <is>
          <t>The second year of the currency path</t>
        </is>
      </c>
    </row>
    <row r="25" ht="14" customHeight="1">
      <c r="A25" s="7" t="inlineStr">
        <is>
          <t>Export revenue (EGP m)</t>
        </is>
      </c>
      <c r="B25" s="14">
        <f>B22*B23*B24*(1-'Assumptions'!C50)/1000000</f>
        <v/>
      </c>
      <c r="C25" s="10" t="inlineStr"/>
    </row>
    <row r="26" ht="24" customHeight="1">
      <c r="A26" s="7" t="inlineStr">
        <is>
          <t>Other revenue legs (EGP m)</t>
        </is>
      </c>
      <c r="B26" s="13" t="n">
        <v>2704.464367346939</v>
      </c>
      <c r="C26" s="10" t="inlineStr">
        <is>
          <t>Subsidised, local free market, nitrates and other, on the same paths as the main build</t>
        </is>
      </c>
    </row>
    <row r="27" ht="14" customHeight="1">
      <c r="A27" s="7" t="inlineStr">
        <is>
          <t>Mid-cycle revenue (EGP m)</t>
        </is>
      </c>
      <c r="B27" s="14">
        <f>B25+B26</f>
        <v/>
      </c>
      <c r="C27" s="10" t="inlineStr"/>
    </row>
    <row r="28" ht="24" customHeight="1">
      <c r="A28" s="7" t="inlineStr">
        <is>
          <t>Mid-cycle cash cost (EGP m)</t>
        </is>
      </c>
      <c r="B28" s="13" t="n">
        <v>6828.73906132444</v>
      </c>
      <c r="C28" s="10" t="inlineStr">
        <is>
          <t>Gas, other materials, wages, services, freight, other selling and administration, each escalated on its own driver</t>
        </is>
      </c>
    </row>
    <row r="29" ht="14" customHeight="1">
      <c r="A29" s="7" t="inlineStr">
        <is>
          <t>Mid-cycle EBITDA (EGP m)</t>
        </is>
      </c>
      <c r="B29" s="14">
        <f>B27-B28</f>
        <v/>
      </c>
      <c r="C29" s="10" t="inlineStr"/>
    </row>
    <row r="30" ht="14" customHeight="1">
      <c r="A30" s="10" t="inlineStr">
        <is>
          <t>Mid-cycle operating profit after tax (EGP m)</t>
        </is>
      </c>
      <c r="B30" s="14">
        <f>(B29-'Assumptions'!C127-'Assumptions'!C128)*(1-'Assumptions'!C112)</f>
        <v/>
      </c>
      <c r="C30" s="10" t="inlineStr">
        <is>
          <t>After depreciation and tax</t>
        </is>
      </c>
    </row>
    <row r="31" ht="14" customHeight="1">
      <c r="A31" s="10" t="inlineStr">
        <is>
          <t>Value per share at the central multiple (EGP)</t>
        </is>
      </c>
      <c r="B31" s="11">
        <f>(B30*'Assumptions'!C10+B10+B11)*1000000/'Assumptions'!C6</f>
        <v/>
      </c>
      <c r="C31" s="10" t="inlineStr">
        <is>
          <t>A mature single-asset industrial in a high-inflation economy does not deserve more</t>
        </is>
      </c>
    </row>
    <row r="32" ht="14" customHeight="1">
      <c r="A32" s="7" t="inlineStr">
        <is>
          <t>At the low multiple (EGP)</t>
        </is>
      </c>
      <c r="B32" s="11">
        <f>(B30*'Assumptions'!C9+B10+B11)*1000000/'Assumptions'!C6</f>
        <v/>
      </c>
      <c r="C32" s="10" t="inlineStr"/>
    </row>
    <row r="33" ht="14" customHeight="1">
      <c r="A33" s="7" t="inlineStr">
        <is>
          <t>At the high multiple (EGP)</t>
        </is>
      </c>
      <c r="B33" s="11">
        <f>(B30*'Assumptions'!C11+B10+B11)*1000000/'Assumptions'!C6</f>
        <v/>
      </c>
      <c r="C33" s="10" t="inlineStr"/>
    </row>
  </sheetData>
  <pageMargins left="0.3" right="0.3"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54"/>
  <sheetViews>
    <sheetView workbookViewId="0">
      <selection activeCell="A1" sqref="A1"/>
    </sheetView>
  </sheetViews>
  <sheetFormatPr baseColWidth="8" defaultRowHeight="15"/>
  <cols>
    <col width="38" customWidth="1" min="1" max="1"/>
    <col width="15" customWidth="1" min="2" max="2"/>
    <col width="3" customWidth="1" min="3" max="3"/>
    <col width="15" customWidth="1" min="4" max="4"/>
    <col width="15" customWidth="1" min="5" max="5"/>
    <col width="15" customWidth="1" min="6" max="6"/>
    <col width="32" customWidth="1" min="8" max="8"/>
    <col width="10" customWidth="1" min="9" max="9"/>
  </cols>
  <sheetData>
    <row r="1">
      <c r="A1" s="5" t="inlineStr">
        <is>
          <t>DISCOUNTED CASH FLOW — THE CONTESTED JUDGEMENT IN TWO COLUMNS</t>
        </is>
      </c>
    </row>
    <row r="2" ht="30" customHeight="1">
      <c r="A2" s="4" t="inlineStr">
        <is>
          <t>Column B carries the programme through; column D stops it. Both are complete valuations. They are never averaged.</t>
        </is>
      </c>
    </row>
    <row r="3"/>
    <row r="4">
      <c r="A4" s="6" t="inlineStr">
        <is>
          <t>EGP million</t>
        </is>
      </c>
      <c r="B4" s="6" t="inlineStr">
        <is>
          <t>FY2026/27</t>
        </is>
      </c>
      <c r="C4" s="6" t="inlineStr">
        <is>
          <t>FY2027/28</t>
        </is>
      </c>
      <c r="D4" s="6" t="inlineStr">
        <is>
          <t>FY2028/29</t>
        </is>
      </c>
      <c r="E4" s="6" t="inlineStr">
        <is>
          <t>FY2029/30</t>
        </is>
      </c>
      <c r="F4" s="6" t="inlineStr">
        <is>
          <t>FY2030/31</t>
        </is>
      </c>
      <c r="H4" s="19" t="inlineStr">
        <is>
          <t>Case switches</t>
        </is>
      </c>
    </row>
    <row r="5">
      <c r="A5" s="7" t="inlineStr">
        <is>
          <t>Revenue</t>
        </is>
      </c>
      <c r="B5" s="25">
        <f>'Segments'!B18</f>
        <v/>
      </c>
      <c r="C5" s="25">
        <f>'Segments'!C18</f>
        <v/>
      </c>
      <c r="D5" s="25">
        <f>'Segments'!D18</f>
        <v/>
      </c>
      <c r="E5" s="25">
        <f>'Segments'!E18</f>
        <v/>
      </c>
      <c r="F5" s="25">
        <f>'Segments'!F18</f>
        <v/>
      </c>
      <c r="H5" s="7" t="inlineStr">
        <is>
          <t>Programme carried through (1 = yes)</t>
        </is>
      </c>
      <c r="I5" s="7" t="n">
        <v>1</v>
      </c>
    </row>
    <row r="6">
      <c r="A6" s="19" t="inlineStr">
        <is>
          <t>EBITDA</t>
        </is>
      </c>
      <c r="B6" s="25">
        <f>'Segments'!B34</f>
        <v/>
      </c>
      <c r="C6" s="25">
        <f>'Segments'!C34</f>
        <v/>
      </c>
      <c r="D6" s="25">
        <f>'Segments'!D34</f>
        <v/>
      </c>
      <c r="E6" s="25">
        <f>'Segments'!E34</f>
        <v/>
      </c>
      <c r="F6" s="25">
        <f>'Segments'!F34</f>
        <v/>
      </c>
      <c r="H6" s="7" t="inlineStr">
        <is>
          <t>Wind-down cost if stopped (EGP m)</t>
        </is>
      </c>
      <c r="I6" s="13" t="n">
        <v>1000</v>
      </c>
    </row>
    <row r="7">
      <c r="A7" s="7" t="inlineStr">
        <is>
          <t>EBITDA margin</t>
        </is>
      </c>
      <c r="B7" s="9">
        <f>B6/B5</f>
        <v/>
      </c>
      <c r="C7" s="9">
        <f>C6/C5</f>
        <v/>
      </c>
      <c r="D7" s="9">
        <f>D6/D5</f>
        <v/>
      </c>
      <c r="E7" s="9">
        <f>E6/E5</f>
        <v/>
      </c>
      <c r="F7" s="9">
        <f>F6/F5</f>
        <v/>
      </c>
    </row>
    <row r="8">
      <c r="A8" s="7" t="inlineStr">
        <is>
          <t>Depreciation and amortisation</t>
        </is>
      </c>
      <c r="B8" s="25">
        <f>'Segments'!B25</f>
        <v/>
      </c>
      <c r="C8" s="25">
        <f>'Segments'!C25</f>
        <v/>
      </c>
      <c r="D8" s="25">
        <f>'Segments'!D25</f>
        <v/>
      </c>
      <c r="E8" s="25">
        <f>'Segments'!E25</f>
        <v/>
      </c>
      <c r="F8" s="25">
        <f>'Segments'!F25</f>
        <v/>
      </c>
    </row>
    <row r="9">
      <c r="A9" s="19" t="inlineStr">
        <is>
          <t>EBIT</t>
        </is>
      </c>
      <c r="B9" s="14">
        <f>B6-B8</f>
        <v/>
      </c>
      <c r="C9" s="14">
        <f>C6-C8</f>
        <v/>
      </c>
      <c r="D9" s="14">
        <f>D6-D8</f>
        <v/>
      </c>
      <c r="E9" s="14">
        <f>E6-E8</f>
        <v/>
      </c>
      <c r="F9" s="14">
        <f>F6-F8</f>
        <v/>
      </c>
    </row>
    <row r="10">
      <c r="A10" s="7" t="inlineStr">
        <is>
          <t>NOPAT = EBIT x (1 - tax rate)</t>
        </is>
      </c>
      <c r="B10" s="14">
        <f>B9*(1-'Assumptions'!C112)</f>
        <v/>
      </c>
      <c r="C10" s="14">
        <f>C9*(1-'Assumptions'!C112)</f>
        <v/>
      </c>
      <c r="D10" s="14">
        <f>D9*(1-'Assumptions'!C112)</f>
        <v/>
      </c>
      <c r="E10" s="14">
        <f>E9*(1-'Assumptions'!C112)</f>
        <v/>
      </c>
      <c r="F10" s="14">
        <f>F9*(1-'Assumptions'!C112)</f>
        <v/>
      </c>
    </row>
    <row r="11">
      <c r="A11" s="7" t="inlineStr">
        <is>
          <t>Add back depreciation</t>
        </is>
      </c>
      <c r="B11" s="14">
        <f>B8</f>
        <v/>
      </c>
      <c r="C11" s="14">
        <f>C8</f>
        <v/>
      </c>
      <c r="D11" s="14">
        <f>D8</f>
        <v/>
      </c>
      <c r="E11" s="14">
        <f>E8</f>
        <v/>
      </c>
      <c r="F11" s="14">
        <f>F8</f>
        <v/>
      </c>
    </row>
    <row r="12">
      <c r="A12" s="7" t="inlineStr">
        <is>
          <t>Less capital expenditure</t>
        </is>
      </c>
      <c r="B12" s="14">
        <f>-($I$5*'Assumptions'!C129+$I$6*(1-$I$5)+B5*'Assumptions'!C141)</f>
        <v/>
      </c>
      <c r="C12" s="14">
        <f>-($I$5*'Assumptions'!C130+C5*'Assumptions'!C141)</f>
        <v/>
      </c>
      <c r="D12" s="14">
        <f>-($I$5*'Assumptions'!C131+D5*'Assumptions'!C141)</f>
        <v/>
      </c>
      <c r="E12" s="14">
        <f>-($I$5*'Assumptions'!C132+E5*'Assumptions'!C141)</f>
        <v/>
      </c>
      <c r="F12" s="14">
        <f>-($I$5*'Assumptions'!C133+F5*'Assumptions'!C141)</f>
        <v/>
      </c>
    </row>
    <row r="13">
      <c r="A13" s="7" t="inlineStr">
        <is>
          <t>Less change in working capital</t>
        </is>
      </c>
      <c r="B13" s="25">
        <f>-'Cash Flow'!B12</f>
        <v/>
      </c>
      <c r="C13" s="25">
        <f>-'Cash Flow'!C12</f>
        <v/>
      </c>
      <c r="D13" s="25">
        <f>-'Cash Flow'!D12</f>
        <v/>
      </c>
      <c r="E13" s="25">
        <f>-'Cash Flow'!E12</f>
        <v/>
      </c>
      <c r="F13" s="25">
        <f>-'Cash Flow'!F12</f>
        <v/>
      </c>
    </row>
    <row r="14">
      <c r="A14" s="19" t="inlineStr">
        <is>
          <t>FREE CASH FLOW TO THE FIRM</t>
        </is>
      </c>
      <c r="B14" s="14">
        <f>B10+B11+B12+B13</f>
        <v/>
      </c>
      <c r="C14" s="14">
        <f>C10+C11+C12+C13</f>
        <v/>
      </c>
      <c r="D14" s="14">
        <f>D10+D11+D12+D13</f>
        <v/>
      </c>
      <c r="E14" s="14">
        <f>E10+E11+E12+E13</f>
        <v/>
      </c>
      <c r="F14" s="14">
        <f>F10+F11+F12+F13</f>
        <v/>
      </c>
    </row>
    <row r="15">
      <c r="A15" s="7" t="inlineStr">
        <is>
          <t>Discount rate from the glide</t>
        </is>
      </c>
      <c r="B15" s="29">
        <f>'Assumptions'!C115</f>
        <v/>
      </c>
      <c r="C15" s="29">
        <f>'Assumptions'!C113*(('Assumptions'!C98+('Assumptions'!C118-'Assumptions'!C98)*1/5)+'Assumptions'!C97*'Assumptions'!C103+'Assumptions'!C102)+'Assumptions'!C114*('Assumptions'!C110*'Assumptions'!C106+(1-'Assumptions'!C110)*((1+'Assumptions'!C107)*(1+'Assumptions'!C42)-1))*(1-'Assumptions'!C112)</f>
        <v/>
      </c>
      <c r="D15" s="29">
        <f>'Assumptions'!C113*(('Assumptions'!C98+('Assumptions'!C118-'Assumptions'!C98)*2/5)+'Assumptions'!C97*'Assumptions'!C103+'Assumptions'!C102)+'Assumptions'!C114*('Assumptions'!C110*'Assumptions'!C106+(1-'Assumptions'!C110)*((1+'Assumptions'!C107)*(1+'Assumptions'!C44)-1))*(1-'Assumptions'!C112)</f>
        <v/>
      </c>
      <c r="E15" s="29">
        <f>'Assumptions'!C113*(('Assumptions'!C98+('Assumptions'!C118-'Assumptions'!C98)*3/5)+'Assumptions'!C97*'Assumptions'!C103+'Assumptions'!C102)+'Assumptions'!C114*('Assumptions'!C110*'Assumptions'!C106+(1-'Assumptions'!C110)*((1+'Assumptions'!C107)*(1+'Assumptions'!C46)-1))*(1-'Assumptions'!C112)</f>
        <v/>
      </c>
      <c r="F15" s="29">
        <f>'Assumptions'!C113*(('Assumptions'!C98+('Assumptions'!C118-'Assumptions'!C98)*4/5)+'Assumptions'!C97*'Assumptions'!C103+'Assumptions'!C102)+'Assumptions'!C114*('Assumptions'!C110*'Assumptions'!C106+(1-'Assumptions'!C110)*((1+'Assumptions'!C107)*(1+'Assumptions'!C48)-1))*(1-'Assumptions'!C112)</f>
        <v/>
      </c>
    </row>
    <row r="16">
      <c r="A16" s="7" t="inlineStr">
        <is>
          <t>Discount factor, compounded</t>
        </is>
      </c>
      <c r="B16" s="30">
        <f>1/(1+B15)</f>
        <v/>
      </c>
      <c r="C16" s="30">
        <f>B16/(1+C15)</f>
        <v/>
      </c>
      <c r="D16" s="30">
        <f>C16/(1+D15)</f>
        <v/>
      </c>
      <c r="E16" s="30">
        <f>D16/(1+E15)</f>
        <v/>
      </c>
      <c r="F16" s="30">
        <f>E16/(1+F15)</f>
        <v/>
      </c>
    </row>
    <row r="17">
      <c r="A17" s="19" t="inlineStr">
        <is>
          <t>PRESENT VALUE OF FREE CASH FLOW</t>
        </is>
      </c>
      <c r="B17" s="14">
        <f>B14*B16</f>
        <v/>
      </c>
      <c r="C17" s="14">
        <f>C14*C16</f>
        <v/>
      </c>
      <c r="D17" s="14">
        <f>D14*D16</f>
        <v/>
      </c>
      <c r="E17" s="14">
        <f>E14*E16</f>
        <v/>
      </c>
      <c r="F17" s="14">
        <f>F14*F16</f>
        <v/>
      </c>
    </row>
    <row r="18"/>
    <row r="19">
      <c r="A19" s="2" t="inlineStr">
        <is>
          <t>TERMINAL BLOCK AND THE BRIDGE — BOTH SIDES</t>
        </is>
      </c>
    </row>
    <row r="20">
      <c r="A20" s="6" t="inlineStr"/>
      <c r="B20" s="6" t="inlineStr">
        <is>
          <t>Programme carried through</t>
        </is>
      </c>
      <c r="C20" s="6" t="inlineStr"/>
      <c r="D20" s="6" t="inlineStr">
        <is>
          <t>Programme stopped</t>
        </is>
      </c>
    </row>
    <row r="21">
      <c r="A21" s="10" t="inlineStr">
        <is>
          <t>Year-five profit before interest and tax, the project's own depreciation added back, grown at terminal growth</t>
        </is>
      </c>
      <c r="B21" s="14">
        <f>(F9+SUM('Assumptions'!C129:C132)*'Assumptions'!C135)*(1+'Assumptions'!C122)</f>
        <v/>
      </c>
      <c r="D21" s="14">
        <f>(F9+SUM('Assumptions'!C129:C132)*'Assumptions'!C135)*(1+'Assumptions'!C122)</f>
        <v/>
      </c>
    </row>
    <row r="22">
      <c r="A22" s="7" t="inlineStr">
        <is>
          <t>Project revenue in the terminal year</t>
        </is>
      </c>
      <c r="B22" s="14">
        <f>'Assumptions'!C144*'Assumptions'!C146*'Assumptions'!C147*('Assumptions'!C49*(1+'Assumptions'!C122-'Assumptions'!C138))/1000000</f>
        <v/>
      </c>
      <c r="D22" s="14">
        <f>'Assumptions'!C144*0*'Assumptions'!C147*('Assumptions'!C49*(1+'Assumptions'!C122-'Assumptions'!C138))/1000000</f>
        <v/>
      </c>
    </row>
    <row r="23">
      <c r="A23" s="10" t="inlineStr">
        <is>
          <t>Project operating profit, after its own depreciation</t>
        </is>
      </c>
      <c r="B23" s="14">
        <f>B22*'Assumptions'!C148-'Assumptions'!C139*'Assumptions'!C140*'Assumptions'!C135</f>
        <v/>
      </c>
      <c r="D23" s="14">
        <f>D22*'Assumptions'!C148-0*'Assumptions'!C140*'Assumptions'!C135</f>
        <v/>
      </c>
    </row>
    <row r="24">
      <c r="A24" s="7" t="inlineStr">
        <is>
          <t>Terminal EBIT</t>
        </is>
      </c>
      <c r="B24" s="14">
        <f>B21+B23</f>
        <v/>
      </c>
      <c r="D24" s="14">
        <f>D21+D23</f>
        <v/>
      </c>
    </row>
    <row r="25">
      <c r="A25" s="7" t="inlineStr">
        <is>
          <t>Terminal profit after tax</t>
        </is>
      </c>
      <c r="B25" s="14">
        <f>B24*(1-'Assumptions'!C112)</f>
        <v/>
      </c>
      <c r="D25" s="14">
        <f>D24*(1-'Assumptions'!C112)</f>
        <v/>
      </c>
    </row>
    <row r="26">
      <c r="A26" s="10" t="inlineStr">
        <is>
          <t>Plus book depreciation and amortisation in the terminal year</t>
        </is>
      </c>
      <c r="B26" s="14">
        <f>(F8-SUM('Assumptions'!C129:C132)*'Assumptions'!C135)*(1+'Assumptions'!C122)+'Assumptions'!C139*'Assumptions'!C140*'Assumptions'!C135</f>
        <v/>
      </c>
      <c r="D26" s="14">
        <f>(F8-SUM('Assumptions'!C129:C132)*'Assumptions'!C135)*(1+'Assumptions'!C122)+0*'Assumptions'!C140*'Assumptions'!C135</f>
        <v/>
      </c>
    </row>
    <row r="27">
      <c r="A27" s="10" t="inlineStr">
        <is>
          <t>Less capital maintenance at replacement cost — the book charge escalated over the measured average age of the base</t>
        </is>
      </c>
      <c r="B27" s="14">
        <f>-B26*(1+'Assumptions'!C116)^'Assumptions'!C123</f>
        <v/>
      </c>
      <c r="D27" s="14">
        <f>-D26*(1+'Assumptions'!C116)^'Assumptions'!C123</f>
        <v/>
      </c>
    </row>
    <row r="28">
      <c r="A28" s="10" t="inlineStr">
        <is>
          <t>Less capital for REAL growth — the stated real growth is zero, so none</t>
        </is>
      </c>
      <c r="B28" s="14">
        <f>-((1+'Assumptions'!C122)/(1+'Assumptions'!C116)-1)*(-B27*'Assumptions'!C124)</f>
        <v/>
      </c>
      <c r="D28" s="14">
        <f>-((1+'Assumptions'!C122)/(1+'Assumptions'!C116)-1)*(-D27*'Assumptions'!C124)</f>
        <v/>
      </c>
    </row>
    <row r="29">
      <c r="A29" s="10" t="inlineStr">
        <is>
          <t>Less inflation on the working capital the business carries</t>
        </is>
      </c>
      <c r="B29" s="14">
        <f>-'Assumptions'!C116*'Cash Flow'!F10*(1+'Assumptions'!C122)</f>
        <v/>
      </c>
      <c r="D29" s="14">
        <f>-'Assumptions'!C116*'Cash Flow'!F10*(1+'Assumptions'!C122)</f>
        <v/>
      </c>
    </row>
    <row r="30">
      <c r="A30" s="7" t="inlineStr">
        <is>
          <t>Terminal free cash flow</t>
        </is>
      </c>
      <c r="B30" s="14">
        <f>SUM(B25:B29)</f>
        <v/>
      </c>
      <c r="D30" s="14">
        <f>SUM(D25:D29)</f>
        <v/>
      </c>
    </row>
    <row r="31">
      <c r="A31" s="7" t="inlineStr">
        <is>
          <t>TERMINAL VALUE</t>
        </is>
      </c>
      <c r="B31" s="14">
        <f>B30/('Assumptions'!C121-'Assumptions'!C122)</f>
        <v/>
      </c>
      <c r="D31" s="14">
        <f>D30/('Assumptions'!C121-'Assumptions'!C122)</f>
        <v/>
      </c>
    </row>
    <row r="32">
      <c r="A32" s="10" t="inlineStr">
        <is>
          <t>Memo — the no-growth perpetuity at book depreciation (a diagnostic, not a bound)</t>
        </is>
      </c>
      <c r="B32" s="14">
        <f>B25/'Assumptions'!C121</f>
        <v/>
      </c>
      <c r="D32" s="14">
        <f>D25/'Assumptions'!C121</f>
        <v/>
      </c>
    </row>
    <row r="33">
      <c r="A33" s="7" t="inlineStr">
        <is>
          <t>Present value of the terminal value</t>
        </is>
      </c>
      <c r="B33" s="14">
        <f>B31*F16</f>
        <v/>
      </c>
      <c r="D33" s="14">
        <f>D31*F16</f>
        <v/>
      </c>
    </row>
    <row r="34"/>
    <row r="35"/>
    <row r="36">
      <c r="A36" s="7" t="inlineStr">
        <is>
          <t>Present value of the explicit window</t>
        </is>
      </c>
      <c r="B36" s="14">
        <f>SUM(B17:F17)</f>
        <v/>
      </c>
      <c r="D36" s="14">
        <f>SUM(B54:F54)</f>
        <v/>
      </c>
    </row>
    <row r="37">
      <c r="A37" s="19" t="inlineStr">
        <is>
          <t>ENTERPRISE VALUE</t>
        </is>
      </c>
      <c r="B37" s="14">
        <f>B36+B33</f>
        <v/>
      </c>
      <c r="D37" s="14">
        <f>D36+D33</f>
        <v/>
      </c>
    </row>
    <row r="38">
      <c r="A38" s="2" t="inlineStr">
        <is>
          <t>TERMINAL VALUE AS A SHARE OF ENTERPRISE VALUE</t>
        </is>
      </c>
      <c r="B38" s="9">
        <f>B33/B37</f>
        <v/>
      </c>
      <c r="D38" s="9">
        <f>D33/D37</f>
        <v/>
      </c>
    </row>
    <row r="39">
      <c r="A39" s="7" t="inlineStr">
        <is>
          <t>Gross debt, 31 March 2026</t>
        </is>
      </c>
      <c r="B39" s="13" t="n">
        <v>14639.005</v>
      </c>
    </row>
    <row r="40">
      <c r="A40" s="7" t="inlineStr">
        <is>
          <t>Cash and equivalents</t>
        </is>
      </c>
      <c r="B40" s="13" t="n">
        <v>4606.522</v>
      </c>
    </row>
    <row r="41">
      <c r="A41" s="7" t="inlineStr">
        <is>
          <t>Net debt</t>
        </is>
      </c>
      <c r="B41" s="14">
        <f>B39-B40</f>
        <v/>
      </c>
      <c r="D41" s="14">
        <f>B41</f>
        <v/>
      </c>
    </row>
    <row r="42">
      <c r="A42" s="7" t="inlineStr">
        <is>
          <t>Listed equity stakes at market</t>
        </is>
      </c>
      <c r="B42" s="13" t="n">
        <v>1509.1125852</v>
      </c>
      <c r="D42" s="14">
        <f>B42</f>
        <v/>
      </c>
    </row>
    <row r="43">
      <c r="A43" s="7" t="inlineStr">
        <is>
          <t>Investment property</t>
        </is>
      </c>
      <c r="B43" s="13" t="n">
        <v>2155.061</v>
      </c>
      <c r="D43" s="14">
        <f>B43</f>
        <v/>
      </c>
    </row>
    <row r="44">
      <c r="A44" s="19" t="inlineStr">
        <is>
          <t>VALUE PER SHARE (EGP)</t>
        </is>
      </c>
      <c r="B44" s="11">
        <f>B45*1000000/'Assumptions'!C6</f>
        <v/>
      </c>
      <c r="D44" s="11">
        <f>D45*1000000/'Assumptions'!C6</f>
        <v/>
      </c>
    </row>
    <row r="45">
      <c r="A45" s="19" t="inlineStr">
        <is>
          <t>EQUITY VALUE</t>
        </is>
      </c>
      <c r="B45" s="14">
        <f>B37-B41+B42+B43</f>
        <v/>
      </c>
      <c r="D45" s="14">
        <f>D37-D41+D42+D43</f>
        <v/>
      </c>
    </row>
    <row r="46"/>
    <row r="47">
      <c r="A47" s="2" t="inlineStr">
        <is>
          <t>PROGRAMME STOPPED — the same operating build, project capital removed</t>
        </is>
      </c>
    </row>
    <row r="48">
      <c r="A48" s="6" t="inlineStr">
        <is>
          <t>EGP million</t>
        </is>
      </c>
      <c r="B48" s="6" t="inlineStr">
        <is>
          <t>FY2026/27</t>
        </is>
      </c>
      <c r="C48" s="6" t="inlineStr">
        <is>
          <t>FY2027/28</t>
        </is>
      </c>
      <c r="D48" s="6" t="inlineStr">
        <is>
          <t>FY2028/29</t>
        </is>
      </c>
      <c r="E48" s="6" t="inlineStr">
        <is>
          <t>FY2029/30</t>
        </is>
      </c>
      <c r="F48" s="6" t="inlineStr">
        <is>
          <t>FY2030/31</t>
        </is>
      </c>
    </row>
    <row r="49">
      <c r="A49" s="10" t="inlineStr">
        <is>
          <t>Free cash flow, programme carried through</t>
        </is>
      </c>
      <c r="B49" s="14">
        <f>B14</f>
        <v/>
      </c>
      <c r="C49" s="14">
        <f>C14</f>
        <v/>
      </c>
      <c r="D49" s="14">
        <f>D14</f>
        <v/>
      </c>
      <c r="E49" s="14">
        <f>E14</f>
        <v/>
      </c>
      <c r="F49" s="14">
        <f>F14</f>
        <v/>
      </c>
    </row>
    <row r="50">
      <c r="A50" s="7" t="inlineStr">
        <is>
          <t>Add back project capital not spent</t>
        </is>
      </c>
      <c r="B50" s="14">
        <f>+'Assumptions'!C129</f>
        <v/>
      </c>
      <c r="C50" s="14">
        <f>+'Assumptions'!C130</f>
        <v/>
      </c>
      <c r="D50" s="14">
        <f>+'Assumptions'!C131</f>
        <v/>
      </c>
      <c r="E50" s="14">
        <f>+'Assumptions'!C132</f>
        <v/>
      </c>
      <c r="F50" s="14">
        <f>+'Assumptions'!C133</f>
        <v/>
      </c>
    </row>
    <row r="51">
      <c r="A51" s="7" t="inlineStr">
        <is>
          <t>Less the wind-down cost</t>
        </is>
      </c>
      <c r="B51" s="14">
        <f>-'Assumptions'!C142</f>
        <v/>
      </c>
      <c r="C51" s="14">
        <f>0</f>
        <v/>
      </c>
      <c r="D51" s="14">
        <f>0</f>
        <v/>
      </c>
      <c r="E51" s="14">
        <f>0</f>
        <v/>
      </c>
      <c r="F51" s="14">
        <f>0</f>
        <v/>
      </c>
    </row>
    <row r="52">
      <c r="A52" s="10" t="inlineStr">
        <is>
          <t>Less the tax shield on depreciation never incurred</t>
        </is>
      </c>
      <c r="B52" s="14">
        <f>0</f>
        <v/>
      </c>
      <c r="C52" s="14">
        <f>-SUM('Assumptions'!C129:C129)*'Assumptions'!C135*'Assumptions'!C112</f>
        <v/>
      </c>
      <c r="D52" s="14">
        <f>-SUM('Assumptions'!C129:C130)*'Assumptions'!C135*'Assumptions'!C112</f>
        <v/>
      </c>
      <c r="E52" s="14">
        <f>-SUM('Assumptions'!C129:C131)*'Assumptions'!C135*'Assumptions'!C112</f>
        <v/>
      </c>
      <c r="F52" s="14">
        <f>-SUM('Assumptions'!C129:C132)*'Assumptions'!C135*'Assumptions'!C112</f>
        <v/>
      </c>
    </row>
    <row r="53">
      <c r="A53" s="7" t="inlineStr">
        <is>
          <t>FREE CASH FLOW, PROGRAMME STOPPED</t>
        </is>
      </c>
      <c r="B53" s="14">
        <f>B49+B50+B51+B52</f>
        <v/>
      </c>
      <c r="C53" s="14">
        <f>C49+C50+C51+C52</f>
        <v/>
      </c>
      <c r="D53" s="14">
        <f>D49+D50+D51+D52</f>
        <v/>
      </c>
      <c r="E53" s="14">
        <f>E49+E50+E51+E52</f>
        <v/>
      </c>
      <c r="F53" s="14">
        <f>F49+F50+F51+F52</f>
        <v/>
      </c>
    </row>
    <row r="54">
      <c r="A54" s="7" t="inlineStr">
        <is>
          <t>Present value</t>
        </is>
      </c>
      <c r="B54" s="14">
        <f>B53*B16</f>
        <v/>
      </c>
      <c r="C54" s="14">
        <f>C53*C16</f>
        <v/>
      </c>
      <c r="D54" s="14">
        <f>D53*D16</f>
        <v/>
      </c>
      <c r="E54" s="14">
        <f>E53*E16</f>
        <v/>
      </c>
      <c r="F54" s="14">
        <f>F53*F16</f>
        <v/>
      </c>
    </row>
  </sheetData>
  <pageMargins left="0.3" right="0.3"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J20"/>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5" t="inlineStr">
        <is>
          <t>INCOME STATEMENT — THREE YEARS HISTORICAL, FIVE YEARS FORECAST</t>
        </is>
      </c>
    </row>
    <row r="2" ht="30" customHeight="1">
      <c r="A2" s="4" t="inlineStr">
        <is>
          <t>History is carried exactly as issued. The forecast is a formula reading the unit build.</t>
        </is>
      </c>
    </row>
    <row r="3"/>
    <row r="4">
      <c r="A4" s="6" t="inlineStr">
        <is>
          <t>EGP million</t>
        </is>
      </c>
      <c r="B4" s="6" t="inlineStr">
        <is>
          <t>FY2022/23</t>
        </is>
      </c>
      <c r="C4" s="6" t="inlineStr">
        <is>
          <t>FY2023/24</t>
        </is>
      </c>
      <c r="D4" s="6" t="inlineStr">
        <is>
          <t>FY2024/25</t>
        </is>
      </c>
      <c r="E4" s="6" t="inlineStr">
        <is>
          <t>FY2025/26E</t>
        </is>
      </c>
      <c r="F4" s="6" t="inlineStr">
        <is>
          <t>FY2026/27</t>
        </is>
      </c>
      <c r="G4" s="6" t="inlineStr">
        <is>
          <t>FY2027/28</t>
        </is>
      </c>
      <c r="H4" s="6" t="inlineStr">
        <is>
          <t>FY2028/29</t>
        </is>
      </c>
      <c r="I4" s="6" t="inlineStr">
        <is>
          <t>FY2029/30</t>
        </is>
      </c>
      <c r="J4" s="6" t="inlineStr">
        <is>
          <t>FY2030/31</t>
        </is>
      </c>
    </row>
    <row r="5">
      <c r="A5" s="7" t="inlineStr">
        <is>
          <t>Revenue</t>
        </is>
      </c>
      <c r="B5" s="13" t="n">
        <v>6612.226</v>
      </c>
      <c r="C5" s="13" t="n">
        <v>6532.126</v>
      </c>
      <c r="D5" s="13" t="n">
        <v>8602.606</v>
      </c>
      <c r="E5" s="13" t="n">
        <v>10378.73038</v>
      </c>
      <c r="F5" s="25">
        <f>'Segments'!B18</f>
        <v/>
      </c>
      <c r="G5" s="25">
        <f>'Segments'!C18</f>
        <v/>
      </c>
      <c r="H5" s="25">
        <f>'Segments'!D18</f>
        <v/>
      </c>
      <c r="I5" s="25">
        <f>'Segments'!E18</f>
        <v/>
      </c>
      <c r="J5" s="25">
        <f>'Segments'!F18</f>
        <v/>
      </c>
    </row>
    <row r="6">
      <c r="A6" s="7" t="inlineStr">
        <is>
          <t>Cost of sales</t>
        </is>
      </c>
      <c r="B6" s="13" t="n">
        <v>3574.483</v>
      </c>
      <c r="C6" s="13" t="n">
        <v>4395.788</v>
      </c>
      <c r="D6" s="13" t="n">
        <v>5300.31</v>
      </c>
      <c r="E6" s="13" t="n">
        <v>5825.213193060001</v>
      </c>
      <c r="F6" s="25">
        <f>'Segments'!B26</f>
        <v/>
      </c>
      <c r="G6" s="25">
        <f>'Segments'!C26</f>
        <v/>
      </c>
      <c r="H6" s="25">
        <f>'Segments'!D26</f>
        <v/>
      </c>
      <c r="I6" s="25">
        <f>'Segments'!E26</f>
        <v/>
      </c>
      <c r="J6" s="25">
        <f>'Segments'!F26</f>
        <v/>
      </c>
    </row>
    <row r="7">
      <c r="A7" s="7" t="inlineStr">
        <is>
          <t>Gross profit</t>
        </is>
      </c>
      <c r="B7" s="14">
        <f>B5-B6</f>
        <v/>
      </c>
      <c r="C7" s="14">
        <f>C5-C6</f>
        <v/>
      </c>
      <c r="D7" s="14">
        <f>D5-D6</f>
        <v/>
      </c>
      <c r="E7" s="14">
        <f>E5-E6</f>
        <v/>
      </c>
      <c r="F7" s="25">
        <f>'Segments'!B27</f>
        <v/>
      </c>
      <c r="G7" s="25">
        <f>'Segments'!C27</f>
        <v/>
      </c>
      <c r="H7" s="25">
        <f>'Segments'!D27</f>
        <v/>
      </c>
      <c r="I7" s="25">
        <f>'Segments'!E27</f>
        <v/>
      </c>
      <c r="J7" s="25">
        <f>'Segments'!F27</f>
        <v/>
      </c>
    </row>
    <row r="8">
      <c r="A8" s="7" t="inlineStr">
        <is>
          <t>Selling and distribution</t>
        </is>
      </c>
      <c r="B8" s="13" t="n">
        <v>473.72</v>
      </c>
      <c r="C8" s="13" t="n">
        <v>562.527</v>
      </c>
      <c r="D8" s="13" t="n">
        <v>786.463</v>
      </c>
      <c r="E8" s="13" t="n">
        <v>979.6093333333333</v>
      </c>
      <c r="F8" s="25">
        <f>'Segments'!B29+'Segments'!B30</f>
        <v/>
      </c>
      <c r="G8" s="25">
        <f>'Segments'!C29+'Segments'!C30</f>
        <v/>
      </c>
      <c r="H8" s="25">
        <f>'Segments'!D29+'Segments'!D30</f>
        <v/>
      </c>
      <c r="I8" s="25">
        <f>'Segments'!E29+'Segments'!E30</f>
        <v/>
      </c>
      <c r="J8" s="25">
        <f>'Segments'!F29+'Segments'!F30</f>
        <v/>
      </c>
    </row>
    <row r="9">
      <c r="A9" s="7" t="inlineStr">
        <is>
          <t>Administrative</t>
        </is>
      </c>
      <c r="B9" s="13" t="n">
        <v>188.851</v>
      </c>
      <c r="C9" s="13" t="n">
        <v>297.887</v>
      </c>
      <c r="D9" s="13" t="n">
        <v>359.624</v>
      </c>
      <c r="E9" s="13" t="n">
        <v>365.108</v>
      </c>
      <c r="F9" s="25">
        <f>'Segments'!B31</f>
        <v/>
      </c>
      <c r="G9" s="25">
        <f>'Segments'!C31</f>
        <v/>
      </c>
      <c r="H9" s="25">
        <f>'Segments'!D31</f>
        <v/>
      </c>
      <c r="I9" s="25">
        <f>'Segments'!E31</f>
        <v/>
      </c>
      <c r="J9" s="25">
        <f>'Segments'!F31</f>
        <v/>
      </c>
    </row>
    <row r="10">
      <c r="A10" s="7" t="inlineStr">
        <is>
          <t>EBIT before other items</t>
        </is>
      </c>
      <c r="B10" s="14">
        <f>B7-B8-B9</f>
        <v/>
      </c>
      <c r="C10" s="14">
        <f>C7-C8-C9</f>
        <v/>
      </c>
      <c r="D10" s="14">
        <f>D7-D8-D9</f>
        <v/>
      </c>
      <c r="E10" s="14">
        <f>E7-E8-E9</f>
        <v/>
      </c>
      <c r="F10" s="25">
        <f>'Segments'!B33</f>
        <v/>
      </c>
      <c r="G10" s="25">
        <f>'Segments'!C33</f>
        <v/>
      </c>
      <c r="H10" s="25">
        <f>'Segments'!D33</f>
        <v/>
      </c>
      <c r="I10" s="25">
        <f>'Segments'!E33</f>
        <v/>
      </c>
      <c r="J10" s="25">
        <f>'Segments'!F33</f>
        <v/>
      </c>
    </row>
    <row r="11">
      <c r="A11" s="7" t="inlineStr">
        <is>
          <t>Depreciation and amortisation</t>
        </is>
      </c>
      <c r="B11" s="13" t="n">
        <v>719.213</v>
      </c>
      <c r="C11" s="13" t="n">
        <v>772.634</v>
      </c>
      <c r="D11" s="13" t="n">
        <v>895.849</v>
      </c>
      <c r="E11" s="13" t="n">
        <v>890.591</v>
      </c>
      <c r="F11" s="25">
        <f>'Segments'!B25</f>
        <v/>
      </c>
      <c r="G11" s="25">
        <f>'Segments'!C25</f>
        <v/>
      </c>
      <c r="H11" s="25">
        <f>'Segments'!D25</f>
        <v/>
      </c>
      <c r="I11" s="25">
        <f>'Segments'!E25</f>
        <v/>
      </c>
      <c r="J11" s="25">
        <f>'Segments'!F25</f>
        <v/>
      </c>
    </row>
    <row r="12">
      <c r="A12" s="7" t="inlineStr">
        <is>
          <t>EBITDA</t>
        </is>
      </c>
      <c r="B12" s="14">
        <f>B10+B11</f>
        <v/>
      </c>
      <c r="C12" s="14">
        <f>C10+C11</f>
        <v/>
      </c>
      <c r="D12" s="14">
        <f>D10+D11</f>
        <v/>
      </c>
      <c r="E12" s="14">
        <f>E10+E11</f>
        <v/>
      </c>
      <c r="F12" s="25">
        <f>'Segments'!B34</f>
        <v/>
      </c>
      <c r="G12" s="25">
        <f>'Segments'!C34</f>
        <v/>
      </c>
      <c r="H12" s="25">
        <f>'Segments'!D34</f>
        <v/>
      </c>
      <c r="I12" s="25">
        <f>'Segments'!E34</f>
        <v/>
      </c>
      <c r="J12" s="25">
        <f>'Segments'!F34</f>
        <v/>
      </c>
    </row>
    <row r="13">
      <c r="A13" s="7" t="inlineStr">
        <is>
          <t>Gross margin</t>
        </is>
      </c>
      <c r="B13" s="9">
        <f>B7/B5</f>
        <v/>
      </c>
      <c r="C13" s="9">
        <f>C7/C5</f>
        <v/>
      </c>
      <c r="D13" s="9">
        <f>D7/D5</f>
        <v/>
      </c>
      <c r="E13" s="9">
        <f>E7/E5</f>
        <v/>
      </c>
      <c r="F13" s="9">
        <f>F7/F5</f>
        <v/>
      </c>
      <c r="G13" s="9">
        <f>G7/G5</f>
        <v/>
      </c>
      <c r="H13" s="9">
        <f>H7/H5</f>
        <v/>
      </c>
      <c r="I13" s="9">
        <f>I7/I5</f>
        <v/>
      </c>
      <c r="J13" s="9">
        <f>J7/J5</f>
        <v/>
      </c>
    </row>
    <row r="14">
      <c r="A14" s="7" t="inlineStr">
        <is>
          <t>EBITDA margin</t>
        </is>
      </c>
      <c r="B14" s="9">
        <f>B12/B5</f>
        <v/>
      </c>
      <c r="C14" s="9">
        <f>C12/C5</f>
        <v/>
      </c>
      <c r="D14" s="9">
        <f>D12/D5</f>
        <v/>
      </c>
      <c r="E14" s="9">
        <f>E12/E5</f>
        <v/>
      </c>
      <c r="F14" s="9">
        <f>F12/F5</f>
        <v/>
      </c>
      <c r="G14" s="9">
        <f>G12/G5</f>
        <v/>
      </c>
      <c r="H14" s="9">
        <f>H12/H5</f>
        <v/>
      </c>
      <c r="I14" s="9">
        <f>I12/I5</f>
        <v/>
      </c>
      <c r="J14" s="9">
        <f>J12/J5</f>
        <v/>
      </c>
    </row>
    <row r="15"/>
    <row r="16">
      <c r="A16" s="7" t="inlineStr">
        <is>
          <t>Net profit as reported</t>
        </is>
      </c>
      <c r="B16" s="13" t="n">
        <v>1150.767</v>
      </c>
      <c r="C16" s="13" t="n">
        <v>2537.934</v>
      </c>
      <c r="D16" s="13" t="n">
        <v>986.9640000000001</v>
      </c>
      <c r="E16" s="13" t="n">
        <v>531.3099999999999</v>
      </c>
    </row>
    <row r="17">
      <c r="A17" s="10" t="inlineStr">
        <is>
          <t>Less one-off investment-property revaluation</t>
        </is>
      </c>
      <c r="C17" s="13" t="n">
        <v>2034.573</v>
      </c>
    </row>
    <row r="18">
      <c r="A18" s="7" t="inlineStr">
        <is>
          <t>Net profit, underlying</t>
        </is>
      </c>
      <c r="C18" s="14">
        <f>C16-C17</f>
        <v/>
      </c>
    </row>
    <row r="19"/>
    <row r="20" ht="52" customHeight="1">
      <c r="A20" s="17" t="inlineStr">
        <is>
          <t>The EBIT line is struck before provisions, currency translation and other income and expense, so it measures trading rather than the statements' own operating result, which mixes all three. FY2025/26 is nine months reviewed plus a fourth quarter run-rated on the third quarter, with the translation line set to zero: a swing on dollar debt is not forecastable and is carried as a sensitivity instead.</t>
        </is>
      </c>
    </row>
  </sheetData>
  <pageMargins left="0.3" right="0.3" top="0.4" bottom="0.4"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F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BALANCE SHEET — AS ISSUED, AND ROLLED FORWARD</t>
        </is>
      </c>
    </row>
    <row r="2" ht="30" customHeight="1">
      <c r="A2" s="4" t="inlineStr">
        <is>
          <t>History exactly as issued at each reporting date. The forecast rolls property on capital expenditure less depreciation and working capital on the disclosed day counts.</t>
        </is>
      </c>
    </row>
    <row r="3"/>
    <row r="4">
      <c r="A4" s="6" t="inlineStr">
        <is>
          <t>EGP million</t>
        </is>
      </c>
      <c r="B4" s="6" t="inlineStr">
        <is>
          <t>30 Jun 2023</t>
        </is>
      </c>
      <c r="C4" s="6" t="inlineStr">
        <is>
          <t>30 Jun 2024</t>
        </is>
      </c>
      <c r="D4" s="6" t="inlineStr">
        <is>
          <t>30 Jun 2025</t>
        </is>
      </c>
      <c r="E4" s="6" t="inlineStr">
        <is>
          <t>31 Mar 2026</t>
        </is>
      </c>
    </row>
    <row r="5">
      <c r="A5" s="7" t="inlineStr">
        <is>
          <t>Net fixed assets</t>
        </is>
      </c>
      <c r="B5" s="13" t="n">
        <v>11300.438</v>
      </c>
      <c r="C5" s="13" t="n">
        <v>14144.067</v>
      </c>
      <c r="D5" s="13" t="n">
        <v>13587.193</v>
      </c>
      <c r="E5" s="13" t="n">
        <v>13057.606</v>
      </c>
    </row>
    <row r="6">
      <c r="A6" s="7" t="inlineStr">
        <is>
          <t>Construction in progress</t>
        </is>
      </c>
      <c r="B6" s="13" t="n">
        <v>56.405</v>
      </c>
      <c r="C6" s="13" t="n">
        <v>2535.135</v>
      </c>
      <c r="D6" s="13" t="n">
        <v>3790.155</v>
      </c>
      <c r="E6" s="13" t="n">
        <v>5653.51</v>
      </c>
    </row>
    <row r="7">
      <c r="A7" s="7" t="inlineStr">
        <is>
          <t>Investment property</t>
        </is>
      </c>
      <c r="B7" s="13" t="n">
        <v>0</v>
      </c>
      <c r="C7" s="13" t="n">
        <v>2034.589</v>
      </c>
      <c r="D7" s="13" t="n">
        <v>2160.62</v>
      </c>
      <c r="E7" s="13" t="n">
        <v>2155.061</v>
      </c>
    </row>
    <row r="8">
      <c r="A8" s="7" t="inlineStr">
        <is>
          <t>Investments at fair value</t>
        </is>
      </c>
      <c r="B8" s="13" t="n">
        <v>1855.435</v>
      </c>
      <c r="C8" s="13" t="n">
        <v>2491.189</v>
      </c>
      <c r="D8" s="13" t="n">
        <v>2163.27</v>
      </c>
      <c r="E8" s="13" t="n">
        <v>1382.886</v>
      </c>
    </row>
    <row r="9">
      <c r="A9" s="7" t="inlineStr">
        <is>
          <t>Intangible assets</t>
        </is>
      </c>
      <c r="B9" s="13" t="n">
        <v>1908.612</v>
      </c>
      <c r="C9" s="13" t="n">
        <v>2376.211</v>
      </c>
      <c r="D9" s="13" t="n">
        <v>2256.834</v>
      </c>
      <c r="E9" s="13" t="n">
        <v>2170.5</v>
      </c>
    </row>
    <row r="10">
      <c r="A10" s="7" t="inlineStr">
        <is>
          <t>Inventory</t>
        </is>
      </c>
      <c r="B10" s="13" t="n">
        <v>1391.802</v>
      </c>
      <c r="C10" s="13" t="n">
        <v>1615.47</v>
      </c>
      <c r="D10" s="13" t="n">
        <v>2399.625</v>
      </c>
      <c r="E10" s="13" t="n">
        <v>3378.16</v>
      </c>
    </row>
    <row r="11">
      <c r="A11" s="7" t="inlineStr">
        <is>
          <t>Receivables</t>
        </is>
      </c>
      <c r="B11" s="13" t="n">
        <v>798.577</v>
      </c>
      <c r="C11" s="13" t="n">
        <v>858.39</v>
      </c>
      <c r="D11" s="13" t="n">
        <v>631.047</v>
      </c>
      <c r="E11" s="13" t="n">
        <v>1230.232</v>
      </c>
    </row>
    <row r="12">
      <c r="A12" s="7" t="inlineStr">
        <is>
          <t>Cash and equivalents</t>
        </is>
      </c>
      <c r="B12" s="13" t="n">
        <v>1416.243</v>
      </c>
      <c r="C12" s="13" t="n">
        <v>3103.365</v>
      </c>
      <c r="D12" s="13" t="n">
        <v>3057.028</v>
      </c>
      <c r="E12" s="13" t="n">
        <v>4606.522</v>
      </c>
    </row>
    <row r="13">
      <c r="A13" s="7" t="inlineStr">
        <is>
          <t>Total assets</t>
        </is>
      </c>
      <c r="B13" s="14">
        <f>SUM(B5:B12)</f>
        <v/>
      </c>
      <c r="C13" s="14">
        <f>SUM(C5:C12)</f>
        <v/>
      </c>
      <c r="D13" s="14">
        <f>SUM(D5:D12)</f>
        <v/>
      </c>
      <c r="E13" s="14">
        <f>SUM(E5:E12)</f>
        <v/>
      </c>
    </row>
    <row r="14"/>
    <row r="15">
      <c r="A15" s="7" t="inlineStr">
        <is>
          <t>Paid-in capital</t>
        </is>
      </c>
      <c r="B15" s="13" t="n">
        <v>5932.895</v>
      </c>
      <c r="C15" s="13" t="n">
        <v>9932.895</v>
      </c>
      <c r="D15" s="13" t="n">
        <v>9932.895</v>
      </c>
      <c r="E15" s="13" t="n">
        <v>9932.895</v>
      </c>
    </row>
    <row r="16">
      <c r="A16" s="7" t="inlineStr">
        <is>
          <t>Reserves and retained earnings</t>
        </is>
      </c>
      <c r="B16" s="13" t="n">
        <v>1316.686</v>
      </c>
      <c r="C16" s="13" t="n">
        <v>4627.209</v>
      </c>
      <c r="D16" s="13" t="n">
        <v>5430.17</v>
      </c>
      <c r="E16" s="13" t="n">
        <v>6273.191</v>
      </c>
    </row>
    <row r="17">
      <c r="A17" s="7" t="inlineStr">
        <is>
          <t>Long-term bank loans</t>
        </is>
      </c>
      <c r="B17" s="13" t="n">
        <v>8424.870999999999</v>
      </c>
      <c r="C17" s="13" t="n">
        <v>11226.246</v>
      </c>
      <c r="D17" s="13" t="n">
        <v>11183.315</v>
      </c>
      <c r="E17" s="13" t="n">
        <v>14386.056</v>
      </c>
    </row>
    <row r="18">
      <c r="A18" s="7" t="inlineStr">
        <is>
          <t>Holding-company loans</t>
        </is>
      </c>
      <c r="B18" s="13" t="n">
        <v>50.266</v>
      </c>
      <c r="C18" s="13" t="n">
        <v>0</v>
      </c>
      <c r="D18" s="13" t="n">
        <v>596.896</v>
      </c>
      <c r="E18" s="13" t="n">
        <v>45.955</v>
      </c>
    </row>
    <row r="19">
      <c r="A19" s="7" t="inlineStr">
        <is>
          <t>Deferred tax liability</t>
        </is>
      </c>
      <c r="B19" s="13" t="n">
        <v>1469.472</v>
      </c>
      <c r="C19" s="13" t="n">
        <v>1001.464</v>
      </c>
      <c r="D19" s="13" t="n">
        <v>990.8630000000001</v>
      </c>
      <c r="E19" s="13" t="n">
        <v>961.184</v>
      </c>
    </row>
    <row r="20">
      <c r="A20" s="7" t="inlineStr">
        <is>
          <t>Provisions</t>
        </is>
      </c>
      <c r="B20" s="13" t="n">
        <v>144.359</v>
      </c>
      <c r="C20" s="13" t="n">
        <v>432.156</v>
      </c>
      <c r="D20" s="13" t="n">
        <v>309.113</v>
      </c>
      <c r="E20" s="13" t="n">
        <v>291.769</v>
      </c>
    </row>
    <row r="21">
      <c r="A21" s="7" t="inlineStr">
        <is>
          <t>Payables and other</t>
        </is>
      </c>
      <c r="B21" s="13" t="n">
        <v>1367.845</v>
      </c>
      <c r="C21" s="13" t="n">
        <v>1587.001</v>
      </c>
      <c r="D21" s="13" t="n">
        <v>1207.768</v>
      </c>
      <c r="E21" s="13" t="n">
        <v>1538.968</v>
      </c>
    </row>
    <row r="22">
      <c r="A22" s="7" t="inlineStr">
        <is>
          <t>Current portion of long-term debt</t>
        </is>
      </c>
      <c r="B22" s="13" t="n">
        <v>21.391</v>
      </c>
      <c r="C22" s="13" t="n">
        <v>354.051</v>
      </c>
      <c r="D22" s="13" t="n">
        <v>397.314</v>
      </c>
      <c r="E22" s="13" t="n">
        <v>206.994</v>
      </c>
    </row>
    <row r="23">
      <c r="A23" s="7" t="inlineStr">
        <is>
          <t>Total equity and liabilities</t>
        </is>
      </c>
      <c r="B23" s="14">
        <f>SUM(B15:B22)</f>
        <v/>
      </c>
      <c r="C23" s="14">
        <f>SUM(C15:C22)</f>
        <v/>
      </c>
      <c r="D23" s="14">
        <f>SUM(D15:D22)</f>
        <v/>
      </c>
      <c r="E23" s="14">
        <f>SUM(E15:E22)</f>
        <v/>
      </c>
    </row>
    <row r="24">
      <c r="A24" s="7" t="inlineStr">
        <is>
          <t>Gross interest-bearing debt</t>
        </is>
      </c>
      <c r="B24" s="14">
        <f>B17+B18+B22</f>
        <v/>
      </c>
      <c r="C24" s="14">
        <f>C17+C18+C22</f>
        <v/>
      </c>
      <c r="D24" s="14">
        <f>D17+D18+D22</f>
        <v/>
      </c>
      <c r="E24" s="14">
        <f>E17+E18+E22</f>
        <v/>
      </c>
    </row>
    <row r="25">
      <c r="A25" s="7" t="inlineStr">
        <is>
          <t>Net debt</t>
        </is>
      </c>
      <c r="B25" s="14">
        <f>B24-B12</f>
        <v/>
      </c>
      <c r="C25" s="14">
        <f>C24-C12</f>
        <v/>
      </c>
      <c r="D25" s="14">
        <f>D24-D12</f>
        <v/>
      </c>
      <c r="E25" s="14">
        <f>E24-E12</f>
        <v/>
      </c>
    </row>
    <row r="26"/>
    <row r="27">
      <c r="A27" s="19" t="inlineStr">
        <is>
          <t>FORECAST ROLL-FORWARD</t>
        </is>
      </c>
    </row>
    <row r="28">
      <c r="A28" s="6" t="inlineStr">
        <is>
          <t>EGP million</t>
        </is>
      </c>
      <c r="B28" s="6" t="inlineStr">
        <is>
          <t>FY2026/27</t>
        </is>
      </c>
      <c r="C28" s="6" t="inlineStr">
        <is>
          <t>FY2027/28</t>
        </is>
      </c>
      <c r="D28" s="6" t="inlineStr">
        <is>
          <t>FY2028/29</t>
        </is>
      </c>
      <c r="E28" s="6" t="inlineStr">
        <is>
          <t>FY2029/30</t>
        </is>
      </c>
      <c r="F28" s="6" t="inlineStr">
        <is>
          <t>FY2030/31</t>
        </is>
      </c>
    </row>
    <row r="29">
      <c r="A29" s="7" t="inlineStr">
        <is>
          <t>Property and construction, opening</t>
        </is>
      </c>
      <c r="B29" s="13" t="n">
        <v>18711.116</v>
      </c>
      <c r="C29" s="14">
        <f>B32</f>
        <v/>
      </c>
      <c r="D29" s="14">
        <f>C32</f>
        <v/>
      </c>
      <c r="E29" s="14">
        <f>D32</f>
        <v/>
      </c>
      <c r="F29" s="14">
        <f>E32</f>
        <v/>
      </c>
    </row>
    <row r="30">
      <c r="A30" s="7" t="inlineStr">
        <is>
          <t>Capital expenditure</t>
        </is>
      </c>
      <c r="B30" s="25">
        <f>-'DCF'!B12</f>
        <v/>
      </c>
      <c r="C30" s="25">
        <f>-'DCF'!C12</f>
        <v/>
      </c>
      <c r="D30" s="25">
        <f>-'DCF'!D12</f>
        <v/>
      </c>
      <c r="E30" s="25">
        <f>-'DCF'!E12</f>
        <v/>
      </c>
      <c r="F30" s="25">
        <f>-'DCF'!F12</f>
        <v/>
      </c>
    </row>
    <row r="31">
      <c r="A31" s="7" t="inlineStr">
        <is>
          <t>Depreciation and amortisation</t>
        </is>
      </c>
      <c r="B31" s="25">
        <f>'Segments'!B25</f>
        <v/>
      </c>
      <c r="C31" s="25">
        <f>'Segments'!C25</f>
        <v/>
      </c>
      <c r="D31" s="25">
        <f>'Segments'!D25</f>
        <v/>
      </c>
      <c r="E31" s="25">
        <f>'Segments'!E25</f>
        <v/>
      </c>
      <c r="F31" s="25">
        <f>'Segments'!F25</f>
        <v/>
      </c>
    </row>
    <row r="32">
      <c r="A32" s="7" t="inlineStr">
        <is>
          <t>Property and construction, closing</t>
        </is>
      </c>
      <c r="B32" s="14">
        <f>B29+B30-B31</f>
        <v/>
      </c>
      <c r="C32" s="14">
        <f>C29+C30-C31</f>
        <v/>
      </c>
      <c r="D32" s="14">
        <f>D29+D30-D31</f>
        <v/>
      </c>
      <c r="E32" s="14">
        <f>E29+E30-E31</f>
        <v/>
      </c>
      <c r="F32" s="14">
        <f>F29+F30-F31</f>
        <v/>
      </c>
    </row>
  </sheetData>
  <pageMargins left="0.3" right="0.3" top="0.4" bottom="0.4"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46" customWidth="1" min="5" max="5"/>
    <col width="14" customWidth="1" min="6" max="6"/>
  </cols>
  <sheetData>
    <row r="1">
      <c r="A1" s="5" t="inlineStr">
        <is>
          <t>CASH FLOW — WORKING CAPITAL FROM THE DISCLOSED DAY COUNTS</t>
        </is>
      </c>
    </row>
    <row r="2" ht="30" customHeight="1">
      <c r="A2" s="4" t="inlineStr">
        <is>
          <t>No plugs: receivables, inventory and payables are projected from the day counts the audited statements themselves imply, and the change feeds the free-cash-flow waterfall.</t>
        </is>
      </c>
    </row>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5">
        <f>'Segments'!B18</f>
        <v/>
      </c>
      <c r="C5" s="25">
        <f>'Segments'!C18</f>
        <v/>
      </c>
      <c r="D5" s="25">
        <f>'Segments'!D18</f>
        <v/>
      </c>
      <c r="E5" s="25">
        <f>'Segments'!E18</f>
        <v/>
      </c>
      <c r="F5" s="25">
        <f>'Segments'!F18</f>
        <v/>
      </c>
    </row>
    <row r="6">
      <c r="A6" s="7" t="inlineStr">
        <is>
          <t>Cost of sales</t>
        </is>
      </c>
      <c r="B6" s="25">
        <f>'Segments'!B26</f>
        <v/>
      </c>
      <c r="C6" s="25">
        <f>'Segments'!C26</f>
        <v/>
      </c>
      <c r="D6" s="25">
        <f>'Segments'!D26</f>
        <v/>
      </c>
      <c r="E6" s="25">
        <f>'Segments'!E26</f>
        <v/>
      </c>
      <c r="F6" s="25">
        <f>'Segments'!F26</f>
        <v/>
      </c>
    </row>
    <row r="7">
      <c r="A7" s="7" t="inlineStr">
        <is>
          <t>Receivables</t>
        </is>
      </c>
      <c r="B7" s="14">
        <f>B5*'Assumptions'!C149/365</f>
        <v/>
      </c>
      <c r="C7" s="14">
        <f>C5*'Assumptions'!C149/365</f>
        <v/>
      </c>
      <c r="D7" s="14">
        <f>D5*'Assumptions'!C149/365</f>
        <v/>
      </c>
      <c r="E7" s="14">
        <f>E5*'Assumptions'!C149/365</f>
        <v/>
      </c>
      <c r="F7" s="14">
        <f>F5*'Assumptions'!C149/365</f>
        <v/>
      </c>
    </row>
    <row r="8">
      <c r="A8" s="7" t="inlineStr">
        <is>
          <t>Inventory</t>
        </is>
      </c>
      <c r="B8" s="14">
        <f>B6*'Assumptions'!C150/365</f>
        <v/>
      </c>
      <c r="C8" s="14">
        <f>C6*'Assumptions'!C150/365</f>
        <v/>
      </c>
      <c r="D8" s="14">
        <f>D6*'Assumptions'!C150/365</f>
        <v/>
      </c>
      <c r="E8" s="14">
        <f>E6*'Assumptions'!C150/365</f>
        <v/>
      </c>
      <c r="F8" s="14">
        <f>F6*'Assumptions'!C150/365</f>
        <v/>
      </c>
    </row>
    <row r="9">
      <c r="A9" s="7" t="inlineStr">
        <is>
          <t>Payables</t>
        </is>
      </c>
      <c r="B9" s="14">
        <f>B6*'Assumptions'!C151/365</f>
        <v/>
      </c>
      <c r="C9" s="14">
        <f>C6*'Assumptions'!C151/365</f>
        <v/>
      </c>
      <c r="D9" s="14">
        <f>D6*'Assumptions'!C151/365</f>
        <v/>
      </c>
      <c r="E9" s="14">
        <f>E6*'Assumptions'!C151/365</f>
        <v/>
      </c>
      <c r="F9" s="14">
        <f>F6*'Assumptions'!C151/365</f>
        <v/>
      </c>
    </row>
    <row r="10">
      <c r="A10" s="7" t="inlineStr">
        <is>
          <t>Net working capital</t>
        </is>
      </c>
      <c r="B10" s="14">
        <f>B7+B8-B9</f>
        <v/>
      </c>
      <c r="C10" s="14">
        <f>C7+C8-C9</f>
        <v/>
      </c>
      <c r="D10" s="14">
        <f>D7+D8-D9</f>
        <v/>
      </c>
      <c r="E10" s="14">
        <f>E7+E8-E9</f>
        <v/>
      </c>
      <c r="F10" s="14">
        <f>F7+F8-F9</f>
        <v/>
      </c>
    </row>
    <row r="11">
      <c r="A11" s="10" t="inlineStr">
        <is>
          <t>Opening net working capital, 31 March 2026 as reported, net of the documentary credits inside the inventory line (note 11)</t>
        </is>
      </c>
      <c r="B11" s="13" t="n">
        <v>1662.024</v>
      </c>
    </row>
    <row r="12">
      <c r="A12" s="7" t="inlineStr">
        <is>
          <t>Change in net working capital</t>
        </is>
      </c>
      <c r="B12" s="14">
        <f>B10-B11</f>
        <v/>
      </c>
      <c r="C12" s="14">
        <f>C10-B10</f>
        <v/>
      </c>
      <c r="D12" s="14">
        <f>D10-C10</f>
        <v/>
      </c>
      <c r="E12" s="14">
        <f>E10-D10</f>
        <v/>
      </c>
      <c r="F12" s="14">
        <f>F10-E10</f>
        <v/>
      </c>
    </row>
    <row r="13"/>
    <row r="14">
      <c r="A14" s="19" t="inlineStr">
        <is>
          <t>Free cash flow to the firm</t>
        </is>
      </c>
      <c r="B14" s="25">
        <f>'DCF'!B14</f>
        <v/>
      </c>
      <c r="C14" s="25">
        <f>'DCF'!C14</f>
        <v/>
      </c>
      <c r="D14" s="25">
        <f>'DCF'!D14</f>
        <v/>
      </c>
      <c r="E14" s="25">
        <f>'DCF'!E14</f>
        <v/>
      </c>
      <c r="F14" s="25">
        <f>'DCF'!F14</f>
        <v/>
      </c>
    </row>
    <row r="15"/>
    <row r="16"/>
    <row r="17"/>
    <row r="18"/>
    <row r="19"/>
    <row r="20">
      <c r="A20" s="2" t="inlineStr">
        <is>
          <t>CAPITAL EXPENDITURE RECORD — WHAT THE COMPANY ACTUALLY SPENDS</t>
        </is>
      </c>
    </row>
    <row r="21">
      <c r="A21" s="6" t="inlineStr">
        <is>
          <t>Year</t>
        </is>
      </c>
      <c r="B21" s="6" t="inlineStr">
        <is>
          <t>Capital expenditure paid (EGP m)</t>
        </is>
      </c>
      <c r="C21" s="6" t="inlineStr">
        <is>
          <t>Revenue (EGP m)</t>
        </is>
      </c>
      <c r="D21" s="6" t="inlineStr">
        <is>
          <t>Of revenue</t>
        </is>
      </c>
      <c r="E21" s="6" t="inlineStr">
        <is>
          <t>What it was</t>
        </is>
      </c>
    </row>
    <row r="22">
      <c r="A22" s="7" t="inlineStr">
        <is>
          <t>FY2021/22</t>
        </is>
      </c>
      <c r="B22" s="20" t="n">
        <v>80.847245</v>
      </c>
      <c r="C22" s="13" t="n">
        <v>4440.701</v>
      </c>
      <c r="D22" s="9">
        <f>B22/C22</f>
        <v/>
      </c>
      <c r="E22" s="7" t="inlineStr">
        <is>
          <t>Before the project</t>
        </is>
      </c>
    </row>
    <row r="23">
      <c r="A23" s="7" t="inlineStr">
        <is>
          <t>FY2022/23</t>
        </is>
      </c>
      <c r="B23" s="20" t="n">
        <v>42.470154</v>
      </c>
      <c r="C23" s="13" t="n">
        <v>6612.226</v>
      </c>
      <c r="D23" s="9">
        <f>B23/C23</f>
        <v/>
      </c>
      <c r="E23" s="7" t="inlineStr">
        <is>
          <t>Before the project</t>
        </is>
      </c>
    </row>
    <row r="24">
      <c r="A24" s="7" t="inlineStr">
        <is>
          <t>FY2023/24</t>
        </is>
      </c>
      <c r="B24" s="20" t="n">
        <v>2396.608259</v>
      </c>
      <c r="C24" s="13" t="n">
        <v>6532.126</v>
      </c>
      <c r="D24" s="9">
        <f>B24/C24</f>
        <v/>
      </c>
      <c r="E24" s="7" t="inlineStr">
        <is>
          <t>The build begins</t>
        </is>
      </c>
    </row>
    <row r="25">
      <c r="A25" s="7" t="inlineStr">
        <is>
          <t>FY2024/25</t>
        </is>
      </c>
      <c r="B25" s="20" t="n">
        <v>1545.053761</v>
      </c>
      <c r="C25" s="13" t="n">
        <v>8602.606</v>
      </c>
      <c r="D25" s="9">
        <f>B25/C25</f>
        <v/>
      </c>
      <c r="E25" s="7" t="inlineStr">
        <is>
          <t>Building</t>
        </is>
      </c>
    </row>
    <row r="26">
      <c r="A26" s="7" t="inlineStr">
        <is>
          <t>9M FY2025/26</t>
        </is>
      </c>
      <c r="B26" s="20" t="n">
        <v>1949.134461</v>
      </c>
      <c r="C26" s="13" t="n">
        <v>7314.933</v>
      </c>
      <c r="D26" s="9">
        <f>B26/C26</f>
        <v/>
      </c>
      <c r="E26" s="7" t="inlineStr">
        <is>
          <t>Nine months actual</t>
        </is>
      </c>
    </row>
    <row r="27"/>
    <row r="28">
      <c r="A28" s="10" t="inlineStr">
        <is>
          <t>Pre-project maintenance rate, the two clean years pooled</t>
        </is>
      </c>
      <c r="D28" s="15">
        <f>(B22+B23)/(C22+C23)</f>
        <v/>
      </c>
      <c r="E28" s="7" t="inlineStr">
        <is>
          <t>THE MAINTENANCE DRIVER. Assumptions reads this cell.</t>
        </is>
      </c>
    </row>
    <row r="29">
      <c r="A29" s="10" t="inlineStr">
        <is>
          <t>Replacement-rate framing, the published alternative</t>
        </is>
      </c>
      <c r="B29" s="13" t="n">
        <v>17022.493238</v>
      </c>
      <c r="C29" s="23" t="n">
        <v>0.0395</v>
      </c>
      <c r="D29" s="9">
        <f>B29*C29/B5</f>
        <v/>
      </c>
      <c r="E29" s="7" t="inlineStr">
        <is>
          <t>Gross fixed assets at the disclosed machinery rate, over first-forecast-year revenue. NOT used in the valuation — the downside case, published beside the central and never averaged in.</t>
        </is>
      </c>
    </row>
    <row r="30">
      <c r="A30" s="10" t="inlineStr">
        <is>
          <t>Full-year project spend at the observed run rate</t>
        </is>
      </c>
      <c r="B30" s="27">
        <f>B26*4/3</f>
        <v/>
      </c>
      <c r="E30" s="7" t="inlineStr">
        <is>
          <t>THE PROJECT PATH'S FIRST YEAR. Assumptions reads this cell.</t>
        </is>
      </c>
    </row>
    <row r="31">
      <c r="A31" s="10" t="inlineStr">
        <is>
          <t>Rate when the facility was signed, 25 June 2025</t>
        </is>
      </c>
      <c r="B31" s="12" t="n">
        <v>50</v>
      </c>
      <c r="E31" s="7" t="inlineStr">
        <is>
          <t>EGP per US dollar</t>
        </is>
      </c>
    </row>
    <row r="32">
      <c r="A32" s="10" t="inlineStr">
        <is>
          <t>Approved cost of the programme (EGP m)</t>
        </is>
      </c>
      <c r="B32" s="13" t="n">
        <v>6422.418</v>
      </c>
      <c r="C32" s="20" t="n">
        <v>278.385</v>
      </c>
      <c r="D32" s="14">
        <f>B32+C32*B31</f>
        <v/>
      </c>
      <c r="E32" s="7" t="inlineStr">
        <is>
          <t>EGP tranche, dollar tranche, and the two in one currency</t>
        </is>
      </c>
    </row>
    <row r="33">
      <c r="A33" s="10" t="inlineStr">
        <is>
          <t>Spent by 31 March 2026 (construction in progress)</t>
        </is>
      </c>
      <c r="B33" s="13" t="n">
        <v>5653.51</v>
      </c>
    </row>
    <row r="34">
      <c r="A34" s="7" t="inlineStr">
        <is>
          <t>Still to spend</t>
        </is>
      </c>
      <c r="D34" s="14">
        <f>D32-B33</f>
        <v/>
      </c>
      <c r="E34" s="7" t="inlineStr">
        <is>
          <t>THE PROJECT PATH'S LAST YEAR is this less the four before it, so the path completes the programme by construction</t>
        </is>
      </c>
    </row>
    <row r="35"/>
    <row r="36" ht="39" customHeight="1">
      <c r="A36" s="17" t="inlineStr">
        <is>
          <t>The two shaded years at the top are the answer to the question this block exists to settle. With nothing being built, this plant cost EGP 80.8m and then EGP 42.5m a year to keep running. Everything above that is the new complex, and it stops when the complex is finished.</t>
        </is>
      </c>
    </row>
  </sheetData>
  <pageMargins left="0.3" right="0.3" top="0.4" bottom="0.4"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c r="A1" s="5" t="inlineStr">
        <is>
          <t>SUMMARY FINANCIALS — THE WHOLE MODEL ON ONE PAGE</t>
        </is>
      </c>
    </row>
    <row r="2"/>
    <row r="3"/>
    <row r="4">
      <c r="A4" s="6" t="inlineStr">
        <is>
          <t>EGP million</t>
        </is>
      </c>
      <c r="B4" s="6" t="inlineStr">
        <is>
          <t>FY2026/27</t>
        </is>
      </c>
      <c r="C4" s="6" t="inlineStr">
        <is>
          <t>FY2027/28</t>
        </is>
      </c>
      <c r="D4" s="6" t="inlineStr">
        <is>
          <t>FY2028/29</t>
        </is>
      </c>
      <c r="E4" s="6" t="inlineStr">
        <is>
          <t>FY2029/30</t>
        </is>
      </c>
      <c r="F4" s="6" t="inlineStr">
        <is>
          <t>FY2030/31</t>
        </is>
      </c>
    </row>
    <row r="5">
      <c r="A5" s="7" t="inlineStr">
        <is>
          <t>Revenue</t>
        </is>
      </c>
      <c r="B5" s="25">
        <f>'DCF'!B5</f>
        <v/>
      </c>
      <c r="C5" s="25">
        <f>'DCF'!C5</f>
        <v/>
      </c>
      <c r="D5" s="25">
        <f>'DCF'!D5</f>
        <v/>
      </c>
      <c r="E5" s="25">
        <f>'DCF'!E5</f>
        <v/>
      </c>
      <c r="F5" s="25">
        <f>'DCF'!F5</f>
        <v/>
      </c>
    </row>
    <row r="6">
      <c r="A6" s="7" t="inlineStr">
        <is>
          <t>EBITDA</t>
        </is>
      </c>
      <c r="B6" s="25">
        <f>'DCF'!B6</f>
        <v/>
      </c>
      <c r="C6" s="25">
        <f>'DCF'!C6</f>
        <v/>
      </c>
      <c r="D6" s="25">
        <f>'DCF'!D6</f>
        <v/>
      </c>
      <c r="E6" s="25">
        <f>'DCF'!E6</f>
        <v/>
      </c>
      <c r="F6" s="25">
        <f>'DCF'!F6</f>
        <v/>
      </c>
    </row>
    <row r="7">
      <c r="A7" s="7" t="inlineStr">
        <is>
          <t>EBITDA margin</t>
        </is>
      </c>
      <c r="B7" s="26">
        <f>'DCF'!B7</f>
        <v/>
      </c>
      <c r="C7" s="26">
        <f>'DCF'!C7</f>
        <v/>
      </c>
      <c r="D7" s="26">
        <f>'DCF'!D7</f>
        <v/>
      </c>
      <c r="E7" s="26">
        <f>'DCF'!E7</f>
        <v/>
      </c>
      <c r="F7" s="26">
        <f>'DCF'!F7</f>
        <v/>
      </c>
    </row>
    <row r="8">
      <c r="A8" s="7" t="inlineStr">
        <is>
          <t>EBIT</t>
        </is>
      </c>
      <c r="B8" s="25">
        <f>'DCF'!B9</f>
        <v/>
      </c>
      <c r="C8" s="25">
        <f>'DCF'!C9</f>
        <v/>
      </c>
      <c r="D8" s="25">
        <f>'DCF'!D9</f>
        <v/>
      </c>
      <c r="E8" s="25">
        <f>'DCF'!E9</f>
        <v/>
      </c>
      <c r="F8" s="25">
        <f>'DCF'!F9</f>
        <v/>
      </c>
    </row>
    <row r="9">
      <c r="A9" s="7" t="inlineStr">
        <is>
          <t>NOPAT</t>
        </is>
      </c>
      <c r="B9" s="25">
        <f>'DCF'!B10</f>
        <v/>
      </c>
      <c r="C9" s="25">
        <f>'DCF'!C10</f>
        <v/>
      </c>
      <c r="D9" s="25">
        <f>'DCF'!D10</f>
        <v/>
      </c>
      <c r="E9" s="25">
        <f>'DCF'!E10</f>
        <v/>
      </c>
      <c r="F9" s="25">
        <f>'DCF'!F10</f>
        <v/>
      </c>
    </row>
    <row r="10">
      <c r="A10" s="7" t="inlineStr">
        <is>
          <t>Capital expenditure</t>
        </is>
      </c>
      <c r="B10" s="25">
        <f>-'DCF'!B12</f>
        <v/>
      </c>
      <c r="C10" s="25">
        <f>-'DCF'!C12</f>
        <v/>
      </c>
      <c r="D10" s="25">
        <f>-'DCF'!D12</f>
        <v/>
      </c>
      <c r="E10" s="25">
        <f>-'DCF'!E12</f>
        <v/>
      </c>
      <c r="F10" s="25">
        <f>-'DCF'!F12</f>
        <v/>
      </c>
    </row>
    <row r="11">
      <c r="A11" s="7" t="inlineStr">
        <is>
          <t>Free cash flow to the firm</t>
        </is>
      </c>
      <c r="B11" s="25">
        <f>'DCF'!B14</f>
        <v/>
      </c>
      <c r="C11" s="25">
        <f>'DCF'!C14</f>
        <v/>
      </c>
      <c r="D11" s="25">
        <f>'DCF'!D14</f>
        <v/>
      </c>
      <c r="E11" s="25">
        <f>'DCF'!E14</f>
        <v/>
      </c>
      <c r="F11" s="25">
        <f>'DCF'!F14</f>
        <v/>
      </c>
    </row>
    <row r="12">
      <c r="A12" s="7" t="inlineStr">
        <is>
          <t>Present value</t>
        </is>
      </c>
      <c r="B12" s="25">
        <f>'DCF'!B17</f>
        <v/>
      </c>
      <c r="C12" s="25">
        <f>'DCF'!C17</f>
        <v/>
      </c>
      <c r="D12" s="25">
        <f>'DCF'!D17</f>
        <v/>
      </c>
      <c r="E12" s="25">
        <f>'DCF'!E17</f>
        <v/>
      </c>
      <c r="F12" s="25">
        <f>'DCF'!F17</f>
        <v/>
      </c>
    </row>
    <row r="13">
      <c r="A13" s="7" t="inlineStr">
        <is>
          <t>Urea output (tonnes)</t>
        </is>
      </c>
      <c r="B13" s="25">
        <f>'Segments'!B5</f>
        <v/>
      </c>
      <c r="C13" s="25">
        <f>'Segments'!C5</f>
        <v/>
      </c>
      <c r="D13" s="25">
        <f>'Segments'!D5</f>
        <v/>
      </c>
      <c r="E13" s="25">
        <f>'Segments'!E5</f>
        <v/>
      </c>
      <c r="F13" s="25">
        <f>'Segments'!F5</f>
        <v/>
      </c>
    </row>
    <row r="14">
      <c r="A14" s="7" t="inlineStr">
        <is>
          <t>Export tonnes</t>
        </is>
      </c>
      <c r="B14" s="25">
        <f>'Segments'!B9</f>
        <v/>
      </c>
      <c r="C14" s="25">
        <f>'Segments'!C9</f>
        <v/>
      </c>
      <c r="D14" s="25">
        <f>'Segments'!D9</f>
        <v/>
      </c>
      <c r="E14" s="25">
        <f>'Segments'!E9</f>
        <v/>
      </c>
      <c r="F14" s="25">
        <f>'Segments'!F9</f>
        <v/>
      </c>
    </row>
    <row r="15">
      <c r="A15" s="7" t="inlineStr">
        <is>
          <t>Export price (US$/t)</t>
        </is>
      </c>
      <c r="B15" s="31">
        <f>'Assumptions'!C33</f>
        <v/>
      </c>
      <c r="C15" s="31">
        <f>'Assumptions'!C34</f>
        <v/>
      </c>
      <c r="D15" s="31">
        <f>'Assumptions'!C35</f>
        <v/>
      </c>
      <c r="E15" s="31">
        <f>'Assumptions'!C36</f>
        <v/>
      </c>
      <c r="F15" s="31">
        <f>'Assumptions'!C37</f>
        <v/>
      </c>
    </row>
    <row r="16"/>
    <row r="17">
      <c r="A17" s="2" t="inlineStr">
        <is>
          <t>YEARS THREE TO FIVE AS RANGES — multipliers measured on the company's own history</t>
        </is>
      </c>
    </row>
    <row r="18">
      <c r="A18" s="4" t="inlineStr">
        <is>
          <t>Every figure below carries the number of tested cases it rests on; years one and two are left as points.</t>
        </is>
      </c>
    </row>
    <row r="19">
      <c r="A19" s="7" t="inlineStr">
        <is>
          <t>Revenue — low multiplier</t>
        </is>
      </c>
      <c r="B19" s="7" t="inlineStr">
        <is>
          <t>x</t>
        </is>
      </c>
      <c r="D19" s="12" t="n">
        <v>0.1069686834967414</v>
      </c>
      <c r="E19" s="12" t="n">
        <v>0.03552011926544611</v>
      </c>
      <c r="F19" s="12" t="n">
        <v>0.08110877268123269</v>
      </c>
    </row>
    <row r="20">
      <c r="A20" s="7" t="inlineStr">
        <is>
          <t>Revenue — high multiplier</t>
        </is>
      </c>
      <c r="B20" s="7" t="inlineStr">
        <is>
          <t>x</t>
        </is>
      </c>
      <c r="D20" s="12" t="n">
        <v>1.175302100818497</v>
      </c>
      <c r="E20" s="12" t="n">
        <v>1.200422895691029</v>
      </c>
      <c r="F20" s="12" t="n">
        <v>1.329161397512898</v>
      </c>
    </row>
    <row r="21">
      <c r="A21" s="7" t="inlineStr">
        <is>
          <t>Revenue — low of the range (EGP m)</t>
        </is>
      </c>
      <c r="D21" s="25">
        <f>'DCF'!D5*D19</f>
        <v/>
      </c>
      <c r="E21" s="25">
        <f>'DCF'!E5*E19</f>
        <v/>
      </c>
      <c r="F21" s="25">
        <f>'DCF'!F5*F19</f>
        <v/>
      </c>
    </row>
    <row r="22">
      <c r="A22" s="10" t="inlineStr">
        <is>
          <t>Revenue — high of the range (EGP m)</t>
        </is>
      </c>
      <c r="D22" s="25">
        <f>'DCF'!D5*D20</f>
        <v/>
      </c>
      <c r="E22" s="25">
        <f>'DCF'!E5*E20</f>
        <v/>
      </c>
      <c r="F22" s="25">
        <f>'DCF'!F5*F20</f>
        <v/>
      </c>
    </row>
    <row r="23">
      <c r="A23" s="10" t="inlineStr">
        <is>
          <t>Tested cases behind the revenue band</t>
        </is>
      </c>
      <c r="D23" s="13" t="n">
        <v>11</v>
      </c>
      <c r="E23" s="13" t="n">
        <v>10</v>
      </c>
      <c r="F23" s="13" t="n">
        <v>9</v>
      </c>
    </row>
  </sheetData>
  <pageMargins left="0.3" right="0.3" top="0.4" bottom="0.4"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E27"/>
  <sheetViews>
    <sheetView workbookViewId="0">
      <selection activeCell="A1" sqref="A1"/>
    </sheetView>
  </sheetViews>
  <sheetFormatPr baseColWidth="8" defaultRowHeight="15"/>
  <cols>
    <col width="22" customWidth="1" min="1" max="1"/>
    <col width="16" customWidth="1" min="2" max="2"/>
    <col width="16" customWidth="1" min="3" max="3"/>
    <col width="14" customWidth="1" min="4" max="4"/>
    <col width="14" customWidth="1" min="5" max="5"/>
  </cols>
  <sheetData>
    <row r="1">
      <c r="A1" s="5" t="inlineStr">
        <is>
          <t>PROBABILISTIC PRICE MAP — SIMULATION OUTPUT</t>
        </is>
      </c>
    </row>
    <row r="2" ht="30" customHeight="1">
      <c r="A2" s="4" t="inlineStr">
        <is>
          <t>PASTED CLASS 3. These are statistics of a fifty-thousand-path simulation of the traded price, run on the same cleaned price history the rest of the study uses. THIS SHEET DOES NOT REDRAW when a valuation driver changes: it is a map of where the price may go, not of what the business is worth.</t>
        </is>
      </c>
    </row>
    <row r="3"/>
    <row r="4">
      <c r="A4" s="6" t="inlineStr">
        <is>
          <t>Percentile</t>
        </is>
      </c>
      <c r="B4" s="6" t="inlineStr">
        <is>
          <t>One month (EGP)</t>
        </is>
      </c>
      <c r="C4" s="6" t="inlineStr">
        <is>
          <t>Three months (EGP)</t>
        </is>
      </c>
      <c r="D4" s="6" t="inlineStr">
        <is>
          <t>Against spot, 1M</t>
        </is>
      </c>
      <c r="E4" s="6" t="inlineStr">
        <is>
          <t>Against spot, 3M</t>
        </is>
      </c>
    </row>
    <row r="5">
      <c r="A5" s="7" t="inlineStr">
        <is>
          <t>Percentile 5</t>
        </is>
      </c>
      <c r="B5" s="12" t="n">
        <v>12.12</v>
      </c>
      <c r="C5" s="12" t="n">
        <v>10.84</v>
      </c>
      <c r="D5" s="9">
        <f>B5/$B$12-1</f>
        <v/>
      </c>
      <c r="E5" s="9">
        <f>C5/$B$12-1</f>
        <v/>
      </c>
    </row>
    <row r="6">
      <c r="A6" s="7" t="inlineStr">
        <is>
          <t>Percentile 25</t>
        </is>
      </c>
      <c r="B6" s="12" t="n">
        <v>13.45</v>
      </c>
      <c r="C6" s="12" t="n">
        <v>13.21</v>
      </c>
      <c r="D6" s="9">
        <f>B6/$B$12-1</f>
        <v/>
      </c>
      <c r="E6" s="9">
        <f>C6/$B$12-1</f>
        <v/>
      </c>
    </row>
    <row r="7">
      <c r="A7" s="7" t="inlineStr">
        <is>
          <t>Percentile 50</t>
        </is>
      </c>
      <c r="B7" s="12" t="n">
        <v>14.26</v>
      </c>
      <c r="C7" s="12" t="n">
        <v>14.77</v>
      </c>
      <c r="D7" s="9">
        <f>B7/$B$12-1</f>
        <v/>
      </c>
      <c r="E7" s="9">
        <f>C7/$B$12-1</f>
        <v/>
      </c>
    </row>
    <row r="8">
      <c r="A8" s="7" t="inlineStr">
        <is>
          <t>Percentile 75</t>
        </is>
      </c>
      <c r="B8" s="12" t="n">
        <v>15.11</v>
      </c>
      <c r="C8" s="12" t="n">
        <v>16.5</v>
      </c>
      <c r="D8" s="9">
        <f>B8/$B$12-1</f>
        <v/>
      </c>
      <c r="E8" s="9">
        <f>C8/$B$12-1</f>
        <v/>
      </c>
    </row>
    <row r="9">
      <c r="A9" s="7" t="inlineStr">
        <is>
          <t>Percentile 95</t>
        </is>
      </c>
      <c r="B9" s="12" t="n">
        <v>16.77</v>
      </c>
      <c r="C9" s="12" t="n">
        <v>20.09</v>
      </c>
      <c r="D9" s="9">
        <f>B9/$B$12-1</f>
        <v/>
      </c>
      <c r="E9" s="9">
        <f>C9/$B$12-1</f>
        <v/>
      </c>
    </row>
    <row r="10"/>
    <row r="11">
      <c r="A11" s="10" t="inlineStr">
        <is>
          <t>Probability the price ends above today's</t>
        </is>
      </c>
      <c r="B11" s="15" t="n">
        <v>0.59134</v>
      </c>
      <c r="C11" s="15" t="n">
        <v>0.6311600000000001</v>
      </c>
    </row>
    <row r="12">
      <c r="A12" s="10" t="inlineStr">
        <is>
          <t>Spot at the anchor date</t>
        </is>
      </c>
      <c r="B12" s="12" t="n">
        <v>14.41</v>
      </c>
    </row>
    <row r="13">
      <c r="A13" s="7" t="inlineStr">
        <is>
          <t>Anchor date</t>
        </is>
      </c>
      <c r="B13" s="7" t="inlineStr">
        <is>
          <t>2026-08-06</t>
        </is>
      </c>
    </row>
    <row r="14">
      <c r="A14" s="7" t="inlineStr">
        <is>
          <t>Check date</t>
        </is>
      </c>
      <c r="B14" s="7" t="inlineStr">
        <is>
          <t>2026-09-06</t>
        </is>
      </c>
      <c r="C14" s="7" t="inlineStr">
        <is>
          <t>2026-11-08</t>
        </is>
      </c>
    </row>
    <row r="15"/>
    <row r="16">
      <c r="A16" s="2" t="inlineStr">
        <is>
          <t>LEVEL-TOUCH LADDER — probability the price TRADES THROUGH a level at any point before the check date</t>
        </is>
      </c>
    </row>
    <row r="17">
      <c r="A17" s="6" t="inlineStr">
        <is>
          <t>Level</t>
        </is>
      </c>
      <c r="B17" s="6" t="inlineStr">
        <is>
          <t>One month</t>
        </is>
      </c>
      <c r="C17" s="6" t="inlineStr">
        <is>
          <t>Three months</t>
        </is>
      </c>
    </row>
    <row r="18">
      <c r="A18" s="7" t="inlineStr">
        <is>
          <t>Up 5%</t>
        </is>
      </c>
      <c r="B18" s="15" t="n">
        <v>0.56936</v>
      </c>
      <c r="C18" s="15" t="n">
        <v>0.79774</v>
      </c>
    </row>
    <row r="19">
      <c r="A19" s="7" t="inlineStr">
        <is>
          <t>Up 10%</t>
        </is>
      </c>
      <c r="B19" s="15" t="n">
        <v>0.30078</v>
      </c>
      <c r="C19" s="15" t="n">
        <v>0.62622</v>
      </c>
    </row>
    <row r="20">
      <c r="A20" s="7" t="inlineStr">
        <is>
          <t>Up 15%</t>
        </is>
      </c>
      <c r="B20" s="15" t="n">
        <v>0.1504</v>
      </c>
      <c r="C20" s="15" t="n">
        <v>0.47416</v>
      </c>
    </row>
    <row r="21">
      <c r="A21" s="7" t="inlineStr">
        <is>
          <t>Up 20%</t>
        </is>
      </c>
      <c r="B21" s="15" t="n">
        <v>0.07575999999999999</v>
      </c>
      <c r="C21" s="15" t="n">
        <v>0.3513</v>
      </c>
    </row>
    <row r="22">
      <c r="A22" s="7" t="inlineStr">
        <is>
          <t>Down 5%</t>
        </is>
      </c>
      <c r="B22" s="15" t="n">
        <v>0.40288</v>
      </c>
      <c r="C22" s="15" t="n">
        <v>0.6025199999999999</v>
      </c>
    </row>
    <row r="23">
      <c r="A23" s="7" t="inlineStr">
        <is>
          <t>Down 10%</t>
        </is>
      </c>
      <c r="B23" s="15" t="n">
        <v>0.16326</v>
      </c>
      <c r="C23" s="15" t="n">
        <v>0.3747</v>
      </c>
    </row>
    <row r="24">
      <c r="A24" s="7" t="inlineStr">
        <is>
          <t>Down 15%</t>
        </is>
      </c>
      <c r="B24" s="15" t="n">
        <v>0.062</v>
      </c>
      <c r="C24" s="15" t="n">
        <v>0.22228</v>
      </c>
    </row>
    <row r="25">
      <c r="A25" s="7" t="inlineStr">
        <is>
          <t>Down 20%</t>
        </is>
      </c>
      <c r="B25" s="15" t="n">
        <v>0.0241</v>
      </c>
      <c r="C25" s="15" t="n">
        <v>0.13014</v>
      </c>
    </row>
    <row r="26"/>
    <row r="27" ht="52" customHeight="1">
      <c r="A27" s="17" t="inlineStr">
        <is>
          <t>How this was tested. The same method was run backwards over the company's own fifteen-year price history in non-overlapping three-month windows and scored against a random walk. Over the last five years of those windows it beat the random walk, and the outcomes fell across the predicted bands roughly evenly. The statistics are quoted in the study text.</t>
        </is>
      </c>
    </row>
  </sheetData>
  <pageMargins left="0.3" right="0.3" top="0.4" bottom="0.4"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31"/>
  <sheetViews>
    <sheetView workbookViewId="0">
      <selection activeCell="A1" sqref="A1"/>
    </sheetView>
  </sheetViews>
  <sheetFormatPr baseColWidth="8" defaultRowHeight="15"/>
  <cols>
    <col width="42" customWidth="1" min="1" max="1"/>
    <col width="46" customWidth="1" min="2" max="2"/>
    <col width="13" customWidth="1" min="3" max="3"/>
    <col width="20" customWidth="1" min="4" max="4"/>
    <col width="15" customWidth="1" min="5" max="5"/>
    <col width="15" customWidth="1" min="6" max="6"/>
  </cols>
  <sheetData>
    <row r="1">
      <c r="A1" s="1" t="inlineStr">
        <is>
          <t>SENSITIVITY — WHOLE-MODEL RE-RUNS</t>
        </is>
      </c>
    </row>
    <row r="2" ht="30" customHeight="1">
      <c r="A2" s="4" t="inlineStr">
        <is>
          <t>PASTED CLASS 3. Each cell is a complete revaluation at that pair of inputs. THIS GRID DOES NOT REDRAW when a driver changes on Assumptions.</t>
        </is>
      </c>
    </row>
    <row r="3"/>
    <row r="4">
      <c r="A4" s="2" t="inlineStr">
        <is>
          <t>Value per share (EGP) — long-run export price against the terminal cost of capital</t>
        </is>
      </c>
    </row>
    <row r="5">
      <c r="B5" s="6" t="inlineStr">
        <is>
          <t>17.0% terminal</t>
        </is>
      </c>
      <c r="C5" s="6" t="inlineStr">
        <is>
          <t>18.5% terminal</t>
        </is>
      </c>
      <c r="D5" s="6" t="inlineStr">
        <is>
          <t>20.4% terminal</t>
        </is>
      </c>
      <c r="E5" s="6" t="inlineStr">
        <is>
          <t>22.0% terminal</t>
        </is>
      </c>
      <c r="F5" s="6" t="inlineStr">
        <is>
          <t>24.0% terminal</t>
        </is>
      </c>
    </row>
    <row r="6">
      <c r="A6" s="7" t="inlineStr">
        <is>
          <t>US$ 380/t long-run export price</t>
        </is>
      </c>
      <c r="B6" s="12" t="n">
        <v>-0.3</v>
      </c>
      <c r="C6" s="12" t="n">
        <v>-0.67</v>
      </c>
      <c r="D6" s="12" t="n">
        <v>-1.02</v>
      </c>
      <c r="E6" s="12" t="n">
        <v>-1.25</v>
      </c>
      <c r="F6" s="12" t="n">
        <v>-1.48</v>
      </c>
    </row>
    <row r="7">
      <c r="A7" s="7" t="inlineStr">
        <is>
          <t>US$ 420/t long-run export price</t>
        </is>
      </c>
      <c r="B7" s="12" t="n">
        <v>2.23</v>
      </c>
      <c r="C7" s="12" t="n">
        <v>1.65</v>
      </c>
      <c r="D7" s="12" t="n">
        <v>1.1</v>
      </c>
      <c r="E7" s="12" t="n">
        <v>0.75</v>
      </c>
      <c r="F7" s="12" t="n">
        <v>0.4</v>
      </c>
    </row>
    <row r="8">
      <c r="A8" s="7" t="inlineStr">
        <is>
          <t>US$ 460/t long-run export price</t>
        </is>
      </c>
      <c r="B8" s="12" t="n">
        <v>4.76</v>
      </c>
      <c r="C8" s="12" t="n">
        <v>3.97</v>
      </c>
      <c r="D8" s="12" t="n">
        <v>3.22</v>
      </c>
      <c r="E8" s="12" t="n">
        <v>2.74</v>
      </c>
      <c r="F8" s="12" t="n">
        <v>2.27</v>
      </c>
    </row>
    <row r="9">
      <c r="A9" s="7" t="inlineStr">
        <is>
          <t>US$ 500/t long-run export price</t>
        </is>
      </c>
      <c r="B9" s="12" t="n">
        <v>7.28</v>
      </c>
      <c r="C9" s="12" t="n">
        <v>6.29</v>
      </c>
      <c r="D9" s="12" t="n">
        <v>5.35</v>
      </c>
      <c r="E9" s="12" t="n">
        <v>4.74</v>
      </c>
      <c r="F9" s="12" t="n">
        <v>4.14</v>
      </c>
    </row>
    <row r="10">
      <c r="A10" s="7" t="inlineStr">
        <is>
          <t>US$ 540/t long-run export price</t>
        </is>
      </c>
      <c r="B10" s="12" t="n">
        <v>9.81</v>
      </c>
      <c r="C10" s="12" t="n">
        <v>8.609999999999999</v>
      </c>
      <c r="D10" s="12" t="n">
        <v>7.47</v>
      </c>
      <c r="E10" s="12" t="n">
        <v>6.74</v>
      </c>
      <c r="F10" s="12" t="n">
        <v>6.02</v>
      </c>
    </row>
    <row r="11"/>
    <row r="12"/>
    <row r="13" ht="52" customHeight="1">
      <c r="A13" s="17" t="inlineStr">
        <is>
          <t>The crux in observable units. Both inputs are observable rather than matters of opinion: the first prints daily on a listed futures contract, the second can be read against the sovereign's own borrowing cost. A reader who believes urea holds above US$540 for a decade, or that Egyptian equity risk clears below its sovereign, is reading a different cell rather than disagreeing with the arithmetic.</t>
        </is>
      </c>
    </row>
    <row r="14"/>
    <row r="15">
      <c r="A15" s="2" t="inlineStr">
        <is>
          <t>THE CONTESTED CONSTRUCTIONS — one component moved, model re-run</t>
        </is>
      </c>
      <c r="C15" s="7" t="inlineStr">
        <is>
          <t>The published answer</t>
        </is>
      </c>
      <c r="D15" s="11">
        <f>'DCF'!B44</f>
        <v/>
      </c>
    </row>
    <row r="16">
      <c r="A16" s="6" t="inlineStr">
        <is>
          <t>Choice made</t>
        </is>
      </c>
      <c r="B16" s="6" t="inlineStr">
        <is>
          <t>The alternative</t>
        </is>
      </c>
      <c r="C16" s="6" t="inlineStr">
        <is>
          <t>EGP/share</t>
        </is>
      </c>
      <c r="D16" s="6" t="inlineStr">
        <is>
          <t>Against the published</t>
        </is>
      </c>
    </row>
    <row r="17" ht="26" customHeight="1">
      <c r="A17" s="10" t="inlineStr">
        <is>
          <t>No export duty, because Ministerial Decision 340 of 2026 cancelled the levy with effect from 1 August 2026 — five weeks before this study's strike</t>
        </is>
      </c>
      <c r="B17" s="10" t="inlineStr">
        <is>
          <t>The 10% ad-valorem duty back, charged on every export tonne for ever (6.0079), or at half that rate (7.6216)</t>
        </is>
      </c>
      <c r="C17" s="12" t="n">
        <v>6.007894010425169</v>
      </c>
      <c r="D17" s="11">
        <f>C17-$D$15</f>
        <v/>
      </c>
    </row>
    <row r="18" ht="26" customHeight="1">
      <c r="A18" s="10" t="inlineStr">
        <is>
          <t>The new complex's granulated ammonium nitrate priced at the SAME PRODUCT'S OWN DISCLOSED REALISED PRICE — EGP 20,000/t from note 20, carried on the currency exactly as the existing nitrate business is</t>
        </is>
      </c>
      <c r="B18" s="10" t="inlineStr">
        <is>
          <t>Priced at the retired typed US$280/t, the weakest-sourced input in a 304-input register, whose source string was four words long and named no assessor, series, date or basis (8.5859)</t>
        </is>
      </c>
      <c r="C18" s="12" t="n">
        <v>8.585904517238273</v>
      </c>
      <c r="D18" s="11">
        <f>C18-$D$15</f>
        <v/>
      </c>
    </row>
    <row r="19" ht="26" customHeight="1">
      <c r="A19" s="10" t="inlineStr">
        <is>
          <t>Country risk priced off the sovereign's traded default swap</t>
        </is>
      </c>
      <c r="B19" s="10" t="inlineStr">
        <is>
          <t>Priced off the sovereign's credit rating instead, which is the wider of the two spreads and gives a cost of capital 104 basis points higher</t>
        </is>
      </c>
      <c r="C19" s="12" t="n">
        <v>6.049238568022454</v>
      </c>
      <c r="D19" s="11">
        <f>C19-$D$15</f>
        <v/>
      </c>
    </row>
    <row r="20" ht="26" customHeight="1">
      <c r="A20" s="10" t="inlineStr">
        <is>
          <t>A cost of capital that glides from its spot build to a terminal rate made from its own long-run components</t>
        </is>
      </c>
      <c r="B20" s="10" t="inlineStr">
        <is>
          <t>One flat spot rate applied to every explicit year and to the perpetuity</t>
        </is>
      </c>
      <c r="C20" s="12" t="n">
        <v>3.145577030925056</v>
      </c>
      <c r="D20" s="11">
        <f>C20-$D$15</f>
        <v/>
      </c>
    </row>
    <row r="21" ht="26" customHeight="1">
      <c r="A21" s="10" t="inlineStr">
        <is>
          <t>Terminal growth at the central bank's medium-term inflation target</t>
        </is>
      </c>
      <c r="B21" s="10" t="inlineStr">
        <is>
          <t>Two percentage points below it, which is negative real maintenance growth</t>
        </is>
      </c>
      <c r="C21" s="12" t="n">
        <v>5.848175733657654</v>
      </c>
      <c r="D21" s="11">
        <f>C21-$D$15</f>
        <v/>
      </c>
    </row>
    <row r="22" ht="26" customHeight="1">
      <c r="A22" s="10" t="inlineStr">
        <is>
          <t>The cost of debt at the company's own disclosed rates — 19.4% on the local facility, 11.7% in dollars on the project loan carried at local-equivalent cost on the derived currency path, 24.4% in year one gliding to 13.9% at the terminal</t>
        </is>
      </c>
      <c r="B22" s="10" t="inlineStr">
        <is>
          <t>Every leg floored at the 23.00% sovereign ten-year yield — the company's own facilities print no spread above the policy rate, so no spread is added</t>
        </is>
      </c>
      <c r="C22" s="12" t="n">
        <v>6.762386572972461</v>
      </c>
      <c r="D22" s="11">
        <f>C22-$D$15</f>
        <v/>
      </c>
    </row>
    <row r="23" ht="26" customHeight="1">
      <c r="A23" s="10" t="inlineStr">
        <is>
          <t>Beta from the five-year weekly regression of the share against the published EGX30 index</t>
        </is>
      </c>
      <c r="B23" s="10" t="inlineStr">
        <is>
          <t>The lower bound of that regression's own 90% confidence interval</t>
        </is>
      </c>
      <c r="C23" s="12" t="n">
        <v>10.72755798678344</v>
      </c>
      <c r="D23" s="11">
        <f>C23-$D$15</f>
        <v/>
      </c>
    </row>
    <row r="24" ht="26" customHeight="1">
      <c r="A24" s="10" t="inlineStr">
        <is>
          <t>Gas at the realised price the company's own loss disclosure implies</t>
        </is>
      </c>
      <c r="B24" s="10" t="inlineStr">
        <is>
          <t>The contract formula price in the operating agreement, which is higher</t>
        </is>
      </c>
      <c r="C24" s="12" t="n">
        <v>5.988876947264754</v>
      </c>
      <c r="D24" s="11">
        <f>C24-$D$15</f>
        <v/>
      </c>
    </row>
    <row r="25" ht="26" customHeight="1">
      <c r="A25" s="10" t="inlineStr">
        <is>
          <t>The new complex earning at half its derived nameplate in the terminal year</t>
        </is>
      </c>
      <c r="B25" s="10" t="inlineStr">
        <is>
          <t>Seventy per cent, which is what a well-run nitrate line achieves</t>
        </is>
      </c>
      <c r="C25" s="12" t="n">
        <v>10.06273572951017</v>
      </c>
      <c r="D25" s="11">
        <f>C25-$D$15</f>
        <v/>
      </c>
    </row>
    <row r="26" ht="26" customHeight="1">
      <c r="A26" s="10" t="inlineStr">
        <is>
          <t>Maintenance capital expenditure at the company's own observed pre-project rate of 1.12% of revenue</t>
        </is>
      </c>
      <c r="B26" s="10" t="inlineStr">
        <is>
          <t>Replacement-rate maintenance: gross fixed assets at the disclosed 3.95% machinery depreciation rate, or 6.11% of revenue</t>
        </is>
      </c>
      <c r="C26" s="12" t="n">
        <v>8.237225793240649</v>
      </c>
      <c r="D26" s="11">
        <f>C26-$D$15</f>
        <v/>
      </c>
    </row>
    <row r="27" ht="26" customHeight="1">
      <c r="A27" s="10" t="inlineStr">
        <is>
          <t>Capital maintenance charged at what replacing the plant costs today, on the 4.45-year average age the accounts MEASURE — accumulated depreciation over the year's own charge</t>
        </is>
      </c>
      <c r="B27" s="10" t="inlineStr">
        <is>
          <t>Half the 22.1-year life the same accounts imply, 11.04 years, which is what has to be assumed where a company does not disclose enough to measure it</t>
        </is>
      </c>
      <c r="C27" s="12" t="n">
        <v>6.276678789271338</v>
      </c>
      <c r="D27" s="11">
        <f>C27-$D$15</f>
        <v/>
      </c>
    </row>
    <row r="28" ht="26" customHeight="1">
      <c r="A28" s="10" t="inlineStr">
        <is>
          <t>Gas consumption at 1,292 cubic metres a tonne of ammonia — the rate implied by allocating three quarters of the single disclosed materials line to gas, which carries the plant's disclosed losses as well as its standard usage</t>
        </is>
      </c>
      <c r="B28" s="10" t="inlineStr">
        <is>
          <t>The auditor's own disclosed STANDARD rate of 1,200 cubic metres a tonne, which is what the plant consumes when it runs to specification and excludes the losses</t>
        </is>
      </c>
      <c r="C28" s="12" t="n">
        <v>10.24650026555612</v>
      </c>
      <c r="D28" s="11">
        <f>C28-$D$15</f>
        <v/>
      </c>
    </row>
    <row r="29" ht="26" customHeight="1">
      <c r="A29" s="10" t="inlineStr">
        <is>
          <t>Project spending anchored on the observed run rate: the nine-month actual extended to a full year</t>
        </is>
      </c>
      <c r="B29" s="10" t="inlineStr">
        <is>
          <t>The faster profile the first issue of this study used, opening at EGP 3,000m</t>
        </is>
      </c>
      <c r="C29" s="12" t="n">
        <v>9.032017599293999</v>
      </c>
      <c r="D29" s="11">
        <f>C29-$D$15</f>
        <v/>
      </c>
    </row>
    <row r="30"/>
    <row r="31" ht="39" customHeight="1">
      <c r="A31" s="17" t="inlineStr">
        <is>
          <t>Each row is a complete re-run of the model through the same case machinery with one component moved and everything else held. Column C is pasted class 3 and DOES NOT REDRAW; column D is a formula against the published answer so the gap can never drift from the values beside it.</t>
        </is>
      </c>
    </row>
  </sheetData>
  <pageMargins left="0.3" right="0.3" top="0.4" bottom="0.4"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C15"/>
  <sheetViews>
    <sheetView workbookViewId="0">
      <selection activeCell="A1" sqref="A1"/>
    </sheetView>
  </sheetViews>
  <sheetFormatPr baseColWidth="8" defaultRowHeight="15"/>
  <cols>
    <col width="40" customWidth="1" min="1" max="1"/>
    <col width="15" customWidth="1" min="2" max="2"/>
    <col width="62" customWidth="1" min="3" max="3"/>
  </cols>
  <sheetData>
    <row r="1">
      <c r="A1" s="1" t="inlineStr">
        <is>
          <t>PER-SHARE FIGURES AND RATIOS</t>
        </is>
      </c>
    </row>
    <row r="2" ht="30" customHeight="1">
      <c r="A2" s="4" t="inlineStr">
        <is>
          <t>Every line a formula.</t>
        </is>
      </c>
    </row>
    <row r="3"/>
    <row r="4">
      <c r="A4" s="6" t="inlineStr">
        <is>
          <t>Measure</t>
        </is>
      </c>
      <c r="B4" s="6" t="inlineStr">
        <is>
          <t>Value</t>
        </is>
      </c>
      <c r="C4" s="6" t="inlineStr">
        <is>
          <t>Basis</t>
        </is>
      </c>
    </row>
    <row r="5" ht="14" customHeight="1">
      <c r="A5" s="7" t="inlineStr">
        <is>
          <t>Book value per share (EGP)</t>
        </is>
      </c>
      <c r="B5" s="11">
        <f>'Fundamental Valuation'!B6</f>
        <v/>
      </c>
      <c r="C5" s="10" t="inlineStr">
        <is>
          <t>Paid-in capital plus reserves at 31 March 2026 over the share count</t>
        </is>
      </c>
    </row>
    <row r="6" ht="14" customHeight="1">
      <c r="A6" s="7" t="inlineStr">
        <is>
          <t>Price to book the market pays</t>
        </is>
      </c>
      <c r="B6" s="11">
        <f>'Summary'!B16/'Fundamental Valuation'!B5</f>
        <v/>
      </c>
      <c r="C6" s="10" t="inlineStr"/>
    </row>
    <row r="7" ht="14" customHeight="1">
      <c r="A7" s="7" t="inlineStr">
        <is>
          <t>Sustainable return on equity</t>
        </is>
      </c>
      <c r="B7" s="9">
        <f>'Fundamental Valuation'!B13</f>
        <v/>
      </c>
      <c r="C7" s="10" t="inlineStr">
        <is>
          <t>Two-year average on underlying profit</t>
        </is>
      </c>
    </row>
    <row r="8" ht="14" customHeight="1">
      <c r="A8" s="7" t="inlineStr">
        <is>
          <t>Cost of equity</t>
        </is>
      </c>
      <c r="B8" s="16">
        <f>'Assumptions'!C105</f>
        <v/>
      </c>
      <c r="C8" s="10" t="inlineStr">
        <is>
          <t>Built on the Assumptions sheet, on the CDS premium basis</t>
        </is>
      </c>
    </row>
    <row r="9" ht="14" customHeight="1">
      <c r="A9" s="7" t="inlineStr">
        <is>
          <t>The gap the company has to close</t>
        </is>
      </c>
      <c r="B9" s="9">
        <f>B8-B7</f>
        <v/>
      </c>
      <c r="C9" s="10" t="inlineStr">
        <is>
          <t>A company earning below its cost of equity destroys value by growing</t>
        </is>
      </c>
    </row>
    <row r="10" ht="14" customHeight="1">
      <c r="A10" s="7" t="inlineStr">
        <is>
          <t>Net debt to EBITDA, FY2026/27</t>
        </is>
      </c>
      <c r="B10" s="27">
        <f>'DCF'!B41/'DCF'!B6</f>
        <v/>
      </c>
      <c r="C10" s="10" t="inlineStr">
        <is>
          <t>On the forward year</t>
        </is>
      </c>
    </row>
    <row r="11" ht="14" customHeight="1">
      <c r="A11" s="10" t="inlineStr">
        <is>
          <t>Enterprise value to EBITDA at the model's value</t>
        </is>
      </c>
      <c r="B11" s="27">
        <f>'DCF'!B37/'DCF'!B6</f>
        <v/>
      </c>
      <c r="C11" s="10" t="inlineStr"/>
    </row>
    <row r="12" ht="14" customHeight="1">
      <c r="A12" s="10" t="inlineStr">
        <is>
          <t>Enterprise value to EBITDA at the market price</t>
        </is>
      </c>
      <c r="B12" s="27">
        <f>('Summary'!B16+'DCF'!B41)/'DCF'!B6</f>
        <v/>
      </c>
      <c r="C12" s="10" t="inlineStr"/>
    </row>
    <row r="13" ht="14" customHeight="1">
      <c r="A13" s="10" t="inlineStr">
        <is>
          <t>Free cash flow per share, FY2026/27 (EGP)</t>
        </is>
      </c>
      <c r="B13" s="11">
        <f>'DCF'!B14*1000000/'Assumptions'!C6</f>
        <v/>
      </c>
      <c r="C13" s="10" t="inlineStr"/>
    </row>
    <row r="14" ht="14" customHeight="1">
      <c r="A14" s="10" t="inlineStr">
        <is>
          <t>Free cash flow per share, FY2030/31 (EGP)</t>
        </is>
      </c>
      <c r="B14" s="11">
        <f>'DCF'!F14*1000000/'Assumptions'!C6</f>
        <v/>
      </c>
      <c r="C14" s="10" t="inlineStr"/>
    </row>
    <row r="15" ht="14" customHeight="1">
      <c r="A15" s="7" t="inlineStr">
        <is>
          <t>Dividend per share</t>
        </is>
      </c>
      <c r="B15" s="12" t="n">
        <v>0</v>
      </c>
      <c r="C15" s="10" t="inlineStr">
        <is>
          <t>#,##0.00</t>
        </is>
      </c>
    </row>
  </sheetData>
  <pageMargins left="0.3" right="0.3" top="0.4" bottom="0.4"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E14"/>
  <sheetViews>
    <sheetView workbookViewId="0">
      <selection activeCell="A1" sqref="A1"/>
    </sheetView>
  </sheetViews>
  <sheetFormatPr baseColWidth="8" defaultRowHeight="15"/>
  <cols>
    <col width="28" customWidth="1" min="1" max="1"/>
    <col width="12" customWidth="1" min="2" max="2"/>
    <col width="18" customWidth="1" min="3" max="3"/>
    <col width="24" customWidth="1" min="4" max="4"/>
    <col width="56" customWidth="1" min="5" max="5"/>
  </cols>
  <sheetData>
    <row r="1">
      <c r="A1" s="1" t="inlineStr">
        <is>
          <t>PEER FRAME AND SECTOR</t>
        </is>
      </c>
    </row>
    <row r="2" ht="30" customHeight="1">
      <c r="A2" s="4" t="inlineStr">
        <is>
          <t>Cross-check only. Peer data is never a source for this company's own reported history.</t>
        </is>
      </c>
    </row>
    <row r="3"/>
    <row r="4">
      <c r="A4" s="6" t="inlineStr">
        <is>
          <t>Company</t>
        </is>
      </c>
      <c r="B4" s="6" t="inlineStr">
        <is>
          <t>Market</t>
        </is>
      </c>
      <c r="C4" s="6" t="inlineStr">
        <is>
          <t>Urea capacity (kt/yr)</t>
        </is>
      </c>
      <c r="D4" s="6" t="inlineStr">
        <is>
          <t>Location</t>
        </is>
      </c>
      <c r="E4" s="6" t="inlineStr">
        <is>
          <t>Why it matters here</t>
        </is>
      </c>
    </row>
    <row r="5" ht="40" customHeight="1">
      <c r="A5" s="7" t="inlineStr">
        <is>
          <t>Egyptian Chemical Industries</t>
        </is>
      </c>
      <c r="B5" s="7" t="inlineStr">
        <is>
          <t>EGX</t>
        </is>
      </c>
      <c r="C5" s="13" t="n">
        <v>574.875</v>
      </c>
      <c r="D5" s="7" t="inlineStr">
        <is>
          <t>Aswan, 1,000 km inland</t>
        </is>
      </c>
      <c r="E5" s="10" t="inlineStr">
        <is>
          <t>The subject. The only Egyptian nitrogen producer off the coast, which is why freight to port is its own disclosed cost line.</t>
        </is>
      </c>
    </row>
    <row r="6" ht="40" customHeight="1">
      <c r="A6" s="7" t="inlineStr">
        <is>
          <t>Abu Qir Fertilizers</t>
        </is>
      </c>
      <c r="B6" s="7" t="inlineStr">
        <is>
          <t>EGX</t>
        </is>
      </c>
      <c r="C6" s="13" t="n">
        <v>2000</v>
      </c>
      <c r="D6" s="7" t="inlineStr">
        <is>
          <t>Alexandria, coastal</t>
        </is>
      </c>
      <c r="E6" s="10" t="inlineStr">
        <is>
          <t>The listed comparator, and the marketer of the subject's ammonia exports for a fee of 12% of the export price. The subject held 2.7% of it and began selling down.</t>
        </is>
      </c>
    </row>
    <row r="7" ht="40" customHeight="1">
      <c r="A7" s="7" t="inlineStr">
        <is>
          <t>MOPCO</t>
        </is>
      </c>
      <c r="B7" s="7" t="inlineStr">
        <is>
          <t>Unlisted</t>
        </is>
      </c>
      <c r="C7" s="13" t="n">
        <v>1800</v>
      </c>
      <c r="D7" s="7" t="inlineStr">
        <is>
          <t>Damietta, coastal</t>
        </is>
      </c>
      <c r="E7" s="10" t="inlineStr">
        <is>
          <t>Curtailed alongside the rest of the industry in the 2026 gas squeeze; the subject's own urea is warehoused at Damietta for export.</t>
        </is>
      </c>
    </row>
    <row r="8" ht="40" customHeight="1">
      <c r="A8" s="7" t="inlineStr">
        <is>
          <t>Helwan Fertilizers and NCIC</t>
        </is>
      </c>
      <c r="B8" s="7" t="inlineStr">
        <is>
          <t>Unlisted</t>
        </is>
      </c>
      <c r="C8" s="13" t="n">
        <v>1300</v>
      </c>
      <c r="D8" s="7" t="inlineStr">
        <is>
          <t>Helwan and Ain Sokhna</t>
        </is>
      </c>
      <c r="E8" s="10" t="inlineStr">
        <is>
          <t>Completes the supply picture against which the export share is allocated.</t>
        </is>
      </c>
    </row>
    <row r="9"/>
    <row r="10">
      <c r="A10" s="10" t="inlineStr">
        <is>
          <t>Egyptian nitrogen capacity (kt/yr)</t>
        </is>
      </c>
      <c r="B10" s="13" t="n">
        <v>7250</v>
      </c>
    </row>
    <row r="11">
      <c r="A11" s="7" t="inlineStr">
        <is>
          <t>The subject's share of it</t>
        </is>
      </c>
      <c r="B11" s="9">
        <f>C5/B10</f>
        <v/>
      </c>
    </row>
    <row r="12">
      <c r="A12" s="10" t="inlineStr">
        <is>
          <t>Inland freight per export tonne (EGP)</t>
        </is>
      </c>
      <c r="B12" s="14">
        <f>'Assumptions'!C76</f>
        <v/>
      </c>
    </row>
    <row r="13"/>
    <row r="14" ht="26" customHeight="1">
      <c r="A14" s="17" t="inlineStr">
        <is>
          <t>The freight line is the difference that matters. A coastal producer does not carry it, and on the subject it ran to EGP 610.2 million in the year to June 2025.</t>
        </is>
      </c>
    </row>
  </sheetData>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2026-09-19T10:37:15Z</dcterms:created>
  <dcterms:modified xmlns:dcterms="http://purl.org/dc/terms/" xmlns:xsi="http://www.w3.org/2001/XMLSchema-instance" xsi:type="dcterms:W3CDTF">2026-09-19T10:37:15Z</dcterms:modified>
</cp:coreProperties>
</file>