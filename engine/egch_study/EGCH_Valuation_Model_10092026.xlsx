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2"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0.1498136460228862</v>
      </c>
    </row>
    <row r="26">
      <c r="A26" s="10" t="inlineStr">
        <is>
          <t>Sovereign ten-year yield the same day, for comparison</t>
        </is>
      </c>
      <c r="B26" s="15" t="n">
        <v>0.23</v>
      </c>
    </row>
    <row r="27">
      <c r="A27" s="10" t="inlineStr">
        <is>
          <t>Cost of capital built in this model, year one</t>
        </is>
      </c>
      <c r="B27" s="16">
        <f>'Assumptions'!C115</f>
        <v/>
      </c>
    </row>
    <row r="28">
      <c r="A28" s="10" t="inlineStr">
        <is>
          <t>Cost of capital on the RATING premium basis, year one — the published alternative</t>
        </is>
      </c>
      <c r="B28" s="16">
        <f>'Assumptions'!C113*'Assumptions'!C104+'Assumptions'!C114*'Assumptions'!C111*(1-'Assumptions'!C112)</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11.60654207035342</v>
      </c>
    </row>
    <row r="37">
      <c r="A37" s="7" t="inlineStr">
        <is>
          <t>Against spot</t>
        </is>
      </c>
      <c r="B37" s="9">
        <f>B36/$B$14-1</f>
        <v/>
      </c>
    </row>
    <row r="38">
      <c r="A38" s="10" t="inlineStr">
        <is>
          <t>RETIRED — the 45/20/20/15 weighted blend, published unused</t>
        </is>
      </c>
      <c r="B38" s="12" t="n">
        <v>9.092881689457943</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'Assumptions'!C105</f>
        <v/>
      </c>
      <c r="C14" s="10" t="inlineStr">
        <is>
          <t>Built on the Assumptions sheet</t>
        </is>
      </c>
    </row>
    <row r="15" ht="14" customHeight="1">
      <c r="A15" s="7" t="inlineStr">
        <is>
          <t>Terminal growth</t>
        </is>
      </c>
      <c r="B15" s="9">
        <f>'Assumptions'!C122</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8.074785424029702</v>
      </c>
    </row>
    <row r="24">
      <c r="A24" s="7" t="inlineStr">
        <is>
          <t>Cash flow — programme stopped</t>
        </is>
      </c>
      <c r="B24" s="12" t="n">
        <v>11.60654207035342</v>
      </c>
    </row>
    <row r="25">
      <c r="A25" s="10" t="inlineStr">
        <is>
          <t>Book value, disclosed (a floor, never weighted)</t>
        </is>
      </c>
      <c r="B25" s="12" t="n">
        <v>8.15778582586335</v>
      </c>
    </row>
    <row r="26">
      <c r="A26" s="7" t="inlineStr">
        <is>
          <t>Relative multiples</t>
        </is>
      </c>
      <c r="B26" s="12" t="n">
        <v>19.92933486792083</v>
      </c>
    </row>
    <row r="27">
      <c r="A27" s="7" t="inlineStr">
        <is>
          <t>Normalised earnings power</t>
        </is>
      </c>
      <c r="B27" s="12" t="n">
        <v>7.366806375302057</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5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84" customHeight="1">
      <c r="A50" s="7" t="inlineStr">
        <is>
          <t>Export duty</t>
        </is>
      </c>
      <c r="B50" s="7" t="inlineStr">
        <is>
          <t>% of export value</t>
        </is>
      </c>
      <c r="C50" s="15" t="n">
        <v>0</v>
      </c>
      <c r="D50" s="10" t="inlineStr">
        <is>
          <t>Ministerial Decision 340 of 2026, effective 1 August 2026, cancelling Decisions 190, 203 and 258 of 2026 and ending the 10% ad valorem export levy on nitrogen fertilisers. The Egyptian Customs Authority issued Circular 46 of 2026 to govern shipments whose declarations were opened before the levy ceased, which is the administrative trace a cancellation leaves and a rumour does not. This study strikes on 3 September 2026, so the rate in force at the strike is nil. The superseded chain is registered below with its own dates, because a duty that existed for three months is a fact about this year and the alternatives grid prices its return</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1.01981029917547</v>
      </c>
      <c r="D97" s="10" t="inlineStr">
        <is>
          <t>Own-stock weekly regression, 256 observations over 4.9 years against the published EGX30 index (as of 2026-09-08), R-squared 0.248, standard error 0.191, 90% interval 0.71 to 1.33</t>
        </is>
      </c>
    </row>
    <row r="98">
      <c r="A98" s="10" t="inlineStr">
        <is>
          <t>Normalised risk-free rate, CDS basis — THE CENTRAL</t>
        </is>
      </c>
      <c r="B98" s="7" t="inlineStr">
        <is>
          <t>%</t>
        </is>
      </c>
      <c r="C98" s="16">
        <f>'Assumptions'!C91-'Assumptions'!C95</f>
        <v/>
      </c>
    </row>
    <row r="99" ht="24" customHeight="1">
      <c r="A99" s="10" t="inlineStr">
        <is>
          <t>Equity-to-bond volatility scaling on the default spread</t>
        </is>
      </c>
      <c r="B99" s="7" t="inlineStr">
        <is>
          <t>x</t>
        </is>
      </c>
      <c r="C99" s="24" t="n">
        <v>1.52</v>
      </c>
      <c r="D99" s="10" t="inlineStr">
        <is>
          <t>the ratio of equity volatility to sovereign-bond volatility. It converts a DEBT default spread into the EQUITY country premium, which is the only premium a shareholder is exposed to</t>
        </is>
      </c>
    </row>
    <row r="100">
      <c r="A100" s="10" t="inlineStr">
        <is>
          <t xml:space="preserve">   of which the country premium, rating basis — charged FLAT</t>
        </is>
      </c>
      <c r="B100" s="7" t="inlineStr">
        <is>
          <t>%</t>
        </is>
      </c>
      <c r="C100" s="16">
        <f>'Assumptions'!C92*'Assumptions'!C99</f>
        <v/>
      </c>
    </row>
    <row r="101">
      <c r="A101" s="10" t="inlineStr">
        <is>
          <t xml:space="preserve">   of which the mature equity premium, rating basis</t>
        </is>
      </c>
      <c r="B101" s="7" t="inlineStr">
        <is>
          <t>%</t>
        </is>
      </c>
      <c r="C101" s="16">
        <f>'Assumptions'!C94-'Assumptions'!C100</f>
        <v/>
      </c>
    </row>
    <row r="102">
      <c r="A102" s="10" t="inlineStr">
        <is>
          <t xml:space="preserve">   of which the country premium, CDS basis — charged FLAT</t>
        </is>
      </c>
      <c r="B102" s="7" t="inlineStr">
        <is>
          <t>%</t>
        </is>
      </c>
      <c r="C102" s="16">
        <f>'Assumptions'!C95*'Assumptions'!C99</f>
        <v/>
      </c>
    </row>
    <row r="103">
      <c r="A103" s="10" t="inlineStr">
        <is>
          <t xml:space="preserve">   of which the mature equity premium, CDS basis</t>
        </is>
      </c>
      <c r="B103" s="7" t="inlineStr">
        <is>
          <t>%</t>
        </is>
      </c>
      <c r="C103" s="16">
        <f>'Assumptions'!C96-'Assumptions'!C102</f>
        <v/>
      </c>
    </row>
    <row r="104">
      <c r="A104" s="10" t="inlineStr">
        <is>
          <t>Cost of equity, rating basis — published, not central</t>
        </is>
      </c>
      <c r="B104" s="7" t="inlineStr">
        <is>
          <t>%</t>
        </is>
      </c>
      <c r="C104" s="16">
        <f>'Assumptions'!C93+'Assumptions'!C97*'Assumptions'!C101+'Assumptions'!C100</f>
        <v/>
      </c>
    </row>
    <row r="105">
      <c r="A105" s="7" t="inlineStr">
        <is>
          <t>Cost of equity, CDS basis — THE CENTRAL</t>
        </is>
      </c>
      <c r="B105" s="7" t="inlineStr">
        <is>
          <t>%</t>
        </is>
      </c>
      <c r="C105" s="16">
        <f>'Assumptions'!C98+'Assumptions'!C97*'Assumptions'!C103+'Assumptions'!C102</f>
        <v/>
      </c>
    </row>
    <row r="106" ht="24" customHeight="1">
      <c r="A106" s="7" t="inlineStr">
        <is>
          <t>Cost of debt, local currency</t>
        </is>
      </c>
      <c r="B106" s="7" t="inlineStr">
        <is>
          <t>%</t>
        </is>
      </c>
      <c r="C106" s="23" t="n">
        <v>0.194</v>
      </c>
      <c r="D106" s="10" t="inlineStr">
        <is>
          <t>Constructed: EGP 96,896,001 of interest on the EGP 500,000,000 holding-company facility drawn in FY2024/25 — the company's own latest local borrowing</t>
        </is>
      </c>
    </row>
    <row r="107" ht="14" customHeight="1">
      <c r="A107" s="7" t="inlineStr">
        <is>
          <t>Cost of debt, dollar tranche, in dollars</t>
        </is>
      </c>
      <c r="B107" s="7" t="inlineStr">
        <is>
          <t>%</t>
        </is>
      </c>
      <c r="C107" s="23" t="n">
        <v>0.117</v>
      </c>
      <c r="D107" s="10" t="inlineStr">
        <is>
          <t>Constructed: EGP 1,338.0m of FY2024/25 interest on a mean dollar balance of about US$233m</t>
        </is>
      </c>
    </row>
    <row r="108" ht="60" customHeight="1">
      <c r="A108" s="10" t="inlineStr">
        <is>
          <t>Terminal currency wedge (the same identity, at the terminal inflation)</t>
        </is>
      </c>
      <c r="B108" s="7" t="inlineStr">
        <is>
          <t>%</t>
        </is>
      </c>
      <c r="C108" s="23" t="n">
        <v>0.044921875</v>
      </c>
      <c r="D108"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9">
      <c r="A109" s="10" t="inlineStr">
        <is>
          <t>Dollar debt at local-equivalent cost, year one (FY2026/27 wedge)</t>
        </is>
      </c>
      <c r="B109" s="7" t="inlineStr">
        <is>
          <t>%</t>
        </is>
      </c>
      <c r="C109" s="16">
        <f>(1+'Assumptions'!C107)*(1+'Assumptions'!C40)-1</f>
        <v/>
      </c>
    </row>
    <row r="110" ht="24" customHeight="1">
      <c r="A110" s="7" t="inlineStr">
        <is>
          <t>Share of debt in local currency</t>
        </is>
      </c>
      <c r="B110" s="7" t="inlineStr">
        <is>
          <t>%</t>
        </is>
      </c>
      <c r="C110" s="15" t="n">
        <v>0.003139216087432172</v>
      </c>
      <c r="D110" s="10" t="inlineStr">
        <is>
          <t>The pound tranche of the project loan was repaid in June 2024, so the book is almost entirely dollar</t>
        </is>
      </c>
    </row>
    <row r="111">
      <c r="A111" s="7" t="inlineStr">
        <is>
          <t>Blended pre-tax cost of debt</t>
        </is>
      </c>
      <c r="B111" s="7" t="inlineStr">
        <is>
          <t>%</t>
        </is>
      </c>
      <c r="C111" s="16">
        <f>'Assumptions'!C110*'Assumptions'!C106+(1-'Assumptions'!C110)*'Assumptions'!C109</f>
        <v/>
      </c>
    </row>
    <row r="112" ht="24" customHeight="1">
      <c r="A112" s="7" t="inlineStr">
        <is>
          <t>Tax rate</t>
        </is>
      </c>
      <c r="B112" s="7" t="inlineStr">
        <is>
          <t>%</t>
        </is>
      </c>
      <c r="C112" s="15" t="n">
        <v>0.225</v>
      </c>
      <c r="D112" s="10" t="inlineStr">
        <is>
          <t>Audited financial statements, year ended 30 June 2025 (Central Auditing Organization, report dated 23 September 2025), note 5-16 income tax</t>
        </is>
      </c>
    </row>
    <row r="113" ht="14" customHeight="1">
      <c r="A113" s="7" t="inlineStr">
        <is>
          <t>Equity weight</t>
        </is>
      </c>
      <c r="B113" s="7" t="inlineStr">
        <is>
          <t>%</t>
        </is>
      </c>
      <c r="C113" s="15" t="n">
        <v>0.6616480028913871</v>
      </c>
      <c r="D113" s="10" t="inlineStr">
        <is>
          <t>Market-value equity over market-value equity plus debt</t>
        </is>
      </c>
    </row>
    <row r="114" ht="14" customHeight="1">
      <c r="A114" s="7" t="inlineStr">
        <is>
          <t>Debt weight</t>
        </is>
      </c>
      <c r="B114" s="7" t="inlineStr">
        <is>
          <t>%</t>
        </is>
      </c>
      <c r="C114" s="15" t="n">
        <v>0.3383519971086129</v>
      </c>
      <c r="D114" s="10" t="inlineStr">
        <is>
          <t>One less the equity weight</t>
        </is>
      </c>
    </row>
    <row r="115">
      <c r="A115" s="7" t="inlineStr">
        <is>
          <t>Cost of capital, year one</t>
        </is>
      </c>
      <c r="B115" s="7" t="inlineStr">
        <is>
          <t>%</t>
        </is>
      </c>
      <c r="C115" s="16">
        <f>'Assumptions'!C113*'Assumptions'!C105+'Assumptions'!C114*'Assumptions'!C111*(1-'Assumptions'!C112)</f>
        <v/>
      </c>
    </row>
    <row r="116" ht="108" customHeight="1">
      <c r="A116" s="10" t="inlineStr">
        <is>
          <t>Terminal inflation (the same figure terminal growth is set at)</t>
        </is>
      </c>
      <c r="B116" s="7" t="inlineStr">
        <is>
          <t>%</t>
        </is>
      </c>
      <c r="C116" s="15" t="n">
        <v>0.07000000000000001</v>
      </c>
      <c r="D116"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7" ht="24" customHeight="1">
      <c r="A117" s="7" t="inlineStr">
        <is>
          <t>Long-run real rate</t>
        </is>
      </c>
      <c r="B117" s="7" t="inlineStr">
        <is>
          <t>%</t>
        </is>
      </c>
      <c r="C117" s="15" t="n">
        <v>0.035</v>
      </c>
      <c r="D117" s="10" t="inlineStr">
        <is>
          <t>The house real-rate convention, used to build the terminal risk-free rate from its own components rather than from a spot yield</t>
        </is>
      </c>
    </row>
    <row r="118">
      <c r="A118" s="10" t="inlineStr">
        <is>
          <t>Terminal normalised risk-free rate — terminal inflation plus the long-run real rate, on the house macro path's own construction</t>
        </is>
      </c>
      <c r="B118" s="7" t="inlineStr">
        <is>
          <t>%</t>
        </is>
      </c>
      <c r="C118" s="16">
        <f>'Assumptions'!C116+'Assumptions'!C117</f>
        <v/>
      </c>
    </row>
    <row r="119" ht="14" customHeight="1">
      <c r="A119" s="7" t="inlineStr">
        <is>
          <t>Long-run dollar cost of debt</t>
        </is>
      </c>
      <c r="B119" s="7" t="inlineStr">
        <is>
          <t>%</t>
        </is>
      </c>
      <c r="C119" s="23" t="n">
        <v>0.09</v>
      </c>
      <c r="D119" s="10" t="inlineStr">
        <is>
          <t>Constructed: long-run corporate dollar cost of debt</t>
        </is>
      </c>
    </row>
    <row r="120">
      <c r="A120" s="7" t="inlineStr">
        <is>
          <t>Terminal cost of debt, local-equivalent</t>
        </is>
      </c>
      <c r="B120" s="7" t="inlineStr">
        <is>
          <t>%</t>
        </is>
      </c>
      <c r="C120" s="16">
        <f>'Assumptions'!C110*'Assumptions'!C106+(1-'Assumptions'!C110)*((1+'Assumptions'!C119)*(1+'Assumptions'!C108)-1)</f>
        <v/>
      </c>
    </row>
    <row r="121">
      <c r="A121" s="7" t="inlineStr">
        <is>
          <t>TERMINAL COST OF CAPITAL</t>
        </is>
      </c>
      <c r="B121" s="7" t="inlineStr">
        <is>
          <t>%</t>
        </is>
      </c>
      <c r="C121" s="16">
        <f>'Assumptions'!C113*('Assumptions'!C118+'Assumptions'!C97*'Assumptions'!C103+'Assumptions'!C102)+'Assumptions'!C114*'Assumptions'!C120*(1-'Assumptions'!C112)</f>
        <v/>
      </c>
    </row>
    <row r="122" ht="72" customHeight="1">
      <c r="A122" s="7" t="inlineStr">
        <is>
          <t>Terminal growth</t>
        </is>
      </c>
      <c r="B122" s="7" t="inlineStr">
        <is>
          <t>%</t>
        </is>
      </c>
      <c r="C122" s="15" t="n">
        <v>0.07000000000000006</v>
      </c>
      <c r="D122"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23" ht="132" customHeight="1">
      <c r="A123" s="7" t="inlineStr">
        <is>
          <t>Average age of the fixed-asset base — MEASURED</t>
        </is>
      </c>
      <c r="B123" s="7" t="inlineStr">
        <is>
          <t>years</t>
        </is>
      </c>
      <c r="C123" s="12" t="n">
        <v>4.454408352548927</v>
      </c>
      <c r="D123"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24" ht="84" customHeight="1">
      <c r="A124" s="7" t="inlineStr">
        <is>
          <t>Replacement cycle the accounts imply</t>
        </is>
      </c>
      <c r="B124" s="7" t="inlineStr">
        <is>
          <t>years</t>
        </is>
      </c>
      <c r="C124" s="12" t="n">
        <v>22.07019266619699</v>
      </c>
      <c r="D124"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5"/>
    <row r="126">
      <c r="A126" s="19" t="inlineStr">
        <is>
          <t>CAPITAL, WORKING CAPITAL AND THE PROJECT</t>
        </is>
      </c>
    </row>
    <row r="127" ht="24" customHeight="1">
      <c r="A127" s="7" t="inlineStr">
        <is>
          <t>Depreciation charge, FY2024/25</t>
        </is>
      </c>
      <c r="B127" s="7" t="inlineStr">
        <is>
          <t>EGP m</t>
        </is>
      </c>
      <c r="C127" s="20" t="n">
        <v>771.213</v>
      </c>
      <c r="D127" s="10" t="inlineStr">
        <is>
          <t>Audited financial statements, year ended 30 June 2025 (Central Auditing Organization, report dated 23 September 2025), note 6 fixed-asset register</t>
        </is>
      </c>
    </row>
    <row r="128" ht="24" customHeight="1">
      <c r="A128" s="7" t="inlineStr">
        <is>
          <t>Amortisation, FY2024/25</t>
        </is>
      </c>
      <c r="B128" s="7" t="inlineStr">
        <is>
          <t>EGP m</t>
        </is>
      </c>
      <c r="C128" s="20" t="n">
        <v>119.378</v>
      </c>
      <c r="D128" s="10" t="inlineStr">
        <is>
          <t>Audited financial statements, year ended 30 June 2025 (Central Auditing Organization, report dated 23 September 2025), note 10 usufruct intangible</t>
        </is>
      </c>
    </row>
    <row r="129" ht="60" customHeight="1">
      <c r="A129" s="7" t="inlineStr">
        <is>
          <t>Project capital expenditure — FY2026/27</t>
        </is>
      </c>
      <c r="B129" s="7" t="inlineStr">
        <is>
          <t>EGP m</t>
        </is>
      </c>
      <c r="C129" s="14">
        <f>'Cash Flow'!B30</f>
        <v/>
      </c>
      <c r="D129"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0" ht="60" customHeight="1">
      <c r="A130" s="7" t="inlineStr">
        <is>
          <t>Project capital expenditure — FY2027/28</t>
        </is>
      </c>
      <c r="B130" s="7" t="inlineStr">
        <is>
          <t>EGP m</t>
        </is>
      </c>
      <c r="C130" s="13" t="n">
        <v>3100</v>
      </c>
      <c r="D130"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1" ht="60" customHeight="1">
      <c r="A131" s="7" t="inlineStr">
        <is>
          <t>Project capital expenditure — FY2028/29</t>
        </is>
      </c>
      <c r="B131" s="7" t="inlineStr">
        <is>
          <t>EGP m</t>
        </is>
      </c>
      <c r="C131" s="13" t="n">
        <v>3300</v>
      </c>
      <c r="D131"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2" ht="60" customHeight="1">
      <c r="A132" s="7" t="inlineStr">
        <is>
          <t>Project capital expenditure — FY2029/30</t>
        </is>
      </c>
      <c r="B132" s="7" t="inlineStr">
        <is>
          <t>EGP m</t>
        </is>
      </c>
      <c r="C132" s="13" t="n">
        <v>3200</v>
      </c>
      <c r="D132"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3" ht="60" customHeight="1">
      <c r="A133" s="7" t="inlineStr">
        <is>
          <t>Project capital expenditure — FY2030/31</t>
        </is>
      </c>
      <c r="B133" s="7" t="inlineStr">
        <is>
          <t>EGP m</t>
        </is>
      </c>
      <c r="C133" s="14">
        <f>'Cash Flow'!D34-(C129+C130+C131+C132)</f>
        <v/>
      </c>
      <c r="D133"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4" ht="24" customHeight="1">
      <c r="A134" s="7" t="inlineStr">
        <is>
          <t>Depreciation escalation on the existing base</t>
        </is>
      </c>
      <c r="B134" s="7" t="inlineStr">
        <is>
          <t>per year</t>
        </is>
      </c>
      <c r="C134" s="15" t="n">
        <v>0.02</v>
      </c>
      <c r="D134" s="10" t="inlineStr">
        <is>
          <t>Constructed: escalation on the existing depreciation base, reflecting ordinary additions to the plant already in service</t>
        </is>
      </c>
    </row>
    <row r="135" ht="24" customHeight="1">
      <c r="A135" s="7" t="inlineStr">
        <is>
          <t>Depreciation rate on the new complex</t>
        </is>
      </c>
      <c r="B135" s="7" t="inlineStr">
        <is>
          <t>per year</t>
        </is>
      </c>
      <c r="C135" s="23" t="n">
        <v>0.0395</v>
      </c>
      <c r="D135" s="10" t="inlineStr">
        <is>
          <t>Audited financial statements, year ended 30 June 2025 (Central Auditing Organization, report dated 23 September 2025), note 5-2 depreciation rates</t>
        </is>
      </c>
    </row>
    <row r="136" ht="48" customHeight="1">
      <c r="A136" s="7" t="inlineStr">
        <is>
          <t>New complex nameplate</t>
        </is>
      </c>
      <c r="B136" s="7" t="inlineStr">
        <is>
          <t>tonnes/day</t>
        </is>
      </c>
      <c r="C136" s="13" t="n">
        <v>800</v>
      </c>
      <c r="D136"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7" ht="24" customHeight="1">
      <c r="A137" s="7" t="inlineStr">
        <is>
          <t>Operating days a year</t>
        </is>
      </c>
      <c r="B137" s="7" t="inlineStr">
        <is>
          <t>days</t>
        </is>
      </c>
      <c r="C137" s="13" t="n">
        <v>330</v>
      </c>
      <c r="D137" s="10" t="inlineStr">
        <is>
          <t>Constructed: operating days a year for a continuous nitrate line, net of the turnaround the company takes annually</t>
        </is>
      </c>
    </row>
    <row r="138" ht="48" customHeight="1">
      <c r="A138" s="10" t="inlineStr">
        <is>
          <t>Steady-state depreciation wedge in the terminal year</t>
        </is>
      </c>
      <c r="B138" s="7" t="inlineStr">
        <is>
          <t>ratio</t>
        </is>
      </c>
      <c r="C138" s="15" t="n">
        <v>0.025390625</v>
      </c>
      <c r="D138"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9" ht="24" customHeight="1">
      <c r="A139" s="10" t="inlineStr">
        <is>
          <t>The complex is completed and in service (1 = yes)</t>
        </is>
      </c>
      <c r="B139" s="7" t="inlineStr">
        <is>
          <t>switch</t>
        </is>
      </c>
      <c r="C139" s="13" t="n">
        <v>1</v>
      </c>
      <c r="D139" s="10" t="inlineStr">
        <is>
          <t>Case switch. Zero in the capital-discipline column, where the plant is never finished and therefore never depreciated.</t>
        </is>
      </c>
    </row>
    <row r="140" ht="36" customHeight="1">
      <c r="A140" s="7" t="inlineStr">
        <is>
          <t>Approved cost of the new complex</t>
        </is>
      </c>
      <c r="B140" s="7" t="inlineStr">
        <is>
          <t>EGP m</t>
        </is>
      </c>
      <c r="C140" s="13" t="n">
        <v>20341.668</v>
      </c>
      <c r="D140" s="10" t="inlineStr">
        <is>
          <t>Audited financial statements, year ended 30 June 2025 (Central Auditing Organization, report dated 23 September 2025), note 18-3 — bank-approved investment cost, agreement of 25 June 2025; dual-currency tranches at the approval rate</t>
        </is>
      </c>
    </row>
    <row r="141" ht="72" customHeight="1">
      <c r="A141" s="7" t="inlineStr">
        <is>
          <t>Maintenance capital expenditure</t>
        </is>
      </c>
      <c r="B141" s="7" t="inlineStr">
        <is>
          <t>% of revenue</t>
        </is>
      </c>
      <c r="C141" s="9">
        <f>'Cash Flow'!D28</f>
        <v/>
      </c>
      <c r="D141"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42" ht="36" customHeight="1">
      <c r="A142" s="7" t="inlineStr">
        <is>
          <t>Wind-down cost if the programme is stopped</t>
        </is>
      </c>
      <c r="B142" s="7" t="inlineStr">
        <is>
          <t>EGP m</t>
        </is>
      </c>
      <c r="C142" s="13" t="n">
        <v>1000</v>
      </c>
      <c r="D142" s="10" t="inlineStr">
        <is>
          <t>Constructed: capital-discipline case only: the cost of stopping the programme in the first forecast year — contract settlement and site preservation. No filing states it; it is the study's estimate and is flagged.</t>
        </is>
      </c>
    </row>
    <row r="143" ht="24" customHeight="1">
      <c r="A143" s="7" t="inlineStr">
        <is>
          <t>Ammonia per tonne of nitrate</t>
        </is>
      </c>
      <c r="B143" s="7" t="inlineStr">
        <is>
          <t>tonnes</t>
        </is>
      </c>
      <c r="C143" s="12" t="n">
        <v>0.43</v>
      </c>
      <c r="D143" s="10" t="inlineStr">
        <is>
          <t>Constructed: ammonia per tonne of ammonium nitrate through the nitric-acid route plus direct neutralisation</t>
        </is>
      </c>
    </row>
    <row r="144" ht="40" customHeight="1">
      <c r="A144" s="7" t="inlineStr">
        <is>
          <t>Project nameplate (derived, not disclosed)</t>
        </is>
      </c>
      <c r="B144" s="7" t="inlineStr">
        <is>
          <t>tonnes/year</t>
        </is>
      </c>
      <c r="C144" s="14">
        <f>'Assumptions'!C136*'Assumptions'!C137</f>
        <v/>
      </c>
      <c r="D144"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5" ht="40" customHeight="1">
      <c r="A145" s="10" t="inlineStr">
        <is>
          <t>Cross-check: nameplate derived from the ammonia surplus</t>
        </is>
      </c>
      <c r="B145" s="7" t="inlineStr">
        <is>
          <t>tonnes/year</t>
        </is>
      </c>
      <c r="C145" s="14">
        <f>('Assumptions'!C14-'Assumptions'!C13*'Assumptions'!C15)/'Assumptions'!C143</f>
        <v/>
      </c>
      <c r="D145" s="10" t="inlineStr">
        <is>
          <t>The construction the study used before the engineering award was found. Retained as a cross-check on the disclosed plate, not as the plate itself.</t>
        </is>
      </c>
    </row>
    <row r="146" ht="14" customHeight="1">
      <c r="A146" s="7" t="inlineStr">
        <is>
          <t>Project utilisation in the terminal year</t>
        </is>
      </c>
      <c r="B146" s="7" t="inlineStr">
        <is>
          <t>%</t>
        </is>
      </c>
      <c r="C146" s="15" t="n">
        <v>0.5</v>
      </c>
      <c r="D146" s="10" t="inlineStr">
        <is>
          <t>Constructed: project utilisation in the terminal year, central case</t>
        </is>
      </c>
    </row>
    <row r="147" ht="14" customHeight="1">
      <c r="A147" s="10" t="inlineStr">
        <is>
          <t>Nitrate price — the company's own disclosed realisation, carried on the currency</t>
        </is>
      </c>
      <c r="B147" s="7" t="inlineStr">
        <is>
          <t>US$/tonne equivalent</t>
        </is>
      </c>
      <c r="C147" s="13" t="n">
        <v>408.1632653061225</v>
      </c>
      <c r="D147" s="10" t="inlineStr">
        <is>
          <t>reviewed interims, note 20 — EGP 20,000/t realised</t>
        </is>
      </c>
    </row>
    <row r="148" ht="14" customHeight="1">
      <c r="A148" s="7" t="inlineStr">
        <is>
          <t>Project cash margin</t>
        </is>
      </c>
      <c r="B148" s="7" t="inlineStr">
        <is>
          <t>% of revenue</t>
        </is>
      </c>
      <c r="C148" s="15" t="n">
        <v>0.32</v>
      </c>
      <c r="D148" s="10" t="inlineStr">
        <is>
          <t>Constructed: conversion margin on ammonium nitrate over its own ammonia feedstock</t>
        </is>
      </c>
    </row>
    <row r="149" ht="14" customHeight="1">
      <c r="A149" s="7" t="inlineStr">
        <is>
          <t>Days sales outstanding</t>
        </is>
      </c>
      <c r="B149" s="7" t="inlineStr">
        <is>
          <t>days</t>
        </is>
      </c>
      <c r="C149" s="20" t="n">
        <v>26.77469536556713</v>
      </c>
      <c r="D149" s="10" t="inlineStr">
        <is>
          <t>Constructed: FY2024/25 receivables over revenue</t>
        </is>
      </c>
    </row>
    <row r="150" ht="14" customHeight="1">
      <c r="A150" s="7" t="inlineStr">
        <is>
          <t>Days inventory outstanding</t>
        </is>
      </c>
      <c r="B150" s="7" t="inlineStr">
        <is>
          <t>days</t>
        </is>
      </c>
      <c r="C150" s="20" t="n">
        <v>165.2475279747788</v>
      </c>
      <c r="D150" s="10" t="inlineStr">
        <is>
          <t>Constructed: FY2024/25 inventory over cost of sales</t>
        </is>
      </c>
    </row>
    <row r="151" ht="14" customHeight="1">
      <c r="A151" s="7" t="inlineStr">
        <is>
          <t>Days payable outstanding</t>
        </is>
      </c>
      <c r="B151" s="7" t="inlineStr">
        <is>
          <t>days</t>
        </is>
      </c>
      <c r="C151" s="20" t="n">
        <v>83.17161071710899</v>
      </c>
      <c r="D151"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5">
        <f>'DCF'!B36</f>
        <v/>
      </c>
      <c r="C5" s="25">
        <f>'DCF'!D36</f>
        <v/>
      </c>
      <c r="D5" s="10" t="inlineStr">
        <is>
          <t>Five years of free cash flow to the firm, discounted on the glide</t>
        </is>
      </c>
    </row>
    <row r="6" ht="26" customHeight="1">
      <c r="A6" s="7" t="inlineStr">
        <is>
          <t>Present value of the terminal value</t>
        </is>
      </c>
      <c r="B6" s="25">
        <f>'DCF'!B33</f>
        <v/>
      </c>
      <c r="C6" s="25">
        <f>'DCF'!D33</f>
        <v/>
      </c>
      <c r="D6" s="10" t="inlineStr">
        <is>
          <t>The perpetuity, capitalised at the terminal cost of capital</t>
        </is>
      </c>
    </row>
    <row r="7" ht="26" customHeight="1">
      <c r="A7" s="7" t="inlineStr">
        <is>
          <t>Enterprise value</t>
        </is>
      </c>
      <c r="B7" s="25">
        <f>'DCF'!B37</f>
        <v/>
      </c>
      <c r="C7" s="25">
        <f>'DCF'!D37</f>
        <v/>
      </c>
      <c r="D7" s="10" t="inlineStr"/>
    </row>
    <row r="8" ht="26" customHeight="1">
      <c r="A8" s="10" t="inlineStr">
        <is>
          <t>Terminal value as a share of enterprise value</t>
        </is>
      </c>
      <c r="B8" s="26">
        <f>'DCF'!B38</f>
        <v/>
      </c>
      <c r="C8" s="26">
        <f>'DCF'!D38</f>
        <v/>
      </c>
      <c r="D8" s="10" t="inlineStr">
        <is>
          <t>Reported because on this company it is the number that decides the answer</t>
        </is>
      </c>
    </row>
    <row r="9" ht="26" customHeight="1">
      <c r="A9" s="7" t="inlineStr">
        <is>
          <t>Less net debt</t>
        </is>
      </c>
      <c r="B9" s="25">
        <f>-'DCF'!B41</f>
        <v/>
      </c>
      <c r="C9" s="25">
        <f>-'DCF'!D41</f>
        <v/>
      </c>
      <c r="D9" s="10" t="inlineStr">
        <is>
          <t>Gross debt less cash at 31 March 2026</t>
        </is>
      </c>
    </row>
    <row r="10" ht="26" customHeight="1">
      <c r="A10" s="7" t="inlineStr">
        <is>
          <t>Plus listed equity stakes at market</t>
        </is>
      </c>
      <c r="B10" s="25">
        <f>'DCF'!B42</f>
        <v/>
      </c>
      <c r="C10" s="25">
        <f>'DCF'!D42</f>
        <v/>
      </c>
      <c r="D10" s="10" t="inlineStr">
        <is>
          <t>Remaining holdings after the partial disposal in the first half</t>
        </is>
      </c>
    </row>
    <row r="11" ht="26" customHeight="1">
      <c r="A11" s="7" t="inlineStr">
        <is>
          <t>Plus investment property</t>
        </is>
      </c>
      <c r="B11" s="25">
        <f>'DCF'!B43</f>
        <v/>
      </c>
      <c r="C11" s="25">
        <f>'DCF'!D43</f>
        <v/>
      </c>
      <c r="D11" s="10" t="inlineStr">
        <is>
          <t>Carried at the revalued amount in the statements</t>
        </is>
      </c>
    </row>
    <row r="12" ht="26" customHeight="1">
      <c r="A12" s="7" t="inlineStr">
        <is>
          <t>Equity value</t>
        </is>
      </c>
      <c r="B12" s="25">
        <f>'DCF'!B45</f>
        <v/>
      </c>
      <c r="C12" s="25">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'Assumptions'!C127*(1+'Assumptions'!C134*0)+'Assumptions'!C128</f>
        <v/>
      </c>
      <c r="C25" s="14">
        <f>'Assumptions'!C127*(1+'Assumptions'!C134*1)+'Assumptions'!C128+SUM('Assumptions'!C129:C129)*'Assumptions'!C135</f>
        <v/>
      </c>
      <c r="D25" s="14">
        <f>'Assumptions'!C127*(1+'Assumptions'!C134*2)+'Assumptions'!C128+SUM('Assumptions'!C129:C130)*'Assumptions'!C135</f>
        <v/>
      </c>
      <c r="E25" s="14">
        <f>'Assumptions'!C127*(1+'Assumptions'!C134*3)+'Assumptions'!C128+SUM('Assumptions'!C129:C131)*'Assumptions'!C135</f>
        <v/>
      </c>
      <c r="F25" s="14">
        <f>'Assumptions'!C127*(1+'Assumptions'!C134*4)+'Assumptions'!C128+SUM('Assumptions'!C129:C132)*'Assumptions'!C135</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7">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7">
        <f>('Summary'!B16+'DCF'!B41)/B5</f>
        <v/>
      </c>
      <c r="C15" s="10" t="inlineStr">
        <is>
          <t>The gap between this line and the next is the whole disagreement in one number</t>
        </is>
      </c>
    </row>
    <row r="16" ht="14" customHeight="1">
      <c r="A16" s="10" t="inlineStr">
        <is>
          <t>Multiple this model's cash-flow lens implies</t>
        </is>
      </c>
      <c r="B16" s="27">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8"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(B29-'Assumptions'!C127-'Assumptions'!C128)*(1-'Assumptions'!C112)</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5">
        <f>'Segments'!B18</f>
        <v/>
      </c>
      <c r="C5" s="25">
        <f>'Segments'!C18</f>
        <v/>
      </c>
      <c r="D5" s="25">
        <f>'Segments'!D18</f>
        <v/>
      </c>
      <c r="E5" s="25">
        <f>'Segments'!E18</f>
        <v/>
      </c>
      <c r="F5" s="25">
        <f>'Segments'!F18</f>
        <v/>
      </c>
      <c r="H5" s="7" t="inlineStr">
        <is>
          <t>Programme carried through (1 = yes)</t>
        </is>
      </c>
      <c r="I5" s="7" t="n">
        <v>1</v>
      </c>
    </row>
    <row r="6">
      <c r="A6" s="19" t="inlineStr">
        <is>
          <t>EBITDA</t>
        </is>
      </c>
      <c r="B6" s="25">
        <f>'Segments'!B34</f>
        <v/>
      </c>
      <c r="C6" s="25">
        <f>'Segments'!C34</f>
        <v/>
      </c>
      <c r="D6" s="25">
        <f>'Segments'!D34</f>
        <v/>
      </c>
      <c r="E6" s="25">
        <f>'Segments'!E34</f>
        <v/>
      </c>
      <c r="F6" s="25">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5">
        <f>'Segments'!B25</f>
        <v/>
      </c>
      <c r="C8" s="25">
        <f>'Segments'!C25</f>
        <v/>
      </c>
      <c r="D8" s="25">
        <f>'Segments'!D25</f>
        <v/>
      </c>
      <c r="E8" s="25">
        <f>'Segments'!E25</f>
        <v/>
      </c>
      <c r="F8" s="25">
        <f>'Segments'!F25</f>
        <v/>
      </c>
    </row>
    <row r="9">
      <c r="A9" s="19" t="inlineStr">
        <is>
          <t>EBIT</t>
        </is>
      </c>
      <c r="B9" s="14">
        <f>B6-B8</f>
        <v/>
      </c>
      <c r="C9" s="14">
        <f>C6-C8</f>
        <v/>
      </c>
      <c r="D9" s="14">
        <f>D6-D8</f>
        <v/>
      </c>
      <c r="E9" s="14">
        <f>E6-E8</f>
        <v/>
      </c>
      <c r="F9" s="14">
        <f>F6-F8</f>
        <v/>
      </c>
    </row>
    <row r="10">
      <c r="A10" s="7" t="inlineStr">
        <is>
          <t>NOPAT = EBIT x (1 - tax rate)</t>
        </is>
      </c>
      <c r="B10" s="14">
        <f>B9*(1-'Assumptions'!C112)</f>
        <v/>
      </c>
      <c r="C10" s="14">
        <f>C9*(1-'Assumptions'!C112)</f>
        <v/>
      </c>
      <c r="D10" s="14">
        <f>D9*(1-'Assumptions'!C112)</f>
        <v/>
      </c>
      <c r="E10" s="14">
        <f>E9*(1-'Assumptions'!C112)</f>
        <v/>
      </c>
      <c r="F10" s="14">
        <f>F9*(1-'Assumptions'!C112)</f>
        <v/>
      </c>
    </row>
    <row r="11">
      <c r="A11" s="7" t="inlineStr">
        <is>
          <t>Add back depreciation</t>
        </is>
      </c>
      <c r="B11" s="14">
        <f>B8</f>
        <v/>
      </c>
      <c r="C11" s="14">
        <f>C8</f>
        <v/>
      </c>
      <c r="D11" s="14">
        <f>D8</f>
        <v/>
      </c>
      <c r="E11" s="14">
        <f>E8</f>
        <v/>
      </c>
      <c r="F11" s="14">
        <f>F8</f>
        <v/>
      </c>
    </row>
    <row r="12">
      <c r="A12" s="7" t="inlineStr">
        <is>
          <t>Less capital expenditure</t>
        </is>
      </c>
      <c r="B12" s="14">
        <f>-($I$5*'Assumptions'!C129+$I$6*(1-$I$5)+B5*'Assumptions'!C141)</f>
        <v/>
      </c>
      <c r="C12" s="14">
        <f>-($I$5*'Assumptions'!C130+C5*'Assumptions'!C141)</f>
        <v/>
      </c>
      <c r="D12" s="14">
        <f>-($I$5*'Assumptions'!C131+D5*'Assumptions'!C141)</f>
        <v/>
      </c>
      <c r="E12" s="14">
        <f>-($I$5*'Assumptions'!C132+E5*'Assumptions'!C141)</f>
        <v/>
      </c>
      <c r="F12" s="14">
        <f>-($I$5*'Assumptions'!C133+F5*'Assumptions'!C141)</f>
        <v/>
      </c>
    </row>
    <row r="13">
      <c r="A13" s="7" t="inlineStr">
        <is>
          <t>Less change in working capital</t>
        </is>
      </c>
      <c r="B13" s="25">
        <f>-'Cash Flow'!B12</f>
        <v/>
      </c>
      <c r="C13" s="25">
        <f>-'Cash Flow'!C12</f>
        <v/>
      </c>
      <c r="D13" s="25">
        <f>-'Cash Flow'!D12</f>
        <v/>
      </c>
      <c r="E13" s="25">
        <f>-'Cash Flow'!E12</f>
        <v/>
      </c>
      <c r="F13" s="25">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9">
        <f>'Assumptions'!C115</f>
        <v/>
      </c>
      <c r="C15" s="29">
        <f>'Assumptions'!C113*(('Assumptions'!C98+('Assumptions'!C118-'Assumptions'!C98)*1/5)+'Assumptions'!C97*'Assumptions'!C103+'Assumptions'!C102)+'Assumptions'!C114*('Assumptions'!C110*'Assumptions'!C106+(1-'Assumptions'!C110)*((1+'Assumptions'!C107)*(1+'Assumptions'!C42)-1))*(1-'Assumptions'!C112)</f>
        <v/>
      </c>
      <c r="D15" s="29">
        <f>'Assumptions'!C113*(('Assumptions'!C98+('Assumptions'!C118-'Assumptions'!C98)*2/5)+'Assumptions'!C97*'Assumptions'!C103+'Assumptions'!C102)+'Assumptions'!C114*('Assumptions'!C110*'Assumptions'!C106+(1-'Assumptions'!C110)*((1+'Assumptions'!C107)*(1+'Assumptions'!C44)-1))*(1-'Assumptions'!C112)</f>
        <v/>
      </c>
      <c r="E15" s="29">
        <f>'Assumptions'!C113*(('Assumptions'!C98+('Assumptions'!C118-'Assumptions'!C98)*3/5)+'Assumptions'!C97*'Assumptions'!C103+'Assumptions'!C102)+'Assumptions'!C114*('Assumptions'!C110*'Assumptions'!C106+(1-'Assumptions'!C110)*((1+'Assumptions'!C107)*(1+'Assumptions'!C46)-1))*(1-'Assumptions'!C112)</f>
        <v/>
      </c>
      <c r="F15" s="29">
        <f>'Assumptions'!C113*(('Assumptions'!C98+('Assumptions'!C118-'Assumptions'!C98)*4/5)+'Assumptions'!C97*'Assumptions'!C103+'Assumptions'!C102)+'Assumptions'!C114*('Assumptions'!C110*'Assumptions'!C106+(1-'Assumptions'!C110)*((1+'Assumptions'!C107)*(1+'Assumptions'!C48)-1))*(1-'Assumptions'!C112)</f>
        <v/>
      </c>
    </row>
    <row r="16">
      <c r="A16" s="7" t="inlineStr">
        <is>
          <t>Discount factor, compounded</t>
        </is>
      </c>
      <c r="B16" s="30">
        <f>1/(1+B15)</f>
        <v/>
      </c>
      <c r="C16" s="30">
        <f>B16/(1+C15)</f>
        <v/>
      </c>
      <c r="D16" s="30">
        <f>C16/(1+D15)</f>
        <v/>
      </c>
      <c r="E16" s="30">
        <f>D16/(1+E15)</f>
        <v/>
      </c>
      <c r="F16" s="30">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(F9+SUM('Assumptions'!C129:C132)*'Assumptions'!C135)*(1+'Assumptions'!C122)</f>
        <v/>
      </c>
      <c r="D21" s="14">
        <f>(F9+SUM('Assumptions'!C129:C132)*'Assumptions'!C135)*(1+'Assumptions'!C122)</f>
        <v/>
      </c>
    </row>
    <row r="22">
      <c r="A22" s="7" t="inlineStr">
        <is>
          <t>Project revenue in the terminal year</t>
        </is>
      </c>
      <c r="B22" s="14">
        <f>'Assumptions'!C144*'Assumptions'!C146*'Assumptions'!C147*('Assumptions'!C49*(1+'Assumptions'!C122-'Assumptions'!C138))/1000000</f>
        <v/>
      </c>
      <c r="D22" s="14">
        <f>'Assumptions'!C144*0*'Assumptions'!C147*('Assumptions'!C49*(1+'Assumptions'!C122-'Assumptions'!C138))/1000000</f>
        <v/>
      </c>
    </row>
    <row r="23">
      <c r="A23" s="10" t="inlineStr">
        <is>
          <t>Project operating profit, after its own depreciation</t>
        </is>
      </c>
      <c r="B23" s="14">
        <f>B22*'Assumptions'!C148-'Assumptions'!C139*'Assumptions'!C140*'Assumptions'!C135</f>
        <v/>
      </c>
      <c r="D23" s="14">
        <f>D22*'Assumptions'!C148-0*'Assumptions'!C140*'Assumptions'!C135</f>
        <v/>
      </c>
    </row>
    <row r="24">
      <c r="A24" s="7" t="inlineStr">
        <is>
          <t>Terminal EBIT</t>
        </is>
      </c>
      <c r="B24" s="14">
        <f>B21+B23</f>
        <v/>
      </c>
      <c r="D24" s="14">
        <f>D21+D23</f>
        <v/>
      </c>
    </row>
    <row r="25">
      <c r="A25" s="7" t="inlineStr">
        <is>
          <t>Terminal profit after tax</t>
        </is>
      </c>
      <c r="B25" s="14">
        <f>B24*(1-'Assumptions'!C112)</f>
        <v/>
      </c>
      <c r="D25" s="14">
        <f>D24*(1-'Assumptions'!C112)</f>
        <v/>
      </c>
    </row>
    <row r="26">
      <c r="A26" s="10" t="inlineStr">
        <is>
          <t>Plus book depreciation and amortisation in the terminal year</t>
        </is>
      </c>
      <c r="B26" s="14">
        <f>(F8-SUM('Assumptions'!C129:C132)*'Assumptions'!C135)*(1+'Assumptions'!C122)+'Assumptions'!C139*'Assumptions'!C140*'Assumptions'!C135</f>
        <v/>
      </c>
      <c r="D26" s="14">
        <f>(F8-SUM('Assumptions'!C129:C132)*'Assumptions'!C135)*(1+'Assumptions'!C122)+0*'Assumptions'!C140*'Assumptions'!C135</f>
        <v/>
      </c>
    </row>
    <row r="27">
      <c r="A27" s="10" t="inlineStr">
        <is>
          <t>Less capital maintenance at replacement cost — the book charge escalated over the measured average age of the base</t>
        </is>
      </c>
      <c r="B27" s="14">
        <f>-B26*(1+'Assumptions'!C116)^'Assumptions'!C123</f>
        <v/>
      </c>
      <c r="D27" s="14">
        <f>-D26*(1+'Assumptions'!C116)^'Assumptions'!C123</f>
        <v/>
      </c>
    </row>
    <row r="28">
      <c r="A28" s="10" t="inlineStr">
        <is>
          <t>Less capital for REAL growth — the stated real growth is zero, so none</t>
        </is>
      </c>
      <c r="B28" s="14">
        <f>-((1+'Assumptions'!C122)/(1+'Assumptions'!C116)-1)*(-B27*'Assumptions'!C124)</f>
        <v/>
      </c>
      <c r="D28" s="14">
        <f>-((1+'Assumptions'!C122)/(1+'Assumptions'!C116)-1)*(-D27*'Assumptions'!C124)</f>
        <v/>
      </c>
    </row>
    <row r="29">
      <c r="A29" s="10" t="inlineStr">
        <is>
          <t>Less inflation on the working capital the business carries</t>
        </is>
      </c>
      <c r="B29" s="14">
        <f>-'Assumptions'!C116*'Cash Flow'!F10*(1+'Assumptions'!C122)</f>
        <v/>
      </c>
      <c r="D29" s="14">
        <f>-'Assumptions'!C116*'Cash Flow'!F10*(1+'Assumptions'!C122)</f>
        <v/>
      </c>
    </row>
    <row r="30">
      <c r="A30" s="7" t="inlineStr">
        <is>
          <t>Terminal free cash flow</t>
        </is>
      </c>
      <c r="B30" s="14">
        <f>SUM(B25:B29)</f>
        <v/>
      </c>
      <c r="D30" s="14">
        <f>SUM(D25:D29)</f>
        <v/>
      </c>
    </row>
    <row r="31">
      <c r="A31" s="7" t="inlineStr">
        <is>
          <t>TERMINAL VALUE</t>
        </is>
      </c>
      <c r="B31" s="14">
        <f>B30/('Assumptions'!C121-'Assumptions'!C122)</f>
        <v/>
      </c>
      <c r="D31" s="14">
        <f>D30/('Assumptions'!C121-'Assumptions'!C122)</f>
        <v/>
      </c>
    </row>
    <row r="32">
      <c r="A32" s="10" t="inlineStr">
        <is>
          <t>Memo — the no-growth perpetuity at book depreciation (a diagnostic, not a bound)</t>
        </is>
      </c>
      <c r="B32" s="14">
        <f>B25/'Assumptions'!C121</f>
        <v/>
      </c>
      <c r="D32" s="14">
        <f>D25/'Assumptions'!C121</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1509.1125852</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+'Assumptions'!C129</f>
        <v/>
      </c>
      <c r="C50" s="14">
        <f>+'Assumptions'!C130</f>
        <v/>
      </c>
      <c r="D50" s="14">
        <f>+'Assumptions'!C131</f>
        <v/>
      </c>
      <c r="E50" s="14">
        <f>+'Assumptions'!C132</f>
        <v/>
      </c>
      <c r="F50" s="14">
        <f>+'Assumptions'!C133</f>
        <v/>
      </c>
    </row>
    <row r="51">
      <c r="A51" s="7" t="inlineStr">
        <is>
          <t>Less the wind-down cost</t>
        </is>
      </c>
      <c r="B51" s="14">
        <f>-'Assumptions'!C142</f>
        <v/>
      </c>
      <c r="C51" s="14">
        <f>0</f>
        <v/>
      </c>
      <c r="D51" s="14">
        <f>0</f>
        <v/>
      </c>
      <c r="E51" s="14">
        <f>0</f>
        <v/>
      </c>
      <c r="F51" s="14">
        <f>0</f>
        <v/>
      </c>
    </row>
    <row r="52">
      <c r="A52" s="10" t="inlineStr">
        <is>
          <t>Less the tax shield on depreciation never incurred</t>
        </is>
      </c>
      <c r="B52" s="14">
        <f>0</f>
        <v/>
      </c>
      <c r="C52" s="14">
        <f>-SUM('Assumptions'!C129:C129)*'Assumptions'!C135*'Assumptions'!C112</f>
        <v/>
      </c>
      <c r="D52" s="14">
        <f>-SUM('Assumptions'!C129:C130)*'Assumptions'!C135*'Assumptions'!C112</f>
        <v/>
      </c>
      <c r="E52" s="14">
        <f>-SUM('Assumptions'!C129:C131)*'Assumptions'!C135*'Assumptions'!C112</f>
        <v/>
      </c>
      <c r="F52" s="14">
        <f>-SUM('Assumptions'!C129:C132)*'Assumptions'!C135*'Assumptions'!C112</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5">
        <f>'Segments'!B18</f>
        <v/>
      </c>
      <c r="G5" s="25">
        <f>'Segments'!C18</f>
        <v/>
      </c>
      <c r="H5" s="25">
        <f>'Segments'!D18</f>
        <v/>
      </c>
      <c r="I5" s="25">
        <f>'Segments'!E18</f>
        <v/>
      </c>
      <c r="J5" s="25">
        <f>'Segments'!F18</f>
        <v/>
      </c>
    </row>
    <row r="6">
      <c r="A6" s="7" t="inlineStr">
        <is>
          <t>Cost of sales</t>
        </is>
      </c>
      <c r="B6" s="13" t="n">
        <v>3574.483</v>
      </c>
      <c r="C6" s="13" t="n">
        <v>4395.788</v>
      </c>
      <c r="D6" s="13" t="n">
        <v>5300.31</v>
      </c>
      <c r="E6" s="13" t="n">
        <v>5825.213193060001</v>
      </c>
      <c r="F6" s="25">
        <f>'Segments'!B26</f>
        <v/>
      </c>
      <c r="G6" s="25">
        <f>'Segments'!C26</f>
        <v/>
      </c>
      <c r="H6" s="25">
        <f>'Segments'!D26</f>
        <v/>
      </c>
      <c r="I6" s="25">
        <f>'Segments'!E26</f>
        <v/>
      </c>
      <c r="J6" s="25">
        <f>'Segments'!F26</f>
        <v/>
      </c>
    </row>
    <row r="7">
      <c r="A7" s="7" t="inlineStr">
        <is>
          <t>Gross profit</t>
        </is>
      </c>
      <c r="B7" s="14">
        <f>B5-B6</f>
        <v/>
      </c>
      <c r="C7" s="14">
        <f>C5-C6</f>
        <v/>
      </c>
      <c r="D7" s="14">
        <f>D5-D6</f>
        <v/>
      </c>
      <c r="E7" s="14">
        <f>E5-E6</f>
        <v/>
      </c>
      <c r="F7" s="25">
        <f>'Segments'!B27</f>
        <v/>
      </c>
      <c r="G7" s="25">
        <f>'Segments'!C27</f>
        <v/>
      </c>
      <c r="H7" s="25">
        <f>'Segments'!D27</f>
        <v/>
      </c>
      <c r="I7" s="25">
        <f>'Segments'!E27</f>
        <v/>
      </c>
      <c r="J7" s="25">
        <f>'Segments'!F27</f>
        <v/>
      </c>
    </row>
    <row r="8">
      <c r="A8" s="7" t="inlineStr">
        <is>
          <t>Selling and distribution</t>
        </is>
      </c>
      <c r="B8" s="13" t="n">
        <v>473.72</v>
      </c>
      <c r="C8" s="13" t="n">
        <v>562.527</v>
      </c>
      <c r="D8" s="13" t="n">
        <v>786.463</v>
      </c>
      <c r="E8" s="13" t="n">
        <v>979.6093333333333</v>
      </c>
      <c r="F8" s="25">
        <f>'Segments'!B29+'Segments'!B30</f>
        <v/>
      </c>
      <c r="G8" s="25">
        <f>'Segments'!C29+'Segments'!C30</f>
        <v/>
      </c>
      <c r="H8" s="25">
        <f>'Segments'!D29+'Segments'!D30</f>
        <v/>
      </c>
      <c r="I8" s="25">
        <f>'Segments'!E29+'Segments'!E30</f>
        <v/>
      </c>
      <c r="J8" s="25">
        <f>'Segments'!F29+'Segments'!F30</f>
        <v/>
      </c>
    </row>
    <row r="9">
      <c r="A9" s="7" t="inlineStr">
        <is>
          <t>Administrative</t>
        </is>
      </c>
      <c r="B9" s="13" t="n">
        <v>188.851</v>
      </c>
      <c r="C9" s="13" t="n">
        <v>297.887</v>
      </c>
      <c r="D9" s="13" t="n">
        <v>359.624</v>
      </c>
      <c r="E9" s="13" t="n">
        <v>365.108</v>
      </c>
      <c r="F9" s="25">
        <f>'Segments'!B31</f>
        <v/>
      </c>
      <c r="G9" s="25">
        <f>'Segments'!C31</f>
        <v/>
      </c>
      <c r="H9" s="25">
        <f>'Segments'!D31</f>
        <v/>
      </c>
      <c r="I9" s="25">
        <f>'Segments'!E31</f>
        <v/>
      </c>
      <c r="J9" s="25">
        <f>'Segments'!F31</f>
        <v/>
      </c>
    </row>
    <row r="10">
      <c r="A10" s="7" t="inlineStr">
        <is>
          <t>EBIT before other items</t>
        </is>
      </c>
      <c r="B10" s="14">
        <f>B7-B8-B9</f>
        <v/>
      </c>
      <c r="C10" s="14">
        <f>C7-C8-C9</f>
        <v/>
      </c>
      <c r="D10" s="14">
        <f>D7-D8-D9</f>
        <v/>
      </c>
      <c r="E10" s="14">
        <f>E7-E8-E9</f>
        <v/>
      </c>
      <c r="F10" s="25">
        <f>'Segments'!B33</f>
        <v/>
      </c>
      <c r="G10" s="25">
        <f>'Segments'!C33</f>
        <v/>
      </c>
      <c r="H10" s="25">
        <f>'Segments'!D33</f>
        <v/>
      </c>
      <c r="I10" s="25">
        <f>'Segments'!E33</f>
        <v/>
      </c>
      <c r="J10" s="25">
        <f>'Segments'!F33</f>
        <v/>
      </c>
    </row>
    <row r="11">
      <c r="A11" s="7" t="inlineStr">
        <is>
          <t>Depreciation and amortisation</t>
        </is>
      </c>
      <c r="B11" s="13" t="n">
        <v>719.213</v>
      </c>
      <c r="C11" s="13" t="n">
        <v>772.634</v>
      </c>
      <c r="D11" s="13" t="n">
        <v>895.849</v>
      </c>
      <c r="E11" s="13" t="n">
        <v>890.591</v>
      </c>
      <c r="F11" s="25">
        <f>'Segments'!B25</f>
        <v/>
      </c>
      <c r="G11" s="25">
        <f>'Segments'!C25</f>
        <v/>
      </c>
      <c r="H11" s="25">
        <f>'Segments'!D25</f>
        <v/>
      </c>
      <c r="I11" s="25">
        <f>'Segments'!E25</f>
        <v/>
      </c>
      <c r="J11" s="25">
        <f>'Segments'!F25</f>
        <v/>
      </c>
    </row>
    <row r="12">
      <c r="A12" s="7" t="inlineStr">
        <is>
          <t>EBITDA</t>
        </is>
      </c>
      <c r="B12" s="14">
        <f>B10+B11</f>
        <v/>
      </c>
      <c r="C12" s="14">
        <f>C10+C11</f>
        <v/>
      </c>
      <c r="D12" s="14">
        <f>D10+D11</f>
        <v/>
      </c>
      <c r="E12" s="14">
        <f>E10+E11</f>
        <v/>
      </c>
      <c r="F12" s="25">
        <f>'Segments'!B34</f>
        <v/>
      </c>
      <c r="G12" s="25">
        <f>'Segments'!C34</f>
        <v/>
      </c>
      <c r="H12" s="25">
        <f>'Segments'!D34</f>
        <v/>
      </c>
      <c r="I12" s="25">
        <f>'Segments'!E34</f>
        <v/>
      </c>
      <c r="J12" s="25">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5">
        <f>-'DCF'!B12</f>
        <v/>
      </c>
      <c r="C30" s="25">
        <f>-'DCF'!C12</f>
        <v/>
      </c>
      <c r="D30" s="25">
        <f>-'DCF'!D12</f>
        <v/>
      </c>
      <c r="E30" s="25">
        <f>-'DCF'!E12</f>
        <v/>
      </c>
      <c r="F30" s="25">
        <f>-'DCF'!F12</f>
        <v/>
      </c>
    </row>
    <row r="31">
      <c r="A31" s="7" t="inlineStr">
        <is>
          <t>Depreciation and amortisation</t>
        </is>
      </c>
      <c r="B31" s="25">
        <f>'Segments'!B25</f>
        <v/>
      </c>
      <c r="C31" s="25">
        <f>'Segments'!C25</f>
        <v/>
      </c>
      <c r="D31" s="25">
        <f>'Segments'!D25</f>
        <v/>
      </c>
      <c r="E31" s="25">
        <f>'Segments'!E25</f>
        <v/>
      </c>
      <c r="F31" s="25">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'Segments'!B18</f>
        <v/>
      </c>
      <c r="C5" s="25">
        <f>'Segments'!C18</f>
        <v/>
      </c>
      <c r="D5" s="25">
        <f>'Segments'!D18</f>
        <v/>
      </c>
      <c r="E5" s="25">
        <f>'Segments'!E18</f>
        <v/>
      </c>
      <c r="F5" s="25">
        <f>'Segments'!F18</f>
        <v/>
      </c>
    </row>
    <row r="6">
      <c r="A6" s="7" t="inlineStr">
        <is>
          <t>Cost of sales</t>
        </is>
      </c>
      <c r="B6" s="25">
        <f>'Segments'!B26</f>
        <v/>
      </c>
      <c r="C6" s="25">
        <f>'Segments'!C26</f>
        <v/>
      </c>
      <c r="D6" s="25">
        <f>'Segments'!D26</f>
        <v/>
      </c>
      <c r="E6" s="25">
        <f>'Segments'!E26</f>
        <v/>
      </c>
      <c r="F6" s="25">
        <f>'Segments'!F26</f>
        <v/>
      </c>
    </row>
    <row r="7">
      <c r="A7" s="7" t="inlineStr">
        <is>
          <t>Receivables</t>
        </is>
      </c>
      <c r="B7" s="14">
        <f>B5*'Assumptions'!C149/365</f>
        <v/>
      </c>
      <c r="C7" s="14">
        <f>C5*'Assumptions'!C149/365</f>
        <v/>
      </c>
      <c r="D7" s="14">
        <f>D5*'Assumptions'!C149/365</f>
        <v/>
      </c>
      <c r="E7" s="14">
        <f>E5*'Assumptions'!C149/365</f>
        <v/>
      </c>
      <c r="F7" s="14">
        <f>F5*'Assumptions'!C149/365</f>
        <v/>
      </c>
    </row>
    <row r="8">
      <c r="A8" s="7" t="inlineStr">
        <is>
          <t>Inventory</t>
        </is>
      </c>
      <c r="B8" s="14">
        <f>B6*'Assumptions'!C150/365</f>
        <v/>
      </c>
      <c r="C8" s="14">
        <f>C6*'Assumptions'!C150/365</f>
        <v/>
      </c>
      <c r="D8" s="14">
        <f>D6*'Assumptions'!C150/365</f>
        <v/>
      </c>
      <c r="E8" s="14">
        <f>E6*'Assumptions'!C150/365</f>
        <v/>
      </c>
      <c r="F8" s="14">
        <f>F6*'Assumptions'!C150/365</f>
        <v/>
      </c>
    </row>
    <row r="9">
      <c r="A9" s="7" t="inlineStr">
        <is>
          <t>Payables</t>
        </is>
      </c>
      <c r="B9" s="14">
        <f>B6*'Assumptions'!C151/365</f>
        <v/>
      </c>
      <c r="C9" s="14">
        <f>C6*'Assumptions'!C151/365</f>
        <v/>
      </c>
      <c r="D9" s="14">
        <f>D6*'Assumptions'!C151/365</f>
        <v/>
      </c>
      <c r="E9" s="14">
        <f>E6*'Assumptions'!C151/365</f>
        <v/>
      </c>
      <c r="F9" s="14">
        <f>F6*'Assumptions'!C151/365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 net of the documentary credits inside the inventory line (note 11)</t>
        </is>
      </c>
      <c r="B11" s="13" t="n">
        <v>1662.024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5">
        <f>'DCF'!B14</f>
        <v/>
      </c>
      <c r="C14" s="25">
        <f>'DCF'!C14</f>
        <v/>
      </c>
      <c r="D14" s="25">
        <f>'DCF'!D14</f>
        <v/>
      </c>
      <c r="E14" s="25">
        <f>'DCF'!E14</f>
        <v/>
      </c>
      <c r="F14" s="25">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7">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'DCF'!B5</f>
        <v/>
      </c>
      <c r="C5" s="25">
        <f>'DCF'!C5</f>
        <v/>
      </c>
      <c r="D5" s="25">
        <f>'DCF'!D5</f>
        <v/>
      </c>
      <c r="E5" s="25">
        <f>'DCF'!E5</f>
        <v/>
      </c>
      <c r="F5" s="25">
        <f>'DCF'!F5</f>
        <v/>
      </c>
    </row>
    <row r="6">
      <c r="A6" s="7" t="inlineStr">
        <is>
          <t>EBITDA</t>
        </is>
      </c>
      <c r="B6" s="25">
        <f>'DCF'!B6</f>
        <v/>
      </c>
      <c r="C6" s="25">
        <f>'DCF'!C6</f>
        <v/>
      </c>
      <c r="D6" s="25">
        <f>'DCF'!D6</f>
        <v/>
      </c>
      <c r="E6" s="25">
        <f>'DCF'!E6</f>
        <v/>
      </c>
      <c r="F6" s="25">
        <f>'DCF'!F6</f>
        <v/>
      </c>
    </row>
    <row r="7">
      <c r="A7" s="7" t="inlineStr">
        <is>
          <t>EBITDA margin</t>
        </is>
      </c>
      <c r="B7" s="26">
        <f>'DCF'!B7</f>
        <v/>
      </c>
      <c r="C7" s="26">
        <f>'DCF'!C7</f>
        <v/>
      </c>
      <c r="D7" s="26">
        <f>'DCF'!D7</f>
        <v/>
      </c>
      <c r="E7" s="26">
        <f>'DCF'!E7</f>
        <v/>
      </c>
      <c r="F7" s="26">
        <f>'DCF'!F7</f>
        <v/>
      </c>
    </row>
    <row r="8">
      <c r="A8" s="7" t="inlineStr">
        <is>
          <t>EBIT</t>
        </is>
      </c>
      <c r="B8" s="25">
        <f>'DCF'!B9</f>
        <v/>
      </c>
      <c r="C8" s="25">
        <f>'DCF'!C9</f>
        <v/>
      </c>
      <c r="D8" s="25">
        <f>'DCF'!D9</f>
        <v/>
      </c>
      <c r="E8" s="25">
        <f>'DCF'!E9</f>
        <v/>
      </c>
      <c r="F8" s="25">
        <f>'DCF'!F9</f>
        <v/>
      </c>
    </row>
    <row r="9">
      <c r="A9" s="7" t="inlineStr">
        <is>
          <t>NOPAT</t>
        </is>
      </c>
      <c r="B9" s="25">
        <f>'DCF'!B10</f>
        <v/>
      </c>
      <c r="C9" s="25">
        <f>'DCF'!C10</f>
        <v/>
      </c>
      <c r="D9" s="25">
        <f>'DCF'!D10</f>
        <v/>
      </c>
      <c r="E9" s="25">
        <f>'DCF'!E10</f>
        <v/>
      </c>
      <c r="F9" s="25">
        <f>'DCF'!F10</f>
        <v/>
      </c>
    </row>
    <row r="10">
      <c r="A10" s="7" t="inlineStr">
        <is>
          <t>Capital expenditure</t>
        </is>
      </c>
      <c r="B10" s="25">
        <f>-'DCF'!B12</f>
        <v/>
      </c>
      <c r="C10" s="25">
        <f>-'DCF'!C12</f>
        <v/>
      </c>
      <c r="D10" s="25">
        <f>-'DCF'!D12</f>
        <v/>
      </c>
      <c r="E10" s="25">
        <f>-'DCF'!E12</f>
        <v/>
      </c>
      <c r="F10" s="25">
        <f>-'DCF'!F12</f>
        <v/>
      </c>
    </row>
    <row r="11">
      <c r="A11" s="7" t="inlineStr">
        <is>
          <t>Free cash flow to the firm</t>
        </is>
      </c>
      <c r="B11" s="25">
        <f>'DCF'!B14</f>
        <v/>
      </c>
      <c r="C11" s="25">
        <f>'DCF'!C14</f>
        <v/>
      </c>
      <c r="D11" s="25">
        <f>'DCF'!D14</f>
        <v/>
      </c>
      <c r="E11" s="25">
        <f>'DCF'!E14</f>
        <v/>
      </c>
      <c r="F11" s="25">
        <f>'DCF'!F14</f>
        <v/>
      </c>
    </row>
    <row r="12">
      <c r="A12" s="7" t="inlineStr">
        <is>
          <t>Present value</t>
        </is>
      </c>
      <c r="B12" s="25">
        <f>'DCF'!B17</f>
        <v/>
      </c>
      <c r="C12" s="25">
        <f>'DCF'!C17</f>
        <v/>
      </c>
      <c r="D12" s="25">
        <f>'DCF'!D17</f>
        <v/>
      </c>
      <c r="E12" s="25">
        <f>'DCF'!E17</f>
        <v/>
      </c>
      <c r="F12" s="25">
        <f>'DCF'!F17</f>
        <v/>
      </c>
    </row>
    <row r="13">
      <c r="A13" s="7" t="inlineStr">
        <is>
          <t>Urea output (tonnes)</t>
        </is>
      </c>
      <c r="B13" s="25">
        <f>'Segments'!B5</f>
        <v/>
      </c>
      <c r="C13" s="25">
        <f>'Segments'!C5</f>
        <v/>
      </c>
      <c r="D13" s="25">
        <f>'Segments'!D5</f>
        <v/>
      </c>
      <c r="E13" s="25">
        <f>'Segments'!E5</f>
        <v/>
      </c>
      <c r="F13" s="25">
        <f>'Segments'!F5</f>
        <v/>
      </c>
    </row>
    <row r="14">
      <c r="A14" s="7" t="inlineStr">
        <is>
          <t>Export tonnes</t>
        </is>
      </c>
      <c r="B14" s="25">
        <f>'Segments'!B9</f>
        <v/>
      </c>
      <c r="C14" s="25">
        <f>'Segments'!C9</f>
        <v/>
      </c>
      <c r="D14" s="25">
        <f>'Segments'!D9</f>
        <v/>
      </c>
      <c r="E14" s="25">
        <f>'Segments'!E9</f>
        <v/>
      </c>
      <c r="F14" s="25">
        <f>'Segments'!F9</f>
        <v/>
      </c>
    </row>
    <row r="15">
      <c r="A15" s="7" t="inlineStr">
        <is>
          <t>Export price (US$/t)</t>
        </is>
      </c>
      <c r="B15" s="31">
        <f>'Assumptions'!C33</f>
        <v/>
      </c>
      <c r="C15" s="31">
        <f>'Assumptions'!C34</f>
        <v/>
      </c>
      <c r="D15" s="31">
        <f>'Assumptions'!C35</f>
        <v/>
      </c>
      <c r="E15" s="31">
        <f>'Assumptions'!C36</f>
        <v/>
      </c>
      <c r="F15" s="31">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5">
        <f>'DCF'!D5*D19</f>
        <v/>
      </c>
      <c r="E21" s="25">
        <f>'DCF'!E5*E19</f>
        <v/>
      </c>
      <c r="F21" s="25">
        <f>'DCF'!F5*F19</f>
        <v/>
      </c>
    </row>
    <row r="22">
      <c r="A22" s="10" t="inlineStr">
        <is>
          <t>Revenue — high of the range (EGP m)</t>
        </is>
      </c>
      <c r="D22" s="25">
        <f>'DCF'!D5*D20</f>
        <v/>
      </c>
      <c r="E22" s="25">
        <f>'DCF'!E5*E20</f>
        <v/>
      </c>
      <c r="F22" s="25">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12.12</v>
      </c>
      <c r="C5" s="12" t="n">
        <v>10.84</v>
      </c>
      <c r="D5" s="9">
        <f>B5/$B$12-1</f>
        <v/>
      </c>
      <c r="E5" s="9">
        <f>C5/$B$12-1</f>
        <v/>
      </c>
    </row>
    <row r="6">
      <c r="A6" s="7" t="inlineStr">
        <is>
          <t>Percentile 25</t>
        </is>
      </c>
      <c r="B6" s="12" t="n">
        <v>13.45</v>
      </c>
      <c r="C6" s="12" t="n">
        <v>13.21</v>
      </c>
      <c r="D6" s="9">
        <f>B6/$B$12-1</f>
        <v/>
      </c>
      <c r="E6" s="9">
        <f>C6/$B$12-1</f>
        <v/>
      </c>
    </row>
    <row r="7">
      <c r="A7" s="7" t="inlineStr">
        <is>
          <t>Percentile 50</t>
        </is>
      </c>
      <c r="B7" s="12" t="n">
        <v>14.26</v>
      </c>
      <c r="C7" s="12" t="n">
        <v>14.77</v>
      </c>
      <c r="D7" s="9">
        <f>B7/$B$12-1</f>
        <v/>
      </c>
      <c r="E7" s="9">
        <f>C7/$B$12-1</f>
        <v/>
      </c>
    </row>
    <row r="8">
      <c r="A8" s="7" t="inlineStr">
        <is>
          <t>Percentile 75</t>
        </is>
      </c>
      <c r="B8" s="12" t="n">
        <v>15.11</v>
      </c>
      <c r="C8" s="12" t="n">
        <v>16.5</v>
      </c>
      <c r="D8" s="9">
        <f>B8/$B$12-1</f>
        <v/>
      </c>
      <c r="E8" s="9">
        <f>C8/$B$12-1</f>
        <v/>
      </c>
    </row>
    <row r="9">
      <c r="A9" s="7" t="inlineStr">
        <is>
          <t>Percentile 95</t>
        </is>
      </c>
      <c r="B9" s="12" t="n">
        <v>16.77</v>
      </c>
      <c r="C9" s="12" t="n">
        <v>20.09</v>
      </c>
      <c r="D9" s="9">
        <f>B9/$B$12-1</f>
        <v/>
      </c>
      <c r="E9" s="9">
        <f>C9/$B$12-1</f>
        <v/>
      </c>
    </row>
    <row r="10"/>
    <row r="11">
      <c r="A11" s="10" t="inlineStr">
        <is>
          <t>Probability the price ends above today's</t>
        </is>
      </c>
      <c r="B11" s="15" t="n">
        <v>0.59134</v>
      </c>
      <c r="C11" s="15" t="n">
        <v>0.6311600000000001</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0.56936</v>
      </c>
      <c r="C18" s="15" t="n">
        <v>0.79774</v>
      </c>
    </row>
    <row r="19">
      <c r="A19" s="7" t="inlineStr">
        <is>
          <t>Up 10%</t>
        </is>
      </c>
      <c r="B19" s="15" t="n">
        <v>0.30078</v>
      </c>
      <c r="C19" s="15" t="n">
        <v>0.62622</v>
      </c>
    </row>
    <row r="20">
      <c r="A20" s="7" t="inlineStr">
        <is>
          <t>Up 15%</t>
        </is>
      </c>
      <c r="B20" s="15" t="n">
        <v>0.1504</v>
      </c>
      <c r="C20" s="15" t="n">
        <v>0.47416</v>
      </c>
    </row>
    <row r="21">
      <c r="A21" s="7" t="inlineStr">
        <is>
          <t>Up 20%</t>
        </is>
      </c>
      <c r="B21" s="15" t="n">
        <v>0.07575999999999999</v>
      </c>
      <c r="C21" s="15" t="n">
        <v>0.3513</v>
      </c>
    </row>
    <row r="22">
      <c r="A22" s="7" t="inlineStr">
        <is>
          <t>Down 5%</t>
        </is>
      </c>
      <c r="B22" s="15" t="n">
        <v>0.40288</v>
      </c>
      <c r="C22" s="15" t="n">
        <v>0.6025199999999999</v>
      </c>
    </row>
    <row r="23">
      <c r="A23" s="7" t="inlineStr">
        <is>
          <t>Down 10%</t>
        </is>
      </c>
      <c r="B23" s="15" t="n">
        <v>0.16326</v>
      </c>
      <c r="C23" s="15" t="n">
        <v>0.3747</v>
      </c>
    </row>
    <row r="24">
      <c r="A24" s="7" t="inlineStr">
        <is>
          <t>Down 15%</t>
        </is>
      </c>
      <c r="B24" s="15" t="n">
        <v>0.062</v>
      </c>
      <c r="C24" s="15" t="n">
        <v>0.22228</v>
      </c>
    </row>
    <row r="25">
      <c r="A25" s="7" t="inlineStr">
        <is>
          <t>Down 20%</t>
        </is>
      </c>
      <c r="B25" s="15" t="n">
        <v>0.0241</v>
      </c>
      <c r="C25" s="15" t="n">
        <v>0.13014</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31"/>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-2.62</v>
      </c>
      <c r="C6" s="12" t="n">
        <v>-2.74</v>
      </c>
      <c r="D6" s="12" t="n">
        <v>-2.86</v>
      </c>
      <c r="E6" s="12" t="n">
        <v>-2.93</v>
      </c>
      <c r="F6" s="12" t="n">
        <v>-3.01</v>
      </c>
    </row>
    <row r="7">
      <c r="A7" s="7" t="inlineStr">
        <is>
          <t>US$ 420/t long-run export price</t>
        </is>
      </c>
      <c r="B7" s="12" t="n">
        <v>-0.35</v>
      </c>
      <c r="C7" s="12" t="n">
        <v>-0.66</v>
      </c>
      <c r="D7" s="12" t="n">
        <v>-0.95</v>
      </c>
      <c r="E7" s="12" t="n">
        <v>-1.13</v>
      </c>
      <c r="F7" s="12" t="n">
        <v>-1.32</v>
      </c>
    </row>
    <row r="8">
      <c r="A8" s="7" t="inlineStr">
        <is>
          <t>US$ 460/t long-run export price</t>
        </is>
      </c>
      <c r="B8" s="12" t="n">
        <v>1.92</v>
      </c>
      <c r="C8" s="12" t="n">
        <v>1.43</v>
      </c>
      <c r="D8" s="12" t="n">
        <v>0.96</v>
      </c>
      <c r="E8" s="12" t="n">
        <v>0.66</v>
      </c>
      <c r="F8" s="12" t="n">
        <v>0.37</v>
      </c>
    </row>
    <row r="9">
      <c r="A9" s="7" t="inlineStr">
        <is>
          <t>US$ 500/t long-run export price</t>
        </is>
      </c>
      <c r="B9" s="12" t="n">
        <v>4.19</v>
      </c>
      <c r="C9" s="12" t="n">
        <v>3.52</v>
      </c>
      <c r="D9" s="12" t="n">
        <v>2.88</v>
      </c>
      <c r="E9" s="12" t="n">
        <v>2.46</v>
      </c>
      <c r="F9" s="12" t="n">
        <v>2.06</v>
      </c>
    </row>
    <row r="10">
      <c r="A10" s="7" t="inlineStr">
        <is>
          <t>US$ 540/t long-run export price</t>
        </is>
      </c>
      <c r="B10" s="12" t="n">
        <v>6.47</v>
      </c>
      <c r="C10" s="12" t="n">
        <v>5.6</v>
      </c>
      <c r="D10" s="12" t="n">
        <v>4.79</v>
      </c>
      <c r="E10" s="12" t="n">
        <v>4.26</v>
      </c>
      <c r="F10" s="12" t="n">
        <v>3.74</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No export duty, because Ministerial Decision 340 of 2026 cancelled the levy with effect from 1 August 2026 — five weeks before this study's strike</t>
        </is>
      </c>
      <c r="B17" s="10" t="inlineStr">
        <is>
          <t>The 10% ad-valorem duty back, charged on every export tonne for ever (5.0966), or at half that rate (6.5857)</t>
        </is>
      </c>
      <c r="C17" s="12" t="n">
        <v>5.096633765309656</v>
      </c>
      <c r="D17" s="11">
        <f>C17-$D$15</f>
        <v/>
      </c>
    </row>
    <row r="18" ht="26" customHeight="1">
      <c r="A18" s="10" t="inlineStr">
        <is>
          <t>The new complex's granulated ammonium nitrate priced at the SAME PRODUCT'S OWN DISCLOSED REALISED PRICE — EGP 20,000/t from note 20, carried on the currency exactly as the existing nitrate business is</t>
        </is>
      </c>
      <c r="B18" s="10" t="inlineStr">
        <is>
          <t>Priced at the retired typed US$280/t, the weakest-sourced input in a 304-input register, whose source string was four words long and named no assessor, series, date or basis (7.5002)</t>
        </is>
      </c>
      <c r="C18" s="12" t="n">
        <v>7.500162299446612</v>
      </c>
      <c r="D18" s="11">
        <f>C18-$D$15</f>
        <v/>
      </c>
    </row>
    <row r="19" ht="26" customHeight="1">
      <c r="A19" s="10" t="inlineStr">
        <is>
          <t>Country risk priced off the sovereign's traded default swap</t>
        </is>
      </c>
      <c r="B19" s="10" t="inlineStr">
        <is>
          <t>Priced off the sovereign's credit rating instead, which is the wider of the two spreads and gives a cost of capital 104 basis points higher</t>
        </is>
      </c>
      <c r="C19" s="12" t="n">
        <v>5.407252661808486</v>
      </c>
      <c r="D19" s="11">
        <f>C19-$D$15</f>
        <v/>
      </c>
    </row>
    <row r="20" ht="26" customHeight="1">
      <c r="A20" s="10" t="inlineStr">
        <is>
          <t>A cost of capital that glides from its spot build to a terminal rate made from its own long-run components</t>
        </is>
      </c>
      <c r="B20" s="10" t="inlineStr">
        <is>
          <t>One flat spot rate applied to every explicit year and to the perpetuity</t>
        </is>
      </c>
      <c r="C20" s="12" t="n">
        <v>3.145577030925056</v>
      </c>
      <c r="D20" s="11">
        <f>C20-$D$15</f>
        <v/>
      </c>
    </row>
    <row r="21" ht="26" customHeight="1">
      <c r="A21" s="10" t="inlineStr">
        <is>
          <t>Terminal growth at the central bank's medium-term inflation target</t>
        </is>
      </c>
      <c r="B21" s="10" t="inlineStr">
        <is>
          <t>Two percentage points below it, which is negative real maintenance growth</t>
        </is>
      </c>
      <c r="C21" s="12" t="n">
        <v>5.264107281415742</v>
      </c>
      <c r="D21" s="11">
        <f>C21-$D$15</f>
        <v/>
      </c>
    </row>
    <row r="22" ht="26" customHeight="1">
      <c r="A22" s="10" t="inlineStr">
        <is>
          <t>The cost of debt at the company's own disclosed rates — 19.4% on the local facility, 11.7% in dollars on the project loan carried at local-equivalent cost on the derived currency path, 24.4% in year one gliding to 13.9% at the terminal</t>
        </is>
      </c>
      <c r="B22" s="10" t="inlineStr">
        <is>
          <t>Every leg floored at the 23.00% sovereign ten-year yield — the company's own facilities print no spread above the policy rate, so no spread is added</t>
        </is>
      </c>
      <c r="C22" s="12" t="n">
        <v>6.027419537013731</v>
      </c>
      <c r="D22" s="11">
        <f>C22-$D$15</f>
        <v/>
      </c>
    </row>
    <row r="23" ht="26" customHeight="1">
      <c r="A23" s="10" t="inlineStr">
        <is>
          <t>Beta from the five-year weekly regression of the share against the published EGX30 index</t>
        </is>
      </c>
      <c r="B23" s="10" t="inlineStr">
        <is>
          <t>The lower bound of that regression's own 90% confidence interval</t>
        </is>
      </c>
      <c r="C23" s="12" t="n">
        <v>9.293905460682925</v>
      </c>
      <c r="D23" s="11">
        <f>C23-$D$15</f>
        <v/>
      </c>
    </row>
    <row r="24" ht="26" customHeight="1">
      <c r="A24" s="10" t="inlineStr">
        <is>
          <t>Gas at the realised price the company's own loss disclosure implies</t>
        </is>
      </c>
      <c r="B24" s="10" t="inlineStr">
        <is>
          <t>The contract formula price in the operating agreement, which is higher</t>
        </is>
      </c>
      <c r="C24" s="12" t="n">
        <v>5.072710422990149</v>
      </c>
      <c r="D24" s="11">
        <f>C24-$D$15</f>
        <v/>
      </c>
    </row>
    <row r="25" ht="26" customHeight="1">
      <c r="A25" s="10" t="inlineStr">
        <is>
          <t>The new complex earning at half its derived nameplate in the terminal year</t>
        </is>
      </c>
      <c r="B25" s="10" t="inlineStr">
        <is>
          <t>Seventy per cent, which is what a well-run nitrate line achieves</t>
        </is>
      </c>
      <c r="C25" s="12" t="n">
        <v>8.806789404390324</v>
      </c>
      <c r="D25" s="11">
        <f>C25-$D$15</f>
        <v/>
      </c>
    </row>
    <row r="26" ht="26" customHeight="1">
      <c r="A26" s="10" t="inlineStr">
        <is>
          <t>Maintenance capital expenditure at the company's own observed pre-project rate of 1.12% of revenue</t>
        </is>
      </c>
      <c r="B26" s="10" t="inlineStr">
        <is>
          <t>Replacement-rate maintenance: gross fixed assets at the disclosed 3.95% machinery depreciation rate, or 6.11% of revenue</t>
        </is>
      </c>
      <c r="C26" s="12" t="n">
        <v>7.082167477332161</v>
      </c>
      <c r="D26" s="11">
        <f>C26-$D$15</f>
        <v/>
      </c>
    </row>
    <row r="27" ht="26" customHeight="1">
      <c r="A27" s="10" t="inlineStr">
        <is>
          <t>Capital maintenance charged at what replacing the plant costs today, on the 4.45-year average age the accounts MEASURE — accumulated depreciation over the year's own charge</t>
        </is>
      </c>
      <c r="B27" s="10" t="inlineStr">
        <is>
          <t>Half the 22.1-year life the same accounts imply, 11.04 years, which is what has to be assumed where a company does not disclose enough to measure it</t>
        </is>
      </c>
      <c r="C27" s="12" t="n">
        <v>5.457073757897384</v>
      </c>
      <c r="D27" s="11">
        <f>C27-$D$15</f>
        <v/>
      </c>
    </row>
    <row r="28" ht="26" customHeight="1">
      <c r="A28" s="10" t="inlineStr">
        <is>
          <t>Gas consumption at 1,292 cubic metres a tonne of ammonia — the rate implied by allocating three quarters of the single disclosed materials line to gas, which carries the plant's disclosed losses as well as its standard usage</t>
        </is>
      </c>
      <c r="B28" s="10" t="inlineStr">
        <is>
          <t>The auditor's own disclosed STANDARD rate of 1,200 cubic metres a tonne, which is what the plant consumes when it runs to specification and excludes the losses</t>
        </is>
      </c>
      <c r="C28" s="12" t="n">
        <v>9.009779646164183</v>
      </c>
      <c r="D28" s="11">
        <f>C28-$D$15</f>
        <v/>
      </c>
    </row>
    <row r="29" ht="26" customHeight="1">
      <c r="A29" s="10" t="inlineStr">
        <is>
          <t>Project spending anchored on the observed run rate: the nine-month actual extended to a full year</t>
        </is>
      </c>
      <c r="B29" s="10" t="inlineStr">
        <is>
          <t>The faster profile the first issue of this study used, opening at EGP 3,000m</t>
        </is>
      </c>
      <c r="C29" s="12" t="n">
        <v>7.870008717622996</v>
      </c>
      <c r="D29" s="11">
        <f>C29-$D$15</f>
        <v/>
      </c>
    </row>
    <row r="30"/>
    <row r="31" ht="39" customHeight="1">
      <c r="A31"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'Assumptions'!C105</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7">
        <f>'DCF'!B41/'DCF'!B6</f>
        <v/>
      </c>
      <c r="C10" s="10" t="inlineStr">
        <is>
          <t>On the forward year</t>
        </is>
      </c>
    </row>
    <row r="11" ht="14" customHeight="1">
      <c r="A11" s="10" t="inlineStr">
        <is>
          <t>Enterprise value to EBITDA at the model's value</t>
        </is>
      </c>
      <c r="B11" s="27">
        <f>'DCF'!B37/'DCF'!B6</f>
        <v/>
      </c>
      <c r="C11" s="10" t="inlineStr"/>
    </row>
    <row r="12" ht="14" customHeight="1">
      <c r="A12" s="10" t="inlineStr">
        <is>
          <t>Enterprise value to EBITDA at the market price</t>
        </is>
      </c>
      <c r="B12" s="27">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2026-09-10T17:21:02Z</dcterms:created>
  <dcterms:modified xmlns:dcterms="http://purl.org/dc/terms/" xmlns:xsi="http://www.w3.org/2001/XMLSchema-instance" xsi:type="dcterms:W3CDTF">2026-09-10T17:21:02Z</dcterms:modified>
</cp:coreProperties>
</file>