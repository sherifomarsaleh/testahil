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2"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0.1300292595239384</v>
      </c>
    </row>
    <row r="26">
      <c r="A26" s="10" t="inlineStr">
        <is>
          <t>Sovereign ten-year yield the same day, for comparison</t>
        </is>
      </c>
      <c r="B26" s="15" t="n">
        <v>0.23</v>
      </c>
    </row>
    <row r="27">
      <c r="A27" s="10" t="inlineStr">
        <is>
          <t>Cost of capital built in this model, year one</t>
        </is>
      </c>
      <c r="B27" s="16">
        <f>'Assumptions'!C115</f>
        <v/>
      </c>
    </row>
    <row r="28">
      <c r="A28" s="10" t="inlineStr">
        <is>
          <t>Cost of capital on the RATING premium basis, year one — the published alternative</t>
        </is>
      </c>
      <c r="B28" s="16">
        <f>'Assumptions'!C113*'Assumptions'!C104+'Assumptions'!C114*'Assumptions'!C111*(1-'Assumptions'!C112)</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9.128793547103569</v>
      </c>
    </row>
    <row r="37">
      <c r="A37" s="7" t="inlineStr">
        <is>
          <t>Against spot</t>
        </is>
      </c>
      <c r="B37" s="9">
        <f>B36/$B$14-1</f>
        <v/>
      </c>
    </row>
    <row r="38">
      <c r="A38" s="10" t="inlineStr">
        <is>
          <t>RETIRED — the 45/20/20/15 weighted blend, published unused</t>
        </is>
      </c>
      <c r="B38" s="12" t="n">
        <v>6.315558537881176</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'Assumptions'!C105</f>
        <v/>
      </c>
      <c r="C14" s="10" t="inlineStr">
        <is>
          <t>Built on the Assumptions sheet</t>
        </is>
      </c>
    </row>
    <row r="15" ht="14" customHeight="1">
      <c r="A15" s="7" t="inlineStr">
        <is>
          <t>Terminal growth</t>
        </is>
      </c>
      <c r="B15" s="9">
        <f>'Assumptions'!C122</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5.022413776196755</v>
      </c>
    </row>
    <row r="24">
      <c r="A24" s="7" t="inlineStr">
        <is>
          <t>Cash flow — programme stopped</t>
        </is>
      </c>
      <c r="B24" s="12" t="n">
        <v>9.128793547103569</v>
      </c>
    </row>
    <row r="25">
      <c r="A25" s="10" t="inlineStr">
        <is>
          <t>Book value, disclosed (a floor, never weighted)</t>
        </is>
      </c>
      <c r="B25" s="12" t="n">
        <v>8.15778582586335</v>
      </c>
    </row>
    <row r="26">
      <c r="A26" s="7" t="inlineStr">
        <is>
          <t>Relative multiples</t>
        </is>
      </c>
      <c r="B26" s="12" t="n">
        <v>15.98773106857623</v>
      </c>
    </row>
    <row r="27">
      <c r="A27" s="7" t="inlineStr">
        <is>
          <t>Normalised earnings power</t>
        </is>
      </c>
      <c r="B27" s="12" t="n">
        <v>4.289630624386951</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5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84" customHeight="1">
      <c r="A50" s="7" t="inlineStr">
        <is>
          <t>Export duty</t>
        </is>
      </c>
      <c r="B50" s="7" t="inlineStr">
        <is>
          <t>% of export value</t>
        </is>
      </c>
      <c r="C50" s="15" t="n">
        <v>0.1</v>
      </c>
      <c r="D50" s="10" t="inlineStr">
        <is>
          <t>Decree No. 258 of 2026 of the Minister of Investment and Foreign Trade, published in the Official Gazette on 25 June 2026 — 10% ad valorem on the FOB invoice value of nitrogen fertiliser exports, the invoice certified by the Chamber of Chemical Industries. It replaced a temporary US$90/t duty imposed in May 2026 for three months; the 10% carries no stated expiry. Pure ammonium nitrate above 34.2% nitrogen and free zone shipments are exempt — urea is neither. Read from two independent reports of the instrument rather than the Gazette text, which is the remaining gap in this citation</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1.01981029917547</v>
      </c>
      <c r="D97" s="10" t="inlineStr">
        <is>
          <t>Own-stock weekly regression, 256 observations over 4.9 years against the published EGX30 index (as of 2026-09-08), R-squared 0.248, standard error 0.191, 90% interval 0.71 to 1.33</t>
        </is>
      </c>
    </row>
    <row r="98">
      <c r="A98" s="10" t="inlineStr">
        <is>
          <t>Normalised risk-free rate, CDS basis — THE CENTRAL</t>
        </is>
      </c>
      <c r="B98" s="7" t="inlineStr">
        <is>
          <t>%</t>
        </is>
      </c>
      <c r="C98" s="16">
        <f>'Assumptions'!C91-'Assumptions'!C95</f>
        <v/>
      </c>
    </row>
    <row r="99" ht="24" customHeight="1">
      <c r="A99" s="10" t="inlineStr">
        <is>
          <t>Equity-to-bond volatility scaling on the default spread</t>
        </is>
      </c>
      <c r="B99" s="7" t="inlineStr">
        <is>
          <t>x</t>
        </is>
      </c>
      <c r="C99" s="24" t="n">
        <v>1.52</v>
      </c>
      <c r="D99" s="10" t="inlineStr">
        <is>
          <t>the ratio of equity volatility to sovereign-bond volatility. It converts a DEBT default spread into the EQUITY country premium, which is the only premium a shareholder is exposed to</t>
        </is>
      </c>
    </row>
    <row r="100">
      <c r="A100" s="10" t="inlineStr">
        <is>
          <t xml:space="preserve">   of which the country premium, rating basis — charged FLAT</t>
        </is>
      </c>
      <c r="B100" s="7" t="inlineStr">
        <is>
          <t>%</t>
        </is>
      </c>
      <c r="C100" s="16">
        <f>'Assumptions'!C92*'Assumptions'!C99</f>
        <v/>
      </c>
    </row>
    <row r="101">
      <c r="A101" s="10" t="inlineStr">
        <is>
          <t xml:space="preserve">   of which the mature equity premium, rating basis</t>
        </is>
      </c>
      <c r="B101" s="7" t="inlineStr">
        <is>
          <t>%</t>
        </is>
      </c>
      <c r="C101" s="16">
        <f>'Assumptions'!C94-'Assumptions'!C100</f>
        <v/>
      </c>
    </row>
    <row r="102">
      <c r="A102" s="10" t="inlineStr">
        <is>
          <t xml:space="preserve">   of which the country premium, CDS basis — charged FLAT</t>
        </is>
      </c>
      <c r="B102" s="7" t="inlineStr">
        <is>
          <t>%</t>
        </is>
      </c>
      <c r="C102" s="16">
        <f>'Assumptions'!C95*'Assumptions'!C99</f>
        <v/>
      </c>
    </row>
    <row r="103">
      <c r="A103" s="10" t="inlineStr">
        <is>
          <t xml:space="preserve">   of which the mature equity premium, CDS basis</t>
        </is>
      </c>
      <c r="B103" s="7" t="inlineStr">
        <is>
          <t>%</t>
        </is>
      </c>
      <c r="C103" s="16">
        <f>'Assumptions'!C96-'Assumptions'!C102</f>
        <v/>
      </c>
    </row>
    <row r="104">
      <c r="A104" s="10" t="inlineStr">
        <is>
          <t>Cost of equity, rating basis — published, not central</t>
        </is>
      </c>
      <c r="B104" s="7" t="inlineStr">
        <is>
          <t>%</t>
        </is>
      </c>
      <c r="C104" s="16">
        <f>'Assumptions'!C93+'Assumptions'!C97*'Assumptions'!C101+'Assumptions'!C100</f>
        <v/>
      </c>
    </row>
    <row r="105">
      <c r="A105" s="7" t="inlineStr">
        <is>
          <t>Cost of equity, CDS basis — THE CENTRAL</t>
        </is>
      </c>
      <c r="B105" s="7" t="inlineStr">
        <is>
          <t>%</t>
        </is>
      </c>
      <c r="C105" s="16">
        <f>'Assumptions'!C98+'Assumptions'!C97*'Assumptions'!C103+'Assumptions'!C102</f>
        <v/>
      </c>
    </row>
    <row r="106" ht="24" customHeight="1">
      <c r="A106" s="7" t="inlineStr">
        <is>
          <t>Cost of debt, local currency</t>
        </is>
      </c>
      <c r="B106" s="7" t="inlineStr">
        <is>
          <t>%</t>
        </is>
      </c>
      <c r="C106" s="23" t="n">
        <v>0.194</v>
      </c>
      <c r="D106" s="10" t="inlineStr">
        <is>
          <t>Constructed: EGP 96,896,001 of interest on the EGP 500,000,000 holding-company facility drawn in FY2024/25 — the company's own latest local borrowing</t>
        </is>
      </c>
    </row>
    <row r="107" ht="14" customHeight="1">
      <c r="A107" s="7" t="inlineStr">
        <is>
          <t>Cost of debt, dollar tranche, in dollars</t>
        </is>
      </c>
      <c r="B107" s="7" t="inlineStr">
        <is>
          <t>%</t>
        </is>
      </c>
      <c r="C107" s="23" t="n">
        <v>0.117</v>
      </c>
      <c r="D107" s="10" t="inlineStr">
        <is>
          <t>Constructed: EGP 1,338.0m of FY2024/25 interest on a mean dollar balance of about US$233m</t>
        </is>
      </c>
    </row>
    <row r="108" ht="60" customHeight="1">
      <c r="A108" s="10" t="inlineStr">
        <is>
          <t>Terminal currency wedge (the same identity, at the terminal inflation)</t>
        </is>
      </c>
      <c r="B108" s="7" t="inlineStr">
        <is>
          <t>%</t>
        </is>
      </c>
      <c r="C108" s="23" t="n">
        <v>0.044921875</v>
      </c>
      <c r="D108"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9">
      <c r="A109" s="10" t="inlineStr">
        <is>
          <t>Dollar debt at local-equivalent cost, year one (FY2026/27 wedge)</t>
        </is>
      </c>
      <c r="B109" s="7" t="inlineStr">
        <is>
          <t>%</t>
        </is>
      </c>
      <c r="C109" s="16">
        <f>(1+'Assumptions'!C107)*(1+'Assumptions'!C40)-1</f>
        <v/>
      </c>
    </row>
    <row r="110" ht="24" customHeight="1">
      <c r="A110" s="7" t="inlineStr">
        <is>
          <t>Share of debt in local currency</t>
        </is>
      </c>
      <c r="B110" s="7" t="inlineStr">
        <is>
          <t>%</t>
        </is>
      </c>
      <c r="C110" s="15" t="n">
        <v>0.003139216087432172</v>
      </c>
      <c r="D110" s="10" t="inlineStr">
        <is>
          <t>The pound tranche of the project loan was repaid in June 2024, so the book is almost entirely dollar</t>
        </is>
      </c>
    </row>
    <row r="111">
      <c r="A111" s="7" t="inlineStr">
        <is>
          <t>Blended pre-tax cost of debt</t>
        </is>
      </c>
      <c r="B111" s="7" t="inlineStr">
        <is>
          <t>%</t>
        </is>
      </c>
      <c r="C111" s="16">
        <f>'Assumptions'!C110*'Assumptions'!C106+(1-'Assumptions'!C110)*'Assumptions'!C109</f>
        <v/>
      </c>
    </row>
    <row r="112" ht="24" customHeight="1">
      <c r="A112" s="7" t="inlineStr">
        <is>
          <t>Tax rate</t>
        </is>
      </c>
      <c r="B112" s="7" t="inlineStr">
        <is>
          <t>%</t>
        </is>
      </c>
      <c r="C112" s="15" t="n">
        <v>0.225</v>
      </c>
      <c r="D112" s="10" t="inlineStr">
        <is>
          <t>Audited financial statements, year ended 30 June 2025 (Central Auditing Organization, report dated 23 September 2025), note 5-16 income tax</t>
        </is>
      </c>
    </row>
    <row r="113" ht="14" customHeight="1">
      <c r="A113" s="7" t="inlineStr">
        <is>
          <t>Equity weight</t>
        </is>
      </c>
      <c r="B113" s="7" t="inlineStr">
        <is>
          <t>%</t>
        </is>
      </c>
      <c r="C113" s="15" t="n">
        <v>0.6616480028913871</v>
      </c>
      <c r="D113" s="10" t="inlineStr">
        <is>
          <t>Market-value equity over market-value equity plus debt</t>
        </is>
      </c>
    </row>
    <row r="114" ht="14" customHeight="1">
      <c r="A114" s="7" t="inlineStr">
        <is>
          <t>Debt weight</t>
        </is>
      </c>
      <c r="B114" s="7" t="inlineStr">
        <is>
          <t>%</t>
        </is>
      </c>
      <c r="C114" s="15" t="n">
        <v>0.3383519971086129</v>
      </c>
      <c r="D114" s="10" t="inlineStr">
        <is>
          <t>One less the equity weight</t>
        </is>
      </c>
    </row>
    <row r="115">
      <c r="A115" s="7" t="inlineStr">
        <is>
          <t>Cost of capital, year one</t>
        </is>
      </c>
      <c r="B115" s="7" t="inlineStr">
        <is>
          <t>%</t>
        </is>
      </c>
      <c r="C115" s="16">
        <f>'Assumptions'!C113*'Assumptions'!C105+'Assumptions'!C114*'Assumptions'!C111*(1-'Assumptions'!C112)</f>
        <v/>
      </c>
    </row>
    <row r="116" ht="108" customHeight="1">
      <c r="A116" s="10" t="inlineStr">
        <is>
          <t>Terminal inflation (the same figure terminal growth is set at)</t>
        </is>
      </c>
      <c r="B116" s="7" t="inlineStr">
        <is>
          <t>%</t>
        </is>
      </c>
      <c r="C116" s="15" t="n">
        <v>0.07000000000000001</v>
      </c>
      <c r="D116"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7" ht="24" customHeight="1">
      <c r="A117" s="7" t="inlineStr">
        <is>
          <t>Long-run real rate</t>
        </is>
      </c>
      <c r="B117" s="7" t="inlineStr">
        <is>
          <t>%</t>
        </is>
      </c>
      <c r="C117" s="15" t="n">
        <v>0.035</v>
      </c>
      <c r="D117" s="10" t="inlineStr">
        <is>
          <t>The house real-rate convention, used to build the terminal risk-free rate from its own components rather than from a spot yield</t>
        </is>
      </c>
    </row>
    <row r="118">
      <c r="A118" s="10" t="inlineStr">
        <is>
          <t>Terminal normalised risk-free rate — terminal inflation plus the long-run real rate, on the house macro path's own construction</t>
        </is>
      </c>
      <c r="B118" s="7" t="inlineStr">
        <is>
          <t>%</t>
        </is>
      </c>
      <c r="C118" s="16">
        <f>'Assumptions'!C116+'Assumptions'!C117</f>
        <v/>
      </c>
    </row>
    <row r="119" ht="14" customHeight="1">
      <c r="A119" s="7" t="inlineStr">
        <is>
          <t>Long-run dollar cost of debt</t>
        </is>
      </c>
      <c r="B119" s="7" t="inlineStr">
        <is>
          <t>%</t>
        </is>
      </c>
      <c r="C119" s="23" t="n">
        <v>0.09</v>
      </c>
      <c r="D119" s="10" t="inlineStr">
        <is>
          <t>Constructed: long-run corporate dollar cost of debt</t>
        </is>
      </c>
    </row>
    <row r="120">
      <c r="A120" s="7" t="inlineStr">
        <is>
          <t>Terminal cost of debt, local-equivalent</t>
        </is>
      </c>
      <c r="B120" s="7" t="inlineStr">
        <is>
          <t>%</t>
        </is>
      </c>
      <c r="C120" s="16">
        <f>'Assumptions'!C110*'Assumptions'!C106+(1-'Assumptions'!C110)*((1+'Assumptions'!C119)*(1+'Assumptions'!C108)-1)</f>
        <v/>
      </c>
    </row>
    <row r="121">
      <c r="A121" s="7" t="inlineStr">
        <is>
          <t>TERMINAL COST OF CAPITAL</t>
        </is>
      </c>
      <c r="B121" s="7" t="inlineStr">
        <is>
          <t>%</t>
        </is>
      </c>
      <c r="C121" s="16">
        <f>'Assumptions'!C113*('Assumptions'!C118+'Assumptions'!C97*'Assumptions'!C103+'Assumptions'!C102)+'Assumptions'!C114*'Assumptions'!C120*(1-'Assumptions'!C112)</f>
        <v/>
      </c>
    </row>
    <row r="122" ht="72" customHeight="1">
      <c r="A122" s="7" t="inlineStr">
        <is>
          <t>Terminal growth</t>
        </is>
      </c>
      <c r="B122" s="7" t="inlineStr">
        <is>
          <t>%</t>
        </is>
      </c>
      <c r="C122" s="15" t="n">
        <v>0.07000000000000006</v>
      </c>
      <c r="D122"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23" ht="132" customHeight="1">
      <c r="A123" s="7" t="inlineStr">
        <is>
          <t>Average age of the fixed-asset base — MEASURED</t>
        </is>
      </c>
      <c r="B123" s="7" t="inlineStr">
        <is>
          <t>years</t>
        </is>
      </c>
      <c r="C123" s="12" t="n">
        <v>4.454408352548927</v>
      </c>
      <c r="D123"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24" ht="84" customHeight="1">
      <c r="A124" s="7" t="inlineStr">
        <is>
          <t>Replacement cycle the accounts imply</t>
        </is>
      </c>
      <c r="B124" s="7" t="inlineStr">
        <is>
          <t>years</t>
        </is>
      </c>
      <c r="C124" s="12" t="n">
        <v>22.07019266619699</v>
      </c>
      <c r="D124"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5"/>
    <row r="126">
      <c r="A126" s="19" t="inlineStr">
        <is>
          <t>CAPITAL, WORKING CAPITAL AND THE PROJECT</t>
        </is>
      </c>
    </row>
    <row r="127" ht="24" customHeight="1">
      <c r="A127" s="7" t="inlineStr">
        <is>
          <t>Depreciation charge, FY2024/25</t>
        </is>
      </c>
      <c r="B127" s="7" t="inlineStr">
        <is>
          <t>EGP m</t>
        </is>
      </c>
      <c r="C127" s="20" t="n">
        <v>771.213</v>
      </c>
      <c r="D127" s="10" t="inlineStr">
        <is>
          <t>Audited financial statements, year ended 30 June 2025 (Central Auditing Organization, report dated 23 September 2025), note 6 fixed-asset register</t>
        </is>
      </c>
    </row>
    <row r="128" ht="24" customHeight="1">
      <c r="A128" s="7" t="inlineStr">
        <is>
          <t>Amortisation, FY2024/25</t>
        </is>
      </c>
      <c r="B128" s="7" t="inlineStr">
        <is>
          <t>EGP m</t>
        </is>
      </c>
      <c r="C128" s="20" t="n">
        <v>119.378</v>
      </c>
      <c r="D128" s="10" t="inlineStr">
        <is>
          <t>Audited financial statements, year ended 30 June 2025 (Central Auditing Organization, report dated 23 September 2025), note 10 usufruct intangible</t>
        </is>
      </c>
    </row>
    <row r="129" ht="60" customHeight="1">
      <c r="A129" s="7" t="inlineStr">
        <is>
          <t>Project capital expenditure — FY2026/27</t>
        </is>
      </c>
      <c r="B129" s="7" t="inlineStr">
        <is>
          <t>EGP m</t>
        </is>
      </c>
      <c r="C129" s="14">
        <f>'Cash Flow'!B30</f>
        <v/>
      </c>
      <c r="D129"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0" ht="60" customHeight="1">
      <c r="A130" s="7" t="inlineStr">
        <is>
          <t>Project capital expenditure — FY2027/28</t>
        </is>
      </c>
      <c r="B130" s="7" t="inlineStr">
        <is>
          <t>EGP m</t>
        </is>
      </c>
      <c r="C130" s="13" t="n">
        <v>3100</v>
      </c>
      <c r="D130"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1" ht="60" customHeight="1">
      <c r="A131" s="7" t="inlineStr">
        <is>
          <t>Project capital expenditure — FY2028/29</t>
        </is>
      </c>
      <c r="B131" s="7" t="inlineStr">
        <is>
          <t>EGP m</t>
        </is>
      </c>
      <c r="C131" s="13" t="n">
        <v>3300</v>
      </c>
      <c r="D131"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2" ht="60" customHeight="1">
      <c r="A132" s="7" t="inlineStr">
        <is>
          <t>Project capital expenditure — FY2029/30</t>
        </is>
      </c>
      <c r="B132" s="7" t="inlineStr">
        <is>
          <t>EGP m</t>
        </is>
      </c>
      <c r="C132" s="13" t="n">
        <v>3200</v>
      </c>
      <c r="D132"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3" ht="60" customHeight="1">
      <c r="A133" s="7" t="inlineStr">
        <is>
          <t>Project capital expenditure — FY2030/31</t>
        </is>
      </c>
      <c r="B133" s="7" t="inlineStr">
        <is>
          <t>EGP m</t>
        </is>
      </c>
      <c r="C133" s="14">
        <f>'Cash Flow'!D34-(C129+C130+C131+C132)</f>
        <v/>
      </c>
      <c r="D133"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4" ht="24" customHeight="1">
      <c r="A134" s="7" t="inlineStr">
        <is>
          <t>Depreciation escalation on the existing base</t>
        </is>
      </c>
      <c r="B134" s="7" t="inlineStr">
        <is>
          <t>per year</t>
        </is>
      </c>
      <c r="C134" s="15" t="n">
        <v>0.02</v>
      </c>
      <c r="D134" s="10" t="inlineStr">
        <is>
          <t>Constructed: escalation on the existing depreciation base, reflecting ordinary additions to the plant already in service</t>
        </is>
      </c>
    </row>
    <row r="135" ht="24" customHeight="1">
      <c r="A135" s="7" t="inlineStr">
        <is>
          <t>Depreciation rate on the new complex</t>
        </is>
      </c>
      <c r="B135" s="7" t="inlineStr">
        <is>
          <t>per year</t>
        </is>
      </c>
      <c r="C135" s="23" t="n">
        <v>0.0395</v>
      </c>
      <c r="D135" s="10" t="inlineStr">
        <is>
          <t>Audited financial statements, year ended 30 June 2025 (Central Auditing Organization, report dated 23 September 2025), note 5-2 depreciation rates</t>
        </is>
      </c>
    </row>
    <row r="136" ht="48" customHeight="1">
      <c r="A136" s="7" t="inlineStr">
        <is>
          <t>New complex nameplate</t>
        </is>
      </c>
      <c r="B136" s="7" t="inlineStr">
        <is>
          <t>tonnes/day</t>
        </is>
      </c>
      <c r="C136" s="13" t="n">
        <v>800</v>
      </c>
      <c r="D136"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7" ht="24" customHeight="1">
      <c r="A137" s="7" t="inlineStr">
        <is>
          <t>Operating days a year</t>
        </is>
      </c>
      <c r="B137" s="7" t="inlineStr">
        <is>
          <t>days</t>
        </is>
      </c>
      <c r="C137" s="13" t="n">
        <v>330</v>
      </c>
      <c r="D137" s="10" t="inlineStr">
        <is>
          <t>Constructed: operating days a year for a continuous nitrate line, net of the turnaround the company takes annually</t>
        </is>
      </c>
    </row>
    <row r="138" ht="48" customHeight="1">
      <c r="A138" s="10" t="inlineStr">
        <is>
          <t>Steady-state depreciation wedge in the terminal year</t>
        </is>
      </c>
      <c r="B138" s="7" t="inlineStr">
        <is>
          <t>ratio</t>
        </is>
      </c>
      <c r="C138" s="15" t="n">
        <v>0.025390625</v>
      </c>
      <c r="D138"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9" ht="24" customHeight="1">
      <c r="A139" s="10" t="inlineStr">
        <is>
          <t>The complex is completed and in service (1 = yes)</t>
        </is>
      </c>
      <c r="B139" s="7" t="inlineStr">
        <is>
          <t>switch</t>
        </is>
      </c>
      <c r="C139" s="13" t="n">
        <v>1</v>
      </c>
      <c r="D139" s="10" t="inlineStr">
        <is>
          <t>Case switch. Zero in the capital-discipline column, where the plant is never finished and therefore never depreciated.</t>
        </is>
      </c>
    </row>
    <row r="140" ht="36" customHeight="1">
      <c r="A140" s="7" t="inlineStr">
        <is>
          <t>Approved cost of the new complex</t>
        </is>
      </c>
      <c r="B140" s="7" t="inlineStr">
        <is>
          <t>EGP m</t>
        </is>
      </c>
      <c r="C140" s="13" t="n">
        <v>20341.668</v>
      </c>
      <c r="D140" s="10" t="inlineStr">
        <is>
          <t>Audited financial statements, year ended 30 June 2025 (Central Auditing Organization, report dated 23 September 2025), note 18-3 — bank-approved investment cost, agreement of 25 June 2025; dual-currency tranches at the approval rate</t>
        </is>
      </c>
    </row>
    <row r="141" ht="72" customHeight="1">
      <c r="A141" s="7" t="inlineStr">
        <is>
          <t>Maintenance capital expenditure</t>
        </is>
      </c>
      <c r="B141" s="7" t="inlineStr">
        <is>
          <t>% of revenue</t>
        </is>
      </c>
      <c r="C141" s="9">
        <f>'Cash Flow'!D28</f>
        <v/>
      </c>
      <c r="D141"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42" ht="36" customHeight="1">
      <c r="A142" s="7" t="inlineStr">
        <is>
          <t>Wind-down cost if the programme is stopped</t>
        </is>
      </c>
      <c r="B142" s="7" t="inlineStr">
        <is>
          <t>EGP m</t>
        </is>
      </c>
      <c r="C142" s="13" t="n">
        <v>1000</v>
      </c>
      <c r="D142" s="10" t="inlineStr">
        <is>
          <t>Constructed: capital-discipline case only: the cost of stopping the programme in the first forecast year — contract settlement and site preservation. No filing states it; it is the study's estimate and is flagged.</t>
        </is>
      </c>
    </row>
    <row r="143" ht="24" customHeight="1">
      <c r="A143" s="7" t="inlineStr">
        <is>
          <t>Ammonia per tonne of nitrate</t>
        </is>
      </c>
      <c r="B143" s="7" t="inlineStr">
        <is>
          <t>tonnes</t>
        </is>
      </c>
      <c r="C143" s="12" t="n">
        <v>0.43</v>
      </c>
      <c r="D143" s="10" t="inlineStr">
        <is>
          <t>Constructed: ammonia per tonne of ammonium nitrate through the nitric-acid route plus direct neutralisation</t>
        </is>
      </c>
    </row>
    <row r="144" ht="40" customHeight="1">
      <c r="A144" s="7" t="inlineStr">
        <is>
          <t>Project nameplate (derived, not disclosed)</t>
        </is>
      </c>
      <c r="B144" s="7" t="inlineStr">
        <is>
          <t>tonnes/year</t>
        </is>
      </c>
      <c r="C144" s="14">
        <f>'Assumptions'!C136*'Assumptions'!C137</f>
        <v/>
      </c>
      <c r="D144"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5" ht="40" customHeight="1">
      <c r="A145" s="10" t="inlineStr">
        <is>
          <t>Cross-check: nameplate derived from the ammonia surplus</t>
        </is>
      </c>
      <c r="B145" s="7" t="inlineStr">
        <is>
          <t>tonnes/year</t>
        </is>
      </c>
      <c r="C145" s="14">
        <f>('Assumptions'!C14-'Assumptions'!C13*'Assumptions'!C15)/'Assumptions'!C143</f>
        <v/>
      </c>
      <c r="D145" s="10" t="inlineStr">
        <is>
          <t>The construction the study used before the engineering award was found. Retained as a cross-check on the disclosed plate, not as the plate itself.</t>
        </is>
      </c>
    </row>
    <row r="146" ht="14" customHeight="1">
      <c r="A146" s="7" t="inlineStr">
        <is>
          <t>Project utilisation in the terminal year</t>
        </is>
      </c>
      <c r="B146" s="7" t="inlineStr">
        <is>
          <t>%</t>
        </is>
      </c>
      <c r="C146" s="15" t="n">
        <v>0.5</v>
      </c>
      <c r="D146" s="10" t="inlineStr">
        <is>
          <t>Constructed: project utilisation in the terminal year, central case</t>
        </is>
      </c>
    </row>
    <row r="147" ht="14" customHeight="1">
      <c r="A147" s="7" t="inlineStr">
        <is>
          <t>Nitrate price</t>
        </is>
      </c>
      <c r="B147" s="7" t="inlineStr">
        <is>
          <t>US$/tonne</t>
        </is>
      </c>
      <c r="C147" s="13" t="n">
        <v>280</v>
      </c>
      <c r="D147" s="10" t="inlineStr">
        <is>
          <t>Mid-cycle ammonium nitrate pricing</t>
        </is>
      </c>
    </row>
    <row r="148" ht="14" customHeight="1">
      <c r="A148" s="7" t="inlineStr">
        <is>
          <t>Project cash margin</t>
        </is>
      </c>
      <c r="B148" s="7" t="inlineStr">
        <is>
          <t>% of revenue</t>
        </is>
      </c>
      <c r="C148" s="15" t="n">
        <v>0.32</v>
      </c>
      <c r="D148" s="10" t="inlineStr">
        <is>
          <t>Constructed: conversion margin on ammonium nitrate over its own ammonia feedstock</t>
        </is>
      </c>
    </row>
    <row r="149" ht="14" customHeight="1">
      <c r="A149" s="7" t="inlineStr">
        <is>
          <t>Days sales outstanding</t>
        </is>
      </c>
      <c r="B149" s="7" t="inlineStr">
        <is>
          <t>days</t>
        </is>
      </c>
      <c r="C149" s="20" t="n">
        <v>26.77469536556713</v>
      </c>
      <c r="D149" s="10" t="inlineStr">
        <is>
          <t>Constructed: FY2024/25 receivables over revenue</t>
        </is>
      </c>
    </row>
    <row r="150" ht="14" customHeight="1">
      <c r="A150" s="7" t="inlineStr">
        <is>
          <t>Days inventory outstanding</t>
        </is>
      </c>
      <c r="B150" s="7" t="inlineStr">
        <is>
          <t>days</t>
        </is>
      </c>
      <c r="C150" s="20" t="n">
        <v>165.2475279747788</v>
      </c>
      <c r="D150" s="10" t="inlineStr">
        <is>
          <t>Constructed: FY2024/25 inventory over cost of sales</t>
        </is>
      </c>
    </row>
    <row r="151" ht="14" customHeight="1">
      <c r="A151" s="7" t="inlineStr">
        <is>
          <t>Days payable outstanding</t>
        </is>
      </c>
      <c r="B151" s="7" t="inlineStr">
        <is>
          <t>days</t>
        </is>
      </c>
      <c r="C151" s="20" t="n">
        <v>83.17161071710899</v>
      </c>
      <c r="D151"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5">
        <f>'DCF'!B36</f>
        <v/>
      </c>
      <c r="C5" s="25">
        <f>'DCF'!D36</f>
        <v/>
      </c>
      <c r="D5" s="10" t="inlineStr">
        <is>
          <t>Five years of free cash flow to the firm, discounted on the glide</t>
        </is>
      </c>
    </row>
    <row r="6" ht="26" customHeight="1">
      <c r="A6" s="7" t="inlineStr">
        <is>
          <t>Present value of the terminal value</t>
        </is>
      </c>
      <c r="B6" s="25">
        <f>'DCF'!B33</f>
        <v/>
      </c>
      <c r="C6" s="25">
        <f>'DCF'!D33</f>
        <v/>
      </c>
      <c r="D6" s="10" t="inlineStr">
        <is>
          <t>The perpetuity, capitalised at the terminal cost of capital</t>
        </is>
      </c>
    </row>
    <row r="7" ht="26" customHeight="1">
      <c r="A7" s="7" t="inlineStr">
        <is>
          <t>Enterprise value</t>
        </is>
      </c>
      <c r="B7" s="25">
        <f>'DCF'!B37</f>
        <v/>
      </c>
      <c r="C7" s="25">
        <f>'DCF'!D37</f>
        <v/>
      </c>
      <c r="D7" s="10" t="inlineStr"/>
    </row>
    <row r="8" ht="26" customHeight="1">
      <c r="A8" s="10" t="inlineStr">
        <is>
          <t>Terminal value as a share of enterprise value</t>
        </is>
      </c>
      <c r="B8" s="26">
        <f>'DCF'!B38</f>
        <v/>
      </c>
      <c r="C8" s="26">
        <f>'DCF'!D38</f>
        <v/>
      </c>
      <c r="D8" s="10" t="inlineStr">
        <is>
          <t>Reported because on this company it is the number that decides the answer</t>
        </is>
      </c>
    </row>
    <row r="9" ht="26" customHeight="1">
      <c r="A9" s="7" t="inlineStr">
        <is>
          <t>Less net debt</t>
        </is>
      </c>
      <c r="B9" s="25">
        <f>-'DCF'!B41</f>
        <v/>
      </c>
      <c r="C9" s="25">
        <f>-'DCF'!D41</f>
        <v/>
      </c>
      <c r="D9" s="10" t="inlineStr">
        <is>
          <t>Gross debt less cash at 31 March 2026</t>
        </is>
      </c>
    </row>
    <row r="10" ht="26" customHeight="1">
      <c r="A10" s="7" t="inlineStr">
        <is>
          <t>Plus listed equity stakes at market</t>
        </is>
      </c>
      <c r="B10" s="25">
        <f>'DCF'!B42</f>
        <v/>
      </c>
      <c r="C10" s="25">
        <f>'DCF'!D42</f>
        <v/>
      </c>
      <c r="D10" s="10" t="inlineStr">
        <is>
          <t>Remaining holdings after the partial disposal in the first half</t>
        </is>
      </c>
    </row>
    <row r="11" ht="26" customHeight="1">
      <c r="A11" s="7" t="inlineStr">
        <is>
          <t>Plus investment property</t>
        </is>
      </c>
      <c r="B11" s="25">
        <f>'DCF'!B43</f>
        <v/>
      </c>
      <c r="C11" s="25">
        <f>'DCF'!D43</f>
        <v/>
      </c>
      <c r="D11" s="10" t="inlineStr">
        <is>
          <t>Carried at the revalued amount in the statements</t>
        </is>
      </c>
    </row>
    <row r="12" ht="26" customHeight="1">
      <c r="A12" s="7" t="inlineStr">
        <is>
          <t>Equity value</t>
        </is>
      </c>
      <c r="B12" s="25">
        <f>'DCF'!B45</f>
        <v/>
      </c>
      <c r="C12" s="25">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'Assumptions'!C127*(1+'Assumptions'!C134*0)+'Assumptions'!C128</f>
        <v/>
      </c>
      <c r="C25" s="14">
        <f>'Assumptions'!C127*(1+'Assumptions'!C134*1)+'Assumptions'!C128+SUM('Assumptions'!C129:C129)*'Assumptions'!C135</f>
        <v/>
      </c>
      <c r="D25" s="14">
        <f>'Assumptions'!C127*(1+'Assumptions'!C134*2)+'Assumptions'!C128+SUM('Assumptions'!C129:C130)*'Assumptions'!C135</f>
        <v/>
      </c>
      <c r="E25" s="14">
        <f>'Assumptions'!C127*(1+'Assumptions'!C134*3)+'Assumptions'!C128+SUM('Assumptions'!C129:C131)*'Assumptions'!C135</f>
        <v/>
      </c>
      <c r="F25" s="14">
        <f>'Assumptions'!C127*(1+'Assumptions'!C134*4)+'Assumptions'!C128+SUM('Assumptions'!C129:C132)*'Assumptions'!C135</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7">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7">
        <f>('Summary'!B16+'DCF'!B41)/B5</f>
        <v/>
      </c>
      <c r="C15" s="10" t="inlineStr">
        <is>
          <t>The gap between this line and the next is the whole disagreement in one number</t>
        </is>
      </c>
    </row>
    <row r="16" ht="14" customHeight="1">
      <c r="A16" s="10" t="inlineStr">
        <is>
          <t>Multiple this model's cash-flow lens implies</t>
        </is>
      </c>
      <c r="B16" s="27">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8"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(B29-'Assumptions'!C127-'Assumptions'!C128)*(1-'Assumptions'!C112)</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5">
        <f>'Segments'!B18</f>
        <v/>
      </c>
      <c r="C5" s="25">
        <f>'Segments'!C18</f>
        <v/>
      </c>
      <c r="D5" s="25">
        <f>'Segments'!D18</f>
        <v/>
      </c>
      <c r="E5" s="25">
        <f>'Segments'!E18</f>
        <v/>
      </c>
      <c r="F5" s="25">
        <f>'Segments'!F18</f>
        <v/>
      </c>
      <c r="H5" s="7" t="inlineStr">
        <is>
          <t>Programme carried through (1 = yes)</t>
        </is>
      </c>
      <c r="I5" s="7" t="n">
        <v>1</v>
      </c>
    </row>
    <row r="6">
      <c r="A6" s="19" t="inlineStr">
        <is>
          <t>EBITDA</t>
        </is>
      </c>
      <c r="B6" s="25">
        <f>'Segments'!B34</f>
        <v/>
      </c>
      <c r="C6" s="25">
        <f>'Segments'!C34</f>
        <v/>
      </c>
      <c r="D6" s="25">
        <f>'Segments'!D34</f>
        <v/>
      </c>
      <c r="E6" s="25">
        <f>'Segments'!E34</f>
        <v/>
      </c>
      <c r="F6" s="25">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5">
        <f>'Segments'!B25</f>
        <v/>
      </c>
      <c r="C8" s="25">
        <f>'Segments'!C25</f>
        <v/>
      </c>
      <c r="D8" s="25">
        <f>'Segments'!D25</f>
        <v/>
      </c>
      <c r="E8" s="25">
        <f>'Segments'!E25</f>
        <v/>
      </c>
      <c r="F8" s="25">
        <f>'Segments'!F25</f>
        <v/>
      </c>
    </row>
    <row r="9">
      <c r="A9" s="19" t="inlineStr">
        <is>
          <t>EBIT</t>
        </is>
      </c>
      <c r="B9" s="14">
        <f>B6-B8</f>
        <v/>
      </c>
      <c r="C9" s="14">
        <f>C6-C8</f>
        <v/>
      </c>
      <c r="D9" s="14">
        <f>D6-D8</f>
        <v/>
      </c>
      <c r="E9" s="14">
        <f>E6-E8</f>
        <v/>
      </c>
      <c r="F9" s="14">
        <f>F6-F8</f>
        <v/>
      </c>
    </row>
    <row r="10">
      <c r="A10" s="7" t="inlineStr">
        <is>
          <t>NOPAT = EBIT x (1 - tax rate)</t>
        </is>
      </c>
      <c r="B10" s="14">
        <f>B9*(1-'Assumptions'!C112)</f>
        <v/>
      </c>
      <c r="C10" s="14">
        <f>C9*(1-'Assumptions'!C112)</f>
        <v/>
      </c>
      <c r="D10" s="14">
        <f>D9*(1-'Assumptions'!C112)</f>
        <v/>
      </c>
      <c r="E10" s="14">
        <f>E9*(1-'Assumptions'!C112)</f>
        <v/>
      </c>
      <c r="F10" s="14">
        <f>F9*(1-'Assumptions'!C112)</f>
        <v/>
      </c>
    </row>
    <row r="11">
      <c r="A11" s="7" t="inlineStr">
        <is>
          <t>Add back depreciation</t>
        </is>
      </c>
      <c r="B11" s="14">
        <f>B8</f>
        <v/>
      </c>
      <c r="C11" s="14">
        <f>C8</f>
        <v/>
      </c>
      <c r="D11" s="14">
        <f>D8</f>
        <v/>
      </c>
      <c r="E11" s="14">
        <f>E8</f>
        <v/>
      </c>
      <c r="F11" s="14">
        <f>F8</f>
        <v/>
      </c>
    </row>
    <row r="12">
      <c r="A12" s="7" t="inlineStr">
        <is>
          <t>Less capital expenditure</t>
        </is>
      </c>
      <c r="B12" s="14">
        <f>-($I$5*'Assumptions'!C129+$I$6*(1-$I$5)+B5*'Assumptions'!C141)</f>
        <v/>
      </c>
      <c r="C12" s="14">
        <f>-($I$5*'Assumptions'!C130+C5*'Assumptions'!C141)</f>
        <v/>
      </c>
      <c r="D12" s="14">
        <f>-($I$5*'Assumptions'!C131+D5*'Assumptions'!C141)</f>
        <v/>
      </c>
      <c r="E12" s="14">
        <f>-($I$5*'Assumptions'!C132+E5*'Assumptions'!C141)</f>
        <v/>
      </c>
      <c r="F12" s="14">
        <f>-($I$5*'Assumptions'!C133+F5*'Assumptions'!C141)</f>
        <v/>
      </c>
    </row>
    <row r="13">
      <c r="A13" s="7" t="inlineStr">
        <is>
          <t>Less change in working capital</t>
        </is>
      </c>
      <c r="B13" s="25">
        <f>-'Cash Flow'!B12</f>
        <v/>
      </c>
      <c r="C13" s="25">
        <f>-'Cash Flow'!C12</f>
        <v/>
      </c>
      <c r="D13" s="25">
        <f>-'Cash Flow'!D12</f>
        <v/>
      </c>
      <c r="E13" s="25">
        <f>-'Cash Flow'!E12</f>
        <v/>
      </c>
      <c r="F13" s="25">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9">
        <f>'Assumptions'!C115</f>
        <v/>
      </c>
      <c r="C15" s="29">
        <f>'Assumptions'!C113*(('Assumptions'!C98+('Assumptions'!C118-'Assumptions'!C98)*1/5)+'Assumptions'!C97*'Assumptions'!C103+'Assumptions'!C102)+'Assumptions'!C114*('Assumptions'!C110*'Assumptions'!C106+(1-'Assumptions'!C110)*((1+'Assumptions'!C107)*(1+'Assumptions'!C42)-1))*(1-'Assumptions'!C112)</f>
        <v/>
      </c>
      <c r="D15" s="29">
        <f>'Assumptions'!C113*(('Assumptions'!C98+('Assumptions'!C118-'Assumptions'!C98)*2/5)+'Assumptions'!C97*'Assumptions'!C103+'Assumptions'!C102)+'Assumptions'!C114*('Assumptions'!C110*'Assumptions'!C106+(1-'Assumptions'!C110)*((1+'Assumptions'!C107)*(1+'Assumptions'!C44)-1))*(1-'Assumptions'!C112)</f>
        <v/>
      </c>
      <c r="E15" s="29">
        <f>'Assumptions'!C113*(('Assumptions'!C98+('Assumptions'!C118-'Assumptions'!C98)*3/5)+'Assumptions'!C97*'Assumptions'!C103+'Assumptions'!C102)+'Assumptions'!C114*('Assumptions'!C110*'Assumptions'!C106+(1-'Assumptions'!C110)*((1+'Assumptions'!C107)*(1+'Assumptions'!C46)-1))*(1-'Assumptions'!C112)</f>
        <v/>
      </c>
      <c r="F15" s="29">
        <f>'Assumptions'!C113*(('Assumptions'!C98+('Assumptions'!C118-'Assumptions'!C98)*4/5)+'Assumptions'!C97*'Assumptions'!C103+'Assumptions'!C102)+'Assumptions'!C114*('Assumptions'!C110*'Assumptions'!C106+(1-'Assumptions'!C110)*((1+'Assumptions'!C107)*(1+'Assumptions'!C48)-1))*(1-'Assumptions'!C112)</f>
        <v/>
      </c>
    </row>
    <row r="16">
      <c r="A16" s="7" t="inlineStr">
        <is>
          <t>Discount factor, compounded</t>
        </is>
      </c>
      <c r="B16" s="30">
        <f>1/(1+B15)</f>
        <v/>
      </c>
      <c r="C16" s="30">
        <f>B16/(1+C15)</f>
        <v/>
      </c>
      <c r="D16" s="30">
        <f>C16/(1+D15)</f>
        <v/>
      </c>
      <c r="E16" s="30">
        <f>D16/(1+E15)</f>
        <v/>
      </c>
      <c r="F16" s="30">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(F9+SUM('Assumptions'!C129:C132)*'Assumptions'!C135)*(1+'Assumptions'!C122)</f>
        <v/>
      </c>
      <c r="D21" s="14">
        <f>(F9+SUM('Assumptions'!C129:C132)*'Assumptions'!C135)*(1+'Assumptions'!C122)</f>
        <v/>
      </c>
    </row>
    <row r="22">
      <c r="A22" s="7" t="inlineStr">
        <is>
          <t>Project revenue in the terminal year</t>
        </is>
      </c>
      <c r="B22" s="14">
        <f>'Assumptions'!C144*'Assumptions'!C146*'Assumptions'!C147*('Assumptions'!C49*(1+'Assumptions'!C122-'Assumptions'!C138))/1000000</f>
        <v/>
      </c>
      <c r="D22" s="14">
        <f>'Assumptions'!C144*0*'Assumptions'!C147*('Assumptions'!C49*(1+'Assumptions'!C122-'Assumptions'!C138))/1000000</f>
        <v/>
      </c>
    </row>
    <row r="23">
      <c r="A23" s="10" t="inlineStr">
        <is>
          <t>Project operating profit, after its own depreciation</t>
        </is>
      </c>
      <c r="B23" s="14">
        <f>B22*'Assumptions'!C148-'Assumptions'!C139*'Assumptions'!C140*'Assumptions'!C135</f>
        <v/>
      </c>
      <c r="D23" s="14">
        <f>D22*'Assumptions'!C148-0*'Assumptions'!C140*'Assumptions'!C135</f>
        <v/>
      </c>
    </row>
    <row r="24">
      <c r="A24" s="7" t="inlineStr">
        <is>
          <t>Terminal EBIT</t>
        </is>
      </c>
      <c r="B24" s="14">
        <f>B21+B23</f>
        <v/>
      </c>
      <c r="D24" s="14">
        <f>D21+D23</f>
        <v/>
      </c>
    </row>
    <row r="25">
      <c r="A25" s="7" t="inlineStr">
        <is>
          <t>Terminal profit after tax</t>
        </is>
      </c>
      <c r="B25" s="14">
        <f>B24*(1-'Assumptions'!C112)</f>
        <v/>
      </c>
      <c r="D25" s="14">
        <f>D24*(1-'Assumptions'!C112)</f>
        <v/>
      </c>
    </row>
    <row r="26">
      <c r="A26" s="10" t="inlineStr">
        <is>
          <t>Plus book depreciation and amortisation in the terminal year</t>
        </is>
      </c>
      <c r="B26" s="14">
        <f>(F8-SUM('Assumptions'!C129:C132)*'Assumptions'!C135)*(1+'Assumptions'!C122)+'Assumptions'!C139*'Assumptions'!C140*'Assumptions'!C135</f>
        <v/>
      </c>
      <c r="D26" s="14">
        <f>(F8-SUM('Assumptions'!C129:C132)*'Assumptions'!C135)*(1+'Assumptions'!C122)+0*'Assumptions'!C140*'Assumptions'!C135</f>
        <v/>
      </c>
    </row>
    <row r="27">
      <c r="A27" s="10" t="inlineStr">
        <is>
          <t>Less capital maintenance at replacement cost — the book charge escalated over the measured average age of the base</t>
        </is>
      </c>
      <c r="B27" s="14">
        <f>-B26*(1+'Assumptions'!C116)^'Assumptions'!C123</f>
        <v/>
      </c>
      <c r="D27" s="14">
        <f>-D26*(1+'Assumptions'!C116)^'Assumptions'!C123</f>
        <v/>
      </c>
    </row>
    <row r="28">
      <c r="A28" s="10" t="inlineStr">
        <is>
          <t>Less capital for REAL growth — the stated real growth is zero, so none</t>
        </is>
      </c>
      <c r="B28" s="14">
        <f>-((1+'Assumptions'!C122)/(1+'Assumptions'!C116)-1)*(-B27*'Assumptions'!C124)</f>
        <v/>
      </c>
      <c r="D28" s="14">
        <f>-((1+'Assumptions'!C122)/(1+'Assumptions'!C116)-1)*(-D27*'Assumptions'!C124)</f>
        <v/>
      </c>
    </row>
    <row r="29">
      <c r="A29" s="10" t="inlineStr">
        <is>
          <t>Less inflation on the working capital the business carries</t>
        </is>
      </c>
      <c r="B29" s="14">
        <f>-'Assumptions'!C116*'Cash Flow'!F10*(1+'Assumptions'!C122)</f>
        <v/>
      </c>
      <c r="D29" s="14">
        <f>-'Assumptions'!C116*'Cash Flow'!F10*(1+'Assumptions'!C122)</f>
        <v/>
      </c>
    </row>
    <row r="30">
      <c r="A30" s="7" t="inlineStr">
        <is>
          <t>Terminal free cash flow</t>
        </is>
      </c>
      <c r="B30" s="14">
        <f>SUM(B25:B29)</f>
        <v/>
      </c>
      <c r="D30" s="14">
        <f>SUM(D25:D29)</f>
        <v/>
      </c>
    </row>
    <row r="31">
      <c r="A31" s="7" t="inlineStr">
        <is>
          <t>TERMINAL VALUE</t>
        </is>
      </c>
      <c r="B31" s="14">
        <f>B30/('Assumptions'!C121-'Assumptions'!C122)</f>
        <v/>
      </c>
      <c r="D31" s="14">
        <f>D30/('Assumptions'!C121-'Assumptions'!C122)</f>
        <v/>
      </c>
    </row>
    <row r="32">
      <c r="A32" s="10" t="inlineStr">
        <is>
          <t>Memo — the no-growth perpetuity at book depreciation (a diagnostic, not a bound)</t>
        </is>
      </c>
      <c r="B32" s="14">
        <f>B25/'Assumptions'!C121</f>
        <v/>
      </c>
      <c r="D32" s="14">
        <f>D25/'Assumptions'!C121</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1382.886</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+'Assumptions'!C129</f>
        <v/>
      </c>
      <c r="C50" s="14">
        <f>+'Assumptions'!C130</f>
        <v/>
      </c>
      <c r="D50" s="14">
        <f>+'Assumptions'!C131</f>
        <v/>
      </c>
      <c r="E50" s="14">
        <f>+'Assumptions'!C132</f>
        <v/>
      </c>
      <c r="F50" s="14">
        <f>+'Assumptions'!C133</f>
        <v/>
      </c>
    </row>
    <row r="51">
      <c r="A51" s="7" t="inlineStr">
        <is>
          <t>Less the wind-down cost</t>
        </is>
      </c>
      <c r="B51" s="14">
        <f>-'Assumptions'!C142</f>
        <v/>
      </c>
      <c r="C51" s="14">
        <f>0</f>
        <v/>
      </c>
      <c r="D51" s="14">
        <f>0</f>
        <v/>
      </c>
      <c r="E51" s="14">
        <f>0</f>
        <v/>
      </c>
      <c r="F51" s="14">
        <f>0</f>
        <v/>
      </c>
    </row>
    <row r="52">
      <c r="A52" s="10" t="inlineStr">
        <is>
          <t>Less the tax shield on depreciation never incurred</t>
        </is>
      </c>
      <c r="B52" s="14">
        <f>0</f>
        <v/>
      </c>
      <c r="C52" s="14">
        <f>-SUM('Assumptions'!C129:C129)*'Assumptions'!C135*'Assumptions'!C112</f>
        <v/>
      </c>
      <c r="D52" s="14">
        <f>-SUM('Assumptions'!C129:C130)*'Assumptions'!C135*'Assumptions'!C112</f>
        <v/>
      </c>
      <c r="E52" s="14">
        <f>-SUM('Assumptions'!C129:C131)*'Assumptions'!C135*'Assumptions'!C112</f>
        <v/>
      </c>
      <c r="F52" s="14">
        <f>-SUM('Assumptions'!C129:C132)*'Assumptions'!C135*'Assumptions'!C112</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5">
        <f>'Segments'!B18</f>
        <v/>
      </c>
      <c r="G5" s="25">
        <f>'Segments'!C18</f>
        <v/>
      </c>
      <c r="H5" s="25">
        <f>'Segments'!D18</f>
        <v/>
      </c>
      <c r="I5" s="25">
        <f>'Segments'!E18</f>
        <v/>
      </c>
      <c r="J5" s="25">
        <f>'Segments'!F18</f>
        <v/>
      </c>
    </row>
    <row r="6">
      <c r="A6" s="7" t="inlineStr">
        <is>
          <t>Cost of sales</t>
        </is>
      </c>
      <c r="B6" s="13" t="n">
        <v>3574.483</v>
      </c>
      <c r="C6" s="13" t="n">
        <v>4395.788</v>
      </c>
      <c r="D6" s="13" t="n">
        <v>5300.31</v>
      </c>
      <c r="E6" s="13" t="n">
        <v>5825.213193060001</v>
      </c>
      <c r="F6" s="25">
        <f>'Segments'!B26</f>
        <v/>
      </c>
      <c r="G6" s="25">
        <f>'Segments'!C26</f>
        <v/>
      </c>
      <c r="H6" s="25">
        <f>'Segments'!D26</f>
        <v/>
      </c>
      <c r="I6" s="25">
        <f>'Segments'!E26</f>
        <v/>
      </c>
      <c r="J6" s="25">
        <f>'Segments'!F26</f>
        <v/>
      </c>
    </row>
    <row r="7">
      <c r="A7" s="7" t="inlineStr">
        <is>
          <t>Gross profit</t>
        </is>
      </c>
      <c r="B7" s="14">
        <f>B5-B6</f>
        <v/>
      </c>
      <c r="C7" s="14">
        <f>C5-C6</f>
        <v/>
      </c>
      <c r="D7" s="14">
        <f>D5-D6</f>
        <v/>
      </c>
      <c r="E7" s="14">
        <f>E5-E6</f>
        <v/>
      </c>
      <c r="F7" s="25">
        <f>'Segments'!B27</f>
        <v/>
      </c>
      <c r="G7" s="25">
        <f>'Segments'!C27</f>
        <v/>
      </c>
      <c r="H7" s="25">
        <f>'Segments'!D27</f>
        <v/>
      </c>
      <c r="I7" s="25">
        <f>'Segments'!E27</f>
        <v/>
      </c>
      <c r="J7" s="25">
        <f>'Segments'!F27</f>
        <v/>
      </c>
    </row>
    <row r="8">
      <c r="A8" s="7" t="inlineStr">
        <is>
          <t>Selling and distribution</t>
        </is>
      </c>
      <c r="B8" s="13" t="n">
        <v>473.72</v>
      </c>
      <c r="C8" s="13" t="n">
        <v>562.527</v>
      </c>
      <c r="D8" s="13" t="n">
        <v>786.463</v>
      </c>
      <c r="E8" s="13" t="n">
        <v>979.6093333333333</v>
      </c>
      <c r="F8" s="25">
        <f>'Segments'!B29+'Segments'!B30</f>
        <v/>
      </c>
      <c r="G8" s="25">
        <f>'Segments'!C29+'Segments'!C30</f>
        <v/>
      </c>
      <c r="H8" s="25">
        <f>'Segments'!D29+'Segments'!D30</f>
        <v/>
      </c>
      <c r="I8" s="25">
        <f>'Segments'!E29+'Segments'!E30</f>
        <v/>
      </c>
      <c r="J8" s="25">
        <f>'Segments'!F29+'Segments'!F30</f>
        <v/>
      </c>
    </row>
    <row r="9">
      <c r="A9" s="7" t="inlineStr">
        <is>
          <t>Administrative</t>
        </is>
      </c>
      <c r="B9" s="13" t="n">
        <v>188.851</v>
      </c>
      <c r="C9" s="13" t="n">
        <v>297.887</v>
      </c>
      <c r="D9" s="13" t="n">
        <v>359.624</v>
      </c>
      <c r="E9" s="13" t="n">
        <v>365.108</v>
      </c>
      <c r="F9" s="25">
        <f>'Segments'!B31</f>
        <v/>
      </c>
      <c r="G9" s="25">
        <f>'Segments'!C31</f>
        <v/>
      </c>
      <c r="H9" s="25">
        <f>'Segments'!D31</f>
        <v/>
      </c>
      <c r="I9" s="25">
        <f>'Segments'!E31</f>
        <v/>
      </c>
      <c r="J9" s="25">
        <f>'Segments'!F31</f>
        <v/>
      </c>
    </row>
    <row r="10">
      <c r="A10" s="7" t="inlineStr">
        <is>
          <t>EBIT before other items</t>
        </is>
      </c>
      <c r="B10" s="14">
        <f>B7-B8-B9</f>
        <v/>
      </c>
      <c r="C10" s="14">
        <f>C7-C8-C9</f>
        <v/>
      </c>
      <c r="D10" s="14">
        <f>D7-D8-D9</f>
        <v/>
      </c>
      <c r="E10" s="14">
        <f>E7-E8-E9</f>
        <v/>
      </c>
      <c r="F10" s="25">
        <f>'Segments'!B33</f>
        <v/>
      </c>
      <c r="G10" s="25">
        <f>'Segments'!C33</f>
        <v/>
      </c>
      <c r="H10" s="25">
        <f>'Segments'!D33</f>
        <v/>
      </c>
      <c r="I10" s="25">
        <f>'Segments'!E33</f>
        <v/>
      </c>
      <c r="J10" s="25">
        <f>'Segments'!F33</f>
        <v/>
      </c>
    </row>
    <row r="11">
      <c r="A11" s="7" t="inlineStr">
        <is>
          <t>Depreciation and amortisation</t>
        </is>
      </c>
      <c r="B11" s="13" t="n">
        <v>719.213</v>
      </c>
      <c r="C11" s="13" t="n">
        <v>772.634</v>
      </c>
      <c r="D11" s="13" t="n">
        <v>895.849</v>
      </c>
      <c r="E11" s="13" t="n">
        <v>890.591</v>
      </c>
      <c r="F11" s="25">
        <f>'Segments'!B25</f>
        <v/>
      </c>
      <c r="G11" s="25">
        <f>'Segments'!C25</f>
        <v/>
      </c>
      <c r="H11" s="25">
        <f>'Segments'!D25</f>
        <v/>
      </c>
      <c r="I11" s="25">
        <f>'Segments'!E25</f>
        <v/>
      </c>
      <c r="J11" s="25">
        <f>'Segments'!F25</f>
        <v/>
      </c>
    </row>
    <row r="12">
      <c r="A12" s="7" t="inlineStr">
        <is>
          <t>EBITDA</t>
        </is>
      </c>
      <c r="B12" s="14">
        <f>B10+B11</f>
        <v/>
      </c>
      <c r="C12" s="14">
        <f>C10+C11</f>
        <v/>
      </c>
      <c r="D12" s="14">
        <f>D10+D11</f>
        <v/>
      </c>
      <c r="E12" s="14">
        <f>E10+E11</f>
        <v/>
      </c>
      <c r="F12" s="25">
        <f>'Segments'!B34</f>
        <v/>
      </c>
      <c r="G12" s="25">
        <f>'Segments'!C34</f>
        <v/>
      </c>
      <c r="H12" s="25">
        <f>'Segments'!D34</f>
        <v/>
      </c>
      <c r="I12" s="25">
        <f>'Segments'!E34</f>
        <v/>
      </c>
      <c r="J12" s="25">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5">
        <f>-'DCF'!B12</f>
        <v/>
      </c>
      <c r="C30" s="25">
        <f>-'DCF'!C12</f>
        <v/>
      </c>
      <c r="D30" s="25">
        <f>-'DCF'!D12</f>
        <v/>
      </c>
      <c r="E30" s="25">
        <f>-'DCF'!E12</f>
        <v/>
      </c>
      <c r="F30" s="25">
        <f>-'DCF'!F12</f>
        <v/>
      </c>
    </row>
    <row r="31">
      <c r="A31" s="7" t="inlineStr">
        <is>
          <t>Depreciation and amortisation</t>
        </is>
      </c>
      <c r="B31" s="25">
        <f>'Segments'!B25</f>
        <v/>
      </c>
      <c r="C31" s="25">
        <f>'Segments'!C25</f>
        <v/>
      </c>
      <c r="D31" s="25">
        <f>'Segments'!D25</f>
        <v/>
      </c>
      <c r="E31" s="25">
        <f>'Segments'!E25</f>
        <v/>
      </c>
      <c r="F31" s="25">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'Segments'!B18</f>
        <v/>
      </c>
      <c r="C5" s="25">
        <f>'Segments'!C18</f>
        <v/>
      </c>
      <c r="D5" s="25">
        <f>'Segments'!D18</f>
        <v/>
      </c>
      <c r="E5" s="25">
        <f>'Segments'!E18</f>
        <v/>
      </c>
      <c r="F5" s="25">
        <f>'Segments'!F18</f>
        <v/>
      </c>
    </row>
    <row r="6">
      <c r="A6" s="7" t="inlineStr">
        <is>
          <t>Cost of sales</t>
        </is>
      </c>
      <c r="B6" s="25">
        <f>'Segments'!B26</f>
        <v/>
      </c>
      <c r="C6" s="25">
        <f>'Segments'!C26</f>
        <v/>
      </c>
      <c r="D6" s="25">
        <f>'Segments'!D26</f>
        <v/>
      </c>
      <c r="E6" s="25">
        <f>'Segments'!E26</f>
        <v/>
      </c>
      <c r="F6" s="25">
        <f>'Segments'!F26</f>
        <v/>
      </c>
    </row>
    <row r="7">
      <c r="A7" s="7" t="inlineStr">
        <is>
          <t>Receivables</t>
        </is>
      </c>
      <c r="B7" s="14">
        <f>B5*'Assumptions'!C149/365</f>
        <v/>
      </c>
      <c r="C7" s="14">
        <f>C5*'Assumptions'!C149/365</f>
        <v/>
      </c>
      <c r="D7" s="14">
        <f>D5*'Assumptions'!C149/365</f>
        <v/>
      </c>
      <c r="E7" s="14">
        <f>E5*'Assumptions'!C149/365</f>
        <v/>
      </c>
      <c r="F7" s="14">
        <f>F5*'Assumptions'!C149/365</f>
        <v/>
      </c>
    </row>
    <row r="8">
      <c r="A8" s="7" t="inlineStr">
        <is>
          <t>Inventory</t>
        </is>
      </c>
      <c r="B8" s="14">
        <f>B6*'Assumptions'!C150/365</f>
        <v/>
      </c>
      <c r="C8" s="14">
        <f>C6*'Assumptions'!C150/365</f>
        <v/>
      </c>
      <c r="D8" s="14">
        <f>D6*'Assumptions'!C150/365</f>
        <v/>
      </c>
      <c r="E8" s="14">
        <f>E6*'Assumptions'!C150/365</f>
        <v/>
      </c>
      <c r="F8" s="14">
        <f>F6*'Assumptions'!C150/365</f>
        <v/>
      </c>
    </row>
    <row r="9">
      <c r="A9" s="7" t="inlineStr">
        <is>
          <t>Payables</t>
        </is>
      </c>
      <c r="B9" s="14">
        <f>B6*'Assumptions'!C151/365</f>
        <v/>
      </c>
      <c r="C9" s="14">
        <f>C6*'Assumptions'!C151/365</f>
        <v/>
      </c>
      <c r="D9" s="14">
        <f>D6*'Assumptions'!C151/365</f>
        <v/>
      </c>
      <c r="E9" s="14">
        <f>E6*'Assumptions'!C151/365</f>
        <v/>
      </c>
      <c r="F9" s="14">
        <f>F6*'Assumptions'!C151/365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t>
        </is>
      </c>
      <c r="B11" s="13" t="n">
        <v>3069.424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5">
        <f>'DCF'!B14</f>
        <v/>
      </c>
      <c r="C14" s="25">
        <f>'DCF'!C14</f>
        <v/>
      </c>
      <c r="D14" s="25">
        <f>'DCF'!D14</f>
        <v/>
      </c>
      <c r="E14" s="25">
        <f>'DCF'!E14</f>
        <v/>
      </c>
      <c r="F14" s="25">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7">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'DCF'!B5</f>
        <v/>
      </c>
      <c r="C5" s="25">
        <f>'DCF'!C5</f>
        <v/>
      </c>
      <c r="D5" s="25">
        <f>'DCF'!D5</f>
        <v/>
      </c>
      <c r="E5" s="25">
        <f>'DCF'!E5</f>
        <v/>
      </c>
      <c r="F5" s="25">
        <f>'DCF'!F5</f>
        <v/>
      </c>
    </row>
    <row r="6">
      <c r="A6" s="7" t="inlineStr">
        <is>
          <t>EBITDA</t>
        </is>
      </c>
      <c r="B6" s="25">
        <f>'DCF'!B6</f>
        <v/>
      </c>
      <c r="C6" s="25">
        <f>'DCF'!C6</f>
        <v/>
      </c>
      <c r="D6" s="25">
        <f>'DCF'!D6</f>
        <v/>
      </c>
      <c r="E6" s="25">
        <f>'DCF'!E6</f>
        <v/>
      </c>
      <c r="F6" s="25">
        <f>'DCF'!F6</f>
        <v/>
      </c>
    </row>
    <row r="7">
      <c r="A7" s="7" t="inlineStr">
        <is>
          <t>EBITDA margin</t>
        </is>
      </c>
      <c r="B7" s="26">
        <f>'DCF'!B7</f>
        <v/>
      </c>
      <c r="C7" s="26">
        <f>'DCF'!C7</f>
        <v/>
      </c>
      <c r="D7" s="26">
        <f>'DCF'!D7</f>
        <v/>
      </c>
      <c r="E7" s="26">
        <f>'DCF'!E7</f>
        <v/>
      </c>
      <c r="F7" s="26">
        <f>'DCF'!F7</f>
        <v/>
      </c>
    </row>
    <row r="8">
      <c r="A8" s="7" t="inlineStr">
        <is>
          <t>EBIT</t>
        </is>
      </c>
      <c r="B8" s="25">
        <f>'DCF'!B9</f>
        <v/>
      </c>
      <c r="C8" s="25">
        <f>'DCF'!C9</f>
        <v/>
      </c>
      <c r="D8" s="25">
        <f>'DCF'!D9</f>
        <v/>
      </c>
      <c r="E8" s="25">
        <f>'DCF'!E9</f>
        <v/>
      </c>
      <c r="F8" s="25">
        <f>'DCF'!F9</f>
        <v/>
      </c>
    </row>
    <row r="9">
      <c r="A9" s="7" t="inlineStr">
        <is>
          <t>NOPAT</t>
        </is>
      </c>
      <c r="B9" s="25">
        <f>'DCF'!B10</f>
        <v/>
      </c>
      <c r="C9" s="25">
        <f>'DCF'!C10</f>
        <v/>
      </c>
      <c r="D9" s="25">
        <f>'DCF'!D10</f>
        <v/>
      </c>
      <c r="E9" s="25">
        <f>'DCF'!E10</f>
        <v/>
      </c>
      <c r="F9" s="25">
        <f>'DCF'!F10</f>
        <v/>
      </c>
    </row>
    <row r="10">
      <c r="A10" s="7" t="inlineStr">
        <is>
          <t>Capital expenditure</t>
        </is>
      </c>
      <c r="B10" s="25">
        <f>-'DCF'!B12</f>
        <v/>
      </c>
      <c r="C10" s="25">
        <f>-'DCF'!C12</f>
        <v/>
      </c>
      <c r="D10" s="25">
        <f>-'DCF'!D12</f>
        <v/>
      </c>
      <c r="E10" s="25">
        <f>-'DCF'!E12</f>
        <v/>
      </c>
      <c r="F10" s="25">
        <f>-'DCF'!F12</f>
        <v/>
      </c>
    </row>
    <row r="11">
      <c r="A11" s="7" t="inlineStr">
        <is>
          <t>Free cash flow to the firm</t>
        </is>
      </c>
      <c r="B11" s="25">
        <f>'DCF'!B14</f>
        <v/>
      </c>
      <c r="C11" s="25">
        <f>'DCF'!C14</f>
        <v/>
      </c>
      <c r="D11" s="25">
        <f>'DCF'!D14</f>
        <v/>
      </c>
      <c r="E11" s="25">
        <f>'DCF'!E14</f>
        <v/>
      </c>
      <c r="F11" s="25">
        <f>'DCF'!F14</f>
        <v/>
      </c>
    </row>
    <row r="12">
      <c r="A12" s="7" t="inlineStr">
        <is>
          <t>Present value</t>
        </is>
      </c>
      <c r="B12" s="25">
        <f>'DCF'!B17</f>
        <v/>
      </c>
      <c r="C12" s="25">
        <f>'DCF'!C17</f>
        <v/>
      </c>
      <c r="D12" s="25">
        <f>'DCF'!D17</f>
        <v/>
      </c>
      <c r="E12" s="25">
        <f>'DCF'!E17</f>
        <v/>
      </c>
      <c r="F12" s="25">
        <f>'DCF'!F17</f>
        <v/>
      </c>
    </row>
    <row r="13">
      <c r="A13" s="7" t="inlineStr">
        <is>
          <t>Urea output (tonnes)</t>
        </is>
      </c>
      <c r="B13" s="25">
        <f>'Segments'!B5</f>
        <v/>
      </c>
      <c r="C13" s="25">
        <f>'Segments'!C5</f>
        <v/>
      </c>
      <c r="D13" s="25">
        <f>'Segments'!D5</f>
        <v/>
      </c>
      <c r="E13" s="25">
        <f>'Segments'!E5</f>
        <v/>
      </c>
      <c r="F13" s="25">
        <f>'Segments'!F5</f>
        <v/>
      </c>
    </row>
    <row r="14">
      <c r="A14" s="7" t="inlineStr">
        <is>
          <t>Export tonnes</t>
        </is>
      </c>
      <c r="B14" s="25">
        <f>'Segments'!B9</f>
        <v/>
      </c>
      <c r="C14" s="25">
        <f>'Segments'!C9</f>
        <v/>
      </c>
      <c r="D14" s="25">
        <f>'Segments'!D9</f>
        <v/>
      </c>
      <c r="E14" s="25">
        <f>'Segments'!E9</f>
        <v/>
      </c>
      <c r="F14" s="25">
        <f>'Segments'!F9</f>
        <v/>
      </c>
    </row>
    <row r="15">
      <c r="A15" s="7" t="inlineStr">
        <is>
          <t>Export price (US$/t)</t>
        </is>
      </c>
      <c r="B15" s="31">
        <f>'Assumptions'!C33</f>
        <v/>
      </c>
      <c r="C15" s="31">
        <f>'Assumptions'!C34</f>
        <v/>
      </c>
      <c r="D15" s="31">
        <f>'Assumptions'!C35</f>
        <v/>
      </c>
      <c r="E15" s="31">
        <f>'Assumptions'!C36</f>
        <v/>
      </c>
      <c r="F15" s="31">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5">
        <f>'DCF'!D5*D19</f>
        <v/>
      </c>
      <c r="E21" s="25">
        <f>'DCF'!E5*E19</f>
        <v/>
      </c>
      <c r="F21" s="25">
        <f>'DCF'!F5*F19</f>
        <v/>
      </c>
    </row>
    <row r="22">
      <c r="A22" s="10" t="inlineStr">
        <is>
          <t>Revenue — high of the range (EGP m)</t>
        </is>
      </c>
      <c r="D22" s="25">
        <f>'DCF'!D5*D20</f>
        <v/>
      </c>
      <c r="E22" s="25">
        <f>'DCF'!E5*E20</f>
        <v/>
      </c>
      <c r="F22" s="25">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-2.62</v>
      </c>
      <c r="C6" s="12" t="n">
        <v>-2.74</v>
      </c>
      <c r="D6" s="12" t="n">
        <v>-2.86</v>
      </c>
      <c r="E6" s="12" t="n">
        <v>-2.93</v>
      </c>
      <c r="F6" s="12" t="n">
        <v>-3.01</v>
      </c>
    </row>
    <row r="7">
      <c r="A7" s="7" t="inlineStr">
        <is>
          <t>US$ 420/t long-run export price</t>
        </is>
      </c>
      <c r="B7" s="12" t="n">
        <v>-0.35</v>
      </c>
      <c r="C7" s="12" t="n">
        <v>-0.66</v>
      </c>
      <c r="D7" s="12" t="n">
        <v>-0.95</v>
      </c>
      <c r="E7" s="12" t="n">
        <v>-1.13</v>
      </c>
      <c r="F7" s="12" t="n">
        <v>-1.32</v>
      </c>
    </row>
    <row r="8">
      <c r="A8" s="7" t="inlineStr">
        <is>
          <t>US$ 460/t long-run export price</t>
        </is>
      </c>
      <c r="B8" s="12" t="n">
        <v>1.92</v>
      </c>
      <c r="C8" s="12" t="n">
        <v>1.43</v>
      </c>
      <c r="D8" s="12" t="n">
        <v>0.96</v>
      </c>
      <c r="E8" s="12" t="n">
        <v>0.66</v>
      </c>
      <c r="F8" s="12" t="n">
        <v>0.37</v>
      </c>
    </row>
    <row r="9">
      <c r="A9" s="7" t="inlineStr">
        <is>
          <t>US$ 500/t long-run export price</t>
        </is>
      </c>
      <c r="B9" s="12" t="n">
        <v>4.19</v>
      </c>
      <c r="C9" s="12" t="n">
        <v>3.52</v>
      </c>
      <c r="D9" s="12" t="n">
        <v>2.88</v>
      </c>
      <c r="E9" s="12" t="n">
        <v>2.46</v>
      </c>
      <c r="F9" s="12" t="n">
        <v>2.06</v>
      </c>
    </row>
    <row r="10">
      <c r="A10" s="7" t="inlineStr">
        <is>
          <t>US$ 540/t long-run export price</t>
        </is>
      </c>
      <c r="B10" s="12" t="n">
        <v>6.47</v>
      </c>
      <c r="C10" s="12" t="n">
        <v>5.6</v>
      </c>
      <c r="D10" s="12" t="n">
        <v>4.79</v>
      </c>
      <c r="E10" s="12" t="n">
        <v>4.26</v>
      </c>
      <c r="F10" s="12" t="n">
        <v>3.74</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A 10% ad-valorem export duty charged on every export tonne, for ever</t>
        </is>
      </c>
      <c r="B17" s="10" t="inlineStr">
        <is>
          <t>No duty at all (8.0006) or half the rate (6.5115)</t>
        </is>
      </c>
      <c r="C17" s="12" t="n">
        <v>8.000565434916803</v>
      </c>
      <c r="D17" s="11">
        <f>C17-$D$15</f>
        <v/>
      </c>
    </row>
    <row r="18" ht="26" customHeight="1">
      <c r="A18" s="10" t="inlineStr">
        <is>
          <t>The new complex's granulated ammonium nitrate priced at a typed US$280/t, the weakest-sourced input in a 304-input register</t>
        </is>
      </c>
      <c r="B18" s="10" t="inlineStr">
        <is>
          <t>Priced at the SAME PRODUCT'S OWN DISCLOSED REALISED PRICE — EGP 20,000/t from note 20, which is US$408.16/t at this model's FY2024/25 rate of 49.00 (5.5970)</t>
        </is>
      </c>
      <c r="C18" s="12" t="n">
        <v>5.597036900779846</v>
      </c>
      <c r="D18" s="11">
        <f>C18-$D$15</f>
        <v/>
      </c>
    </row>
    <row r="19" ht="26" customHeight="1">
      <c r="A19" s="10" t="inlineStr">
        <is>
          <t>Country risk priced off the sovereign's traded default swap</t>
        </is>
      </c>
      <c r="B19" s="10" t="inlineStr">
        <is>
          <t>Priced off the sovereign's credit rating instead, which is the wider of the two spreads and gives a cost of capital 104 basis points higher</t>
        </is>
      </c>
      <c r="C19" s="12" t="n">
        <v>3.102900059761477</v>
      </c>
      <c r="D19" s="11">
        <f>C19-$D$15</f>
        <v/>
      </c>
    </row>
    <row r="20" ht="26" customHeight="1">
      <c r="A20" s="10" t="inlineStr">
        <is>
          <t>A cost of capital that glides from its spot build to a terminal rate made from its own long-run components</t>
        </is>
      </c>
      <c r="B20" s="10" t="inlineStr">
        <is>
          <t>One flat spot rate applied to every explicit year and to the perpetuity</t>
        </is>
      </c>
      <c r="C20" s="12" t="n">
        <v>1.47809148744809</v>
      </c>
      <c r="D20" s="11">
        <f>C20-$D$15</f>
        <v/>
      </c>
    </row>
    <row r="21" ht="26" customHeight="1">
      <c r="A21" s="10" t="inlineStr">
        <is>
          <t>Terminal growth at the central bank's medium-term inflation target</t>
        </is>
      </c>
      <c r="B21" s="10" t="inlineStr">
        <is>
          <t>Two percentage points below it, which is negative real maintenance growth</t>
        </is>
      </c>
      <c r="C21" s="12" t="n">
        <v>2.980526510171584</v>
      </c>
      <c r="D21" s="11">
        <f>C21-$D$15</f>
        <v/>
      </c>
    </row>
    <row r="22" ht="26" customHeight="1">
      <c r="A22" s="10" t="inlineStr">
        <is>
          <t>The cost of debt at the company's own disclosed rates — 19.4% on the local facility, 11.7% in dollars on the project loan carried at local-equivalent cost on the derived currency path, 24.4% in year one gliding to 13.9% at the terminal</t>
        </is>
      </c>
      <c r="B22" s="10" t="inlineStr">
        <is>
          <t>Every leg floored at the 23.00% sovereign ten-year yield — the company's own facilities print no spread above the policy rate, so no spread is added</t>
        </is>
      </c>
      <c r="C22" s="12" t="n">
        <v>3.548742891573957</v>
      </c>
      <c r="D22" s="11">
        <f>C22-$D$15</f>
        <v/>
      </c>
    </row>
    <row r="23" ht="26" customHeight="1">
      <c r="A23" s="10" t="inlineStr">
        <is>
          <t>Beta from the five-year weekly regression of the share against the published EGX30 index</t>
        </is>
      </c>
      <c r="B23" s="10" t="inlineStr">
        <is>
          <t>The lower bound of that regression's own 90% confidence interval</t>
        </is>
      </c>
      <c r="C23" s="12" t="n">
        <v>5.899684651558272</v>
      </c>
      <c r="D23" s="11">
        <f>C23-$D$15</f>
        <v/>
      </c>
    </row>
    <row r="24" ht="26" customHeight="1">
      <c r="A24" s="10" t="inlineStr">
        <is>
          <t>Gas at the realised price the company's own loss disclosure implies</t>
        </is>
      </c>
      <c r="B24" s="10" t="inlineStr">
        <is>
          <t>The contract formula price in the operating agreement, which is higher</t>
        </is>
      </c>
      <c r="C24" s="12" t="n">
        <v>2.020338775157204</v>
      </c>
      <c r="D24" s="11">
        <f>C24-$D$15</f>
        <v/>
      </c>
    </row>
    <row r="25" ht="26" customHeight="1">
      <c r="A25" s="10" t="inlineStr">
        <is>
          <t>The new complex earning at half its derived nameplate in the terminal year</t>
        </is>
      </c>
      <c r="B25" s="10" t="inlineStr">
        <is>
          <t>Seventy per cent, which is what a well-run nitrate line achieves</t>
        </is>
      </c>
      <c r="C25" s="12" t="n">
        <v>5.524568506724146</v>
      </c>
      <c r="D25" s="11">
        <f>C25-$D$15</f>
        <v/>
      </c>
    </row>
    <row r="26" ht="26" customHeight="1">
      <c r="A26" s="10" t="inlineStr">
        <is>
          <t>Maintenance capital expenditure at the company's own observed pre-project rate of 1.12% of revenue</t>
        </is>
      </c>
      <c r="B26" s="10" t="inlineStr">
        <is>
          <t>Replacement-rate maintenance: gross fixed assets at the disclosed 3.95% machinery depreciation rate, or 6.11% of revenue</t>
        </is>
      </c>
      <c r="C26" s="12" t="n">
        <v>4.104580574764806</v>
      </c>
      <c r="D26" s="11">
        <f>C26-$D$15</f>
        <v/>
      </c>
    </row>
    <row r="27" ht="26" customHeight="1">
      <c r="A27" s="10" t="inlineStr">
        <is>
          <t>Capital maintenance charged at what replacing the plant costs today, on the 4.45-year average age the accounts MEASURE — accumulated depreciation over the year's own charge</t>
        </is>
      </c>
      <c r="B27" s="10" t="inlineStr">
        <is>
          <t>Half the 22.1-year life the same accounts imply, 11.04 years, which is what has to be assumed where a company does not disclose enough to measure it</t>
        </is>
      </c>
      <c r="C27" s="12" t="n">
        <v>2.404702110064437</v>
      </c>
      <c r="D27" s="11">
        <f>C27-$D$15</f>
        <v/>
      </c>
    </row>
    <row r="28" ht="26" customHeight="1">
      <c r="A28" s="10" t="inlineStr">
        <is>
          <t>Gas consumption at 1,292 cubic metres a tonne of ammonia — the rate implied by allocating three quarters of the single disclosed materials line to gas, which carries the plant's disclosed losses as well as its standard usage</t>
        </is>
      </c>
      <c r="B28" s="10" t="inlineStr">
        <is>
          <t>The auditor's own disclosed STANDARD rate of 1,200 cubic metres a tonne, which is what the plant consumes when it runs to specification and excludes the losses</t>
        </is>
      </c>
      <c r="C28" s="12" t="n">
        <v>5.957407998331238</v>
      </c>
      <c r="D28" s="11">
        <f>C28-$D$15</f>
        <v/>
      </c>
    </row>
    <row r="29" ht="26" customHeight="1">
      <c r="A29" s="10" t="inlineStr">
        <is>
          <t>Project spending anchored on the observed run rate: the nine-month actual extended to a full year</t>
        </is>
      </c>
      <c r="B29" s="10" t="inlineStr">
        <is>
          <t>The faster profile the first issue of this study used, opening at EGP 3,000m</t>
        </is>
      </c>
      <c r="C29" s="12" t="n">
        <v>4.817637069790051</v>
      </c>
      <c r="D29" s="11">
        <f>C29-$D$15</f>
        <v/>
      </c>
    </row>
    <row r="30"/>
    <row r="31" ht="39" customHeight="1">
      <c r="A31"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'Assumptions'!C105</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7">
        <f>'DCF'!B41/'DCF'!B6</f>
        <v/>
      </c>
      <c r="C10" s="10" t="inlineStr">
        <is>
          <t>On the forward year</t>
        </is>
      </c>
    </row>
    <row r="11" ht="14" customHeight="1">
      <c r="A11" s="10" t="inlineStr">
        <is>
          <t>Enterprise value to EBITDA at the model's value</t>
        </is>
      </c>
      <c r="B11" s="27">
        <f>'DCF'!B37/'DCF'!B6</f>
        <v/>
      </c>
      <c r="C11" s="10" t="inlineStr"/>
    </row>
    <row r="12" ht="14" customHeight="1">
      <c r="A12" s="10" t="inlineStr">
        <is>
          <t>Enterprise value to EBITDA at the market price</t>
        </is>
      </c>
      <c r="B12" s="27">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2026-09-10T12:41:22Z</dcterms:created>
  <dcterms:modified xmlns:dcterms="http://purl.org/dc/terms/" xmlns:xsi="http://www.w3.org/2001/XMLSchema-instance" xsi:type="dcterms:W3CDTF">2026-09-10T12:41:22Z</dcterms:modified>
</cp:coreProperties>
</file>