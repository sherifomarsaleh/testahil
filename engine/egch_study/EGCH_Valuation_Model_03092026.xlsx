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0.1096361607961464</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5.900148689005042</v>
      </c>
    </row>
    <row r="37">
      <c r="A37" s="6" t="inlineStr">
        <is>
          <t>Against spot</t>
        </is>
      </c>
      <c r="B37" s="8">
        <f>B36/$B$14-1</f>
        <v/>
      </c>
    </row>
    <row r="38">
      <c r="A38" s="6" t="inlineStr">
        <is>
          <t>RETIRED — the 45/20/20/15 weighted blend, published unused</t>
        </is>
      </c>
      <c r="B38" s="12" t="n">
        <v>4.756234842977872</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1.785377453868092</v>
      </c>
    </row>
    <row r="24">
      <c r="A24" s="6" t="inlineStr">
        <is>
          <t>Cash flow — programme stopped</t>
        </is>
      </c>
      <c r="B24" s="12" t="n">
        <v>5.900148689005042</v>
      </c>
    </row>
    <row r="25">
      <c r="A25" s="6" t="inlineStr">
        <is>
          <t>Book value, disclosed (a floor, never weighted)</t>
        </is>
      </c>
      <c r="B25" s="12" t="n">
        <v>8.15778582586335</v>
      </c>
    </row>
    <row r="26">
      <c r="A26" s="6" t="inlineStr">
        <is>
          <t>Relative multiples</t>
        </is>
      </c>
      <c r="B26" s="12" t="n">
        <v>15.4744443192992</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5"/>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48" customHeight="1">
      <c r="A84" s="6" t="inlineStr">
        <is>
          <t>Egyptian inflation — FY2026/27</t>
        </is>
      </c>
      <c r="B84" s="6" t="inlineStr">
        <is>
          <t>%</t>
        </is>
      </c>
      <c r="C84" s="15" t="n">
        <v>0.1</v>
      </c>
      <c r="D84"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5" ht="48" customHeight="1">
      <c r="A85" s="6" t="inlineStr">
        <is>
          <t>Egyptian inflation — FY2027/28</t>
        </is>
      </c>
      <c r="B85" s="6" t="inlineStr">
        <is>
          <t>%</t>
        </is>
      </c>
      <c r="C85" s="15" t="n">
        <v>0.07000000000000001</v>
      </c>
      <c r="D85"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6" ht="48" customHeight="1">
      <c r="A86" s="6" t="inlineStr">
        <is>
          <t>Egyptian inflation — FY2028/29</t>
        </is>
      </c>
      <c r="B86" s="6" t="inlineStr">
        <is>
          <t>%</t>
        </is>
      </c>
      <c r="C86" s="15" t="n">
        <v>0.06</v>
      </c>
      <c r="D86"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7" ht="48" customHeight="1">
      <c r="A87" s="6" t="inlineStr">
        <is>
          <t>Egyptian inflation — FY2029/30</t>
        </is>
      </c>
      <c r="B87" s="6" t="inlineStr">
        <is>
          <t>%</t>
        </is>
      </c>
      <c r="C87" s="15" t="n">
        <v>0.05</v>
      </c>
      <c r="D87"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8" ht="48" customHeight="1">
      <c r="A88" s="6" t="inlineStr">
        <is>
          <t>Egyptian inflation — FY2030/31</t>
        </is>
      </c>
      <c r="B88" s="6" t="inlineStr">
        <is>
          <t>%</t>
        </is>
      </c>
      <c r="C88" s="15" t="n">
        <v>0.05</v>
      </c>
      <c r="D88"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72" customHeight="1">
      <c r="A111" s="6" t="inlineStr">
        <is>
          <t>Terminal inflation (the same figure terminal growth is set at)</t>
        </is>
      </c>
      <c r="B111" s="6" t="inlineStr">
        <is>
          <t>%</t>
        </is>
      </c>
      <c r="C111" s="15" t="n">
        <v>0.07000000000000001</v>
      </c>
      <c r="D111" s="9" t="inlineStr">
        <is>
          <t>The inflation embedded in the TERMINAL discount rate: the central bank's longest-horizon published target, 5% (+/-2) for Q4 2028 — the SAME figure terminal growth is set at.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t>
        </is>
      </c>
      <c r="B113" s="6" t="inlineStr">
        <is>
          <t>%</t>
        </is>
      </c>
      <c r="C113" s="16">
        <f>(1+'Assumptions'!C111)*(1+'Assumptions'!C112)-1</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24" customHeight="1">
      <c r="A118" s="6" t="inlineStr">
        <is>
          <t>Terminal return on invested capital</t>
        </is>
      </c>
      <c r="B118" s="6" t="inlineStr">
        <is>
          <t>%</t>
        </is>
      </c>
      <c r="C118" s="15" t="n">
        <v>0.18</v>
      </c>
      <c r="D118" s="9" t="inlineStr">
        <is>
          <t>Constructed: terminal return on invested capital, which sets the terminal reinvestment rate as growth divided by return on capital</t>
        </is>
      </c>
    </row>
    <row r="120">
      <c r="A120" s="10" t="inlineStr">
        <is>
          <t>CAPITAL, WORKING CAPITAL AND THE PROJECT</t>
        </is>
      </c>
    </row>
    <row r="121" ht="24" customHeight="1">
      <c r="A121" s="6" t="inlineStr">
        <is>
          <t>Depreciation charge, FY2024/25</t>
        </is>
      </c>
      <c r="B121" s="6" t="inlineStr">
        <is>
          <t>EGP m</t>
        </is>
      </c>
      <c r="C121" s="20" t="n">
        <v>771.213</v>
      </c>
      <c r="D121" s="9" t="inlineStr">
        <is>
          <t>Audited financial statements, year ended 30 June 2025 (Central Auditing Organization, report dated 23 September 2025), note 6 fixed-asset register</t>
        </is>
      </c>
    </row>
    <row r="122" ht="24" customHeight="1">
      <c r="A122" s="6" t="inlineStr">
        <is>
          <t>Amortisation, FY2024/25</t>
        </is>
      </c>
      <c r="B122" s="6" t="inlineStr">
        <is>
          <t>EGP m</t>
        </is>
      </c>
      <c r="C122" s="20" t="n">
        <v>119.378</v>
      </c>
      <c r="D122" s="9" t="inlineStr">
        <is>
          <t>Audited financial statements, year ended 30 June 2025 (Central Auditing Organization, report dated 23 September 2025), note 10 usufruct intangible</t>
        </is>
      </c>
    </row>
    <row r="123" ht="60" customHeight="1">
      <c r="A123" s="6" t="inlineStr">
        <is>
          <t>Project capital expenditure — FY2026/27</t>
        </is>
      </c>
      <c r="B123" s="6" t="inlineStr">
        <is>
          <t>EGP m</t>
        </is>
      </c>
      <c r="C123" s="14">
        <f>'Cash Flow'!B30</f>
        <v/>
      </c>
      <c r="D123"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4" ht="60" customHeight="1">
      <c r="A124" s="6" t="inlineStr">
        <is>
          <t>Project capital expenditure — FY2027/28</t>
        </is>
      </c>
      <c r="B124" s="6" t="inlineStr">
        <is>
          <t>EGP m</t>
        </is>
      </c>
      <c r="C124" s="13" t="n">
        <v>3100</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FY2028/29</t>
        </is>
      </c>
      <c r="B125" s="6" t="inlineStr">
        <is>
          <t>EGP m</t>
        </is>
      </c>
      <c r="C125" s="13" t="n">
        <v>3300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FY2029/30</t>
        </is>
      </c>
      <c r="B126" s="6" t="inlineStr">
        <is>
          <t>EGP m</t>
        </is>
      </c>
      <c r="C126" s="13" t="n">
        <v>3200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FY2030/31</t>
        </is>
      </c>
      <c r="B127" s="6" t="inlineStr">
        <is>
          <t>EGP m</t>
        </is>
      </c>
      <c r="C127" s="14">
        <f>'Cash Flow'!D34-(C123+C124+C125+C126)</f>
        <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24" customHeight="1">
      <c r="A128" s="6" t="inlineStr">
        <is>
          <t>Depreciation escalation on the existing base</t>
        </is>
      </c>
      <c r="B128" s="6" t="inlineStr">
        <is>
          <t>per year</t>
        </is>
      </c>
      <c r="C128" s="15" t="n">
        <v>0.02</v>
      </c>
      <c r="D128" s="9" t="inlineStr">
        <is>
          <t>Constructed: escalation on the existing depreciation base, reflecting ordinary additions to the plant already in service</t>
        </is>
      </c>
    </row>
    <row r="129" ht="24" customHeight="1">
      <c r="A129" s="6" t="inlineStr">
        <is>
          <t>Depreciation rate on the new complex</t>
        </is>
      </c>
      <c r="B129" s="6" t="inlineStr">
        <is>
          <t>per year</t>
        </is>
      </c>
      <c r="C129" s="23" t="n">
        <v>0.0395</v>
      </c>
      <c r="D129" s="9" t="inlineStr">
        <is>
          <t>Audited financial statements, year ended 30 June 2025 (Central Auditing Organization, report dated 23 September 2025), note 5-2 depreciation rates</t>
        </is>
      </c>
    </row>
    <row r="130" ht="48" customHeight="1">
      <c r="A130" s="6" t="inlineStr">
        <is>
          <t>New complex nameplate</t>
        </is>
      </c>
      <c r="B130" s="6" t="inlineStr">
        <is>
          <t>tonnes/day</t>
        </is>
      </c>
      <c r="C130" s="13" t="n">
        <v>800</v>
      </c>
      <c r="D130"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1" ht="24" customHeight="1">
      <c r="A131" s="6" t="inlineStr">
        <is>
          <t>Operating days a year</t>
        </is>
      </c>
      <c r="B131" s="6" t="inlineStr">
        <is>
          <t>days</t>
        </is>
      </c>
      <c r="C131" s="13" t="n">
        <v>330</v>
      </c>
      <c r="D131" s="9" t="inlineStr">
        <is>
          <t>Constructed: operating days a year for a continuous nitrate line, net of the turnaround the company takes annually</t>
        </is>
      </c>
    </row>
    <row r="132" ht="48" customHeight="1">
      <c r="A132" s="6" t="inlineStr">
        <is>
          <t>Steady-state depreciation wedge in the terminal year</t>
        </is>
      </c>
      <c r="B132" s="6" t="inlineStr">
        <is>
          <t>ratio</t>
        </is>
      </c>
      <c r="C132" s="15" t="n">
        <v>0.025390625</v>
      </c>
      <c r="D132"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3" ht="24" customHeight="1">
      <c r="A133" s="6" t="inlineStr">
        <is>
          <t>The complex is completed and in service (1 = yes)</t>
        </is>
      </c>
      <c r="B133" s="6" t="inlineStr">
        <is>
          <t>switch</t>
        </is>
      </c>
      <c r="C133" s="13" t="n">
        <v>1</v>
      </c>
      <c r="D133" s="9" t="inlineStr">
        <is>
          <t>Case switch. Zero in the capital-discipline column, where the plant is never finished and therefore never depreciated.</t>
        </is>
      </c>
    </row>
    <row r="134" ht="36" customHeight="1">
      <c r="A134" s="6" t="inlineStr">
        <is>
          <t>Approved cost of the new complex</t>
        </is>
      </c>
      <c r="B134" s="6" t="inlineStr">
        <is>
          <t>EGP m</t>
        </is>
      </c>
      <c r="C134" s="13" t="n">
        <v>20341.668</v>
      </c>
      <c r="D134" s="9" t="inlineStr">
        <is>
          <t>Audited financial statements, year ended 30 June 2025 (Central Auditing Organization, report dated 23 September 2025), note 18-3 — bank-approved investment cost, agreement of 25 June 2025; dual-currency tranches at the approval rate</t>
        </is>
      </c>
    </row>
    <row r="135" ht="72" customHeight="1">
      <c r="A135" s="6" t="inlineStr">
        <is>
          <t>Maintenance capital expenditure</t>
        </is>
      </c>
      <c r="B135" s="6" t="inlineStr">
        <is>
          <t>% of revenue</t>
        </is>
      </c>
      <c r="C135" s="8">
        <f>'Cash Flow'!D28</f>
        <v/>
      </c>
      <c r="D135"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6" ht="36" customHeight="1">
      <c r="A136" s="6" t="inlineStr">
        <is>
          <t>Wind-down cost if the programme is stopped</t>
        </is>
      </c>
      <c r="B136" s="6" t="inlineStr">
        <is>
          <t>EGP m</t>
        </is>
      </c>
      <c r="C136" s="13" t="n">
        <v>1000</v>
      </c>
      <c r="D136" s="9" t="inlineStr">
        <is>
          <t>Constructed: capital-discipline case only: the cost of stopping the programme in the first forecast year — contract settlement and site preservation. No filing states it; it is the study's estimate and is flagged.</t>
        </is>
      </c>
    </row>
    <row r="137" ht="24" customHeight="1">
      <c r="A137" s="6" t="inlineStr">
        <is>
          <t>Ammonia per tonne of nitrate</t>
        </is>
      </c>
      <c r="B137" s="6" t="inlineStr">
        <is>
          <t>tonnes</t>
        </is>
      </c>
      <c r="C137" s="12" t="n">
        <v>0.43</v>
      </c>
      <c r="D137" s="9" t="inlineStr">
        <is>
          <t>Constructed: ammonia per tonne of ammonium nitrate through the nitric-acid route plus direct neutralisation</t>
        </is>
      </c>
    </row>
    <row r="138" ht="40" customHeight="1">
      <c r="A138" s="6" t="inlineStr">
        <is>
          <t>Project nameplate (derived, not disclosed)</t>
        </is>
      </c>
      <c r="B138" s="6" t="inlineStr">
        <is>
          <t>tonnes/year</t>
        </is>
      </c>
      <c r="C138" s="14">
        <f>'Assumptions'!C130*'Assumptions'!C131</f>
        <v/>
      </c>
      <c r="D138"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9" ht="40" customHeight="1">
      <c r="A139" s="6" t="inlineStr">
        <is>
          <t>Cross-check: nameplate derived from the ammonia surplus</t>
        </is>
      </c>
      <c r="B139" s="6" t="inlineStr">
        <is>
          <t>tonnes/year</t>
        </is>
      </c>
      <c r="C139" s="14">
        <f>('Assumptions'!C14-'Assumptions'!C13*'Assumptions'!C15)/'Assumptions'!C137</f>
        <v/>
      </c>
      <c r="D139" s="9" t="inlineStr">
        <is>
          <t>The construction the study used before the engineering award was found. Retained as a cross-check on the disclosed plate, not as the plate itself.</t>
        </is>
      </c>
    </row>
    <row r="140" ht="14" customHeight="1">
      <c r="A140" s="6" t="inlineStr">
        <is>
          <t>Project utilisation in the terminal year</t>
        </is>
      </c>
      <c r="B140" s="6" t="inlineStr">
        <is>
          <t>%</t>
        </is>
      </c>
      <c r="C140" s="15" t="n">
        <v>0.5</v>
      </c>
      <c r="D140" s="9" t="inlineStr">
        <is>
          <t>Constructed: project utilisation in the terminal year, central case</t>
        </is>
      </c>
    </row>
    <row r="141" ht="14" customHeight="1">
      <c r="A141" s="6" t="inlineStr">
        <is>
          <t>Nitrate price</t>
        </is>
      </c>
      <c r="B141" s="6" t="inlineStr">
        <is>
          <t>US$/tonne</t>
        </is>
      </c>
      <c r="C141" s="13" t="n">
        <v>280</v>
      </c>
      <c r="D141" s="9" t="inlineStr">
        <is>
          <t>Mid-cycle ammonium nitrate pricing</t>
        </is>
      </c>
    </row>
    <row r="142" ht="14" customHeight="1">
      <c r="A142" s="6" t="inlineStr">
        <is>
          <t>Project cash margin</t>
        </is>
      </c>
      <c r="B142" s="6" t="inlineStr">
        <is>
          <t>% of revenue</t>
        </is>
      </c>
      <c r="C142" s="15" t="n">
        <v>0.32</v>
      </c>
      <c r="D142" s="9" t="inlineStr">
        <is>
          <t>Constructed: conversion margin on ammonium nitrate over its own ammonia feedstock</t>
        </is>
      </c>
    </row>
    <row r="143" ht="14" customHeight="1">
      <c r="A143" s="6" t="inlineStr">
        <is>
          <t>Days sales outstanding</t>
        </is>
      </c>
      <c r="B143" s="6" t="inlineStr">
        <is>
          <t>days</t>
        </is>
      </c>
      <c r="C143" s="20" t="n">
        <v>26.77469536556713</v>
      </c>
      <c r="D143" s="9" t="inlineStr">
        <is>
          <t>Constructed: FY2024/25 receivables over revenue</t>
        </is>
      </c>
    </row>
    <row r="144" ht="14" customHeight="1">
      <c r="A144" s="6" t="inlineStr">
        <is>
          <t>Days inventory outstanding</t>
        </is>
      </c>
      <c r="B144" s="6" t="inlineStr">
        <is>
          <t>days</t>
        </is>
      </c>
      <c r="C144" s="20" t="n">
        <v>165.2475279747788</v>
      </c>
      <c r="D144" s="9" t="inlineStr">
        <is>
          <t>Constructed: FY2024/25 inventory over cost of sales</t>
        </is>
      </c>
    </row>
    <row r="145" ht="14" customHeight="1">
      <c r="A145" s="6" t="inlineStr">
        <is>
          <t>Days payable outstanding</t>
        </is>
      </c>
      <c r="B145" s="6" t="inlineStr">
        <is>
          <t>days</t>
        </is>
      </c>
      <c r="C145" s="20" t="n">
        <v>83.17161071710899</v>
      </c>
      <c r="D145"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'Assumptions'!C121*(1+'Assumptions'!C128*0)+'Assumptions'!C122</f>
        <v/>
      </c>
      <c r="C25" s="14">
        <f>'Assumptions'!C121*(1+'Assumptions'!C128*1)+'Assumptions'!C122+SUM('Assumptions'!C123:C123)*'Assumptions'!C129</f>
        <v/>
      </c>
      <c r="D25" s="14">
        <f>'Assumptions'!C121*(1+'Assumptions'!C128*2)+'Assumptions'!C122+SUM('Assumptions'!C123:C124)*'Assumptions'!C129</f>
        <v/>
      </c>
      <c r="E25" s="14">
        <f>'Assumptions'!C121*(1+'Assumptions'!C128*3)+'Assumptions'!C122+SUM('Assumptions'!C123:C125)*'Assumptions'!C129</f>
        <v/>
      </c>
      <c r="F25" s="14">
        <f>'Assumptions'!C121*(1+'Assumptions'!C128*4)+'Assumptions'!C122+SUM('Assumptions'!C123:C126)*'Assumptions'!C129</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(B29-'Assumptions'!C121-'Assumptions'!C122)*(1-'Assumptions'!C107)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-($I$5*'Assumptions'!C123+$I$6*(1-$I$5)+B5*'Assumptions'!C135)</f>
        <v/>
      </c>
      <c r="C12" s="14">
        <f>-($I$5*'Assumptions'!C124+C5*'Assumptions'!C135)</f>
        <v/>
      </c>
      <c r="D12" s="14">
        <f>-($I$5*'Assumptions'!C125+D5*'Assumptions'!C135)</f>
        <v/>
      </c>
      <c r="E12" s="14">
        <f>-($I$5*'Assumptions'!C126+E5*'Assumptions'!C135)</f>
        <v/>
      </c>
      <c r="F12" s="14">
        <f>-($I$5*'Assumptions'!C127+F5*'Assumptions'!C135)</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F9*(1+'Assumptions'!C117)</f>
        <v/>
      </c>
      <c r="D21" s="14">
        <f>(F9+SUM('Assumptions'!C123:C126)*'Assumptions'!C129)*(1+'Assumptions'!C117)</f>
        <v/>
      </c>
    </row>
    <row r="22">
      <c r="A22" s="6" t="inlineStr">
        <is>
          <t>Project revenue in the terminal year</t>
        </is>
      </c>
      <c r="B22" s="14">
        <f>'Assumptions'!C138*'Assumptions'!C140*'Assumptions'!C141*('Assumptions'!C49*(1+'Assumptions'!C117-'Assumptions'!C132))/1000000</f>
        <v/>
      </c>
      <c r="D22" s="14">
        <f>'Assumptions'!C138*0*'Assumptions'!C141*('Assumptions'!C49*(1+'Assumptions'!C117-'Assumptions'!C132))/1000000</f>
        <v/>
      </c>
    </row>
    <row r="23">
      <c r="A23" s="6" t="inlineStr">
        <is>
          <t>Project operating profit, after its own depreciation</t>
        </is>
      </c>
      <c r="B23" s="14">
        <f>B22*'Assumptions'!C142-'Assumptions'!C133*'Assumptions'!C134*'Assumptions'!C129</f>
        <v/>
      </c>
      <c r="D23" s="14">
        <f>D22*'Assumptions'!C142-0*'Assumptions'!C134*'Assumptions'!C129</f>
        <v/>
      </c>
    </row>
    <row r="24">
      <c r="A24" s="6" t="inlineStr">
        <is>
          <t>Terminal EBIT</t>
        </is>
      </c>
      <c r="B24" s="14">
        <f>B21+B23</f>
        <v/>
      </c>
      <c r="D24" s="14">
        <f>D21+D23</f>
        <v/>
      </c>
    </row>
    <row r="25">
      <c r="A25" s="6" t="inlineStr">
        <is>
          <t>Terminal NOPAT</t>
        </is>
      </c>
      <c r="B25" s="14">
        <f>B24*(1-'Assumptions'!C107)</f>
        <v/>
      </c>
      <c r="D25" s="14">
        <f>D24*(1-'Assumptions'!C107)</f>
        <v/>
      </c>
    </row>
    <row r="26">
      <c r="A26" s="6" t="inlineStr">
        <is>
          <t>Reinvestment rate = growth / return on capital</t>
        </is>
      </c>
      <c r="B26" s="8">
        <f>'Assumptions'!C117/'Assumptions'!C118</f>
        <v/>
      </c>
      <c r="D26" s="8">
        <f>'Assumptions'!C117/'Assumptions'!C118</f>
        <v/>
      </c>
    </row>
    <row r="27">
      <c r="A27" s="6" t="inlineStr">
        <is>
          <t>Terminal free cash flow</t>
        </is>
      </c>
      <c r="B27" s="14">
        <f>B25*(1-B26)</f>
        <v/>
      </c>
      <c r="D27" s="14">
        <f>D25*(1-D26)</f>
        <v/>
      </c>
    </row>
    <row r="28">
      <c r="A28" s="6" t="inlineStr">
        <is>
          <t>TERMINAL VALUE</t>
        </is>
      </c>
      <c r="B28" s="14">
        <f>B27/('Assumptions'!C116-'Assumptions'!C117)</f>
        <v/>
      </c>
      <c r="D28" s="14">
        <f>D27/('Assumptions'!C116-'Assumptions'!C117)</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+'Assumptions'!C123</f>
        <v/>
      </c>
      <c r="C50" s="14">
        <f>+'Assumptions'!C124</f>
        <v/>
      </c>
      <c r="D50" s="14">
        <f>+'Assumptions'!C125</f>
        <v/>
      </c>
      <c r="E50" s="14">
        <f>+'Assumptions'!C126</f>
        <v/>
      </c>
      <c r="F50" s="14">
        <f>+'Assumptions'!C127</f>
        <v/>
      </c>
    </row>
    <row r="51">
      <c r="A51" s="6" t="inlineStr">
        <is>
          <t>Less the wind-down cost</t>
        </is>
      </c>
      <c r="B51" s="14">
        <f>-'Assumptions'!C136</f>
        <v/>
      </c>
      <c r="C51" s="14">
        <f>0</f>
        <v/>
      </c>
      <c r="D51" s="14">
        <f>0</f>
        <v/>
      </c>
      <c r="E51" s="14">
        <f>0</f>
        <v/>
      </c>
      <c r="F51" s="14">
        <f>0</f>
        <v/>
      </c>
    </row>
    <row r="52">
      <c r="A52" s="6" t="inlineStr">
        <is>
          <t>Less the tax shield on depreciation never incurred</t>
        </is>
      </c>
      <c r="B52" s="14">
        <f>0</f>
        <v/>
      </c>
      <c r="C52" s="14">
        <f>-SUM('Assumptions'!C123:C123)*'Assumptions'!C129*'Assumptions'!C107</f>
        <v/>
      </c>
      <c r="D52" s="14">
        <f>-SUM('Assumptions'!C123:C124)*'Assumptions'!C129*'Assumptions'!C107</f>
        <v/>
      </c>
      <c r="E52" s="14">
        <f>-SUM('Assumptions'!C123:C125)*'Assumptions'!C129*'Assumptions'!C107</f>
        <v/>
      </c>
      <c r="F52" s="14">
        <f>-SUM('Assumptions'!C123:C126)*'Assumptions'!C129*'Assumptions'!C107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B5*'Assumptions'!C143/365</f>
        <v/>
      </c>
      <c r="C7" s="14">
        <f>C5*'Assumptions'!C143/365</f>
        <v/>
      </c>
      <c r="D7" s="14">
        <f>D5*'Assumptions'!C143/365</f>
        <v/>
      </c>
      <c r="E7" s="14">
        <f>E5*'Assumptions'!C143/365</f>
        <v/>
      </c>
      <c r="F7" s="14">
        <f>F5*'Assumptions'!C143/365</f>
        <v/>
      </c>
    </row>
    <row r="8">
      <c r="A8" s="6" t="inlineStr">
        <is>
          <t>Inventory</t>
        </is>
      </c>
      <c r="B8" s="14">
        <f>B6*'Assumptions'!C144/365</f>
        <v/>
      </c>
      <c r="C8" s="14">
        <f>C6*'Assumptions'!C144/365</f>
        <v/>
      </c>
      <c r="D8" s="14">
        <f>D6*'Assumptions'!C144/365</f>
        <v/>
      </c>
      <c r="E8" s="14">
        <f>E6*'Assumptions'!C144/365</f>
        <v/>
      </c>
      <c r="F8" s="14">
        <f>F6*'Assumptions'!C144/365</f>
        <v/>
      </c>
    </row>
    <row r="9">
      <c r="A9" s="6" t="inlineStr">
        <is>
          <t>Payables</t>
        </is>
      </c>
      <c r="B9" s="14">
        <f>B6*'Assumptions'!C145/365</f>
        <v/>
      </c>
      <c r="C9" s="14">
        <f>C6*'Assumptions'!C145/365</f>
        <v/>
      </c>
      <c r="D9" s="14">
        <f>D6*'Assumptions'!C145/365</f>
        <v/>
      </c>
      <c r="E9" s="14">
        <f>E6*'Assumptions'!C145/365</f>
        <v/>
      </c>
      <c r="F9" s="14">
        <f>F6*'Assumptions'!C145/365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-2.88</v>
      </c>
      <c r="E6" s="12" t="n">
        <v>-2.95</v>
      </c>
      <c r="F6" s="12" t="n">
        <v>-3.02</v>
      </c>
    </row>
    <row r="7">
      <c r="A7" s="6" t="inlineStr">
        <is>
          <t>US$ 420/t long-run export price</t>
        </is>
      </c>
      <c r="B7" s="12" t="n">
        <v>-1.08</v>
      </c>
      <c r="C7" s="12" t="n">
        <v>-1.3</v>
      </c>
      <c r="D7" s="12" t="n">
        <v>-1.51</v>
      </c>
      <c r="E7" s="12" t="n">
        <v>-1.65</v>
      </c>
      <c r="F7" s="12" t="n">
        <v>-1.78</v>
      </c>
    </row>
    <row r="8">
      <c r="A8" s="6" t="inlineStr">
        <is>
          <t>US$ 460/t long-run export price</t>
        </is>
      </c>
      <c r="B8" s="12" t="n">
        <v>0.49</v>
      </c>
      <c r="C8" s="12" t="n">
        <v>0.16</v>
      </c>
      <c r="D8" s="12" t="n">
        <v>-0.14</v>
      </c>
      <c r="E8" s="12" t="n">
        <v>-0.34</v>
      </c>
      <c r="F8" s="12" t="n">
        <v>-0.53</v>
      </c>
    </row>
    <row r="9">
      <c r="A9" s="6" t="inlineStr">
        <is>
          <t>US$ 500/t long-run export price</t>
        </is>
      </c>
      <c r="B9" s="12" t="n">
        <v>2.05</v>
      </c>
      <c r="C9" s="12" t="n">
        <v>1.63</v>
      </c>
      <c r="D9" s="12" t="n">
        <v>1.23</v>
      </c>
      <c r="E9" s="12" t="n">
        <v>0.97</v>
      </c>
      <c r="F9" s="12" t="n">
        <v>0.71</v>
      </c>
    </row>
    <row r="10">
      <c r="A10" s="6" t="inlineStr">
        <is>
          <t>US$ 540/t long-run export price</t>
        </is>
      </c>
      <c r="B10" s="12" t="n">
        <v>3.61</v>
      </c>
      <c r="C10" s="12" t="n">
        <v>3.09</v>
      </c>
      <c r="D10" s="12" t="n">
        <v>2.59</v>
      </c>
      <c r="E10" s="12" t="n">
        <v>2.27</v>
      </c>
      <c r="F10" s="12" t="n">
        <v>1.96</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1.785377453868092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0.3670158141445878</v>
      </c>
      <c r="D18" s="11">
        <f>C18-$D$15</f>
        <v/>
      </c>
    </row>
    <row r="19" ht="26" customHeight="1">
      <c r="A19" s="9" t="inlineStr">
        <is>
          <t>Terminal growth at the central bank's medium-term inflation target</t>
        </is>
      </c>
      <c r="B19" s="9" t="inlineStr">
        <is>
          <t>Two percentage points below it, which is negative real maintenance growth</t>
        </is>
      </c>
      <c r="C19" s="12" t="n">
        <v>1.681839374144488</v>
      </c>
      <c r="D19" s="11">
        <f>C19-$D$15</f>
        <v/>
      </c>
    </row>
    <row r="20" ht="26" customHeight="1">
      <c r="A20" s="9" t="inlineStr">
        <is>
          <t>The cost of debt at the company's own disclosed rates — 19.4% on the local facility, 11.7% in dollars on the project loan carried at local-equivalent cost on the derived currency path, 20.0% in year one gliding to 13.9% at the terminal</t>
        </is>
      </c>
      <c r="B20" s="9" t="inlineStr">
        <is>
          <t>Every leg floored at the 23.00% sovereign ten-year yield — the company's own facilities print no spread above the policy rate, so no spread is added</t>
        </is>
      </c>
      <c r="C20" s="12" t="n">
        <v>0.9828446765320163</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2.859085724910241</v>
      </c>
      <c r="D21" s="11">
        <f>C21-$D$15</f>
        <v/>
      </c>
    </row>
    <row r="22" ht="26" customHeight="1">
      <c r="A22" s="9" t="inlineStr">
        <is>
          <t>Gas at the realised price the company's own loss disclosure implies</t>
        </is>
      </c>
      <c r="B22" s="9" t="inlineStr">
        <is>
          <t>The contract formula price in the operating agreement, which is higher</t>
        </is>
      </c>
      <c r="C22" s="12" t="n">
        <v>-0.1265904861401076</v>
      </c>
      <c r="D22" s="11">
        <f>C22-$D$15</f>
        <v/>
      </c>
    </row>
    <row r="23" ht="26" customHeight="1">
      <c r="A23" s="9" t="inlineStr">
        <is>
          <t>The new complex earning at half its derived nameplate in the terminal year</t>
        </is>
      </c>
      <c r="B23" s="9" t="inlineStr">
        <is>
          <t>Seventy per cent, which is what a well-run nitrate line achieves</t>
        </is>
      </c>
      <c r="C23" s="12" t="n">
        <v>2.015514431643158</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0.9216105075155367</v>
      </c>
      <c r="D24" s="11">
        <f>C24-$D$15</f>
        <v/>
      </c>
    </row>
    <row r="25" ht="26" customHeight="1">
      <c r="A25" s="9" t="inlineStr">
        <is>
          <t>Terminal reinvestment of 38.9% of operating profit after tax, from growth over an 18% return on capital</t>
        </is>
      </c>
      <c r="B25" s="9" t="inlineStr">
        <is>
          <t>23.3%, from a 30% return on capital — the rate a newly completed plant earns on incremental capital while it is still filling</t>
        </is>
      </c>
      <c r="C25" s="12" t="n">
        <v>2.624416745702623</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1.552597382184459</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2026-09-03T12:15:20Z</dcterms:created>
  <dcterms:modified xmlns:dcterms="http://purl.org/dc/terms/" xmlns:xsi="http://www.w3.org/2001/XMLSchema-instance" xsi:type="dcterms:W3CDTF">2026-09-03T12:15:20Z</dcterms:modified>
</cp:coreProperties>
</file>