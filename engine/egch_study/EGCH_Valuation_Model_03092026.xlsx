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0" fontId="2" fillId="0" borderId="0" pivotButton="0" quotePrefix="0" xfId="0"/>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4" fillId="0" borderId="0" pivotButton="0" quotePrefix="0" xfId="0"/>
    <xf numFmtId="0" fontId="8" fillId="0" borderId="0" applyAlignment="1" pivotButton="0" quotePrefix="0" xfId="0">
      <alignment vertical="top" wrapText="1"/>
    </xf>
    <xf numFmtId="165" fontId="7"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1" t="inlineStr">
        <is>
          <t>SUMMARY — EVERY READ AT A GLANCE</t>
        </is>
      </c>
    </row>
    <row r="2" ht="30" customHeight="1">
      <c r="A2" s="4" t="inlineStr">
        <is>
          <t>Every figure here is a formula reading the valuation sheets. The contested judgement appears as two columns and is never averaged into one.</t>
        </is>
      </c>
    </row>
    <row r="4">
      <c r="A4" s="5" t="inlineStr">
        <is>
          <t>Lens</t>
        </is>
      </c>
      <c r="B4" s="5" t="inlineStr">
        <is>
          <t>Programme carried through (EGP/share)</t>
        </is>
      </c>
      <c r="C4" s="5" t="inlineStr">
        <is>
          <t>Programme stopped (EGP/share)</t>
        </is>
      </c>
      <c r="D4" s="5" t="inlineStr">
        <is>
          <t>Against spot</t>
        </is>
      </c>
      <c r="E4" s="5" t="inlineStr">
        <is>
          <t>What it measures</t>
        </is>
      </c>
    </row>
    <row r="5" ht="28" customHeight="1">
      <c r="A5" s="6" t="inlineStr">
        <is>
          <t>Cash flow — the primary lens</t>
        </is>
      </c>
      <c r="B5" s="7">
        <f>'DCF'!B44</f>
        <v/>
      </c>
      <c r="C5" s="7">
        <f>'DCF'!D44</f>
        <v/>
      </c>
      <c r="D5" s="8">
        <f>B5/$B$14-1</f>
        <v/>
      </c>
      <c r="E5" s="9" t="inlineStr">
        <is>
          <t>Free cash flow to the firm, discounted on a glided cost of capital</t>
        </is>
      </c>
    </row>
    <row r="6" ht="28" customHeight="1">
      <c r="A6" s="6" t="inlineStr">
        <is>
          <t>Book value and sustainable return</t>
        </is>
      </c>
      <c r="B6" s="7">
        <f>'Fundamental Valuation'!B18</f>
        <v/>
      </c>
      <c r="C6" s="7">
        <f>'Fundamental Valuation'!B18</f>
        <v/>
      </c>
      <c r="D6" s="8">
        <f>B6/$B$14-1</f>
        <v/>
      </c>
      <c r="E6" s="9" t="inlineStr">
        <is>
          <t>Book equity at the justified multiple implied by its own sustainable return</t>
        </is>
      </c>
    </row>
    <row r="7" ht="28" customHeight="1">
      <c r="A7" s="6" t="inlineStr">
        <is>
          <t>Relative multiples</t>
        </is>
      </c>
      <c r="B7" s="7">
        <f>'Relative &amp; Normalized'!B12</f>
        <v/>
      </c>
      <c r="C7" s="7">
        <f>'Relative &amp; Normalized'!B12</f>
        <v/>
      </c>
      <c r="D7" s="8">
        <f>B7/$B$14-1</f>
        <v/>
      </c>
      <c r="E7" s="9" t="inlineStr">
        <is>
          <t>Forward EBITDA at the mid-point of the Egyptian industrial range</t>
        </is>
      </c>
    </row>
    <row r="8" ht="28" customHeight="1">
      <c r="A8" s="6" t="inlineStr">
        <is>
          <t>Normalised earnings power</t>
        </is>
      </c>
      <c r="B8" s="7">
        <f>'Relative &amp; Normalized'!B31</f>
        <v/>
      </c>
      <c r="C8" s="7">
        <f>'Relative &amp; Normalized'!B31</f>
        <v/>
      </c>
      <c r="D8" s="8">
        <f>B8/$B$14-1</f>
        <v/>
      </c>
      <c r="E8" s="9" t="inlineStr">
        <is>
          <t>Mid-cycle operating profit after tax at a justified multiple</t>
        </is>
      </c>
    </row>
    <row r="10">
      <c r="A10" s="10" t="inlineStr">
        <is>
          <t>THE FIELD — the range of the published reads, never an average of them</t>
        </is>
      </c>
    </row>
    <row r="11">
      <c r="A11" s="6" t="inlineStr">
        <is>
          <t>Low</t>
        </is>
      </c>
      <c r="B11" s="11">
        <f>MIN(B5,C5,B7,B8)</f>
        <v/>
      </c>
    </row>
    <row r="12">
      <c r="A12" s="6" t="inlineStr">
        <is>
          <t>High</t>
        </is>
      </c>
      <c r="B12" s="11">
        <f>MAX(B5,C5,B7,B8)</f>
        <v/>
      </c>
    </row>
    <row r="13">
      <c r="A13" s="6" t="inlineStr">
        <is>
          <t>Spread across the published reads</t>
        </is>
      </c>
      <c r="B13" s="11">
        <f>B12-B11</f>
        <v/>
      </c>
    </row>
    <row r="14">
      <c r="A14" s="6" t="inlineStr">
        <is>
          <t>Spot price, 3 September 2026</t>
        </is>
      </c>
      <c r="B14" s="12" t="n">
        <v>14.41</v>
      </c>
    </row>
    <row r="15">
      <c r="A15" s="6" t="inlineStr">
        <is>
          <t>Shares outstanding</t>
        </is>
      </c>
      <c r="B15" s="13" t="n">
        <v>1986578999</v>
      </c>
    </row>
    <row r="16">
      <c r="A16" s="6" t="inlineStr">
        <is>
          <t>Market capitalisation (EGP m)</t>
        </is>
      </c>
      <c r="B16" s="14">
        <f>B14*B15/1000000</f>
        <v/>
      </c>
    </row>
    <row r="18">
      <c r="A18" s="10" t="inlineStr">
        <is>
          <t>THE CONTESTED JUDGEMENT — BOTH WAYS, NEVER AVERAGED</t>
        </is>
      </c>
    </row>
    <row r="19">
      <c r="A19" s="6" t="inlineStr">
        <is>
          <t>Is the ANNA capital programme carried through, or stopped?</t>
        </is>
      </c>
    </row>
    <row r="20">
      <c r="A20" s="6" t="inlineStr">
        <is>
          <t>Carried through (EGP/share)</t>
        </is>
      </c>
      <c r="B20" s="11">
        <f>B5</f>
        <v/>
      </c>
    </row>
    <row r="21">
      <c r="A21" s="6" t="inlineStr">
        <is>
          <t>Stopped (EGP/share)</t>
        </is>
      </c>
      <c r="B21" s="11">
        <f>C5</f>
        <v/>
      </c>
    </row>
    <row r="22">
      <c r="A22" s="6" t="inlineStr">
        <is>
          <t>The gap (EGP/share)</t>
        </is>
      </c>
      <c r="B22" s="11">
        <f>B21-B20</f>
        <v/>
      </c>
    </row>
    <row r="23">
      <c r="A23" s="6" t="inlineStr">
        <is>
          <t>The gap (EGP m of equity)</t>
        </is>
      </c>
      <c r="B23" s="14">
        <f>B22*$B$15/1000000</f>
        <v/>
      </c>
    </row>
    <row r="25">
      <c r="A25" s="6" t="inlineStr">
        <is>
          <t>Discount rate implied by the traded price (flat, nominal)</t>
        </is>
      </c>
      <c r="B25" s="15" t="n">
        <v>0.1096361607961464</v>
      </c>
    </row>
    <row r="26">
      <c r="A26" s="6" t="inlineStr">
        <is>
          <t>Sovereign ten-year yield the same day, for comparison</t>
        </is>
      </c>
      <c r="B26" s="15" t="n">
        <v>0.23</v>
      </c>
    </row>
    <row r="27">
      <c r="A27" s="6" t="inlineStr">
        <is>
          <t>Cost of capital built in this model, year one</t>
        </is>
      </c>
      <c r="B27" s="16">
        <f>'Assumptions'!C110</f>
        <v/>
      </c>
    </row>
    <row r="28">
      <c r="A28" s="6" t="inlineStr">
        <is>
          <t>Cost of capital on the RATING premium basis, year one — the published alternative</t>
        </is>
      </c>
      <c r="B28" s="16">
        <f>'Assumptions'!C108*'Assumptions'!C99+'Assumptions'!C109*'Assumptions'!C106*(1-'Assumptions'!C107)</f>
        <v/>
      </c>
    </row>
    <row r="29">
      <c r="A29" s="17" t="inlineStr">
        <is>
          <t>Both premium bases are published and neither is mixed with the other's risk-free rate.</t>
        </is>
      </c>
    </row>
    <row r="31" ht="26" customHeight="1">
      <c r="A31" s="18" t="inlineStr">
        <is>
          <t>Terminal value as a share of enterprise value is reported beside the cash-flow lens on the DCF sheet, in both columns, because on this company it is the number that decides the answer.</t>
        </is>
      </c>
    </row>
    <row r="33">
      <c r="A33" s="10" t="inlineStr">
        <is>
          <t>THE ANSWER — TWO BRANCHES, PUBLISHED SIDE BY SIDE AND NEVER AVERAGED</t>
        </is>
      </c>
    </row>
    <row r="34">
      <c r="A34" s="6" t="inlineStr">
        <is>
          <t>Cash-flow lens — ANNA programme CARRIED THROUGH (EGP/share)</t>
        </is>
      </c>
      <c r="B34" s="11">
        <f>B5</f>
        <v/>
      </c>
    </row>
    <row r="35">
      <c r="A35" s="6" t="inlineStr">
        <is>
          <t>Against spot</t>
        </is>
      </c>
      <c r="B35" s="8">
        <f>B34/$B$14-1</f>
        <v/>
      </c>
    </row>
    <row r="36">
      <c r="A36" s="6" t="inlineStr">
        <is>
          <t>Cash-flow lens — ANNA programme STOPPED (EGP/share)</t>
        </is>
      </c>
      <c r="B36" s="12" t="n">
        <v>5.900148689005042</v>
      </c>
    </row>
    <row r="37">
      <c r="A37" s="6" t="inlineStr">
        <is>
          <t>Against spot</t>
        </is>
      </c>
      <c r="B37" s="8">
        <f>B36/$B$14-1</f>
        <v/>
      </c>
    </row>
    <row r="38">
      <c r="A38" s="6" t="inlineStr">
        <is>
          <t>RETIRED — the 45/20/20/15 weighted blend, published unused</t>
        </is>
      </c>
      <c r="B38" s="12" t="n">
        <v>4.756234842977872</v>
      </c>
    </row>
    <row r="39">
      <c r="A39" s="6" t="inlineStr">
        <is>
          <t>Why it is retired</t>
        </is>
      </c>
      <c r="B39" s="6" t="inlineStr">
        <is>
          <t>the weights were typed and had never cleared an out-of-sample test</t>
        </is>
      </c>
    </row>
    <row r="40">
      <c r="A40" s="17" t="inlineStr">
        <is>
          <t>The judgement is BINARY and its two answers straddle the interesting range, so an average would describe a half-built plant — a world nobody is proposing and the company is not in. Both branches are published; neither is weighted into the other. Bear and full are the field's floor and ceiling.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1" t="inlineStr">
        <is>
          <t>FUNDAMENTAL VALUATION — THE FOUR LENSES, ONE FIELD</t>
        </is>
      </c>
    </row>
    <row r="2" ht="30" customHeight="1">
      <c r="A2" s="4" t="inlineStr">
        <is>
          <t>The cash-flow lens is primary; the other three test it from directions it cannot test itself.</t>
        </is>
      </c>
    </row>
    <row r="4">
      <c r="A4" s="5" t="inlineStr">
        <is>
          <t>Lens 2 — book value and sustainable return</t>
        </is>
      </c>
      <c r="B4" s="5" t="inlineStr">
        <is>
          <t>Value</t>
        </is>
      </c>
      <c r="C4" s="5" t="inlineStr">
        <is>
          <t>Derivation</t>
        </is>
      </c>
    </row>
    <row r="5" ht="14" customHeight="1">
      <c r="A5" s="6" t="inlineStr">
        <is>
          <t>Book equity, 31 March 2026 (EGP m)</t>
        </is>
      </c>
      <c r="B5" s="13" t="n">
        <v>16206.086</v>
      </c>
      <c r="C5" s="9" t="inlineStr">
        <is>
          <t>Paid-in capital plus reserves, as reported</t>
        </is>
      </c>
    </row>
    <row r="6" ht="14" customHeight="1">
      <c r="A6" s="6" t="inlineStr">
        <is>
          <t>Book value per share (EGP)</t>
        </is>
      </c>
      <c r="B6" s="11">
        <f>B5*1000000/'Assumptions'!C6</f>
        <v/>
      </c>
      <c r="C6" s="9" t="inlineStr"/>
    </row>
    <row r="7" ht="14" customHeight="1">
      <c r="A7" s="6" t="inlineStr">
        <is>
          <t>Underlying profit FY2023/24 (EGP m)</t>
        </is>
      </c>
      <c r="B7" s="13" t="n">
        <v>503.3610000000001</v>
      </c>
      <c r="C7" s="9" t="inlineStr">
        <is>
          <t>Reported profit less the one-off investment-property revaluation gain</t>
        </is>
      </c>
    </row>
    <row r="8" ht="14" customHeight="1">
      <c r="A8" s="6" t="inlineStr">
        <is>
          <t>Underlying profit FY2024/25 (EGP m)</t>
        </is>
      </c>
      <c r="B8" s="13" t="n">
        <v>986.9640000000001</v>
      </c>
      <c r="C8" s="9" t="inlineStr">
        <is>
          <t>As reported</t>
        </is>
      </c>
    </row>
    <row r="9" ht="14" customHeight="1">
      <c r="A9" s="6" t="inlineStr">
        <is>
          <t>Opening equity FY2023/24 (EGP m)</t>
        </is>
      </c>
      <c r="B9" s="13" t="n">
        <v>7249.581</v>
      </c>
      <c r="C9" s="9" t="inlineStr">
        <is>
          <t>Prior-year closing equity</t>
        </is>
      </c>
    </row>
    <row r="10" ht="14" customHeight="1">
      <c r="A10" s="6" t="inlineStr">
        <is>
          <t>Opening equity FY2024/25 (EGP m)</t>
        </is>
      </c>
      <c r="B10" s="13" t="n">
        <v>14560.104</v>
      </c>
      <c r="C10" s="9" t="inlineStr">
        <is>
          <t>Prior-year closing equity</t>
        </is>
      </c>
    </row>
    <row r="11" ht="14" customHeight="1">
      <c r="A11" s="6" t="inlineStr">
        <is>
          <t>Return on equity FY2023/24</t>
        </is>
      </c>
      <c r="B11" s="8">
        <f>B7/B9</f>
        <v/>
      </c>
      <c r="C11" s="9" t="inlineStr"/>
    </row>
    <row r="12" ht="14" customHeight="1">
      <c r="A12" s="6" t="inlineStr">
        <is>
          <t>Return on equity FY2024/25</t>
        </is>
      </c>
      <c r="B12" s="8">
        <f>B8/B10</f>
        <v/>
      </c>
      <c r="C12" s="9" t="inlineStr"/>
    </row>
    <row r="13" ht="14" customHeight="1">
      <c r="A13" s="6" t="inlineStr">
        <is>
          <t>Sustainable return on equity</t>
        </is>
      </c>
      <c r="B13" s="8">
        <f>(B11+B12)/2</f>
        <v/>
      </c>
      <c r="C13" s="9" t="inlineStr">
        <is>
          <t>The two-year average on underlying profit</t>
        </is>
      </c>
    </row>
    <row r="14" ht="14" customHeight="1">
      <c r="A14" s="6" t="inlineStr">
        <is>
          <t>Cost of equity</t>
        </is>
      </c>
      <c r="B14" s="16">
        <f>'Assumptions'!C100</f>
        <v/>
      </c>
      <c r="C14" s="9" t="inlineStr">
        <is>
          <t>Built on the Assumptions sheet</t>
        </is>
      </c>
    </row>
    <row r="15" ht="14" customHeight="1">
      <c r="A15" s="6" t="inlineStr">
        <is>
          <t>Terminal growth</t>
        </is>
      </c>
      <c r="B15" s="8">
        <f>'Assumptions'!C117</f>
        <v/>
      </c>
      <c r="C15" s="9" t="inlineStr"/>
    </row>
    <row r="16" ht="24" customHeight="1">
      <c r="A16" s="6" t="inlineStr">
        <is>
          <t>Justified price-to-book, before flooring</t>
        </is>
      </c>
      <c r="B16" s="19">
        <f>(B13-B15)/(B14-B15)</f>
        <v/>
      </c>
      <c r="C16" s="9" t="inlineStr">
        <is>
          <t>The sustainable return does not cover even nominal maintenance growth, so this is NEGATIVE. That is the finding, not a rounding artefact.</t>
        </is>
      </c>
    </row>
    <row r="17" ht="14" customHeight="1">
      <c r="A17" s="6" t="inlineStr">
        <is>
          <t>Justified price-to-book</t>
        </is>
      </c>
      <c r="B17" s="11">
        <f>MAX(0,B16)</f>
        <v/>
      </c>
      <c r="C17" s="9" t="inlineStr">
        <is>
          <t>Floored at zero</t>
        </is>
      </c>
    </row>
    <row r="18" ht="14" customHeight="1">
      <c r="A18" s="6" t="inlineStr">
        <is>
          <t>Value per share on this lens (EGP)</t>
        </is>
      </c>
      <c r="B18" s="11">
        <f>B17*B6</f>
        <v/>
      </c>
      <c r="C18" s="9" t="inlineStr"/>
    </row>
    <row r="19" ht="14" customHeight="1">
      <c r="A19" s="6" t="inlineStr">
        <is>
          <t>Price-to-book the market pays</t>
        </is>
      </c>
      <c r="B19" s="11">
        <f>B14*0+'Assumptions'!C7*'Assumptions'!C6/1000000/B5</f>
        <v/>
      </c>
      <c r="C19" s="9" t="inlineStr">
        <is>
          <t>For comparison</t>
        </is>
      </c>
    </row>
    <row r="21">
      <c r="A21" s="10" t="inlineStr">
        <is>
          <t>WHAT THE FOUR LENSES SAY TOGETHER</t>
        </is>
      </c>
    </row>
    <row r="22">
      <c r="A22" s="5" t="inlineStr">
        <is>
          <t>Lens</t>
        </is>
      </c>
      <c r="B22" s="5" t="inlineStr">
        <is>
          <t>EGP per share</t>
        </is>
      </c>
      <c r="C22" s="5" t="inlineStr">
        <is>
          <t>Note</t>
        </is>
      </c>
    </row>
    <row r="23">
      <c r="A23" s="6" t="inlineStr">
        <is>
          <t>Cash flow — programme carried through</t>
        </is>
      </c>
      <c r="B23" s="12" t="n">
        <v>1.785377453868092</v>
      </c>
    </row>
    <row r="24">
      <c r="A24" s="6" t="inlineStr">
        <is>
          <t>Cash flow — programme stopped</t>
        </is>
      </c>
      <c r="B24" s="12" t="n">
        <v>5.900148689005042</v>
      </c>
    </row>
    <row r="25">
      <c r="A25" s="6" t="inlineStr">
        <is>
          <t>Book value, disclosed (a floor, never weighted)</t>
        </is>
      </c>
      <c r="B25" s="12" t="n">
        <v>8.15778582586335</v>
      </c>
    </row>
    <row r="26">
      <c r="A26" s="6" t="inlineStr">
        <is>
          <t>Relative multiples</t>
        </is>
      </c>
      <c r="B26" s="12" t="n">
        <v>15.4744443192992</v>
      </c>
    </row>
    <row r="27">
      <c r="A27" s="6" t="inlineStr">
        <is>
          <t>Normalised earnings power</t>
        </is>
      </c>
      <c r="B27" s="12" t="n">
        <v>4.289630624386951</v>
      </c>
    </row>
    <row r="29">
      <c r="A29" s="6" t="inlineStr">
        <is>
          <t>The field, low to high</t>
        </is>
      </c>
      <c r="B29" s="11">
        <f>MAX(0,MIN(B23:B27))</f>
        <v/>
      </c>
      <c r="C29" s="11">
        <f>MAX(B23:B27)</f>
        <v/>
      </c>
    </row>
    <row r="31" ht="52" customHeight="1">
      <c r="A31" s="18"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4">
      <c r="A4" s="5" t="inlineStr">
        <is>
          <t>Driver</t>
        </is>
      </c>
      <c r="B4" s="5" t="inlineStr">
        <is>
          <t>Unit</t>
        </is>
      </c>
      <c r="C4" s="5" t="inlineStr">
        <is>
          <t>Value</t>
        </is>
      </c>
      <c r="D4" s="5" t="inlineStr">
        <is>
          <t>Source</t>
        </is>
      </c>
    </row>
    <row r="5">
      <c r="A5" s="10" t="inlineStr">
        <is>
          <t>THE CAPITALISATION</t>
        </is>
      </c>
    </row>
    <row r="6" ht="24" customHeight="1">
      <c r="A6" s="6" t="inlineStr">
        <is>
          <t>Shares outstanding</t>
        </is>
      </c>
      <c r="B6" s="6" t="inlineStr">
        <is>
          <t>shares</t>
        </is>
      </c>
      <c r="C6" s="13" t="n">
        <v>1986578999</v>
      </c>
      <c r="D6" s="9" t="inlineStr">
        <is>
          <t>Audited financial statements, year ended 30 June 2025 (Central Auditing Organization, report dated 23 September 2025), note 14 share capital</t>
        </is>
      </c>
    </row>
    <row r="7" ht="24" customHeight="1">
      <c r="A7" s="6" t="inlineStr">
        <is>
          <t>Anchor price</t>
        </is>
      </c>
      <c r="B7" s="6" t="inlineStr">
        <is>
          <t>EGP</t>
        </is>
      </c>
      <c r="C7" s="12" t="n">
        <v>14.41</v>
      </c>
      <c r="D7" s="9" t="inlineStr">
        <is>
          <t>EGCH closing price on the Egyptian Exchange, 3 September 2026. The previous edition was struck on the 6 August close of 13.98</t>
        </is>
      </c>
    </row>
    <row r="8" ht="24" customHeight="1">
      <c r="A8" s="6" t="inlineStr">
        <is>
          <t>Exchange rate, FY2024/25 average</t>
        </is>
      </c>
      <c r="B8" s="6" t="inlineStr">
        <is>
          <t>EGP/US$</t>
        </is>
      </c>
      <c r="C8" s="12" t="n">
        <v>49</v>
      </c>
      <c r="D8" s="9" t="inlineStr">
        <is>
          <t>Constructed: the rate that reconciles note 20 export revenue to the disclosed export price and the implied export tonnage</t>
        </is>
      </c>
    </row>
    <row r="9" ht="14" customHeight="1">
      <c r="A9" s="6" t="inlineStr">
        <is>
          <t>Normalised-earnings multiple, low</t>
        </is>
      </c>
      <c r="B9" s="6" t="inlineStr">
        <is>
          <t>x</t>
        </is>
      </c>
      <c r="C9" s="20" t="n">
        <v>8</v>
      </c>
      <c r="D9" s="9" t="inlineStr">
        <is>
          <t>Multiple applied to mid-cycle profit after tax, low end</t>
        </is>
      </c>
    </row>
    <row r="10" ht="14" customHeight="1">
      <c r="A10" s="6" t="inlineStr">
        <is>
          <t>Normalised-earnings multiple, central</t>
        </is>
      </c>
      <c r="B10" s="6" t="inlineStr">
        <is>
          <t>x</t>
        </is>
      </c>
      <c r="C10" s="20" t="n">
        <v>10</v>
      </c>
      <c r="D10" s="9" t="inlineStr">
        <is>
          <t>Multiple applied to mid-cycle profit after tax, central</t>
        </is>
      </c>
    </row>
    <row r="11" ht="14" customHeight="1">
      <c r="A11" s="6" t="inlineStr">
        <is>
          <t>Normalised-earnings multiple, high</t>
        </is>
      </c>
      <c r="B11" s="6" t="inlineStr">
        <is>
          <t>x</t>
        </is>
      </c>
      <c r="C11" s="20" t="n">
        <v>12</v>
      </c>
      <c r="D11" s="9" t="inlineStr">
        <is>
          <t>Multiple applied to mid-cycle profit after tax, high end</t>
        </is>
      </c>
    </row>
    <row r="12">
      <c r="A12" s="10" t="inlineStr">
        <is>
          <t>CAPACITY AND VOLUME</t>
        </is>
      </c>
    </row>
    <row r="13" ht="14" customHeight="1">
      <c r="A13" s="6" t="inlineStr">
        <is>
          <t>Urea design capacity</t>
        </is>
      </c>
      <c r="B13" s="6" t="inlineStr">
        <is>
          <t>tonnes/year</t>
        </is>
      </c>
      <c r="C13" s="13" t="n">
        <v>574875</v>
      </c>
      <c r="D13" s="9" t="inlineStr">
        <is>
          <t>Constructed: 1,575 t/day contractual plate times 365 days</t>
        </is>
      </c>
    </row>
    <row r="14" ht="24" customHeight="1">
      <c r="A14" s="6" t="inlineStr">
        <is>
          <t>Ammonia design capacity</t>
        </is>
      </c>
      <c r="B14" s="6" t="inlineStr">
        <is>
          <t>tonnes/year</t>
        </is>
      </c>
      <c r="C14" s="13" t="n">
        <v>438000</v>
      </c>
      <c r="D14" s="9" t="inlineStr">
        <is>
          <t>Audited financial statements, year ended 30 June 2025 (Central Auditing Organization, report dated 23 September 2025), note 28</t>
        </is>
      </c>
    </row>
    <row r="15" ht="24" customHeight="1">
      <c r="A15" s="6" t="inlineStr">
        <is>
          <t>Ammonia per tonne of urea</t>
        </is>
      </c>
      <c r="B15" s="6" t="inlineStr">
        <is>
          <t>tonnes</t>
        </is>
      </c>
      <c r="C15" s="21" t="n">
        <v>0.619889556570605</v>
      </c>
      <c r="D15" s="9" t="inlineStr">
        <is>
          <t>Constructed: FY2024/25 ammonia output divided by FY2024/25 urea output, both from the auditor's product cost table</t>
        </is>
      </c>
    </row>
    <row r="16" ht="36" customHeight="1">
      <c r="A16" s="6" t="inlineStr">
        <is>
          <t>Urea capacity utilisation — FY2026/27</t>
        </is>
      </c>
      <c r="B16" s="6" t="inlineStr">
        <is>
          <t>% of plate</t>
        </is>
      </c>
      <c r="C16" s="15" t="n">
        <v>0.913</v>
      </c>
      <c r="D16" s="9" t="inlineStr">
        <is>
          <t>Constructed: utilisation path. Audited output ran 586.4kt in FY2022/23 (2% above plate), 521.9kt in FY2023/24 and 513.4kt in FY2024/25; the path never returns to plate because the summer gas curtailment is structural.</t>
        </is>
      </c>
    </row>
    <row r="17" ht="36" customHeight="1">
      <c r="A17" s="6" t="inlineStr">
        <is>
          <t>Urea capacity utilisation — FY2027/28</t>
        </is>
      </c>
      <c r="B17" s="6" t="inlineStr">
        <is>
          <t>% of plate</t>
        </is>
      </c>
      <c r="C17" s="15" t="n">
        <v>0.922</v>
      </c>
      <c r="D17" s="9" t="inlineStr">
        <is>
          <t>Constructed: utilisation path. Audited output ran 586.4kt in FY2022/23 (2% above plate), 521.9kt in FY2023/24 and 513.4kt in FY2024/25; the path never returns to plate because the summer gas curtailment is structural.</t>
        </is>
      </c>
    </row>
    <row r="18" ht="36" customHeight="1">
      <c r="A18" s="6" t="inlineStr">
        <is>
          <t>Urea capacity utilisation — FY2028/29</t>
        </is>
      </c>
      <c r="B18" s="6" t="inlineStr">
        <is>
          <t>% of plate</t>
        </is>
      </c>
      <c r="C18" s="15" t="n">
        <v>0.93</v>
      </c>
      <c r="D18" s="9" t="inlineStr">
        <is>
          <t>Constructed: utilisation path. Audited output ran 586.4kt in FY2022/23 (2% above plate), 521.9kt in FY2023/24 and 513.4kt in FY2024/25; the path never returns to plate because the summer gas curtailment is structural.</t>
        </is>
      </c>
    </row>
    <row r="19" ht="36" customHeight="1">
      <c r="A19" s="6" t="inlineStr">
        <is>
          <t>Urea capacity utilisation — FY2029/30</t>
        </is>
      </c>
      <c r="B19" s="6" t="inlineStr">
        <is>
          <t>% of plate</t>
        </is>
      </c>
      <c r="C19" s="15" t="n">
        <v>0.9389999999999999</v>
      </c>
      <c r="D19" s="9" t="inlineStr">
        <is>
          <t>Constructed: utilisation path. Audited output ran 586.4kt in FY2022/23 (2% above plate), 521.9kt in FY2023/24 and 513.4kt in FY2024/25; the path never returns to plate because the summer gas curtailment is structural.</t>
        </is>
      </c>
    </row>
    <row r="20" ht="36" customHeight="1">
      <c r="A20" s="6" t="inlineStr">
        <is>
          <t>Urea capacity utilisation — FY2030/31</t>
        </is>
      </c>
      <c r="B20" s="6" t="inlineStr">
        <is>
          <t>% of plate</t>
        </is>
      </c>
      <c r="C20" s="15" t="n">
        <v>0.948</v>
      </c>
      <c r="D20" s="9" t="inlineStr">
        <is>
          <t>Constructed: utilisation path. Audited output ran 586.4kt in FY2022/23 (2% above plate), 521.9kt in FY2023/24 and 513.4kt in FY2024/25; the path never returns to plate because the summer gas curtailment is structural.</t>
        </is>
      </c>
    </row>
    <row r="21" ht="24" customHeight="1">
      <c r="A21" s="6" t="inlineStr">
        <is>
          <t>Subsidised deliveries — FY2026/27</t>
        </is>
      </c>
      <c r="B21" s="6" t="inlineStr">
        <is>
          <t>tonnes</t>
        </is>
      </c>
      <c r="C21" s="13" t="n">
        <v>155000</v>
      </c>
      <c r="D21" s="9" t="inlineStr">
        <is>
          <t>Constructed: subsidised delivery path. The company met 147kt of a 322kt requirement in the fourteen months to August 2025, a 46% compliance rate the forecast does not assume away.</t>
        </is>
      </c>
    </row>
    <row r="22" ht="24" customHeight="1">
      <c r="A22" s="6" t="inlineStr">
        <is>
          <t>Subsidised deliveries — FY2027/28</t>
        </is>
      </c>
      <c r="B22" s="6" t="inlineStr">
        <is>
          <t>tonnes</t>
        </is>
      </c>
      <c r="C22" s="13" t="n">
        <v>160000</v>
      </c>
      <c r="D22" s="9" t="inlineStr">
        <is>
          <t>Constructed: subsidised delivery path. The company met 147kt of a 322kt requirement in the fourteen months to August 2025, a 46% compliance rate the forecast does not assume away.</t>
        </is>
      </c>
    </row>
    <row r="23" ht="24" customHeight="1">
      <c r="A23" s="6" t="inlineStr">
        <is>
          <t>Subsidised deliveries — FY2028/29</t>
        </is>
      </c>
      <c r="B23" s="6" t="inlineStr">
        <is>
          <t>tonnes</t>
        </is>
      </c>
      <c r="C23" s="13" t="n">
        <v>165000</v>
      </c>
      <c r="D23" s="9" t="inlineStr">
        <is>
          <t>Constructed: subsidised delivery path. The company met 147kt of a 322kt requirement in the fourteen months to August 2025, a 46% compliance rate the forecast does not assume away.</t>
        </is>
      </c>
    </row>
    <row r="24" ht="24" customHeight="1">
      <c r="A24" s="6" t="inlineStr">
        <is>
          <t>Subsidised deliveries — FY2029/30</t>
        </is>
      </c>
      <c r="B24" s="6" t="inlineStr">
        <is>
          <t>tonnes</t>
        </is>
      </c>
      <c r="C24" s="13" t="n">
        <v>170000</v>
      </c>
      <c r="D24" s="9" t="inlineStr">
        <is>
          <t>Constructed: subsidised delivery path. The company met 147kt of a 322kt requirement in the fourteen months to August 2025, a 46% compliance rate the forecast does not assume away.</t>
        </is>
      </c>
    </row>
    <row r="25" ht="24" customHeight="1">
      <c r="A25" s="6" t="inlineStr">
        <is>
          <t>Subsidised deliveries — FY2030/31</t>
        </is>
      </c>
      <c r="B25" s="6" t="inlineStr">
        <is>
          <t>tonnes</t>
        </is>
      </c>
      <c r="C25" s="13" t="n">
        <v>175000</v>
      </c>
      <c r="D25" s="9" t="inlineStr">
        <is>
          <t>Constructed: subsidised delivery path. The company met 147kt of a 322kt requirement in the fourteen months to August 2025, a 46% compliance rate the forecast does not assume away.</t>
        </is>
      </c>
    </row>
    <row r="26" ht="14" customHeight="1">
      <c r="A26" s="6" t="inlineStr">
        <is>
          <t>Local free-market volume — FY2026/27</t>
        </is>
      </c>
      <c r="B26" s="6" t="inlineStr">
        <is>
          <t>tonnes</t>
        </is>
      </c>
      <c r="C26" s="13" t="n">
        <v>40000</v>
      </c>
      <c r="D26" s="9" t="inlineStr">
        <is>
          <t>Constructed: local free-market volume path from the 37.1kt implied for FY2024/25.</t>
        </is>
      </c>
    </row>
    <row r="27" ht="14" customHeight="1">
      <c r="A27" s="6" t="inlineStr">
        <is>
          <t>Local free-market volume — FY2027/28</t>
        </is>
      </c>
      <c r="B27" s="6" t="inlineStr">
        <is>
          <t>tonnes</t>
        </is>
      </c>
      <c r="C27" s="13" t="n">
        <v>41000</v>
      </c>
      <c r="D27" s="9" t="inlineStr">
        <is>
          <t>Constructed: local free-market volume path from the 37.1kt implied for FY2024/25.</t>
        </is>
      </c>
    </row>
    <row r="28" ht="14" customHeight="1">
      <c r="A28" s="6" t="inlineStr">
        <is>
          <t>Local free-market volume — FY2028/29</t>
        </is>
      </c>
      <c r="B28" s="6" t="inlineStr">
        <is>
          <t>tonnes</t>
        </is>
      </c>
      <c r="C28" s="13" t="n">
        <v>42000</v>
      </c>
      <c r="D28" s="9" t="inlineStr">
        <is>
          <t>Constructed: local free-market volume path from the 37.1kt implied for FY2024/25.</t>
        </is>
      </c>
    </row>
    <row r="29" ht="14" customHeight="1">
      <c r="A29" s="6" t="inlineStr">
        <is>
          <t>Local free-market volume — FY2029/30</t>
        </is>
      </c>
      <c r="B29" s="6" t="inlineStr">
        <is>
          <t>tonnes</t>
        </is>
      </c>
      <c r="C29" s="13" t="n">
        <v>43000</v>
      </c>
      <c r="D29" s="9" t="inlineStr">
        <is>
          <t>Constructed: local free-market volume path from the 37.1kt implied for FY2024/25.</t>
        </is>
      </c>
    </row>
    <row r="30" ht="14" customHeight="1">
      <c r="A30" s="6" t="inlineStr">
        <is>
          <t>Local free-market volume — FY2030/31</t>
        </is>
      </c>
      <c r="B30" s="6" t="inlineStr">
        <is>
          <t>tonnes</t>
        </is>
      </c>
      <c r="C30" s="13" t="n">
        <v>44000</v>
      </c>
      <c r="D30" s="9" t="inlineStr">
        <is>
          <t>Constructed: local free-market volume path from the 37.1kt implied for FY2024/25.</t>
        </is>
      </c>
    </row>
    <row r="32">
      <c r="A32" s="10" t="inlineStr">
        <is>
          <t>PRICES</t>
        </is>
      </c>
    </row>
    <row r="33" ht="36" customHeight="1">
      <c r="A33" s="6" t="inlineStr">
        <is>
          <t>Export urea price — FY2026/27</t>
        </is>
      </c>
      <c r="B33" s="6" t="inlineStr">
        <is>
          <t>US$/tonne</t>
        </is>
      </c>
      <c r="C33" s="20" t="n">
        <v>530</v>
      </c>
      <c r="D33" s="9"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4" ht="36" customHeight="1">
      <c r="A34" s="6" t="inlineStr">
        <is>
          <t>Export urea price — FY2027/28</t>
        </is>
      </c>
      <c r="B34" s="6" t="inlineStr">
        <is>
          <t>US$/tonne</t>
        </is>
      </c>
      <c r="C34" s="20" t="n">
        <v>530</v>
      </c>
      <c r="D34" s="9"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5" ht="36" customHeight="1">
      <c r="A35" s="6" t="inlineStr">
        <is>
          <t>Export urea price — FY2028/29</t>
        </is>
      </c>
      <c r="B35" s="6" t="inlineStr">
        <is>
          <t>US$/tonne</t>
        </is>
      </c>
      <c r="C35" s="20" t="n">
        <v>530</v>
      </c>
      <c r="D35" s="9"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6" ht="36" customHeight="1">
      <c r="A36" s="6" t="inlineStr">
        <is>
          <t>Export urea price — FY2029/30</t>
        </is>
      </c>
      <c r="B36" s="6" t="inlineStr">
        <is>
          <t>US$/tonne</t>
        </is>
      </c>
      <c r="C36" s="20" t="n">
        <v>530</v>
      </c>
      <c r="D36" s="9"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7" ht="36" customHeight="1">
      <c r="A37" s="6" t="inlineStr">
        <is>
          <t>Export urea price — FY2030/31</t>
        </is>
      </c>
      <c r="B37" s="6" t="inlineStr">
        <is>
          <t>US$/tonne</t>
        </is>
      </c>
      <c r="C37" s="20" t="n">
        <v>530</v>
      </c>
      <c r="D37" s="9"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8" ht="14" customHeight="1">
      <c r="A38" s="6" t="inlineStr">
        <is>
          <t>Egyptian pounds per US dollar, spot</t>
        </is>
      </c>
      <c r="B38" s="6" t="inlineStr">
        <is>
          <t>EGP/US$</t>
        </is>
      </c>
      <c r="C38" s="12" t="n">
        <v>49.79</v>
      </c>
      <c r="D38" s="9" t="inlineStr">
        <is>
          <t>Market quote</t>
        </is>
      </c>
    </row>
    <row r="39" ht="14" customHeight="1">
      <c r="A39" s="6" t="inlineStr">
        <is>
          <t>Long-run United States inflation</t>
        </is>
      </c>
      <c r="B39" s="6" t="inlineStr">
        <is>
          <t>%</t>
        </is>
      </c>
      <c r="C39" s="15" t="n">
        <v>0.024</v>
      </c>
      <c r="D39" s="9" t="inlineStr">
        <is>
          <t>Long-run United States inflation, the other leg of the purchasing-power wedge</t>
        </is>
      </c>
    </row>
    <row r="40" ht="24" customHeight="1">
      <c r="A40" s="6" t="inlineStr">
        <is>
          <t>Currency wedge — FY2026/27</t>
        </is>
      </c>
      <c r="B40" s="6" t="inlineStr">
        <is>
          <t>%</t>
        </is>
      </c>
      <c r="C40" s="16">
        <f>(1+'Assumptions'!C84)/(1+'Assumptions'!C39)-1</f>
        <v/>
      </c>
      <c r="D40" s="9" t="inlineStr">
        <is>
          <t>Derived: the relative-purchasing-power depreciation the inflation path implies against long-run US inflation, the SAME wedge that carries the dollar debt in that year</t>
        </is>
      </c>
    </row>
    <row r="41" ht="14" customHeight="1">
      <c r="A41" s="6" t="inlineStr">
        <is>
          <t>Egyptian pounds per US dollar — FY2026/27</t>
        </is>
      </c>
      <c r="B41" s="6" t="inlineStr">
        <is>
          <t>EGP/US$</t>
        </is>
      </c>
      <c r="C41" s="11">
        <f>'Assumptions'!C38*(1+'Assumptions'!C40)</f>
        <v/>
      </c>
      <c r="D41" s="9" t="inlineStr">
        <is>
          <t>Derived: the prior year's rate carried on that year's wedge</t>
        </is>
      </c>
    </row>
    <row r="42" ht="24" customHeight="1">
      <c r="A42" s="6" t="inlineStr">
        <is>
          <t>Currency wedge — FY2027/28</t>
        </is>
      </c>
      <c r="B42" s="6" t="inlineStr">
        <is>
          <t>%</t>
        </is>
      </c>
      <c r="C42" s="16">
        <f>(1+'Assumptions'!C85)/(1+'Assumptions'!C39)-1</f>
        <v/>
      </c>
      <c r="D42" s="9" t="inlineStr">
        <is>
          <t>Derived: the relative-purchasing-power depreciation the inflation path implies against long-run US inflation, the SAME wedge that carries the dollar debt in that year</t>
        </is>
      </c>
    </row>
    <row r="43" ht="14" customHeight="1">
      <c r="A43" s="6" t="inlineStr">
        <is>
          <t>Egyptian pounds per US dollar — FY2027/28</t>
        </is>
      </c>
      <c r="B43" s="6" t="inlineStr">
        <is>
          <t>EGP/US$</t>
        </is>
      </c>
      <c r="C43" s="11">
        <f>'Assumptions'!C41*(1+'Assumptions'!C42)</f>
        <v/>
      </c>
      <c r="D43" s="9" t="inlineStr">
        <is>
          <t>Derived: the prior year's rate carried on that year's wedge</t>
        </is>
      </c>
    </row>
    <row r="44" ht="24" customHeight="1">
      <c r="A44" s="6" t="inlineStr">
        <is>
          <t>Currency wedge — FY2028/29</t>
        </is>
      </c>
      <c r="B44" s="6" t="inlineStr">
        <is>
          <t>%</t>
        </is>
      </c>
      <c r="C44" s="16">
        <f>(1+'Assumptions'!C86)/(1+'Assumptions'!C39)-1</f>
        <v/>
      </c>
      <c r="D44" s="9" t="inlineStr">
        <is>
          <t>Derived: the relative-purchasing-power depreciation the inflation path implies against long-run US inflation, the SAME wedge that carries the dollar debt in that year</t>
        </is>
      </c>
    </row>
    <row r="45" ht="14" customHeight="1">
      <c r="A45" s="6" t="inlineStr">
        <is>
          <t>Egyptian pounds per US dollar — FY2028/29</t>
        </is>
      </c>
      <c r="B45" s="6" t="inlineStr">
        <is>
          <t>EGP/US$</t>
        </is>
      </c>
      <c r="C45" s="11">
        <f>'Assumptions'!C43*(1+'Assumptions'!C44)</f>
        <v/>
      </c>
      <c r="D45" s="9" t="inlineStr">
        <is>
          <t>Derived: the prior year's rate carried on that year's wedge</t>
        </is>
      </c>
    </row>
    <row r="46" ht="24" customHeight="1">
      <c r="A46" s="6" t="inlineStr">
        <is>
          <t>Currency wedge — FY2029/30</t>
        </is>
      </c>
      <c r="B46" s="6" t="inlineStr">
        <is>
          <t>%</t>
        </is>
      </c>
      <c r="C46" s="16">
        <f>(1+'Assumptions'!C87)/(1+'Assumptions'!C39)-1</f>
        <v/>
      </c>
      <c r="D46" s="9" t="inlineStr">
        <is>
          <t>Derived: the relative-purchasing-power depreciation the inflation path implies against long-run US inflation, the SAME wedge that carries the dollar debt in that year</t>
        </is>
      </c>
    </row>
    <row r="47" ht="14" customHeight="1">
      <c r="A47" s="6" t="inlineStr">
        <is>
          <t>Egyptian pounds per US dollar — FY2029/30</t>
        </is>
      </c>
      <c r="B47" s="6" t="inlineStr">
        <is>
          <t>EGP/US$</t>
        </is>
      </c>
      <c r="C47" s="11">
        <f>'Assumptions'!C45*(1+'Assumptions'!C46)</f>
        <v/>
      </c>
      <c r="D47" s="9" t="inlineStr">
        <is>
          <t>Derived: the prior year's rate carried on that year's wedge</t>
        </is>
      </c>
    </row>
    <row r="48" ht="24" customHeight="1">
      <c r="A48" s="6" t="inlineStr">
        <is>
          <t>Currency wedge — FY2030/31</t>
        </is>
      </c>
      <c r="B48" s="6" t="inlineStr">
        <is>
          <t>%</t>
        </is>
      </c>
      <c r="C48" s="16">
        <f>(1+'Assumptions'!C88)/(1+'Assumptions'!C39)-1</f>
        <v/>
      </c>
      <c r="D48" s="9" t="inlineStr">
        <is>
          <t>Derived: the relative-purchasing-power depreciation the inflation path implies against long-run US inflation, the SAME wedge that carries the dollar debt in that year</t>
        </is>
      </c>
    </row>
    <row r="49" ht="14" customHeight="1">
      <c r="A49" s="6" t="inlineStr">
        <is>
          <t>Egyptian pounds per US dollar — FY2030/31</t>
        </is>
      </c>
      <c r="B49" s="6" t="inlineStr">
        <is>
          <t>EGP/US$</t>
        </is>
      </c>
      <c r="C49" s="11">
        <f>'Assumptions'!C47*(1+'Assumptions'!C48)</f>
        <v/>
      </c>
      <c r="D49" s="9" t="inlineStr">
        <is>
          <t>Derived: the prior year's rate carried on that year's wedge</t>
        </is>
      </c>
    </row>
    <row r="50" ht="14" customHeight="1">
      <c r="A50" s="6" t="inlineStr">
        <is>
          <t>Export duty</t>
        </is>
      </c>
      <c r="B50" s="6" t="inlineStr">
        <is>
          <t>% of export value</t>
        </is>
      </c>
      <c r="C50" s="15" t="n">
        <v>0.1</v>
      </c>
      <c r="D50" s="9" t="inlineStr">
        <is>
          <t>2026 replacement of the shortfall levy with an ad-valorem duty tied to the global price</t>
        </is>
      </c>
    </row>
    <row r="51" ht="14" customHeight="1">
      <c r="A51" s="6" t="inlineStr">
        <is>
          <t>Subsidised price — FY2026/27</t>
        </is>
      </c>
      <c r="B51" s="6" t="inlineStr">
        <is>
          <t>EGP/tonne</t>
        </is>
      </c>
      <c r="C51" s="13" t="n">
        <v>7526</v>
      </c>
      <c r="D51" s="9" t="inlineStr">
        <is>
          <t>Constructed: administered subsidised price path from the EGP 6,000 cooperative supply price.</t>
        </is>
      </c>
    </row>
    <row r="52" ht="14" customHeight="1">
      <c r="A52" s="6" t="inlineStr">
        <is>
          <t>Subsidised price — FY2027/28</t>
        </is>
      </c>
      <c r="B52" s="6" t="inlineStr">
        <is>
          <t>EGP/tonne</t>
        </is>
      </c>
      <c r="C52" s="13" t="n">
        <v>8429</v>
      </c>
      <c r="D52" s="9" t="inlineStr">
        <is>
          <t>Constructed: administered subsidised price path from the EGP 6,000 cooperative supply price.</t>
        </is>
      </c>
    </row>
    <row r="53" ht="14" customHeight="1">
      <c r="A53" s="6" t="inlineStr">
        <is>
          <t>Subsidised price — FY2028/29</t>
        </is>
      </c>
      <c r="B53" s="6" t="inlineStr">
        <is>
          <t>EGP/tonne</t>
        </is>
      </c>
      <c r="C53" s="13" t="n">
        <v>9272</v>
      </c>
      <c r="D53" s="9" t="inlineStr">
        <is>
          <t>Constructed: administered subsidised price path from the EGP 6,000 cooperative supply price.</t>
        </is>
      </c>
    </row>
    <row r="54" ht="14" customHeight="1">
      <c r="A54" s="6" t="inlineStr">
        <is>
          <t>Subsidised price — FY2029/30</t>
        </is>
      </c>
      <c r="B54" s="6" t="inlineStr">
        <is>
          <t>EGP/tonne</t>
        </is>
      </c>
      <c r="C54" s="13" t="n">
        <v>10106</v>
      </c>
      <c r="D54" s="9" t="inlineStr">
        <is>
          <t>Constructed: administered subsidised price path from the EGP 6,000 cooperative supply price.</t>
        </is>
      </c>
    </row>
    <row r="55" ht="14" customHeight="1">
      <c r="A55" s="6" t="inlineStr">
        <is>
          <t>Subsidised price — FY2030/31</t>
        </is>
      </c>
      <c r="B55" s="6" t="inlineStr">
        <is>
          <t>EGP/tonne</t>
        </is>
      </c>
      <c r="C55" s="13" t="n">
        <v>10915</v>
      </c>
      <c r="D55" s="9" t="inlineStr">
        <is>
          <t>Constructed: administered subsidised price path from the EGP 6,000 cooperative supply price.</t>
        </is>
      </c>
    </row>
    <row r="56" ht="24" customHeight="1">
      <c r="A56" s="6" t="inlineStr">
        <is>
          <t>Local free price as % of export parity</t>
        </is>
      </c>
      <c r="B56" s="6" t="inlineStr">
        <is>
          <t>%</t>
        </is>
      </c>
      <c r="C56" s="15" t="n">
        <v>0.9</v>
      </c>
      <c r="D56" s="9" t="inlineStr">
        <is>
          <t>Constructed: local free-market urea clears at about 90% of export parity, implied by the FY2024/25 note-20 local revenue net of the subsidised and nitrate legs</t>
        </is>
      </c>
    </row>
    <row r="57" ht="24" customHeight="1">
      <c r="A57" s="6" t="inlineStr">
        <is>
          <t>Nitrate volume — FY2026/27</t>
        </is>
      </c>
      <c r="B57" s="6" t="inlineStr">
        <is>
          <t>tonnes</t>
        </is>
      </c>
      <c r="C57" s="13" t="n">
        <v>26000</v>
      </c>
      <c r="D57" s="9" t="inlineStr">
        <is>
          <t>Constructed: nitrate volume path, flat on the FY2024/25 combined granulated and low-density output.</t>
        </is>
      </c>
    </row>
    <row r="58" ht="24" customHeight="1">
      <c r="A58" s="6" t="inlineStr">
        <is>
          <t>Nitrate volume — FY2027/28</t>
        </is>
      </c>
      <c r="B58" s="6" t="inlineStr">
        <is>
          <t>tonnes</t>
        </is>
      </c>
      <c r="C58" s="13" t="n">
        <v>26000</v>
      </c>
      <c r="D58" s="9" t="inlineStr">
        <is>
          <t>Constructed: nitrate volume path, flat on the FY2024/25 combined granulated and low-density output.</t>
        </is>
      </c>
    </row>
    <row r="59" ht="24" customHeight="1">
      <c r="A59" s="6" t="inlineStr">
        <is>
          <t>Nitrate volume — FY2028/29</t>
        </is>
      </c>
      <c r="B59" s="6" t="inlineStr">
        <is>
          <t>tonnes</t>
        </is>
      </c>
      <c r="C59" s="13" t="n">
        <v>26000</v>
      </c>
      <c r="D59" s="9" t="inlineStr">
        <is>
          <t>Constructed: nitrate volume path, flat on the FY2024/25 combined granulated and low-density output.</t>
        </is>
      </c>
    </row>
    <row r="60" ht="24" customHeight="1">
      <c r="A60" s="6" t="inlineStr">
        <is>
          <t>Nitrate volume — FY2029/30</t>
        </is>
      </c>
      <c r="B60" s="6" t="inlineStr">
        <is>
          <t>tonnes</t>
        </is>
      </c>
      <c r="C60" s="13" t="n">
        <v>26000</v>
      </c>
      <c r="D60" s="9" t="inlineStr">
        <is>
          <t>Constructed: nitrate volume path, flat on the FY2024/25 combined granulated and low-density output.</t>
        </is>
      </c>
    </row>
    <row r="61" ht="24" customHeight="1">
      <c r="A61" s="6" t="inlineStr">
        <is>
          <t>Nitrate volume — FY2030/31</t>
        </is>
      </c>
      <c r="B61" s="6" t="inlineStr">
        <is>
          <t>tonnes</t>
        </is>
      </c>
      <c r="C61" s="13" t="n">
        <v>26000</v>
      </c>
      <c r="D61" s="9" t="inlineStr">
        <is>
          <t>Constructed: nitrate volume path, flat on the FY2024/25 combined granulated and low-density output.</t>
        </is>
      </c>
    </row>
    <row r="62" ht="24" customHeight="1">
      <c r="A62" s="6" t="inlineStr">
        <is>
          <t>Nitrate price, FY2024/25 basis</t>
        </is>
      </c>
      <c r="B62" s="6" t="inlineStr">
        <is>
          <t>EGP/tonne</t>
        </is>
      </c>
      <c r="C62" s="13" t="n">
        <v>20000</v>
      </c>
      <c r="D62" s="9" t="inlineStr">
        <is>
          <t>Implied by the note-20 local revenue net of the subsidised and free-market urea legs; indexed forward on the currency</t>
        </is>
      </c>
    </row>
    <row r="63" ht="14" customHeight="1">
      <c r="A63" s="6" t="inlineStr">
        <is>
          <t>Other revenue — FY2026/27</t>
        </is>
      </c>
      <c r="B63" s="6" t="inlineStr">
        <is>
          <t>EGP m</t>
        </is>
      </c>
      <c r="C63" s="20" t="n">
        <v>140</v>
      </c>
      <c r="D63" s="9" t="inlineStr">
        <is>
          <t>Constructed: merchant nitric acid, the ferrosilicon plant's rent and services.</t>
        </is>
      </c>
    </row>
    <row r="64" ht="14" customHeight="1">
      <c r="A64" s="6" t="inlineStr">
        <is>
          <t>Other revenue — FY2027/28</t>
        </is>
      </c>
      <c r="B64" s="6" t="inlineStr">
        <is>
          <t>EGP m</t>
        </is>
      </c>
      <c r="C64" s="20" t="n">
        <v>152</v>
      </c>
      <c r="D64" s="9" t="inlineStr">
        <is>
          <t>Constructed: merchant nitric acid, the ferrosilicon plant's rent and services.</t>
        </is>
      </c>
    </row>
    <row r="65" ht="14" customHeight="1">
      <c r="A65" s="6" t="inlineStr">
        <is>
          <t>Other revenue — FY2028/29</t>
        </is>
      </c>
      <c r="B65" s="6" t="inlineStr">
        <is>
          <t>EGP m</t>
        </is>
      </c>
      <c r="C65" s="20" t="n">
        <v>163</v>
      </c>
      <c r="D65" s="9" t="inlineStr">
        <is>
          <t>Constructed: merchant nitric acid, the ferrosilicon plant's rent and services.</t>
        </is>
      </c>
    </row>
    <row r="66" ht="14" customHeight="1">
      <c r="A66" s="6" t="inlineStr">
        <is>
          <t>Other revenue — FY2029/30</t>
        </is>
      </c>
      <c r="B66" s="6" t="inlineStr">
        <is>
          <t>EGP m</t>
        </is>
      </c>
      <c r="C66" s="20" t="n">
        <v>174</v>
      </c>
      <c r="D66" s="9" t="inlineStr">
        <is>
          <t>Constructed: merchant nitric acid, the ferrosilicon plant's rent and services.</t>
        </is>
      </c>
    </row>
    <row r="67" ht="14" customHeight="1">
      <c r="A67" s="6" t="inlineStr">
        <is>
          <t>Other revenue — FY2030/31</t>
        </is>
      </c>
      <c r="B67" s="6" t="inlineStr">
        <is>
          <t>EGP m</t>
        </is>
      </c>
      <c r="C67" s="20" t="n">
        <v>186</v>
      </c>
      <c r="D67" s="9" t="inlineStr">
        <is>
          <t>Constructed: merchant nitric acid, the ferrosilicon plant's rent and services.</t>
        </is>
      </c>
    </row>
    <row r="69">
      <c r="A69" s="10" t="inlineStr">
        <is>
          <t>COST STACK — ONE ESCALATOR PER PHYSICAL DRIVER</t>
        </is>
      </c>
    </row>
    <row r="70" ht="48" customHeight="1">
      <c r="A70" s="6" t="inlineStr">
        <is>
          <t>Gas per tonne of ammonia</t>
        </is>
      </c>
      <c r="B70" s="6" t="inlineStr">
        <is>
          <t>m3</t>
        </is>
      </c>
      <c r="C70" s="13" t="n">
        <v>1292</v>
      </c>
      <c r="D70" s="9"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71" ht="36" customHeight="1">
      <c r="A71" s="6" t="inlineStr">
        <is>
          <t>Realised gas price</t>
        </is>
      </c>
      <c r="B71" s="6" t="inlineStr">
        <is>
          <t>US$/mmBtu</t>
        </is>
      </c>
      <c r="C71" s="12" t="n">
        <v>4.68</v>
      </c>
      <c r="D71" s="9" t="inlineStr">
        <is>
          <t>Constructed: the company's own Q1 disclosure values 31,313,235 m3 of lost gas at EGP 251m, or EGP 8.016/m3, which converts to about US$4.68/mmBtu at the prevailing rate — below the US$5.75 contract price, which the study carries as its downside case</t>
        </is>
      </c>
    </row>
    <row r="72" ht="14" customHeight="1">
      <c r="A72" s="6" t="inlineStr">
        <is>
          <t>Energy conversion</t>
        </is>
      </c>
      <c r="B72" s="6" t="inlineStr">
        <is>
          <t>mmBtu per m3</t>
        </is>
      </c>
      <c r="C72" s="22" t="n">
        <v>0.03531</v>
      </c>
      <c r="D72" s="9" t="inlineStr">
        <is>
          <t>Constructed: standard gross calorific conversion</t>
        </is>
      </c>
    </row>
    <row r="73" ht="24" customHeight="1">
      <c r="A73" s="6" t="inlineStr">
        <is>
          <t>Other materials per tonne of urea</t>
        </is>
      </c>
      <c r="B73" s="6" t="inlineStr">
        <is>
          <t>EGP</t>
        </is>
      </c>
      <c r="C73" s="13" t="n">
        <v>2141.977268521675</v>
      </c>
      <c r="D73" s="9" t="inlineStr">
        <is>
          <t>The FY2024/25 materials line less modelled gas, over urea output: packaging, catalysts and consumable spares</t>
        </is>
      </c>
    </row>
    <row r="74" ht="24" customHeight="1">
      <c r="A74" s="6" t="inlineStr">
        <is>
          <t>Wages in cost of sales, FY2024/25</t>
        </is>
      </c>
      <c r="B74" s="6" t="inlineStr">
        <is>
          <t>EGP m</t>
        </is>
      </c>
      <c r="C74" s="20" t="n">
        <v>212.857</v>
      </c>
      <c r="D74" s="9" t="inlineStr">
        <is>
          <t>Audited financial statements, year ended 30 June 2025 (Central Auditing Organization, report dated 23 September 2025), note 21</t>
        </is>
      </c>
    </row>
    <row r="75" ht="24" customHeight="1">
      <c r="A75" s="6" t="inlineStr">
        <is>
          <t>Purchased services, FY2024/25</t>
        </is>
      </c>
      <c r="B75" s="6" t="inlineStr">
        <is>
          <t>EGP m</t>
        </is>
      </c>
      <c r="C75" s="20" t="n">
        <v>62.557</v>
      </c>
      <c r="D75" s="9" t="inlineStr">
        <is>
          <t>Audited financial statements, year ended 30 June 2025 (Central Auditing Organization, report dated 23 September 2025), note 21</t>
        </is>
      </c>
    </row>
    <row r="76" ht="24" customHeight="1">
      <c r="A76" s="6" t="inlineStr">
        <is>
          <t>Inland freight per export tonne</t>
        </is>
      </c>
      <c r="B76" s="6" t="inlineStr">
        <is>
          <t>EGP</t>
        </is>
      </c>
      <c r="C76" s="13" t="n">
        <v>1741.725316670984</v>
      </c>
      <c r="D76" s="9" t="inlineStr">
        <is>
          <t>Audited financial statements, year ended 30 June 2025 (Central Auditing Organization, report dated 23 September 2025), note 22 freight and commissions over the implied export tonnage</t>
        </is>
      </c>
    </row>
    <row r="77" ht="24" customHeight="1">
      <c r="A77" s="6" t="inlineStr">
        <is>
          <t>Other selling cost, FY2024/25</t>
        </is>
      </c>
      <c r="B77" s="6" t="inlineStr">
        <is>
          <t>EGP m</t>
        </is>
      </c>
      <c r="C77" s="20" t="n">
        <v>176.305</v>
      </c>
      <c r="D77" s="9" t="inlineStr">
        <is>
          <t>Audited financial statements, year ended 30 June 2025 (Central Auditing Organization, report dated 23 September 2025), note 22 selling materials, wages and other selling expense</t>
        </is>
      </c>
    </row>
    <row r="78" ht="24" customHeight="1">
      <c r="A78" s="6" t="inlineStr">
        <is>
          <t>Administrative expense, FY2024/25</t>
        </is>
      </c>
      <c r="B78" s="6" t="inlineStr">
        <is>
          <t>EGP m</t>
        </is>
      </c>
      <c r="C78" s="20" t="n">
        <v>359.624</v>
      </c>
      <c r="D78" s="9" t="inlineStr">
        <is>
          <t>Audited financial statements, year ended 30 June 2025 (Central Auditing Organization, report dated 23 September 2025), income statement</t>
        </is>
      </c>
    </row>
    <row r="79" ht="24" customHeight="1">
      <c r="A79" s="6" t="inlineStr">
        <is>
          <t>Stoppage and abnormal gas cost — FY2026/27</t>
        </is>
      </c>
      <c r="B79" s="6" t="inlineStr">
        <is>
          <t>EGP m</t>
        </is>
      </c>
      <c r="C79" s="20" t="n">
        <v>150</v>
      </c>
      <c r="D79" s="9" t="inlineStr">
        <is>
          <t>Constructed: stoppage and abnormal-gas cost, decaying as supply normalises from the EGP 164.5m charged in FY2024/25.</t>
        </is>
      </c>
    </row>
    <row r="80" ht="24" customHeight="1">
      <c r="A80" s="6" t="inlineStr">
        <is>
          <t>Stoppage and abnormal gas cost — FY2027/28</t>
        </is>
      </c>
      <c r="B80" s="6" t="inlineStr">
        <is>
          <t>EGP m</t>
        </is>
      </c>
      <c r="C80" s="20" t="n">
        <v>120</v>
      </c>
      <c r="D80" s="9" t="inlineStr">
        <is>
          <t>Constructed: stoppage and abnormal-gas cost, decaying as supply normalises from the EGP 164.5m charged in FY2024/25.</t>
        </is>
      </c>
    </row>
    <row r="81" ht="24" customHeight="1">
      <c r="A81" s="6" t="inlineStr">
        <is>
          <t>Stoppage and abnormal gas cost — FY2028/29</t>
        </is>
      </c>
      <c r="B81" s="6" t="inlineStr">
        <is>
          <t>EGP m</t>
        </is>
      </c>
      <c r="C81" s="20" t="n">
        <v>100</v>
      </c>
      <c r="D81" s="9" t="inlineStr">
        <is>
          <t>Constructed: stoppage and abnormal-gas cost, decaying as supply normalises from the EGP 164.5m charged in FY2024/25.</t>
        </is>
      </c>
    </row>
    <row r="82" ht="24" customHeight="1">
      <c r="A82" s="6" t="inlineStr">
        <is>
          <t>Stoppage and abnormal gas cost — FY2029/30</t>
        </is>
      </c>
      <c r="B82" s="6" t="inlineStr">
        <is>
          <t>EGP m</t>
        </is>
      </c>
      <c r="C82" s="20" t="n">
        <v>90</v>
      </c>
      <c r="D82" s="9" t="inlineStr">
        <is>
          <t>Constructed: stoppage and abnormal-gas cost, decaying as supply normalises from the EGP 164.5m charged in FY2024/25.</t>
        </is>
      </c>
    </row>
    <row r="83" ht="24" customHeight="1">
      <c r="A83" s="6" t="inlineStr">
        <is>
          <t>Stoppage and abnormal gas cost — FY2030/31</t>
        </is>
      </c>
      <c r="B83" s="6" t="inlineStr">
        <is>
          <t>EGP m</t>
        </is>
      </c>
      <c r="C83" s="20" t="n">
        <v>80</v>
      </c>
      <c r="D83" s="9" t="inlineStr">
        <is>
          <t>Constructed: stoppage and abnormal-gas cost, decaying as supply normalises from the EGP 164.5m charged in FY2024/25.</t>
        </is>
      </c>
    </row>
    <row r="84" ht="48" customHeight="1">
      <c r="A84" s="6" t="inlineStr">
        <is>
          <t>Egyptian inflation — FY2026/27</t>
        </is>
      </c>
      <c r="B84" s="6" t="inlineStr">
        <is>
          <t>%</t>
        </is>
      </c>
      <c r="C84" s="15" t="n">
        <v>0.1</v>
      </c>
      <c r="D84"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5" ht="48" customHeight="1">
      <c r="A85" s="6" t="inlineStr">
        <is>
          <t>Egyptian inflation — FY2027/28</t>
        </is>
      </c>
      <c r="B85" s="6" t="inlineStr">
        <is>
          <t>%</t>
        </is>
      </c>
      <c r="C85" s="15" t="n">
        <v>0.07000000000000001</v>
      </c>
      <c r="D85"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6" ht="48" customHeight="1">
      <c r="A86" s="6" t="inlineStr">
        <is>
          <t>Egyptian inflation — FY2028/29</t>
        </is>
      </c>
      <c r="B86" s="6" t="inlineStr">
        <is>
          <t>%</t>
        </is>
      </c>
      <c r="C86" s="15" t="n">
        <v>0.06</v>
      </c>
      <c r="D86"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7" ht="48" customHeight="1">
      <c r="A87" s="6" t="inlineStr">
        <is>
          <t>Egyptian inflation — FY2029/30</t>
        </is>
      </c>
      <c r="B87" s="6" t="inlineStr">
        <is>
          <t>%</t>
        </is>
      </c>
      <c r="C87" s="15" t="n">
        <v>0.05</v>
      </c>
      <c r="D87"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8" ht="48" customHeight="1">
      <c r="A88" s="6" t="inlineStr">
        <is>
          <t>Egyptian inflation — FY2030/31</t>
        </is>
      </c>
      <c r="B88" s="6" t="inlineStr">
        <is>
          <t>%</t>
        </is>
      </c>
      <c r="C88" s="15" t="n">
        <v>0.05</v>
      </c>
      <c r="D88"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90">
      <c r="A90" s="10" t="inlineStr">
        <is>
          <t>COST OF CAPITAL</t>
        </is>
      </c>
    </row>
    <row r="91" ht="14" customHeight="1">
      <c r="A91" s="6" t="inlineStr">
        <is>
          <t>Observed ten-year government yield</t>
        </is>
      </c>
      <c r="B91" s="6" t="inlineStr">
        <is>
          <t>%</t>
        </is>
      </c>
      <c r="C91" s="23" t="n">
        <v>0.23</v>
      </c>
      <c r="D91" s="9" t="inlineStr">
        <is>
          <t>Egypt ten-year government bond yield, market quote</t>
        </is>
      </c>
    </row>
    <row r="92" ht="14" customHeight="1">
      <c r="A92" s="6" t="inlineStr">
        <is>
          <t>Sovereign default spread, rating basis</t>
        </is>
      </c>
      <c r="B92" s="6" t="inlineStr">
        <is>
          <t>%</t>
        </is>
      </c>
      <c r="C92" s="23" t="n">
        <v>0.06372478453347744</v>
      </c>
      <c r="D92" s="9" t="inlineStr">
        <is>
          <t>Country risk premium workbook, original file, Egypt row, adjusted default spread</t>
        </is>
      </c>
    </row>
    <row r="93">
      <c r="A93" s="6" t="inlineStr">
        <is>
          <t>Normalised risk-free rate, rating basis</t>
        </is>
      </c>
      <c r="B93" s="6" t="inlineStr">
        <is>
          <t>%</t>
        </is>
      </c>
      <c r="C93" s="16">
        <f>'Assumptions'!C91-'Assumptions'!C92</f>
        <v/>
      </c>
      <c r="D93" s="9" t="inlineStr">
        <is>
          <t>Country risk enters ONCE, through the premium below. Using the raw local yield with a country-loaded premium would charge Egypt's sovereign risk twice.</t>
        </is>
      </c>
    </row>
    <row r="94" ht="14" customHeight="1">
      <c r="A94" s="6" t="inlineStr">
        <is>
          <t>Equity risk premium, rating basis</t>
        </is>
      </c>
      <c r="B94" s="6" t="inlineStr">
        <is>
          <t>%</t>
        </is>
      </c>
      <c r="C94" s="23" t="n">
        <v>0.139376943200201</v>
      </c>
      <c r="D94" s="9" t="inlineStr">
        <is>
          <t>Country risk premium workbook, original file, Egypt row, rating basis total equity risk premium</t>
        </is>
      </c>
    </row>
    <row r="95" ht="14" customHeight="1">
      <c r="A95" s="6" t="inlineStr">
        <is>
          <t>Sovereign default spread, CDS basis</t>
        </is>
      </c>
      <c r="B95" s="6" t="inlineStr">
        <is>
          <t>%</t>
        </is>
      </c>
      <c r="C95" s="23" t="n">
        <v>0.0341</v>
      </c>
      <c r="D95" s="9" t="inlineStr">
        <is>
          <t>Country risk premium workbook, original file, Egypt row, ten-year CDS spread</t>
        </is>
      </c>
    </row>
    <row r="96" ht="36" customHeight="1">
      <c r="A96" s="6" t="inlineStr">
        <is>
          <t>Equity risk premium, CDS basis</t>
        </is>
      </c>
      <c r="B96" s="6" t="inlineStr">
        <is>
          <t>%</t>
        </is>
      </c>
      <c r="C96" s="23" t="n">
        <v>0.0941</v>
      </c>
      <c r="D96" s="9"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7" ht="24" customHeight="1">
      <c r="A97" s="6" t="inlineStr">
        <is>
          <t>Beta</t>
        </is>
      </c>
      <c r="B97" s="6" t="inlineStr">
        <is>
          <t>x</t>
        </is>
      </c>
      <c r="C97" s="21" t="n">
        <v>1.030210306988178</v>
      </c>
      <c r="D97" s="9" t="inlineStr">
        <is>
          <t>Own-stock weekly regression, 253 observations over 4.9 years against the published EGX30 index (as of 2026-07-22), R-squared 0.250, standard error 0.191, 90% interval 0.72 to 1.34</t>
        </is>
      </c>
    </row>
    <row r="98">
      <c r="A98" s="6" t="inlineStr">
        <is>
          <t>Normalised risk-free rate, CDS basis — THE CENTRAL</t>
        </is>
      </c>
      <c r="B98" s="6" t="inlineStr">
        <is>
          <t>%</t>
        </is>
      </c>
      <c r="C98" s="16">
        <f>'Assumptions'!C91-'Assumptions'!C95</f>
        <v/>
      </c>
    </row>
    <row r="99">
      <c r="A99" s="6" t="inlineStr">
        <is>
          <t>Cost of equity, rating basis — published, not central</t>
        </is>
      </c>
      <c r="B99" s="6" t="inlineStr">
        <is>
          <t>%</t>
        </is>
      </c>
      <c r="C99" s="16">
        <f>'Assumptions'!C93+'Assumptions'!C97*'Assumptions'!C94</f>
        <v/>
      </c>
    </row>
    <row r="100">
      <c r="A100" s="6" t="inlineStr">
        <is>
          <t>Cost of equity, CDS basis — THE CENTRAL</t>
        </is>
      </c>
      <c r="B100" s="6" t="inlineStr">
        <is>
          <t>%</t>
        </is>
      </c>
      <c r="C100" s="16">
        <f>'Assumptions'!C98+'Assumptions'!C97*'Assumptions'!C96</f>
        <v/>
      </c>
    </row>
    <row r="101" ht="24" customHeight="1">
      <c r="A101" s="6" t="inlineStr">
        <is>
          <t>Cost of debt, local currency</t>
        </is>
      </c>
      <c r="B101" s="6" t="inlineStr">
        <is>
          <t>%</t>
        </is>
      </c>
      <c r="C101" s="23" t="n">
        <v>0.194</v>
      </c>
      <c r="D101" s="9" t="inlineStr">
        <is>
          <t>Constructed: EGP 96,896,001 of interest on the EGP 500,000,000 holding-company facility drawn in FY2024/25 — the company's own latest local borrowing</t>
        </is>
      </c>
    </row>
    <row r="102" ht="14" customHeight="1">
      <c r="A102" s="6" t="inlineStr">
        <is>
          <t>Cost of debt, dollar tranche, in dollars</t>
        </is>
      </c>
      <c r="B102" s="6" t="inlineStr">
        <is>
          <t>%</t>
        </is>
      </c>
      <c r="C102" s="23" t="n">
        <v>0.117</v>
      </c>
      <c r="D102" s="9" t="inlineStr">
        <is>
          <t>Constructed: EGP 1,338.0m of FY2024/25 interest on a mean dollar balance of about US$233m</t>
        </is>
      </c>
    </row>
    <row r="103" ht="60" customHeight="1">
      <c r="A103" s="6" t="inlineStr">
        <is>
          <t>Terminal currency wedge (the same identity, at the terminal inflation)</t>
        </is>
      </c>
      <c r="B103" s="6" t="inlineStr">
        <is>
          <t>%</t>
        </is>
      </c>
      <c r="C103" s="23" t="n">
        <v>0.044921875</v>
      </c>
      <c r="D103" s="9"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104">
      <c r="A104" s="6" t="inlineStr">
        <is>
          <t>Dollar debt at local-equivalent cost, year one (FY2026/27 wedge)</t>
        </is>
      </c>
      <c r="B104" s="6" t="inlineStr">
        <is>
          <t>%</t>
        </is>
      </c>
      <c r="C104" s="16">
        <f>(1+'Assumptions'!C102)*(1+'Assumptions'!C40)-1</f>
        <v/>
      </c>
    </row>
    <row r="105" ht="24" customHeight="1">
      <c r="A105" s="6" t="inlineStr">
        <is>
          <t>Share of debt in local currency</t>
        </is>
      </c>
      <c r="B105" s="6" t="inlineStr">
        <is>
          <t>%</t>
        </is>
      </c>
      <c r="C105" s="15" t="n">
        <v>0.003139216087432172</v>
      </c>
      <c r="D105" s="9" t="inlineStr">
        <is>
          <t>The pound tranche of the project loan was repaid in June 2024, so the book is almost entirely dollar</t>
        </is>
      </c>
    </row>
    <row r="106">
      <c r="A106" s="6" t="inlineStr">
        <is>
          <t>Blended pre-tax cost of debt</t>
        </is>
      </c>
      <c r="B106" s="6" t="inlineStr">
        <is>
          <t>%</t>
        </is>
      </c>
      <c r="C106" s="16">
        <f>'Assumptions'!C105*'Assumptions'!C101+(1-'Assumptions'!C105)*'Assumptions'!C104</f>
        <v/>
      </c>
    </row>
    <row r="107" ht="24" customHeight="1">
      <c r="A107" s="6" t="inlineStr">
        <is>
          <t>Tax rate</t>
        </is>
      </c>
      <c r="B107" s="6" t="inlineStr">
        <is>
          <t>%</t>
        </is>
      </c>
      <c r="C107" s="15" t="n">
        <v>0.225</v>
      </c>
      <c r="D107" s="9" t="inlineStr">
        <is>
          <t>Audited financial statements, year ended 30 June 2025 (Central Auditing Organization, report dated 23 September 2025), note 5-16 income tax</t>
        </is>
      </c>
    </row>
    <row r="108" ht="14" customHeight="1">
      <c r="A108" s="6" t="inlineStr">
        <is>
          <t>Equity weight</t>
        </is>
      </c>
      <c r="B108" s="6" t="inlineStr">
        <is>
          <t>%</t>
        </is>
      </c>
      <c r="C108" s="15" t="n">
        <v>0.6616480028913871</v>
      </c>
      <c r="D108" s="9" t="inlineStr">
        <is>
          <t>Market-value equity over market-value equity plus debt</t>
        </is>
      </c>
    </row>
    <row r="109" ht="14" customHeight="1">
      <c r="A109" s="6" t="inlineStr">
        <is>
          <t>Debt weight</t>
        </is>
      </c>
      <c r="B109" s="6" t="inlineStr">
        <is>
          <t>%</t>
        </is>
      </c>
      <c r="C109" s="15" t="n">
        <v>0.3383519971086129</v>
      </c>
      <c r="D109" s="9" t="inlineStr">
        <is>
          <t>One less the equity weight</t>
        </is>
      </c>
    </row>
    <row r="110">
      <c r="A110" s="6" t="inlineStr">
        <is>
          <t>Cost of capital, year one</t>
        </is>
      </c>
      <c r="B110" s="6" t="inlineStr">
        <is>
          <t>%</t>
        </is>
      </c>
      <c r="C110" s="16">
        <f>'Assumptions'!C108*'Assumptions'!C100+'Assumptions'!C109*'Assumptions'!C106*(1-'Assumptions'!C107)</f>
        <v/>
      </c>
    </row>
    <row r="111" ht="72" customHeight="1">
      <c r="A111" s="6" t="inlineStr">
        <is>
          <t>Terminal inflation (the same figure terminal growth is set at)</t>
        </is>
      </c>
      <c r="B111" s="6" t="inlineStr">
        <is>
          <t>%</t>
        </is>
      </c>
      <c r="C111" s="15" t="n">
        <v>0.07000000000000001</v>
      </c>
      <c r="D111" s="9" t="inlineStr">
        <is>
          <t>The inflation embedded in the TERMINAL discount rate: the central bank's longest-horizon published target, 5% (+/-2) for Q4 2028 — the SAME figure terminal growth is set at. CORRECTED 1 September 2026: the 08-08-2026 edition built the terminal risk-free rate on the 7% Q4-2026 target while growing the perpetuity at 5%, a perpetual real decline of about 2% a year that no disclosure supports (the same defect the AMOC review found, L-055). Terminal growth, the terminal risk-free rate and the terminal currency wedge now share one inflation.</t>
        </is>
      </c>
    </row>
    <row r="112" ht="24" customHeight="1">
      <c r="A112" s="6" t="inlineStr">
        <is>
          <t>Long-run real rate</t>
        </is>
      </c>
      <c r="B112" s="6" t="inlineStr">
        <is>
          <t>%</t>
        </is>
      </c>
      <c r="C112" s="15" t="n">
        <v>0.055</v>
      </c>
      <c r="D112" s="9" t="inlineStr">
        <is>
          <t>The house real-rate convention, used to build the terminal risk-free rate from its own components rather than from a spot yield</t>
        </is>
      </c>
    </row>
    <row r="113">
      <c r="A113" s="6" t="inlineStr">
        <is>
          <t>Terminal normalised risk-free rate</t>
        </is>
      </c>
      <c r="B113" s="6" t="inlineStr">
        <is>
          <t>%</t>
        </is>
      </c>
      <c r="C113" s="16">
        <f>(1+'Assumptions'!C111)*(1+'Assumptions'!C112)-1</f>
        <v/>
      </c>
    </row>
    <row r="114" ht="14" customHeight="1">
      <c r="A114" s="6" t="inlineStr">
        <is>
          <t>Long-run dollar cost of debt</t>
        </is>
      </c>
      <c r="B114" s="6" t="inlineStr">
        <is>
          <t>%</t>
        </is>
      </c>
      <c r="C114" s="23" t="n">
        <v>0.09</v>
      </c>
      <c r="D114" s="9" t="inlineStr">
        <is>
          <t>Constructed: long-run corporate dollar cost of debt</t>
        </is>
      </c>
    </row>
    <row r="115">
      <c r="A115" s="6" t="inlineStr">
        <is>
          <t>Terminal cost of debt, local-equivalent</t>
        </is>
      </c>
      <c r="B115" s="6" t="inlineStr">
        <is>
          <t>%</t>
        </is>
      </c>
      <c r="C115" s="16">
        <f>'Assumptions'!C105*'Assumptions'!C101+(1-'Assumptions'!C105)*((1+'Assumptions'!C114)*(1+'Assumptions'!C103)-1)</f>
        <v/>
      </c>
    </row>
    <row r="116">
      <c r="A116" s="6" t="inlineStr">
        <is>
          <t>TERMINAL COST OF CAPITAL</t>
        </is>
      </c>
      <c r="B116" s="6" t="inlineStr">
        <is>
          <t>%</t>
        </is>
      </c>
      <c r="C116" s="16">
        <f>'Assumptions'!C108*('Assumptions'!C113+'Assumptions'!C97*'Assumptions'!C96)+'Assumptions'!C109*'Assumptions'!C115*(1-'Assumptions'!C107)</f>
        <v/>
      </c>
    </row>
    <row r="117" ht="72" customHeight="1">
      <c r="A117" s="6" t="inlineStr">
        <is>
          <t>Terminal growth</t>
        </is>
      </c>
      <c r="B117" s="6" t="inlineStr">
        <is>
          <t>%</t>
        </is>
      </c>
      <c r="C117" s="15" t="n">
        <v>0.07000000000000001</v>
      </c>
      <c r="D117" s="9" t="inlineStr">
        <is>
          <t>Terminal growth from the house macro path: terminal inflation plus a STATED real growth of zero, so the real assumption is written down rather than inferred from the gap to the discount rate. It was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18" ht="24" customHeight="1">
      <c r="A118" s="6" t="inlineStr">
        <is>
          <t>Terminal return on invested capital</t>
        </is>
      </c>
      <c r="B118" s="6" t="inlineStr">
        <is>
          <t>%</t>
        </is>
      </c>
      <c r="C118" s="15" t="n">
        <v>0.18</v>
      </c>
      <c r="D118" s="9" t="inlineStr">
        <is>
          <t>Constructed: terminal return on invested capital, which sets the terminal reinvestment rate as growth divided by return on capital</t>
        </is>
      </c>
    </row>
    <row r="120">
      <c r="A120" s="10" t="inlineStr">
        <is>
          <t>CAPITAL, WORKING CAPITAL AND THE PROJECT</t>
        </is>
      </c>
    </row>
    <row r="121" ht="24" customHeight="1">
      <c r="A121" s="6" t="inlineStr">
        <is>
          <t>Depreciation charge, FY2024/25</t>
        </is>
      </c>
      <c r="B121" s="6" t="inlineStr">
        <is>
          <t>EGP m</t>
        </is>
      </c>
      <c r="C121" s="20" t="n">
        <v>771.213</v>
      </c>
      <c r="D121" s="9" t="inlineStr">
        <is>
          <t>Audited financial statements, year ended 30 June 2025 (Central Auditing Organization, report dated 23 September 2025), note 6 fixed-asset register</t>
        </is>
      </c>
    </row>
    <row r="122" ht="24" customHeight="1">
      <c r="A122" s="6" t="inlineStr">
        <is>
          <t>Amortisation, FY2024/25</t>
        </is>
      </c>
      <c r="B122" s="6" t="inlineStr">
        <is>
          <t>EGP m</t>
        </is>
      </c>
      <c r="C122" s="20" t="n">
        <v>119.378</v>
      </c>
      <c r="D122" s="9" t="inlineStr">
        <is>
          <t>Audited financial statements, year ended 30 June 2025 (Central Auditing Organization, report dated 23 September 2025), note 10 usufruct intangible</t>
        </is>
      </c>
    </row>
    <row r="123" ht="60" customHeight="1">
      <c r="A123" s="6" t="inlineStr">
        <is>
          <t>Project capital expenditure — FY2026/27</t>
        </is>
      </c>
      <c r="B123" s="6" t="inlineStr">
        <is>
          <t>EGP m</t>
        </is>
      </c>
      <c r="C123" s="14">
        <f>'Cash Flow'!B30</f>
        <v/>
      </c>
      <c r="D123"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4" ht="60" customHeight="1">
      <c r="A124" s="6" t="inlineStr">
        <is>
          <t>Project capital expenditure — FY2027/28</t>
        </is>
      </c>
      <c r="B124" s="6" t="inlineStr">
        <is>
          <t>EGP m</t>
        </is>
      </c>
      <c r="C124" s="13" t="n">
        <v>3100</v>
      </c>
      <c r="D124"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5" ht="60" customHeight="1">
      <c r="A125" s="6" t="inlineStr">
        <is>
          <t>Project capital expenditure — FY2028/29</t>
        </is>
      </c>
      <c r="B125" s="6" t="inlineStr">
        <is>
          <t>EGP m</t>
        </is>
      </c>
      <c r="C125" s="13" t="n">
        <v>3300</v>
      </c>
      <c r="D125"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6" ht="60" customHeight="1">
      <c r="A126" s="6" t="inlineStr">
        <is>
          <t>Project capital expenditure — FY2029/30</t>
        </is>
      </c>
      <c r="B126" s="6" t="inlineStr">
        <is>
          <t>EGP m</t>
        </is>
      </c>
      <c r="C126" s="13" t="n">
        <v>3200</v>
      </c>
      <c r="D126"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7" ht="60" customHeight="1">
      <c r="A127" s="6" t="inlineStr">
        <is>
          <t>Project capital expenditure — FY2030/31</t>
        </is>
      </c>
      <c r="B127" s="6" t="inlineStr">
        <is>
          <t>EGP m</t>
        </is>
      </c>
      <c r="C127" s="14">
        <f>'Cash Flow'!D34-(C123+C124+C125+C126)</f>
        <v/>
      </c>
      <c r="D127"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8" ht="24" customHeight="1">
      <c r="A128" s="6" t="inlineStr">
        <is>
          <t>Depreciation escalation on the existing base</t>
        </is>
      </c>
      <c r="B128" s="6" t="inlineStr">
        <is>
          <t>per year</t>
        </is>
      </c>
      <c r="C128" s="15" t="n">
        <v>0.02</v>
      </c>
      <c r="D128" s="9" t="inlineStr">
        <is>
          <t>Constructed: escalation on the existing depreciation base, reflecting ordinary additions to the plant already in service</t>
        </is>
      </c>
    </row>
    <row r="129" ht="24" customHeight="1">
      <c r="A129" s="6" t="inlineStr">
        <is>
          <t>Depreciation rate on the new complex</t>
        </is>
      </c>
      <c r="B129" s="6" t="inlineStr">
        <is>
          <t>per year</t>
        </is>
      </c>
      <c r="C129" s="23" t="n">
        <v>0.0395</v>
      </c>
      <c r="D129" s="9" t="inlineStr">
        <is>
          <t>Audited financial statements, year ended 30 June 2025 (Central Auditing Organization, report dated 23 September 2025), note 5-2 depreciation rates</t>
        </is>
      </c>
    </row>
    <row r="130" ht="48" customHeight="1">
      <c r="A130" s="6" t="inlineStr">
        <is>
          <t>New complex nameplate</t>
        </is>
      </c>
      <c r="B130" s="6" t="inlineStr">
        <is>
          <t>tonnes/day</t>
        </is>
      </c>
      <c r="C130" s="13" t="n">
        <v>800</v>
      </c>
      <c r="D130" s="9"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1" ht="24" customHeight="1">
      <c r="A131" s="6" t="inlineStr">
        <is>
          <t>Operating days a year</t>
        </is>
      </c>
      <c r="B131" s="6" t="inlineStr">
        <is>
          <t>days</t>
        </is>
      </c>
      <c r="C131" s="13" t="n">
        <v>330</v>
      </c>
      <c r="D131" s="9" t="inlineStr">
        <is>
          <t>Constructed: operating days a year for a continuous nitrate line, net of the turnaround the company takes annually</t>
        </is>
      </c>
    </row>
    <row r="132" ht="48" customHeight="1">
      <c r="A132" s="6" t="inlineStr">
        <is>
          <t>Steady-state depreciation wedge in the terminal year</t>
        </is>
      </c>
      <c r="B132" s="6" t="inlineStr">
        <is>
          <t>ratio</t>
        </is>
      </c>
      <c r="C132" s="15" t="n">
        <v>0.025390625</v>
      </c>
      <c r="D132" s="9" t="inlineStr">
        <is>
          <t>DERIVED: the steady-state currency depreciation the terminal inflation (5%) implies against long-run US inflation (2.4%) on the relative purchasing-power identity — the same wedge that carries the dollar debt in the terminal year. RE-SET 1 September 2026 from a typed 2.5% so that the terminal currency, the terminal cost of debt and the last explicit year share one number.</t>
        </is>
      </c>
    </row>
    <row r="133" ht="24" customHeight="1">
      <c r="A133" s="6" t="inlineStr">
        <is>
          <t>The complex is completed and in service (1 = yes)</t>
        </is>
      </c>
      <c r="B133" s="6" t="inlineStr">
        <is>
          <t>switch</t>
        </is>
      </c>
      <c r="C133" s="13" t="n">
        <v>1</v>
      </c>
      <c r="D133" s="9" t="inlineStr">
        <is>
          <t>Case switch. Zero in the capital-discipline column, where the plant is never finished and therefore never depreciated.</t>
        </is>
      </c>
    </row>
    <row r="134" ht="36" customHeight="1">
      <c r="A134" s="6" t="inlineStr">
        <is>
          <t>Approved cost of the new complex</t>
        </is>
      </c>
      <c r="B134" s="6" t="inlineStr">
        <is>
          <t>EGP m</t>
        </is>
      </c>
      <c r="C134" s="13" t="n">
        <v>20341.668</v>
      </c>
      <c r="D134" s="9" t="inlineStr">
        <is>
          <t>Audited financial statements, year ended 30 June 2025 (Central Auditing Organization, report dated 23 September 2025), note 18-3 — bank-approved investment cost, agreement of 25 June 2025; dual-currency tranches at the approval rate</t>
        </is>
      </c>
    </row>
    <row r="135" ht="72" customHeight="1">
      <c r="A135" s="6" t="inlineStr">
        <is>
          <t>Maintenance capital expenditure</t>
        </is>
      </c>
      <c r="B135" s="6" t="inlineStr">
        <is>
          <t>% of revenue</t>
        </is>
      </c>
      <c r="C135" s="8">
        <f>'Cash Flow'!D28</f>
        <v/>
      </c>
      <c r="D135" s="9"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36" ht="36" customHeight="1">
      <c r="A136" s="6" t="inlineStr">
        <is>
          <t>Wind-down cost if the programme is stopped</t>
        </is>
      </c>
      <c r="B136" s="6" t="inlineStr">
        <is>
          <t>EGP m</t>
        </is>
      </c>
      <c r="C136" s="13" t="n">
        <v>1000</v>
      </c>
      <c r="D136" s="9" t="inlineStr">
        <is>
          <t>Constructed: capital-discipline case only: the cost of stopping the programme in the first forecast year — contract settlement and site preservation. No filing states it; it is the study's estimate and is flagged.</t>
        </is>
      </c>
    </row>
    <row r="137" ht="24" customHeight="1">
      <c r="A137" s="6" t="inlineStr">
        <is>
          <t>Ammonia per tonne of nitrate</t>
        </is>
      </c>
      <c r="B137" s="6" t="inlineStr">
        <is>
          <t>tonnes</t>
        </is>
      </c>
      <c r="C137" s="12" t="n">
        <v>0.43</v>
      </c>
      <c r="D137" s="9" t="inlineStr">
        <is>
          <t>Constructed: ammonia per tonne of ammonium nitrate through the nitric-acid route plus direct neutralisation</t>
        </is>
      </c>
    </row>
    <row r="138" ht="40" customHeight="1">
      <c r="A138" s="6" t="inlineStr">
        <is>
          <t>Project nameplate (derived, not disclosed)</t>
        </is>
      </c>
      <c r="B138" s="6" t="inlineStr">
        <is>
          <t>tonnes/year</t>
        </is>
      </c>
      <c r="C138" s="14">
        <f>'Assumptions'!C130*'Assumptions'!C131</f>
        <v/>
      </c>
      <c r="D138" s="9"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9" ht="40" customHeight="1">
      <c r="A139" s="6" t="inlineStr">
        <is>
          <t>Cross-check: nameplate derived from the ammonia surplus</t>
        </is>
      </c>
      <c r="B139" s="6" t="inlineStr">
        <is>
          <t>tonnes/year</t>
        </is>
      </c>
      <c r="C139" s="14">
        <f>('Assumptions'!C14-'Assumptions'!C13*'Assumptions'!C15)/'Assumptions'!C137</f>
        <v/>
      </c>
      <c r="D139" s="9" t="inlineStr">
        <is>
          <t>The construction the study used before the engineering award was found. Retained as a cross-check on the disclosed plate, not as the plate itself.</t>
        </is>
      </c>
    </row>
    <row r="140" ht="14" customHeight="1">
      <c r="A140" s="6" t="inlineStr">
        <is>
          <t>Project utilisation in the terminal year</t>
        </is>
      </c>
      <c r="B140" s="6" t="inlineStr">
        <is>
          <t>%</t>
        </is>
      </c>
      <c r="C140" s="15" t="n">
        <v>0.5</v>
      </c>
      <c r="D140" s="9" t="inlineStr">
        <is>
          <t>Constructed: project utilisation in the terminal year, central case</t>
        </is>
      </c>
    </row>
    <row r="141" ht="14" customHeight="1">
      <c r="A141" s="6" t="inlineStr">
        <is>
          <t>Nitrate price</t>
        </is>
      </c>
      <c r="B141" s="6" t="inlineStr">
        <is>
          <t>US$/tonne</t>
        </is>
      </c>
      <c r="C141" s="13" t="n">
        <v>280</v>
      </c>
      <c r="D141" s="9" t="inlineStr">
        <is>
          <t>Mid-cycle ammonium nitrate pricing</t>
        </is>
      </c>
    </row>
    <row r="142" ht="14" customHeight="1">
      <c r="A142" s="6" t="inlineStr">
        <is>
          <t>Project cash margin</t>
        </is>
      </c>
      <c r="B142" s="6" t="inlineStr">
        <is>
          <t>% of revenue</t>
        </is>
      </c>
      <c r="C142" s="15" t="n">
        <v>0.32</v>
      </c>
      <c r="D142" s="9" t="inlineStr">
        <is>
          <t>Constructed: conversion margin on ammonium nitrate over its own ammonia feedstock</t>
        </is>
      </c>
    </row>
    <row r="143" ht="14" customHeight="1">
      <c r="A143" s="6" t="inlineStr">
        <is>
          <t>Days sales outstanding</t>
        </is>
      </c>
      <c r="B143" s="6" t="inlineStr">
        <is>
          <t>days</t>
        </is>
      </c>
      <c r="C143" s="20" t="n">
        <v>26.77469536556713</v>
      </c>
      <c r="D143" s="9" t="inlineStr">
        <is>
          <t>Constructed: FY2024/25 receivables over revenue</t>
        </is>
      </c>
    </row>
    <row r="144" ht="14" customHeight="1">
      <c r="A144" s="6" t="inlineStr">
        <is>
          <t>Days inventory outstanding</t>
        </is>
      </c>
      <c r="B144" s="6" t="inlineStr">
        <is>
          <t>days</t>
        </is>
      </c>
      <c r="C144" s="20" t="n">
        <v>165.2475279747788</v>
      </c>
      <c r="D144" s="9" t="inlineStr">
        <is>
          <t>Constructed: FY2024/25 inventory over cost of sales</t>
        </is>
      </c>
    </row>
    <row r="145" ht="14" customHeight="1">
      <c r="A145" s="6" t="inlineStr">
        <is>
          <t>Days payable outstanding</t>
        </is>
      </c>
      <c r="B145" s="6" t="inlineStr">
        <is>
          <t>days</t>
        </is>
      </c>
      <c r="C145" s="20" t="n">
        <v>83.17161071710899</v>
      </c>
      <c r="D145" s="9" t="inlineStr">
        <is>
          <t>Constructed: FY2024/25 payables over cost of sales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1"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4">
      <c r="A4" s="5" t="inlineStr">
        <is>
          <t>Component</t>
        </is>
      </c>
      <c r="B4" s="5" t="inlineStr">
        <is>
          <t>Programme carried through (EGP m)</t>
        </is>
      </c>
      <c r="C4" s="5" t="inlineStr">
        <is>
          <t>Programme stopped (EGP m)</t>
        </is>
      </c>
      <c r="D4" s="5" t="inlineStr">
        <is>
          <t>Source</t>
        </is>
      </c>
    </row>
    <row r="5" ht="26" customHeight="1">
      <c r="A5" s="6" t="inlineStr">
        <is>
          <t>Present value of the explicit window</t>
        </is>
      </c>
      <c r="B5" s="24">
        <f>'DCF'!B36</f>
        <v/>
      </c>
      <c r="C5" s="24">
        <f>'DCF'!D36</f>
        <v/>
      </c>
      <c r="D5" s="9" t="inlineStr">
        <is>
          <t>Five years of free cash flow to the firm, discounted on the glide</t>
        </is>
      </c>
    </row>
    <row r="6" ht="26" customHeight="1">
      <c r="A6" s="6" t="inlineStr">
        <is>
          <t>Present value of the terminal value</t>
        </is>
      </c>
      <c r="B6" s="24">
        <f>'DCF'!B33</f>
        <v/>
      </c>
      <c r="C6" s="24">
        <f>'DCF'!D33</f>
        <v/>
      </c>
      <c r="D6" s="9" t="inlineStr">
        <is>
          <t>The perpetuity, capitalised at the terminal cost of capital</t>
        </is>
      </c>
    </row>
    <row r="7" ht="26" customHeight="1">
      <c r="A7" s="6" t="inlineStr">
        <is>
          <t>Enterprise value</t>
        </is>
      </c>
      <c r="B7" s="24">
        <f>'DCF'!B37</f>
        <v/>
      </c>
      <c r="C7" s="24">
        <f>'DCF'!D37</f>
        <v/>
      </c>
      <c r="D7" s="9" t="inlineStr"/>
    </row>
    <row r="8" ht="26" customHeight="1">
      <c r="A8" s="6" t="inlineStr">
        <is>
          <t>Terminal value as a share of enterprise value</t>
        </is>
      </c>
      <c r="B8" s="25">
        <f>'DCF'!B38</f>
        <v/>
      </c>
      <c r="C8" s="25">
        <f>'DCF'!D38</f>
        <v/>
      </c>
      <c r="D8" s="9" t="inlineStr">
        <is>
          <t>Reported because on this company it is the number that decides the answer</t>
        </is>
      </c>
    </row>
    <row r="9" ht="26" customHeight="1">
      <c r="A9" s="6" t="inlineStr">
        <is>
          <t>Less net debt</t>
        </is>
      </c>
      <c r="B9" s="24">
        <f>-'DCF'!B41</f>
        <v/>
      </c>
      <c r="C9" s="24">
        <f>-'DCF'!D41</f>
        <v/>
      </c>
      <c r="D9" s="9" t="inlineStr">
        <is>
          <t>Gross debt less cash at 31 March 2026</t>
        </is>
      </c>
    </row>
    <row r="10" ht="26" customHeight="1">
      <c r="A10" s="6" t="inlineStr">
        <is>
          <t>Plus listed equity stakes at market</t>
        </is>
      </c>
      <c r="B10" s="24">
        <f>'DCF'!B42</f>
        <v/>
      </c>
      <c r="C10" s="24">
        <f>'DCF'!D42</f>
        <v/>
      </c>
      <c r="D10" s="9" t="inlineStr">
        <is>
          <t>Remaining holdings after the partial disposal in the first half</t>
        </is>
      </c>
    </row>
    <row r="11" ht="26" customHeight="1">
      <c r="A11" s="6" t="inlineStr">
        <is>
          <t>Plus investment property</t>
        </is>
      </c>
      <c r="B11" s="24">
        <f>'DCF'!B43</f>
        <v/>
      </c>
      <c r="C11" s="24">
        <f>'DCF'!D43</f>
        <v/>
      </c>
      <c r="D11" s="9" t="inlineStr">
        <is>
          <t>Carried at the revalued amount in the statements</t>
        </is>
      </c>
    </row>
    <row r="12" ht="26" customHeight="1">
      <c r="A12" s="6" t="inlineStr">
        <is>
          <t>Equity value</t>
        </is>
      </c>
      <c r="B12" s="24">
        <f>'DCF'!B45</f>
        <v/>
      </c>
      <c r="C12" s="24">
        <f>'DCF'!D45</f>
        <v/>
      </c>
      <c r="D12" s="9" t="inlineStr"/>
    </row>
    <row r="13" ht="26" customHeight="1">
      <c r="A13" s="6" t="inlineStr">
        <is>
          <t>Value per share (EGP)</t>
        </is>
      </c>
      <c r="B13" s="7">
        <f>'DCF'!B44</f>
        <v/>
      </c>
      <c r="C13" s="7">
        <f>'DCF'!D44</f>
        <v/>
      </c>
      <c r="D13"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4">
      <c r="A4" s="5" t="inlineStr">
        <is>
          <t>Tonnes and prices</t>
        </is>
      </c>
      <c r="B4" s="5" t="inlineStr">
        <is>
          <t>FY2026/27</t>
        </is>
      </c>
      <c r="C4" s="5" t="inlineStr">
        <is>
          <t>FY2027/28</t>
        </is>
      </c>
      <c r="D4" s="5" t="inlineStr">
        <is>
          <t>FY2028/29</t>
        </is>
      </c>
      <c r="E4" s="5" t="inlineStr">
        <is>
          <t>FY2029/30</t>
        </is>
      </c>
      <c r="F4" s="5" t="inlineStr">
        <is>
          <t>FY2030/31</t>
        </is>
      </c>
    </row>
    <row r="5">
      <c r="A5" s="6"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6"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6" t="inlineStr">
        <is>
          <t>Subsidised volume (tonnes)</t>
        </is>
      </c>
      <c r="B7" s="14">
        <f>'Assumptions'!C21</f>
        <v/>
      </c>
      <c r="C7" s="14">
        <f>'Assumptions'!C22</f>
        <v/>
      </c>
      <c r="D7" s="14">
        <f>'Assumptions'!C23</f>
        <v/>
      </c>
      <c r="E7" s="14">
        <f>'Assumptions'!C24</f>
        <v/>
      </c>
      <c r="F7" s="14">
        <f>'Assumptions'!C25</f>
        <v/>
      </c>
    </row>
    <row r="8">
      <c r="A8" s="6" t="inlineStr">
        <is>
          <t>Local free-market volume (tonnes)</t>
        </is>
      </c>
      <c r="B8" s="14">
        <f>'Assumptions'!C26</f>
        <v/>
      </c>
      <c r="C8" s="14">
        <f>'Assumptions'!C27</f>
        <v/>
      </c>
      <c r="D8" s="14">
        <f>'Assumptions'!C28</f>
        <v/>
      </c>
      <c r="E8" s="14">
        <f>'Assumptions'!C29</f>
        <v/>
      </c>
      <c r="F8" s="14">
        <f>'Assumptions'!C30</f>
        <v/>
      </c>
    </row>
    <row r="9">
      <c r="A9" s="6" t="inlineStr">
        <is>
          <t>Export volume (tonnes)</t>
        </is>
      </c>
      <c r="B9" s="14">
        <f>B5-B7-B8</f>
        <v/>
      </c>
      <c r="C9" s="14">
        <f>C5-C7-C8</f>
        <v/>
      </c>
      <c r="D9" s="14">
        <f>D5-D7-D8</f>
        <v/>
      </c>
      <c r="E9" s="14">
        <f>E5-E7-E8</f>
        <v/>
      </c>
      <c r="F9" s="14">
        <f>F5-F7-F8</f>
        <v/>
      </c>
    </row>
    <row r="10">
      <c r="A10" s="6" t="inlineStr">
        <is>
          <t>Export price net of duty (EGP/tonne)</t>
        </is>
      </c>
      <c r="B10" s="14">
        <f>'Assumptions'!C33*'Assumptions'!C41*(1-'Assumptions'!C50)</f>
        <v/>
      </c>
      <c r="C10" s="14">
        <f>'Assumptions'!C34*'Assumptions'!C43*(1-'Assumptions'!C50)</f>
        <v/>
      </c>
      <c r="D10" s="14">
        <f>'Assumptions'!C35*'Assumptions'!C45*(1-'Assumptions'!C50)</f>
        <v/>
      </c>
      <c r="E10" s="14">
        <f>'Assumptions'!C36*'Assumptions'!C47*(1-'Assumptions'!C50)</f>
        <v/>
      </c>
      <c r="F10" s="14">
        <f>'Assumptions'!C37*'Assumptions'!C49*(1-'Assumptions'!C50)</f>
        <v/>
      </c>
    </row>
    <row r="11">
      <c r="A11" s="6" t="inlineStr">
        <is>
          <t>Local free-market price (EGP/tonne)</t>
        </is>
      </c>
      <c r="B11" s="14">
        <f>'Assumptions'!C33*'Assumptions'!C41*'Assumptions'!C56</f>
        <v/>
      </c>
      <c r="C11" s="14">
        <f>'Assumptions'!C34*'Assumptions'!C43*'Assumptions'!C56</f>
        <v/>
      </c>
      <c r="D11" s="14">
        <f>'Assumptions'!C35*'Assumptions'!C45*'Assumptions'!C56</f>
        <v/>
      </c>
      <c r="E11" s="14">
        <f>'Assumptions'!C36*'Assumptions'!C47*'Assumptions'!C56</f>
        <v/>
      </c>
      <c r="F11" s="14">
        <f>'Assumptions'!C37*'Assumptions'!C49*'Assumptions'!C56</f>
        <v/>
      </c>
    </row>
    <row r="12">
      <c r="A12" s="6" t="inlineStr">
        <is>
          <t>Nitrate price (EGP/tonne)</t>
        </is>
      </c>
      <c r="B12" s="14">
        <f>'Assumptions'!C62*'Assumptions'!C41/'Assumptions'!C8</f>
        <v/>
      </c>
      <c r="C12" s="14">
        <f>'Assumptions'!C62*'Assumptions'!C43/'Assumptions'!C8</f>
        <v/>
      </c>
      <c r="D12" s="14">
        <f>'Assumptions'!C62*'Assumptions'!C45/'Assumptions'!C8</f>
        <v/>
      </c>
      <c r="E12" s="14">
        <f>'Assumptions'!C62*'Assumptions'!C47/'Assumptions'!C8</f>
        <v/>
      </c>
      <c r="F12" s="14">
        <f>'Assumptions'!C62*'Assumptions'!C49/'Assumptions'!C8</f>
        <v/>
      </c>
    </row>
    <row r="13">
      <c r="A13" s="6" t="inlineStr">
        <is>
          <t>Export revenue (EGP m)</t>
        </is>
      </c>
      <c r="B13" s="14">
        <f>B9*B10/1000000</f>
        <v/>
      </c>
      <c r="C13" s="14">
        <f>C9*C10/1000000</f>
        <v/>
      </c>
      <c r="D13" s="14">
        <f>D9*D10/1000000</f>
        <v/>
      </c>
      <c r="E13" s="14">
        <f>E9*E10/1000000</f>
        <v/>
      </c>
      <c r="F13" s="14">
        <f>F9*F10/1000000</f>
        <v/>
      </c>
    </row>
    <row r="14">
      <c r="A14" s="6" t="inlineStr">
        <is>
          <t>Subsidised revenue (EGP m)</t>
        </is>
      </c>
      <c r="B14" s="14">
        <f>B7*'Assumptions'!C51/1000000</f>
        <v/>
      </c>
      <c r="C14" s="14">
        <f>C7*'Assumptions'!C52/1000000</f>
        <v/>
      </c>
      <c r="D14" s="14">
        <f>D7*'Assumptions'!C53/1000000</f>
        <v/>
      </c>
      <c r="E14" s="14">
        <f>E7*'Assumptions'!C54/1000000</f>
        <v/>
      </c>
      <c r="F14" s="14">
        <f>F7*'Assumptions'!C55/1000000</f>
        <v/>
      </c>
    </row>
    <row r="15">
      <c r="A15" s="6" t="inlineStr">
        <is>
          <t>Local free-market revenue (EGP m)</t>
        </is>
      </c>
      <c r="B15" s="14">
        <f>B8*B11/1000000</f>
        <v/>
      </c>
      <c r="C15" s="14">
        <f>C8*C11/1000000</f>
        <v/>
      </c>
      <c r="D15" s="14">
        <f>D8*D11/1000000</f>
        <v/>
      </c>
      <c r="E15" s="14">
        <f>E8*E11/1000000</f>
        <v/>
      </c>
      <c r="F15" s="14">
        <f>F8*F11/1000000</f>
        <v/>
      </c>
    </row>
    <row r="16">
      <c r="A16" s="6" t="inlineStr">
        <is>
          <t>Nitrate revenue (EGP m)</t>
        </is>
      </c>
      <c r="B16" s="14">
        <f>'Assumptions'!C57*B12/1000000</f>
        <v/>
      </c>
      <c r="C16" s="14">
        <f>'Assumptions'!C58*C12/1000000</f>
        <v/>
      </c>
      <c r="D16" s="14">
        <f>'Assumptions'!C59*D12/1000000</f>
        <v/>
      </c>
      <c r="E16" s="14">
        <f>'Assumptions'!C60*E12/1000000</f>
        <v/>
      </c>
      <c r="F16" s="14">
        <f>'Assumptions'!C61*F12/1000000</f>
        <v/>
      </c>
    </row>
    <row r="17">
      <c r="A17" s="6" t="inlineStr">
        <is>
          <t>Other revenue (EGP m)</t>
        </is>
      </c>
      <c r="B17" s="14">
        <f>'Assumptions'!C63</f>
        <v/>
      </c>
      <c r="C17" s="14">
        <f>'Assumptions'!C64</f>
        <v/>
      </c>
      <c r="D17" s="14">
        <f>'Assumptions'!C65</f>
        <v/>
      </c>
      <c r="E17" s="14">
        <f>'Assumptions'!C66</f>
        <v/>
      </c>
      <c r="F17" s="14">
        <f>'Assumptions'!C67</f>
        <v/>
      </c>
    </row>
    <row r="18">
      <c r="A18" s="10" t="inlineStr">
        <is>
          <t>REVENUE (EGP m)</t>
        </is>
      </c>
      <c r="B18" s="14">
        <f>SUM(B13:B17)</f>
        <v/>
      </c>
      <c r="C18" s="14">
        <f>SUM(C13:C17)</f>
        <v/>
      </c>
      <c r="D18" s="14">
        <f>SUM(D13:D17)</f>
        <v/>
      </c>
      <c r="E18" s="14">
        <f>SUM(E13:E17)</f>
        <v/>
      </c>
      <c r="F18" s="14">
        <f>SUM(F13:F17)</f>
        <v/>
      </c>
    </row>
    <row r="19">
      <c r="A19" s="6" t="inlineStr">
        <is>
          <t>Gas price (EGP per m3)</t>
        </is>
      </c>
      <c r="B19" s="11">
        <f>'Assumptions'!C71*'Assumptions'!C72*'Assumptions'!C41</f>
        <v/>
      </c>
      <c r="C19" s="11">
        <f>'Assumptions'!C71*'Assumptions'!C72*'Assumptions'!C43</f>
        <v/>
      </c>
      <c r="D19" s="11">
        <f>'Assumptions'!C71*'Assumptions'!C72*'Assumptions'!C45</f>
        <v/>
      </c>
      <c r="E19" s="11">
        <f>'Assumptions'!C71*'Assumptions'!C72*'Assumptions'!C47</f>
        <v/>
      </c>
      <c r="F19" s="11">
        <f>'Assumptions'!C71*'Assumptions'!C72*'Assumptions'!C49</f>
        <v/>
      </c>
    </row>
    <row r="20">
      <c r="A20" s="6" t="inlineStr">
        <is>
          <t>Natural gas (EGP m)</t>
        </is>
      </c>
      <c r="B20" s="14">
        <f>B6*'Assumptions'!C70*B19/1000000</f>
        <v/>
      </c>
      <c r="C20" s="14">
        <f>C6*'Assumptions'!C70*C19/1000000</f>
        <v/>
      </c>
      <c r="D20" s="14">
        <f>D6*'Assumptions'!C70*D19/1000000</f>
        <v/>
      </c>
      <c r="E20" s="14">
        <f>E6*'Assumptions'!C70*E19/1000000</f>
        <v/>
      </c>
      <c r="F20" s="14">
        <f>F6*'Assumptions'!C70*F19/1000000</f>
        <v/>
      </c>
    </row>
    <row r="21">
      <c r="A21" s="6" t="inlineStr">
        <is>
          <t>Cumulative inflation index</t>
        </is>
      </c>
      <c r="B21" s="19">
        <f>(1+'Assumptions'!C84)</f>
        <v/>
      </c>
      <c r="C21" s="19">
        <f>(1+'Assumptions'!C84)*(1+'Assumptions'!C85)</f>
        <v/>
      </c>
      <c r="D21" s="19">
        <f>(1+'Assumptions'!C84)*(1+'Assumptions'!C85)*(1+'Assumptions'!C86)</f>
        <v/>
      </c>
      <c r="E21" s="19">
        <f>(1+'Assumptions'!C84)*(1+'Assumptions'!C85)*(1+'Assumptions'!C86)*(1+'Assumptions'!C87)</f>
        <v/>
      </c>
      <c r="F21" s="19">
        <f>(1+'Assumptions'!C84)*(1+'Assumptions'!C85)*(1+'Assumptions'!C86)*(1+'Assumptions'!C87)*(1+'Assumptions'!C88)</f>
        <v/>
      </c>
    </row>
    <row r="22">
      <c r="A22" s="6" t="inlineStr">
        <is>
          <t>Other materials (EGP m)</t>
        </is>
      </c>
      <c r="B22" s="14">
        <f>B5*'Assumptions'!C73*B21/1000000</f>
        <v/>
      </c>
      <c r="C22" s="14">
        <f>C5*'Assumptions'!C73*C21/1000000</f>
        <v/>
      </c>
      <c r="D22" s="14">
        <f>D5*'Assumptions'!C73*D21/1000000</f>
        <v/>
      </c>
      <c r="E22" s="14">
        <f>E5*'Assumptions'!C73*E21/1000000</f>
        <v/>
      </c>
      <c r="F22" s="14">
        <f>F5*'Assumptions'!C73*F21/1000000</f>
        <v/>
      </c>
    </row>
    <row r="23">
      <c r="A23" s="6" t="inlineStr">
        <is>
          <t>Wages (EGP m)</t>
        </is>
      </c>
      <c r="B23" s="14">
        <f>'Assumptions'!C74*B21</f>
        <v/>
      </c>
      <c r="C23" s="14">
        <f>'Assumptions'!C74*C21</f>
        <v/>
      </c>
      <c r="D23" s="14">
        <f>'Assumptions'!C74*D21</f>
        <v/>
      </c>
      <c r="E23" s="14">
        <f>'Assumptions'!C74*E21</f>
        <v/>
      </c>
      <c r="F23" s="14">
        <f>'Assumptions'!C74*F21</f>
        <v/>
      </c>
    </row>
    <row r="24">
      <c r="A24" s="6" t="inlineStr">
        <is>
          <t>Purchased services (EGP m)</t>
        </is>
      </c>
      <c r="B24" s="14">
        <f>'Assumptions'!C75*B21</f>
        <v/>
      </c>
      <c r="C24" s="14">
        <f>'Assumptions'!C75*C21</f>
        <v/>
      </c>
      <c r="D24" s="14">
        <f>'Assumptions'!C75*D21</f>
        <v/>
      </c>
      <c r="E24" s="14">
        <f>'Assumptions'!C75*E21</f>
        <v/>
      </c>
      <c r="F24" s="14">
        <f>'Assumptions'!C75*F21</f>
        <v/>
      </c>
    </row>
    <row r="25">
      <c r="A25" s="6" t="inlineStr">
        <is>
          <t>Depreciation and amortisation (EGP m)</t>
        </is>
      </c>
      <c r="B25" s="14">
        <f>'Assumptions'!C121*(1+'Assumptions'!C128*0)+'Assumptions'!C122</f>
        <v/>
      </c>
      <c r="C25" s="14">
        <f>'Assumptions'!C121*(1+'Assumptions'!C128*1)+'Assumptions'!C122+SUM('Assumptions'!C123:C123)*'Assumptions'!C129</f>
        <v/>
      </c>
      <c r="D25" s="14">
        <f>'Assumptions'!C121*(1+'Assumptions'!C128*2)+'Assumptions'!C122+SUM('Assumptions'!C123:C124)*'Assumptions'!C129</f>
        <v/>
      </c>
      <c r="E25" s="14">
        <f>'Assumptions'!C121*(1+'Assumptions'!C128*3)+'Assumptions'!C122+SUM('Assumptions'!C123:C125)*'Assumptions'!C129</f>
        <v/>
      </c>
      <c r="F25" s="14">
        <f>'Assumptions'!C121*(1+'Assumptions'!C128*4)+'Assumptions'!C122+SUM('Assumptions'!C123:C126)*'Assumptions'!C129</f>
        <v/>
      </c>
    </row>
    <row r="26">
      <c r="A26" s="10" t="inlineStr">
        <is>
          <t>COST OF SALES (EGP m)</t>
        </is>
      </c>
      <c r="B26" s="14">
        <f>B20+B22+B23+B24+B25</f>
        <v/>
      </c>
      <c r="C26" s="14">
        <f>C20+C22+C23+C24+C25</f>
        <v/>
      </c>
      <c r="D26" s="14">
        <f>D20+D22+D23+D24+D25</f>
        <v/>
      </c>
      <c r="E26" s="14">
        <f>E20+E22+E23+E24+E25</f>
        <v/>
      </c>
      <c r="F26" s="14">
        <f>F20+F22+F23+F24+F25</f>
        <v/>
      </c>
    </row>
    <row r="27">
      <c r="A27" s="10" t="inlineStr">
        <is>
          <t>GROSS PROFIT (EGP m)</t>
        </is>
      </c>
      <c r="B27" s="14">
        <f>B18-B26</f>
        <v/>
      </c>
      <c r="C27" s="14">
        <f>C18-C26</f>
        <v/>
      </c>
      <c r="D27" s="14">
        <f>D18-D26</f>
        <v/>
      </c>
      <c r="E27" s="14">
        <f>E18-E26</f>
        <v/>
      </c>
      <c r="F27" s="14">
        <f>F18-F26</f>
        <v/>
      </c>
    </row>
    <row r="28">
      <c r="A28" s="6" t="inlineStr">
        <is>
          <t>Gross margin — an OUTPUT, never an input</t>
        </is>
      </c>
      <c r="B28" s="8">
        <f>B27/B18</f>
        <v/>
      </c>
      <c r="C28" s="8">
        <f>C27/C18</f>
        <v/>
      </c>
      <c r="D28" s="8">
        <f>D27/D18</f>
        <v/>
      </c>
      <c r="E28" s="8">
        <f>E27/E18</f>
        <v/>
      </c>
      <c r="F28" s="8">
        <f>F27/F18</f>
        <v/>
      </c>
    </row>
    <row r="29">
      <c r="A29" s="6" t="inlineStr">
        <is>
          <t>Inland freight to port (EGP m)</t>
        </is>
      </c>
      <c r="B29" s="14">
        <f>B9*'Assumptions'!C76*B21/1000000</f>
        <v/>
      </c>
      <c r="C29" s="14">
        <f>C9*'Assumptions'!C76*C21/1000000</f>
        <v/>
      </c>
      <c r="D29" s="14">
        <f>D9*'Assumptions'!C76*D21/1000000</f>
        <v/>
      </c>
      <c r="E29" s="14">
        <f>E9*'Assumptions'!C76*E21/1000000</f>
        <v/>
      </c>
      <c r="F29" s="14">
        <f>F9*'Assumptions'!C76*F21/1000000</f>
        <v/>
      </c>
    </row>
    <row r="30">
      <c r="A30" s="6" t="inlineStr">
        <is>
          <t>Other selling cost (EGP m)</t>
        </is>
      </c>
      <c r="B30" s="14">
        <f>'Assumptions'!C77*B21</f>
        <v/>
      </c>
      <c r="C30" s="14">
        <f>'Assumptions'!C77*C21</f>
        <v/>
      </c>
      <c r="D30" s="14">
        <f>'Assumptions'!C77*D21</f>
        <v/>
      </c>
      <c r="E30" s="14">
        <f>'Assumptions'!C77*E21</f>
        <v/>
      </c>
      <c r="F30" s="14">
        <f>'Assumptions'!C77*F21</f>
        <v/>
      </c>
    </row>
    <row r="31">
      <c r="A31" s="6" t="inlineStr">
        <is>
          <t>Administrative (EGP m)</t>
        </is>
      </c>
      <c r="B31" s="14">
        <f>'Assumptions'!C78*B21</f>
        <v/>
      </c>
      <c r="C31" s="14">
        <f>'Assumptions'!C78*C21</f>
        <v/>
      </c>
      <c r="D31" s="14">
        <f>'Assumptions'!C78*D21</f>
        <v/>
      </c>
      <c r="E31" s="14">
        <f>'Assumptions'!C78*E21</f>
        <v/>
      </c>
      <c r="F31" s="14">
        <f>'Assumptions'!C78*F21</f>
        <v/>
      </c>
    </row>
    <row r="32">
      <c r="A32" s="6" t="inlineStr">
        <is>
          <t>Stoppage and abnormal gas cost (EGP m)</t>
        </is>
      </c>
      <c r="B32" s="14">
        <f>'Assumptions'!C79</f>
        <v/>
      </c>
      <c r="C32" s="14">
        <f>'Assumptions'!C80</f>
        <v/>
      </c>
      <c r="D32" s="14">
        <f>'Assumptions'!C81</f>
        <v/>
      </c>
      <c r="E32" s="14">
        <f>'Assumptions'!C82</f>
        <v/>
      </c>
      <c r="F32" s="14">
        <f>'Assumptions'!C83</f>
        <v/>
      </c>
    </row>
    <row r="33">
      <c r="A33" s="10" t="inlineStr">
        <is>
          <t>EBIT (EGP m)</t>
        </is>
      </c>
      <c r="B33" s="14">
        <f>B27-B29-B30-B31-B32</f>
        <v/>
      </c>
      <c r="C33" s="14">
        <f>C27-C29-C30-C31-C32</f>
        <v/>
      </c>
      <c r="D33" s="14">
        <f>D27-D29-D30-D31-D32</f>
        <v/>
      </c>
      <c r="E33" s="14">
        <f>E27-E29-E30-E31-E32</f>
        <v/>
      </c>
      <c r="F33" s="14">
        <f>F27-F29-F30-F31-F32</f>
        <v/>
      </c>
    </row>
    <row r="34">
      <c r="A34" s="10" t="inlineStr">
        <is>
          <t>EBITDA (EGP m)</t>
        </is>
      </c>
      <c r="B34" s="14">
        <f>B33+B25</f>
        <v/>
      </c>
      <c r="C34" s="14">
        <f>C33+C25</f>
        <v/>
      </c>
      <c r="D34" s="14">
        <f>D33+D25</f>
        <v/>
      </c>
      <c r="E34" s="14">
        <f>E33+E25</f>
        <v/>
      </c>
      <c r="F34" s="14">
        <f>F33+F25</f>
        <v/>
      </c>
    </row>
    <row r="35">
      <c r="A35" s="6" t="inlineStr">
        <is>
          <t>EBITDA margin — an OUTPUT</t>
        </is>
      </c>
      <c r="B35" s="8">
        <f>B34/B18</f>
        <v/>
      </c>
      <c r="C35" s="8">
        <f>C34/C18</f>
        <v/>
      </c>
      <c r="D35" s="8">
        <f>D34/D18</f>
        <v/>
      </c>
      <c r="E35" s="8">
        <f>E34/E18</f>
        <v/>
      </c>
      <c r="F35" s="8">
        <f>F34/F18</f>
        <v/>
      </c>
    </row>
    <row r="37" ht="26" customHeight="1">
      <c r="A37" s="18" t="inlineStr">
        <is>
          <t>Margins are outputs of the build, not inputs to it. Nothing on this sheet sets a margin; each one falls out of tonnes, prices and physical consumption.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1" t="inlineStr">
        <is>
          <t>LENS 3 — RELATIVE MULTIPLES  ·  LENS 4 — NORMALISED EARNINGS POWER</t>
        </is>
      </c>
    </row>
    <row r="2" ht="30" customHeight="1">
      <c r="A2" s="4" t="inlineStr">
        <is>
          <t>Two cross-checks on the cash-flow lens, each reaching the answer from a direction the cash-flow model cannot reach it from.</t>
        </is>
      </c>
    </row>
    <row r="4">
      <c r="A4" s="5" t="inlineStr">
        <is>
          <t>Relative multiples</t>
        </is>
      </c>
      <c r="B4" s="5" t="inlineStr">
        <is>
          <t>Value</t>
        </is>
      </c>
      <c r="C4" s="5" t="inlineStr">
        <is>
          <t>Note</t>
        </is>
      </c>
    </row>
    <row r="5" ht="14" customHeight="1">
      <c r="A5" s="6" t="inlineStr">
        <is>
          <t>Forward EBITDA, FY2026/27 (EGP m)</t>
        </is>
      </c>
      <c r="B5" s="14">
        <f>'Segments'!B34</f>
        <v/>
      </c>
      <c r="C5" s="9" t="inlineStr">
        <is>
          <t>From the unit build</t>
        </is>
      </c>
    </row>
    <row r="6" ht="14" customHeight="1">
      <c r="A6" s="6" t="inlineStr">
        <is>
          <t>Egyptian industrial range, low</t>
        </is>
      </c>
      <c r="B6" s="20" t="n">
        <v>6</v>
      </c>
      <c r="C6" s="9" t="inlineStr">
        <is>
          <t>Observed trading and transaction range</t>
        </is>
      </c>
    </row>
    <row r="7" ht="14" customHeight="1">
      <c r="A7" s="6" t="inlineStr">
        <is>
          <t>Egyptian industrial range, high</t>
        </is>
      </c>
      <c r="B7" s="20" t="n">
        <v>9.9</v>
      </c>
      <c r="C7" s="9" t="inlineStr">
        <is>
          <t>Observed trading and transaction range</t>
        </is>
      </c>
    </row>
    <row r="8" ht="14" customHeight="1">
      <c r="A8" s="6" t="inlineStr">
        <is>
          <t>Mid-point</t>
        </is>
      </c>
      <c r="B8" s="26">
        <f>(B6+B7)/2</f>
        <v/>
      </c>
      <c r="C8" s="9" t="inlineStr"/>
    </row>
    <row r="9" ht="14" customHeight="1">
      <c r="A9" s="6" t="inlineStr">
        <is>
          <t>Enterprise value at the mid-point (EGP m)</t>
        </is>
      </c>
      <c r="B9" s="14">
        <f>B5*B8</f>
        <v/>
      </c>
      <c r="C9" s="9" t="inlineStr"/>
    </row>
    <row r="10" ht="14" customHeight="1">
      <c r="A10" s="6" t="inlineStr">
        <is>
          <t>Less net debt (EGP m)</t>
        </is>
      </c>
      <c r="B10" s="14">
        <f>-'DCF'!B41</f>
        <v/>
      </c>
      <c r="C10" s="9" t="inlineStr">
        <is>
          <t>31 March 2026</t>
        </is>
      </c>
    </row>
    <row r="11" ht="14" customHeight="1">
      <c r="A11" s="6" t="inlineStr">
        <is>
          <t>Plus non-operating assets (EGP m)</t>
        </is>
      </c>
      <c r="B11" s="14">
        <f>'DCF'!B42+'DCF'!B43</f>
        <v/>
      </c>
      <c r="C11" s="9" t="inlineStr">
        <is>
          <t>Listed stakes and investment property</t>
        </is>
      </c>
    </row>
    <row r="12" ht="14" customHeight="1">
      <c r="A12" s="6" t="inlineStr">
        <is>
          <t>Value per share on this lens (EGP)</t>
        </is>
      </c>
      <c r="B12" s="11">
        <f>(B9+B10+B11)*1000000/'Assumptions'!C6</f>
        <v/>
      </c>
      <c r="C12" s="9" t="inlineStr"/>
    </row>
    <row r="13" ht="14" customHeight="1">
      <c r="A13" s="6" t="inlineStr">
        <is>
          <t>At the low multiple (EGP)</t>
        </is>
      </c>
      <c r="B13" s="11">
        <f>(B5*B6+B10+B11)*1000000/'Assumptions'!C6</f>
        <v/>
      </c>
      <c r="C13" s="9" t="inlineStr"/>
    </row>
    <row r="14" ht="14" customHeight="1">
      <c r="A14" s="6" t="inlineStr">
        <is>
          <t>At the high multiple (EGP)</t>
        </is>
      </c>
      <c r="B14" s="11">
        <f>(B5*B7+B10+B11)*1000000/'Assumptions'!C6</f>
        <v/>
      </c>
      <c r="C14" s="9" t="inlineStr"/>
    </row>
    <row r="15" ht="14" customHeight="1">
      <c r="A15" s="6" t="inlineStr">
        <is>
          <t>Multiple the market pays</t>
        </is>
      </c>
      <c r="B15" s="26">
        <f>('Summary'!B16+'DCF'!B41)/B5</f>
        <v/>
      </c>
      <c r="C15" s="9" t="inlineStr">
        <is>
          <t>The gap between this line and the next is the whole disagreement in one number</t>
        </is>
      </c>
    </row>
    <row r="16" ht="14" customHeight="1">
      <c r="A16" s="6" t="inlineStr">
        <is>
          <t>Multiple this model's cash-flow lens implies</t>
        </is>
      </c>
      <c r="B16" s="26">
        <f>'DCF'!B37/B5</f>
        <v/>
      </c>
      <c r="C16" s="9" t="inlineStr"/>
    </row>
    <row r="18" ht="52" customHeight="1">
      <c r="A18" s="18"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20">
      <c r="A20" s="5" t="inlineStr">
        <is>
          <t>Normalised earnings power — every intermediate line</t>
        </is>
      </c>
      <c r="B20" s="5" t="inlineStr">
        <is>
          <t>Value</t>
        </is>
      </c>
      <c r="C20" s="5" t="inlineStr">
        <is>
          <t>Note</t>
        </is>
      </c>
    </row>
    <row r="21" ht="14" customHeight="1">
      <c r="A21" s="6" t="inlineStr">
        <is>
          <t>Mid-cycle urea output (tonnes)</t>
        </is>
      </c>
      <c r="B21" s="13" t="n">
        <v>540542</v>
      </c>
      <c r="C21" s="9" t="inlineStr">
        <is>
          <t>Three-year average of audited output: 586.4kt, 521.9kt and 513.4kt</t>
        </is>
      </c>
    </row>
    <row r="22" ht="14" customHeight="1">
      <c r="A22" s="6" t="inlineStr">
        <is>
          <t>Export tonnes at mid-cycle</t>
        </is>
      </c>
      <c r="B22" s="14">
        <f>B21-'Assumptions'!C21-'Assumptions'!C26</f>
        <v/>
      </c>
      <c r="C22" s="9" t="inlineStr">
        <is>
          <t>Output less the subsidised and free-market legs</t>
        </is>
      </c>
    </row>
    <row r="23" ht="24" customHeight="1">
      <c r="A23" s="6" t="inlineStr">
        <is>
          <t>Mid-cycle export price (US$/tonne)</t>
        </is>
      </c>
      <c r="B23" s="13" t="n">
        <v>400</v>
      </c>
      <c r="C23" s="9" t="inlineStr">
        <is>
          <t>Above the 2015-2020 average of roughly US$250 and well below the August 2026 quote of US$545</t>
        </is>
      </c>
    </row>
    <row r="24" ht="14" customHeight="1">
      <c r="A24" s="6" t="inlineStr">
        <is>
          <t>Exchange rate used</t>
        </is>
      </c>
      <c r="B24" s="12" t="n">
        <v>55.89</v>
      </c>
      <c r="C24" s="9" t="inlineStr">
        <is>
          <t>The second year of the currency path</t>
        </is>
      </c>
    </row>
    <row r="25" ht="14" customHeight="1">
      <c r="A25" s="6" t="inlineStr">
        <is>
          <t>Export revenue (EGP m)</t>
        </is>
      </c>
      <c r="B25" s="14">
        <f>B22*B23*B24*(1-'Assumptions'!C50)/1000000</f>
        <v/>
      </c>
      <c r="C25" s="9" t="inlineStr"/>
    </row>
    <row r="26" ht="24" customHeight="1">
      <c r="A26" s="6" t="inlineStr">
        <is>
          <t>Other revenue legs (EGP m)</t>
        </is>
      </c>
      <c r="B26" s="13" t="n">
        <v>2704.464367346939</v>
      </c>
      <c r="C26" s="9" t="inlineStr">
        <is>
          <t>Subsidised, local free market, nitrates and other, on the same paths as the main build</t>
        </is>
      </c>
    </row>
    <row r="27" ht="14" customHeight="1">
      <c r="A27" s="6" t="inlineStr">
        <is>
          <t>Mid-cycle revenue (EGP m)</t>
        </is>
      </c>
      <c r="B27" s="14">
        <f>B25+B26</f>
        <v/>
      </c>
      <c r="C27" s="9" t="inlineStr"/>
    </row>
    <row r="28" ht="24" customHeight="1">
      <c r="A28" s="6" t="inlineStr">
        <is>
          <t>Mid-cycle cash cost (EGP m)</t>
        </is>
      </c>
      <c r="B28" s="13" t="n">
        <v>6828.73906132444</v>
      </c>
      <c r="C28" s="9" t="inlineStr">
        <is>
          <t>Gas, other materials, wages, services, freight, other selling and administration, each escalated on its own driver</t>
        </is>
      </c>
    </row>
    <row r="29" ht="14" customHeight="1">
      <c r="A29" s="6" t="inlineStr">
        <is>
          <t>Mid-cycle EBITDA (EGP m)</t>
        </is>
      </c>
      <c r="B29" s="14">
        <f>B27-B28</f>
        <v/>
      </c>
      <c r="C29" s="9" t="inlineStr"/>
    </row>
    <row r="30" ht="14" customHeight="1">
      <c r="A30" s="6" t="inlineStr">
        <is>
          <t>Mid-cycle operating profit after tax (EGP m)</t>
        </is>
      </c>
      <c r="B30" s="14">
        <f>(B29-'Assumptions'!C121-'Assumptions'!C122)*(1-'Assumptions'!C107)</f>
        <v/>
      </c>
      <c r="C30" s="9" t="inlineStr">
        <is>
          <t>After depreciation and tax</t>
        </is>
      </c>
    </row>
    <row r="31" ht="14" customHeight="1">
      <c r="A31" s="6" t="inlineStr">
        <is>
          <t>Value per share at the central multiple (EGP)</t>
        </is>
      </c>
      <c r="B31" s="11">
        <f>(B30*'Assumptions'!C10+B10+B11)*1000000/'Assumptions'!C6</f>
        <v/>
      </c>
      <c r="C31" s="9" t="inlineStr">
        <is>
          <t>A mature single-asset industrial in a high-inflation economy does not deserve more</t>
        </is>
      </c>
    </row>
    <row r="32" ht="14" customHeight="1">
      <c r="A32" s="6" t="inlineStr">
        <is>
          <t>At the low multiple (EGP)</t>
        </is>
      </c>
      <c r="B32" s="11">
        <f>(B30*'Assumptions'!C9+B10+B11)*1000000/'Assumptions'!C6</f>
        <v/>
      </c>
      <c r="C32" s="9" t="inlineStr"/>
    </row>
    <row r="33" ht="14" customHeight="1">
      <c r="A33" s="6" t="inlineStr">
        <is>
          <t>At the high multiple (EGP)</t>
        </is>
      </c>
      <c r="B33" s="11">
        <f>(B30*'Assumptions'!C11+B10+B11)*1000000/'Assumptions'!C6</f>
        <v/>
      </c>
      <c r="C33" s="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1" t="inlineStr">
        <is>
          <t>DISCOUNTED CASH FLOW — THE CONTESTED JUDGEMENT IN TWO COLUMNS</t>
        </is>
      </c>
    </row>
    <row r="2" ht="30" customHeight="1">
      <c r="A2" s="4" t="inlineStr">
        <is>
          <t>Column B carries the programme through; column D stops it. Both are complete valuations. They are never averaged.</t>
        </is>
      </c>
    </row>
    <row r="4">
      <c r="A4" s="5" t="inlineStr">
        <is>
          <t>EGP million</t>
        </is>
      </c>
      <c r="B4" s="5" t="inlineStr">
        <is>
          <t>FY2026/27</t>
        </is>
      </c>
      <c r="C4" s="5" t="inlineStr">
        <is>
          <t>FY2027/28</t>
        </is>
      </c>
      <c r="D4" s="5" t="inlineStr">
        <is>
          <t>FY2028/29</t>
        </is>
      </c>
      <c r="E4" s="5" t="inlineStr">
        <is>
          <t>FY2029/30</t>
        </is>
      </c>
      <c r="F4" s="5" t="inlineStr">
        <is>
          <t>FY2030/31</t>
        </is>
      </c>
      <c r="H4" s="10" t="inlineStr">
        <is>
          <t>Case switches</t>
        </is>
      </c>
    </row>
    <row r="5">
      <c r="A5" s="6" t="inlineStr">
        <is>
          <t>Revenue</t>
        </is>
      </c>
      <c r="B5" s="24">
        <f>'Segments'!B18</f>
        <v/>
      </c>
      <c r="C5" s="24">
        <f>'Segments'!C18</f>
        <v/>
      </c>
      <c r="D5" s="24">
        <f>'Segments'!D18</f>
        <v/>
      </c>
      <c r="E5" s="24">
        <f>'Segments'!E18</f>
        <v/>
      </c>
      <c r="F5" s="24">
        <f>'Segments'!F18</f>
        <v/>
      </c>
      <c r="H5" s="6" t="inlineStr">
        <is>
          <t>Programme carried through (1 = yes)</t>
        </is>
      </c>
      <c r="I5" s="6" t="n">
        <v>1</v>
      </c>
    </row>
    <row r="6">
      <c r="A6" s="10" t="inlineStr">
        <is>
          <t>EBITDA</t>
        </is>
      </c>
      <c r="B6" s="24">
        <f>'Segments'!B34</f>
        <v/>
      </c>
      <c r="C6" s="24">
        <f>'Segments'!C34</f>
        <v/>
      </c>
      <c r="D6" s="24">
        <f>'Segments'!D34</f>
        <v/>
      </c>
      <c r="E6" s="24">
        <f>'Segments'!E34</f>
        <v/>
      </c>
      <c r="F6" s="24">
        <f>'Segments'!F34</f>
        <v/>
      </c>
      <c r="H6" s="6" t="inlineStr">
        <is>
          <t>Wind-down cost if stopped (EGP m)</t>
        </is>
      </c>
      <c r="I6" s="13" t="n">
        <v>1000</v>
      </c>
    </row>
    <row r="7">
      <c r="A7" s="6" t="inlineStr">
        <is>
          <t>EBITDA margin</t>
        </is>
      </c>
      <c r="B7" s="8">
        <f>B6/B5</f>
        <v/>
      </c>
      <c r="C7" s="8">
        <f>C6/C5</f>
        <v/>
      </c>
      <c r="D7" s="8">
        <f>D6/D5</f>
        <v/>
      </c>
      <c r="E7" s="8">
        <f>E6/E5</f>
        <v/>
      </c>
      <c r="F7" s="8">
        <f>F6/F5</f>
        <v/>
      </c>
    </row>
    <row r="8">
      <c r="A8" s="6" t="inlineStr">
        <is>
          <t>Depreciation and amortisation</t>
        </is>
      </c>
      <c r="B8" s="24">
        <f>'Segments'!B25</f>
        <v/>
      </c>
      <c r="C8" s="24">
        <f>'Segments'!C25</f>
        <v/>
      </c>
      <c r="D8" s="24">
        <f>'Segments'!D25</f>
        <v/>
      </c>
      <c r="E8" s="24">
        <f>'Segments'!E25</f>
        <v/>
      </c>
      <c r="F8" s="24">
        <f>'Segments'!F25</f>
        <v/>
      </c>
    </row>
    <row r="9">
      <c r="A9" s="10" t="inlineStr">
        <is>
          <t>EBIT</t>
        </is>
      </c>
      <c r="B9" s="14">
        <f>B6-B8</f>
        <v/>
      </c>
      <c r="C9" s="14">
        <f>C6-C8</f>
        <v/>
      </c>
      <c r="D9" s="14">
        <f>D6-D8</f>
        <v/>
      </c>
      <c r="E9" s="14">
        <f>E6-E8</f>
        <v/>
      </c>
      <c r="F9" s="14">
        <f>F6-F8</f>
        <v/>
      </c>
    </row>
    <row r="10">
      <c r="A10" s="6" t="inlineStr">
        <is>
          <t>NOPAT = EBIT x (1 - tax rate)</t>
        </is>
      </c>
      <c r="B10" s="14">
        <f>B9*(1-'Assumptions'!C107)</f>
        <v/>
      </c>
      <c r="C10" s="14">
        <f>C9*(1-'Assumptions'!C107)</f>
        <v/>
      </c>
      <c r="D10" s="14">
        <f>D9*(1-'Assumptions'!C107)</f>
        <v/>
      </c>
      <c r="E10" s="14">
        <f>E9*(1-'Assumptions'!C107)</f>
        <v/>
      </c>
      <c r="F10" s="14">
        <f>F9*(1-'Assumptions'!C107)</f>
        <v/>
      </c>
    </row>
    <row r="11">
      <c r="A11" s="6" t="inlineStr">
        <is>
          <t>Add back depreciation</t>
        </is>
      </c>
      <c r="B11" s="14">
        <f>B8</f>
        <v/>
      </c>
      <c r="C11" s="14">
        <f>C8</f>
        <v/>
      </c>
      <c r="D11" s="14">
        <f>D8</f>
        <v/>
      </c>
      <c r="E11" s="14">
        <f>E8</f>
        <v/>
      </c>
      <c r="F11" s="14">
        <f>F8</f>
        <v/>
      </c>
    </row>
    <row r="12">
      <c r="A12" s="6" t="inlineStr">
        <is>
          <t>Less capital expenditure</t>
        </is>
      </c>
      <c r="B12" s="14">
        <f>-($I$5*'Assumptions'!C123+$I$6*(1-$I$5)+B5*'Assumptions'!C135)</f>
        <v/>
      </c>
      <c r="C12" s="14">
        <f>-($I$5*'Assumptions'!C124+C5*'Assumptions'!C135)</f>
        <v/>
      </c>
      <c r="D12" s="14">
        <f>-($I$5*'Assumptions'!C125+D5*'Assumptions'!C135)</f>
        <v/>
      </c>
      <c r="E12" s="14">
        <f>-($I$5*'Assumptions'!C126+E5*'Assumptions'!C135)</f>
        <v/>
      </c>
      <c r="F12" s="14">
        <f>-($I$5*'Assumptions'!C127+F5*'Assumptions'!C135)</f>
        <v/>
      </c>
    </row>
    <row r="13">
      <c r="A13" s="6" t="inlineStr">
        <is>
          <t>Less change in working capital</t>
        </is>
      </c>
      <c r="B13" s="24">
        <f>-'Cash Flow'!B12</f>
        <v/>
      </c>
      <c r="C13" s="24">
        <f>-'Cash Flow'!C12</f>
        <v/>
      </c>
      <c r="D13" s="24">
        <f>-'Cash Flow'!D12</f>
        <v/>
      </c>
      <c r="E13" s="24">
        <f>-'Cash Flow'!E12</f>
        <v/>
      </c>
      <c r="F13" s="24">
        <f>-'Cash Flow'!F12</f>
        <v/>
      </c>
    </row>
    <row r="14">
      <c r="A14" s="10" t="inlineStr">
        <is>
          <t>FREE CASH FLOW TO THE FIRM</t>
        </is>
      </c>
      <c r="B14" s="14">
        <f>B10+B11+B12+B13</f>
        <v/>
      </c>
      <c r="C14" s="14">
        <f>C10+C11+C12+C13</f>
        <v/>
      </c>
      <c r="D14" s="14">
        <f>D10+D11+D12+D13</f>
        <v/>
      </c>
      <c r="E14" s="14">
        <f>E10+E11+E12+E13</f>
        <v/>
      </c>
      <c r="F14" s="14">
        <f>F10+F11+F12+F13</f>
        <v/>
      </c>
    </row>
    <row r="15">
      <c r="A15" s="6" t="inlineStr">
        <is>
          <t>Discount rate from the glide</t>
        </is>
      </c>
      <c r="B15" s="27">
        <f>'Assumptions'!C110</f>
        <v/>
      </c>
      <c r="C15" s="27">
        <f>'Assumptions'!C108*(('Assumptions'!C98+('Assumptions'!C113-'Assumptions'!C98)*1/5)+'Assumptions'!C97*'Assumptions'!C96)+'Assumptions'!C109*('Assumptions'!C105*'Assumptions'!C101+(1-'Assumptions'!C105)*((1+'Assumptions'!C102)*(1+'Assumptions'!C42)-1))*(1-'Assumptions'!C107)</f>
        <v/>
      </c>
      <c r="D15" s="27">
        <f>'Assumptions'!C108*(('Assumptions'!C98+('Assumptions'!C113-'Assumptions'!C98)*2/5)+'Assumptions'!C97*'Assumptions'!C96)+'Assumptions'!C109*('Assumptions'!C105*'Assumptions'!C101+(1-'Assumptions'!C105)*((1+'Assumptions'!C102)*(1+'Assumptions'!C44)-1))*(1-'Assumptions'!C107)</f>
        <v/>
      </c>
      <c r="E15" s="27">
        <f>'Assumptions'!C108*(('Assumptions'!C98+('Assumptions'!C113-'Assumptions'!C98)*3/5)+'Assumptions'!C97*'Assumptions'!C96)+'Assumptions'!C109*('Assumptions'!C105*'Assumptions'!C101+(1-'Assumptions'!C105)*((1+'Assumptions'!C102)*(1+'Assumptions'!C46)-1))*(1-'Assumptions'!C107)</f>
        <v/>
      </c>
      <c r="F15" s="27">
        <f>'Assumptions'!C108*(('Assumptions'!C98+('Assumptions'!C113-'Assumptions'!C98)*4/5)+'Assumptions'!C97*'Assumptions'!C96)+'Assumptions'!C109*('Assumptions'!C105*'Assumptions'!C101+(1-'Assumptions'!C105)*((1+'Assumptions'!C102)*(1+'Assumptions'!C48)-1))*(1-'Assumptions'!C107)</f>
        <v/>
      </c>
    </row>
    <row r="16">
      <c r="A16" s="6" t="inlineStr">
        <is>
          <t>Discount factor, compounded</t>
        </is>
      </c>
      <c r="B16" s="28">
        <f>1/(1+B15)</f>
        <v/>
      </c>
      <c r="C16" s="28">
        <f>B16/(1+C15)</f>
        <v/>
      </c>
      <c r="D16" s="28">
        <f>C16/(1+D15)</f>
        <v/>
      </c>
      <c r="E16" s="28">
        <f>D16/(1+E15)</f>
        <v/>
      </c>
      <c r="F16" s="28">
        <f>E16/(1+F15)</f>
        <v/>
      </c>
    </row>
    <row r="17">
      <c r="A17" s="10" t="inlineStr">
        <is>
          <t>PRESENT VALUE OF FREE CASH FLOW</t>
        </is>
      </c>
      <c r="B17" s="14">
        <f>B14*B16</f>
        <v/>
      </c>
      <c r="C17" s="14">
        <f>C14*C16</f>
        <v/>
      </c>
      <c r="D17" s="14">
        <f>D14*D16</f>
        <v/>
      </c>
      <c r="E17" s="14">
        <f>E14*E16</f>
        <v/>
      </c>
      <c r="F17" s="14">
        <f>F14*F16</f>
        <v/>
      </c>
    </row>
    <row r="19">
      <c r="A19" s="10" t="inlineStr">
        <is>
          <t>TERMINAL BLOCK AND THE BRIDGE — BOTH SIDES</t>
        </is>
      </c>
    </row>
    <row r="20">
      <c r="A20" s="5" t="inlineStr"/>
      <c r="B20" s="5" t="inlineStr">
        <is>
          <t>Programme carried through</t>
        </is>
      </c>
      <c r="C20" s="5" t="inlineStr"/>
      <c r="D20" s="5" t="inlineStr">
        <is>
          <t>Programme stopped</t>
        </is>
      </c>
    </row>
    <row r="21">
      <c r="A21" s="6" t="inlineStr">
        <is>
          <t>Year-five EBIT grown at terminal growth</t>
        </is>
      </c>
      <c r="B21" s="14">
        <f>F9*(1+'Assumptions'!C117)</f>
        <v/>
      </c>
      <c r="D21" s="14">
        <f>(F9+SUM('Assumptions'!C123:C126)*'Assumptions'!C129)*(1+'Assumptions'!C117)</f>
        <v/>
      </c>
    </row>
    <row r="22">
      <c r="A22" s="6" t="inlineStr">
        <is>
          <t>Project revenue in the terminal year</t>
        </is>
      </c>
      <c r="B22" s="14">
        <f>'Assumptions'!C138*'Assumptions'!C140*'Assumptions'!C141*('Assumptions'!C49*(1+'Assumptions'!C117-'Assumptions'!C132))/1000000</f>
        <v/>
      </c>
      <c r="D22" s="14">
        <f>'Assumptions'!C138*0*'Assumptions'!C141*('Assumptions'!C49*(1+'Assumptions'!C117-'Assumptions'!C132))/1000000</f>
        <v/>
      </c>
    </row>
    <row r="23">
      <c r="A23" s="6" t="inlineStr">
        <is>
          <t>Project operating profit, after its own depreciation</t>
        </is>
      </c>
      <c r="B23" s="14">
        <f>B22*'Assumptions'!C142-'Assumptions'!C133*'Assumptions'!C134*'Assumptions'!C129</f>
        <v/>
      </c>
      <c r="D23" s="14">
        <f>D22*'Assumptions'!C142-0*'Assumptions'!C134*'Assumptions'!C129</f>
        <v/>
      </c>
    </row>
    <row r="24">
      <c r="A24" s="6" t="inlineStr">
        <is>
          <t>Terminal EBIT</t>
        </is>
      </c>
      <c r="B24" s="14">
        <f>B21+B23</f>
        <v/>
      </c>
      <c r="D24" s="14">
        <f>D21+D23</f>
        <v/>
      </c>
    </row>
    <row r="25">
      <c r="A25" s="6" t="inlineStr">
        <is>
          <t>Terminal NOPAT</t>
        </is>
      </c>
      <c r="B25" s="14">
        <f>B24*(1-'Assumptions'!C107)</f>
        <v/>
      </c>
      <c r="D25" s="14">
        <f>D24*(1-'Assumptions'!C107)</f>
        <v/>
      </c>
    </row>
    <row r="26">
      <c r="A26" s="6" t="inlineStr">
        <is>
          <t>Reinvestment rate = growth / return on capital</t>
        </is>
      </c>
      <c r="B26" s="8">
        <f>'Assumptions'!C117/'Assumptions'!C118</f>
        <v/>
      </c>
      <c r="D26" s="8">
        <f>'Assumptions'!C117/'Assumptions'!C118</f>
        <v/>
      </c>
    </row>
    <row r="27">
      <c r="A27" s="6" t="inlineStr">
        <is>
          <t>Terminal free cash flow</t>
        </is>
      </c>
      <c r="B27" s="14">
        <f>B25*(1-B26)</f>
        <v/>
      </c>
      <c r="D27" s="14">
        <f>D25*(1-D26)</f>
        <v/>
      </c>
    </row>
    <row r="28">
      <c r="A28" s="6" t="inlineStr">
        <is>
          <t>TERMINAL VALUE</t>
        </is>
      </c>
      <c r="B28" s="14">
        <f>B27/('Assumptions'!C116-'Assumptions'!C117)</f>
        <v/>
      </c>
      <c r="D28" s="14">
        <f>D27/('Assumptions'!C116-'Assumptions'!C117)</f>
        <v/>
      </c>
    </row>
    <row r="33">
      <c r="A33" s="6" t="inlineStr">
        <is>
          <t>Present value of the terminal value</t>
        </is>
      </c>
      <c r="B33" s="14">
        <f>B28*F16</f>
        <v/>
      </c>
      <c r="D33" s="14">
        <f>D28*F16</f>
        <v/>
      </c>
    </row>
    <row r="36">
      <c r="A36" s="6" t="inlineStr">
        <is>
          <t>Present value of the explicit window</t>
        </is>
      </c>
      <c r="B36" s="14">
        <f>SUM(B17:F17)</f>
        <v/>
      </c>
      <c r="D36" s="14">
        <f>SUM(B54:F54)</f>
        <v/>
      </c>
    </row>
    <row r="37">
      <c r="A37" s="10" t="inlineStr">
        <is>
          <t>ENTERPRISE VALUE</t>
        </is>
      </c>
      <c r="B37" s="14">
        <f>B36+B33</f>
        <v/>
      </c>
      <c r="D37" s="14">
        <f>D36+D33</f>
        <v/>
      </c>
    </row>
    <row r="38">
      <c r="A38" s="10" t="inlineStr">
        <is>
          <t>TERMINAL VALUE AS A SHARE OF ENTERPRISE VALUE</t>
        </is>
      </c>
      <c r="B38" s="8">
        <f>B33/B37</f>
        <v/>
      </c>
      <c r="D38" s="8">
        <f>D33/D37</f>
        <v/>
      </c>
    </row>
    <row r="39">
      <c r="A39" s="6" t="inlineStr">
        <is>
          <t>Gross debt, 31 March 2026</t>
        </is>
      </c>
      <c r="B39" s="13" t="n">
        <v>14639.005</v>
      </c>
    </row>
    <row r="40">
      <c r="A40" s="6" t="inlineStr">
        <is>
          <t>Cash and equivalents</t>
        </is>
      </c>
      <c r="B40" s="13" t="n">
        <v>4606.522</v>
      </c>
    </row>
    <row r="41">
      <c r="A41" s="6" t="inlineStr">
        <is>
          <t>Net debt</t>
        </is>
      </c>
      <c r="B41" s="14">
        <f>B39-B40</f>
        <v/>
      </c>
      <c r="D41" s="14">
        <f>B41</f>
        <v/>
      </c>
    </row>
    <row r="42">
      <c r="A42" s="6" t="inlineStr">
        <is>
          <t>Listed equity stakes at market</t>
        </is>
      </c>
      <c r="B42" s="13" t="n">
        <v>1382.886</v>
      </c>
      <c r="D42" s="14">
        <f>B42</f>
        <v/>
      </c>
    </row>
    <row r="43">
      <c r="A43" s="6" t="inlineStr">
        <is>
          <t>Investment property</t>
        </is>
      </c>
      <c r="B43" s="13" t="n">
        <v>2155.061</v>
      </c>
      <c r="D43" s="14">
        <f>B43</f>
        <v/>
      </c>
    </row>
    <row r="44">
      <c r="A44" s="10" t="inlineStr">
        <is>
          <t>VALUE PER SHARE (EGP)</t>
        </is>
      </c>
      <c r="B44" s="11">
        <f>B45*1000000/'Assumptions'!C6</f>
        <v/>
      </c>
      <c r="D44" s="11">
        <f>D45*1000000/'Assumptions'!C6</f>
        <v/>
      </c>
    </row>
    <row r="45">
      <c r="A45" s="10" t="inlineStr">
        <is>
          <t>EQUITY VALUE</t>
        </is>
      </c>
      <c r="B45" s="14">
        <f>B37-B41+B42+B43</f>
        <v/>
      </c>
      <c r="D45" s="14">
        <f>D37-D41+D42+D43</f>
        <v/>
      </c>
    </row>
    <row r="47">
      <c r="A47" s="10" t="inlineStr">
        <is>
          <t>PROGRAMME STOPPED — the same operating build, project capital removed</t>
        </is>
      </c>
    </row>
    <row r="48">
      <c r="A48" s="5" t="inlineStr">
        <is>
          <t>EGP million</t>
        </is>
      </c>
      <c r="B48" s="5" t="inlineStr">
        <is>
          <t>FY2026/27</t>
        </is>
      </c>
      <c r="C48" s="5" t="inlineStr">
        <is>
          <t>FY2027/28</t>
        </is>
      </c>
      <c r="D48" s="5" t="inlineStr">
        <is>
          <t>FY2028/29</t>
        </is>
      </c>
      <c r="E48" s="5" t="inlineStr">
        <is>
          <t>FY2029/30</t>
        </is>
      </c>
      <c r="F48" s="5" t="inlineStr">
        <is>
          <t>FY2030/31</t>
        </is>
      </c>
    </row>
    <row r="49">
      <c r="A49" s="6" t="inlineStr">
        <is>
          <t>Free cash flow, programme carried through</t>
        </is>
      </c>
      <c r="B49" s="14">
        <f>B14</f>
        <v/>
      </c>
      <c r="C49" s="14">
        <f>C14</f>
        <v/>
      </c>
      <c r="D49" s="14">
        <f>D14</f>
        <v/>
      </c>
      <c r="E49" s="14">
        <f>E14</f>
        <v/>
      </c>
      <c r="F49" s="14">
        <f>F14</f>
        <v/>
      </c>
    </row>
    <row r="50">
      <c r="A50" s="6" t="inlineStr">
        <is>
          <t>Add back project capital not spent</t>
        </is>
      </c>
      <c r="B50" s="14">
        <f>+'Assumptions'!C123</f>
        <v/>
      </c>
      <c r="C50" s="14">
        <f>+'Assumptions'!C124</f>
        <v/>
      </c>
      <c r="D50" s="14">
        <f>+'Assumptions'!C125</f>
        <v/>
      </c>
      <c r="E50" s="14">
        <f>+'Assumptions'!C126</f>
        <v/>
      </c>
      <c r="F50" s="14">
        <f>+'Assumptions'!C127</f>
        <v/>
      </c>
    </row>
    <row r="51">
      <c r="A51" s="6" t="inlineStr">
        <is>
          <t>Less the wind-down cost</t>
        </is>
      </c>
      <c r="B51" s="14">
        <f>-'Assumptions'!C136</f>
        <v/>
      </c>
      <c r="C51" s="14">
        <f>0</f>
        <v/>
      </c>
      <c r="D51" s="14">
        <f>0</f>
        <v/>
      </c>
      <c r="E51" s="14">
        <f>0</f>
        <v/>
      </c>
      <c r="F51" s="14">
        <f>0</f>
        <v/>
      </c>
    </row>
    <row r="52">
      <c r="A52" s="6" t="inlineStr">
        <is>
          <t>Less the tax shield on depreciation never incurred</t>
        </is>
      </c>
      <c r="B52" s="14">
        <f>0</f>
        <v/>
      </c>
      <c r="C52" s="14">
        <f>-SUM('Assumptions'!C123:C123)*'Assumptions'!C129*'Assumptions'!C107</f>
        <v/>
      </c>
      <c r="D52" s="14">
        <f>-SUM('Assumptions'!C123:C124)*'Assumptions'!C129*'Assumptions'!C107</f>
        <v/>
      </c>
      <c r="E52" s="14">
        <f>-SUM('Assumptions'!C123:C125)*'Assumptions'!C129*'Assumptions'!C107</f>
        <v/>
      </c>
      <c r="F52" s="14">
        <f>-SUM('Assumptions'!C123:C126)*'Assumptions'!C129*'Assumptions'!C107</f>
        <v/>
      </c>
    </row>
    <row r="53">
      <c r="A53" s="6" t="inlineStr">
        <is>
          <t>FREE CASH FLOW, PROGRAMME STOPPED</t>
        </is>
      </c>
      <c r="B53" s="14">
        <f>B49+B50+B51+B52</f>
        <v/>
      </c>
      <c r="C53" s="14">
        <f>C49+C50+C51+C52</f>
        <v/>
      </c>
      <c r="D53" s="14">
        <f>D49+D50+D51+D52</f>
        <v/>
      </c>
      <c r="E53" s="14">
        <f>E49+E50+E51+E52</f>
        <v/>
      </c>
      <c r="F53" s="14">
        <f>F49+F50+F51+F52</f>
        <v/>
      </c>
    </row>
    <row r="54">
      <c r="A54" s="6" t="inlineStr">
        <is>
          <t>Present value</t>
        </is>
      </c>
      <c r="B54" s="14">
        <f>B53*B16</f>
        <v/>
      </c>
      <c r="C54" s="14">
        <f>C53*C16</f>
        <v/>
      </c>
      <c r="D54" s="14">
        <f>D53*D16</f>
        <v/>
      </c>
      <c r="E54" s="14">
        <f>E53*E16</f>
        <v/>
      </c>
      <c r="F54" s="14">
        <f>F53*F16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INCOME STATEMENT — THREE YEARS HISTORICAL, FIVE YEARS FORECAST</t>
        </is>
      </c>
    </row>
    <row r="2" ht="30" customHeight="1">
      <c r="A2" s="4" t="inlineStr">
        <is>
          <t>History is carried exactly as issued. The forecast is a formula reading the unit build.</t>
        </is>
      </c>
    </row>
    <row r="4">
      <c r="A4" s="5" t="inlineStr">
        <is>
          <t>EGP million</t>
        </is>
      </c>
      <c r="B4" s="5" t="inlineStr">
        <is>
          <t>FY2022/23</t>
        </is>
      </c>
      <c r="C4" s="5" t="inlineStr">
        <is>
          <t>FY2023/24</t>
        </is>
      </c>
      <c r="D4" s="5" t="inlineStr">
        <is>
          <t>FY2024/25</t>
        </is>
      </c>
      <c r="E4" s="5" t="inlineStr">
        <is>
          <t>FY2025/26E</t>
        </is>
      </c>
      <c r="F4" s="5" t="inlineStr">
        <is>
          <t>FY2026/27</t>
        </is>
      </c>
      <c r="G4" s="5" t="inlineStr">
        <is>
          <t>FY2027/28</t>
        </is>
      </c>
      <c r="H4" s="5" t="inlineStr">
        <is>
          <t>FY2028/29</t>
        </is>
      </c>
      <c r="I4" s="5" t="inlineStr">
        <is>
          <t>FY2029/30</t>
        </is>
      </c>
      <c r="J4" s="5" t="inlineStr">
        <is>
          <t>FY2030/31</t>
        </is>
      </c>
    </row>
    <row r="5">
      <c r="A5" s="6" t="inlineStr">
        <is>
          <t>Revenue</t>
        </is>
      </c>
      <c r="B5" s="13" t="n">
        <v>6612.226</v>
      </c>
      <c r="C5" s="13" t="n">
        <v>6532.126</v>
      </c>
      <c r="D5" s="13" t="n">
        <v>8602.606</v>
      </c>
      <c r="E5" s="13" t="n">
        <v>10378.73038</v>
      </c>
      <c r="F5" s="24">
        <f>'Segments'!B18</f>
        <v/>
      </c>
      <c r="G5" s="24">
        <f>'Segments'!C18</f>
        <v/>
      </c>
      <c r="H5" s="24">
        <f>'Segments'!D18</f>
        <v/>
      </c>
      <c r="I5" s="24">
        <f>'Segments'!E18</f>
        <v/>
      </c>
      <c r="J5" s="24">
        <f>'Segments'!F18</f>
        <v/>
      </c>
    </row>
    <row r="6">
      <c r="A6" s="6" t="inlineStr">
        <is>
          <t>Cost of sales</t>
        </is>
      </c>
      <c r="B6" s="13" t="n">
        <v>3574.483</v>
      </c>
      <c r="C6" s="13" t="n">
        <v>4395.788</v>
      </c>
      <c r="D6" s="13" t="n">
        <v>5300.31</v>
      </c>
      <c r="E6" s="13" t="n">
        <v>5825.213193060001</v>
      </c>
      <c r="F6" s="24">
        <f>'Segments'!B26</f>
        <v/>
      </c>
      <c r="G6" s="24">
        <f>'Segments'!C26</f>
        <v/>
      </c>
      <c r="H6" s="24">
        <f>'Segments'!D26</f>
        <v/>
      </c>
      <c r="I6" s="24">
        <f>'Segments'!E26</f>
        <v/>
      </c>
      <c r="J6" s="24">
        <f>'Segments'!F26</f>
        <v/>
      </c>
    </row>
    <row r="7">
      <c r="A7" s="6" t="inlineStr">
        <is>
          <t>Gross profit</t>
        </is>
      </c>
      <c r="B7" s="14">
        <f>B5-B6</f>
        <v/>
      </c>
      <c r="C7" s="14">
        <f>C5-C6</f>
        <v/>
      </c>
      <c r="D7" s="14">
        <f>D5-D6</f>
        <v/>
      </c>
      <c r="E7" s="14">
        <f>E5-E6</f>
        <v/>
      </c>
      <c r="F7" s="24">
        <f>'Segments'!B27</f>
        <v/>
      </c>
      <c r="G7" s="24">
        <f>'Segments'!C27</f>
        <v/>
      </c>
      <c r="H7" s="24">
        <f>'Segments'!D27</f>
        <v/>
      </c>
      <c r="I7" s="24">
        <f>'Segments'!E27</f>
        <v/>
      </c>
      <c r="J7" s="24">
        <f>'Segments'!F27</f>
        <v/>
      </c>
    </row>
    <row r="8">
      <c r="A8" s="6" t="inlineStr">
        <is>
          <t>Selling and distribution</t>
        </is>
      </c>
      <c r="B8" s="13" t="n">
        <v>473.72</v>
      </c>
      <c r="C8" s="13" t="n">
        <v>562.527</v>
      </c>
      <c r="D8" s="13" t="n">
        <v>786.463</v>
      </c>
      <c r="E8" s="13" t="n">
        <v>979.6093333333333</v>
      </c>
      <c r="F8" s="24">
        <f>'Segments'!B29+'Segments'!B30</f>
        <v/>
      </c>
      <c r="G8" s="24">
        <f>'Segments'!C29+'Segments'!C30</f>
        <v/>
      </c>
      <c r="H8" s="24">
        <f>'Segments'!D29+'Segments'!D30</f>
        <v/>
      </c>
      <c r="I8" s="24">
        <f>'Segments'!E29+'Segments'!E30</f>
        <v/>
      </c>
      <c r="J8" s="24">
        <f>'Segments'!F29+'Segments'!F30</f>
        <v/>
      </c>
    </row>
    <row r="9">
      <c r="A9" s="6" t="inlineStr">
        <is>
          <t>Administrative</t>
        </is>
      </c>
      <c r="B9" s="13" t="n">
        <v>188.851</v>
      </c>
      <c r="C9" s="13" t="n">
        <v>297.887</v>
      </c>
      <c r="D9" s="13" t="n">
        <v>359.624</v>
      </c>
      <c r="E9" s="13" t="n">
        <v>365.108</v>
      </c>
      <c r="F9" s="24">
        <f>'Segments'!B31</f>
        <v/>
      </c>
      <c r="G9" s="24">
        <f>'Segments'!C31</f>
        <v/>
      </c>
      <c r="H9" s="24">
        <f>'Segments'!D31</f>
        <v/>
      </c>
      <c r="I9" s="24">
        <f>'Segments'!E31</f>
        <v/>
      </c>
      <c r="J9" s="24">
        <f>'Segments'!F31</f>
        <v/>
      </c>
    </row>
    <row r="10">
      <c r="A10" s="6" t="inlineStr">
        <is>
          <t>EBIT before other items</t>
        </is>
      </c>
      <c r="B10" s="14">
        <f>B7-B8-B9</f>
        <v/>
      </c>
      <c r="C10" s="14">
        <f>C7-C8-C9</f>
        <v/>
      </c>
      <c r="D10" s="14">
        <f>D7-D8-D9</f>
        <v/>
      </c>
      <c r="E10" s="14">
        <f>E7-E8-E9</f>
        <v/>
      </c>
      <c r="F10" s="24">
        <f>'Segments'!B33</f>
        <v/>
      </c>
      <c r="G10" s="24">
        <f>'Segments'!C33</f>
        <v/>
      </c>
      <c r="H10" s="24">
        <f>'Segments'!D33</f>
        <v/>
      </c>
      <c r="I10" s="24">
        <f>'Segments'!E33</f>
        <v/>
      </c>
      <c r="J10" s="24">
        <f>'Segments'!F33</f>
        <v/>
      </c>
    </row>
    <row r="11">
      <c r="A11" s="6" t="inlineStr">
        <is>
          <t>Depreciation and amortisation</t>
        </is>
      </c>
      <c r="B11" s="13" t="n">
        <v>719.213</v>
      </c>
      <c r="C11" s="13" t="n">
        <v>772.634</v>
      </c>
      <c r="D11" s="13" t="n">
        <v>895.849</v>
      </c>
      <c r="E11" s="13" t="n">
        <v>890.591</v>
      </c>
      <c r="F11" s="24">
        <f>'Segments'!B25</f>
        <v/>
      </c>
      <c r="G11" s="24">
        <f>'Segments'!C25</f>
        <v/>
      </c>
      <c r="H11" s="24">
        <f>'Segments'!D25</f>
        <v/>
      </c>
      <c r="I11" s="24">
        <f>'Segments'!E25</f>
        <v/>
      </c>
      <c r="J11" s="24">
        <f>'Segments'!F25</f>
        <v/>
      </c>
    </row>
    <row r="12">
      <c r="A12" s="6" t="inlineStr">
        <is>
          <t>EBITDA</t>
        </is>
      </c>
      <c r="B12" s="14">
        <f>B10+B11</f>
        <v/>
      </c>
      <c r="C12" s="14">
        <f>C10+C11</f>
        <v/>
      </c>
      <c r="D12" s="14">
        <f>D10+D11</f>
        <v/>
      </c>
      <c r="E12" s="14">
        <f>E10+E11</f>
        <v/>
      </c>
      <c r="F12" s="24">
        <f>'Segments'!B34</f>
        <v/>
      </c>
      <c r="G12" s="24">
        <f>'Segments'!C34</f>
        <v/>
      </c>
      <c r="H12" s="24">
        <f>'Segments'!D34</f>
        <v/>
      </c>
      <c r="I12" s="24">
        <f>'Segments'!E34</f>
        <v/>
      </c>
      <c r="J12" s="24">
        <f>'Segments'!F34</f>
        <v/>
      </c>
    </row>
    <row r="13">
      <c r="A13" s="6" t="inlineStr">
        <is>
          <t>Gross margin</t>
        </is>
      </c>
      <c r="B13" s="8">
        <f>B7/B5</f>
        <v/>
      </c>
      <c r="C13" s="8">
        <f>C7/C5</f>
        <v/>
      </c>
      <c r="D13" s="8">
        <f>D7/D5</f>
        <v/>
      </c>
      <c r="E13" s="8">
        <f>E7/E5</f>
        <v/>
      </c>
      <c r="F13" s="8">
        <f>F7/F5</f>
        <v/>
      </c>
      <c r="G13" s="8">
        <f>G7/G5</f>
        <v/>
      </c>
      <c r="H13" s="8">
        <f>H7/H5</f>
        <v/>
      </c>
      <c r="I13" s="8">
        <f>I7/I5</f>
        <v/>
      </c>
      <c r="J13" s="8">
        <f>J7/J5</f>
        <v/>
      </c>
    </row>
    <row r="14">
      <c r="A14" s="6" t="inlineStr">
        <is>
          <t>EBITDA margin</t>
        </is>
      </c>
      <c r="B14" s="8">
        <f>B12/B5</f>
        <v/>
      </c>
      <c r="C14" s="8">
        <f>C12/C5</f>
        <v/>
      </c>
      <c r="D14" s="8">
        <f>D12/D5</f>
        <v/>
      </c>
      <c r="E14" s="8">
        <f>E12/E5</f>
        <v/>
      </c>
      <c r="F14" s="8">
        <f>F12/F5</f>
        <v/>
      </c>
      <c r="G14" s="8">
        <f>G12/G5</f>
        <v/>
      </c>
      <c r="H14" s="8">
        <f>H12/H5</f>
        <v/>
      </c>
      <c r="I14" s="8">
        <f>I12/I5</f>
        <v/>
      </c>
      <c r="J14" s="8">
        <f>J12/J5</f>
        <v/>
      </c>
    </row>
    <row r="16">
      <c r="A16" s="6" t="inlineStr">
        <is>
          <t>Net profit as reported</t>
        </is>
      </c>
      <c r="B16" s="13" t="n">
        <v>1150.767</v>
      </c>
      <c r="C16" s="13" t="n">
        <v>2537.934</v>
      </c>
      <c r="D16" s="13" t="n">
        <v>986.9640000000001</v>
      </c>
      <c r="E16" s="13" t="n">
        <v>531.3099999999999</v>
      </c>
    </row>
    <row r="17">
      <c r="A17" s="6" t="inlineStr">
        <is>
          <t>Less one-off investment-property revaluation</t>
        </is>
      </c>
      <c r="C17" s="13" t="n">
        <v>2034.573</v>
      </c>
    </row>
    <row r="18">
      <c r="A18" s="6" t="inlineStr">
        <is>
          <t>Net profit, underlying</t>
        </is>
      </c>
      <c r="C18" s="14">
        <f>C16-C17</f>
        <v/>
      </c>
    </row>
    <row r="20" ht="52" customHeight="1">
      <c r="A20" s="18"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4">
      <c r="A4" s="5" t="inlineStr">
        <is>
          <t>EGP million</t>
        </is>
      </c>
      <c r="B4" s="5" t="inlineStr">
        <is>
          <t>30 Jun 2023</t>
        </is>
      </c>
      <c r="C4" s="5" t="inlineStr">
        <is>
          <t>30 Jun 2024</t>
        </is>
      </c>
      <c r="D4" s="5" t="inlineStr">
        <is>
          <t>30 Jun 2025</t>
        </is>
      </c>
      <c r="E4" s="5" t="inlineStr">
        <is>
          <t>31 Mar 2026</t>
        </is>
      </c>
    </row>
    <row r="5">
      <c r="A5" s="6" t="inlineStr">
        <is>
          <t>Net fixed assets</t>
        </is>
      </c>
      <c r="B5" s="13" t="n">
        <v>11300.438</v>
      </c>
      <c r="C5" s="13" t="n">
        <v>14144.067</v>
      </c>
      <c r="D5" s="13" t="n">
        <v>13587.193</v>
      </c>
      <c r="E5" s="13" t="n">
        <v>13057.606</v>
      </c>
    </row>
    <row r="6">
      <c r="A6" s="6" t="inlineStr">
        <is>
          <t>Construction in progress</t>
        </is>
      </c>
      <c r="B6" s="13" t="n">
        <v>56.405</v>
      </c>
      <c r="C6" s="13" t="n">
        <v>2535.135</v>
      </c>
      <c r="D6" s="13" t="n">
        <v>3790.155</v>
      </c>
      <c r="E6" s="13" t="n">
        <v>5653.51</v>
      </c>
    </row>
    <row r="7">
      <c r="A7" s="6" t="inlineStr">
        <is>
          <t>Investment property</t>
        </is>
      </c>
      <c r="B7" s="13" t="n">
        <v>0</v>
      </c>
      <c r="C7" s="13" t="n">
        <v>2034.589</v>
      </c>
      <c r="D7" s="13" t="n">
        <v>2160.62</v>
      </c>
      <c r="E7" s="13" t="n">
        <v>2155.061</v>
      </c>
    </row>
    <row r="8">
      <c r="A8" s="6" t="inlineStr">
        <is>
          <t>Investments at fair value</t>
        </is>
      </c>
      <c r="B8" s="13" t="n">
        <v>1855.435</v>
      </c>
      <c r="C8" s="13" t="n">
        <v>2491.189</v>
      </c>
      <c r="D8" s="13" t="n">
        <v>2163.27</v>
      </c>
      <c r="E8" s="13" t="n">
        <v>1382.886</v>
      </c>
    </row>
    <row r="9">
      <c r="A9" s="6" t="inlineStr">
        <is>
          <t>Intangible assets</t>
        </is>
      </c>
      <c r="B9" s="13" t="n">
        <v>1908.612</v>
      </c>
      <c r="C9" s="13" t="n">
        <v>2376.211</v>
      </c>
      <c r="D9" s="13" t="n">
        <v>2256.834</v>
      </c>
      <c r="E9" s="13" t="n">
        <v>2170.5</v>
      </c>
    </row>
    <row r="10">
      <c r="A10" s="6" t="inlineStr">
        <is>
          <t>Inventory</t>
        </is>
      </c>
      <c r="B10" s="13" t="n">
        <v>1391.802</v>
      </c>
      <c r="C10" s="13" t="n">
        <v>1615.47</v>
      </c>
      <c r="D10" s="13" t="n">
        <v>2399.625</v>
      </c>
      <c r="E10" s="13" t="n">
        <v>3378.16</v>
      </c>
    </row>
    <row r="11">
      <c r="A11" s="6" t="inlineStr">
        <is>
          <t>Receivables</t>
        </is>
      </c>
      <c r="B11" s="13" t="n">
        <v>798.577</v>
      </c>
      <c r="C11" s="13" t="n">
        <v>858.39</v>
      </c>
      <c r="D11" s="13" t="n">
        <v>631.047</v>
      </c>
      <c r="E11" s="13" t="n">
        <v>1230.232</v>
      </c>
    </row>
    <row r="12">
      <c r="A12" s="6" t="inlineStr">
        <is>
          <t>Cash and equivalents</t>
        </is>
      </c>
      <c r="B12" s="13" t="n">
        <v>1416.243</v>
      </c>
      <c r="C12" s="13" t="n">
        <v>3103.365</v>
      </c>
      <c r="D12" s="13" t="n">
        <v>3057.028</v>
      </c>
      <c r="E12" s="13" t="n">
        <v>4606.522</v>
      </c>
    </row>
    <row r="13">
      <c r="A13" s="6" t="inlineStr">
        <is>
          <t>Total assets</t>
        </is>
      </c>
      <c r="B13" s="14">
        <f>SUM(B5:B12)</f>
        <v/>
      </c>
      <c r="C13" s="14">
        <f>SUM(C5:C12)</f>
        <v/>
      </c>
      <c r="D13" s="14">
        <f>SUM(D5:D12)</f>
        <v/>
      </c>
      <c r="E13" s="14">
        <f>SUM(E5:E12)</f>
        <v/>
      </c>
    </row>
    <row r="15">
      <c r="A15" s="6" t="inlineStr">
        <is>
          <t>Paid-in capital</t>
        </is>
      </c>
      <c r="B15" s="13" t="n">
        <v>5932.895</v>
      </c>
      <c r="C15" s="13" t="n">
        <v>9932.895</v>
      </c>
      <c r="D15" s="13" t="n">
        <v>9932.895</v>
      </c>
      <c r="E15" s="13" t="n">
        <v>9932.895</v>
      </c>
    </row>
    <row r="16">
      <c r="A16" s="6" t="inlineStr">
        <is>
          <t>Reserves and retained earnings</t>
        </is>
      </c>
      <c r="B16" s="13" t="n">
        <v>1316.686</v>
      </c>
      <c r="C16" s="13" t="n">
        <v>4627.209</v>
      </c>
      <c r="D16" s="13" t="n">
        <v>5430.17</v>
      </c>
      <c r="E16" s="13" t="n">
        <v>6273.191</v>
      </c>
    </row>
    <row r="17">
      <c r="A17" s="6" t="inlineStr">
        <is>
          <t>Long-term bank loans</t>
        </is>
      </c>
      <c r="B17" s="13" t="n">
        <v>8424.870999999999</v>
      </c>
      <c r="C17" s="13" t="n">
        <v>11226.246</v>
      </c>
      <c r="D17" s="13" t="n">
        <v>11183.315</v>
      </c>
      <c r="E17" s="13" t="n">
        <v>14386.056</v>
      </c>
    </row>
    <row r="18">
      <c r="A18" s="6" t="inlineStr">
        <is>
          <t>Holding-company loans</t>
        </is>
      </c>
      <c r="B18" s="13" t="n">
        <v>50.266</v>
      </c>
      <c r="C18" s="13" t="n">
        <v>0</v>
      </c>
      <c r="D18" s="13" t="n">
        <v>596.896</v>
      </c>
      <c r="E18" s="13" t="n">
        <v>45.955</v>
      </c>
    </row>
    <row r="19">
      <c r="A19" s="6" t="inlineStr">
        <is>
          <t>Deferred tax liability</t>
        </is>
      </c>
      <c r="B19" s="13" t="n">
        <v>1469.472</v>
      </c>
      <c r="C19" s="13" t="n">
        <v>1001.464</v>
      </c>
      <c r="D19" s="13" t="n">
        <v>990.8630000000001</v>
      </c>
      <c r="E19" s="13" t="n">
        <v>961.184</v>
      </c>
    </row>
    <row r="20">
      <c r="A20" s="6" t="inlineStr">
        <is>
          <t>Provisions</t>
        </is>
      </c>
      <c r="B20" s="13" t="n">
        <v>144.359</v>
      </c>
      <c r="C20" s="13" t="n">
        <v>432.156</v>
      </c>
      <c r="D20" s="13" t="n">
        <v>309.113</v>
      </c>
      <c r="E20" s="13" t="n">
        <v>291.769</v>
      </c>
    </row>
    <row r="21">
      <c r="A21" s="6" t="inlineStr">
        <is>
          <t>Payables and other</t>
        </is>
      </c>
      <c r="B21" s="13" t="n">
        <v>1367.845</v>
      </c>
      <c r="C21" s="13" t="n">
        <v>1587.001</v>
      </c>
      <c r="D21" s="13" t="n">
        <v>1207.768</v>
      </c>
      <c r="E21" s="13" t="n">
        <v>1538.968</v>
      </c>
    </row>
    <row r="22">
      <c r="A22" s="6" t="inlineStr">
        <is>
          <t>Current portion of long-term debt</t>
        </is>
      </c>
      <c r="B22" s="13" t="n">
        <v>21.391</v>
      </c>
      <c r="C22" s="13" t="n">
        <v>354.051</v>
      </c>
      <c r="D22" s="13" t="n">
        <v>397.314</v>
      </c>
      <c r="E22" s="13" t="n">
        <v>206.994</v>
      </c>
    </row>
    <row r="23">
      <c r="A23" s="6" t="inlineStr">
        <is>
          <t>Total equity and liabilities</t>
        </is>
      </c>
      <c r="B23" s="14">
        <f>SUM(B15:B22)</f>
        <v/>
      </c>
      <c r="C23" s="14">
        <f>SUM(C15:C22)</f>
        <v/>
      </c>
      <c r="D23" s="14">
        <f>SUM(D15:D22)</f>
        <v/>
      </c>
      <c r="E23" s="14">
        <f>SUM(E15:E22)</f>
        <v/>
      </c>
    </row>
    <row r="24">
      <c r="A24" s="6" t="inlineStr">
        <is>
          <t>Gross interest-bearing debt</t>
        </is>
      </c>
      <c r="B24" s="14">
        <f>B17+B18+B22</f>
        <v/>
      </c>
      <c r="C24" s="14">
        <f>C17+C18+C22</f>
        <v/>
      </c>
      <c r="D24" s="14">
        <f>D17+D18+D22</f>
        <v/>
      </c>
      <c r="E24" s="14">
        <f>E17+E18+E22</f>
        <v/>
      </c>
    </row>
    <row r="25">
      <c r="A25" s="6" t="inlineStr">
        <is>
          <t>Net debt</t>
        </is>
      </c>
      <c r="B25" s="14">
        <f>B24-B12</f>
        <v/>
      </c>
      <c r="C25" s="14">
        <f>C24-C12</f>
        <v/>
      </c>
      <c r="D25" s="14">
        <f>D24-D12</f>
        <v/>
      </c>
      <c r="E25" s="14">
        <f>E24-E12</f>
        <v/>
      </c>
    </row>
    <row r="27">
      <c r="A27" s="10" t="inlineStr">
        <is>
          <t>FORECAST ROLL-FORWARD</t>
        </is>
      </c>
    </row>
    <row r="28">
      <c r="A28" s="5" t="inlineStr">
        <is>
          <t>EGP million</t>
        </is>
      </c>
      <c r="B28" s="5" t="inlineStr">
        <is>
          <t>FY2026/27</t>
        </is>
      </c>
      <c r="C28" s="5" t="inlineStr">
        <is>
          <t>FY2027/28</t>
        </is>
      </c>
      <c r="D28" s="5" t="inlineStr">
        <is>
          <t>FY2028/29</t>
        </is>
      </c>
      <c r="E28" s="5" t="inlineStr">
        <is>
          <t>FY2029/30</t>
        </is>
      </c>
      <c r="F28" s="5" t="inlineStr">
        <is>
          <t>FY2030/31</t>
        </is>
      </c>
    </row>
    <row r="29">
      <c r="A29" s="6" t="inlineStr">
        <is>
          <t>Property and construction, opening</t>
        </is>
      </c>
      <c r="B29" s="13" t="n">
        <v>18711.116</v>
      </c>
      <c r="C29" s="14">
        <f>B32</f>
        <v/>
      </c>
      <c r="D29" s="14">
        <f>C32</f>
        <v/>
      </c>
      <c r="E29" s="14">
        <f>D32</f>
        <v/>
      </c>
      <c r="F29" s="14">
        <f>E32</f>
        <v/>
      </c>
    </row>
    <row r="30">
      <c r="A30" s="6" t="inlineStr">
        <is>
          <t>Capital expenditure</t>
        </is>
      </c>
      <c r="B30" s="24">
        <f>-'DCF'!B12</f>
        <v/>
      </c>
      <c r="C30" s="24">
        <f>-'DCF'!C12</f>
        <v/>
      </c>
      <c r="D30" s="24">
        <f>-'DCF'!D12</f>
        <v/>
      </c>
      <c r="E30" s="24">
        <f>-'DCF'!E12</f>
        <v/>
      </c>
      <c r="F30" s="24">
        <f>-'DCF'!F12</f>
        <v/>
      </c>
    </row>
    <row r="31">
      <c r="A31" s="6" t="inlineStr">
        <is>
          <t>Depreciation and amortisation</t>
        </is>
      </c>
      <c r="B31" s="24">
        <f>'Segments'!B25</f>
        <v/>
      </c>
      <c r="C31" s="24">
        <f>'Segments'!C25</f>
        <v/>
      </c>
      <c r="D31" s="24">
        <f>'Segments'!D25</f>
        <v/>
      </c>
      <c r="E31" s="24">
        <f>'Segments'!E25</f>
        <v/>
      </c>
      <c r="F31" s="24">
        <f>'Segments'!F25</f>
        <v/>
      </c>
    </row>
    <row r="32">
      <c r="A32" s="6" t="inlineStr">
        <is>
          <t>Property and construction, closing</t>
        </is>
      </c>
      <c r="B32" s="14">
        <f>B29+B30-B31</f>
        <v/>
      </c>
      <c r="C32" s="14">
        <f>C29+C30-C31</f>
        <v/>
      </c>
      <c r="D32" s="14">
        <f>D29+D30-D31</f>
        <v/>
      </c>
      <c r="E32" s="14">
        <f>E29+E30-E31</f>
        <v/>
      </c>
      <c r="F32" s="14">
        <f>F29+F30-F31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1"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'Segments'!B18</f>
        <v/>
      </c>
      <c r="C5" s="24">
        <f>'Segments'!C18</f>
        <v/>
      </c>
      <c r="D5" s="24">
        <f>'Segments'!D18</f>
        <v/>
      </c>
      <c r="E5" s="24">
        <f>'Segments'!E18</f>
        <v/>
      </c>
      <c r="F5" s="24">
        <f>'Segments'!F18</f>
        <v/>
      </c>
    </row>
    <row r="6">
      <c r="A6" s="6" t="inlineStr">
        <is>
          <t>Cost of sales</t>
        </is>
      </c>
      <c r="B6" s="24">
        <f>'Segments'!B26</f>
        <v/>
      </c>
      <c r="C6" s="24">
        <f>'Segments'!C26</f>
        <v/>
      </c>
      <c r="D6" s="24">
        <f>'Segments'!D26</f>
        <v/>
      </c>
      <c r="E6" s="24">
        <f>'Segments'!E26</f>
        <v/>
      </c>
      <c r="F6" s="24">
        <f>'Segments'!F26</f>
        <v/>
      </c>
    </row>
    <row r="7">
      <c r="A7" s="6" t="inlineStr">
        <is>
          <t>Receivables</t>
        </is>
      </c>
      <c r="B7" s="14">
        <f>B5*'Assumptions'!C143/365</f>
        <v/>
      </c>
      <c r="C7" s="14">
        <f>C5*'Assumptions'!C143/365</f>
        <v/>
      </c>
      <c r="D7" s="14">
        <f>D5*'Assumptions'!C143/365</f>
        <v/>
      </c>
      <c r="E7" s="14">
        <f>E5*'Assumptions'!C143/365</f>
        <v/>
      </c>
      <c r="F7" s="14">
        <f>F5*'Assumptions'!C143/365</f>
        <v/>
      </c>
    </row>
    <row r="8">
      <c r="A8" s="6" t="inlineStr">
        <is>
          <t>Inventory</t>
        </is>
      </c>
      <c r="B8" s="14">
        <f>B6*'Assumptions'!C144/365</f>
        <v/>
      </c>
      <c r="C8" s="14">
        <f>C6*'Assumptions'!C144/365</f>
        <v/>
      </c>
      <c r="D8" s="14">
        <f>D6*'Assumptions'!C144/365</f>
        <v/>
      </c>
      <c r="E8" s="14">
        <f>E6*'Assumptions'!C144/365</f>
        <v/>
      </c>
      <c r="F8" s="14">
        <f>F6*'Assumptions'!C144/365</f>
        <v/>
      </c>
    </row>
    <row r="9">
      <c r="A9" s="6" t="inlineStr">
        <is>
          <t>Payables</t>
        </is>
      </c>
      <c r="B9" s="14">
        <f>B6*'Assumptions'!C145/365</f>
        <v/>
      </c>
      <c r="C9" s="14">
        <f>C6*'Assumptions'!C145/365</f>
        <v/>
      </c>
      <c r="D9" s="14">
        <f>D6*'Assumptions'!C145/365</f>
        <v/>
      </c>
      <c r="E9" s="14">
        <f>E6*'Assumptions'!C145/365</f>
        <v/>
      </c>
      <c r="F9" s="14">
        <f>F6*'Assumptions'!C145/365</f>
        <v/>
      </c>
    </row>
    <row r="10">
      <c r="A10" s="6" t="inlineStr">
        <is>
          <t>Net working capital</t>
        </is>
      </c>
      <c r="B10" s="14">
        <f>B7+B8-B9</f>
        <v/>
      </c>
      <c r="C10" s="14">
        <f>C7+C8-C9</f>
        <v/>
      </c>
      <c r="D10" s="14">
        <f>D7+D8-D9</f>
        <v/>
      </c>
      <c r="E10" s="14">
        <f>E7+E8-E9</f>
        <v/>
      </c>
      <c r="F10" s="14">
        <f>F7+F8-F9</f>
        <v/>
      </c>
    </row>
    <row r="11">
      <c r="A11" s="6" t="inlineStr">
        <is>
          <t>Opening net working capital, 31 March 2026 as reported</t>
        </is>
      </c>
      <c r="B11" s="13" t="n">
        <v>3069.424</v>
      </c>
    </row>
    <row r="12">
      <c r="A12" s="6" t="inlineStr">
        <is>
          <t>Change in net working capital</t>
        </is>
      </c>
      <c r="B12" s="14">
        <f>B10-B11</f>
        <v/>
      </c>
      <c r="C12" s="14">
        <f>C10-B10</f>
        <v/>
      </c>
      <c r="D12" s="14">
        <f>D10-C10</f>
        <v/>
      </c>
      <c r="E12" s="14">
        <f>E10-D10</f>
        <v/>
      </c>
      <c r="F12" s="14">
        <f>F10-E10</f>
        <v/>
      </c>
    </row>
    <row r="14">
      <c r="A14" s="10" t="inlineStr">
        <is>
          <t>Free cash flow to the firm</t>
        </is>
      </c>
      <c r="B14" s="24">
        <f>'DCF'!B14</f>
        <v/>
      </c>
      <c r="C14" s="24">
        <f>'DCF'!C14</f>
        <v/>
      </c>
      <c r="D14" s="24">
        <f>'DCF'!D14</f>
        <v/>
      </c>
      <c r="E14" s="24">
        <f>'DCF'!E14</f>
        <v/>
      </c>
      <c r="F14" s="24">
        <f>'DCF'!F14</f>
        <v/>
      </c>
    </row>
    <row r="20">
      <c r="A20" s="10" t="inlineStr">
        <is>
          <t>CAPITAL EXPENDITURE RECORD — WHAT THE COMPANY ACTUALLY SPENDS</t>
        </is>
      </c>
    </row>
    <row r="21">
      <c r="A21" s="5" t="inlineStr">
        <is>
          <t>Year</t>
        </is>
      </c>
      <c r="B21" s="5" t="inlineStr">
        <is>
          <t>Capital expenditure paid (EGP m)</t>
        </is>
      </c>
      <c r="C21" s="5" t="inlineStr">
        <is>
          <t>Revenue (EGP m)</t>
        </is>
      </c>
      <c r="D21" s="5" t="inlineStr">
        <is>
          <t>Of revenue</t>
        </is>
      </c>
      <c r="E21" s="5" t="inlineStr">
        <is>
          <t>What it was</t>
        </is>
      </c>
    </row>
    <row r="22">
      <c r="A22" s="6" t="inlineStr">
        <is>
          <t>FY2021/22</t>
        </is>
      </c>
      <c r="B22" s="20" t="n">
        <v>80.847245</v>
      </c>
      <c r="C22" s="13" t="n">
        <v>4440.701</v>
      </c>
      <c r="D22" s="8">
        <f>B22/C22</f>
        <v/>
      </c>
      <c r="E22" s="6" t="inlineStr">
        <is>
          <t>Before the project</t>
        </is>
      </c>
    </row>
    <row r="23">
      <c r="A23" s="6" t="inlineStr">
        <is>
          <t>FY2022/23</t>
        </is>
      </c>
      <c r="B23" s="20" t="n">
        <v>42.470154</v>
      </c>
      <c r="C23" s="13" t="n">
        <v>6612.226</v>
      </c>
      <c r="D23" s="8">
        <f>B23/C23</f>
        <v/>
      </c>
      <c r="E23" s="6" t="inlineStr">
        <is>
          <t>Before the project</t>
        </is>
      </c>
    </row>
    <row r="24">
      <c r="A24" s="6" t="inlineStr">
        <is>
          <t>FY2023/24</t>
        </is>
      </c>
      <c r="B24" s="20" t="n">
        <v>2396.608259</v>
      </c>
      <c r="C24" s="13" t="n">
        <v>6532.126</v>
      </c>
      <c r="D24" s="8">
        <f>B24/C24</f>
        <v/>
      </c>
      <c r="E24" s="6" t="inlineStr">
        <is>
          <t>The build begins</t>
        </is>
      </c>
    </row>
    <row r="25">
      <c r="A25" s="6" t="inlineStr">
        <is>
          <t>FY2024/25</t>
        </is>
      </c>
      <c r="B25" s="20" t="n">
        <v>1545.053761</v>
      </c>
      <c r="C25" s="13" t="n">
        <v>8602.606</v>
      </c>
      <c r="D25" s="8">
        <f>B25/C25</f>
        <v/>
      </c>
      <c r="E25" s="6" t="inlineStr">
        <is>
          <t>Building</t>
        </is>
      </c>
    </row>
    <row r="26">
      <c r="A26" s="6" t="inlineStr">
        <is>
          <t>9M FY2025/26</t>
        </is>
      </c>
      <c r="B26" s="20" t="n">
        <v>1949.134461</v>
      </c>
      <c r="C26" s="13" t="n">
        <v>7314.933</v>
      </c>
      <c r="D26" s="8">
        <f>B26/C26</f>
        <v/>
      </c>
      <c r="E26" s="6" t="inlineStr">
        <is>
          <t>Nine months actual</t>
        </is>
      </c>
    </row>
    <row r="28">
      <c r="A28" s="6" t="inlineStr">
        <is>
          <t>Pre-project maintenance rate, the two clean years pooled</t>
        </is>
      </c>
      <c r="D28" s="15">
        <f>(B22+B23)/(C22+C23)</f>
        <v/>
      </c>
      <c r="E28" s="6" t="inlineStr">
        <is>
          <t>THE MAINTENANCE DRIVER. Assumptions reads this cell.</t>
        </is>
      </c>
    </row>
    <row r="29">
      <c r="A29" s="6" t="inlineStr">
        <is>
          <t>Replacement-rate framing, the published alternative</t>
        </is>
      </c>
      <c r="B29" s="13" t="n">
        <v>17022.493</v>
      </c>
      <c r="C29" s="23" t="n">
        <v>0.0395</v>
      </c>
      <c r="D29" s="8">
        <f>B29*C29/B5</f>
        <v/>
      </c>
      <c r="E29" s="6" t="inlineStr">
        <is>
          <t>Gross fixed assets at the disclosed machinery rate, over first-forecast-year revenue. NOT used in the valuation — the downside case, published beside the central and never averaged in.</t>
        </is>
      </c>
    </row>
    <row r="30">
      <c r="A30" s="6" t="inlineStr">
        <is>
          <t>Full-year project spend at the observed run rate</t>
        </is>
      </c>
      <c r="B30" s="26">
        <f>B26*4/3</f>
        <v/>
      </c>
      <c r="E30" s="6" t="inlineStr">
        <is>
          <t>THE PROJECT PATH'S FIRST YEAR. Assumptions reads this cell.</t>
        </is>
      </c>
    </row>
    <row r="31">
      <c r="A31" s="6" t="inlineStr">
        <is>
          <t>Rate when the facility was signed, 25 June 2025</t>
        </is>
      </c>
      <c r="B31" s="12" t="n">
        <v>50</v>
      </c>
      <c r="E31" s="6" t="inlineStr">
        <is>
          <t>EGP per US dollar</t>
        </is>
      </c>
    </row>
    <row r="32">
      <c r="A32" s="6" t="inlineStr">
        <is>
          <t>Approved cost of the programme (EGP m)</t>
        </is>
      </c>
      <c r="B32" s="13" t="n">
        <v>6422.418</v>
      </c>
      <c r="C32" s="20" t="n">
        <v>278.385</v>
      </c>
      <c r="D32" s="14">
        <f>B32+C32*B31</f>
        <v/>
      </c>
      <c r="E32" s="6" t="inlineStr">
        <is>
          <t>EGP tranche, dollar tranche, and the two in one currency</t>
        </is>
      </c>
    </row>
    <row r="33">
      <c r="A33" s="6" t="inlineStr">
        <is>
          <t>Spent by 31 March 2026 (construction in progress)</t>
        </is>
      </c>
      <c r="B33" s="13" t="n">
        <v>5653.51</v>
      </c>
    </row>
    <row r="34">
      <c r="A34" s="6" t="inlineStr">
        <is>
          <t>Still to spend</t>
        </is>
      </c>
      <c r="D34" s="14">
        <f>D32-B33</f>
        <v/>
      </c>
      <c r="E34" s="6" t="inlineStr">
        <is>
          <t>THE PROJECT PATH'S LAST YEAR is this less the four before it, so the path completes the programme by construction</t>
        </is>
      </c>
    </row>
    <row r="36" ht="39" customHeight="1">
      <c r="A36" s="18"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SUMMARY FINANCIALS — THE WHOLE MODEL ON ONE PAGE</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'DCF'!B5</f>
        <v/>
      </c>
      <c r="C5" s="24">
        <f>'DCF'!C5</f>
        <v/>
      </c>
      <c r="D5" s="24">
        <f>'DCF'!D5</f>
        <v/>
      </c>
      <c r="E5" s="24">
        <f>'DCF'!E5</f>
        <v/>
      </c>
      <c r="F5" s="24">
        <f>'DCF'!F5</f>
        <v/>
      </c>
    </row>
    <row r="6">
      <c r="A6" s="6" t="inlineStr">
        <is>
          <t>EBITDA</t>
        </is>
      </c>
      <c r="B6" s="24">
        <f>'DCF'!B6</f>
        <v/>
      </c>
      <c r="C6" s="24">
        <f>'DCF'!C6</f>
        <v/>
      </c>
      <c r="D6" s="24">
        <f>'DCF'!D6</f>
        <v/>
      </c>
      <c r="E6" s="24">
        <f>'DCF'!E6</f>
        <v/>
      </c>
      <c r="F6" s="24">
        <f>'DCF'!F6</f>
        <v/>
      </c>
    </row>
    <row r="7">
      <c r="A7" s="6" t="inlineStr">
        <is>
          <t>EBITDA margin</t>
        </is>
      </c>
      <c r="B7" s="25">
        <f>'DCF'!B7</f>
        <v/>
      </c>
      <c r="C7" s="25">
        <f>'DCF'!C7</f>
        <v/>
      </c>
      <c r="D7" s="25">
        <f>'DCF'!D7</f>
        <v/>
      </c>
      <c r="E7" s="25">
        <f>'DCF'!E7</f>
        <v/>
      </c>
      <c r="F7" s="25">
        <f>'DCF'!F7</f>
        <v/>
      </c>
    </row>
    <row r="8">
      <c r="A8" s="6" t="inlineStr">
        <is>
          <t>EBIT</t>
        </is>
      </c>
      <c r="B8" s="24">
        <f>'DCF'!B9</f>
        <v/>
      </c>
      <c r="C8" s="24">
        <f>'DCF'!C9</f>
        <v/>
      </c>
      <c r="D8" s="24">
        <f>'DCF'!D9</f>
        <v/>
      </c>
      <c r="E8" s="24">
        <f>'DCF'!E9</f>
        <v/>
      </c>
      <c r="F8" s="24">
        <f>'DCF'!F9</f>
        <v/>
      </c>
    </row>
    <row r="9">
      <c r="A9" s="6" t="inlineStr">
        <is>
          <t>NOPAT</t>
        </is>
      </c>
      <c r="B9" s="24">
        <f>'DCF'!B10</f>
        <v/>
      </c>
      <c r="C9" s="24">
        <f>'DCF'!C10</f>
        <v/>
      </c>
      <c r="D9" s="24">
        <f>'DCF'!D10</f>
        <v/>
      </c>
      <c r="E9" s="24">
        <f>'DCF'!E10</f>
        <v/>
      </c>
      <c r="F9" s="24">
        <f>'DCF'!F10</f>
        <v/>
      </c>
    </row>
    <row r="10">
      <c r="A10" s="6" t="inlineStr">
        <is>
          <t>Capital expenditure</t>
        </is>
      </c>
      <c r="B10" s="24">
        <f>-'DCF'!B12</f>
        <v/>
      </c>
      <c r="C10" s="24">
        <f>-'DCF'!C12</f>
        <v/>
      </c>
      <c r="D10" s="24">
        <f>-'DCF'!D12</f>
        <v/>
      </c>
      <c r="E10" s="24">
        <f>-'DCF'!E12</f>
        <v/>
      </c>
      <c r="F10" s="24">
        <f>-'DCF'!F12</f>
        <v/>
      </c>
    </row>
    <row r="11">
      <c r="A11" s="6" t="inlineStr">
        <is>
          <t>Free cash flow to the firm</t>
        </is>
      </c>
      <c r="B11" s="24">
        <f>'DCF'!B14</f>
        <v/>
      </c>
      <c r="C11" s="24">
        <f>'DCF'!C14</f>
        <v/>
      </c>
      <c r="D11" s="24">
        <f>'DCF'!D14</f>
        <v/>
      </c>
      <c r="E11" s="24">
        <f>'DCF'!E14</f>
        <v/>
      </c>
      <c r="F11" s="24">
        <f>'DCF'!F14</f>
        <v/>
      </c>
    </row>
    <row r="12">
      <c r="A12" s="6" t="inlineStr">
        <is>
          <t>Present value</t>
        </is>
      </c>
      <c r="B12" s="24">
        <f>'DCF'!B17</f>
        <v/>
      </c>
      <c r="C12" s="24">
        <f>'DCF'!C17</f>
        <v/>
      </c>
      <c r="D12" s="24">
        <f>'DCF'!D17</f>
        <v/>
      </c>
      <c r="E12" s="24">
        <f>'DCF'!E17</f>
        <v/>
      </c>
      <c r="F12" s="24">
        <f>'DCF'!F17</f>
        <v/>
      </c>
    </row>
    <row r="13">
      <c r="A13" s="6" t="inlineStr">
        <is>
          <t>Urea output (tonnes)</t>
        </is>
      </c>
      <c r="B13" s="24">
        <f>'Segments'!B5</f>
        <v/>
      </c>
      <c r="C13" s="24">
        <f>'Segments'!C5</f>
        <v/>
      </c>
      <c r="D13" s="24">
        <f>'Segments'!D5</f>
        <v/>
      </c>
      <c r="E13" s="24">
        <f>'Segments'!E5</f>
        <v/>
      </c>
      <c r="F13" s="24">
        <f>'Segments'!F5</f>
        <v/>
      </c>
    </row>
    <row r="14">
      <c r="A14" s="6" t="inlineStr">
        <is>
          <t>Export tonnes</t>
        </is>
      </c>
      <c r="B14" s="24">
        <f>'Segments'!B9</f>
        <v/>
      </c>
      <c r="C14" s="24">
        <f>'Segments'!C9</f>
        <v/>
      </c>
      <c r="D14" s="24">
        <f>'Segments'!D9</f>
        <v/>
      </c>
      <c r="E14" s="24">
        <f>'Segments'!E9</f>
        <v/>
      </c>
      <c r="F14" s="24">
        <f>'Segments'!F9</f>
        <v/>
      </c>
    </row>
    <row r="15">
      <c r="A15" s="6" t="inlineStr">
        <is>
          <t>Export price (US$/t)</t>
        </is>
      </c>
      <c r="B15" s="29">
        <f>'Assumptions'!C33</f>
        <v/>
      </c>
      <c r="C15" s="29">
        <f>'Assumptions'!C34</f>
        <v/>
      </c>
      <c r="D15" s="29">
        <f>'Assumptions'!C35</f>
        <v/>
      </c>
      <c r="E15" s="29">
        <f>'Assumptions'!C36</f>
        <v/>
      </c>
      <c r="F15" s="29">
        <f>'Assumptions'!C37</f>
        <v/>
      </c>
    </row>
    <row r="17">
      <c r="A17" s="10" t="inlineStr">
        <is>
          <t>YEARS THREE TO FIVE AS RANGES — multipliers measured on the company's own history</t>
        </is>
      </c>
    </row>
    <row r="18">
      <c r="A18" s="17" t="inlineStr">
        <is>
          <t>Every figure below carries the number of tested cases it rests on; years one and two are left as points.</t>
        </is>
      </c>
    </row>
    <row r="19">
      <c r="A19" s="6" t="inlineStr">
        <is>
          <t>Revenue — low multiplier</t>
        </is>
      </c>
      <c r="B19" s="6" t="inlineStr">
        <is>
          <t>x</t>
        </is>
      </c>
      <c r="D19" s="12" t="n">
        <v>0.1069686834967414</v>
      </c>
      <c r="E19" s="12" t="n">
        <v>0.03552011926544611</v>
      </c>
      <c r="F19" s="12" t="n">
        <v>0.08110877268123269</v>
      </c>
    </row>
    <row r="20">
      <c r="A20" s="6" t="inlineStr">
        <is>
          <t>Revenue — high multiplier</t>
        </is>
      </c>
      <c r="B20" s="6" t="inlineStr">
        <is>
          <t>x</t>
        </is>
      </c>
      <c r="D20" s="12" t="n">
        <v>1.175302100818497</v>
      </c>
      <c r="E20" s="12" t="n">
        <v>1.200422895691029</v>
      </c>
      <c r="F20" s="12" t="n">
        <v>1.329161397512898</v>
      </c>
    </row>
    <row r="21">
      <c r="A21" s="6" t="inlineStr">
        <is>
          <t>Revenue — low of the range (EGP m)</t>
        </is>
      </c>
      <c r="D21" s="24">
        <f>'DCF'!D5*D19</f>
        <v/>
      </c>
      <c r="E21" s="24">
        <f>'DCF'!E5*E19</f>
        <v/>
      </c>
      <c r="F21" s="24">
        <f>'DCF'!F5*F19</f>
        <v/>
      </c>
    </row>
    <row r="22">
      <c r="A22" s="6" t="inlineStr">
        <is>
          <t>Revenue — high of the range (EGP m)</t>
        </is>
      </c>
      <c r="D22" s="24">
        <f>'DCF'!D5*D20</f>
        <v/>
      </c>
      <c r="E22" s="24">
        <f>'DCF'!E5*E20</f>
        <v/>
      </c>
      <c r="F22" s="24">
        <f>'DCF'!F5*F20</f>
        <v/>
      </c>
    </row>
    <row r="23">
      <c r="A23" s="6" t="inlineStr">
        <is>
          <t>Tested cases behind the revenue band</t>
        </is>
      </c>
      <c r="D23" s="13" t="n">
        <v>11</v>
      </c>
      <c r="E23" s="13" t="n">
        <v>10</v>
      </c>
      <c r="F23" s="13" t="n">
        <v>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1"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4">
      <c r="A4" s="5" t="inlineStr">
        <is>
          <t>Percentile</t>
        </is>
      </c>
      <c r="B4" s="5" t="inlineStr">
        <is>
          <t>One month (EGP)</t>
        </is>
      </c>
      <c r="C4" s="5" t="inlineStr">
        <is>
          <t>Three months (EGP)</t>
        </is>
      </c>
      <c r="D4" s="5" t="inlineStr">
        <is>
          <t>Against spot, 1M</t>
        </is>
      </c>
      <c r="E4" s="5" t="inlineStr">
        <is>
          <t>Against spot, 3M</t>
        </is>
      </c>
    </row>
    <row r="5">
      <c r="A5" s="6" t="inlineStr">
        <is>
          <t>Percentile 5</t>
        </is>
      </c>
      <c r="B5" s="12" t="n">
        <v>12.04</v>
      </c>
      <c r="C5" s="12" t="n">
        <v>10.69</v>
      </c>
      <c r="D5" s="8">
        <f>B5/$B$12-1</f>
        <v/>
      </c>
      <c r="E5" s="8">
        <f>C5/$B$12-1</f>
        <v/>
      </c>
    </row>
    <row r="6">
      <c r="A6" s="6" t="inlineStr">
        <is>
          <t>Percentile 25</t>
        </is>
      </c>
      <c r="B6" s="12" t="n">
        <v>13.35</v>
      </c>
      <c r="C6" s="12" t="n">
        <v>13.03</v>
      </c>
      <c r="D6" s="8">
        <f>B6/$B$12-1</f>
        <v/>
      </c>
      <c r="E6" s="8">
        <f>C6/$B$12-1</f>
        <v/>
      </c>
    </row>
    <row r="7">
      <c r="A7" s="6" t="inlineStr">
        <is>
          <t>Percentile 50</t>
        </is>
      </c>
      <c r="B7" s="12" t="n">
        <v>14.19</v>
      </c>
      <c r="C7" s="12" t="n">
        <v>14.64</v>
      </c>
      <c r="D7" s="8">
        <f>B7/$B$12-1</f>
        <v/>
      </c>
      <c r="E7" s="8">
        <f>C7/$B$12-1</f>
        <v/>
      </c>
    </row>
    <row r="8">
      <c r="A8" s="6" t="inlineStr">
        <is>
          <t>Percentile 75</t>
        </is>
      </c>
      <c r="B8" s="12" t="n">
        <v>15.09</v>
      </c>
      <c r="C8" s="12" t="n">
        <v>16.43</v>
      </c>
      <c r="D8" s="8">
        <f>B8/$B$12-1</f>
        <v/>
      </c>
      <c r="E8" s="8">
        <f>C8/$B$12-1</f>
        <v/>
      </c>
    </row>
    <row r="9">
      <c r="A9" s="6" t="inlineStr">
        <is>
          <t>Percentile 95</t>
        </is>
      </c>
      <c r="B9" s="12" t="n">
        <v>16.73</v>
      </c>
      <c r="C9" s="12" t="n">
        <v>20.04</v>
      </c>
      <c r="D9" s="8">
        <f>B9/$B$12-1</f>
        <v/>
      </c>
      <c r="E9" s="8">
        <f>C9/$B$12-1</f>
        <v/>
      </c>
    </row>
    <row r="11">
      <c r="A11" s="6" t="inlineStr">
        <is>
          <t>Probability the price ends above today's</t>
        </is>
      </c>
      <c r="B11" s="15" t="n">
        <v>0.56706</v>
      </c>
      <c r="C11" s="15" t="n">
        <v>0.60656</v>
      </c>
    </row>
    <row r="12">
      <c r="A12" s="6" t="inlineStr">
        <is>
          <t>Spot at the anchor date</t>
        </is>
      </c>
      <c r="B12" s="12" t="n">
        <v>14.41</v>
      </c>
    </row>
    <row r="13">
      <c r="A13" s="6" t="inlineStr">
        <is>
          <t>Anchor date</t>
        </is>
      </c>
      <c r="B13" s="6" t="inlineStr">
        <is>
          <t>2026-08-06</t>
        </is>
      </c>
    </row>
    <row r="14">
      <c r="A14" s="6" t="inlineStr">
        <is>
          <t>Check date</t>
        </is>
      </c>
      <c r="B14" s="6" t="inlineStr">
        <is>
          <t>2026-09-06</t>
        </is>
      </c>
      <c r="C14" s="6" t="inlineStr">
        <is>
          <t>2026-11-08</t>
        </is>
      </c>
    </row>
    <row r="16">
      <c r="A16" s="10" t="inlineStr">
        <is>
          <t>LEVEL-TOUCH LADDER — probability the price TRADES THROUGH a level at any point before the check date</t>
        </is>
      </c>
    </row>
    <row r="17">
      <c r="A17" s="5" t="inlineStr">
        <is>
          <t>Level</t>
        </is>
      </c>
      <c r="B17" s="5" t="inlineStr">
        <is>
          <t>One month</t>
        </is>
      </c>
      <c r="C17" s="5" t="inlineStr">
        <is>
          <t>Three months</t>
        </is>
      </c>
    </row>
    <row r="18">
      <c r="A18" s="6" t="inlineStr">
        <is>
          <t>Up 5%</t>
        </is>
      </c>
      <c r="B18" s="15" t="n">
        <v>0.5606</v>
      </c>
      <c r="C18" s="15" t="n">
        <v>0.7869</v>
      </c>
    </row>
    <row r="19">
      <c r="A19" s="6" t="inlineStr">
        <is>
          <t>Up 10%</t>
        </is>
      </c>
      <c r="B19" s="15" t="n">
        <v>0.3006</v>
      </c>
      <c r="C19" s="15" t="n">
        <v>0.61668</v>
      </c>
    </row>
    <row r="20">
      <c r="A20" s="6" t="inlineStr">
        <is>
          <t>Up 15%</t>
        </is>
      </c>
      <c r="B20" s="15" t="n">
        <v>0.148</v>
      </c>
      <c r="C20" s="15" t="n">
        <v>0.47072</v>
      </c>
    </row>
    <row r="21">
      <c r="A21" s="6" t="inlineStr">
        <is>
          <t>Up 20%</t>
        </is>
      </c>
      <c r="B21" s="15" t="n">
        <v>0.07272000000000001</v>
      </c>
      <c r="C21" s="15" t="n">
        <v>0.34748</v>
      </c>
    </row>
    <row r="22">
      <c r="A22" s="6" t="inlineStr">
        <is>
          <t>Down 5%</t>
        </is>
      </c>
      <c r="B22" s="15" t="n">
        <v>0.4361</v>
      </c>
      <c r="C22" s="15" t="n">
        <v>0.6341599999999999</v>
      </c>
    </row>
    <row r="23">
      <c r="A23" s="6" t="inlineStr">
        <is>
          <t>Down 10%</t>
        </is>
      </c>
      <c r="B23" s="15" t="n">
        <v>0.1831</v>
      </c>
      <c r="C23" s="15" t="n">
        <v>0.40808</v>
      </c>
    </row>
    <row r="24">
      <c r="A24" s="6" t="inlineStr">
        <is>
          <t>Down 15%</t>
        </is>
      </c>
      <c r="B24" s="15" t="n">
        <v>0.06858</v>
      </c>
      <c r="C24" s="15" t="n">
        <v>0.24862</v>
      </c>
    </row>
    <row r="25">
      <c r="A25" s="6" t="inlineStr">
        <is>
          <t>Down 20%</t>
        </is>
      </c>
      <c r="B25" s="15" t="n">
        <v>0.02568</v>
      </c>
      <c r="C25" s="15" t="n">
        <v>0.14526</v>
      </c>
    </row>
    <row r="27" ht="52" customHeight="1">
      <c r="A27" s="18"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4">
      <c r="A4" s="10" t="inlineStr">
        <is>
          <t>Value per share (EGP) — long-run export price against the terminal cost of capital</t>
        </is>
      </c>
    </row>
    <row r="5">
      <c r="B5" s="5" t="inlineStr">
        <is>
          <t>17.0% terminal</t>
        </is>
      </c>
      <c r="C5" s="5" t="inlineStr">
        <is>
          <t>18.5% terminal</t>
        </is>
      </c>
      <c r="D5" s="5" t="inlineStr">
        <is>
          <t>20.4% terminal</t>
        </is>
      </c>
      <c r="E5" s="5" t="inlineStr">
        <is>
          <t>22.0% terminal</t>
        </is>
      </c>
      <c r="F5" s="5" t="inlineStr">
        <is>
          <t>24.0% terminal</t>
        </is>
      </c>
    </row>
    <row r="6">
      <c r="A6" s="6" t="inlineStr">
        <is>
          <t>US$ 380/t long-run export price</t>
        </is>
      </c>
      <c r="B6" s="12" t="n">
        <v>-2.64</v>
      </c>
      <c r="C6" s="12" t="n">
        <v>-2.76</v>
      </c>
      <c r="D6" s="12" t="n">
        <v>-2.88</v>
      </c>
      <c r="E6" s="12" t="n">
        <v>-2.95</v>
      </c>
      <c r="F6" s="12" t="n">
        <v>-3.02</v>
      </c>
    </row>
    <row r="7">
      <c r="A7" s="6" t="inlineStr">
        <is>
          <t>US$ 420/t long-run export price</t>
        </is>
      </c>
      <c r="B7" s="12" t="n">
        <v>-1.08</v>
      </c>
      <c r="C7" s="12" t="n">
        <v>-1.3</v>
      </c>
      <c r="D7" s="12" t="n">
        <v>-1.51</v>
      </c>
      <c r="E7" s="12" t="n">
        <v>-1.65</v>
      </c>
      <c r="F7" s="12" t="n">
        <v>-1.78</v>
      </c>
    </row>
    <row r="8">
      <c r="A8" s="6" t="inlineStr">
        <is>
          <t>US$ 460/t long-run export price</t>
        </is>
      </c>
      <c r="B8" s="12" t="n">
        <v>0.49</v>
      </c>
      <c r="C8" s="12" t="n">
        <v>0.16</v>
      </c>
      <c r="D8" s="12" t="n">
        <v>-0.14</v>
      </c>
      <c r="E8" s="12" t="n">
        <v>-0.34</v>
      </c>
      <c r="F8" s="12" t="n">
        <v>-0.53</v>
      </c>
    </row>
    <row r="9">
      <c r="A9" s="6" t="inlineStr">
        <is>
          <t>US$ 500/t long-run export price</t>
        </is>
      </c>
      <c r="B9" s="12" t="n">
        <v>2.05</v>
      </c>
      <c r="C9" s="12" t="n">
        <v>1.63</v>
      </c>
      <c r="D9" s="12" t="n">
        <v>1.23</v>
      </c>
      <c r="E9" s="12" t="n">
        <v>0.97</v>
      </c>
      <c r="F9" s="12" t="n">
        <v>0.71</v>
      </c>
    </row>
    <row r="10">
      <c r="A10" s="6" t="inlineStr">
        <is>
          <t>US$ 540/t long-run export price</t>
        </is>
      </c>
      <c r="B10" s="12" t="n">
        <v>3.61</v>
      </c>
      <c r="C10" s="12" t="n">
        <v>3.09</v>
      </c>
      <c r="D10" s="12" t="n">
        <v>2.59</v>
      </c>
      <c r="E10" s="12" t="n">
        <v>2.27</v>
      </c>
      <c r="F10" s="12" t="n">
        <v>1.96</v>
      </c>
    </row>
    <row r="13" ht="52" customHeight="1">
      <c r="A13" s="18"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5">
      <c r="A15" s="10" t="inlineStr">
        <is>
          <t>THE CONTESTED CONSTRUCTIONS — one component moved, model re-run</t>
        </is>
      </c>
      <c r="C15" s="6" t="inlineStr">
        <is>
          <t>The published answer</t>
        </is>
      </c>
      <c r="D15" s="11">
        <f>'DCF'!B44</f>
        <v/>
      </c>
    </row>
    <row r="16">
      <c r="A16" s="5" t="inlineStr">
        <is>
          <t>Choice made</t>
        </is>
      </c>
      <c r="B16" s="5" t="inlineStr">
        <is>
          <t>The alternative</t>
        </is>
      </c>
      <c r="C16" s="5" t="inlineStr">
        <is>
          <t>EGP/share</t>
        </is>
      </c>
      <c r="D16" s="5" t="inlineStr">
        <is>
          <t>Against the published</t>
        </is>
      </c>
    </row>
    <row r="17" ht="26" customHeight="1">
      <c r="A17" s="9" t="inlineStr">
        <is>
          <t>Country risk priced off the sovereign's credit rating</t>
        </is>
      </c>
      <c r="B17" s="9" t="inlineStr">
        <is>
          <t>Priced off the sovereign's traded default swap instead, which is the narrower of the two spreads</t>
        </is>
      </c>
      <c r="C17" s="12" t="n">
        <v>1.785377453868092</v>
      </c>
      <c r="D17" s="11">
        <f>C17-$D$15</f>
        <v/>
      </c>
    </row>
    <row r="18" ht="26" customHeight="1">
      <c r="A18" s="9" t="inlineStr">
        <is>
          <t>A cost of capital that glides from its spot build to a terminal rate made from its own long-run components</t>
        </is>
      </c>
      <c r="B18" s="9" t="inlineStr">
        <is>
          <t>One flat spot rate applied to every explicit year and to the perpetuity</t>
        </is>
      </c>
      <c r="C18" s="12" t="n">
        <v>0.3670158141445878</v>
      </c>
      <c r="D18" s="11">
        <f>C18-$D$15</f>
        <v/>
      </c>
    </row>
    <row r="19" ht="26" customHeight="1">
      <c r="A19" s="9" t="inlineStr">
        <is>
          <t>Terminal growth at the central bank's medium-term inflation target</t>
        </is>
      </c>
      <c r="B19" s="9" t="inlineStr">
        <is>
          <t>Two percentage points below it, which is negative real maintenance growth</t>
        </is>
      </c>
      <c r="C19" s="12" t="n">
        <v>1.681839374144488</v>
      </c>
      <c r="D19" s="11">
        <f>C19-$D$15</f>
        <v/>
      </c>
    </row>
    <row r="20" ht="26" customHeight="1">
      <c r="A20" s="9" t="inlineStr">
        <is>
          <t>The cost of debt at the company's own disclosed rates — 19.4% on the local facility, 11.7% in dollars on the project loan carried at local-equivalent cost on the derived currency path, 20.0% in year one gliding to 13.9% at the terminal</t>
        </is>
      </c>
      <c r="B20" s="9" t="inlineStr">
        <is>
          <t>Every leg floored at the 23.00% sovereign ten-year yield — the company's own facilities print no spread above the policy rate, so no spread is added</t>
        </is>
      </c>
      <c r="C20" s="12" t="n">
        <v>0.9828446765320163</v>
      </c>
      <c r="D20" s="11">
        <f>C20-$D$15</f>
        <v/>
      </c>
    </row>
    <row r="21" ht="26" customHeight="1">
      <c r="A21" s="9" t="inlineStr">
        <is>
          <t>Beta from the five-year weekly regression of the share against the published EGX30 index</t>
        </is>
      </c>
      <c r="B21" s="9" t="inlineStr">
        <is>
          <t>The lower bound of that regression's own 90% confidence interval</t>
        </is>
      </c>
      <c r="C21" s="12" t="n">
        <v>2.859085724910241</v>
      </c>
      <c r="D21" s="11">
        <f>C21-$D$15</f>
        <v/>
      </c>
    </row>
    <row r="22" ht="26" customHeight="1">
      <c r="A22" s="9" t="inlineStr">
        <is>
          <t>Gas at the realised price the company's own loss disclosure implies</t>
        </is>
      </c>
      <c r="B22" s="9" t="inlineStr">
        <is>
          <t>The contract formula price in the operating agreement, which is higher</t>
        </is>
      </c>
      <c r="C22" s="12" t="n">
        <v>-0.1265904861401076</v>
      </c>
      <c r="D22" s="11">
        <f>C22-$D$15</f>
        <v/>
      </c>
    </row>
    <row r="23" ht="26" customHeight="1">
      <c r="A23" s="9" t="inlineStr">
        <is>
          <t>The new complex earning at half its derived nameplate in the terminal year</t>
        </is>
      </c>
      <c r="B23" s="9" t="inlineStr">
        <is>
          <t>Seventy per cent, which is what a well-run nitrate line achieves</t>
        </is>
      </c>
      <c r="C23" s="12" t="n">
        <v>2.015514431643158</v>
      </c>
      <c r="D23" s="11">
        <f>C23-$D$15</f>
        <v/>
      </c>
    </row>
    <row r="24" ht="26" customHeight="1">
      <c r="A24" s="9" t="inlineStr">
        <is>
          <t>Maintenance capital expenditure at the company's own observed pre-project rate of 1.12% of revenue</t>
        </is>
      </c>
      <c r="B24" s="9" t="inlineStr">
        <is>
          <t>Replacement-rate maintenance: gross fixed assets at the disclosed 3.95% machinery depreciation rate, or 6.11% of revenue</t>
        </is>
      </c>
      <c r="C24" s="12" t="n">
        <v>0.9216105075155367</v>
      </c>
      <c r="D24" s="11">
        <f>C24-$D$15</f>
        <v/>
      </c>
    </row>
    <row r="25" ht="26" customHeight="1">
      <c r="A25" s="9" t="inlineStr">
        <is>
          <t>Terminal reinvestment of 38.9% of operating profit after tax, from growth over an 18% return on capital</t>
        </is>
      </c>
      <c r="B25" s="9" t="inlineStr">
        <is>
          <t>23.3%, from a 30% return on capital — the rate a newly completed plant earns on incremental capital while it is still filling</t>
        </is>
      </c>
      <c r="C25" s="12" t="n">
        <v>2.624416745702623</v>
      </c>
      <c r="D25" s="11">
        <f>C25-$D$15</f>
        <v/>
      </c>
    </row>
    <row r="26" ht="26" customHeight="1">
      <c r="A26" s="9" t="inlineStr">
        <is>
          <t>Project spending anchored on the observed run rate: the nine-month actual extended to a full year</t>
        </is>
      </c>
      <c r="B26" s="9" t="inlineStr">
        <is>
          <t>The faster profile the first issue of this study used, opening at EGP 3,000m</t>
        </is>
      </c>
      <c r="C26" s="12" t="n">
        <v>1.552597382184459</v>
      </c>
      <c r="D26" s="11">
        <f>C26-$D$15</f>
        <v/>
      </c>
    </row>
    <row r="28" ht="39" customHeight="1">
      <c r="A28" s="18"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4">
      <c r="A4" s="5" t="inlineStr">
        <is>
          <t>Measure</t>
        </is>
      </c>
      <c r="B4" s="5" t="inlineStr">
        <is>
          <t>Value</t>
        </is>
      </c>
      <c r="C4" s="5" t="inlineStr">
        <is>
          <t>Basis</t>
        </is>
      </c>
    </row>
    <row r="5" ht="14" customHeight="1">
      <c r="A5" s="6" t="inlineStr">
        <is>
          <t>Book value per share (EGP)</t>
        </is>
      </c>
      <c r="B5" s="11">
        <f>'Fundamental Valuation'!B6</f>
        <v/>
      </c>
      <c r="C5" s="9" t="inlineStr">
        <is>
          <t>Paid-in capital plus reserves at 31 March 2026 over the share count</t>
        </is>
      </c>
    </row>
    <row r="6" ht="14" customHeight="1">
      <c r="A6" s="6" t="inlineStr">
        <is>
          <t>Price to book the market pays</t>
        </is>
      </c>
      <c r="B6" s="11">
        <f>'Summary'!B16/'Fundamental Valuation'!B5</f>
        <v/>
      </c>
      <c r="C6" s="9" t="inlineStr"/>
    </row>
    <row r="7" ht="14" customHeight="1">
      <c r="A7" s="6" t="inlineStr">
        <is>
          <t>Sustainable return on equity</t>
        </is>
      </c>
      <c r="B7" s="8">
        <f>'Fundamental Valuation'!B13</f>
        <v/>
      </c>
      <c r="C7" s="9" t="inlineStr">
        <is>
          <t>Two-year average on underlying profit</t>
        </is>
      </c>
    </row>
    <row r="8" ht="14" customHeight="1">
      <c r="A8" s="6" t="inlineStr">
        <is>
          <t>Cost of equity</t>
        </is>
      </c>
      <c r="B8" s="16">
        <f>'Assumptions'!C100</f>
        <v/>
      </c>
      <c r="C8" s="9" t="inlineStr">
        <is>
          <t>Built on the Assumptions sheet, on the CDS premium basis</t>
        </is>
      </c>
    </row>
    <row r="9" ht="14" customHeight="1">
      <c r="A9" s="6" t="inlineStr">
        <is>
          <t>The gap the company has to close</t>
        </is>
      </c>
      <c r="B9" s="8">
        <f>B8-B7</f>
        <v/>
      </c>
      <c r="C9" s="9" t="inlineStr">
        <is>
          <t>A company earning below its cost of equity destroys value by growing</t>
        </is>
      </c>
    </row>
    <row r="10" ht="14" customHeight="1">
      <c r="A10" s="6" t="inlineStr">
        <is>
          <t>Net debt to EBITDA, FY2026/27</t>
        </is>
      </c>
      <c r="B10" s="26">
        <f>'DCF'!B41/'DCF'!B6</f>
        <v/>
      </c>
      <c r="C10" s="9" t="inlineStr">
        <is>
          <t>On the forward year</t>
        </is>
      </c>
    </row>
    <row r="11" ht="14" customHeight="1">
      <c r="A11" s="6" t="inlineStr">
        <is>
          <t>Enterprise value to EBITDA at the model's value</t>
        </is>
      </c>
      <c r="B11" s="26">
        <f>'DCF'!B37/'DCF'!B6</f>
        <v/>
      </c>
      <c r="C11" s="9" t="inlineStr"/>
    </row>
    <row r="12" ht="14" customHeight="1">
      <c r="A12" s="6" t="inlineStr">
        <is>
          <t>Enterprise value to EBITDA at the market price</t>
        </is>
      </c>
      <c r="B12" s="26">
        <f>('Summary'!B16+'DCF'!B41)/'DCF'!B6</f>
        <v/>
      </c>
      <c r="C12" s="9" t="inlineStr"/>
    </row>
    <row r="13" ht="14" customHeight="1">
      <c r="A13" s="6" t="inlineStr">
        <is>
          <t>Free cash flow per share, FY2026/27 (EGP)</t>
        </is>
      </c>
      <c r="B13" s="11">
        <f>'DCF'!B14*1000000/'Assumptions'!C6</f>
        <v/>
      </c>
      <c r="C13" s="9" t="inlineStr"/>
    </row>
    <row r="14" ht="14" customHeight="1">
      <c r="A14" s="6" t="inlineStr">
        <is>
          <t>Free cash flow per share, FY2030/31 (EGP)</t>
        </is>
      </c>
      <c r="B14" s="11">
        <f>'DCF'!F14*1000000/'Assumptions'!C6</f>
        <v/>
      </c>
      <c r="C14" s="9" t="inlineStr"/>
    </row>
    <row r="15" ht="14" customHeight="1">
      <c r="A15" s="6" t="inlineStr">
        <is>
          <t>Dividend per share</t>
        </is>
      </c>
      <c r="B15" s="12" t="n">
        <v>0</v>
      </c>
      <c r="C15" s="9" t="inlineStr">
        <is>
          <t>#,##0.00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4">
      <c r="A4" s="5" t="inlineStr">
        <is>
          <t>Company</t>
        </is>
      </c>
      <c r="B4" s="5" t="inlineStr">
        <is>
          <t>Market</t>
        </is>
      </c>
      <c r="C4" s="5" t="inlineStr">
        <is>
          <t>Urea capacity (kt/yr)</t>
        </is>
      </c>
      <c r="D4" s="5" t="inlineStr">
        <is>
          <t>Location</t>
        </is>
      </c>
      <c r="E4" s="5" t="inlineStr">
        <is>
          <t>Why it matters here</t>
        </is>
      </c>
    </row>
    <row r="5" ht="40" customHeight="1">
      <c r="A5" s="6" t="inlineStr">
        <is>
          <t>Egyptian Chemical Industries</t>
        </is>
      </c>
      <c r="B5" s="6" t="inlineStr">
        <is>
          <t>EGX</t>
        </is>
      </c>
      <c r="C5" s="13" t="n">
        <v>574.875</v>
      </c>
      <c r="D5" s="6" t="inlineStr">
        <is>
          <t>Aswan, 1,000 km inland</t>
        </is>
      </c>
      <c r="E5" s="9" t="inlineStr">
        <is>
          <t>The subject. The only Egyptian nitrogen producer off the coast, which is why freight to port is its own disclosed cost line.</t>
        </is>
      </c>
    </row>
    <row r="6" ht="40" customHeight="1">
      <c r="A6" s="6" t="inlineStr">
        <is>
          <t>Abu Qir Fertilizers</t>
        </is>
      </c>
      <c r="B6" s="6" t="inlineStr">
        <is>
          <t>EGX</t>
        </is>
      </c>
      <c r="C6" s="13" t="n">
        <v>2000</v>
      </c>
      <c r="D6" s="6" t="inlineStr">
        <is>
          <t>Alexandria, coastal</t>
        </is>
      </c>
      <c r="E6" s="9" t="inlineStr">
        <is>
          <t>The listed comparator, and the marketer of the subject's ammonia exports for a fee of 12% of the export price. The subject held 2.7% of it and began selling down.</t>
        </is>
      </c>
    </row>
    <row r="7" ht="40" customHeight="1">
      <c r="A7" s="6" t="inlineStr">
        <is>
          <t>MOPCO</t>
        </is>
      </c>
      <c r="B7" s="6" t="inlineStr">
        <is>
          <t>Unlisted</t>
        </is>
      </c>
      <c r="C7" s="13" t="n">
        <v>1800</v>
      </c>
      <c r="D7" s="6" t="inlineStr">
        <is>
          <t>Damietta, coastal</t>
        </is>
      </c>
      <c r="E7" s="9" t="inlineStr">
        <is>
          <t>Curtailed alongside the rest of the industry in the 2026 gas squeeze; the subject's own urea is warehoused at Damietta for export.</t>
        </is>
      </c>
    </row>
    <row r="8" ht="40" customHeight="1">
      <c r="A8" s="6" t="inlineStr">
        <is>
          <t>Helwan Fertilizers and NCIC</t>
        </is>
      </c>
      <c r="B8" s="6" t="inlineStr">
        <is>
          <t>Unlisted</t>
        </is>
      </c>
      <c r="C8" s="13" t="n">
        <v>1300</v>
      </c>
      <c r="D8" s="6" t="inlineStr">
        <is>
          <t>Helwan and Ain Sokhna</t>
        </is>
      </c>
      <c r="E8" s="9" t="inlineStr">
        <is>
          <t>Completes the supply picture against which the export share is allocated.</t>
        </is>
      </c>
    </row>
    <row r="10">
      <c r="A10" s="6" t="inlineStr">
        <is>
          <t>Egyptian nitrogen capacity (kt/yr)</t>
        </is>
      </c>
      <c r="B10" s="13" t="n">
        <v>7250</v>
      </c>
    </row>
    <row r="11">
      <c r="A11" s="6" t="inlineStr">
        <is>
          <t>The subject's share of it</t>
        </is>
      </c>
      <c r="B11" s="8">
        <f>C5/B10</f>
        <v/>
      </c>
    </row>
    <row r="12">
      <c r="A12" s="6" t="inlineStr">
        <is>
          <t>Inland freight per export tonne (EGP)</t>
        </is>
      </c>
      <c r="B12" s="14">
        <f>'Assumptions'!C76</f>
        <v/>
      </c>
    </row>
    <row r="14" ht="26" customHeight="1">
      <c r="A14" s="18" t="inlineStr">
        <is>
          <t>The freight line is the difference that matters. A coastal producer does not carry it, and on the subject it ran to EGP 610.2 million in the year to 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2026-09-03T12:06:17Z</dcterms:created>
  <dcterms:modified xmlns:dcterms="http://purl.org/dc/terms/" xmlns:xsi="http://www.w3.org/2001/XMLSchema-instance" xsi:type="dcterms:W3CDTF">2026-09-03T12:06:17Z</dcterms:modified>
</cp:coreProperties>
</file>