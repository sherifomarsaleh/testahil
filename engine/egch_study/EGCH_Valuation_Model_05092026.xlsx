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0.1300292595239384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8.038774888582243</v>
      </c>
    </row>
    <row r="37">
      <c r="A37" s="6" t="inlineStr">
        <is>
          <t>Against spot</t>
        </is>
      </c>
      <c r="B37" s="8">
        <f>B36/$B$14-1</f>
        <v/>
      </c>
    </row>
    <row r="38">
      <c r="A38" s="6" t="inlineStr">
        <is>
          <t>RETIRED — the 45/20/20/15 weighted blend, published unused</t>
        </is>
      </c>
      <c r="B38" s="12" t="n">
        <v>5.873283706013839</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4.039580816491561</v>
      </c>
    </row>
    <row r="24">
      <c r="A24" s="6" t="inlineStr">
        <is>
          <t>Cash flow — programme stopped</t>
        </is>
      </c>
      <c r="B24" s="12" t="n">
        <v>8.038774888582243</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 — terminal inflation plus the long-run real rate, on the house macro path's own construction</t>
        </is>
      </c>
      <c r="B113" s="6" t="inlineStr">
        <is>
          <t>%</t>
        </is>
      </c>
      <c r="C113" s="16">
        <f>'Assumptions'!C111+'Assumptions'!C112</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6" t="inlineStr">
        <is>
          <t>Average age of the fixed-asset base — MEASURED</t>
        </is>
      </c>
      <c r="B118" s="6" t="inlineStr">
        <is>
          <t>years</t>
        </is>
      </c>
      <c r="C118" s="12" t="n">
        <v>4.454408352548927</v>
      </c>
      <c r="D118" s="9"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6" t="inlineStr">
        <is>
          <t>Replacement cycle the accounts imply</t>
        </is>
      </c>
      <c r="B119" s="6" t="inlineStr">
        <is>
          <t>years</t>
        </is>
      </c>
      <c r="C119" s="12" t="n">
        <v>22.07019266619699</v>
      </c>
      <c r="D119" s="9"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1">
      <c r="A121" s="10" t="inlineStr">
        <is>
          <t>CAPITAL, WORKING CAPITAL AND THE PROJECT</t>
        </is>
      </c>
    </row>
    <row r="122" ht="24" customHeight="1">
      <c r="A122" s="6" t="inlineStr">
        <is>
          <t>Depreciation charge, FY2024/25</t>
        </is>
      </c>
      <c r="B122" s="6" t="inlineStr">
        <is>
          <t>EGP m</t>
        </is>
      </c>
      <c r="C122" s="20" t="n">
        <v>771.213</v>
      </c>
      <c r="D122" s="9" t="inlineStr">
        <is>
          <t>Audited financial statements, year ended 30 June 2025 (Central Auditing Organization, report dated 23 September 2025), note 6 fixed-asset register</t>
        </is>
      </c>
    </row>
    <row r="123" ht="24" customHeight="1">
      <c r="A123" s="6" t="inlineStr">
        <is>
          <t>Amortisation, FY2024/25</t>
        </is>
      </c>
      <c r="B123" s="6" t="inlineStr">
        <is>
          <t>EGP m</t>
        </is>
      </c>
      <c r="C123" s="20" t="n">
        <v>119.378</v>
      </c>
      <c r="D123" s="9" t="inlineStr">
        <is>
          <t>Audited financial statements, year ended 30 June 2025 (Central Auditing Organization, report dated 23 September 2025), note 10 usufruct intangible</t>
        </is>
      </c>
    </row>
    <row r="124" ht="60" customHeight="1">
      <c r="A124" s="6" t="inlineStr">
        <is>
          <t>Project capital expenditure — FY2026/27</t>
        </is>
      </c>
      <c r="B124" s="6" t="inlineStr">
        <is>
          <t>EGP m</t>
        </is>
      </c>
      <c r="C124" s="14">
        <f>'Cash Flow'!B30</f>
        <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FY2027/28</t>
        </is>
      </c>
      <c r="B125" s="6" t="inlineStr">
        <is>
          <t>EGP m</t>
        </is>
      </c>
      <c r="C125" s="13" t="n">
        <v>3100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FY2028/29</t>
        </is>
      </c>
      <c r="B126" s="6" t="inlineStr">
        <is>
          <t>EGP m</t>
        </is>
      </c>
      <c r="C126" s="13" t="n">
        <v>3300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FY2029/30</t>
        </is>
      </c>
      <c r="B127" s="6" t="inlineStr">
        <is>
          <t>EGP m</t>
        </is>
      </c>
      <c r="C127" s="13" t="n">
        <v>3200</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6" t="inlineStr">
        <is>
          <t>Project capital expenditure — FY2030/31</t>
        </is>
      </c>
      <c r="B128" s="6" t="inlineStr">
        <is>
          <t>EGP m</t>
        </is>
      </c>
      <c r="C128" s="14">
        <f>'Cash Flow'!D34-(C124+C125+C126+C127)</f>
        <v/>
      </c>
      <c r="D12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6" t="inlineStr">
        <is>
          <t>Depreciation escalation on the existing base</t>
        </is>
      </c>
      <c r="B129" s="6" t="inlineStr">
        <is>
          <t>per year</t>
        </is>
      </c>
      <c r="C129" s="15" t="n">
        <v>0.02</v>
      </c>
      <c r="D129" s="9" t="inlineStr">
        <is>
          <t>Constructed: escalation on the existing depreciation base, reflecting ordinary additions to the plant already in service</t>
        </is>
      </c>
    </row>
    <row r="130" ht="24" customHeight="1">
      <c r="A130" s="6" t="inlineStr">
        <is>
          <t>Depreciation rate on the new complex</t>
        </is>
      </c>
      <c r="B130" s="6" t="inlineStr">
        <is>
          <t>per year</t>
        </is>
      </c>
      <c r="C130" s="23" t="n">
        <v>0.0395</v>
      </c>
      <c r="D130" s="9" t="inlineStr">
        <is>
          <t>Audited financial statements, year ended 30 June 2025 (Central Auditing Organization, report dated 23 September 2025), note 5-2 depreciation rates</t>
        </is>
      </c>
    </row>
    <row r="131" ht="48" customHeight="1">
      <c r="A131" s="6" t="inlineStr">
        <is>
          <t>New complex nameplate</t>
        </is>
      </c>
      <c r="B131" s="6" t="inlineStr">
        <is>
          <t>tonnes/day</t>
        </is>
      </c>
      <c r="C131" s="13" t="n">
        <v>800</v>
      </c>
      <c r="D131"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6" t="inlineStr">
        <is>
          <t>Operating days a year</t>
        </is>
      </c>
      <c r="B132" s="6" t="inlineStr">
        <is>
          <t>days</t>
        </is>
      </c>
      <c r="C132" s="13" t="n">
        <v>330</v>
      </c>
      <c r="D132" s="9" t="inlineStr">
        <is>
          <t>Constructed: operating days a year for a continuous nitrate line, net of the turnaround the company takes annually</t>
        </is>
      </c>
    </row>
    <row r="133" ht="48" customHeight="1">
      <c r="A133" s="6" t="inlineStr">
        <is>
          <t>Steady-state depreciation wedge in the terminal year</t>
        </is>
      </c>
      <c r="B133" s="6" t="inlineStr">
        <is>
          <t>ratio</t>
        </is>
      </c>
      <c r="C133" s="15" t="n">
        <v>0.025390625</v>
      </c>
      <c r="D133"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6" t="inlineStr">
        <is>
          <t>The complex is completed and in service (1 = yes)</t>
        </is>
      </c>
      <c r="B134" s="6" t="inlineStr">
        <is>
          <t>switch</t>
        </is>
      </c>
      <c r="C134" s="13" t="n">
        <v>1</v>
      </c>
      <c r="D134" s="9" t="inlineStr">
        <is>
          <t>Case switch. Zero in the capital-discipline column, where the plant is never finished and therefore never depreciated.</t>
        </is>
      </c>
    </row>
    <row r="135" ht="36" customHeight="1">
      <c r="A135" s="6" t="inlineStr">
        <is>
          <t>Approved cost of the new complex</t>
        </is>
      </c>
      <c r="B135" s="6" t="inlineStr">
        <is>
          <t>EGP m</t>
        </is>
      </c>
      <c r="C135" s="13" t="n">
        <v>20341.668</v>
      </c>
      <c r="D135" s="9"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6" t="inlineStr">
        <is>
          <t>Maintenance capital expenditure</t>
        </is>
      </c>
      <c r="B136" s="6" t="inlineStr">
        <is>
          <t>% of revenue</t>
        </is>
      </c>
      <c r="C136" s="8">
        <f>'Cash Flow'!D28</f>
        <v/>
      </c>
      <c r="D136"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6" t="inlineStr">
        <is>
          <t>Wind-down cost if the programme is stopped</t>
        </is>
      </c>
      <c r="B137" s="6" t="inlineStr">
        <is>
          <t>EGP m</t>
        </is>
      </c>
      <c r="C137" s="13" t="n">
        <v>1000</v>
      </c>
      <c r="D137" s="9" t="inlineStr">
        <is>
          <t>Constructed: capital-discipline case only: the cost of stopping the programme in the first forecast year — contract settlement and site preservation. No filing states it; it is the study's estimate and is flagged.</t>
        </is>
      </c>
    </row>
    <row r="138" ht="24" customHeight="1">
      <c r="A138" s="6" t="inlineStr">
        <is>
          <t>Ammonia per tonne of nitrate</t>
        </is>
      </c>
      <c r="B138" s="6" t="inlineStr">
        <is>
          <t>tonnes</t>
        </is>
      </c>
      <c r="C138" s="12" t="n">
        <v>0.43</v>
      </c>
      <c r="D138" s="9" t="inlineStr">
        <is>
          <t>Constructed: ammonia per tonne of ammonium nitrate through the nitric-acid route plus direct neutralisation</t>
        </is>
      </c>
    </row>
    <row r="139" ht="40" customHeight="1">
      <c r="A139" s="6" t="inlineStr">
        <is>
          <t>Project nameplate (derived, not disclosed)</t>
        </is>
      </c>
      <c r="B139" s="6" t="inlineStr">
        <is>
          <t>tonnes/year</t>
        </is>
      </c>
      <c r="C139" s="14">
        <f>'Assumptions'!C131*'Assumptions'!C132</f>
        <v/>
      </c>
      <c r="D13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6" t="inlineStr">
        <is>
          <t>Cross-check: nameplate derived from the ammonia surplus</t>
        </is>
      </c>
      <c r="B140" s="6" t="inlineStr">
        <is>
          <t>tonnes/year</t>
        </is>
      </c>
      <c r="C140" s="14">
        <f>('Assumptions'!C14-'Assumptions'!C13*'Assumptions'!C15)/'Assumptions'!C138</f>
        <v/>
      </c>
      <c r="D140" s="9" t="inlineStr">
        <is>
          <t>The construction the study used before the engineering award was found. Retained as a cross-check on the disclosed plate, not as the plate itself.</t>
        </is>
      </c>
    </row>
    <row r="141" ht="14" customHeight="1">
      <c r="A141" s="6" t="inlineStr">
        <is>
          <t>Project utilisation in the terminal year</t>
        </is>
      </c>
      <c r="B141" s="6" t="inlineStr">
        <is>
          <t>%</t>
        </is>
      </c>
      <c r="C141" s="15" t="n">
        <v>0.5</v>
      </c>
      <c r="D141" s="9" t="inlineStr">
        <is>
          <t>Constructed: project utilisation in the terminal year, central case</t>
        </is>
      </c>
    </row>
    <row r="142" ht="14" customHeight="1">
      <c r="A142" s="6" t="inlineStr">
        <is>
          <t>Nitrate price</t>
        </is>
      </c>
      <c r="B142" s="6" t="inlineStr">
        <is>
          <t>US$/tonne</t>
        </is>
      </c>
      <c r="C142" s="13" t="n">
        <v>280</v>
      </c>
      <c r="D142" s="9" t="inlineStr">
        <is>
          <t>Mid-cycle ammonium nitrate pricing</t>
        </is>
      </c>
    </row>
    <row r="143" ht="14" customHeight="1">
      <c r="A143" s="6" t="inlineStr">
        <is>
          <t>Project cash margin</t>
        </is>
      </c>
      <c r="B143" s="6" t="inlineStr">
        <is>
          <t>% of revenue</t>
        </is>
      </c>
      <c r="C143" s="15" t="n">
        <v>0.32</v>
      </c>
      <c r="D143" s="9" t="inlineStr">
        <is>
          <t>Constructed: conversion margin on ammonium nitrate over its own ammonia feedstock</t>
        </is>
      </c>
    </row>
    <row r="144" ht="14" customHeight="1">
      <c r="A144" s="6" t="inlineStr">
        <is>
          <t>Days sales outstanding</t>
        </is>
      </c>
      <c r="B144" s="6" t="inlineStr">
        <is>
          <t>days</t>
        </is>
      </c>
      <c r="C144" s="20" t="n">
        <v>26.77469536556713</v>
      </c>
      <c r="D144" s="9" t="inlineStr">
        <is>
          <t>Constructed: FY2024/25 receivables over revenue</t>
        </is>
      </c>
    </row>
    <row r="145" ht="14" customHeight="1">
      <c r="A145" s="6" t="inlineStr">
        <is>
          <t>Days inventory outstanding</t>
        </is>
      </c>
      <c r="B145" s="6" t="inlineStr">
        <is>
          <t>days</t>
        </is>
      </c>
      <c r="C145" s="20" t="n">
        <v>165.2475279747788</v>
      </c>
      <c r="D145" s="9" t="inlineStr">
        <is>
          <t>Constructed: FY2024/25 inventory over cost of sales</t>
        </is>
      </c>
    </row>
    <row r="146" ht="14" customHeight="1">
      <c r="A146" s="6" t="inlineStr">
        <is>
          <t>Days payable outstanding</t>
        </is>
      </c>
      <c r="B146" s="6" t="inlineStr">
        <is>
          <t>days</t>
        </is>
      </c>
      <c r="C146" s="20" t="n">
        <v>83.17161071710899</v>
      </c>
      <c r="D146"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(B29-'Assumptions'!C122-'Assumptions'!C123)*(1-'Assumptions'!C107)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6"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6" t="inlineStr">
        <is>
          <t>Project operating profit, after its own depreciation</t>
        </is>
      </c>
      <c r="B23" s="14">
        <f>B22*'Assumptions'!C143-'Assumptions'!C134*'Assumptions'!C135*'Assumptions'!C130</f>
        <v/>
      </c>
      <c r="D23" s="14">
        <f>D22*'Assumptions'!C143-0*'Assumptions'!C135*'Assumptions'!C130</f>
        <v/>
      </c>
    </row>
    <row r="24">
      <c r="A24" s="6" t="inlineStr">
        <is>
          <t>Terminal EBIT</t>
        </is>
      </c>
      <c r="B24" s="14">
        <f>B21+B23</f>
        <v/>
      </c>
      <c r="D24" s="14">
        <f>D21+D23</f>
        <v/>
      </c>
    </row>
    <row r="25">
      <c r="A25" s="6" t="inlineStr">
        <is>
          <t>Terminal profit after tax</t>
        </is>
      </c>
      <c r="B25" s="14">
        <f>B24*(1-'Assumptions'!C107)</f>
        <v/>
      </c>
      <c r="D25" s="14">
        <f>D24*(1-'Assumptions'!C107)</f>
        <v/>
      </c>
    </row>
    <row r="26">
      <c r="A26" s="6"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6" t="inlineStr">
        <is>
          <t>Less capital maintenance at replacement cost — the book charge escalated over the measured average age of the base</t>
        </is>
      </c>
      <c r="B27" s="14">
        <f>-B26*(1+'Assumptions'!C111)^'Assumptions'!C118</f>
        <v/>
      </c>
      <c r="D27" s="14">
        <f>-D26*(1+'Assumptions'!C111)^'Assumptions'!C118</f>
        <v/>
      </c>
    </row>
    <row r="28">
      <c r="A28" s="6" t="inlineStr">
        <is>
          <t>Less capital for REAL growth — the stated real growth is zero, so none</t>
        </is>
      </c>
      <c r="B28" s="14">
        <f>-((1+'Assumptions'!C117)/(1+'Assumptions'!C111)-1)*(-B27*'Assumptions'!C119)</f>
        <v/>
      </c>
      <c r="D28" s="14">
        <f>-((1+'Assumptions'!C117)/(1+'Assumptions'!C111)-1)*(-D27*'Assumptions'!C119)</f>
        <v/>
      </c>
    </row>
    <row r="29">
      <c r="A29" s="6" t="inlineStr">
        <is>
          <t>Less inflation on the working capital the business carries</t>
        </is>
      </c>
      <c r="B29" s="14">
        <f>-'Assumptions'!C111*'Cash Flow'!F10*(1+'Assumptions'!C117)</f>
        <v/>
      </c>
      <c r="D29" s="14">
        <f>-'Assumptions'!C111*'Cash Flow'!F10*(1+'Assumptions'!C117)</f>
        <v/>
      </c>
    </row>
    <row r="30">
      <c r="A30" s="6" t="inlineStr">
        <is>
          <t>Terminal free cash flow</t>
        </is>
      </c>
      <c r="B30" s="14">
        <f>SUM(B25:B29)</f>
        <v/>
      </c>
      <c r="D30" s="14">
        <f>SUM(D25:D29)</f>
        <v/>
      </c>
    </row>
    <row r="31">
      <c r="A31" s="6" t="inlineStr">
        <is>
          <t>TERMINAL VALUE</t>
        </is>
      </c>
      <c r="B31" s="14">
        <f>B30/('Assumptions'!C116-'Assumptions'!C117)</f>
        <v/>
      </c>
      <c r="D31" s="14">
        <f>D30/('Assumptions'!C116-'Assumptions'!C117)</f>
        <v/>
      </c>
    </row>
    <row r="32">
      <c r="A32" s="6" t="inlineStr">
        <is>
          <t>Memo — the no-growth perpetuity at book depreciation (a diagnostic, not a bound)</t>
        </is>
      </c>
      <c r="B32" s="14">
        <f>B25/'Assumptions'!C116</f>
        <v/>
      </c>
      <c r="D32" s="14">
        <f>D25/'Assumptions'!C116</f>
        <v/>
      </c>
    </row>
    <row r="33">
      <c r="A33" s="6" t="inlineStr">
        <is>
          <t>Present value of the terminal value</t>
        </is>
      </c>
      <c r="B33" s="14">
        <f>B31*F16</f>
        <v/>
      </c>
      <c r="D33" s="14">
        <f>D31*F16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+'Assumptions'!C124</f>
        <v/>
      </c>
      <c r="C50" s="14">
        <f>+'Assumptions'!C125</f>
        <v/>
      </c>
      <c r="D50" s="14">
        <f>+'Assumptions'!C126</f>
        <v/>
      </c>
      <c r="E50" s="14">
        <f>+'Assumptions'!C127</f>
        <v/>
      </c>
      <c r="F50" s="14">
        <f>+'Assumptions'!C128</f>
        <v/>
      </c>
    </row>
    <row r="51">
      <c r="A51" s="6" t="inlineStr">
        <is>
          <t>Less the wind-down cost</t>
        </is>
      </c>
      <c r="B51" s="14">
        <f>-'Assumptions'!C137</f>
        <v/>
      </c>
      <c r="C51" s="14">
        <f>0</f>
        <v/>
      </c>
      <c r="D51" s="14">
        <f>0</f>
        <v/>
      </c>
      <c r="E51" s="14">
        <f>0</f>
        <v/>
      </c>
      <c r="F51" s="14">
        <f>0</f>
        <v/>
      </c>
    </row>
    <row r="52">
      <c r="A52" s="6"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B5*'Assumptions'!C144/365</f>
        <v/>
      </c>
      <c r="C7" s="14">
        <f>C5*'Assumptions'!C144/365</f>
        <v/>
      </c>
      <c r="D7" s="14">
        <f>D5*'Assumptions'!C144/365</f>
        <v/>
      </c>
      <c r="E7" s="14">
        <f>E5*'Assumptions'!C144/365</f>
        <v/>
      </c>
      <c r="F7" s="14">
        <f>F5*'Assumptions'!C144/365</f>
        <v/>
      </c>
    </row>
    <row r="8">
      <c r="A8" s="6" t="inlineStr">
        <is>
          <t>Inventory</t>
        </is>
      </c>
      <c r="B8" s="14">
        <f>B6*'Assumptions'!C145/365</f>
        <v/>
      </c>
      <c r="C8" s="14">
        <f>C6*'Assumptions'!C145/365</f>
        <v/>
      </c>
      <c r="D8" s="14">
        <f>D6*'Assumptions'!C145/365</f>
        <v/>
      </c>
      <c r="E8" s="14">
        <f>E6*'Assumptions'!C145/365</f>
        <v/>
      </c>
      <c r="F8" s="14">
        <f>F6*'Assumptions'!C145/365</f>
        <v/>
      </c>
    </row>
    <row r="9">
      <c r="A9" s="6" t="inlineStr">
        <is>
          <t>Payables</t>
        </is>
      </c>
      <c r="B9" s="14">
        <f>B6*'Assumptions'!C146/365</f>
        <v/>
      </c>
      <c r="C9" s="14">
        <f>C6*'Assumptions'!C146/365</f>
        <v/>
      </c>
      <c r="D9" s="14">
        <f>D6*'Assumptions'!C146/365</f>
        <v/>
      </c>
      <c r="E9" s="14">
        <f>E6*'Assumptions'!C146/365</f>
        <v/>
      </c>
      <c r="F9" s="14">
        <f>F6*'Assumptions'!C146/365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-2.87</v>
      </c>
      <c r="E6" s="12" t="n">
        <v>-2.94</v>
      </c>
      <c r="F6" s="12" t="n">
        <v>-3.01</v>
      </c>
    </row>
    <row r="7">
      <c r="A7" s="6" t="inlineStr">
        <is>
          <t>US$ 420/t long-run export price</t>
        </is>
      </c>
      <c r="B7" s="12" t="n">
        <v>-0.41</v>
      </c>
      <c r="C7" s="12" t="n">
        <v>-0.71</v>
      </c>
      <c r="D7" s="12" t="n">
        <v>-0.99</v>
      </c>
      <c r="E7" s="12" t="n">
        <v>-1.18</v>
      </c>
      <c r="F7" s="12" t="n">
        <v>-1.36</v>
      </c>
    </row>
    <row r="8">
      <c r="A8" s="6" t="inlineStr">
        <is>
          <t>US$ 460/t long-run export price</t>
        </is>
      </c>
      <c r="B8" s="12" t="n">
        <v>1.81</v>
      </c>
      <c r="C8" s="12" t="n">
        <v>1.33</v>
      </c>
      <c r="D8" s="12" t="n">
        <v>0.88</v>
      </c>
      <c r="E8" s="12" t="n">
        <v>0.59</v>
      </c>
      <c r="F8" s="12" t="n">
        <v>0.3</v>
      </c>
    </row>
    <row r="9">
      <c r="A9" s="6" t="inlineStr">
        <is>
          <t>US$ 500/t long-run export price</t>
        </is>
      </c>
      <c r="B9" s="12" t="n">
        <v>4.04</v>
      </c>
      <c r="C9" s="12" t="n">
        <v>3.38</v>
      </c>
      <c r="D9" s="12" t="n">
        <v>2.75</v>
      </c>
      <c r="E9" s="12" t="n">
        <v>2.35</v>
      </c>
      <c r="F9" s="12" t="n">
        <v>1.96</v>
      </c>
    </row>
    <row r="10">
      <c r="A10" s="6" t="inlineStr">
        <is>
          <t>US$ 540/t long-run export price</t>
        </is>
      </c>
      <c r="B10" s="12" t="n">
        <v>6.26</v>
      </c>
      <c r="C10" s="12" t="n">
        <v>5.42</v>
      </c>
      <c r="D10" s="12" t="n">
        <v>4.63</v>
      </c>
      <c r="E10" s="12" t="n">
        <v>4.12</v>
      </c>
      <c r="F10" s="12" t="n">
        <v>3.61</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traded default swap</t>
        </is>
      </c>
      <c r="B17" s="9" t="inlineStr">
        <is>
          <t>Priced off the sovereign's credit rating instead, which is the wider of the two spreads and gives a cost of capital 113 basis points higher</t>
        </is>
      </c>
      <c r="C17" s="12" t="n">
        <v>2.509861939402812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1.437646331702388</v>
      </c>
      <c r="D18" s="11">
        <f>C18-$D$15</f>
        <v/>
      </c>
    </row>
    <row r="19" ht="26" customHeight="1">
      <c r="A19" s="9" t="inlineStr">
        <is>
          <t>Terminal growth at the central bank's medium-term inflation target</t>
        </is>
      </c>
      <c r="B19" s="9" t="inlineStr">
        <is>
          <t>Two percentage points below it, which is negative real maintenance growth</t>
        </is>
      </c>
      <c r="C19" s="12" t="n">
        <v>2.448134918245878</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2.89382889923321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5.783551427853116</v>
      </c>
      <c r="D21" s="11">
        <f>C21-$D$15</f>
        <v/>
      </c>
    </row>
    <row r="22" ht="26" customHeight="1">
      <c r="A22" s="9" t="inlineStr">
        <is>
          <t>Gas at the realised price the company's own loss disclosure implies</t>
        </is>
      </c>
      <c r="B22" s="9" t="inlineStr">
        <is>
          <t>The contract formula price in the operating agreement, which is higher</t>
        </is>
      </c>
      <c r="C22" s="12" t="n">
        <v>1.32686188934534</v>
      </c>
      <c r="D22" s="11">
        <f>C22-$D$15</f>
        <v/>
      </c>
    </row>
    <row r="23" ht="26" customHeight="1">
      <c r="A23" s="9" t="inlineStr">
        <is>
          <t>The new complex earning at half its derived nameplate in the terminal year</t>
        </is>
      </c>
      <c r="B23" s="9" t="inlineStr">
        <is>
          <t>Seventy per cent, which is what a well-run nitrate line achieves</t>
        </is>
      </c>
      <c r="C23" s="12" t="n">
        <v>4.465410827653877</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3.131128843137776</v>
      </c>
      <c r="D24" s="11">
        <f>C24-$D$15</f>
        <v/>
      </c>
    </row>
    <row r="25" ht="26" customHeight="1">
      <c r="A25" s="9" t="inlineStr">
        <is>
          <t>Capital maintenance charged at what replacing the plant costs today, on the 4.45-year average age the accounts MEASURE — accumulated depreciation over the year's own charge</t>
        </is>
      </c>
      <c r="B25" s="9" t="inlineStr">
        <is>
          <t>Half the 22.1-year life the same accounts imply, 11.04 years, which is what has to be assumed where a company does not disclose enough to measure it</t>
        </is>
      </c>
      <c r="C25" s="12" t="n">
        <v>1.819746729021884</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3.832876428749209</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2026-09-05T01:34:28Z</dcterms:created>
  <dcterms:modified xmlns:dcterms="http://purl.org/dc/terms/" xmlns:xsi="http://www.w3.org/2001/XMLSchema-instance" xsi:type="dcterms:W3CDTF">2026-09-05T01:34:28Z</dcterms:modified>
</cp:coreProperties>
</file>