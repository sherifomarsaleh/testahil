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0.07750436005742409</v>
      </c>
    </row>
    <row r="26">
      <c r="A26" s="6" t="inlineStr">
        <is>
          <t>Sovereign ten-year yield the same day, for comparison</t>
        </is>
      </c>
      <c r="B26" s="15" t="n">
        <v>0.23</v>
      </c>
    </row>
    <row r="27">
      <c r="A27" s="6" t="inlineStr">
        <is>
          <t>Cost of capital built in this model, year one</t>
        </is>
      </c>
      <c r="B27" s="16">
        <f>'Assumptions'!C109</f>
        <v/>
      </c>
    </row>
    <row r="28">
      <c r="A28" s="6" t="inlineStr">
        <is>
          <t>Cost of capital on the CDS premium basis, year one</t>
        </is>
      </c>
      <c r="B28" s="16">
        <f>'Assumptions'!C107*'Assumptions'!C99+'Assumptions'!C108*'Assumptions'!C105*(1-'Assumptions'!C106)</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row r="33">
      <c r="A33" s="10" t="inlineStr">
        <is>
          <t>THE WEIGHTED CENTRAL INSIDE THE FIELD — stated weights, reading the lens cells above</t>
        </is>
      </c>
    </row>
    <row r="34">
      <c r="A34" s="6" t="inlineStr">
        <is>
          <t>Weight: cash flow, programme carried through</t>
        </is>
      </c>
      <c r="B34" s="15" t="n">
        <v>0.45</v>
      </c>
    </row>
    <row r="35">
      <c r="A35" s="6" t="inlineStr">
        <is>
          <t>Weight: relative multiples</t>
        </is>
      </c>
      <c r="B35" s="15" t="n">
        <v>0.2</v>
      </c>
    </row>
    <row r="36">
      <c r="A36" s="6" t="inlineStr">
        <is>
          <t>Weight: normalised earnings power</t>
        </is>
      </c>
      <c r="B36" s="15" t="n">
        <v>0.2</v>
      </c>
    </row>
    <row r="37">
      <c r="A37" s="6" t="inlineStr">
        <is>
          <t>Weight: book value and sustainable return</t>
        </is>
      </c>
      <c r="B37" s="15" t="n">
        <v>0.15</v>
      </c>
    </row>
    <row r="38">
      <c r="A38" s="6" t="inlineStr">
        <is>
          <t>Weighted central (EGP/share)</t>
        </is>
      </c>
      <c r="B38" s="11">
        <f>B34*B5+B35*B7+B36*B8+B37*B6</f>
        <v/>
      </c>
    </row>
    <row r="39">
      <c r="A39" s="6" t="inlineStr">
        <is>
          <t>Against spot</t>
        </is>
      </c>
      <c r="B39" s="8">
        <f>B38/$B$14-1</f>
        <v/>
      </c>
    </row>
    <row r="40">
      <c r="A40" s="17" t="inlineStr">
        <is>
          <t>Only the carried-through side of the cash-flow lens enters the weighting (the company's stated plan); the stopped reading is the contested judgement above, published beside it and never averaged in. Bear and full are the field's floor and ceiling, never the weighted extremes.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'Assumptions'!C98</f>
        <v/>
      </c>
      <c r="C14" s="9" t="inlineStr">
        <is>
          <t>Built on the Assumptions sheet</t>
        </is>
      </c>
    </row>
    <row r="15" ht="14" customHeight="1">
      <c r="A15" s="6" t="inlineStr">
        <is>
          <t>Terminal growth</t>
        </is>
      </c>
      <c r="B15" s="8">
        <f>'Assumptions'!C116</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-0.6254255245924404</v>
      </c>
    </row>
    <row r="24">
      <c r="A24" s="6" t="inlineStr">
        <is>
          <t>Cash flow — programme stopped</t>
        </is>
      </c>
      <c r="B24" s="12" t="n">
        <v>3.427492145329595</v>
      </c>
    </row>
    <row r="25">
      <c r="A25" s="6" t="inlineStr">
        <is>
          <t>Book value and sustainable return</t>
        </is>
      </c>
      <c r="B25" s="12" t="n">
        <v>0.5841958982966984</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4"/>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14" customHeight="1">
      <c r="A7" s="6" t="inlineStr">
        <is>
          <t>Anchor price</t>
        </is>
      </c>
      <c r="B7" s="6" t="inlineStr">
        <is>
          <t>EGP</t>
        </is>
      </c>
      <c r="C7" s="12" t="n">
        <v>13.98</v>
      </c>
      <c r="D7" s="9" t="inlineStr">
        <is>
          <t>Exchange close, from the study's own price library</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24" customHeight="1">
      <c r="A33" s="6" t="inlineStr">
        <is>
          <t>Export urea price — FY2026/27</t>
        </is>
      </c>
      <c r="B33" s="6" t="inlineStr">
        <is>
          <t>US$/tonne</t>
        </is>
      </c>
      <c r="C33" s="20" t="n">
        <v>530</v>
      </c>
      <c r="D33" s="9" t="inlineStr">
        <is>
          <t>Constructed: export price path, mean-reverting from the August 2026 quote toward the cash cost of the marginal gas-based producer.</t>
        </is>
      </c>
    </row>
    <row r="34" ht="24" customHeight="1">
      <c r="A34" s="6" t="inlineStr">
        <is>
          <t>Export urea price — FY2027/28</t>
        </is>
      </c>
      <c r="B34" s="6" t="inlineStr">
        <is>
          <t>US$/tonne</t>
        </is>
      </c>
      <c r="C34" s="20" t="n">
        <v>500</v>
      </c>
      <c r="D34" s="9" t="inlineStr">
        <is>
          <t>Constructed: export price path, mean-reverting from the August 2026 quote toward the cash cost of the marginal gas-based producer.</t>
        </is>
      </c>
    </row>
    <row r="35" ht="24" customHeight="1">
      <c r="A35" s="6" t="inlineStr">
        <is>
          <t>Export urea price — FY2028/29</t>
        </is>
      </c>
      <c r="B35" s="6" t="inlineStr">
        <is>
          <t>US$/tonne</t>
        </is>
      </c>
      <c r="C35" s="20" t="n">
        <v>470</v>
      </c>
      <c r="D35" s="9" t="inlineStr">
        <is>
          <t>Constructed: export price path, mean-reverting from the August 2026 quote toward the cash cost of the marginal gas-based producer.</t>
        </is>
      </c>
    </row>
    <row r="36" ht="24" customHeight="1">
      <c r="A36" s="6" t="inlineStr">
        <is>
          <t>Export urea price — FY2029/30</t>
        </is>
      </c>
      <c r="B36" s="6" t="inlineStr">
        <is>
          <t>US$/tonne</t>
        </is>
      </c>
      <c r="C36" s="20" t="n">
        <v>450</v>
      </c>
      <c r="D36" s="9" t="inlineStr">
        <is>
          <t>Constructed: export price path, mean-reverting from the August 2026 quote toward the cash cost of the marginal gas-based producer.</t>
        </is>
      </c>
    </row>
    <row r="37" ht="24" customHeight="1">
      <c r="A37" s="6" t="inlineStr">
        <is>
          <t>Export urea price — FY2030/31</t>
        </is>
      </c>
      <c r="B37" s="6" t="inlineStr">
        <is>
          <t>US$/tonne</t>
        </is>
      </c>
      <c r="C37" s="20" t="n">
        <v>440</v>
      </c>
      <c r="D37" s="9" t="inlineStr">
        <is>
          <t>Constructed: export price path, mean-reverting from the August 2026 quote toward the cash cost of the marginal gas-based producer.</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48" customHeight="1">
      <c r="A84" s="6" t="inlineStr">
        <is>
          <t>Egyptian inflation — FY2026/27</t>
        </is>
      </c>
      <c r="B84" s="6" t="inlineStr">
        <is>
          <t>%</t>
        </is>
      </c>
      <c r="C84" s="15" t="n">
        <v>0.1</v>
      </c>
      <c r="D84"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5" ht="48" customHeight="1">
      <c r="A85" s="6" t="inlineStr">
        <is>
          <t>Egyptian inflation — FY2027/28</t>
        </is>
      </c>
      <c r="B85" s="6" t="inlineStr">
        <is>
          <t>%</t>
        </is>
      </c>
      <c r="C85" s="15" t="n">
        <v>0.07000000000000001</v>
      </c>
      <c r="D85"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6" ht="48" customHeight="1">
      <c r="A86" s="6" t="inlineStr">
        <is>
          <t>Egyptian inflation — FY2028/29</t>
        </is>
      </c>
      <c r="B86" s="6" t="inlineStr">
        <is>
          <t>%</t>
        </is>
      </c>
      <c r="C86" s="15" t="n">
        <v>0.06</v>
      </c>
      <c r="D86"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7" ht="48" customHeight="1">
      <c r="A87" s="6" t="inlineStr">
        <is>
          <t>Egyptian inflation — FY2029/30</t>
        </is>
      </c>
      <c r="B87" s="6" t="inlineStr">
        <is>
          <t>%</t>
        </is>
      </c>
      <c r="C87" s="15" t="n">
        <v>0.05</v>
      </c>
      <c r="D8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8" ht="48" customHeight="1">
      <c r="A88" s="6" t="inlineStr">
        <is>
          <t>Egyptian inflation — FY2030/31</t>
        </is>
      </c>
      <c r="B88" s="6" t="inlineStr">
        <is>
          <t>%</t>
        </is>
      </c>
      <c r="C88" s="15" t="n">
        <v>0.05</v>
      </c>
      <c r="D8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Cost of equity, rating basis</t>
        </is>
      </c>
      <c r="B98" s="6" t="inlineStr">
        <is>
          <t>%</t>
        </is>
      </c>
      <c r="C98" s="16">
        <f>'Assumptions'!C93+'Assumptions'!C97*'Assumptions'!C94</f>
        <v/>
      </c>
    </row>
    <row r="99">
      <c r="A99" s="6" t="inlineStr">
        <is>
          <t>Cost of equity, CDS basis</t>
        </is>
      </c>
      <c r="B99" s="6" t="inlineStr">
        <is>
          <t>%</t>
        </is>
      </c>
      <c r="C99" s="16">
        <f>'Assumptions'!C91-'Assumptions'!C95+'Assumptions'!C97*'Assumptions'!C96</f>
        <v/>
      </c>
    </row>
    <row r="100" ht="24" customHeight="1">
      <c r="A100" s="6" t="inlineStr">
        <is>
          <t>Cost of debt, local currency</t>
        </is>
      </c>
      <c r="B100" s="6" t="inlineStr">
        <is>
          <t>%</t>
        </is>
      </c>
      <c r="C100" s="23" t="n">
        <v>0.194</v>
      </c>
      <c r="D100" s="9" t="inlineStr">
        <is>
          <t>Constructed: EGP 96,896,001 of interest on the EGP 500,000,000 holding-company facility drawn in FY2024/25 — the company's own latest local borrowing</t>
        </is>
      </c>
    </row>
    <row r="101" ht="14" customHeight="1">
      <c r="A101" s="6" t="inlineStr">
        <is>
          <t>Cost of debt, dollar tranche, in dollars</t>
        </is>
      </c>
      <c r="B101" s="6" t="inlineStr">
        <is>
          <t>%</t>
        </is>
      </c>
      <c r="C101" s="23" t="n">
        <v>0.117</v>
      </c>
      <c r="D101" s="9" t="inlineStr">
        <is>
          <t>Constructed: EGP 1,338.0m of FY2024/25 interest on a mean dollar balance of about US$233m</t>
        </is>
      </c>
    </row>
    <row r="102" ht="60" customHeight="1">
      <c r="A102" s="6" t="inlineStr">
        <is>
          <t>Terminal currency wedge (the same identity, at the terminal inflation)</t>
        </is>
      </c>
      <c r="B102" s="6" t="inlineStr">
        <is>
          <t>%</t>
        </is>
      </c>
      <c r="C102" s="23" t="n">
        <v>0.025390625</v>
      </c>
      <c r="D102"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3">
      <c r="A103" s="6" t="inlineStr">
        <is>
          <t>Dollar debt at local-equivalent cost, year one (FY2026/27 wedge)</t>
        </is>
      </c>
      <c r="B103" s="6" t="inlineStr">
        <is>
          <t>%</t>
        </is>
      </c>
      <c r="C103" s="16">
        <f>(1+'Assumptions'!C101)*(1+'Assumptions'!C40)-1</f>
        <v/>
      </c>
    </row>
    <row r="104" ht="24" customHeight="1">
      <c r="A104" s="6" t="inlineStr">
        <is>
          <t>Share of debt in local currency</t>
        </is>
      </c>
      <c r="B104" s="6" t="inlineStr">
        <is>
          <t>%</t>
        </is>
      </c>
      <c r="C104" s="15" t="n">
        <v>0.003139216087432172</v>
      </c>
      <c r="D104" s="9" t="inlineStr">
        <is>
          <t>The pound tranche of the project loan was repaid in June 2024, so the book is almost entirely dollar</t>
        </is>
      </c>
    </row>
    <row r="105">
      <c r="A105" s="6" t="inlineStr">
        <is>
          <t>Blended pre-tax cost of debt</t>
        </is>
      </c>
      <c r="B105" s="6" t="inlineStr">
        <is>
          <t>%</t>
        </is>
      </c>
      <c r="C105" s="16">
        <f>'Assumptions'!C104*'Assumptions'!C100+(1-'Assumptions'!C104)*'Assumptions'!C103</f>
        <v/>
      </c>
    </row>
    <row r="106" ht="24" customHeight="1">
      <c r="A106" s="6" t="inlineStr">
        <is>
          <t>Tax rate</t>
        </is>
      </c>
      <c r="B106" s="6" t="inlineStr">
        <is>
          <t>%</t>
        </is>
      </c>
      <c r="C106" s="15" t="n">
        <v>0.225</v>
      </c>
      <c r="D106" s="9" t="inlineStr">
        <is>
          <t>Audited financial statements, year ended 30 June 2025 (Central Auditing Organization, report dated 23 September 2025), note 5-16 income tax</t>
        </is>
      </c>
    </row>
    <row r="107" ht="14" customHeight="1">
      <c r="A107" s="6" t="inlineStr">
        <is>
          <t>Equity weight</t>
        </is>
      </c>
      <c r="B107" s="6" t="inlineStr">
        <is>
          <t>%</t>
        </is>
      </c>
      <c r="C107" s="15" t="n">
        <v>0.6548330847753069</v>
      </c>
      <c r="D107" s="9" t="inlineStr">
        <is>
          <t>Market-value equity over market-value equity plus debt</t>
        </is>
      </c>
    </row>
    <row r="108" ht="14" customHeight="1">
      <c r="A108" s="6" t="inlineStr">
        <is>
          <t>Debt weight</t>
        </is>
      </c>
      <c r="B108" s="6" t="inlineStr">
        <is>
          <t>%</t>
        </is>
      </c>
      <c r="C108" s="15" t="n">
        <v>0.3451669152246931</v>
      </c>
      <c r="D108" s="9" t="inlineStr">
        <is>
          <t>One less the equity weight</t>
        </is>
      </c>
    </row>
    <row r="109">
      <c r="A109" s="6" t="inlineStr">
        <is>
          <t>Cost of capital, year one</t>
        </is>
      </c>
      <c r="B109" s="6" t="inlineStr">
        <is>
          <t>%</t>
        </is>
      </c>
      <c r="C109" s="16">
        <f>'Assumptions'!C107*'Assumptions'!C98+'Assumptions'!C108*'Assumptions'!C105*(1-'Assumptions'!C106)</f>
        <v/>
      </c>
    </row>
    <row r="110" ht="72" customHeight="1">
      <c r="A110" s="6" t="inlineStr">
        <is>
          <t>Terminal inflation (the same figure terminal growth is set at)</t>
        </is>
      </c>
      <c r="B110" s="6" t="inlineStr">
        <is>
          <t>%</t>
        </is>
      </c>
      <c r="C110" s="15" t="n">
        <v>0.05</v>
      </c>
      <c r="D110" s="9" t="inlineStr">
        <is>
          <t>The inflation embedded in the TERMINAL discount rate: the central bank's longest-horizon published target, 5% (+/-2) for Q4 2028 — the SAME figure terminal growth is set at.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1" ht="24" customHeight="1">
      <c r="A111" s="6" t="inlineStr">
        <is>
          <t>Long-run real rate</t>
        </is>
      </c>
      <c r="B111" s="6" t="inlineStr">
        <is>
          <t>%</t>
        </is>
      </c>
      <c r="C111" s="15" t="n">
        <v>0.035</v>
      </c>
      <c r="D111" s="9" t="inlineStr">
        <is>
          <t>Constructed: long-run emerging-market real policy rate, used to build the terminal risk-free rate from its own components rather than from a spot yield</t>
        </is>
      </c>
    </row>
    <row r="112">
      <c r="A112" s="6" t="inlineStr">
        <is>
          <t>Terminal normalised risk-free rate</t>
        </is>
      </c>
      <c r="B112" s="6" t="inlineStr">
        <is>
          <t>%</t>
        </is>
      </c>
      <c r="C112" s="16">
        <f>(1+'Assumptions'!C110)*(1+'Assumptions'!C111)-1</f>
        <v/>
      </c>
    </row>
    <row r="113" ht="14" customHeight="1">
      <c r="A113" s="6" t="inlineStr">
        <is>
          <t>Long-run dollar cost of debt</t>
        </is>
      </c>
      <c r="B113" s="6" t="inlineStr">
        <is>
          <t>%</t>
        </is>
      </c>
      <c r="C113" s="23" t="n">
        <v>0.09</v>
      </c>
      <c r="D113" s="9" t="inlineStr">
        <is>
          <t>Constructed: long-run corporate dollar cost of debt</t>
        </is>
      </c>
    </row>
    <row r="114">
      <c r="A114" s="6" t="inlineStr">
        <is>
          <t>Terminal cost of debt, local-equivalent</t>
        </is>
      </c>
      <c r="B114" s="6" t="inlineStr">
        <is>
          <t>%</t>
        </is>
      </c>
      <c r="C114" s="16">
        <f>'Assumptions'!C104*'Assumptions'!C100+(1-'Assumptions'!C104)*((1+'Assumptions'!C113)*(1+'Assumptions'!C102)-1)</f>
        <v/>
      </c>
    </row>
    <row r="115">
      <c r="A115" s="6" t="inlineStr">
        <is>
          <t>TERMINAL COST OF CAPITAL</t>
        </is>
      </c>
      <c r="B115" s="6" t="inlineStr">
        <is>
          <t>%</t>
        </is>
      </c>
      <c r="C115" s="16">
        <f>'Assumptions'!C107*('Assumptions'!C112+'Assumptions'!C97*'Assumptions'!C94)+'Assumptions'!C108*'Assumptions'!C114*(1-'Assumptions'!C106)</f>
        <v/>
      </c>
    </row>
    <row r="116" ht="60" customHeight="1">
      <c r="A116" s="6" t="inlineStr">
        <is>
          <t>Terminal growth</t>
        </is>
      </c>
      <c r="B116" s="6" t="inlineStr">
        <is>
          <t>%</t>
        </is>
      </c>
      <c r="C116" s="15" t="n">
        <v>0.05</v>
      </c>
      <c r="D116" s="9" t="inlineStr">
        <is>
          <t>Terminal growth set at the central bank's LONGEST-HORIZON published inflation target: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7" ht="24" customHeight="1">
      <c r="A117" s="6" t="inlineStr">
        <is>
          <t>Terminal return on invested capital</t>
        </is>
      </c>
      <c r="B117" s="6" t="inlineStr">
        <is>
          <t>%</t>
        </is>
      </c>
      <c r="C117" s="15" t="n">
        <v>0.18</v>
      </c>
      <c r="D117" s="9" t="inlineStr">
        <is>
          <t>Constructed: terminal return on invested capital, which sets the terminal reinvestment rate as growth divided by return on capital</t>
        </is>
      </c>
    </row>
    <row r="119">
      <c r="A119" s="10" t="inlineStr">
        <is>
          <t>CAPITAL, WORKING CAPITAL AND THE PROJECT</t>
        </is>
      </c>
    </row>
    <row r="120" ht="24" customHeight="1">
      <c r="A120" s="6" t="inlineStr">
        <is>
          <t>Depreciation charge, FY2024/25</t>
        </is>
      </c>
      <c r="B120" s="6" t="inlineStr">
        <is>
          <t>EGP m</t>
        </is>
      </c>
      <c r="C120" s="20" t="n">
        <v>771.213</v>
      </c>
      <c r="D120" s="9" t="inlineStr">
        <is>
          <t>Audited financial statements, year ended 30 June 2025 (Central Auditing Organization, report dated 23 September 2025), note 6 fixed-asset register</t>
        </is>
      </c>
    </row>
    <row r="121" ht="24" customHeight="1">
      <c r="A121" s="6" t="inlineStr">
        <is>
          <t>Amortisation, FY2024/25</t>
        </is>
      </c>
      <c r="B121" s="6" t="inlineStr">
        <is>
          <t>EGP m</t>
        </is>
      </c>
      <c r="C121" s="20" t="n">
        <v>119.378</v>
      </c>
      <c r="D121" s="9" t="inlineStr">
        <is>
          <t>Audited financial statements, year ended 30 June 2025 (Central Auditing Organization, report dated 23 September 2025), note 10 usufruct intangible</t>
        </is>
      </c>
    </row>
    <row r="122" ht="60" customHeight="1">
      <c r="A122" s="6" t="inlineStr">
        <is>
          <t>Project capital expenditure — FY2026/27</t>
        </is>
      </c>
      <c r="B122" s="6" t="inlineStr">
        <is>
          <t>EGP m</t>
        </is>
      </c>
      <c r="C122" s="14">
        <f>'Cash Flow'!B30</f>
        <v/>
      </c>
      <c r="D122"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3" ht="60" customHeight="1">
      <c r="A123" s="6" t="inlineStr">
        <is>
          <t>Project capital expenditure — FY2027/28</t>
        </is>
      </c>
      <c r="B123" s="6" t="inlineStr">
        <is>
          <t>EGP m</t>
        </is>
      </c>
      <c r="C123" s="13" t="n">
        <v>3100</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FY2028/29</t>
        </is>
      </c>
      <c r="B124" s="6" t="inlineStr">
        <is>
          <t>EGP m</t>
        </is>
      </c>
      <c r="C124" s="13" t="n">
        <v>3300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FY2029/30</t>
        </is>
      </c>
      <c r="B125" s="6" t="inlineStr">
        <is>
          <t>EGP m</t>
        </is>
      </c>
      <c r="C125" s="13" t="n">
        <v>3200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FY2030/31</t>
        </is>
      </c>
      <c r="B126" s="6" t="inlineStr">
        <is>
          <t>EGP m</t>
        </is>
      </c>
      <c r="C126" s="14">
        <f>'Cash Flow'!D34-(C122+C123+C124+C125)</f>
        <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24" customHeight="1">
      <c r="A127" s="6" t="inlineStr">
        <is>
          <t>Depreciation escalation on the existing base</t>
        </is>
      </c>
      <c r="B127" s="6" t="inlineStr">
        <is>
          <t>per year</t>
        </is>
      </c>
      <c r="C127" s="15" t="n">
        <v>0.02</v>
      </c>
      <c r="D127" s="9" t="inlineStr">
        <is>
          <t>Constructed: escalation on the existing depreciation base, reflecting ordinary additions to the plant already in service</t>
        </is>
      </c>
    </row>
    <row r="128" ht="24" customHeight="1">
      <c r="A128" s="6" t="inlineStr">
        <is>
          <t>Depreciation rate on the new complex</t>
        </is>
      </c>
      <c r="B128" s="6" t="inlineStr">
        <is>
          <t>per year</t>
        </is>
      </c>
      <c r="C128" s="23" t="n">
        <v>0.0395</v>
      </c>
      <c r="D128" s="9" t="inlineStr">
        <is>
          <t>Audited financial statements, year ended 30 June 2025 (Central Auditing Organization, report dated 23 September 2025), note 5-2 depreciation rates</t>
        </is>
      </c>
    </row>
    <row r="129" ht="48" customHeight="1">
      <c r="A129" s="6" t="inlineStr">
        <is>
          <t>New complex nameplate</t>
        </is>
      </c>
      <c r="B129" s="6" t="inlineStr">
        <is>
          <t>tonnes/day</t>
        </is>
      </c>
      <c r="C129" s="13" t="n">
        <v>800</v>
      </c>
      <c r="D12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0" ht="24" customHeight="1">
      <c r="A130" s="6" t="inlineStr">
        <is>
          <t>Operating days a year</t>
        </is>
      </c>
      <c r="B130" s="6" t="inlineStr">
        <is>
          <t>days</t>
        </is>
      </c>
      <c r="C130" s="13" t="n">
        <v>330</v>
      </c>
      <c r="D130" s="9" t="inlineStr">
        <is>
          <t>Constructed: operating days a year for a continuous nitrate line, net of the turnaround the company takes annually</t>
        </is>
      </c>
    </row>
    <row r="131" ht="48" customHeight="1">
      <c r="A131" s="6" t="inlineStr">
        <is>
          <t>Steady-state depreciation wedge in the terminal year</t>
        </is>
      </c>
      <c r="B131" s="6" t="inlineStr">
        <is>
          <t>ratio</t>
        </is>
      </c>
      <c r="C131" s="15" t="n">
        <v>0.025390625</v>
      </c>
      <c r="D131"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2" ht="24" customHeight="1">
      <c r="A132" s="6" t="inlineStr">
        <is>
          <t>The complex is completed and in service (1 = yes)</t>
        </is>
      </c>
      <c r="B132" s="6" t="inlineStr">
        <is>
          <t>switch</t>
        </is>
      </c>
      <c r="C132" s="13" t="n">
        <v>1</v>
      </c>
      <c r="D132" s="9" t="inlineStr">
        <is>
          <t>Case switch. Zero in the capital-discipline column, where the plant is never finished and therefore never depreciated.</t>
        </is>
      </c>
    </row>
    <row r="133" ht="36" customHeight="1">
      <c r="A133" s="6" t="inlineStr">
        <is>
          <t>Approved cost of the new complex</t>
        </is>
      </c>
      <c r="B133" s="6" t="inlineStr">
        <is>
          <t>EGP m</t>
        </is>
      </c>
      <c r="C133" s="13" t="n">
        <v>20341.668</v>
      </c>
      <c r="D133" s="9" t="inlineStr">
        <is>
          <t>Audited financial statements, year ended 30 June 2025 (Central Auditing Organization, report dated 23 September 2025), note 18-3 — bank-approved investment cost, agreement of 25 June 2025; dual-currency tranches at the approval rate</t>
        </is>
      </c>
    </row>
    <row r="134" ht="72" customHeight="1">
      <c r="A134" s="6" t="inlineStr">
        <is>
          <t>Maintenance capital expenditure</t>
        </is>
      </c>
      <c r="B134" s="6" t="inlineStr">
        <is>
          <t>% of revenue</t>
        </is>
      </c>
      <c r="C134" s="8">
        <f>'Cash Flow'!D28</f>
        <v/>
      </c>
      <c r="D134"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5" ht="36" customHeight="1">
      <c r="A135" s="6" t="inlineStr">
        <is>
          <t>Wind-down cost if the programme is stopped</t>
        </is>
      </c>
      <c r="B135" s="6" t="inlineStr">
        <is>
          <t>EGP m</t>
        </is>
      </c>
      <c r="C135" s="13" t="n">
        <v>1000</v>
      </c>
      <c r="D135" s="9" t="inlineStr">
        <is>
          <t>Constructed: capital-discipline case only: the cost of stopping the programme in the first forecast year — contract settlement and site preservation. No filing states it; it is the study's estimate and is flagged.</t>
        </is>
      </c>
    </row>
    <row r="136" ht="24" customHeight="1">
      <c r="A136" s="6" t="inlineStr">
        <is>
          <t>Ammonia per tonne of nitrate</t>
        </is>
      </c>
      <c r="B136" s="6" t="inlineStr">
        <is>
          <t>tonnes</t>
        </is>
      </c>
      <c r="C136" s="12" t="n">
        <v>0.43</v>
      </c>
      <c r="D136" s="9" t="inlineStr">
        <is>
          <t>Constructed: ammonia per tonne of ammonium nitrate through the nitric-acid route plus direct neutralisation</t>
        </is>
      </c>
    </row>
    <row r="137" ht="40" customHeight="1">
      <c r="A137" s="6" t="inlineStr">
        <is>
          <t>Project nameplate (derived, not disclosed)</t>
        </is>
      </c>
      <c r="B137" s="6" t="inlineStr">
        <is>
          <t>tonnes/year</t>
        </is>
      </c>
      <c r="C137" s="14">
        <f>'Assumptions'!C129*'Assumptions'!C130</f>
        <v/>
      </c>
      <c r="D137"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8" ht="40" customHeight="1">
      <c r="A138" s="6" t="inlineStr">
        <is>
          <t>Cross-check: nameplate derived from the ammonia surplus</t>
        </is>
      </c>
      <c r="B138" s="6" t="inlineStr">
        <is>
          <t>tonnes/year</t>
        </is>
      </c>
      <c r="C138" s="14">
        <f>('Assumptions'!C14-'Assumptions'!C13*'Assumptions'!C15)/'Assumptions'!C136</f>
        <v/>
      </c>
      <c r="D138" s="9" t="inlineStr">
        <is>
          <t>The construction the study used before the engineering award was found. Retained as a cross-check on the disclosed plate, not as the plate itself.</t>
        </is>
      </c>
    </row>
    <row r="139" ht="14" customHeight="1">
      <c r="A139" s="6" t="inlineStr">
        <is>
          <t>Project utilisation in the terminal year</t>
        </is>
      </c>
      <c r="B139" s="6" t="inlineStr">
        <is>
          <t>%</t>
        </is>
      </c>
      <c r="C139" s="15" t="n">
        <v>0.5</v>
      </c>
      <c r="D139" s="9" t="inlineStr">
        <is>
          <t>Constructed: project utilisation in the terminal year, central case</t>
        </is>
      </c>
    </row>
    <row r="140" ht="14" customHeight="1">
      <c r="A140" s="6" t="inlineStr">
        <is>
          <t>Nitrate price</t>
        </is>
      </c>
      <c r="B140" s="6" t="inlineStr">
        <is>
          <t>US$/tonne</t>
        </is>
      </c>
      <c r="C140" s="13" t="n">
        <v>280</v>
      </c>
      <c r="D140" s="9" t="inlineStr">
        <is>
          <t>Mid-cycle ammonium nitrate pricing</t>
        </is>
      </c>
    </row>
    <row r="141" ht="14" customHeight="1">
      <c r="A141" s="6" t="inlineStr">
        <is>
          <t>Project cash margin</t>
        </is>
      </c>
      <c r="B141" s="6" t="inlineStr">
        <is>
          <t>% of revenue</t>
        </is>
      </c>
      <c r="C141" s="15" t="n">
        <v>0.32</v>
      </c>
      <c r="D141" s="9" t="inlineStr">
        <is>
          <t>Constructed: conversion margin on ammonium nitrate over its own ammonia feedstock</t>
        </is>
      </c>
    </row>
    <row r="142" ht="14" customHeight="1">
      <c r="A142" s="6" t="inlineStr">
        <is>
          <t>Days sales outstanding</t>
        </is>
      </c>
      <c r="B142" s="6" t="inlineStr">
        <is>
          <t>days</t>
        </is>
      </c>
      <c r="C142" s="20" t="n">
        <v>26.77469536556713</v>
      </c>
      <c r="D142" s="9" t="inlineStr">
        <is>
          <t>Constructed: FY2024/25 receivables over revenue</t>
        </is>
      </c>
    </row>
    <row r="143" ht="14" customHeight="1">
      <c r="A143" s="6" t="inlineStr">
        <is>
          <t>Days inventory outstanding</t>
        </is>
      </c>
      <c r="B143" s="6" t="inlineStr">
        <is>
          <t>days</t>
        </is>
      </c>
      <c r="C143" s="20" t="n">
        <v>165.2475279747788</v>
      </c>
      <c r="D143" s="9" t="inlineStr">
        <is>
          <t>Constructed: FY2024/25 inventory over cost of sales</t>
        </is>
      </c>
    </row>
    <row r="144" ht="14" customHeight="1">
      <c r="A144" s="6" t="inlineStr">
        <is>
          <t>Days payable outstanding</t>
        </is>
      </c>
      <c r="B144" s="6" t="inlineStr">
        <is>
          <t>days</t>
        </is>
      </c>
      <c r="C144" s="20" t="n">
        <v>83.17161071710899</v>
      </c>
      <c r="D144"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'Assumptions'!C120*(1+'Assumptions'!C127*0)+'Assumptions'!C121</f>
        <v/>
      </c>
      <c r="C25" s="14">
        <f>'Assumptions'!C120*(1+'Assumptions'!C127*1)+'Assumptions'!C121+SUM('Assumptions'!C122:C122)*'Assumptions'!C128</f>
        <v/>
      </c>
      <c r="D25" s="14">
        <f>'Assumptions'!C120*(1+'Assumptions'!C127*2)+'Assumptions'!C121+SUM('Assumptions'!C122:C123)*'Assumptions'!C128</f>
        <v/>
      </c>
      <c r="E25" s="14">
        <f>'Assumptions'!C120*(1+'Assumptions'!C127*3)+'Assumptions'!C121+SUM('Assumptions'!C122:C124)*'Assumptions'!C128</f>
        <v/>
      </c>
      <c r="F25" s="14">
        <f>'Assumptions'!C120*(1+'Assumptions'!C127*4)+'Assumptions'!C121+SUM('Assumptions'!C122:C125)*'Assumptions'!C128</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(B29-'Assumptions'!C120-'Assumptions'!C121)*(1-'Assumptions'!C106)</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B9*(1-'Assumptions'!C106)</f>
        <v/>
      </c>
      <c r="C10" s="14">
        <f>C9*(1-'Assumptions'!C106)</f>
        <v/>
      </c>
      <c r="D10" s="14">
        <f>D9*(1-'Assumptions'!C106)</f>
        <v/>
      </c>
      <c r="E10" s="14">
        <f>E9*(1-'Assumptions'!C106)</f>
        <v/>
      </c>
      <c r="F10" s="14">
        <f>F9*(1-'Assumptions'!C106)</f>
        <v/>
      </c>
    </row>
    <row r="11">
      <c r="A11" s="6" t="inlineStr">
        <is>
          <t>Add back depreciation</t>
        </is>
      </c>
      <c r="B11" s="14">
        <f>B8</f>
        <v/>
      </c>
      <c r="C11" s="14">
        <f>C8</f>
        <v/>
      </c>
      <c r="D11" s="14">
        <f>D8</f>
        <v/>
      </c>
      <c r="E11" s="14">
        <f>E8</f>
        <v/>
      </c>
      <c r="F11" s="14">
        <f>F8</f>
        <v/>
      </c>
    </row>
    <row r="12">
      <c r="A12" s="6" t="inlineStr">
        <is>
          <t>Less capital expenditure</t>
        </is>
      </c>
      <c r="B12" s="14">
        <f>-($I$5*'Assumptions'!C122+$I$6*(1-$I$5)+B5*'Assumptions'!C134)</f>
        <v/>
      </c>
      <c r="C12" s="14">
        <f>-($I$5*'Assumptions'!C123+C5*'Assumptions'!C134)</f>
        <v/>
      </c>
      <c r="D12" s="14">
        <f>-($I$5*'Assumptions'!C124+D5*'Assumptions'!C134)</f>
        <v/>
      </c>
      <c r="E12" s="14">
        <f>-($I$5*'Assumptions'!C125+E5*'Assumptions'!C134)</f>
        <v/>
      </c>
      <c r="F12" s="14">
        <f>-($I$5*'Assumptions'!C126+F5*'Assumptions'!C134)</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'Assumptions'!C109</f>
        <v/>
      </c>
      <c r="C15" s="27">
        <f>'Assumptions'!C107*(('Assumptions'!C93+('Assumptions'!C112-'Assumptions'!C93)*1/5)+'Assumptions'!C97*'Assumptions'!C94)+'Assumptions'!C108*('Assumptions'!C104*'Assumptions'!C100+(1-'Assumptions'!C104)*((1+'Assumptions'!C101)*(1+'Assumptions'!C42)-1))*(1-'Assumptions'!C106)</f>
        <v/>
      </c>
      <c r="D15" s="27">
        <f>'Assumptions'!C107*(('Assumptions'!C93+('Assumptions'!C112-'Assumptions'!C93)*2/5)+'Assumptions'!C97*'Assumptions'!C94)+'Assumptions'!C108*('Assumptions'!C104*'Assumptions'!C100+(1-'Assumptions'!C104)*((1+'Assumptions'!C101)*(1+'Assumptions'!C44)-1))*(1-'Assumptions'!C106)</f>
        <v/>
      </c>
      <c r="E15" s="27">
        <f>'Assumptions'!C107*(('Assumptions'!C93+('Assumptions'!C112-'Assumptions'!C93)*3/5)+'Assumptions'!C97*'Assumptions'!C94)+'Assumptions'!C108*('Assumptions'!C104*'Assumptions'!C100+(1-'Assumptions'!C104)*((1+'Assumptions'!C101)*(1+'Assumptions'!C46)-1))*(1-'Assumptions'!C106)</f>
        <v/>
      </c>
      <c r="F15" s="27">
        <f>'Assumptions'!C107*(('Assumptions'!C93+('Assumptions'!C112-'Assumptions'!C93)*4/5)+'Assumptions'!C97*'Assumptions'!C94)+'Assumptions'!C108*('Assumptions'!C104*'Assumptions'!C100+(1-'Assumptions'!C104)*((1+'Assumptions'!C101)*(1+'Assumptions'!C48)-1))*(1-'Assumptions'!C106)</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F9*(1+'Assumptions'!C116)</f>
        <v/>
      </c>
      <c r="D21" s="14">
        <f>(F9+SUM('Assumptions'!C122:C125)*'Assumptions'!C128)*(1+'Assumptions'!C116)</f>
        <v/>
      </c>
    </row>
    <row r="22">
      <c r="A22" s="6" t="inlineStr">
        <is>
          <t>Project revenue in the terminal year</t>
        </is>
      </c>
      <c r="B22" s="14">
        <f>'Assumptions'!C137*'Assumptions'!C139*'Assumptions'!C140*('Assumptions'!C49*(1+'Assumptions'!C116-'Assumptions'!C131))/1000000</f>
        <v/>
      </c>
      <c r="D22" s="14">
        <f>'Assumptions'!C137*0*'Assumptions'!C140*('Assumptions'!C49*(1+'Assumptions'!C116-'Assumptions'!C131))/1000000</f>
        <v/>
      </c>
    </row>
    <row r="23">
      <c r="A23" s="6" t="inlineStr">
        <is>
          <t>Project operating profit, after its own depreciation</t>
        </is>
      </c>
      <c r="B23" s="14">
        <f>B22*'Assumptions'!C141-'Assumptions'!C132*'Assumptions'!C133*'Assumptions'!C128</f>
        <v/>
      </c>
      <c r="D23" s="14">
        <f>D22*'Assumptions'!C141-0*'Assumptions'!C133*'Assumptions'!C128</f>
        <v/>
      </c>
    </row>
    <row r="24">
      <c r="A24" s="6" t="inlineStr">
        <is>
          <t>Terminal EBIT</t>
        </is>
      </c>
      <c r="B24" s="14">
        <f>B21+B23</f>
        <v/>
      </c>
      <c r="D24" s="14">
        <f>D21+D23</f>
        <v/>
      </c>
    </row>
    <row r="25">
      <c r="A25" s="6" t="inlineStr">
        <is>
          <t>Terminal NOPAT</t>
        </is>
      </c>
      <c r="B25" s="14">
        <f>B24*(1-'Assumptions'!C106)</f>
        <v/>
      </c>
      <c r="D25" s="14">
        <f>D24*(1-'Assumptions'!C106)</f>
        <v/>
      </c>
    </row>
    <row r="26">
      <c r="A26" s="6" t="inlineStr">
        <is>
          <t>Reinvestment rate = growth / return on capital</t>
        </is>
      </c>
      <c r="B26" s="8">
        <f>'Assumptions'!C116/'Assumptions'!C117</f>
        <v/>
      </c>
      <c r="D26" s="8">
        <f>'Assumptions'!C116/'Assumptions'!C117</f>
        <v/>
      </c>
    </row>
    <row r="27">
      <c r="A27" s="6" t="inlineStr">
        <is>
          <t>Terminal free cash flow</t>
        </is>
      </c>
      <c r="B27" s="14">
        <f>B25*(1-B26)</f>
        <v/>
      </c>
      <c r="D27" s="14">
        <f>D25*(1-D26)</f>
        <v/>
      </c>
    </row>
    <row r="28">
      <c r="A28" s="6" t="inlineStr">
        <is>
          <t>TERMINAL VALUE</t>
        </is>
      </c>
      <c r="B28" s="14">
        <f>B27/('Assumptions'!C115-'Assumptions'!C116)</f>
        <v/>
      </c>
      <c r="D28" s="14">
        <f>D27/('Assumptions'!C115-'Assumptions'!C116)</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+'Assumptions'!C122</f>
        <v/>
      </c>
      <c r="C50" s="14">
        <f>+'Assumptions'!C123</f>
        <v/>
      </c>
      <c r="D50" s="14">
        <f>+'Assumptions'!C124</f>
        <v/>
      </c>
      <c r="E50" s="14">
        <f>+'Assumptions'!C125</f>
        <v/>
      </c>
      <c r="F50" s="14">
        <f>+'Assumptions'!C126</f>
        <v/>
      </c>
    </row>
    <row r="51">
      <c r="A51" s="6" t="inlineStr">
        <is>
          <t>Less the wind-down cost</t>
        </is>
      </c>
      <c r="B51" s="14">
        <f>-'Assumptions'!C135</f>
        <v/>
      </c>
      <c r="C51" s="14">
        <f>0</f>
        <v/>
      </c>
      <c r="D51" s="14">
        <f>0</f>
        <v/>
      </c>
      <c r="E51" s="14">
        <f>0</f>
        <v/>
      </c>
      <c r="F51" s="14">
        <f>0</f>
        <v/>
      </c>
    </row>
    <row r="52">
      <c r="A52" s="6" t="inlineStr">
        <is>
          <t>Less the tax shield on depreciation never incurred</t>
        </is>
      </c>
      <c r="B52" s="14">
        <f>0</f>
        <v/>
      </c>
      <c r="C52" s="14">
        <f>-SUM('Assumptions'!C122:C122)*'Assumptions'!C128*'Assumptions'!C106</f>
        <v/>
      </c>
      <c r="D52" s="14">
        <f>-SUM('Assumptions'!C122:C123)*'Assumptions'!C128*'Assumptions'!C106</f>
        <v/>
      </c>
      <c r="E52" s="14">
        <f>-SUM('Assumptions'!C122:C124)*'Assumptions'!C128*'Assumptions'!C106</f>
        <v/>
      </c>
      <c r="F52" s="14">
        <f>-SUM('Assumptions'!C122:C125)*'Assumptions'!C128*'Assumptions'!C106</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B5*'Assumptions'!C142/365</f>
        <v/>
      </c>
      <c r="C7" s="14">
        <f>C5*'Assumptions'!C142/365</f>
        <v/>
      </c>
      <c r="D7" s="14">
        <f>D5*'Assumptions'!C142/365</f>
        <v/>
      </c>
      <c r="E7" s="14">
        <f>E5*'Assumptions'!C142/365</f>
        <v/>
      </c>
      <c r="F7" s="14">
        <f>F5*'Assumptions'!C142/365</f>
        <v/>
      </c>
    </row>
    <row r="8">
      <c r="A8" s="6" t="inlineStr">
        <is>
          <t>Inventory</t>
        </is>
      </c>
      <c r="B8" s="14">
        <f>B6*'Assumptions'!C143/365</f>
        <v/>
      </c>
      <c r="C8" s="14">
        <f>C6*'Assumptions'!C143/365</f>
        <v/>
      </c>
      <c r="D8" s="14">
        <f>D6*'Assumptions'!C143/365</f>
        <v/>
      </c>
      <c r="E8" s="14">
        <f>E6*'Assumptions'!C143/365</f>
        <v/>
      </c>
      <c r="F8" s="14">
        <f>F6*'Assumptions'!C143/365</f>
        <v/>
      </c>
    </row>
    <row r="9">
      <c r="A9" s="6" t="inlineStr">
        <is>
          <t>Payables</t>
        </is>
      </c>
      <c r="B9" s="14">
        <f>B6*'Assumptions'!C144/365</f>
        <v/>
      </c>
      <c r="C9" s="14">
        <f>C6*'Assumptions'!C144/365</f>
        <v/>
      </c>
      <c r="D9" s="14">
        <f>D6*'Assumptions'!C144/365</f>
        <v/>
      </c>
      <c r="E9" s="14">
        <f>E6*'Assumptions'!C144/365</f>
        <v/>
      </c>
      <c r="F9" s="14">
        <f>F6*'Assumptions'!C144/365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-2.7</v>
      </c>
      <c r="C6" s="12" t="n">
        <v>-2.79</v>
      </c>
      <c r="D6" s="12" t="n">
        <v>-2.89</v>
      </c>
      <c r="E6" s="12" t="n">
        <v>-2.95</v>
      </c>
      <c r="F6" s="12" t="n">
        <v>-3.02</v>
      </c>
    </row>
    <row r="7">
      <c r="A7" s="6" t="inlineStr">
        <is>
          <t>US$ 420/t long-run export price</t>
        </is>
      </c>
      <c r="B7" s="12" t="n">
        <v>-1.19</v>
      </c>
      <c r="C7" s="12" t="n">
        <v>-1.37</v>
      </c>
      <c r="D7" s="12" t="n">
        <v>-1.54</v>
      </c>
      <c r="E7" s="12" t="n">
        <v>-1.66</v>
      </c>
      <c r="F7" s="12" t="n">
        <v>-1.78</v>
      </c>
    </row>
    <row r="8">
      <c r="A8" s="6" t="inlineStr">
        <is>
          <t>US$ 460/t long-run export price</t>
        </is>
      </c>
      <c r="B8" s="12" t="n">
        <v>0.31</v>
      </c>
      <c r="C8" s="12" t="n">
        <v>0.05</v>
      </c>
      <c r="D8" s="12" t="n">
        <v>-0.2</v>
      </c>
      <c r="E8" s="12" t="n">
        <v>-0.37</v>
      </c>
      <c r="F8" s="12" t="n">
        <v>-0.54</v>
      </c>
    </row>
    <row r="9">
      <c r="A9" s="6" t="inlineStr">
        <is>
          <t>US$ 500/t long-run export price</t>
        </is>
      </c>
      <c r="B9" s="12" t="n">
        <v>1.81</v>
      </c>
      <c r="C9" s="12" t="n">
        <v>1.47</v>
      </c>
      <c r="D9" s="12" t="n">
        <v>1.14</v>
      </c>
      <c r="E9" s="12" t="n">
        <v>0.92</v>
      </c>
      <c r="F9" s="12" t="n">
        <v>0.6899999999999999</v>
      </c>
    </row>
    <row r="10">
      <c r="A10" s="6" t="inlineStr">
        <is>
          <t>US$ 540/t long-run export price</t>
        </is>
      </c>
      <c r="B10" s="12" t="n">
        <v>3.31</v>
      </c>
      <c r="C10" s="12" t="n">
        <v>2.89</v>
      </c>
      <c r="D10" s="12" t="n">
        <v>2.48</v>
      </c>
      <c r="E10" s="12" t="n">
        <v>2.21</v>
      </c>
      <c r="F10" s="12" t="n">
        <v>1.93</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0.1030999883383652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-1.397694934111888</v>
      </c>
      <c r="D18" s="11">
        <f>C18-$D$15</f>
        <v/>
      </c>
    </row>
    <row r="19" ht="26" customHeight="1">
      <c r="A19" s="9" t="inlineStr">
        <is>
          <t>Terminal growth at the central bank's medium-term inflation target</t>
        </is>
      </c>
      <c r="B19" s="9" t="inlineStr">
        <is>
          <t>Two percentage points below it, which is negative real maintenance growth</t>
        </is>
      </c>
      <c r="C19" s="12" t="n">
        <v>-0.6670180351027122</v>
      </c>
      <c r="D19" s="11">
        <f>C19-$D$15</f>
        <v/>
      </c>
    </row>
    <row r="20" ht="26" customHeight="1">
      <c r="A20" s="9" t="inlineStr">
        <is>
          <t>The cost of debt at the company's own disclosed rates — 19.4% on the local facility, 11.7% in dollars on the project loan carried at local-equivalent cost on the derived currency path, 20.0% in year one gliding to 11.8% at the terminal</t>
        </is>
      </c>
      <c r="B20" s="9" t="inlineStr">
        <is>
          <t>Every leg floored at the 23.00% sovereign ten-year yield — the company's own facilities print no spread above the policy rate, so no spread is added</t>
        </is>
      </c>
      <c r="C20" s="12" t="n">
        <v>-1.062000234885711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0.1709154866519979</v>
      </c>
      <c r="D21" s="11">
        <f>C21-$D$15</f>
        <v/>
      </c>
    </row>
    <row r="22" ht="26" customHeight="1">
      <c r="A22" s="9" t="inlineStr">
        <is>
          <t>Gas at the realised price the company's own loss disclosure implies</t>
        </is>
      </c>
      <c r="B22" s="9" t="inlineStr">
        <is>
          <t>The contract formula price in the operating agreement, which is higher</t>
        </is>
      </c>
      <c r="C22" s="12" t="n">
        <v>-2.50809878104179</v>
      </c>
      <c r="D22" s="11">
        <f>C22-$D$15</f>
        <v/>
      </c>
    </row>
    <row r="23" ht="26" customHeight="1">
      <c r="A23" s="9" t="inlineStr">
        <is>
          <t>The new complex earning at half its derived nameplate in the terminal year</t>
        </is>
      </c>
      <c r="B23" s="9" t="inlineStr">
        <is>
          <t>Seventy per cent, which is what a well-run nitrate line achieves</t>
        </is>
      </c>
      <c r="C23" s="12" t="n">
        <v>-0.3983876059568149</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-1.415814469979403</v>
      </c>
      <c r="D24" s="11">
        <f>C24-$D$15</f>
        <v/>
      </c>
    </row>
    <row r="25" ht="26" customHeight="1">
      <c r="A25" s="9" t="inlineStr">
        <is>
          <t>Terminal reinvestment of 27.8% of operating profit after tax, from growth over an 18% return on capital</t>
        </is>
      </c>
      <c r="B25" s="9" t="inlineStr">
        <is>
          <t>16.7%, from a 30% return on capital — the rate a newly completed plant earns on incremental capital while it is still filling</t>
        </is>
      </c>
      <c r="C25" s="12" t="n">
        <v>-0.3534762974524243</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-0.8572462475446263</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'Assumptions'!C98</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2026-09-01T21:10:34Z</dcterms:created>
  <dcterms:modified xmlns:dcterms="http://purl.org/dc/terms/" xmlns:xsi="http://www.w3.org/2001/XMLSchema-instance" xsi:type="dcterms:W3CDTF">2026-09-01T21:10:34Z</dcterms:modified>
</cp:coreProperties>
</file>