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28.56127057147508</v>
      </c>
      <c r="C5" s="8">
        <f>DCF!C62</f>
        <v/>
      </c>
      <c r="D5" s="7" t="n">
        <v>137.7336876137142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28.56127057147508</v>
      </c>
    </row>
    <row r="7">
      <c r="A7" s="6" t="inlineStr">
        <is>
          <t xml:space="preserve">  bull</t>
        </is>
      </c>
      <c r="B7" s="6" t="inlineStr">
        <is>
          <t>margin +1.5pp, stronger currency path, −2pp cost of capital, g 6%</t>
        </is>
      </c>
      <c r="C7" s="7" t="n">
        <v>137.7336876137142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81.67504702609115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93.77232461390484</v>
      </c>
      <c r="D24" s="7" t="n">
        <v>66.99952105349392</v>
      </c>
      <c r="E24" s="7" t="n">
        <v>154.5203160036869</v>
      </c>
    </row>
    <row r="25">
      <c r="A25" s="6" t="inlineStr">
        <is>
          <t>Expert 3</t>
        </is>
      </c>
      <c r="B25" s="6" t="inlineStr">
        <is>
          <t>cash returns vs cost of capital</t>
        </is>
      </c>
      <c r="C25" s="7" t="n">
        <v>89.33482995346847</v>
      </c>
      <c r="D25" s="7" t="n">
        <v>66.64132982804048</v>
      </c>
      <c r="E25" s="7" t="n">
        <v>112.0283300788964</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126491.9551090501</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103.9579534291615</v>
      </c>
      <c r="C6" s="7" t="n">
        <v>116.5404104409828</v>
      </c>
      <c r="D6" s="7" t="n">
        <v>134.9250535973918</v>
      </c>
      <c r="E6" s="7" t="n">
        <v>164.5454667217586</v>
      </c>
      <c r="F6" s="7" t="n">
        <v>220.698725084256</v>
      </c>
    </row>
    <row r="7">
      <c r="A7" s="6" t="inlineStr">
        <is>
          <t>14.3%</t>
        </is>
      </c>
      <c r="B7" s="7" t="n">
        <v>87.6624525757782</v>
      </c>
      <c r="C7" s="7" t="n">
        <v>95.7497920679405</v>
      </c>
      <c r="D7" s="7" t="n">
        <v>106.800051725385</v>
      </c>
      <c r="E7" s="7" t="n">
        <v>122.9278341935899</v>
      </c>
      <c r="F7" s="7" t="n">
        <v>148.8880965042395</v>
      </c>
    </row>
    <row r="8">
      <c r="A8" s="6" t="inlineStr">
        <is>
          <t>15.3%</t>
        </is>
      </c>
      <c r="B8" s="7" t="n">
        <v>75.36259663302229</v>
      </c>
      <c r="C8" s="7" t="n">
        <v>80.75351613072056</v>
      </c>
      <c r="D8" s="7" t="n">
        <v>87.7632711606884</v>
      </c>
      <c r="E8" s="7" t="n">
        <v>97.32517470782793</v>
      </c>
      <c r="F8" s="7" t="n">
        <v>111.2606663334557</v>
      </c>
    </row>
    <row r="9">
      <c r="A9" s="6" t="inlineStr">
        <is>
          <t>16.3%</t>
        </is>
      </c>
      <c r="B9" s="7" t="n">
        <v>65.7551676969633</v>
      </c>
      <c r="C9" s="7" t="n">
        <v>69.43185339144748</v>
      </c>
      <c r="D9" s="7" t="n">
        <v>74.02908767939394</v>
      </c>
      <c r="E9" s="7" t="n">
        <v>79.99204503129506</v>
      </c>
      <c r="F9" s="7" t="n">
        <v>88.10811060392669</v>
      </c>
    </row>
    <row r="10">
      <c r="A10" s="6" t="inlineStr">
        <is>
          <t>17.3%</t>
        </is>
      </c>
      <c r="B10" s="7" t="n">
        <v>58.047869408913</v>
      </c>
      <c r="C10" s="7" t="n">
        <v>60.58637439004508</v>
      </c>
      <c r="D10" s="7" t="n">
        <v>63.65776038482486</v>
      </c>
      <c r="E10" s="7" t="n">
        <v>67.48395285635333</v>
      </c>
      <c r="F10" s="7" t="n">
        <v>72.42997389688901</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142.9257201436457</v>
      </c>
      <c r="C14" s="7" t="n">
        <v>138.8532208372788</v>
      </c>
      <c r="D14" s="7" t="n">
        <v>134.9250535973918</v>
      </c>
      <c r="E14" s="7" t="n">
        <v>131.1348279469485</v>
      </c>
      <c r="F14" s="7" t="n">
        <v>127.4764945640268</v>
      </c>
    </row>
    <row r="15">
      <c r="A15" s="6" t="inlineStr">
        <is>
          <t>terminal 14.3%</t>
        </is>
      </c>
      <c r="B15" s="7" t="n">
        <v>113.2043612990502</v>
      </c>
      <c r="C15" s="7" t="n">
        <v>109.9445769200784</v>
      </c>
      <c r="D15" s="7" t="n">
        <v>106.800051725385</v>
      </c>
      <c r="E15" s="7" t="n">
        <v>103.7656914075321</v>
      </c>
      <c r="F15" s="7" t="n">
        <v>100.8366732530279</v>
      </c>
    </row>
    <row r="16">
      <c r="A16" s="6" t="inlineStr">
        <is>
          <t>terminal 15.3%</t>
        </is>
      </c>
      <c r="B16" s="7" t="n">
        <v>93.08744362839961</v>
      </c>
      <c r="C16" s="7" t="n">
        <v>90.37756045690212</v>
      </c>
      <c r="D16" s="7" t="n">
        <v>87.7632711606884</v>
      </c>
      <c r="E16" s="7" t="n">
        <v>85.24035794052051</v>
      </c>
      <c r="F16" s="7" t="n">
        <v>82.80482756291119</v>
      </c>
    </row>
    <row r="17">
      <c r="A17" s="6" t="inlineStr">
        <is>
          <t>terminal 16.3%</t>
        </is>
      </c>
      <c r="B17" s="7" t="n">
        <v>78.57430312065637</v>
      </c>
      <c r="C17" s="7" t="n">
        <v>76.26098688087828</v>
      </c>
      <c r="D17" s="7" t="n">
        <v>74.02908767939394</v>
      </c>
      <c r="E17" s="7" t="n">
        <v>71.87501939979802</v>
      </c>
      <c r="F17" s="7" t="n">
        <v>69.79538660824731</v>
      </c>
    </row>
    <row r="18">
      <c r="A18" s="6" t="inlineStr">
        <is>
          <t>terminal 17.3%</t>
        </is>
      </c>
      <c r="B18" s="7" t="n">
        <v>67.61501378418899</v>
      </c>
      <c r="C18" s="7" t="n">
        <v>65.60102680467182</v>
      </c>
      <c r="D18" s="7" t="n">
        <v>63.65776038482486</v>
      </c>
      <c r="E18" s="7" t="n">
        <v>61.78210484973862</v>
      </c>
      <c r="F18" s="7" t="n">
        <v>59.97111565861656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92.11601318377691</v>
      </c>
      <c r="C22" s="7" t="n">
        <v>90.6948601038554</v>
      </c>
      <c r="D22" s="7" t="n">
        <v>88.2716081141819</v>
      </c>
      <c r="E22" s="7" t="n">
        <v>87.76263937231083</v>
      </c>
      <c r="F22" s="7" t="n">
        <v>87.25723444154944</v>
      </c>
      <c r="H22" s="16">
        <f>MAX(B22:F22)-MIN(B22:F22)</f>
        <v/>
      </c>
    </row>
    <row r="23">
      <c r="A23" s="6" t="inlineStr">
        <is>
          <t>Exchange-rate path multiplier  (0.90x / 1.00x / 1.20x / 1.45x / 1.70x)</t>
        </is>
      </c>
      <c r="B23" s="7" t="n">
        <v>84.85465173953861</v>
      </c>
      <c r="C23" s="7" t="n">
        <v>87.7632711606884</v>
      </c>
      <c r="D23" s="7" t="n">
        <v>93.58051000298806</v>
      </c>
      <c r="E23" s="7" t="n">
        <v>100.8520585558626</v>
      </c>
      <c r="F23" s="7" t="n">
        <v>108.1236071087373</v>
      </c>
      <c r="H23" s="16">
        <f>MAX(B23:F23)-MIN(B23:F23)</f>
        <v/>
      </c>
    </row>
    <row r="24">
      <c r="A24" s="6" t="inlineStr">
        <is>
          <t>Segment margins, multiplicative  (0.850x / 0.925x / 1.000x / 1.075x / 1.150x)</t>
        </is>
      </c>
      <c r="B24" s="7" t="n">
        <v>50.91447338147828</v>
      </c>
      <c r="C24" s="7" t="n">
        <v>69.33887227108335</v>
      </c>
      <c r="D24" s="7" t="n">
        <v>87.7632711606884</v>
      </c>
      <c r="E24" s="7" t="n">
        <v>106.1876700502934</v>
      </c>
      <c r="F24" s="7" t="n">
        <v>124.6120689398984</v>
      </c>
      <c r="H24" s="16">
        <f>MAX(B24:F24)-MIN(B24:F24)</f>
        <v/>
      </c>
    </row>
    <row r="25">
      <c r="A25" s="6" t="inlineStr">
        <is>
          <t>Copper price multiplier  (0.850x / 0.925x / 1.000x / 1.075x / 1.150x)</t>
        </is>
      </c>
      <c r="B25" s="7" t="n">
        <v>83.40034202896365</v>
      </c>
      <c r="C25" s="7" t="n">
        <v>85.58180659482602</v>
      </c>
      <c r="D25" s="7" t="n">
        <v>87.7632711606884</v>
      </c>
      <c r="E25" s="7" t="n">
        <v>89.94473572655079</v>
      </c>
      <c r="F25" s="7" t="n">
        <v>92.12620029241313</v>
      </c>
      <c r="H25" s="16">
        <f>MAX(B25:F25)-MIN(B25:F25)</f>
        <v/>
      </c>
    </row>
    <row r="26">
      <c r="A26" s="6" t="inlineStr">
        <is>
          <t>Working capital / revenue  (17.0% / 18.5% / 19.9% / 21.5% / 23.0%)</t>
        </is>
      </c>
      <c r="B26" s="7" t="n">
        <v>97.52765330261191</v>
      </c>
      <c r="C26" s="7" t="n">
        <v>92.04204535771109</v>
      </c>
      <c r="D26" s="7" t="n">
        <v>86.92214460913688</v>
      </c>
      <c r="E26" s="7" t="n">
        <v>81.07082946790932</v>
      </c>
      <c r="F26" s="7" t="n">
        <v>75.58522152300843</v>
      </c>
      <c r="H26" s="16">
        <f>MAX(B26:F26)-MIN(B26:F26)</f>
        <v/>
      </c>
    </row>
    <row r="27">
      <c r="A27" s="6" t="inlineStr">
        <is>
          <t>Terminal return on invested capital  (15.0% / 18.0% / 22.5% / 26.0% / 30.0%)</t>
        </is>
      </c>
      <c r="B27" s="7" t="n">
        <v>66.47156186730963</v>
      </c>
      <c r="C27" s="7" t="n">
        <v>83.04167945779123</v>
      </c>
      <c r="D27" s="7" t="n">
        <v>99.51884490996628</v>
      </c>
      <c r="E27" s="7" t="n">
        <v>108.5341680585322</v>
      </c>
      <c r="F27" s="7" t="n">
        <v>116.1819146387544</v>
      </c>
      <c r="H27" s="16">
        <f>MAX(B27:F27)-MIN(B27:F27)</f>
        <v/>
      </c>
    </row>
    <row r="28">
      <c r="A28" s="6" t="inlineStr">
        <is>
          <t>Terminal growth (at base cost of capital)  (7% / 8% / 9% / 10% / 11%)</t>
        </is>
      </c>
      <c r="B28" s="7" t="n">
        <v>75.36259663302229</v>
      </c>
      <c r="C28" s="7" t="n">
        <v>80.75351613072056</v>
      </c>
      <c r="D28" s="7" t="n">
        <v>87.7632711606884</v>
      </c>
      <c r="E28" s="7" t="n">
        <v>97.32517470782793</v>
      </c>
      <c r="F28" s="7" t="n">
        <v>111.2606663334557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2026-09-13T14:46:57Z</dcterms:created>
  <dcterms:modified xmlns:dcterms="http://purl.org/dc/terms/" xmlns:xsi="http://www.w3.org/2001/XMLSchema-instance" xsi:type="dcterms:W3CDTF">2026-09-13T14:46:57Z</dcterms:modified>
</cp:coreProperties>
</file>