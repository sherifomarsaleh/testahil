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26.7% -&gt; 15.3%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28.56127057147508</v>
      </c>
      <c r="C5" s="8">
        <f>DCF!C62</f>
        <v/>
      </c>
      <c r="D5" s="7" t="n">
        <v>137.7336876137142</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28.56127057147508</v>
      </c>
    </row>
    <row r="7">
      <c r="A7" s="6" t="inlineStr">
        <is>
          <t xml:space="preserve">  bull</t>
        </is>
      </c>
      <c r="B7" s="6" t="inlineStr">
        <is>
          <t>margin +1.5pp, stronger currency path, −2pp cost of capital, g 6%</t>
        </is>
      </c>
      <c r="C7" s="7" t="n">
        <v>137.7336876137142</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0.5108677256872055</v>
      </c>
    </row>
    <row r="16">
      <c r="A16" s="6" t="inlineStr">
        <is>
          <t>Cost of capital applied in the primary model (explicit → terminal)</t>
        </is>
      </c>
      <c r="C16" s="22" t="inlineStr">
        <is>
          <t>26.7% → 15.3%</t>
        </is>
      </c>
    </row>
    <row r="17">
      <c r="A17" s="6" t="inlineStr">
        <is>
          <t>Hard-currency cost of capital for the foreign leg</t>
        </is>
      </c>
      <c r="C17" s="23">
        <f>(1-Assumptions!$C$78)*(Assumptions!$C$75+Assumptions!$C$33*Assumptions!$C$76)+Assumptions!$C$78*Assumptions!$C$77*(1-Assumptions!$C$7)</f>
        <v/>
      </c>
    </row>
    <row r="18">
      <c r="A18" s="6" t="inlineStr">
        <is>
          <t>Fair value if the foreign leg is discounted at the hard-currency rate</t>
        </is>
      </c>
      <c r="C18" s="7" t="n">
        <v>81.67504702609115</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173.7120513766789</v>
      </c>
      <c r="D23" s="7" t="n">
        <v>127.4805164686761</v>
      </c>
      <c r="E23" s="7" t="n">
        <v>219.9435862846818</v>
      </c>
    </row>
    <row r="24">
      <c r="A24" s="6" t="inlineStr">
        <is>
          <t>Expert 2</t>
        </is>
      </c>
      <c r="B24" s="6" t="inlineStr">
        <is>
          <t>owner cash earnings</t>
        </is>
      </c>
      <c r="C24" s="7" t="n">
        <v>93.77232461390484</v>
      </c>
      <c r="D24" s="7" t="n">
        <v>33.87910174981675</v>
      </c>
      <c r="E24" s="7" t="n">
        <v>64.15244367864858</v>
      </c>
    </row>
    <row r="25">
      <c r="A25" s="6" t="inlineStr">
        <is>
          <t>Expert 3</t>
        </is>
      </c>
      <c r="B25" s="6" t="inlineStr">
        <is>
          <t>cash returns vs cost of capital</t>
        </is>
      </c>
      <c r="C25" s="7" t="n">
        <v>89.33482995346847</v>
      </c>
      <c r="D25" s="7" t="n">
        <v>66.64132982804048</v>
      </c>
      <c r="E25" s="7" t="n">
        <v>81.67504702609115</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51</v>
      </c>
      <c r="C13" s="25" t="n">
        <v>54</v>
      </c>
      <c r="D13" s="25" t="n">
        <v>57.5</v>
      </c>
      <c r="E13" s="25" t="n">
        <v>61</v>
      </c>
      <c r="F13" s="25" t="n">
        <v>64.5</v>
      </c>
    </row>
    <row r="14">
      <c r="A14" s="6" t="inlineStr">
        <is>
          <t>Cables — real (volume) growth over copper x FX</t>
        </is>
      </c>
      <c r="B14" s="21" t="n">
        <v>0.03</v>
      </c>
      <c r="C14" s="21" t="n">
        <v>0.03</v>
      </c>
      <c r="D14" s="21" t="n">
        <v>0.03</v>
      </c>
      <c r="E14" s="21" t="n">
        <v>0.03</v>
      </c>
      <c r="F14" s="21" t="n">
        <v>0.03</v>
      </c>
    </row>
    <row r="15">
      <c r="A15" s="6" t="inlineStr">
        <is>
          <t>Constructions and infrastructure — revenue growth</t>
        </is>
      </c>
      <c r="B15" s="21" t="n">
        <v>0.2744</v>
      </c>
      <c r="C15" s="21" t="n">
        <v>0.2</v>
      </c>
      <c r="D15" s="21" t="n">
        <v>0.15</v>
      </c>
      <c r="E15" s="21" t="n">
        <v>0.115</v>
      </c>
      <c r="F15" s="21" t="n">
        <v>0.09</v>
      </c>
    </row>
    <row r="16">
      <c r="A16" s="6" t="inlineStr">
        <is>
          <t>Electrical products and digital solutions — revenue growth</t>
        </is>
      </c>
      <c r="B16" s="21" t="n">
        <v>0.4828</v>
      </c>
      <c r="C16" s="21" t="n">
        <v>0.33</v>
      </c>
      <c r="D16" s="21" t="n">
        <v>0.23</v>
      </c>
      <c r="E16" s="21" t="n">
        <v>0.16</v>
      </c>
      <c r="F16" s="21" t="n">
        <v>0.11</v>
      </c>
    </row>
    <row r="18">
      <c r="A18" s="10" t="inlineStr">
        <is>
          <t>Segment gross margins and corporate cost load</t>
        </is>
      </c>
      <c r="B18" s="13" t="n"/>
      <c r="C18" s="13" t="n"/>
      <c r="D18" s="13" t="n"/>
      <c r="E18" s="13" t="n"/>
      <c r="F18" s="13" t="n"/>
      <c r="G18" s="13" t="n"/>
      <c r="H18" s="13" t="n"/>
    </row>
    <row r="19">
      <c r="A19" s="6" t="inlineStr">
        <is>
          <t>Cables — gross/segment margin</t>
        </is>
      </c>
      <c r="B19" s="21" t="n">
        <v>0.114341</v>
      </c>
      <c r="C19" s="21" t="n">
        <v>0.114341</v>
      </c>
      <c r="D19" s="21" t="n">
        <v>0.114341</v>
      </c>
      <c r="E19" s="21" t="n">
        <v>0.114341</v>
      </c>
      <c r="F19" s="21" t="n">
        <v>0.114341</v>
      </c>
    </row>
    <row r="20">
      <c r="A20" s="6" t="inlineStr">
        <is>
          <t>Constructions and infrastructure — segment margin</t>
        </is>
      </c>
      <c r="B20" s="21" t="n">
        <v>0.08987100000000001</v>
      </c>
      <c r="C20" s="21" t="n">
        <v>0.08987100000000001</v>
      </c>
      <c r="D20" s="21" t="n">
        <v>0.08987100000000001</v>
      </c>
      <c r="E20" s="21" t="n">
        <v>0.08987100000000001</v>
      </c>
      <c r="F20" s="21" t="n">
        <v>0.08987100000000001</v>
      </c>
    </row>
    <row r="21">
      <c r="A21" s="6" t="inlineStr">
        <is>
          <t>Electrical products and digital solutions — segment margin</t>
        </is>
      </c>
      <c r="B21" s="21" t="n">
        <v>0.236221</v>
      </c>
      <c r="C21" s="21" t="n">
        <v>0.236221</v>
      </c>
      <c r="D21" s="21" t="n">
        <v>0.236221</v>
      </c>
      <c r="E21" s="21" t="n">
        <v>0.236221</v>
      </c>
      <c r="F21" s="21" t="n">
        <v>0.236221</v>
      </c>
    </row>
    <row r="22">
      <c r="A22" s="6" t="inlineStr">
        <is>
          <t>Corporate cost load (% of revenue) — the bridge from segment profit to EBIT</t>
        </is>
      </c>
      <c r="B22" s="21" t="n">
        <v>0.0307</v>
      </c>
      <c r="C22" s="21" t="n">
        <v>0.0307</v>
      </c>
      <c r="D22" s="21" t="n">
        <v>0.0307</v>
      </c>
      <c r="E22" s="21" t="n">
        <v>0.0307</v>
      </c>
      <c r="F22" s="21" t="n">
        <v>0.0307</v>
      </c>
    </row>
    <row r="24">
      <c r="A24" s="10" t="inlineStr">
        <is>
          <t>Capital intensity</t>
        </is>
      </c>
      <c r="B24" s="13" t="n"/>
      <c r="C24" s="13" t="n"/>
      <c r="D24" s="13" t="n"/>
      <c r="E24" s="13" t="n"/>
      <c r="F24" s="13" t="n"/>
      <c r="G24" s="13" t="n"/>
      <c r="H24" s="13" t="n"/>
    </row>
    <row r="25">
      <c r="A25" s="6" t="inlineStr">
        <is>
          <t>Working capital / revenue</t>
        </is>
      </c>
      <c r="C25" s="21" t="n">
        <v>0.1967</v>
      </c>
    </row>
    <row r="26">
      <c r="A26" s="6" t="inlineStr">
        <is>
          <t>Capital expenditure / revenue</t>
        </is>
      </c>
      <c r="B26" s="21" t="n">
        <v>0.03574226695658529</v>
      </c>
      <c r="C26" s="21" t="n">
        <v>0.03574226695658529</v>
      </c>
      <c r="D26" s="21" t="n">
        <v>0.03574226695658529</v>
      </c>
      <c r="E26" s="21" t="n">
        <v>0.03574226695658529</v>
      </c>
      <c r="F26" s="21" t="n">
        <v>0.03574226695658529</v>
      </c>
    </row>
    <row r="27">
      <c r="A27" s="6" t="inlineStr">
        <is>
          <t>Depreciation and amortisation / revenue</t>
        </is>
      </c>
      <c r="C27" s="21" t="n">
        <v>0.0107</v>
      </c>
    </row>
    <row r="29">
      <c r="A29" s="10" t="inlineStr">
        <is>
          <t>Cost of capital</t>
        </is>
      </c>
      <c r="B29" s="13" t="n"/>
      <c r="C29" s="13" t="n"/>
      <c r="D29" s="13" t="n"/>
      <c r="E29" s="13" t="n"/>
      <c r="F29" s="13" t="n"/>
      <c r="G29" s="13" t="n"/>
      <c r="H29" s="13" t="n"/>
    </row>
    <row r="30">
      <c r="A30" s="6" t="inlineStr">
        <is>
          <t>Risk-free rate (10-year local currency)</t>
        </is>
      </c>
      <c r="C30" s="21" t="n">
        <v>0.2231</v>
      </c>
    </row>
    <row r="31">
      <c r="A31" s="6" t="inlineStr">
        <is>
          <t>Sovereign default spread (netted out)</t>
        </is>
      </c>
      <c r="C31" s="21" t="n">
        <v>0.034</v>
      </c>
    </row>
    <row r="32">
      <c r="A32" s="6" t="inlineStr">
        <is>
          <t>Equity risk premium, TOTAL (split into the two legs below)</t>
        </is>
      </c>
      <c r="C32" s="21" t="n">
        <v>0.0941</v>
      </c>
    </row>
    <row r="33">
      <c r="A33" s="6" t="inlineStr">
        <is>
          <t>Beta</t>
        </is>
      </c>
      <c r="C33" s="26" t="n">
        <v>1.224906574047969</v>
      </c>
    </row>
    <row r="34">
      <c r="A34" s="6" t="inlineStr">
        <is>
          <t>Cost of debt, blended</t>
        </is>
      </c>
      <c r="C34" s="21" t="n">
        <v>0.095</v>
      </c>
    </row>
    <row r="35">
      <c r="A35" s="6" t="inlineStr">
        <is>
          <t>Cost of debt path</t>
        </is>
      </c>
      <c r="B35" s="21" t="n">
        <v>0.095</v>
      </c>
      <c r="C35" s="21" t="n">
        <v>0.089</v>
      </c>
      <c r="D35" s="21" t="n">
        <v>0.08400000000000001</v>
      </c>
      <c r="E35" s="21" t="n">
        <v>0.08</v>
      </c>
      <c r="F35" s="21" t="n">
        <v>0.077</v>
      </c>
    </row>
    <row r="36">
      <c r="A36" s="6" t="inlineStr">
        <is>
          <t>Terminal risk-free rate</t>
        </is>
      </c>
      <c r="C36" s="21" t="n">
        <v>0.105</v>
      </c>
    </row>
    <row r="37">
      <c r="A37" s="6" t="inlineStr">
        <is>
          <t>Terminal equity risk premium, TOTAL</t>
        </is>
      </c>
      <c r="C37" s="21" t="n">
        <v>0.07000000000000001</v>
      </c>
    </row>
    <row r="38">
      <c r="A38" s="6" t="inlineStr">
        <is>
          <t>Terminal cost of debt</t>
        </is>
      </c>
      <c r="C38" s="21" t="n">
        <v>0.0888</v>
      </c>
    </row>
    <row r="39">
      <c r="A39" s="6" t="inlineStr">
        <is>
          <t>Terminal debt weight</t>
        </is>
      </c>
      <c r="C39" s="21" t="n">
        <v>0.15</v>
      </c>
    </row>
    <row r="40">
      <c r="A40" s="6" t="inlineStr">
        <is>
          <t>Terminal growth</t>
        </is>
      </c>
      <c r="C40" s="21" t="n">
        <v>0.09140000000000015</v>
      </c>
    </row>
    <row r="42">
      <c r="A42" s="10" t="inlineStr">
        <is>
          <t>The country premium, split — [R-COC-03]</t>
        </is>
      </c>
      <c r="B42" s="13" t="n"/>
      <c r="C42" s="13" t="n"/>
      <c r="D42" s="13" t="n"/>
      <c r="E42" s="13" t="n"/>
      <c r="F42" s="13" t="n"/>
      <c r="G42" s="13" t="n"/>
      <c r="H42" s="13" t="n"/>
    </row>
    <row r="43">
      <c r="A43" s="6" t="inlineStr">
        <is>
          <t>Egypt country premium = sovereign default spread x 1.52</t>
        </is>
      </c>
      <c r="C43" s="9">
        <f>Assumptions!$C$31*1.52</f>
        <v/>
      </c>
    </row>
    <row r="44">
      <c r="A44" s="6" t="inlineStr">
        <is>
          <t>of which the MATURE equity premium — beta applies to this leg only</t>
        </is>
      </c>
      <c r="C44" s="9">
        <f>Assumptions!$C$32-Assumptions!$C$43</f>
        <v/>
      </c>
    </row>
    <row r="45">
      <c r="A45" s="6" t="inlineStr">
        <is>
          <t>Share of operations in Egypt (lambda)</t>
        </is>
      </c>
      <c r="C45" s="21" t="n">
        <v>0.5928</v>
      </c>
    </row>
    <row r="46">
      <c r="A46" s="6" t="inlineStr">
        <is>
          <t>Country premium on the operations outside Egypt</t>
        </is>
      </c>
      <c r="C46" s="21" t="n">
        <v>0.0226</v>
      </c>
    </row>
    <row r="47">
      <c r="A47" s="6" t="inlineStr">
        <is>
          <t>Country premium CHARGED — flat, once, never multiplied by beta</t>
        </is>
      </c>
      <c r="C47" s="9">
        <f>Assumptions!$C$45*Assumptions!$C$43+(1-Assumptions!$C$45)*Assumptions!$C$46</f>
        <v/>
      </c>
    </row>
    <row r="48">
      <c r="A48" s="6" t="inlineStr">
        <is>
          <t>Terminal Egypt country premium</t>
        </is>
      </c>
      <c r="C48" s="9">
        <f>Assumptions!$C$37-Assumptions!$C$44</f>
        <v/>
      </c>
    </row>
    <row r="49">
      <c r="A49" s="6" t="inlineStr">
        <is>
          <t>Terminal mature equity premium</t>
        </is>
      </c>
      <c r="C49" s="9">
        <f>Assumptions!$C$37-Assumptions!$C$48</f>
        <v/>
      </c>
    </row>
    <row r="50">
      <c r="A50" s="6" t="inlineStr">
        <is>
          <t>Terminal country premium CHARGED — flat and once</t>
        </is>
      </c>
      <c r="C50" s="9">
        <f>(Assumptions!$C$45+(1-Assumptions!$C$45)*Assumptions!$C$46/Assumptions!$C$43)*Assumptions!$C$48</f>
        <v/>
      </c>
    </row>
    <row r="51">
      <c r="A51" s="6" t="inlineStr">
        <is>
          <t>Terminal beta — reverts to the market, not the measured beta</t>
        </is>
      </c>
      <c r="C51" s="27" t="n">
        <v>1</v>
      </c>
    </row>
    <row r="53">
      <c r="A53" s="10" t="inlineStr">
        <is>
          <t>Balance-sheet and bridge anchors</t>
        </is>
      </c>
      <c r="B53" s="13" t="n"/>
      <c r="C53" s="13" t="n"/>
      <c r="D53" s="13" t="n"/>
      <c r="E53" s="13" t="n"/>
      <c r="F53" s="13" t="n"/>
      <c r="G53" s="13" t="n"/>
      <c r="H53" s="13" t="n"/>
    </row>
    <row r="54">
      <c r="A54" s="6" t="inlineStr">
        <is>
          <t>Net bank debt at FY2025 (EGP mn, disclosed)</t>
        </is>
      </c>
      <c r="C54" s="24" t="n">
        <v>20560.003173</v>
      </c>
    </row>
    <row r="55">
      <c r="A55" s="6" t="inlineStr">
        <is>
          <t>Equity-accounted investees at carrying value (EGP mn)</t>
        </is>
      </c>
      <c r="C55" s="24" t="n">
        <v>6757.650507</v>
      </c>
    </row>
    <row r="56">
      <c r="A56" s="6" t="inlineStr">
        <is>
          <t>Intangible assets and goodwill (EGP mn)</t>
        </is>
      </c>
      <c r="C56" s="24" t="n">
        <v>1748.816945</v>
      </c>
    </row>
    <row r="57">
      <c r="A57" s="6" t="inlineStr">
        <is>
          <t>FY2025 profit after tax (EGP mn, disclosed)</t>
        </is>
      </c>
      <c r="C57" s="24" t="n">
        <v>19186.550057</v>
      </c>
    </row>
    <row r="58">
      <c r="A58" s="6" t="inlineStr">
        <is>
          <t>FY2025 profit after minority interests (EGP mn, disclosed)</t>
        </is>
      </c>
      <c r="C58" s="24" t="n">
        <v>17330.24499</v>
      </c>
    </row>
    <row r="59">
      <c r="A59" s="6" t="inlineStr">
        <is>
          <t>FY2024 dividend per share (EGP)</t>
        </is>
      </c>
      <c r="C59" s="7" t="n">
        <v>1</v>
      </c>
    </row>
    <row r="60">
      <c r="A60" s="6" t="inlineStr">
        <is>
          <t>FY2025 dividend per share (EGP, ratified 6 May 2026, paid 4 June 2026)</t>
        </is>
      </c>
      <c r="C60" s="7" t="n">
        <v>1.85</v>
      </c>
    </row>
    <row r="61">
      <c r="A61" s="6" t="inlineStr">
        <is>
          <t>Days the dividend compounds — 4-Jun-2026 ex-date to the 3-Sep-2026 anchor</t>
        </is>
      </c>
      <c r="C61" s="24" t="n">
        <v>91</v>
      </c>
    </row>
    <row r="62">
      <c r="A62" s="6" t="inlineStr">
        <is>
          <t>Forecast dividend payout ratio (struck at the actual FY2025 rate)</t>
        </is>
      </c>
      <c r="C62" s="21" t="n">
        <v>0.25</v>
      </c>
    </row>
    <row r="63">
      <c r="A63" s="6" t="inlineStr">
        <is>
          <t>Growth in the share of equity-accounted investees</t>
        </is>
      </c>
      <c r="C63" s="21" t="n">
        <v>0.08</v>
      </c>
    </row>
    <row r="64">
      <c r="A64" s="6" t="inlineStr">
        <is>
          <t>Yield assumed on surplus cash (blend of EGP deposit and hard-currency rates)</t>
        </is>
      </c>
      <c r="C64" s="21" t="n">
        <v>0.1</v>
      </c>
    </row>
    <row r="65">
      <c r="A65" s="6" t="inlineStr">
        <is>
          <t>Days from the 31-Dec-2025 valuation date to the 3-Sep-2026 anchor</t>
        </is>
      </c>
      <c r="C65" s="24" t="n">
        <v>246</v>
      </c>
    </row>
    <row r="67">
      <c r="A67" s="10" t="inlineStr">
        <is>
          <t>Terminal construction — the sanctioned one, never g x IC</t>
        </is>
      </c>
      <c r="B67" s="13" t="n"/>
      <c r="C67" s="13" t="n"/>
      <c r="D67" s="13" t="n"/>
      <c r="E67" s="13" t="n"/>
      <c r="F67" s="13" t="n"/>
      <c r="G67" s="13" t="n"/>
      <c r="H67" s="13" t="n"/>
    </row>
    <row r="68">
      <c r="A68" s="6" t="inlineStr">
        <is>
          <t>Terminal inflation (house Egyptian macro path)</t>
        </is>
      </c>
      <c r="C68" s="21" t="n">
        <v>0.07000000000000001</v>
      </c>
    </row>
    <row r="69">
      <c r="A69" s="6" t="inlineStr">
        <is>
          <t>DISCLOSED useful life, derived by identity from note 17 (years)</t>
        </is>
      </c>
      <c r="C69" s="28" t="n">
        <v>17.2627</v>
      </c>
    </row>
    <row r="70">
      <c r="A70" s="6" t="inlineStr">
        <is>
          <t>Terminal REAL growth — the stated one; nominal is derived, never supplied</t>
        </is>
      </c>
      <c r="C70" s="21" t="n">
        <v>0.02</v>
      </c>
    </row>
    <row r="71">
      <c r="A71" s="6" t="inlineStr">
        <is>
          <t>Terminal working-capital base (EGP mn, last explicit year)</t>
        </is>
      </c>
      <c r="C71" s="24" t="n">
        <v>126491.9551090501</v>
      </c>
    </row>
    <row r="72">
      <c r="A72" s="6" t="inlineStr">
        <is>
          <t>Employees' statutory share of profit (mean of FY2024, FY2025, H1-2026)</t>
        </is>
      </c>
      <c r="C72" s="21" t="n">
        <v>0.1219271916645494</v>
      </c>
    </row>
    <row r="74">
      <c r="A74" s="10" t="inlineStr">
        <is>
          <t>Currency-of-discounting alternative</t>
        </is>
      </c>
      <c r="B74" s="13" t="n"/>
      <c r="C74" s="13" t="n"/>
      <c r="D74" s="13" t="n"/>
      <c r="E74" s="13" t="n"/>
      <c r="F74" s="13" t="n"/>
      <c r="G74" s="13" t="n"/>
      <c r="H74" s="13" t="n"/>
    </row>
    <row r="75">
      <c r="A75" s="6" t="inlineStr">
        <is>
          <t>US dollar risk-free rate</t>
        </is>
      </c>
      <c r="C75" s="21" t="n">
        <v>0.043</v>
      </c>
    </row>
    <row r="76">
      <c r="A76" s="6" t="inlineStr">
        <is>
          <t>Hard-currency-leg equity risk premium</t>
        </is>
      </c>
      <c r="C76" s="21" t="n">
        <v>0.075</v>
      </c>
    </row>
    <row r="77">
      <c r="A77" s="6" t="inlineStr">
        <is>
          <t>US dollar cost of debt</t>
        </is>
      </c>
      <c r="C77" s="21" t="n">
        <v>0.065</v>
      </c>
    </row>
    <row r="78">
      <c r="A78" s="6" t="inlineStr">
        <is>
          <t>Debt weight, USD leg</t>
        </is>
      </c>
      <c r="C78" s="21" t="n">
        <v>0.25</v>
      </c>
    </row>
    <row r="79">
      <c r="A79" s="6" t="inlineStr">
        <is>
          <t>Terminal growth of the USD leg</t>
        </is>
      </c>
      <c r="C79" s="21" t="n">
        <v>0.035</v>
      </c>
    </row>
    <row r="81">
      <c r="A81" s="10" t="inlineStr">
        <is>
          <t>Lens inputs</t>
        </is>
      </c>
      <c r="B81" s="13" t="n"/>
      <c r="C81" s="13" t="n"/>
      <c r="D81" s="13" t="n"/>
      <c r="E81" s="13" t="n"/>
      <c r="F81" s="13" t="n"/>
      <c r="G81" s="13" t="n"/>
      <c r="H81" s="13" t="n"/>
    </row>
    <row r="82">
      <c r="A82" s="6" t="inlineStr">
        <is>
          <t>Justified EV/EBITDA</t>
        </is>
      </c>
      <c r="C82" s="29" t="n">
        <v>6.5</v>
      </c>
    </row>
    <row r="83">
      <c r="A83" s="6" t="inlineStr">
        <is>
          <t>Justified price/earnings</t>
        </is>
      </c>
      <c r="C83" s="29" t="n">
        <v>9</v>
      </c>
    </row>
    <row r="84">
      <c r="A84" s="6" t="inlineStr">
        <is>
          <t>Sustainable return on equity</t>
        </is>
      </c>
      <c r="C84"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-Assumptions!$C$54</f>
        <v/>
      </c>
      <c r="D8" s="16">
        <f>C8/Assumptions!$C$6</f>
        <v/>
      </c>
    </row>
    <row r="9">
      <c r="A9" s="6" t="inlineStr">
        <is>
          <t>Plus equity-accounted investees at carrying value</t>
        </is>
      </c>
      <c r="C9" s="19">
        <f>Assumptions!$C$55</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(Assumptions!$C$57-Assumptions!$C$58)/Assumptions!$C$57</f>
        <v/>
      </c>
    </row>
    <row r="18">
      <c r="A18" s="6" t="inlineStr">
        <is>
          <t>Employees' statutory share of profit — an appropriation disclosed only in the earnings-per-share note, below profit attributable to owners</t>
        </is>
      </c>
      <c r="C18" s="17">
        <f>Assumptions!$C$72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24" t="n">
        <v>203416.1993989137</v>
      </c>
      <c r="F5" s="24" t="n">
        <v>234967.8790996413</v>
      </c>
      <c r="G5" s="24" t="n">
        <v>263666.2113229254</v>
      </c>
      <c r="H5" s="24" t="n">
        <v>298687.8802405254</v>
      </c>
      <c r="I5" s="24" t="n">
        <v>341526.0265398988</v>
      </c>
    </row>
    <row r="6">
      <c r="A6" s="6" t="inlineStr">
        <is>
          <t>Constructions and infrastructure</t>
        </is>
      </c>
      <c r="B6" s="24" t="n">
        <v>90958.55022799999</v>
      </c>
      <c r="C6" s="9">
        <f>B6/$B$8</f>
        <v/>
      </c>
      <c r="D6" s="21" t="n">
        <v>0.06452269254829619</v>
      </c>
      <c r="E6" s="24" t="n">
        <v>115920.4463847608</v>
      </c>
      <c r="F6" s="24" t="n">
        <v>139104.5356617129</v>
      </c>
      <c r="G6" s="24" t="n">
        <v>159970.2160109698</v>
      </c>
      <c r="H6" s="24" t="n">
        <v>178366.7908522314</v>
      </c>
      <c r="I6" s="24" t="n">
        <v>194419.8020289322</v>
      </c>
    </row>
    <row r="7">
      <c r="A7" s="6" t="inlineStr">
        <is>
          <t>Electrical products and digital solutions</t>
        </is>
      </c>
      <c r="B7" s="24" t="n">
        <v>34297.601753</v>
      </c>
      <c r="C7" s="9">
        <f>B7/$B$8</f>
        <v/>
      </c>
      <c r="D7" s="21" t="n">
        <v>0.2217300370961013</v>
      </c>
      <c r="E7" s="24" t="n">
        <v>50857.09276164287</v>
      </c>
      <c r="F7" s="24" t="n">
        <v>67639.93337298503</v>
      </c>
      <c r="G7" s="24" t="n">
        <v>83197.11804877159</v>
      </c>
      <c r="H7" s="24" t="n">
        <v>96508.65693657503</v>
      </c>
      <c r="I7" s="24" t="n">
        <v>107124.6091995983</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4" t="n">
        <v>23258.81165547119</v>
      </c>
      <c r="C11" s="24" t="n">
        <v>26866.46226413209</v>
      </c>
      <c r="D11" s="24" t="n">
        <v>30147.85826887461</v>
      </c>
      <c r="E11" s="24" t="n">
        <v>34152.27091458192</v>
      </c>
      <c r="F11" s="24" t="n">
        <v>39050.42740059857</v>
      </c>
    </row>
    <row r="12">
      <c r="A12" s="6" t="inlineStr">
        <is>
          <t>Constructions and infrastructure</t>
        </is>
      </c>
      <c r="B12" s="24" t="n">
        <v>10417.88643704483</v>
      </c>
      <c r="C12" s="24" t="n">
        <v>12501.4637244538</v>
      </c>
      <c r="D12" s="24" t="n">
        <v>14376.68328312187</v>
      </c>
      <c r="E12" s="24" t="n">
        <v>16030.00186068088</v>
      </c>
      <c r="F12" s="24" t="n">
        <v>17472.70202814217</v>
      </c>
    </row>
    <row r="13">
      <c r="A13" s="6" t="inlineStr">
        <is>
          <t>Electrical products and digital solutions</t>
        </is>
      </c>
      <c r="B13" s="24" t="n">
        <v>12013.51330924804</v>
      </c>
      <c r="C13" s="24" t="n">
        <v>15977.9727012999</v>
      </c>
      <c r="D13" s="24" t="n">
        <v>19652.90642259887</v>
      </c>
      <c r="E13" s="24" t="n">
        <v>22797.37145021469</v>
      </c>
      <c r="F13" s="24" t="n">
        <v>25305.08230973831</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B11-Assumptions!$B$22*E5</f>
        <v/>
      </c>
      <c r="C18" s="32">
        <f>C11-Assumptions!$C$22*F5</f>
        <v/>
      </c>
      <c r="D18" s="32">
        <f>D11-Assumptions!$D$22*G5</f>
        <v/>
      </c>
      <c r="E18" s="32">
        <f>E11-Assumptions!$E$22*H5</f>
        <v/>
      </c>
      <c r="F18" s="32">
        <f>F11-Assumptions!$F$22*I5</f>
        <v/>
      </c>
    </row>
    <row r="19">
      <c r="A19" s="6" t="inlineStr">
        <is>
          <t>Constructions and infrastructure</t>
        </is>
      </c>
      <c r="B19" s="32">
        <f>B12-Assumptions!$B$22*E6</f>
        <v/>
      </c>
      <c r="C19" s="32">
        <f>C12-Assumptions!$C$22*F6</f>
        <v/>
      </c>
      <c r="D19" s="32">
        <f>D12-Assumptions!$D$22*G6</f>
        <v/>
      </c>
      <c r="E19" s="32">
        <f>E12-Assumptions!$E$22*H6</f>
        <v/>
      </c>
      <c r="F19" s="32">
        <f>F12-Assumptions!$F$22*I6</f>
        <v/>
      </c>
    </row>
    <row r="20">
      <c r="A20" s="6" t="inlineStr">
        <is>
          <t>Electrical products and digital solutions</t>
        </is>
      </c>
      <c r="B20" s="32">
        <f>B13-Assumptions!$B$22*E7</f>
        <v/>
      </c>
      <c r="C20" s="32">
        <f>C13-Assumptions!$C$22*F7</f>
        <v/>
      </c>
      <c r="D20" s="32">
        <f>D13-Assumptions!$D$22*G7</f>
        <v/>
      </c>
      <c r="E20" s="32">
        <f>E13-Assumptions!$E$22*H7</f>
        <v/>
      </c>
      <c r="F20" s="32">
        <f>F13-Assumptions!$F$22*I7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Assumptions!$C$27*E8</f>
        <v/>
      </c>
      <c r="C22" s="32">
        <f>Assumptions!$C$27*F8</f>
        <v/>
      </c>
      <c r="D22" s="32">
        <f>Assumptions!$C$27*G8</f>
        <v/>
      </c>
      <c r="E22" s="32">
        <f>Assumptions!$C$27*H8</f>
        <v/>
      </c>
      <c r="F22" s="32">
        <f>Assumptions!$C$27*I8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Assumptions!$C$82</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((C10-Assumptions!$C$54+Assumptions!$C$55)*(1-'SOTP Bridge'!$C$17)*(1-'SOTP Bridge'!$C$18)/Assumptions!$C$6)*DCF!$C$61-Assumptions!$C$60*(1+DCF!$C$39)^(Assumptions!$C$61/365)</f>
        <v/>
      </c>
    </row>
    <row r="12">
      <c r="A12" s="6" t="inlineStr">
        <is>
          <t>Bear at 5.5× (C) / bull at 8.0× (D), same construction</t>
        </is>
      </c>
      <c r="C12" s="16">
        <f>((5.5*C5*C8+C9-Assumptions!$C$54+Assumptions!$C$55)*(1-'SOTP Bridge'!$C$17)*(1-'SOTP Bridge'!$C$18)/Assumptions!$C$6)*DCF!$C$61-Assumptions!$C$60*(1+DCF!$C$39)^(Assumptions!$C$61/365)</f>
        <v/>
      </c>
      <c r="D12" s="16">
        <f>((8.0*C5*C8+C9-Assumptions!$C$54+Assumptions!$C$55)*(1-'SOTP Bridge'!$C$17)*(1-'SOTP Bridge'!$C$18)/Assumptions!$C$6)*DCF!$C$61-Assumptions!$C$60*(1+DCF!$C$39)^(Assumptions!$C$61/365)</f>
        <v/>
      </c>
    </row>
    <row r="13">
      <c r="A13" s="6" t="inlineStr">
        <is>
          <t>Trailing enterprise value / EBITDA</t>
        </is>
      </c>
      <c r="C13" s="38">
        <f>((Assumptions!$C$5*Assumptions!$C$6)+Assumptions!$C$54)/'Income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Assumptions!$C$54/'Income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C21-C19*Assumptions!$C$27</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Assumptions!$C$83</f>
        <v/>
      </c>
    </row>
    <row r="28">
      <c r="A28" s="13" t="inlineStr">
        <is>
          <t>Implied value per share, rolled to the anchor (EGP)</t>
        </is>
      </c>
      <c r="B28" s="13" t="n"/>
      <c r="C28" s="34">
        <f>C26*C27*DCF!$C$61-Assumptions!$C$60*(1+DCF!$C$39)^(Assumptions!$C$61/365)</f>
        <v/>
      </c>
      <c r="D28" s="6" t="inlineStr">
        <is>
          <t>bear 7.0× (E) / bull 11.5× (F):</t>
        </is>
      </c>
      <c r="E28" s="16">
        <f>C26*7*DCF!$C$61-Assumptions!$C$60*(1+DCF!$C$39)^(Assumptions!$C$61/365)</f>
        <v/>
      </c>
      <c r="F28" s="16">
        <f>C26*11.5*DCF!$C$61-Assumptions!$C$60*(1+DCF!$C$39)^(Assumptions!$C$61/365)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Assumptions!$C$84</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(C32-Assumptions!$C$40)/(C34-Assumptions!$C$40)</f>
        <v/>
      </c>
    </row>
    <row r="36">
      <c r="A36" s="13" t="inlineStr">
        <is>
          <t>Implied value per share, rolled to the anchor (EGP)</t>
        </is>
      </c>
      <c r="B36" s="13" t="n"/>
      <c r="C36" s="34">
        <f>C31*C35*DCF!$C$61-Assumptions!$C$60*(1+DCF!$C$39)^(Assumptions!$C$61/365)</f>
        <v/>
      </c>
      <c r="D36" s="6" t="inlineStr">
        <is>
          <t>bear / bull constructions (E / F):</t>
        </is>
      </c>
      <c r="E36" s="16">
        <f>((Assumptions!$C$84-0.03)/((DCF!C39+DCF!C49)/2-0.03))*C31*DCF!$C$61-Assumptions!$C$60*(1+DCF!$C$39)^(Assumptions!$C$61/365)</f>
        <v/>
      </c>
      <c r="F36" s="16">
        <f>((Assumptions!$C$84+0.02-Assumptions!$C$40)/(DCF!C49-Assumptions!$C$40))*C31*DCF!$C$61-Assumptions!$C$60*(1+DCF!$C$39)^(Assumptions!$C$61/365)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-B5*Assumptions!$C$27</f>
        <v/>
      </c>
      <c r="C8" s="32">
        <f>-C5*Assumptions!$C$27</f>
        <v/>
      </c>
      <c r="D8" s="32">
        <f>-D5*Assumptions!$C$27</f>
        <v/>
      </c>
      <c r="E8" s="32">
        <f>-E5*Assumptions!$C$27</f>
        <v/>
      </c>
      <c r="F8" s="32">
        <f>-F5*Assumptions!$C$27</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-B5*Assumptions!$B$26</f>
        <v/>
      </c>
      <c r="C12" s="32">
        <f>-C5*Assumptions!$C$26</f>
        <v/>
      </c>
      <c r="D12" s="32">
        <f>-D5*Assumptions!$D$26</f>
        <v/>
      </c>
      <c r="E12" s="32">
        <f>-E5*Assumptions!$E$26</f>
        <v/>
      </c>
      <c r="F12" s="32">
        <f>-F5*Assumptions!$F$26</f>
        <v/>
      </c>
    </row>
    <row r="13">
      <c r="A13" s="6" t="inlineStr">
        <is>
          <t>Less change in working capital</t>
        </is>
      </c>
      <c r="B13" s="32">
        <f>-(B5*Assumptions!$C$25-'Balance Sheet'!D16)</f>
        <v/>
      </c>
      <c r="C13" s="32">
        <f>-(C5-B5)*Assumptions!$C$25</f>
        <v/>
      </c>
      <c r="D13" s="32">
        <f>-(D5-C5)*Assumptions!$C$25</f>
        <v/>
      </c>
      <c r="E13" s="32">
        <f>-(E5-D5)*Assumptions!$C$25</f>
        <v/>
      </c>
      <c r="F13" s="32">
        <f>-(F5-E5)*Assumptions!$C$25</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Assumptions!$C$40</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Assumptions!$C$30</f>
        <v/>
      </c>
    </row>
    <row r="35">
      <c r="A35" s="6" t="inlineStr">
        <is>
          <t>Less sovereign default spread (removed to avoid double-counting)</t>
        </is>
      </c>
      <c r="C35" s="23">
        <f>Assumptions!$C$31</f>
        <v/>
      </c>
    </row>
    <row r="36">
      <c r="A36" s="6" t="inlineStr">
        <is>
          <t>Risk-free rate net of the sovereign spread</t>
        </is>
      </c>
      <c r="C36" s="39">
        <f>C34-C35</f>
        <v/>
      </c>
    </row>
    <row r="37">
      <c r="A37" s="6" t="inlineStr">
        <is>
          <t>Beta</t>
        </is>
      </c>
      <c r="C37" s="41">
        <f>Assumptions!$C$33</f>
        <v/>
      </c>
    </row>
    <row r="38">
      <c r="A38" s="6" t="inlineStr">
        <is>
          <t>Mature equity risk premium — beta applies to THIS leg and to nothing else</t>
        </is>
      </c>
      <c r="C38" s="23">
        <f>Assumptions!$C$44</f>
        <v/>
      </c>
    </row>
    <row r="39">
      <c r="A39" s="6" t="inlineStr">
        <is>
          <t>Cost of equity, explicit window — country risk charged FLAT, once, beside beta not through it</t>
        </is>
      </c>
      <c r="C39" s="39">
        <f>C36+C37*C38+Assumptions!$C$47</f>
        <v/>
      </c>
    </row>
    <row r="40">
      <c r="A40" s="6" t="inlineStr">
        <is>
          <t>Cost of debt, blended</t>
        </is>
      </c>
      <c r="C40" s="23">
        <f>Assumptions!$C$34</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Assumptions!$C$54</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Assumptions!$C$36</f>
        <v/>
      </c>
    </row>
    <row r="48">
      <c r="A48" s="6" t="inlineStr">
        <is>
          <t>Terminal mature equity risk premium</t>
        </is>
      </c>
      <c r="C48" s="23">
        <f>Assumptions!$C$49</f>
        <v/>
      </c>
    </row>
    <row r="49">
      <c r="A49" s="6" t="inlineStr">
        <is>
          <t>Terminal cost of equity — at a terminal beta of 1.00, not the measured beta</t>
        </is>
      </c>
      <c r="C49" s="39">
        <f>C47+Assumptions!$C$51*C48+Assumptions!$C$50</f>
        <v/>
      </c>
    </row>
    <row r="50">
      <c r="A50" s="6" t="inlineStr">
        <is>
          <t>Terminal cost of debt</t>
        </is>
      </c>
      <c r="C50" s="23">
        <f>Assumptions!$C$38</f>
        <v/>
      </c>
    </row>
    <row r="51">
      <c r="A51" s="6" t="inlineStr">
        <is>
          <t>Terminal cost of debt after tax</t>
        </is>
      </c>
      <c r="C51" s="39">
        <f>C50*(1-Assumptions!$C$7)</f>
        <v/>
      </c>
    </row>
    <row r="52">
      <c r="A52" s="6" t="inlineStr">
        <is>
          <t>Terminal debt weight</t>
        </is>
      </c>
      <c r="C52" s="23">
        <f>Assumptions!$C$39</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Assumptions!$B$35</f>
        <v/>
      </c>
      <c r="C56" s="23">
        <f>Assumptions!$C$35</f>
        <v/>
      </c>
      <c r="D56" s="23">
        <f>Assumptions!$D$35</f>
        <v/>
      </c>
      <c r="E56" s="23">
        <f>Assumptions!$E$35</f>
        <v/>
      </c>
      <c r="F56" s="23">
        <f>Assumptions!$F$35</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(1+C39)^(Assumptions!$C$65/365)</f>
        <v/>
      </c>
    </row>
    <row r="62">
      <c r="A62" s="13" t="inlineStr">
        <is>
          <t>Fair value per share at the 3-Sep-2026 anchor (EGP)</t>
        </is>
      </c>
      <c r="B62" s="13" t="n"/>
      <c r="C62" s="34">
        <f>C31*C61-Assumptions!$C$60*(1+$C$39)^(Assumptions!$C$61/365)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F8*(1+Assumptions!$C$68)^(Assumptions!$C$69/2)</f>
        <v/>
      </c>
    </row>
    <row r="66">
      <c r="A66" s="6" t="inlineStr">
        <is>
          <t>Less capital for real growth — the stated REAL growth times the FY2030 invested capital it has to buy</t>
        </is>
      </c>
      <c r="C66" s="19">
        <f>-Assumptions!$C$70*'Summary Financials'!I13</f>
        <v/>
      </c>
    </row>
    <row r="67">
      <c r="A67" s="6" t="inlineStr">
        <is>
          <t>Less inflation on the terminal working-capital base</t>
        </is>
      </c>
      <c r="C67" s="19">
        <f>-Assumptions!$C$71*Assumptions!$C$68</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-(Assumptions!$B$35*'Balance Sheet'!$D$11-Assumptions!$C$64*MAX('Balance Sheet'!$D$11-'Balance Sheet'!D17,0))</f>
        <v/>
      </c>
      <c r="F11" s="32">
        <f>-(Assumptions!$C$35*'Balance Sheet'!$D$11-Assumptions!$C$64*MAX('Balance Sheet'!$D$11-'Balance Sheet'!E17,0))</f>
        <v/>
      </c>
      <c r="G11" s="32">
        <f>-(Assumptions!$D$35*'Balance Sheet'!$D$11-Assumptions!$C$64*MAX('Balance Sheet'!$D$11-'Balance Sheet'!F17,0))</f>
        <v/>
      </c>
      <c r="H11" s="32">
        <f>-(Assumptions!$E$35*'Balance Sheet'!$D$11-Assumptions!$C$64*MAX('Balance Sheet'!$D$11-'Balance Sheet'!G17,0))</f>
        <v/>
      </c>
      <c r="I11" s="32">
        <f>-(Assumptions!$F$35*'Balance Sheet'!$D$11-Assumptions!$C$64*MAX('Balance Sheet'!$D$11-'Balance Sheet'!H17,0))</f>
        <v/>
      </c>
    </row>
    <row r="12">
      <c r="A12" s="6" t="inlineStr">
        <is>
          <t>Share of equity-accounted investees</t>
        </is>
      </c>
      <c r="B12" s="24" t="n">
        <v>603.624972</v>
      </c>
      <c r="C12" s="24" t="n">
        <v>1132.366257</v>
      </c>
      <c r="D12" s="24" t="n">
        <v>1568.902975</v>
      </c>
      <c r="E12" s="32">
        <f>D12*(1+Assumptions!$C$63)</f>
        <v/>
      </c>
      <c r="F12" s="32">
        <f>E12*(1+Assumptions!$C$63)</f>
        <v/>
      </c>
      <c r="G12" s="32">
        <f>F12*(1+Assumptions!$C$63)</f>
        <v/>
      </c>
      <c r="H12" s="32">
        <f>G12*(1+Assumptions!$C$63)</f>
        <v/>
      </c>
      <c r="I12" s="32">
        <f>H12*(1+Assumptions!$C$63)</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Statement'!E17*(1-Assumptions!$C$62)</f>
        <v/>
      </c>
      <c r="F14" s="33">
        <f>E14+'Income Statement'!F17*(1-Assumptions!$C$62)</f>
        <v/>
      </c>
      <c r="G14" s="33">
        <f>F14+'Income Statement'!G17*(1-Assumptions!$C$62)</f>
        <v/>
      </c>
      <c r="H14" s="33">
        <f>G14+'Income Statement'!H17*(1-Assumptions!$C$62)</f>
        <v/>
      </c>
      <c r="I14" s="33">
        <f>H14+'Income Statement'!I17*(1-Assumptions!$C$62)</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Statement'!E5*Assumptions!$C$25</f>
        <v/>
      </c>
      <c r="F16" s="32">
        <f>'Income Statement'!F5*Assumptions!$C$25</f>
        <v/>
      </c>
      <c r="G16" s="32">
        <f>'Income Statement'!G5*Assumptions!$C$25</f>
        <v/>
      </c>
      <c r="H16" s="32">
        <f>'Income Statement'!H5*Assumptions!$C$25</f>
        <v/>
      </c>
      <c r="I16" s="32">
        <f>'Income Statement'!I5*Assumptions!$C$25</f>
        <v/>
      </c>
    </row>
    <row r="17">
      <c r="A17" s="13" t="inlineStr">
        <is>
          <t>Net bank debt</t>
        </is>
      </c>
      <c r="B17" s="33" t="n">
        <v>16214.447271</v>
      </c>
      <c r="C17" s="33" t="n">
        <v>20902.939485</v>
      </c>
      <c r="D17" s="33">
        <f>Assumptions!$C$54</f>
        <v/>
      </c>
      <c r="E17" s="33">
        <f>D17-DCF!B14-'Income Statement'!E11*(1-Assumptions!$C$7)+Assumptions!$C$62*'Income Statement'!E17</f>
        <v/>
      </c>
      <c r="F17" s="33">
        <f>E17-DCF!C14-'Income Statement'!F11*(1-Assumptions!$C$7)+Assumptions!$C$62*'Income Statement'!F17</f>
        <v/>
      </c>
      <c r="G17" s="33">
        <f>F17-DCF!D14-'Income Statement'!G11*(1-Assumptions!$C$7)+Assumptions!$C$62*'Income Statement'!G17</f>
        <v/>
      </c>
      <c r="H17" s="33">
        <f>G17-DCF!E14-'Income Statement'!H11*(1-Assumptions!$C$7)+Assumptions!$C$62*'Income Statement'!H17</f>
        <v/>
      </c>
      <c r="I17" s="33">
        <f>H17-DCF!F14-'Income Statement'!I11*(1-Assumptions!$C$7)+Assumptions!$C$62*'Income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Sheet'!D5+Assumptions!$C$56</f>
        <v/>
      </c>
      <c r="E13" s="19">
        <f>'Balance Sheet'!E16+'Balance Sheet'!E5+Assumptions!$C$56</f>
        <v/>
      </c>
      <c r="F13" s="19">
        <f>'Balance Sheet'!F16+'Balance Sheet'!F5+Assumptions!$C$56</f>
        <v/>
      </c>
      <c r="G13" s="19">
        <f>'Balance Sheet'!G16+'Balance Sheet'!G5+Assumptions!$C$56</f>
        <v/>
      </c>
      <c r="H13" s="19">
        <f>'Balance Sheet'!H16+'Balance Sheet'!H5+Assumptions!$C$56</f>
        <v/>
      </c>
      <c r="I13" s="19">
        <f>'Balance Sheet'!I16+'Balance Sheet'!I5+Assumptions!$C$56</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87.56537469454608</v>
      </c>
      <c r="C5" s="7" t="n">
        <v>99.48409928257496</v>
      </c>
      <c r="D5" s="7" t="n">
        <v>106.9944391060197</v>
      </c>
      <c r="E5" s="7" t="n">
        <v>115.0917272987826</v>
      </c>
      <c r="F5" s="7" t="n">
        <v>131.1946500992745</v>
      </c>
      <c r="G5" s="21" t="n">
        <v>0.56294</v>
      </c>
    </row>
    <row r="6">
      <c r="A6" s="6" t="inlineStr">
        <is>
          <t>Three months — to 2026-11-05</t>
        </is>
      </c>
      <c r="B6" s="7" t="n">
        <v>79.1329359945467</v>
      </c>
      <c r="C6" s="7" t="n">
        <v>97.94831820710576</v>
      </c>
      <c r="D6" s="7" t="n">
        <v>110.42539731263</v>
      </c>
      <c r="E6" s="7" t="n">
        <v>124.4873816166916</v>
      </c>
      <c r="F6" s="7" t="n">
        <v>153.8337943169789</v>
      </c>
      <c r="G6" s="21" t="n">
        <v>0.6086</v>
      </c>
    </row>
    <row r="8">
      <c r="A8" s="5" t="inlineStr">
        <is>
          <t>Level event</t>
        </is>
      </c>
      <c r="B8" s="5" t="inlineStr">
        <is>
          <t>One month</t>
        </is>
      </c>
      <c r="C8" s="5" t="inlineStr">
        <is>
          <t>Three months</t>
        </is>
      </c>
    </row>
    <row r="9">
      <c r="A9" s="6" t="inlineStr">
        <is>
          <t>Finishes 10% or more above spot</t>
        </is>
      </c>
      <c r="B9" s="21" t="n">
        <v>0.23516</v>
      </c>
      <c r="C9" s="21" t="n">
        <v>0.39422</v>
      </c>
    </row>
    <row r="10">
      <c r="A10" s="6" t="inlineStr">
        <is>
          <t>Finishes 10% or more below spot</t>
        </is>
      </c>
      <c r="B10" s="21" t="n">
        <v>0.13718</v>
      </c>
      <c r="C10" s="21" t="n">
        <v>0.19722</v>
      </c>
    </row>
    <row r="11">
      <c r="A11" s="6" t="inlineStr">
        <is>
          <t>Touches 10% above spot at any point</t>
        </is>
      </c>
      <c r="B11" s="21" t="n">
        <v>0.37194</v>
      </c>
      <c r="C11" s="21" t="n">
        <v>0.63126</v>
      </c>
    </row>
    <row r="12">
      <c r="A12" s="6" t="inlineStr">
        <is>
          <t>Touches 10% below spot at any point</t>
        </is>
      </c>
      <c r="B12" s="21" t="n">
        <v>0.24608</v>
      </c>
      <c r="C12" s="21" t="n">
        <v>0.41858</v>
      </c>
    </row>
    <row r="14">
      <c r="A14" s="5" t="inlineStr">
        <is>
          <t>Engine setting</t>
        </is>
      </c>
      <c r="B14" s="5" t="inlineStr">
        <is>
          <t>Value</t>
        </is>
      </c>
    </row>
    <row r="15">
      <c r="A15" s="6" t="inlineStr">
        <is>
          <t>Simulated paths</t>
        </is>
      </c>
      <c r="C15" s="24" t="n">
        <v>50000</v>
      </c>
    </row>
    <row r="16">
      <c r="A16" s="6" t="inlineStr">
        <is>
          <t>Annualised volatility (3-month anchor)</t>
        </is>
      </c>
      <c r="C16" s="21" t="n">
        <v>0.4838094309558744</v>
      </c>
    </row>
    <row r="17">
      <c r="A17" s="6" t="inlineStr">
        <is>
          <t>Spot price (EGP)</t>
        </is>
      </c>
      <c r="C17" s="8">
        <f>Summary!C16</f>
        <v/>
      </c>
    </row>
    <row r="18">
      <c r="A18" s="6" t="inlineStr">
        <is>
          <t>Anchor date</t>
        </is>
      </c>
      <c r="C18" s="22"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103.9579534291615</v>
      </c>
      <c r="C6" s="7" t="n">
        <v>116.5404104409828</v>
      </c>
      <c r="D6" s="7" t="n">
        <v>134.9250535973918</v>
      </c>
      <c r="E6" s="7" t="n">
        <v>164.5454667217586</v>
      </c>
      <c r="F6" s="7" t="n">
        <v>220.698725084256</v>
      </c>
    </row>
    <row r="7">
      <c r="A7" s="6" t="inlineStr">
        <is>
          <t>14.3%</t>
        </is>
      </c>
      <c r="B7" s="7" t="n">
        <v>87.6624525757782</v>
      </c>
      <c r="C7" s="7" t="n">
        <v>95.7497920679405</v>
      </c>
      <c r="D7" s="7" t="n">
        <v>106.800051725385</v>
      </c>
      <c r="E7" s="7" t="n">
        <v>122.9278341935899</v>
      </c>
      <c r="F7" s="7" t="n">
        <v>148.8880965042395</v>
      </c>
    </row>
    <row r="8">
      <c r="A8" s="6" t="inlineStr">
        <is>
          <t>15.3%</t>
        </is>
      </c>
      <c r="B8" s="7" t="n">
        <v>75.36259663302229</v>
      </c>
      <c r="C8" s="7" t="n">
        <v>80.75351613072056</v>
      </c>
      <c r="D8" s="7" t="n">
        <v>87.7632711606884</v>
      </c>
      <c r="E8" s="7" t="n">
        <v>97.32517470782793</v>
      </c>
      <c r="F8" s="7" t="n">
        <v>111.2606663334557</v>
      </c>
    </row>
    <row r="9">
      <c r="A9" s="6" t="inlineStr">
        <is>
          <t>16.3%</t>
        </is>
      </c>
      <c r="B9" s="7" t="n">
        <v>65.7551676969633</v>
      </c>
      <c r="C9" s="7" t="n">
        <v>69.43185339144748</v>
      </c>
      <c r="D9" s="7" t="n">
        <v>74.02908767939394</v>
      </c>
      <c r="E9" s="7" t="n">
        <v>79.99204503129506</v>
      </c>
      <c r="F9" s="7" t="n">
        <v>88.10811060392669</v>
      </c>
    </row>
    <row r="10">
      <c r="A10" s="6" t="inlineStr">
        <is>
          <t>17.3%</t>
        </is>
      </c>
      <c r="B10" s="7" t="n">
        <v>58.047869408913</v>
      </c>
      <c r="C10" s="7" t="n">
        <v>60.58637439004508</v>
      </c>
      <c r="D10" s="7" t="n">
        <v>63.65776038482486</v>
      </c>
      <c r="E10" s="7" t="n">
        <v>67.48395285635333</v>
      </c>
      <c r="F10" s="7" t="n">
        <v>72.42997389688901</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142.9257201436457</v>
      </c>
      <c r="C14" s="7" t="n">
        <v>138.8532208372788</v>
      </c>
      <c r="D14" s="7" t="n">
        <v>134.9250535973918</v>
      </c>
      <c r="E14" s="7" t="n">
        <v>131.1348279469485</v>
      </c>
      <c r="F14" s="7" t="n">
        <v>127.4764945640268</v>
      </c>
    </row>
    <row r="15">
      <c r="A15" s="6" t="inlineStr">
        <is>
          <t>terminal 14.3%</t>
        </is>
      </c>
      <c r="B15" s="7" t="n">
        <v>113.2043612990502</v>
      </c>
      <c r="C15" s="7" t="n">
        <v>109.9445769200784</v>
      </c>
      <c r="D15" s="7" t="n">
        <v>106.800051725385</v>
      </c>
      <c r="E15" s="7" t="n">
        <v>103.7656914075321</v>
      </c>
      <c r="F15" s="7" t="n">
        <v>100.8366732530279</v>
      </c>
    </row>
    <row r="16">
      <c r="A16" s="6" t="inlineStr">
        <is>
          <t>terminal 15.3%</t>
        </is>
      </c>
      <c r="B16" s="7" t="n">
        <v>93.08744362839961</v>
      </c>
      <c r="C16" s="7" t="n">
        <v>90.37756045690212</v>
      </c>
      <c r="D16" s="7" t="n">
        <v>87.7632711606884</v>
      </c>
      <c r="E16" s="7" t="n">
        <v>85.24035794052051</v>
      </c>
      <c r="F16" s="7" t="n">
        <v>82.80482756291119</v>
      </c>
    </row>
    <row r="17">
      <c r="A17" s="6" t="inlineStr">
        <is>
          <t>terminal 16.3%</t>
        </is>
      </c>
      <c r="B17" s="7" t="n">
        <v>78.57430312065637</v>
      </c>
      <c r="C17" s="7" t="n">
        <v>76.26098688087828</v>
      </c>
      <c r="D17" s="7" t="n">
        <v>74.02908767939394</v>
      </c>
      <c r="E17" s="7" t="n">
        <v>71.87501939979802</v>
      </c>
      <c r="F17" s="7" t="n">
        <v>69.79538660824731</v>
      </c>
    </row>
    <row r="18">
      <c r="A18" s="6" t="inlineStr">
        <is>
          <t>terminal 17.3%</t>
        </is>
      </c>
      <c r="B18" s="7" t="n">
        <v>67.61501378418899</v>
      </c>
      <c r="C18" s="7" t="n">
        <v>65.60102680467182</v>
      </c>
      <c r="D18" s="7" t="n">
        <v>63.65776038482486</v>
      </c>
      <c r="E18" s="7" t="n">
        <v>61.78210484973862</v>
      </c>
      <c r="F18" s="7" t="n">
        <v>59.97111565861656</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92.11601318377691</v>
      </c>
      <c r="C22" s="7" t="n">
        <v>90.6948601038554</v>
      </c>
      <c r="D22" s="7" t="n">
        <v>88.2716081141819</v>
      </c>
      <c r="E22" s="7" t="n">
        <v>87.76263937231083</v>
      </c>
      <c r="F22" s="7" t="n">
        <v>87.25723444154944</v>
      </c>
      <c r="H22" s="16">
        <f>MAX(B22:F22)-MIN(B22:F22)</f>
        <v/>
      </c>
    </row>
    <row r="23">
      <c r="A23" s="6" t="inlineStr">
        <is>
          <t>Exchange-rate path multiplier  (0.90x / 1.00x / 1.20x / 1.45x / 1.70x)</t>
        </is>
      </c>
      <c r="B23" s="7" t="n">
        <v>84.85465173953861</v>
      </c>
      <c r="C23" s="7" t="n">
        <v>87.7632711606884</v>
      </c>
      <c r="D23" s="7" t="n">
        <v>93.58051000298806</v>
      </c>
      <c r="E23" s="7" t="n">
        <v>100.8520585558626</v>
      </c>
      <c r="F23" s="7" t="n">
        <v>108.1236071087373</v>
      </c>
      <c r="H23" s="16">
        <f>MAX(B23:F23)-MIN(B23:F23)</f>
        <v/>
      </c>
    </row>
    <row r="24">
      <c r="A24" s="6" t="inlineStr">
        <is>
          <t>Segment margins, multiplicative  (0.850x / 0.925x / 1.000x / 1.075x / 1.150x)</t>
        </is>
      </c>
      <c r="B24" s="7" t="n">
        <v>50.91447338147828</v>
      </c>
      <c r="C24" s="7" t="n">
        <v>69.33887227108335</v>
      </c>
      <c r="D24" s="7" t="n">
        <v>87.7632711606884</v>
      </c>
      <c r="E24" s="7" t="n">
        <v>106.1876700502934</v>
      </c>
      <c r="F24" s="7" t="n">
        <v>124.6120689398984</v>
      </c>
      <c r="H24" s="16">
        <f>MAX(B24:F24)-MIN(B24:F24)</f>
        <v/>
      </c>
    </row>
    <row r="25">
      <c r="A25" s="6" t="inlineStr">
        <is>
          <t>Copper price multiplier  (0.850x / 0.925x / 1.000x / 1.075x / 1.150x)</t>
        </is>
      </c>
      <c r="B25" s="7" t="n">
        <v>83.40034202896365</v>
      </c>
      <c r="C25" s="7" t="n">
        <v>85.58180659482602</v>
      </c>
      <c r="D25" s="7" t="n">
        <v>87.7632711606884</v>
      </c>
      <c r="E25" s="7" t="n">
        <v>89.94473572655079</v>
      </c>
      <c r="F25" s="7" t="n">
        <v>92.12620029241313</v>
      </c>
      <c r="H25" s="16">
        <f>MAX(B25:F25)-MIN(B25:F25)</f>
        <v/>
      </c>
    </row>
    <row r="26">
      <c r="A26" s="6" t="inlineStr">
        <is>
          <t>Working capital / revenue  (17.0% / 18.5% / 19.9% / 21.5% / 23.0%)</t>
        </is>
      </c>
      <c r="B26" s="7" t="n">
        <v>97.52765330261191</v>
      </c>
      <c r="C26" s="7" t="n">
        <v>92.04204535771109</v>
      </c>
      <c r="D26" s="7" t="n">
        <v>86.92214460913688</v>
      </c>
      <c r="E26" s="7" t="n">
        <v>81.07082946790932</v>
      </c>
      <c r="F26" s="7" t="n">
        <v>75.58522152300843</v>
      </c>
      <c r="H26" s="16">
        <f>MAX(B26:F26)-MIN(B26:F26)</f>
        <v/>
      </c>
    </row>
    <row r="27">
      <c r="A27" s="6" t="inlineStr">
        <is>
          <t>Terminal return on invested capital  (15.0% / 18.0% / 22.5% / 26.0% / 30.0%)</t>
        </is>
      </c>
      <c r="B27" s="7" t="n">
        <v>66.47156186730963</v>
      </c>
      <c r="C27" s="7" t="n">
        <v>83.04167945779123</v>
      </c>
      <c r="D27" s="7" t="n">
        <v>99.51884490996628</v>
      </c>
      <c r="E27" s="7" t="n">
        <v>108.5341680585322</v>
      </c>
      <c r="F27" s="7" t="n">
        <v>116.1819146387544</v>
      </c>
      <c r="H27" s="16">
        <f>MAX(B27:F27)-MIN(B27:F27)</f>
        <v/>
      </c>
    </row>
    <row r="28">
      <c r="A28" s="6" t="inlineStr">
        <is>
          <t>Terminal growth (at base cost of capital)  (7% / 8% / 9% / 10% / 11%)</t>
        </is>
      </c>
      <c r="B28" s="7" t="n">
        <v>75.36259663302229</v>
      </c>
      <c r="C28" s="7" t="n">
        <v>80.75351613072056</v>
      </c>
      <c r="D28" s="7" t="n">
        <v>87.7632711606884</v>
      </c>
      <c r="E28" s="7" t="n">
        <v>97.32517470782793</v>
      </c>
      <c r="F28" s="7" t="n">
        <v>111.2606663334557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2026-09-13T13:29:47Z</dcterms:created>
  <dcterms:modified xmlns:dcterms="http://purl.org/dc/terms/" xmlns:xsi="http://www.w3.org/2001/XMLSchema-instance" xsi:type="dcterms:W3CDTF">2026-09-13T13:29:47Z</dcterms:modified>
</cp:coreProperties>
</file>