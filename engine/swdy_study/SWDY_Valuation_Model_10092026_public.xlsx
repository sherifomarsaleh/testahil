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00"/>
    <numFmt numFmtId="170" formatCode="0.00x"/>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4">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5" fillId="0" borderId="0" pivotButton="0" quotePrefix="0" xfId="0"/>
    <xf numFmtId="0" fontId="8" fillId="4" borderId="0" pivotButton="0" quotePrefix="0" xfId="0"/>
    <xf numFmtId="164" fontId="8" fillId="4" borderId="0" pivotButton="0" quotePrefix="0" xfId="0"/>
    <xf numFmtId="0" fontId="5" fillId="4" borderId="0" pivotButton="0" quotePrefix="0" xfId="0"/>
    <xf numFmtId="0" fontId="4" fillId="4" borderId="0" pivotButton="0" quotePrefix="0" xfId="0"/>
    <xf numFmtId="165" fontId="8" fillId="4" borderId="0" pivotButton="0" quotePrefix="0" xfId="0"/>
    <xf numFmtId="0" fontId="8" fillId="0" borderId="0" pivotButton="0" quotePrefix="0" xfId="0"/>
    <xf numFmtId="164" fontId="5" fillId="0"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165" fontId="6" fillId="0" borderId="0" pivotButton="0" quotePrefix="0" xfId="0"/>
    <xf numFmtId="0" fontId="6" fillId="0" borderId="0" pivotButton="0" quotePrefix="0" xfId="0"/>
    <xf numFmtId="10" fontId="7"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2" fontId="6" fillId="0" borderId="0" pivotButton="0" quotePrefix="0" xfId="0"/>
    <xf numFmtId="169" fontId="6" fillId="0" borderId="0" pivotButton="0" quotePrefix="0" xfId="0"/>
    <xf numFmtId="170"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9" fontId="7" fillId="0" borderId="0" pivotButton="0" quotePrefix="0" xfId="0"/>
    <xf numFmtId="170" fontId="5" fillId="0" borderId="0" pivotButton="0" quotePrefix="0" xfId="0"/>
    <xf numFmtId="10" fontId="5" fillId="0" borderId="0" pivotButton="0" quotePrefix="0" xfId="0"/>
    <xf numFmtId="169" fontId="5"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exactly which. First, audited and disclosed history</t>
        </is>
      </c>
    </row>
    <row r="14">
      <c r="A14" s="3" t="inlineStr">
        <is>
          <t>— the primary record, not a calculation. Second, the segment build: revenue and profit for the three</t>
        </is>
      </c>
    </row>
    <row r="15">
      <c r="A15" s="3" t="inlineStr">
        <is>
          <t>segments the company itself discloses (Cables and its accessories, Constructions and infrastructure,</t>
        </is>
      </c>
    </row>
    <row r="16">
      <c r="A16" s="3" t="inlineStr">
        <is>
          <t>Electrical products and digital solutions) are pasted for FY2025 and grown on their own drivers; only its</t>
        </is>
      </c>
    </row>
    <row r="17">
      <c r="A17" s="3" t="inlineStr">
        <is>
          <t>OUTPUT is carried here and everything downstream of it is formula. Third, whole-model engine outputs, where</t>
        </is>
      </c>
    </row>
    <row r="18">
      <c r="A18" s="3" t="inlineStr">
        <is>
          <t>each figure is a complete re-run of the entire valuation and so cannot be a single formula: the Monte Carlo</t>
        </is>
      </c>
    </row>
    <row r="19">
      <c r="A19" s="3" t="inlineStr">
        <is>
          <t>price map, the sensitivity grids, the DCF scenario bear/bull bounds, the multi-leg currency-of-discounting</t>
        </is>
      </c>
    </row>
    <row r="20">
      <c r="A20" s="3" t="inlineStr">
        <is>
          <t>alternative (its USD cost of capital IS a live formula; the leg-by-leg USD discounting is the engine's),</t>
        </is>
      </c>
    </row>
    <row r="21">
      <c r="A21" s="3" t="inlineStr">
        <is>
          <t>and the expert-panel legs. Everything else — including every lens base value, the relative/normalised/book</t>
        </is>
      </c>
    </row>
    <row r="22">
      <c r="A22" s="3" t="inlineStr">
        <is>
          <t>bear and bull bounds, and the anchor-date roll — is a live formula. Changing a driver reprices the model</t>
        </is>
      </c>
    </row>
    <row r="23">
      <c r="A23" s="3" t="inlineStr">
        <is>
          <t>but does NOT redraw the engine outputs.</t>
        </is>
      </c>
    </row>
    <row r="24">
      <c r="A24" s="3" t="inlineStr"/>
    </row>
    <row r="25">
      <c r="A25" s="3" t="inlineStr">
        <is>
          <t>How revenue is built. Not as one growth rate. Each of the three disclosed segments is grown on its own</t>
        </is>
      </c>
    </row>
    <row r="26">
      <c r="A26" s="3" t="inlineStr">
        <is>
          <t>driver — Cables on DISCLOSED TONNAGE (185,449 tonnes in FY2025, from the company's own quarterly</t>
        </is>
      </c>
    </row>
    <row r="27">
      <c r="A27" s="3" t="inlineStr">
        <is>
          <t>releases) times a copper and currency pass-through measured out of the segment's own audited revenue</t>
        </is>
      </c>
    </row>
    <row r="28">
      <c r="A28" s="3" t="inlineStr">
        <is>
          <t>per tonne; Constructions and Electrical products on a taper of their own recent revenue CAGR. The</t>
        </is>
      </c>
    </row>
    <row r="29">
      <c r="A29" s="3" t="inlineStr">
        <is>
          <t>AUDITED filings disclose no tonnage, order-book or backlog figure for any segment — the releases do,</t>
        </is>
      </c>
    </row>
    <row r="30">
      <c r="A30" s="3" t="inlineStr">
        <is>
          <t>they are the issuer's own, and they are not audited, which is why they drive a volume and not a value.</t>
        </is>
      </c>
    </row>
    <row r="31">
      <c r="A31" s="3" t="inlineStr">
        <is>
          <t>Margins come from the same segment build; group EBITDA margin is an OUTPUT of it, not an input.</t>
        </is>
      </c>
    </row>
    <row r="32">
      <c r="A32" s="3" t="inlineStr"/>
    </row>
    <row r="33">
      <c r="A33" s="3" t="inlineStr">
        <is>
          <t>What it is not. It is not investment advice, a recommendation, or a price target. Values are model outputs</t>
        </is>
      </c>
    </row>
    <row r="34">
      <c r="A34" s="3" t="inlineStr">
        <is>
          <t>shown as ranges.</t>
        </is>
      </c>
    </row>
    <row r="35">
      <c r="A35" s="3" t="inlineStr"/>
    </row>
    <row r="36">
      <c r="A36" s="3" t="inlineStr">
        <is>
          <t>Sourcing note, up front. FY2023, FY2024 and FY2025 all come from the company's own audited consolidated</t>
        </is>
      </c>
    </row>
    <row r="37">
      <c r="A37" s="3" t="inlineStr">
        <is>
          <t>financial statements — every income-statement, balance-sheet and segment line is the audited figure, not a</t>
        </is>
      </c>
    </row>
    <row r="38">
      <c r="A38" s="3" t="inlineStr">
        <is>
          <t>derivation or a triangulation. Segment revenue ties EXACTLY to consolidated revenue in every year (Note</t>
        </is>
      </c>
    </row>
    <row r="39">
      <c r="A39" s="3" t="inlineStr">
        <is>
          <t>5-3); segment profit reconciles to consolidated operating profit through an explicit, exactly-reconciling</t>
        </is>
      </c>
    </row>
    <row r="40">
      <c r="A40" s="3" t="inlineStr">
        <is>
          <t>corporate cost load (Note 16 less G&amp;A, net impairment, other expenses and other income). Every input is</t>
        </is>
      </c>
    </row>
    <row r="41">
      <c r="A41" s="3" t="inlineStr">
        <is>
          <t>annotated where it appears and listed with source and date in the companion bibliography document.</t>
        </is>
      </c>
    </row>
    <row r="42">
      <c r="A42" s="3" t="inlineStr"/>
    </row>
    <row r="43">
      <c r="A43" s="3" t="inlineStr">
        <is>
          <t>Discount convention. Each explicit year is discounted at its own forward cost of capital, gliding</t>
        </is>
      </c>
    </row>
    <row r="44">
      <c r="A44" s="3" t="inlineStr">
        <is>
          <t>26.7% -&gt; 15.3% on the same easing calendar as the interest forecast; the terminal value is</t>
        </is>
      </c>
    </row>
    <row r="45">
      <c r="A45" s="3" t="inlineStr">
        <is>
          <t>capitalised at the terminal rate and discounted at the year-5 cumulative factor. One date, one price of time.</t>
        </is>
      </c>
    </row>
    <row r="46">
      <c r="A46" s="3" t="inlineStr">
        <is>
          <t>The glide fractions are not a free parameter: they are the cost-of-debt path's own cumulative progress, and</t>
        </is>
      </c>
    </row>
    <row r="47">
      <c r="A47" s="3" t="inlineStr">
        <is>
          <t>the DCF sheet computes them in front of you.</t>
        </is>
      </c>
    </row>
    <row r="48">
      <c r="A48" s="3" t="inlineStr"/>
    </row>
    <row r="49">
      <c r="A49" s="3" t="inlineStr">
        <is>
          <t>The open question. This company earns just over half its revenue on a hard-currency-linked basis but</t>
        </is>
      </c>
    </row>
    <row r="50">
      <c r="A50" s="3" t="inlineStr">
        <is>
          <t>reports, lists and borrows in Egyptian pounds. The primary model charges the full Egyptian cost of capital.</t>
        </is>
      </c>
    </row>
    <row r="51">
      <c r="A51" s="3" t="inlineStr">
        <is>
          <t>The Fundamental Valuation sheet also shows what the same cash flows are worth if the hard-currency leg is</t>
        </is>
      </c>
    </row>
    <row r="52">
      <c r="A52" s="3" t="inlineStr">
        <is>
          <t>discounted at a hard-currency rate. Both are shown; they are not averaged.</t>
        </is>
      </c>
    </row>
    <row r="53">
      <c r="A53" s="3" t="inlineStr"/>
    </row>
    <row r="54">
      <c r="A54" s="3" t="inlineStr">
        <is>
          <t>Currency. EGP million unless stated. Spot EGP 130.00 (2026-09-03 close). Sheets: READ FIRST · Summary ·</t>
        </is>
      </c>
    </row>
    <row r="55">
      <c r="A55" s="3" t="inlineStr">
        <is>
          <t>Fundamental Valuation · Assumptions · SOTP Bridge · Segments · Relative &amp; Normalized · DCF · Income</t>
        </is>
      </c>
    </row>
    <row r="56">
      <c r="A56" s="3" t="inlineStr">
        <is>
          <t>Statement · Balance Sheet · Cash Flow · Summary Financials · Monte Carlo · Sensitivity · Per-Share &amp;</t>
        </is>
      </c>
    </row>
    <row r="57">
      <c r="A57"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Role</t>
        </is>
      </c>
      <c r="F4" s="5" t="inlineStr"/>
      <c r="G4" s="5" t="inlineStr">
        <is>
          <t>vs price</t>
        </is>
      </c>
    </row>
    <row r="5">
      <c r="A5" s="6" t="inlineStr">
        <is>
          <t>Discounted cash flow (the answer)</t>
        </is>
      </c>
      <c r="B5" s="7" t="n">
        <v>28.56691644232448</v>
      </c>
      <c r="C5" s="8">
        <f>DCF!C62</f>
        <v/>
      </c>
      <c r="D5" s="7" t="n">
        <v>138.175135007335</v>
      </c>
      <c r="E5" s="6" t="inlineStr">
        <is>
          <t>THE CENTRAL — the class primary</t>
        </is>
      </c>
      <c r="G5" s="9">
        <f>C5/$C$16-1</f>
        <v/>
      </c>
    </row>
    <row r="6">
      <c r="A6" s="6" t="inlineStr">
        <is>
          <t>Relative multiples</t>
        </is>
      </c>
      <c r="B6" s="8">
        <f>'Relative &amp; Normalized'!C12</f>
        <v/>
      </c>
      <c r="C6" s="8">
        <f>'Relative &amp; Normalized'!C11</f>
        <v/>
      </c>
      <c r="D6" s="8">
        <f>'Relative &amp; Normalized'!D12</f>
        <v/>
      </c>
      <c r="E6" s="6" t="inlineStr">
        <is>
          <t>cross-check</t>
        </is>
      </c>
      <c r="G6" s="9">
        <f>C6/$C$16-1</f>
        <v/>
      </c>
    </row>
    <row r="7">
      <c r="A7" s="6" t="inlineStr">
        <is>
          <t>Normalised earnings power</t>
        </is>
      </c>
      <c r="B7" s="8">
        <f>'Relative &amp; Normalized'!E28</f>
        <v/>
      </c>
      <c r="C7" s="8">
        <f>'Relative &amp; Normalized'!C28</f>
        <v/>
      </c>
      <c r="D7" s="8">
        <f>'Relative &amp; Normalized'!F28</f>
        <v/>
      </c>
      <c r="E7" s="6" t="inlineStr">
        <is>
          <t>REMOVED — not a lens this class publishes</t>
        </is>
      </c>
      <c r="G7" s="9">
        <f>C7/$C$16-1</f>
        <v/>
      </c>
    </row>
    <row r="8">
      <c r="A8" s="6" t="inlineStr">
        <is>
          <t>Book value and sustainable return</t>
        </is>
      </c>
      <c r="B8" s="8">
        <f>'Relative &amp; Normalized'!E36</f>
        <v/>
      </c>
      <c r="C8" s="8">
        <f>'Relative &amp; Normalized'!C36</f>
        <v/>
      </c>
      <c r="D8" s="8">
        <f>'Relative &amp; Normalized'!F36</f>
        <v/>
      </c>
      <c r="E8" s="6" t="inlineStr">
        <is>
          <t>a disclosed floor, never weighted</t>
        </is>
      </c>
      <c r="G8" s="9">
        <f>C8/$C$16-1</f>
        <v/>
      </c>
    </row>
    <row r="9">
      <c r="A9" s="10" t="inlineStr">
        <is>
          <t>THE CENTRAL — the cash-flow lens, not an average</t>
        </is>
      </c>
      <c r="B9" s="11">
        <f>B5</f>
        <v/>
      </c>
      <c r="C9" s="11">
        <f>C5</f>
        <v/>
      </c>
      <c r="D9" s="11">
        <f>D5</f>
        <v/>
      </c>
      <c r="E9" s="12" t="inlineStr">
        <is>
          <t>the class primary</t>
        </is>
      </c>
      <c r="F9" s="13" t="n"/>
      <c r="G9" s="14">
        <f>C9/$C$16-1</f>
        <v/>
      </c>
    </row>
    <row r="10">
      <c r="A10" s="15" t="inlineStr">
        <is>
          <t>NOT AVERAGED — the retired 45/20/20/15 blend, published unused</t>
        </is>
      </c>
      <c r="C10" s="16">
        <f>C5*0.45+C6*0.2+C7*0.2+C8*0.15</f>
        <v/>
      </c>
      <c r="E10" s="6" t="inlineStr">
        <is>
          <t>retired 04-Sep-2026</t>
        </is>
      </c>
      <c r="G10" s="9">
        <f>C10/$C$16-1</f>
        <v/>
      </c>
    </row>
    <row r="11">
      <c r="A11" s="6" t="inlineStr">
        <is>
          <t>Span across the lenses (min/max) — a spread between METHODS, not a range around the answer</t>
        </is>
      </c>
      <c r="B11" s="16">
        <f>MIN(B5:B8)</f>
        <v/>
      </c>
      <c r="D11" s="16">
        <f>MAX(D5:D8)</f>
        <v/>
      </c>
    </row>
    <row r="13">
      <c r="A13" s="6" t="inlineStr">
        <is>
          <t>Alternative reading — currency of discounting</t>
        </is>
      </c>
      <c r="C13" s="8">
        <f>'Fundamental Valuation'!C18</f>
        <v/>
      </c>
      <c r="G13" s="9">
        <f>C13/$C$16-1</f>
        <v/>
      </c>
    </row>
    <row r="14">
      <c r="A14" s="6" t="inlineStr">
        <is>
          <t>Terminal value share of DCF enterprise value</t>
        </is>
      </c>
      <c r="C14" s="17">
        <f>DCF!C28</f>
        <v/>
      </c>
    </row>
    <row r="15">
      <c r="A15" s="6" t="inlineStr">
        <is>
          <t>Expert panel median</t>
        </is>
      </c>
      <c r="C15" s="8">
        <f>'Fundamental Valuation'!C26</f>
        <v/>
      </c>
      <c r="G15" s="9">
        <f>C15/$C$16-1</f>
        <v/>
      </c>
    </row>
    <row r="16">
      <c r="A16" s="10" t="inlineStr">
        <is>
          <t>Market price (anchor)</t>
        </is>
      </c>
      <c r="B16" s="13" t="n"/>
      <c r="C16" s="18" t="n">
        <v>130</v>
      </c>
      <c r="D16" s="13" t="n"/>
      <c r="E16" s="13" t="n"/>
      <c r="F16" s="13" t="n"/>
      <c r="G16" s="13" t="n"/>
    </row>
    <row r="18">
      <c r="A18" s="5" t="inlineStr">
        <is>
          <t>Key figure</t>
        </is>
      </c>
      <c r="B18" s="5" t="inlineStr">
        <is>
          <t>Value</t>
        </is>
      </c>
    </row>
    <row r="19">
      <c r="A19" s="6" t="inlineStr">
        <is>
          <t>Shares outstanding (mn)</t>
        </is>
      </c>
      <c r="C19" s="19">
        <f>Assumptions!$C$6</f>
        <v/>
      </c>
    </row>
    <row r="20">
      <c r="A20" s="6" t="inlineStr">
        <is>
          <t>Market capitalisation (EGP mn)</t>
        </is>
      </c>
      <c r="C20" s="19">
        <f>$C$16*C19</f>
        <v/>
      </c>
    </row>
    <row r="21">
      <c r="A21" s="6" t="inlineStr">
        <is>
          <t>Net bank debt, FY2025 (EGP mn)</t>
        </is>
      </c>
      <c r="C21" s="19">
        <f>'Balance Sheet'!D17</f>
        <v/>
      </c>
    </row>
    <row r="22">
      <c r="A22" s="6" t="inlineStr">
        <is>
          <t>FY2025 revenue (EGP mn)</t>
        </is>
      </c>
      <c r="C22" s="19">
        <f>'Income Statement'!D5</f>
        <v/>
      </c>
    </row>
    <row r="23">
      <c r="A23" s="6" t="inlineStr">
        <is>
          <t>FY2025 EBITDA (EGP mn)</t>
        </is>
      </c>
      <c r="C23" s="19">
        <f>'Income Statement'!D7</f>
        <v/>
      </c>
    </row>
    <row r="24">
      <c r="A24" s="6" t="inlineStr">
        <is>
          <t>FY2025 attributable profit (EGP mn)</t>
        </is>
      </c>
      <c r="C24" s="19">
        <f>'Income Statement'!D17</f>
        <v/>
      </c>
    </row>
    <row r="25">
      <c r="A25" s="6" t="inlineStr">
        <is>
          <t>Cost of capital — explicit window</t>
        </is>
      </c>
      <c r="C25" s="17">
        <f>DCF!C46</f>
        <v/>
      </c>
    </row>
    <row r="26">
      <c r="A26" s="6" t="inlineStr">
        <is>
          <t>Cost of capital — terminal</t>
        </is>
      </c>
      <c r="C26" s="17">
        <f>DCF!C53</f>
        <v/>
      </c>
    </row>
    <row r="27">
      <c r="A27" s="6" t="inlineStr">
        <is>
          <t>Terminal growth</t>
        </is>
      </c>
      <c r="C27" s="17">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DCF!C62</f>
        <v/>
      </c>
    </row>
    <row r="6">
      <c r="A6" s="6" t="inlineStr">
        <is>
          <t xml:space="preserve">  bear</t>
        </is>
      </c>
      <c r="B6" s="6" t="inlineStr">
        <is>
          <t>margin −1.5pp, weaker currency path, +2pp cost of capital, g 3%</t>
        </is>
      </c>
      <c r="C6" s="7" t="n">
        <v>28.56691644232448</v>
      </c>
    </row>
    <row r="7">
      <c r="A7" s="6" t="inlineStr">
        <is>
          <t xml:space="preserve">  bull</t>
        </is>
      </c>
      <c r="B7" s="6" t="inlineStr">
        <is>
          <t>margin +1.5pp, stronger currency path, −2pp cost of capital, g 6%</t>
        </is>
      </c>
      <c r="C7" s="7" t="n">
        <v>138.175135007335</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0" t="inlineStr">
        <is>
          <t>THE CENTRAL — the cash-flow lens itself, not an average of the four</t>
        </is>
      </c>
      <c r="B12" s="13" t="n"/>
      <c r="C12" s="20">
        <f>Summary!C9</f>
        <v/>
      </c>
    </row>
    <row r="14">
      <c r="A14" s="15" t="inlineStr">
        <is>
          <t>THE CURRENCY-OF-DISCOUNTING QUESTION</t>
        </is>
      </c>
    </row>
    <row r="15">
      <c r="A15" s="6" t="inlineStr">
        <is>
          <t>Share of forecast revenue earned in hard currency</t>
        </is>
      </c>
      <c r="C15" s="21" t="n">
        <v>0.5113017981964768</v>
      </c>
    </row>
    <row r="16">
      <c r="A16" s="6" t="inlineStr">
        <is>
          <t>Cost of capital applied in the primary model (explicit → terminal)</t>
        </is>
      </c>
      <c r="C16" s="22" t="inlineStr">
        <is>
          <t>26.7% → 15.3%</t>
        </is>
      </c>
    </row>
    <row r="17">
      <c r="A17" s="6" t="inlineStr">
        <is>
          <t>Hard-currency cost of capital for the foreign leg</t>
        </is>
      </c>
      <c r="C17" s="23">
        <f>(1-Assumptions!$C$82)*(Assumptions!$C$79+Assumptions!$C$37*Assumptions!$C$80)+Assumptions!$C$82*Assumptions!$C$81*(1-Assumptions!$C$7)</f>
        <v/>
      </c>
    </row>
    <row r="18">
      <c r="A18" s="6" t="inlineStr">
        <is>
          <t>Fair value if the foreign leg is discounted at the hard-currency rate</t>
        </is>
      </c>
      <c r="C18" s="7" t="n">
        <v>79.09245631047411</v>
      </c>
    </row>
    <row r="19">
      <c r="A19" s="6" t="inlineStr">
        <is>
          <t>Market price</t>
        </is>
      </c>
      <c r="C19" s="8">
        <f>Summary!C16</f>
        <v/>
      </c>
    </row>
    <row r="21">
      <c r="A21" s="15"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176.1268087989355</v>
      </c>
      <c r="D23" s="7" t="n">
        <v>129.2598114113915</v>
      </c>
      <c r="E23" s="7" t="n">
        <v>222.9938061864796</v>
      </c>
    </row>
    <row r="24">
      <c r="A24" s="6" t="inlineStr">
        <is>
          <t>Expert 2</t>
        </is>
      </c>
      <c r="B24" s="6" t="inlineStr">
        <is>
          <t>owner cash earnings</t>
        </is>
      </c>
      <c r="C24" s="7" t="n">
        <v>97.71822108324348</v>
      </c>
      <c r="D24" s="7" t="n">
        <v>69.84198537113525</v>
      </c>
      <c r="E24" s="7" t="n">
        <v>160.9699206371431</v>
      </c>
    </row>
    <row r="25">
      <c r="A25" s="6" t="inlineStr">
        <is>
          <t>Expert 3</t>
        </is>
      </c>
      <c r="B25" s="6" t="inlineStr">
        <is>
          <t>cash returns vs cost of capital</t>
        </is>
      </c>
      <c r="C25" s="7" t="n">
        <v>89.4341891885301</v>
      </c>
      <c r="D25" s="7" t="n">
        <v>66.70493817011291</v>
      </c>
      <c r="E25" s="7" t="n">
        <v>112.1634402069473</v>
      </c>
    </row>
    <row r="26">
      <c r="A26" s="10" t="inlineStr">
        <is>
          <t>Panel median</t>
        </is>
      </c>
      <c r="B26" s="13" t="n"/>
      <c r="C26" s="11">
        <f>MEDIAN(C23:C25)</f>
        <v/>
      </c>
      <c r="D26" s="13" t="n"/>
      <c r="E26" s="1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0" t="inlineStr">
        <is>
          <t>Anchors</t>
        </is>
      </c>
      <c r="B4" s="13" t="n"/>
      <c r="C4" s="13" t="n"/>
      <c r="D4" s="13" t="n"/>
      <c r="E4" s="13" t="n"/>
      <c r="F4" s="13" t="n"/>
      <c r="G4" s="13" t="n"/>
      <c r="H4" s="13" t="n"/>
    </row>
    <row r="5">
      <c r="A5" s="6" t="inlineStr">
        <is>
          <t>Spot price (EGP)</t>
        </is>
      </c>
      <c r="C5" s="7" t="n">
        <v>130</v>
      </c>
    </row>
    <row r="6">
      <c r="A6" s="6" t="inlineStr">
        <is>
          <t>Shares outstanding (mn)</t>
        </is>
      </c>
      <c r="C6" s="24" t="n">
        <v>2140.777876</v>
      </c>
    </row>
    <row r="7">
      <c r="A7" s="6" t="inlineStr">
        <is>
          <t>Effective tax rate</t>
        </is>
      </c>
      <c r="C7" s="21" t="n">
        <v>0.245</v>
      </c>
    </row>
    <row r="8">
      <c r="A8" s="6" t="inlineStr">
        <is>
          <t>Statutory corporate tax rate</t>
        </is>
      </c>
      <c r="C8" s="21" t="n">
        <v>0.225</v>
      </c>
    </row>
    <row r="9">
      <c r="A9" s="6" t="inlineStr">
        <is>
          <t>FY2025 average USD/EGP</t>
        </is>
      </c>
      <c r="C9" s="25" t="n">
        <v>47.69</v>
      </c>
    </row>
    <row r="11">
      <c r="A11" s="10" t="inlineStr">
        <is>
          <t>Revenue drivers — the three disclosed segments</t>
        </is>
      </c>
      <c r="B11" s="13" t="n"/>
      <c r="C11" s="13" t="n"/>
      <c r="D11" s="13" t="n"/>
      <c r="E11" s="13" t="n"/>
      <c r="F11" s="13" t="n"/>
      <c r="G11" s="13" t="n"/>
      <c r="H11" s="13" t="n"/>
    </row>
    <row r="12">
      <c r="A12" s="6" t="inlineStr">
        <is>
          <t>Copper (USD/tonne)</t>
        </is>
      </c>
      <c r="B12" s="24" t="n">
        <v>13400</v>
      </c>
      <c r="C12" s="24" t="n">
        <v>14350</v>
      </c>
      <c r="D12" s="24" t="n">
        <v>14708.75</v>
      </c>
      <c r="E12" s="24" t="n">
        <v>15076.46874999999</v>
      </c>
      <c r="F12" s="24" t="n">
        <v>15453.38046874999</v>
      </c>
    </row>
    <row r="13">
      <c r="A13" s="6" t="inlineStr">
        <is>
          <t>USD/EGP path</t>
        </is>
      </c>
      <c r="B13" s="25" t="n">
        <v>53.9711</v>
      </c>
      <c r="C13" s="25" t="n">
        <v>58.9733</v>
      </c>
      <c r="D13" s="25" t="n">
        <v>62.7131</v>
      </c>
      <c r="E13" s="25" t="n">
        <v>65.7723</v>
      </c>
      <c r="F13" s="25" t="n">
        <v>68.6598</v>
      </c>
    </row>
    <row r="14">
      <c r="A14" s="6" t="inlineStr">
        <is>
          <t>Cables — pass-through of copper x FX into price per tonne</t>
        </is>
      </c>
      <c r="B14" s="21" t="n">
        <v>0</v>
      </c>
      <c r="C14" s="21" t="n">
        <v>-0.0654</v>
      </c>
      <c r="D14" s="21" t="n">
        <v>-0.0436</v>
      </c>
      <c r="E14" s="21" t="n">
        <v>-0.0218</v>
      </c>
      <c r="F14" s="21" t="n">
        <v>0</v>
      </c>
    </row>
    <row r="15">
      <c r="A15" s="6" t="inlineStr">
        <is>
          <t>Cables — volume growth, the company's own disclosed tonnage</t>
        </is>
      </c>
      <c r="B15" s="21" t="n">
        <v>0.1071</v>
      </c>
      <c r="C15" s="21" t="n">
        <v>0.09</v>
      </c>
      <c r="D15" s="21" t="n">
        <v>0.075</v>
      </c>
      <c r="E15" s="21" t="n">
        <v>0.065</v>
      </c>
      <c r="F15" s="21" t="n">
        <v>0.055</v>
      </c>
    </row>
    <row r="16">
      <c r="A16" s="6" t="inlineStr">
        <is>
          <t>Cables — FY2026 growth, MEASURED on the reviewed half</t>
        </is>
      </c>
      <c r="C16" s="21" t="n">
        <v>0.3056831252933152</v>
      </c>
    </row>
    <row r="17">
      <c r="A17" s="6" t="inlineStr">
        <is>
          <t>Constructions — FY2026 growth, MEASURED on the reviewed half</t>
        </is>
      </c>
      <c r="C17" s="21" t="n">
        <v>0.2744315525499292</v>
      </c>
    </row>
    <row r="18">
      <c r="A18" s="6" t="inlineStr">
        <is>
          <t>Electrical products — FY2026 growth, MEASURED on the reviewed half</t>
        </is>
      </c>
      <c r="C18" s="21" t="n">
        <v>0.4828177529116717</v>
      </c>
    </row>
    <row r="19">
      <c r="A19" s="6" t="inlineStr">
        <is>
          <t>Constructions and infrastructure — revenue growth</t>
        </is>
      </c>
      <c r="B19" s="21" t="n">
        <v>0.2744</v>
      </c>
      <c r="C19" s="21" t="n">
        <v>0.2</v>
      </c>
      <c r="D19" s="21" t="n">
        <v>0.15</v>
      </c>
      <c r="E19" s="21" t="n">
        <v>0.115</v>
      </c>
      <c r="F19" s="21" t="n">
        <v>0.09</v>
      </c>
    </row>
    <row r="20">
      <c r="A20" s="6" t="inlineStr">
        <is>
          <t>Electrical products and digital solutions — revenue growth</t>
        </is>
      </c>
      <c r="B20" s="21" t="n">
        <v>0.4828</v>
      </c>
      <c r="C20" s="21" t="n">
        <v>0.33</v>
      </c>
      <c r="D20" s="21" t="n">
        <v>0.23</v>
      </c>
      <c r="E20" s="21" t="n">
        <v>0.16</v>
      </c>
      <c r="F20" s="21" t="n">
        <v>0.11</v>
      </c>
    </row>
    <row r="22">
      <c r="A22" s="10" t="inlineStr">
        <is>
          <t>Segment gross margins and corporate cost load</t>
        </is>
      </c>
      <c r="B22" s="13" t="n"/>
      <c r="C22" s="13" t="n"/>
      <c r="D22" s="13" t="n"/>
      <c r="E22" s="13" t="n"/>
      <c r="F22" s="13" t="n"/>
      <c r="G22" s="13" t="n"/>
      <c r="H22" s="13" t="n"/>
    </row>
    <row r="23">
      <c r="A23" s="6" t="inlineStr">
        <is>
          <t>Cables — gross/segment margin</t>
        </is>
      </c>
      <c r="B23" s="21" t="n">
        <v>0.114341</v>
      </c>
      <c r="C23" s="21" t="n">
        <v>0.114341</v>
      </c>
      <c r="D23" s="21" t="n">
        <v>0.114341</v>
      </c>
      <c r="E23" s="21" t="n">
        <v>0.114341</v>
      </c>
      <c r="F23" s="21" t="n">
        <v>0.114341</v>
      </c>
    </row>
    <row r="24">
      <c r="A24" s="6" t="inlineStr">
        <is>
          <t>Constructions and infrastructure — segment margin</t>
        </is>
      </c>
      <c r="B24" s="21" t="n">
        <v>0.08987100000000001</v>
      </c>
      <c r="C24" s="21" t="n">
        <v>0.08987100000000001</v>
      </c>
      <c r="D24" s="21" t="n">
        <v>0.08987100000000001</v>
      </c>
      <c r="E24" s="21" t="n">
        <v>0.08987100000000001</v>
      </c>
      <c r="F24" s="21" t="n">
        <v>0.08987100000000001</v>
      </c>
    </row>
    <row r="25">
      <c r="A25" s="6" t="inlineStr">
        <is>
          <t>Electrical products and digital solutions — segment margin</t>
        </is>
      </c>
      <c r="B25" s="21" t="n">
        <v>0.236221</v>
      </c>
      <c r="C25" s="21" t="n">
        <v>0.236221</v>
      </c>
      <c r="D25" s="21" t="n">
        <v>0.236221</v>
      </c>
      <c r="E25" s="21" t="n">
        <v>0.236221</v>
      </c>
      <c r="F25" s="21" t="n">
        <v>0.236221</v>
      </c>
    </row>
    <row r="26">
      <c r="A26" s="6" t="inlineStr">
        <is>
          <t>Corporate cost load (% of revenue) — the bridge from segment profit to EBIT</t>
        </is>
      </c>
      <c r="B26" s="21" t="n">
        <v>0.0307</v>
      </c>
      <c r="C26" s="21" t="n">
        <v>0.0307</v>
      </c>
      <c r="D26" s="21" t="n">
        <v>0.0307</v>
      </c>
      <c r="E26" s="21" t="n">
        <v>0.0307</v>
      </c>
      <c r="F26" s="21" t="n">
        <v>0.0307</v>
      </c>
    </row>
    <row r="28">
      <c r="A28" s="10" t="inlineStr">
        <is>
          <t>Capital intensity</t>
        </is>
      </c>
      <c r="B28" s="13" t="n"/>
      <c r="C28" s="13" t="n"/>
      <c r="D28" s="13" t="n"/>
      <c r="E28" s="13" t="n"/>
      <c r="F28" s="13" t="n"/>
      <c r="G28" s="13" t="n"/>
      <c r="H28" s="13" t="n"/>
    </row>
    <row r="29">
      <c r="A29" s="6" t="inlineStr">
        <is>
          <t>Working capital / revenue</t>
        </is>
      </c>
      <c r="C29" s="21" t="n">
        <v>0.1967</v>
      </c>
    </row>
    <row r="30">
      <c r="A30" s="6" t="inlineStr">
        <is>
          <t>Capital expenditure / revenue</t>
        </is>
      </c>
      <c r="B30" s="21" t="n">
        <v>0.03574226695658529</v>
      </c>
      <c r="C30" s="21" t="n">
        <v>0.03574226695658529</v>
      </c>
      <c r="D30" s="21" t="n">
        <v>0.03574226695658529</v>
      </c>
      <c r="E30" s="21" t="n">
        <v>0.03574226695658529</v>
      </c>
      <c r="F30" s="21" t="n">
        <v>0.03574226695658529</v>
      </c>
    </row>
    <row r="31">
      <c r="A31" s="6" t="inlineStr">
        <is>
          <t>Depreciation and amortisation / revenue</t>
        </is>
      </c>
      <c r="C31" s="21" t="n">
        <v>0.0107</v>
      </c>
    </row>
    <row r="33">
      <c r="A33" s="10" t="inlineStr">
        <is>
          <t>Cost of capital</t>
        </is>
      </c>
      <c r="B33" s="13" t="n"/>
      <c r="C33" s="13" t="n"/>
      <c r="D33" s="13" t="n"/>
      <c r="E33" s="13" t="n"/>
      <c r="F33" s="13" t="n"/>
      <c r="G33" s="13" t="n"/>
      <c r="H33" s="13" t="n"/>
    </row>
    <row r="34">
      <c r="A34" s="6" t="inlineStr">
        <is>
          <t>Risk-free rate (10-year local currency)</t>
        </is>
      </c>
      <c r="C34" s="21" t="n">
        <v>0.2231</v>
      </c>
    </row>
    <row r="35">
      <c r="A35" s="6" t="inlineStr">
        <is>
          <t>Sovereign default spread (netted out)</t>
        </is>
      </c>
      <c r="C35" s="21" t="n">
        <v>0.034</v>
      </c>
    </row>
    <row r="36">
      <c r="A36" s="6" t="inlineStr">
        <is>
          <t>Equity risk premium, TOTAL (split into the two legs below)</t>
        </is>
      </c>
      <c r="C36" s="21" t="n">
        <v>0.0941</v>
      </c>
    </row>
    <row r="37">
      <c r="A37" s="6" t="inlineStr">
        <is>
          <t>Beta</t>
        </is>
      </c>
      <c r="C37" s="26" t="n">
        <v>1.224906574047969</v>
      </c>
    </row>
    <row r="38">
      <c r="A38" s="6" t="inlineStr">
        <is>
          <t>Cost of debt, blended</t>
        </is>
      </c>
      <c r="C38" s="21" t="n">
        <v>0.095</v>
      </c>
    </row>
    <row r="39">
      <c r="A39" s="6" t="inlineStr">
        <is>
          <t>Cost of debt path</t>
        </is>
      </c>
      <c r="B39" s="21" t="n">
        <v>0.095</v>
      </c>
      <c r="C39" s="21" t="n">
        <v>0.089</v>
      </c>
      <c r="D39" s="21" t="n">
        <v>0.08400000000000001</v>
      </c>
      <c r="E39" s="21" t="n">
        <v>0.08</v>
      </c>
      <c r="F39" s="21" t="n">
        <v>0.077</v>
      </c>
    </row>
    <row r="40">
      <c r="A40" s="6" t="inlineStr">
        <is>
          <t>Terminal risk-free rate</t>
        </is>
      </c>
      <c r="C40" s="21" t="n">
        <v>0.105</v>
      </c>
    </row>
    <row r="41">
      <c r="A41" s="6" t="inlineStr">
        <is>
          <t>Terminal equity risk premium, TOTAL</t>
        </is>
      </c>
      <c r="C41" s="21" t="n">
        <v>0.07000000000000001</v>
      </c>
    </row>
    <row r="42">
      <c r="A42" s="6" t="inlineStr">
        <is>
          <t>Terminal cost of debt</t>
        </is>
      </c>
      <c r="C42" s="21" t="n">
        <v>0.0888</v>
      </c>
    </row>
    <row r="43">
      <c r="A43" s="6" t="inlineStr">
        <is>
          <t>Terminal debt weight</t>
        </is>
      </c>
      <c r="C43" s="21" t="n">
        <v>0.15</v>
      </c>
    </row>
    <row r="44">
      <c r="A44" s="6" t="inlineStr">
        <is>
          <t>Terminal growth</t>
        </is>
      </c>
      <c r="C44" s="21" t="n">
        <v>0.09140000000000015</v>
      </c>
    </row>
    <row r="46">
      <c r="A46" s="10" t="inlineStr">
        <is>
          <t>The country premium, split — [R-COC-03]</t>
        </is>
      </c>
      <c r="B46" s="13" t="n"/>
      <c r="C46" s="13" t="n"/>
      <c r="D46" s="13" t="n"/>
      <c r="E46" s="13" t="n"/>
      <c r="F46" s="13" t="n"/>
      <c r="G46" s="13" t="n"/>
      <c r="H46" s="13" t="n"/>
    </row>
    <row r="47">
      <c r="A47" s="6" t="inlineStr">
        <is>
          <t>Egypt country premium = sovereign default spread x 1.52</t>
        </is>
      </c>
      <c r="C47" s="9">
        <f>Assumptions!$C$35*1.52</f>
        <v/>
      </c>
    </row>
    <row r="48">
      <c r="A48" s="6" t="inlineStr">
        <is>
          <t>of which the MATURE equity premium — beta applies to this leg only</t>
        </is>
      </c>
      <c r="C48" s="9">
        <f>Assumptions!$C$36-Assumptions!$C$47</f>
        <v/>
      </c>
    </row>
    <row r="49">
      <c r="A49" s="6" t="inlineStr">
        <is>
          <t>Share of operations in Egypt (lambda)</t>
        </is>
      </c>
      <c r="C49" s="21" t="n">
        <v>0.5928</v>
      </c>
    </row>
    <row r="50">
      <c r="A50" s="6" t="inlineStr">
        <is>
          <t>Country premium on the operations outside Egypt</t>
        </is>
      </c>
      <c r="C50" s="21" t="n">
        <v>0.0226</v>
      </c>
    </row>
    <row r="51">
      <c r="A51" s="6" t="inlineStr">
        <is>
          <t>Country premium CHARGED — flat, once, never multiplied by beta</t>
        </is>
      </c>
      <c r="C51" s="9">
        <f>Assumptions!$C$49*Assumptions!$C$47+(1-Assumptions!$C$49)*Assumptions!$C$50</f>
        <v/>
      </c>
    </row>
    <row r="52">
      <c r="A52" s="6" t="inlineStr">
        <is>
          <t>Terminal Egypt country premium</t>
        </is>
      </c>
      <c r="C52" s="9">
        <f>Assumptions!$C$41-Assumptions!$C$48</f>
        <v/>
      </c>
    </row>
    <row r="53">
      <c r="A53" s="6" t="inlineStr">
        <is>
          <t>Terminal mature equity premium</t>
        </is>
      </c>
      <c r="C53" s="9">
        <f>Assumptions!$C$41-Assumptions!$C$52</f>
        <v/>
      </c>
    </row>
    <row r="54">
      <c r="A54" s="6" t="inlineStr">
        <is>
          <t>Terminal country premium CHARGED — flat and once</t>
        </is>
      </c>
      <c r="C54" s="9">
        <f>(Assumptions!$C$49+(1-Assumptions!$C$49)*Assumptions!$C$50/Assumptions!$C$47)*Assumptions!$C$52</f>
        <v/>
      </c>
    </row>
    <row r="55">
      <c r="A55" s="6" t="inlineStr">
        <is>
          <t>Terminal beta — reverts to the market, not the measured beta</t>
        </is>
      </c>
      <c r="C55" s="27" t="n">
        <v>1</v>
      </c>
    </row>
    <row r="57">
      <c r="A57" s="10" t="inlineStr">
        <is>
          <t>Balance-sheet and bridge anchors</t>
        </is>
      </c>
      <c r="B57" s="13" t="n"/>
      <c r="C57" s="13" t="n"/>
      <c r="D57" s="13" t="n"/>
      <c r="E57" s="13" t="n"/>
      <c r="F57" s="13" t="n"/>
      <c r="G57" s="13" t="n"/>
      <c r="H57" s="13" t="n"/>
    </row>
    <row r="58">
      <c r="A58" s="6" t="inlineStr">
        <is>
          <t>Net bank debt at FY2025 (EGP mn, disclosed)</t>
        </is>
      </c>
      <c r="C58" s="24" t="n">
        <v>20560.003173</v>
      </c>
    </row>
    <row r="59">
      <c r="A59" s="6" t="inlineStr">
        <is>
          <t>Equity-accounted investees at carrying value (EGP mn)</t>
        </is>
      </c>
      <c r="C59" s="24" t="n">
        <v>6757.650507</v>
      </c>
    </row>
    <row r="60">
      <c r="A60" s="6" t="inlineStr">
        <is>
          <t>Intangible assets and goodwill (EGP mn)</t>
        </is>
      </c>
      <c r="C60" s="24" t="n">
        <v>1748.816945</v>
      </c>
    </row>
    <row r="61">
      <c r="A61" s="6" t="inlineStr">
        <is>
          <t>FY2025 profit after tax (EGP mn, disclosed)</t>
        </is>
      </c>
      <c r="C61" s="24" t="n">
        <v>19186.550057</v>
      </c>
    </row>
    <row r="62">
      <c r="A62" s="6" t="inlineStr">
        <is>
          <t>FY2025 profit after minority interests (EGP mn, disclosed)</t>
        </is>
      </c>
      <c r="C62" s="24" t="n">
        <v>17330.24499</v>
      </c>
    </row>
    <row r="63">
      <c r="A63" s="6" t="inlineStr">
        <is>
          <t>FY2024 dividend per share (EGP) — disclosed reference, not used in the forecast</t>
        </is>
      </c>
      <c r="C63" s="7" t="n">
        <v>1</v>
      </c>
    </row>
    <row r="64">
      <c r="A64" s="6" t="inlineStr">
        <is>
          <t>FY2025 dividend per share (EGP, ratified 6 May 2026, paid 4 June 2026)</t>
        </is>
      </c>
      <c r="C64" s="7" t="n">
        <v>1.85</v>
      </c>
    </row>
    <row r="65">
      <c r="A65" s="6" t="inlineStr">
        <is>
          <t>Days the dividend compounds — 4-Jun-2026 ex-date to the 3-Sep-2026 anchor</t>
        </is>
      </c>
      <c r="C65" s="24" t="n">
        <v>91</v>
      </c>
    </row>
    <row r="66">
      <c r="A66" s="6" t="inlineStr">
        <is>
          <t>Forecast dividend payout ratio (struck at the actual FY2025 rate)</t>
        </is>
      </c>
      <c r="C66" s="21" t="n">
        <v>0.25</v>
      </c>
    </row>
    <row r="67">
      <c r="A67" s="6" t="inlineStr">
        <is>
          <t>Growth in the share of equity-accounted investees</t>
        </is>
      </c>
      <c r="C67" s="21" t="n">
        <v>0.08</v>
      </c>
    </row>
    <row r="68">
      <c r="A68" s="6" t="inlineStr">
        <is>
          <t>Yield assumed on surplus cash (blend of EGP deposit and hard-currency rates)</t>
        </is>
      </c>
      <c r="C68" s="21" t="n">
        <v>0.1</v>
      </c>
    </row>
    <row r="69">
      <c r="A69" s="6" t="inlineStr">
        <is>
          <t>Days from the 31-Dec-2025 valuation date to the 3-Sep-2026 anchor</t>
        </is>
      </c>
      <c r="C69" s="24" t="n">
        <v>246</v>
      </c>
    </row>
    <row r="71">
      <c r="A71" s="10" t="inlineStr">
        <is>
          <t>Terminal construction — the sanctioned one, never g x IC</t>
        </is>
      </c>
      <c r="B71" s="13" t="n"/>
      <c r="C71" s="13" t="n"/>
      <c r="D71" s="13" t="n"/>
      <c r="E71" s="13" t="n"/>
      <c r="F71" s="13" t="n"/>
      <c r="G71" s="13" t="n"/>
      <c r="H71" s="13" t="n"/>
    </row>
    <row r="72">
      <c r="A72" s="6" t="inlineStr">
        <is>
          <t>Terminal inflation (house Egyptian macro path)</t>
        </is>
      </c>
      <c r="C72" s="21" t="n">
        <v>0.07000000000000001</v>
      </c>
    </row>
    <row r="73">
      <c r="A73" s="6" t="inlineStr">
        <is>
          <t>DISCLOSED useful life, derived by identity from note 17 (years)</t>
        </is>
      </c>
      <c r="C73" s="28" t="n">
        <v>17.2627</v>
      </c>
    </row>
    <row r="74">
      <c r="A74" s="6" t="inlineStr">
        <is>
          <t>Terminal REAL growth — the stated one; nominal is derived, never supplied</t>
        </is>
      </c>
      <c r="C74" s="21" t="n">
        <v>0.02</v>
      </c>
    </row>
    <row r="75">
      <c r="A75" s="6" t="inlineStr">
        <is>
          <t>Terminal working-capital base (EGP mn, last explicit year)</t>
        </is>
      </c>
      <c r="C75" s="24" t="n">
        <v>126887.8267183633</v>
      </c>
    </row>
    <row r="76">
      <c r="A76" s="6" t="inlineStr">
        <is>
          <t>Employees' statutory share of profit (mean of FY2024, FY2025, H1-2026)</t>
        </is>
      </c>
      <c r="C76" s="21" t="n">
        <v>0.1219271916645494</v>
      </c>
    </row>
    <row r="78">
      <c r="A78" s="10" t="inlineStr">
        <is>
          <t>Currency-of-discounting alternative</t>
        </is>
      </c>
      <c r="B78" s="13" t="n"/>
      <c r="C78" s="13" t="n"/>
      <c r="D78" s="13" t="n"/>
      <c r="E78" s="13" t="n"/>
      <c r="F78" s="13" t="n"/>
      <c r="G78" s="13" t="n"/>
      <c r="H78" s="13" t="n"/>
    </row>
    <row r="79">
      <c r="A79" s="6" t="inlineStr">
        <is>
          <t>US dollar risk-free rate</t>
        </is>
      </c>
      <c r="C79" s="21" t="n">
        <v>0.043</v>
      </c>
    </row>
    <row r="80">
      <c r="A80" s="6" t="inlineStr">
        <is>
          <t>Hard-currency-leg equity risk premium</t>
        </is>
      </c>
      <c r="C80" s="21" t="n">
        <v>0.075</v>
      </c>
    </row>
    <row r="81">
      <c r="A81" s="6" t="inlineStr">
        <is>
          <t>US dollar cost of debt</t>
        </is>
      </c>
      <c r="C81" s="21" t="n">
        <v>0.065</v>
      </c>
    </row>
    <row r="82">
      <c r="A82" s="6" t="inlineStr">
        <is>
          <t>Debt weight, USD leg</t>
        </is>
      </c>
      <c r="C82" s="21" t="n">
        <v>0.25</v>
      </c>
    </row>
    <row r="83">
      <c r="A83" s="6" t="inlineStr">
        <is>
          <t>Terminal growth of the USD leg — alternative currency of discounting, not used in the adopted read</t>
        </is>
      </c>
      <c r="C83" s="21" t="n">
        <v>0.035</v>
      </c>
    </row>
    <row r="85">
      <c r="A85" s="10" t="inlineStr">
        <is>
          <t>Lens inputs</t>
        </is>
      </c>
      <c r="B85" s="13" t="n"/>
      <c r="C85" s="13" t="n"/>
      <c r="D85" s="13" t="n"/>
      <c r="E85" s="13" t="n"/>
      <c r="F85" s="13" t="n"/>
      <c r="G85" s="13" t="n"/>
      <c r="H85" s="13" t="n"/>
    </row>
    <row r="86">
      <c r="A86" s="6" t="inlineStr">
        <is>
          <t>Justified EV/EBITDA</t>
        </is>
      </c>
      <c r="C86" s="29" t="n">
        <v>6.5</v>
      </c>
    </row>
    <row r="87">
      <c r="A87" s="6" t="inlineStr">
        <is>
          <t>Justified price/earnings</t>
        </is>
      </c>
      <c r="C87" s="29" t="n">
        <v>9</v>
      </c>
    </row>
    <row r="88">
      <c r="A88" s="6" t="inlineStr">
        <is>
          <t>Sustainable return on equity</t>
        </is>
      </c>
      <c r="C88" s="21" t="n">
        <v>0.235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9">
        <f>DCF!C26</f>
        <v/>
      </c>
      <c r="D5" s="16">
        <f>C5/Assumptions!$C$6</f>
        <v/>
      </c>
    </row>
    <row r="6">
      <c r="A6" s="6" t="inlineStr">
        <is>
          <t>Present value of the terminal value</t>
        </is>
      </c>
      <c r="C6" s="19">
        <f>DCF!C27</f>
        <v/>
      </c>
      <c r="D6" s="16">
        <f>C6/Assumptions!$C$6</f>
        <v/>
      </c>
    </row>
    <row r="7">
      <c r="A7" s="6" t="inlineStr">
        <is>
          <t>Enterprise value</t>
        </is>
      </c>
      <c r="C7" s="30">
        <f>C5+C6</f>
        <v/>
      </c>
      <c r="D7" s="31">
        <f>C7/Assumptions!$C$6</f>
        <v/>
      </c>
    </row>
    <row r="8">
      <c r="A8" s="6" t="inlineStr">
        <is>
          <t>Less net bank debt</t>
        </is>
      </c>
      <c r="C8" s="19">
        <f>-Assumptions!$C$58</f>
        <v/>
      </c>
      <c r="D8" s="16">
        <f>C8/Assumptions!$C$6</f>
        <v/>
      </c>
    </row>
    <row r="9">
      <c r="A9" s="6" t="inlineStr">
        <is>
          <t>Plus equity-accounted investees at carrying value</t>
        </is>
      </c>
      <c r="C9" s="19">
        <f>Assumptions!$C$59</f>
        <v/>
      </c>
      <c r="D9" s="16">
        <f>C9/Assumptions!$C$6</f>
        <v/>
      </c>
    </row>
    <row r="10">
      <c r="A10" s="6" t="inlineStr">
        <is>
          <t>Equity before minority interests</t>
        </is>
      </c>
      <c r="C10" s="32">
        <f>C7+C8+C9</f>
        <v/>
      </c>
      <c r="D10" s="16">
        <f>C10/Assumptions!$C$6</f>
        <v/>
      </c>
    </row>
    <row r="11">
      <c r="A11" s="6" t="inlineStr">
        <is>
          <t>Less minority interests at their share of group profit</t>
        </is>
      </c>
      <c r="C11" s="32">
        <f>-C10*$C$17</f>
        <v/>
      </c>
      <c r="D11" s="16">
        <f>C11/Assumptions!$C$6</f>
        <v/>
      </c>
    </row>
    <row r="12">
      <c r="A12" s="6" t="inlineStr">
        <is>
          <t>Less the employees' statutory share of profit</t>
        </is>
      </c>
      <c r="C12" s="30">
        <f>-(C10+C11)*$C$18</f>
        <v/>
      </c>
      <c r="D12" s="31">
        <f>C12/Assumptions!$C$6</f>
        <v/>
      </c>
    </row>
    <row r="13">
      <c r="A13" s="13" t="inlineStr">
        <is>
          <t>Equity attributable to ordinary shareholders</t>
        </is>
      </c>
      <c r="B13" s="13" t="n"/>
      <c r="C13" s="33">
        <f>C10+C11+C12</f>
        <v/>
      </c>
      <c r="D13" s="34">
        <f>C13/Assumptions!$C$6</f>
        <v/>
      </c>
    </row>
    <row r="15">
      <c r="A15" s="6" t="inlineStr">
        <is>
          <t>Terminal value as a share of enterprise value</t>
        </is>
      </c>
      <c r="C15" s="17">
        <f>DCF!C28</f>
        <v/>
      </c>
    </row>
    <row r="17">
      <c r="A17" s="6" t="inlineStr">
        <is>
          <t>Minority share of group profit</t>
        </is>
      </c>
      <c r="C17" s="9">
        <f>(Assumptions!$C$61-Assumptions!$C$62)/Assumptions!$C$61</f>
        <v/>
      </c>
    </row>
    <row r="18">
      <c r="A18" s="6" t="inlineStr">
        <is>
          <t>Employees' statutory share of profit — an appropriation disclosed only in the earnings-per-share note, below profit attributable to owners</t>
        </is>
      </c>
      <c r="C18" s="17">
        <f>Assumptions!$C$76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Segment margin</t>
        </is>
      </c>
      <c r="E4" s="5" t="inlineStr">
        <is>
          <t>FY26E</t>
        </is>
      </c>
      <c r="F4" s="5" t="inlineStr">
        <is>
          <t>FY27E</t>
        </is>
      </c>
      <c r="G4" s="5" t="inlineStr">
        <is>
          <t>FY28E</t>
        </is>
      </c>
      <c r="H4" s="5" t="inlineStr">
        <is>
          <t>FY29E</t>
        </is>
      </c>
      <c r="I4" s="5" t="inlineStr">
        <is>
          <t>FY30E</t>
        </is>
      </c>
    </row>
    <row r="5">
      <c r="A5" s="6" t="inlineStr">
        <is>
          <t>Cables and its accessories</t>
        </is>
      </c>
      <c r="B5" s="24" t="n">
        <v>155792.929738</v>
      </c>
      <c r="C5" s="9">
        <f>B5/$B$8</f>
        <v/>
      </c>
      <c r="D5" s="21" t="n">
        <v>0.134899552356732</v>
      </c>
      <c r="E5" s="32">
        <f>B5*(1+Assumptions!$C$16)</f>
        <v/>
      </c>
      <c r="F5" s="32">
        <f>E5*(Assumptions!$C$12*Assumptions!$C$13)/(Assumptions!$B$12*Assumptions!$B$13)*(1+Assumptions!$C$14)*(1+Assumptions!$C$15)</f>
        <v/>
      </c>
      <c r="G5" s="32">
        <f>F5*(Assumptions!$D$12*Assumptions!$D$13)/(Assumptions!$C$12*Assumptions!$C$13)*(1+Assumptions!$D$14)*(1+Assumptions!$D$15)</f>
        <v/>
      </c>
      <c r="H5" s="32">
        <f>G5*(Assumptions!$E$12*Assumptions!$E$13)/(Assumptions!$D$12*Assumptions!$D$13)*(1+Assumptions!$E$14)*(1+Assumptions!$E$15)</f>
        <v/>
      </c>
      <c r="I5" s="32">
        <f>H5*(Assumptions!$F$12*Assumptions!$F$13)/(Assumptions!$E$12*Assumptions!$E$13)*(1+Assumptions!$F$14)*(1+Assumptions!$F$15)</f>
        <v/>
      </c>
    </row>
    <row r="6">
      <c r="A6" s="6" t="inlineStr">
        <is>
          <t>Constructions and infrastructure</t>
        </is>
      </c>
      <c r="B6" s="24" t="n">
        <v>90958.55022799999</v>
      </c>
      <c r="C6" s="9">
        <f>B6/$B$8</f>
        <v/>
      </c>
      <c r="D6" s="21" t="n">
        <v>0.06452269254829619</v>
      </c>
      <c r="E6" s="32">
        <f>B6*(1+Assumptions!$C$17)</f>
        <v/>
      </c>
      <c r="F6" s="32">
        <f>E6*(1+Assumptions!$C$19)</f>
        <v/>
      </c>
      <c r="G6" s="32">
        <f>F6*(1+Assumptions!$D$19)</f>
        <v/>
      </c>
      <c r="H6" s="32">
        <f>G6*(1+Assumptions!$E$19)</f>
        <v/>
      </c>
      <c r="I6" s="32">
        <f>H6*(1+Assumptions!$F$19)</f>
        <v/>
      </c>
    </row>
    <row r="7">
      <c r="A7" s="6" t="inlineStr">
        <is>
          <t>Electrical products and digital solutions</t>
        </is>
      </c>
      <c r="B7" s="24" t="n">
        <v>34297.601753</v>
      </c>
      <c r="C7" s="9">
        <f>B7/$B$8</f>
        <v/>
      </c>
      <c r="D7" s="21" t="n">
        <v>0.2217300370961013</v>
      </c>
      <c r="E7" s="32">
        <f>B7*(1+Assumptions!$C$18)</f>
        <v/>
      </c>
      <c r="F7" s="32">
        <f>E7*(1+Assumptions!$C$20)</f>
        <v/>
      </c>
      <c r="G7" s="32">
        <f>F7*(1+Assumptions!$D$20)</f>
        <v/>
      </c>
      <c r="H7" s="32">
        <f>G7*(1+Assumptions!$E$20)</f>
        <v/>
      </c>
      <c r="I7" s="32">
        <f>H7*(1+Assumptions!$F$20)</f>
        <v/>
      </c>
    </row>
    <row r="8">
      <c r="A8" s="10" t="inlineStr">
        <is>
          <t>Total revenue</t>
        </is>
      </c>
      <c r="B8" s="35">
        <f>SUM(B5:B7)</f>
        <v/>
      </c>
      <c r="C8" s="14">
        <f>SUM(C5:C7)</f>
        <v/>
      </c>
      <c r="D8" s="13" t="n"/>
      <c r="E8" s="35">
        <f>SUM(E5:E7)</f>
        <v/>
      </c>
      <c r="F8" s="35">
        <f>SUM(F5:F7)</f>
        <v/>
      </c>
      <c r="G8" s="35">
        <f>SUM(G5:G7)</f>
        <v/>
      </c>
      <c r="H8" s="35">
        <f>SUM(H5:H7)</f>
        <v/>
      </c>
      <c r="I8" s="35">
        <f>SUM(I5:I7)</f>
        <v/>
      </c>
    </row>
    <row r="10">
      <c r="A10" s="5" t="inlineStr">
        <is>
          <t>Segment profit by segment (Note 16 basis)</t>
        </is>
      </c>
      <c r="B10" s="5" t="inlineStr">
        <is>
          <t>FY26E</t>
        </is>
      </c>
      <c r="C10" s="5" t="inlineStr">
        <is>
          <t>FY27E</t>
        </is>
      </c>
      <c r="D10" s="5" t="inlineStr">
        <is>
          <t>FY28E</t>
        </is>
      </c>
      <c r="E10" s="5" t="inlineStr">
        <is>
          <t>FY29E</t>
        </is>
      </c>
      <c r="F10" s="5" t="inlineStr">
        <is>
          <t>FY30E</t>
        </is>
      </c>
    </row>
    <row r="11">
      <c r="A11" s="6" t="inlineStr">
        <is>
          <t>Cables and its accessories</t>
        </is>
      </c>
      <c r="B11" s="32">
        <f>E5*Assumptions!$B$23</f>
        <v/>
      </c>
      <c r="C11" s="32">
        <f>F5*Assumptions!$C$23</f>
        <v/>
      </c>
      <c r="D11" s="32">
        <f>G5*Assumptions!$D$23</f>
        <v/>
      </c>
      <c r="E11" s="32">
        <f>H5*Assumptions!$E$23</f>
        <v/>
      </c>
      <c r="F11" s="32">
        <f>I5*Assumptions!$F$23</f>
        <v/>
      </c>
    </row>
    <row r="12">
      <c r="A12" s="6" t="inlineStr">
        <is>
          <t>Constructions and infrastructure</t>
        </is>
      </c>
      <c r="B12" s="32">
        <f>E6*Assumptions!$B$24</f>
        <v/>
      </c>
      <c r="C12" s="32">
        <f>F6*Assumptions!$C$24</f>
        <v/>
      </c>
      <c r="D12" s="32">
        <f>G6*Assumptions!$D$24</f>
        <v/>
      </c>
      <c r="E12" s="32">
        <f>H6*Assumptions!$E$24</f>
        <v/>
      </c>
      <c r="F12" s="32">
        <f>I6*Assumptions!$F$24</f>
        <v/>
      </c>
    </row>
    <row r="13">
      <c r="A13" s="6" t="inlineStr">
        <is>
          <t>Electrical products and digital solutions</t>
        </is>
      </c>
      <c r="B13" s="32">
        <f>E7*Assumptions!$B$25</f>
        <v/>
      </c>
      <c r="C13" s="32">
        <f>F7*Assumptions!$C$25</f>
        <v/>
      </c>
      <c r="D13" s="32">
        <f>G7*Assumptions!$D$25</f>
        <v/>
      </c>
      <c r="E13" s="32">
        <f>H7*Assumptions!$E$25</f>
        <v/>
      </c>
      <c r="F13" s="32">
        <f>I7*Assumptions!$F$25</f>
        <v/>
      </c>
    </row>
    <row r="14">
      <c r="A14" s="10" t="inlineStr">
        <is>
          <t>Group segment profit</t>
        </is>
      </c>
      <c r="B14" s="35">
        <f>SUM(B11:B13)</f>
        <v/>
      </c>
      <c r="C14" s="35">
        <f>SUM(C11:C13)</f>
        <v/>
      </c>
      <c r="D14" s="35">
        <f>SUM(D11:D13)</f>
        <v/>
      </c>
      <c r="E14" s="35">
        <f>SUM(E11:E13)</f>
        <v/>
      </c>
      <c r="F14" s="35">
        <f>SUM(F11:F13)</f>
        <v/>
      </c>
    </row>
    <row r="15">
      <c r="A15" s="6" t="inlineStr">
        <is>
          <t>Group segment-profit margin</t>
        </is>
      </c>
      <c r="B15" s="9">
        <f>B14/E$8</f>
        <v/>
      </c>
      <c r="C15" s="9">
        <f>C14/F$8</f>
        <v/>
      </c>
      <c r="D15" s="9">
        <f>D14/G$8</f>
        <v/>
      </c>
      <c r="E15" s="9">
        <f>E14/H$8</f>
        <v/>
      </c>
      <c r="F15" s="9">
        <f>F14/I$8</f>
        <v/>
      </c>
    </row>
    <row r="17">
      <c r="A17" s="5" t="inlineStr">
        <is>
          <t>Segment EBIT contribution — segment profit less the pro-rata corporate load</t>
        </is>
      </c>
      <c r="B17" s="5" t="inlineStr">
        <is>
          <t>FY26E</t>
        </is>
      </c>
      <c r="C17" s="5" t="inlineStr">
        <is>
          <t>FY27E</t>
        </is>
      </c>
      <c r="D17" s="5" t="inlineStr">
        <is>
          <t>FY28E</t>
        </is>
      </c>
      <c r="E17" s="5" t="inlineStr">
        <is>
          <t>FY29E</t>
        </is>
      </c>
      <c r="F17" s="5" t="inlineStr">
        <is>
          <t>FY30E</t>
        </is>
      </c>
    </row>
    <row r="18">
      <c r="A18" s="6" t="inlineStr">
        <is>
          <t>Cables and its accessories</t>
        </is>
      </c>
      <c r="B18" s="32">
        <f>B11-Assumptions!$B$26*E5</f>
        <v/>
      </c>
      <c r="C18" s="32">
        <f>C11-Assumptions!$C$26*F5</f>
        <v/>
      </c>
      <c r="D18" s="32">
        <f>D11-Assumptions!$D$26*G5</f>
        <v/>
      </c>
      <c r="E18" s="32">
        <f>E11-Assumptions!$E$26*H5</f>
        <v/>
      </c>
      <c r="F18" s="32">
        <f>F11-Assumptions!$F$26*I5</f>
        <v/>
      </c>
    </row>
    <row r="19">
      <c r="A19" s="6" t="inlineStr">
        <is>
          <t>Constructions and infrastructure</t>
        </is>
      </c>
      <c r="B19" s="32">
        <f>B12-Assumptions!$B$26*E6</f>
        <v/>
      </c>
      <c r="C19" s="32">
        <f>C12-Assumptions!$C$26*F6</f>
        <v/>
      </c>
      <c r="D19" s="32">
        <f>D12-Assumptions!$D$26*G6</f>
        <v/>
      </c>
      <c r="E19" s="32">
        <f>E12-Assumptions!$E$26*H6</f>
        <v/>
      </c>
      <c r="F19" s="32">
        <f>F12-Assumptions!$F$26*I6</f>
        <v/>
      </c>
    </row>
    <row r="20">
      <c r="A20" s="6" t="inlineStr">
        <is>
          <t>Electrical products and digital solutions</t>
        </is>
      </c>
      <c r="B20" s="32">
        <f>B13-Assumptions!$B$26*E7</f>
        <v/>
      </c>
      <c r="C20" s="32">
        <f>C13-Assumptions!$C$26*F7</f>
        <v/>
      </c>
      <c r="D20" s="32">
        <f>D13-Assumptions!$D$26*G7</f>
        <v/>
      </c>
      <c r="E20" s="32">
        <f>E13-Assumptions!$E$26*H7</f>
        <v/>
      </c>
      <c r="F20" s="32">
        <f>F13-Assumptions!$F$26*I7</f>
        <v/>
      </c>
    </row>
    <row r="21">
      <c r="A21" s="10" t="inlineStr">
        <is>
          <t>Group EBIT</t>
        </is>
      </c>
      <c r="B21" s="35">
        <f>SUM(B18:B20)</f>
        <v/>
      </c>
      <c r="C21" s="35">
        <f>SUM(C18:C20)</f>
        <v/>
      </c>
      <c r="D21" s="35">
        <f>SUM(D18:D20)</f>
        <v/>
      </c>
      <c r="E21" s="35">
        <f>SUM(E18:E20)</f>
        <v/>
      </c>
      <c r="F21" s="35">
        <f>SUM(F18:F20)</f>
        <v/>
      </c>
    </row>
    <row r="22">
      <c r="A22" s="6" t="inlineStr">
        <is>
          <t>Add back depreciation and amortisation</t>
        </is>
      </c>
      <c r="B22" s="32">
        <f>Assumptions!$C$31*E8</f>
        <v/>
      </c>
      <c r="C22" s="32">
        <f>Assumptions!$C$31*F8</f>
        <v/>
      </c>
      <c r="D22" s="32">
        <f>Assumptions!$C$31*G8</f>
        <v/>
      </c>
      <c r="E22" s="32">
        <f>Assumptions!$C$31*H8</f>
        <v/>
      </c>
      <c r="F22" s="32">
        <f>Assumptions!$C$31*I8</f>
        <v/>
      </c>
    </row>
    <row r="23">
      <c r="A23" s="10" t="inlineStr">
        <is>
          <t>Group EBITDA</t>
        </is>
      </c>
      <c r="B23" s="35">
        <f>B21+B22</f>
        <v/>
      </c>
      <c r="C23" s="35">
        <f>C21+C22</f>
        <v/>
      </c>
      <c r="D23" s="35">
        <f>D21+D22</f>
        <v/>
      </c>
      <c r="E23" s="35">
        <f>E21+E22</f>
        <v/>
      </c>
      <c r="F23" s="35">
        <f>F21+F22</f>
        <v/>
      </c>
    </row>
    <row r="24">
      <c r="A24" s="6" t="inlineStr">
        <is>
          <t>Group EBITDA margin</t>
        </is>
      </c>
      <c r="B24" s="9">
        <f>B23/E$8</f>
        <v/>
      </c>
      <c r="C24" s="9">
        <f>C23/F$8</f>
        <v/>
      </c>
      <c r="D24" s="9">
        <f>D23/G$8</f>
        <v/>
      </c>
      <c r="E24" s="9">
        <f>E23/H$8</f>
        <v/>
      </c>
      <c r="F24" s="9">
        <f>F23/I$8</f>
        <v/>
      </c>
    </row>
    <row r="25">
      <c r="A25" s="4" t="inlineStr">
        <is>
          <t>The corporate load is stated on the segment-profit-to-EBIT basis — the same basis as the audited historical bridge — so EBIT falls out first and EBITDA is EBIT plus D&amp;A, not the other way round.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9">
        <f>DCF!C6</f>
        <v/>
      </c>
    </row>
    <row r="6">
      <c r="A6" s="6" t="inlineStr">
        <is>
          <t>Justified enterprise value / EBITDA</t>
        </is>
      </c>
      <c r="C6" s="36">
        <f>Assumptions!$C$86</f>
        <v/>
      </c>
    </row>
    <row r="7">
      <c r="A7" s="6" t="inlineStr">
        <is>
          <t>Implied enterprise value AS AT end-FY2027 (EGP mn)</t>
        </is>
      </c>
      <c r="C7" s="32">
        <f>C5*C6</f>
        <v/>
      </c>
    </row>
    <row r="8">
      <c r="A8" s="6" t="inlineStr">
        <is>
          <t>Discount factor back to the valuation date (year-2)</t>
        </is>
      </c>
      <c r="C8" s="37">
        <f>DCF!C16</f>
        <v/>
      </c>
    </row>
    <row r="9">
      <c r="A9" s="6" t="inlineStr">
        <is>
          <t>Plus present value of the interim FY26-27 free cash flows (EGP mn)</t>
        </is>
      </c>
      <c r="C9" s="19">
        <f>DCF!B17+DCF!C17</f>
        <v/>
      </c>
    </row>
    <row r="10">
      <c r="A10" s="6" t="inlineStr">
        <is>
          <t>Implied enterprise value at 31-Dec-2025 (EGP mn)</t>
        </is>
      </c>
      <c r="C10" s="32">
        <f>C7*C8+C9</f>
        <v/>
      </c>
    </row>
    <row r="11">
      <c r="A11" s="13" t="inlineStr">
        <is>
          <t>Implied value per share, rolled to the anchor (EGP)</t>
        </is>
      </c>
      <c r="B11" s="13" t="n"/>
      <c r="C11" s="34">
        <f>((C10-Assumptions!$C$58+Assumptions!$C$59)*(1-'SOTP Bridge'!$C$17)*(1-'SOTP Bridge'!$C$18)/Assumptions!$C$6)*DCF!$C$61-Assumptions!$C$64*(1+DCF!$C$39)^(Assumptions!$C$65/365)</f>
        <v/>
      </c>
    </row>
    <row r="12">
      <c r="A12" s="6" t="inlineStr">
        <is>
          <t>Bear at 5.5× (C) / bull at 8.0× (D), same construction</t>
        </is>
      </c>
      <c r="C12" s="16">
        <f>((5.5*C5*C8+C9-Assumptions!$C$58+Assumptions!$C$59)*(1-'SOTP Bridge'!$C$17)*(1-'SOTP Bridge'!$C$18)/Assumptions!$C$6)*DCF!$C$61-Assumptions!$C$64*(1+DCF!$C$39)^(Assumptions!$C$65/365)</f>
        <v/>
      </c>
      <c r="D12" s="16">
        <f>((8.0*C5*C8+C9-Assumptions!$C$58+Assumptions!$C$59)*(1-'SOTP Bridge'!$C$17)*(1-'SOTP Bridge'!$C$18)/Assumptions!$C$6)*DCF!$C$61-Assumptions!$C$64*(1+DCF!$C$39)^(Assumptions!$C$65/365)</f>
        <v/>
      </c>
    </row>
    <row r="13">
      <c r="A13" s="6" t="inlineStr">
        <is>
          <t>Trailing enterprise value / EBITDA</t>
        </is>
      </c>
      <c r="C13" s="38">
        <f>((Assumptions!$C$5*Assumptions!$C$6)+Assumptions!$C$58)/'Income Statement'!D7</f>
        <v/>
      </c>
    </row>
    <row r="14">
      <c r="A14" s="6" t="inlineStr">
        <is>
          <t>Trailing price / earnings</t>
        </is>
      </c>
      <c r="C14" s="38">
        <f>Assumptions!$C$5/'Income Statement'!D18</f>
        <v/>
      </c>
    </row>
    <row r="15">
      <c r="A15" s="6" t="inlineStr">
        <is>
          <t>Trailing price / book</t>
        </is>
      </c>
      <c r="C15" s="38">
        <f>Assumptions!$C$5/C31</f>
        <v/>
      </c>
    </row>
    <row r="16">
      <c r="A16" s="6" t="inlineStr">
        <is>
          <t>Net bank debt / EBITDA</t>
        </is>
      </c>
      <c r="C16" s="38">
        <f>Assumptions!$C$58/'Income Statement'!D7</f>
        <v/>
      </c>
    </row>
    <row r="18">
      <c r="A18" s="5" t="inlineStr">
        <is>
          <t>Normalised earnings lens — mid-cycle margin (FY2028E) at current (FY2026E) scale</t>
        </is>
      </c>
      <c r="B18" s="5" t="inlineStr">
        <is>
          <t>Value</t>
        </is>
      </c>
    </row>
    <row r="19">
      <c r="A19" s="6" t="inlineStr">
        <is>
          <t>Current-scale revenue (FY2026E, EGP mn)</t>
        </is>
      </c>
      <c r="C19" s="19">
        <f>DCF!B5</f>
        <v/>
      </c>
    </row>
    <row r="20">
      <c r="A20" s="6" t="inlineStr">
        <is>
          <t>Mid-cycle EBITDA margin (FY2028E)</t>
        </is>
      </c>
      <c r="C20" s="17">
        <f>DCF!D7</f>
        <v/>
      </c>
    </row>
    <row r="21">
      <c r="A21" s="6" t="inlineStr">
        <is>
          <t>Normalised EBITDA (EGP mn)</t>
        </is>
      </c>
      <c r="C21" s="32">
        <f>C19*C20</f>
        <v/>
      </c>
    </row>
    <row r="22">
      <c r="A22" s="6" t="inlineStr">
        <is>
          <t>Normalised EBIT (EGP mn)</t>
        </is>
      </c>
      <c r="C22" s="32">
        <f>C21-C19*Assumptions!$C$31</f>
        <v/>
      </c>
    </row>
    <row r="23">
      <c r="A23" s="6" t="inlineStr">
        <is>
          <t>Net finance cost (FY2026E, EGP mn)</t>
        </is>
      </c>
      <c r="C23" s="19">
        <f>'Income Statement'!E11</f>
        <v/>
      </c>
    </row>
    <row r="24">
      <c r="A24" s="6" t="inlineStr">
        <is>
          <t>Share of equity-accounted investees (FY2026E, EGP mn)</t>
        </is>
      </c>
      <c r="C24" s="19">
        <f>'Income Statement'!E12</f>
        <v/>
      </c>
    </row>
    <row r="25">
      <c r="A25" s="6" t="inlineStr">
        <is>
          <t>Normalised attributable earnings (EGP mn)</t>
        </is>
      </c>
      <c r="C25" s="32">
        <f>(C22+C23+C24)*(1-Assumptions!$C$7)*(1-'SOTP Bridge'!$C$17)*(1-'SOTP Bridge'!$C$18)</f>
        <v/>
      </c>
    </row>
    <row r="26">
      <c r="A26" s="6" t="inlineStr">
        <is>
          <t>Normalised earnings per share (EGP)</t>
        </is>
      </c>
      <c r="C26" s="16">
        <f>C25/Assumptions!$C$6</f>
        <v/>
      </c>
    </row>
    <row r="27">
      <c r="A27" s="6" t="inlineStr">
        <is>
          <t>Justified price / earnings</t>
        </is>
      </c>
      <c r="C27" s="38">
        <f>Assumptions!$C$87</f>
        <v/>
      </c>
    </row>
    <row r="28">
      <c r="A28" s="13" t="inlineStr">
        <is>
          <t>Implied value per share, rolled to the anchor (EGP)</t>
        </is>
      </c>
      <c r="B28" s="13" t="n"/>
      <c r="C28" s="34">
        <f>C26*C27*DCF!$C$61-Assumptions!$C$64*(1+DCF!$C$39)^(Assumptions!$C$65/365)</f>
        <v/>
      </c>
      <c r="D28" s="6" t="inlineStr">
        <is>
          <t>bear 7.0× (E) / bull 11.5× (F):</t>
        </is>
      </c>
      <c r="E28" s="16">
        <f>C26*7*DCF!$C$61-Assumptions!$C$64*(1+DCF!$C$39)^(Assumptions!$C$65/365)</f>
        <v/>
      </c>
      <c r="F28" s="16">
        <f>C26*11.5*DCF!$C$61-Assumptions!$C$64*(1+DCF!$C$39)^(Assumptions!$C$65/365)</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9">
        <f>Assumptions!$C$88</f>
        <v/>
      </c>
    </row>
    <row r="33">
      <c r="A33" s="6" t="inlineStr">
        <is>
          <t>Trailing return on equity</t>
        </is>
      </c>
      <c r="C33" s="17">
        <f>'Income Statement'!D17/(('Balance Sheet'!C14+'Balance Sheet'!D14)/2)</f>
        <v/>
      </c>
    </row>
    <row r="34">
      <c r="A34" s="6" t="inlineStr">
        <is>
          <t>Perpetual (terminal) cost of equity — a steady-state multiple takes a steady-state rate</t>
        </is>
      </c>
      <c r="C34" s="17">
        <f>DCF!C49</f>
        <v/>
      </c>
    </row>
    <row r="35">
      <c r="A35" s="6" t="inlineStr">
        <is>
          <t>Justified price / book</t>
        </is>
      </c>
      <c r="C35" s="38">
        <f>(C32-Assumptions!$C$44)/(C34-Assumptions!$C$44)</f>
        <v/>
      </c>
    </row>
    <row r="36">
      <c r="A36" s="13" t="inlineStr">
        <is>
          <t>Implied value per share, rolled to the anchor (EGP)</t>
        </is>
      </c>
      <c r="B36" s="13" t="n"/>
      <c r="C36" s="34">
        <f>C31*C35*DCF!$C$61-Assumptions!$C$64*(1+DCF!$C$39)^(Assumptions!$C$65/365)</f>
        <v/>
      </c>
      <c r="D36" s="6" t="inlineStr">
        <is>
          <t>bear / bull constructions (E / F):</t>
        </is>
      </c>
      <c r="E36" s="16">
        <f>((Assumptions!$C$88-0.03)/((DCF!C39+DCF!C49)/2-0.03))*C31*DCF!$C$61-Assumptions!$C$64*(1+DCF!$C$39)^(Assumptions!$C$65/365)</f>
        <v/>
      </c>
      <c r="F36" s="16">
        <f>((Assumptions!$C$88+0.02-Assumptions!$C$44)/(DCF!C49-Assumptions!$C$44))*C31*DCF!$C$61-Assumptions!$C$64*(1+DCF!$C$39)^(Assumptions!$C$65/365)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9">
        <f>Segments!E8</f>
        <v/>
      </c>
      <c r="C5" s="19">
        <f>Segments!F8</f>
        <v/>
      </c>
      <c r="D5" s="19">
        <f>Segments!G8</f>
        <v/>
      </c>
      <c r="E5" s="19">
        <f>Segments!H8</f>
        <v/>
      </c>
      <c r="F5" s="19">
        <f>Segments!I8</f>
        <v/>
      </c>
    </row>
    <row r="6">
      <c r="A6" s="6" t="inlineStr">
        <is>
          <t>EBITDA</t>
        </is>
      </c>
      <c r="B6" s="19">
        <f>Segments!B23</f>
        <v/>
      </c>
      <c r="C6" s="19">
        <f>Segments!C23</f>
        <v/>
      </c>
      <c r="D6" s="19">
        <f>Segments!D23</f>
        <v/>
      </c>
      <c r="E6" s="19">
        <f>Segments!E23</f>
        <v/>
      </c>
      <c r="F6" s="19">
        <f>Segments!F23</f>
        <v/>
      </c>
    </row>
    <row r="7">
      <c r="A7" s="6" t="inlineStr">
        <is>
          <t>EBITDA margin</t>
        </is>
      </c>
      <c r="B7" s="9">
        <f>B6/B5</f>
        <v/>
      </c>
      <c r="C7" s="9">
        <f>C6/C5</f>
        <v/>
      </c>
      <c r="D7" s="9">
        <f>D6/D5</f>
        <v/>
      </c>
      <c r="E7" s="9">
        <f>E6/E5</f>
        <v/>
      </c>
      <c r="F7" s="9">
        <f>F6/F5</f>
        <v/>
      </c>
    </row>
    <row r="8">
      <c r="A8" s="6" t="inlineStr">
        <is>
          <t>Less depreciation and amortisation</t>
        </is>
      </c>
      <c r="B8" s="32">
        <f>-B5*Assumptions!$C$31</f>
        <v/>
      </c>
      <c r="C8" s="32">
        <f>-C5*Assumptions!$C$31</f>
        <v/>
      </c>
      <c r="D8" s="32">
        <f>-D5*Assumptions!$C$31</f>
        <v/>
      </c>
      <c r="E8" s="32">
        <f>-E5*Assumptions!$C$31</f>
        <v/>
      </c>
      <c r="F8" s="32">
        <f>-F5*Assumptions!$C$31</f>
        <v/>
      </c>
    </row>
    <row r="9">
      <c r="A9" s="13" t="inlineStr">
        <is>
          <t>EBIT</t>
        </is>
      </c>
      <c r="B9" s="33">
        <f>B6+B8</f>
        <v/>
      </c>
      <c r="C9" s="33">
        <f>C6+C8</f>
        <v/>
      </c>
      <c r="D9" s="33">
        <f>D6+D8</f>
        <v/>
      </c>
      <c r="E9" s="33">
        <f>E6+E8</f>
        <v/>
      </c>
      <c r="F9" s="33">
        <f>F6+F8</f>
        <v/>
      </c>
    </row>
    <row r="10">
      <c r="A10" s="6" t="inlineStr">
        <is>
          <t>NOPAT — EBIT x (1 - 24%)</t>
        </is>
      </c>
      <c r="B10" s="32">
        <f>B9*(1-Assumptions!$C$7)</f>
        <v/>
      </c>
      <c r="C10" s="32">
        <f>C9*(1-Assumptions!$C$7)</f>
        <v/>
      </c>
      <c r="D10" s="32">
        <f>D9*(1-Assumptions!$C$7)</f>
        <v/>
      </c>
      <c r="E10" s="32">
        <f>E9*(1-Assumptions!$C$7)</f>
        <v/>
      </c>
      <c r="F10" s="32">
        <f>F9*(1-Assumptions!$C$7)</f>
        <v/>
      </c>
    </row>
    <row r="11">
      <c r="A11" s="6" t="inlineStr">
        <is>
          <t>Add back depreciation and amortisation</t>
        </is>
      </c>
      <c r="B11" s="32">
        <f>-B8</f>
        <v/>
      </c>
      <c r="C11" s="32">
        <f>-C8</f>
        <v/>
      </c>
      <c r="D11" s="32">
        <f>-D8</f>
        <v/>
      </c>
      <c r="E11" s="32">
        <f>-E8</f>
        <v/>
      </c>
      <c r="F11" s="32">
        <f>-F8</f>
        <v/>
      </c>
    </row>
    <row r="12">
      <c r="A12" s="6" t="inlineStr">
        <is>
          <t>Less capital expenditure</t>
        </is>
      </c>
      <c r="B12" s="32">
        <f>-B5*Assumptions!$B$30</f>
        <v/>
      </c>
      <c r="C12" s="32">
        <f>-C5*Assumptions!$C$30</f>
        <v/>
      </c>
      <c r="D12" s="32">
        <f>-D5*Assumptions!$D$30</f>
        <v/>
      </c>
      <c r="E12" s="32">
        <f>-E5*Assumptions!$E$30</f>
        <v/>
      </c>
      <c r="F12" s="32">
        <f>-F5*Assumptions!$F$30</f>
        <v/>
      </c>
    </row>
    <row r="13">
      <c r="A13" s="6" t="inlineStr">
        <is>
          <t>Less change in working capital</t>
        </is>
      </c>
      <c r="B13" s="32">
        <f>-(B5*Assumptions!$C$29-'Balance Sheet'!D16)</f>
        <v/>
      </c>
      <c r="C13" s="32">
        <f>-(C5-B5)*Assumptions!$C$29</f>
        <v/>
      </c>
      <c r="D13" s="32">
        <f>-(D5-C5)*Assumptions!$C$29</f>
        <v/>
      </c>
      <c r="E13" s="32">
        <f>-(E5-D5)*Assumptions!$C$29</f>
        <v/>
      </c>
      <c r="F13" s="32">
        <f>-(F5-E5)*Assumptions!$C$29</f>
        <v/>
      </c>
    </row>
    <row r="14">
      <c r="A14" s="13" t="inlineStr">
        <is>
          <t>Free cash flow to the firm</t>
        </is>
      </c>
      <c r="B14" s="33">
        <f>B10+B11+B12+B13</f>
        <v/>
      </c>
      <c r="C14" s="33">
        <f>C10+C11+C12+C13</f>
        <v/>
      </c>
      <c r="D14" s="33">
        <f>D10+D11+D12+D13</f>
        <v/>
      </c>
      <c r="E14" s="33">
        <f>E10+E11+E12+E13</f>
        <v/>
      </c>
      <c r="F14" s="33">
        <f>F10+F11+F12+F13</f>
        <v/>
      </c>
    </row>
    <row r="15">
      <c r="A15" s="6" t="inlineStr">
        <is>
          <t>Forward cost of capital</t>
        </is>
      </c>
      <c r="B15" s="39">
        <f>$C$46-($C$46-$C$53)*B57</f>
        <v/>
      </c>
      <c r="C15" s="39">
        <f>$C$46-($C$46-$C$53)*C57</f>
        <v/>
      </c>
      <c r="D15" s="39">
        <f>$C$46-($C$46-$C$53)*D57</f>
        <v/>
      </c>
      <c r="E15" s="39">
        <f>$C$46-($C$46-$C$53)*E57</f>
        <v/>
      </c>
      <c r="F15" s="39">
        <f>$C$46-($C$46-$C$53)*F57</f>
        <v/>
      </c>
    </row>
    <row r="16">
      <c r="A16" s="6" t="inlineStr">
        <is>
          <t>Discount factor</t>
        </is>
      </c>
      <c r="B16" s="40">
        <f>1/(1+B15)</f>
        <v/>
      </c>
      <c r="C16" s="40">
        <f>B16/(1+C15)</f>
        <v/>
      </c>
      <c r="D16" s="40">
        <f>C16/(1+D15)</f>
        <v/>
      </c>
      <c r="E16" s="40">
        <f>D16/(1+E15)</f>
        <v/>
      </c>
      <c r="F16" s="40">
        <f>E16/(1+F15)</f>
        <v/>
      </c>
    </row>
    <row r="17">
      <c r="A17" s="13" t="inlineStr">
        <is>
          <t>Present value of FCFF</t>
        </is>
      </c>
      <c r="B17" s="33">
        <f>B14*B16</f>
        <v/>
      </c>
      <c r="C17" s="33">
        <f>C14*C16</f>
        <v/>
      </c>
      <c r="D17" s="33">
        <f>D14*D16</f>
        <v/>
      </c>
      <c r="E17" s="33">
        <f>E14*E16</f>
        <v/>
      </c>
      <c r="F17" s="33">
        <f>F14*F16</f>
        <v/>
      </c>
    </row>
    <row r="19">
      <c r="A19" s="15" t="inlineStr">
        <is>
          <t>TERMINAL VALUE, BRIDGE AND THE ANCHOR ROLL</t>
        </is>
      </c>
    </row>
    <row r="20">
      <c r="A20" s="6" t="inlineStr">
        <is>
          <t>Terminal-year NOPAT — the LAST EXPLICIT year (FY2030), NOT grown (EGP mn)</t>
        </is>
      </c>
      <c r="C20" s="32">
        <f>F10</f>
        <v/>
      </c>
    </row>
    <row r="21">
      <c r="A21" s="6" t="inlineStr">
        <is>
          <t>Add back FY2030 book depreciation and amortisation (EGP mn)</t>
        </is>
      </c>
      <c r="C21" s="32">
        <f>-F8</f>
        <v/>
      </c>
    </row>
    <row r="22">
      <c r="A22" s="6" t="inlineStr">
        <is>
          <t>Terminal free cash flow to the firm — C20 + C21 less the capital charge on rows 65-67</t>
        </is>
      </c>
      <c r="C22" s="32">
        <f>C20+C21+C65+C66+C67</f>
        <v/>
      </c>
    </row>
    <row r="23">
      <c r="A23" s="6" t="inlineStr">
        <is>
          <t>Terminal growth (nominal, derived from zero real growth and terminal inflation)</t>
        </is>
      </c>
      <c r="C23" s="17">
        <f>Assumptions!$C$44</f>
        <v/>
      </c>
    </row>
    <row r="24">
      <c r="A24" s="6" t="inlineStr">
        <is>
          <t>Terminal cost of capital</t>
        </is>
      </c>
      <c r="C24" s="9">
        <f>C53</f>
        <v/>
      </c>
    </row>
    <row r="25">
      <c r="A25" s="6" t="inlineStr">
        <is>
          <t>Terminal value — C22 grown one year and capitalised at (C24 − C23) (EGP mn)</t>
        </is>
      </c>
      <c r="C25" s="32">
        <f>C22*(1+C23)/(C24-C23)</f>
        <v/>
      </c>
    </row>
    <row r="26">
      <c r="A26" s="6" t="inlineStr">
        <is>
          <t>Present value of the five forecast years (EGP mn)</t>
        </is>
      </c>
      <c r="C26" s="32">
        <f>SUM(B17:F17)</f>
        <v/>
      </c>
    </row>
    <row r="27">
      <c r="A27" s="6" t="inlineStr">
        <is>
          <t>Present value of the terminal value (EGP mn)</t>
        </is>
      </c>
      <c r="C27" s="32">
        <f>C25*F16</f>
        <v/>
      </c>
    </row>
    <row r="28">
      <c r="A28" s="6" t="inlineStr">
        <is>
          <t>Terminal value as a share of enterprise value</t>
        </is>
      </c>
      <c r="C28" s="9">
        <f>C27/(C26+C27)</f>
        <v/>
      </c>
    </row>
    <row r="29">
      <c r="A29" s="6" t="inlineStr">
        <is>
          <t>Enterprise value (EGP mn)</t>
        </is>
      </c>
      <c r="C29" s="32">
        <f>C26+C27</f>
        <v/>
      </c>
    </row>
    <row r="30">
      <c r="A30" s="6" t="inlineStr">
        <is>
          <t>Equity attributable to ordinary shareholders (EGP mn)</t>
        </is>
      </c>
      <c r="C30" s="19">
        <f>'SOTP Bridge'!C13</f>
        <v/>
      </c>
    </row>
    <row r="31">
      <c r="A31" s="13" t="inlineStr">
        <is>
          <t>Fair value per share at 31-Dec-2025 (EGP)</t>
        </is>
      </c>
      <c r="B31" s="13" t="n"/>
      <c r="C31" s="34">
        <f>C30/Assumptions!$C$6</f>
        <v/>
      </c>
      <c r="D31" s="13" t="n"/>
    </row>
    <row r="33">
      <c r="A33" s="15" t="inlineStr">
        <is>
          <t>COST OF CAPITAL — BUILT HERE, NOT ASSUMED</t>
        </is>
      </c>
    </row>
    <row r="34">
      <c r="A34" s="6" t="inlineStr">
        <is>
          <t>Risk-free rate, 10-year local currency</t>
        </is>
      </c>
      <c r="C34" s="23">
        <f>Assumptions!$C$34</f>
        <v/>
      </c>
    </row>
    <row r="35">
      <c r="A35" s="6" t="inlineStr">
        <is>
          <t>Less sovereign default spread (removed to avoid double-counting)</t>
        </is>
      </c>
      <c r="C35" s="23">
        <f>Assumptions!$C$35</f>
        <v/>
      </c>
    </row>
    <row r="36">
      <c r="A36" s="6" t="inlineStr">
        <is>
          <t>Risk-free rate net of the sovereign spread</t>
        </is>
      </c>
      <c r="C36" s="39">
        <f>C34-C35</f>
        <v/>
      </c>
    </row>
    <row r="37">
      <c r="A37" s="6" t="inlineStr">
        <is>
          <t>Beta</t>
        </is>
      </c>
      <c r="C37" s="41">
        <f>Assumptions!$C$37</f>
        <v/>
      </c>
    </row>
    <row r="38">
      <c r="A38" s="6" t="inlineStr">
        <is>
          <t>Mature equity risk premium — beta applies to THIS leg and to nothing else</t>
        </is>
      </c>
      <c r="C38" s="23">
        <f>Assumptions!$C$48</f>
        <v/>
      </c>
    </row>
    <row r="39">
      <c r="A39" s="6" t="inlineStr">
        <is>
          <t>Cost of equity, explicit window — country risk charged FLAT, once, beside beta not through it</t>
        </is>
      </c>
      <c r="C39" s="39">
        <f>C36+C37*C38+Assumptions!$C$51</f>
        <v/>
      </c>
    </row>
    <row r="40">
      <c r="A40" s="6" t="inlineStr">
        <is>
          <t>Cost of debt, blended</t>
        </is>
      </c>
      <c r="C40" s="23">
        <f>Assumptions!$C$38</f>
        <v/>
      </c>
    </row>
    <row r="41">
      <c r="A41" s="6" t="inlineStr">
        <is>
          <t>Cost of debt after tax</t>
        </is>
      </c>
      <c r="C41" s="39">
        <f>C40*(1-Assumptions!$C$7)</f>
        <v/>
      </c>
    </row>
    <row r="42">
      <c r="A42" s="6" t="inlineStr">
        <is>
          <t>Market capitalisation (EGP mn)</t>
        </is>
      </c>
      <c r="C42" s="19">
        <f>Assumptions!$C$5*Assumptions!$C$6</f>
        <v/>
      </c>
    </row>
    <row r="43">
      <c r="A43" s="6" t="inlineStr">
        <is>
          <t>Net bank debt (EGP mn)</t>
        </is>
      </c>
      <c r="C43" s="19">
        <f>Assumptions!$C$58</f>
        <v/>
      </c>
    </row>
    <row r="44">
      <c r="A44" s="6" t="inlineStr">
        <is>
          <t>Debt weight (net debt / (net debt + market capitalisation))</t>
        </is>
      </c>
      <c r="C44" s="39">
        <f>C43/(C43+C42)</f>
        <v/>
      </c>
    </row>
    <row r="45">
      <c r="A45" s="6" t="inlineStr">
        <is>
          <t>Equity weight</t>
        </is>
      </c>
      <c r="C45" s="39">
        <f>1-C44</f>
        <v/>
      </c>
    </row>
    <row r="46">
      <c r="A46" s="13" t="inlineStr">
        <is>
          <t>Cost of capital, explicit window</t>
        </is>
      </c>
      <c r="B46" s="13" t="n"/>
      <c r="C46" s="42">
        <f>C45*C39+C44*C41</f>
        <v/>
      </c>
      <c r="D46" s="13" t="n"/>
    </row>
    <row r="47">
      <c r="A47" s="6" t="inlineStr">
        <is>
          <t>Terminal risk-free rate</t>
        </is>
      </c>
      <c r="C47" s="23">
        <f>Assumptions!$C$40</f>
        <v/>
      </c>
    </row>
    <row r="48">
      <c r="A48" s="6" t="inlineStr">
        <is>
          <t>Terminal mature equity risk premium</t>
        </is>
      </c>
      <c r="C48" s="23">
        <f>Assumptions!$C$53</f>
        <v/>
      </c>
    </row>
    <row r="49">
      <c r="A49" s="6" t="inlineStr">
        <is>
          <t>Terminal cost of equity — at a terminal beta of 1.00, not the measured beta</t>
        </is>
      </c>
      <c r="C49" s="39">
        <f>C47+Assumptions!$C$55*C48+Assumptions!$C$54</f>
        <v/>
      </c>
    </row>
    <row r="50">
      <c r="A50" s="6" t="inlineStr">
        <is>
          <t>Terminal cost of debt</t>
        </is>
      </c>
      <c r="C50" s="23">
        <f>Assumptions!$C$42</f>
        <v/>
      </c>
    </row>
    <row r="51">
      <c r="A51" s="6" t="inlineStr">
        <is>
          <t>Terminal cost of debt after tax</t>
        </is>
      </c>
      <c r="C51" s="39">
        <f>C50*(1-Assumptions!$C$7)</f>
        <v/>
      </c>
    </row>
    <row r="52">
      <c r="A52" s="6" t="inlineStr">
        <is>
          <t>Terminal debt weight</t>
        </is>
      </c>
      <c r="C52" s="23">
        <f>Assumptions!$C$43</f>
        <v/>
      </c>
    </row>
    <row r="53">
      <c r="A53" s="13" t="inlineStr">
        <is>
          <t>Terminal cost of capital</t>
        </is>
      </c>
      <c r="B53" s="13" t="n"/>
      <c r="C53" s="42">
        <f>(1-C52)*C49+C52*C51</f>
        <v/>
      </c>
      <c r="D53" s="13"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23">
        <f>Assumptions!$B$39</f>
        <v/>
      </c>
      <c r="C56" s="23">
        <f>Assumptions!$C$39</f>
        <v/>
      </c>
      <c r="D56" s="23">
        <f>Assumptions!$D$39</f>
        <v/>
      </c>
      <c r="E56" s="23">
        <f>Assumptions!$E$39</f>
        <v/>
      </c>
      <c r="F56" s="23">
        <f>Assumptions!$F$39</f>
        <v/>
      </c>
    </row>
    <row r="57">
      <c r="A57" s="6" t="inlineStr">
        <is>
          <t>Glide fraction — cumulative progress of the easing</t>
        </is>
      </c>
      <c r="B57" s="39">
        <f>($B$56-B56)/($B$56-$F$56)</f>
        <v/>
      </c>
      <c r="C57" s="39">
        <f>($B$56-C56)/($B$56-$F$56)</f>
        <v/>
      </c>
      <c r="D57" s="39">
        <f>($B$56-D56)/($B$56-$F$56)</f>
        <v/>
      </c>
      <c r="E57" s="39">
        <f>($B$56-E56)/($B$56-$F$56)</f>
        <v/>
      </c>
      <c r="F57" s="39">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row r="60">
      <c r="A60" s="15" t="inlineStr">
        <is>
          <t>THE ANCHOR ROLL — one date, one price of time</t>
        </is>
      </c>
    </row>
    <row r="61">
      <c r="A61" s="6" t="inlineStr">
        <is>
          <t>Anchor accretion factor — (1 + cost of equity)^(days to anchor / 365)</t>
        </is>
      </c>
      <c r="C61" s="40">
        <f>(1+C39)^(Assumptions!$C$69/365)</f>
        <v/>
      </c>
    </row>
    <row r="62">
      <c r="A62" s="13" t="inlineStr">
        <is>
          <t>Fair value per share at the 3-Sep-2026 anchor (EGP)</t>
        </is>
      </c>
      <c r="B62" s="13" t="n"/>
      <c r="C62" s="34">
        <f>C31*C61-Assumptions!$C$64*(1+$C$39)^(Assumptions!$C$65/365)</f>
        <v/>
      </c>
      <c r="D62" s="13" t="n"/>
    </row>
    <row r="63">
      <c r="A63" s="4" t="inlineStr">
        <is>
          <t>The bridge on row 31 is dated 31-Dec-2025 (the audited balance-sheet date it subtracts net debt at). Row 62 rolls it to the anchor at the cost of equity, net of the EGP 1.85 FY2025 dividend paid in the window. Every lens on every sheet is rolled the same way.</t>
        </is>
      </c>
    </row>
    <row r="64">
      <c r="A64" s="15" t="inlineStr">
        <is>
          <t>THE TERMINAL'S CAPITAL CHARGE — MAINTENANCE AT CURRENT COST, NEVER g x IC</t>
        </is>
      </c>
    </row>
    <row r="65">
      <c r="A65" s="6" t="inlineStr">
        <is>
          <t>Less maintenance capital at current replacement cost — FY2030 book depreciation escalated over half the DISCLOSED useful life</t>
        </is>
      </c>
      <c r="C65" s="19">
        <f>F8*(1+Assumptions!$C$72)^(Assumptions!$C$73/2)</f>
        <v/>
      </c>
    </row>
    <row r="66">
      <c r="A66" s="6" t="inlineStr">
        <is>
          <t>Less capital for real growth — the stated REAL growth times the FY2030 invested capital it has to buy</t>
        </is>
      </c>
      <c r="C66" s="19">
        <f>-Assumptions!$C$74*'Summary Financials'!I13</f>
        <v/>
      </c>
    </row>
    <row r="67">
      <c r="A67" s="6" t="inlineStr">
        <is>
          <t>Less inflation on the terminal working-capital base</t>
        </is>
      </c>
      <c r="C67" s="19">
        <f>-Assumptions!$C$75*Assumptions!$C$72</f>
        <v/>
      </c>
    </row>
    <row r="68">
      <c r="A68" s="4" t="inlineStr">
        <is>
          <t>Terminal return on invested capital (disclosure — it drives nothing here; the retired construction that used it charged g x IC every year for ever, which reads as replacing the whole asset base every 1/g years and is a fact about the inflation rate rather than about the asset)</t>
        </is>
      </c>
      <c r="C68" s="9">
        <f>F10*(1+C23)/'Summary Financials'!I13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3" t="inlineStr">
        <is>
          <t>Revenue</t>
        </is>
      </c>
      <c r="B5" s="33" t="n">
        <v>152186.247545</v>
      </c>
      <c r="C5" s="33" t="n">
        <v>231981.835577</v>
      </c>
      <c r="D5" s="33" t="n">
        <v>281049.081719</v>
      </c>
      <c r="E5" s="33">
        <f>DCF!B5</f>
        <v/>
      </c>
      <c r="F5" s="33">
        <f>DCF!C5</f>
        <v/>
      </c>
      <c r="G5" s="33">
        <f>DCF!D5</f>
        <v/>
      </c>
      <c r="H5" s="33">
        <f>DCF!E5</f>
        <v/>
      </c>
      <c r="I5" s="33">
        <f>DCF!F5</f>
        <v/>
      </c>
    </row>
    <row r="6">
      <c r="A6" s="6" t="inlineStr">
        <is>
          <t>Gross profit</t>
        </is>
      </c>
      <c r="B6" s="24" t="n">
        <v>29077.288803</v>
      </c>
      <c r="C6" s="24" t="n">
        <v>43898.520903</v>
      </c>
      <c r="D6" s="24" t="n">
        <v>40762.108187</v>
      </c>
      <c r="E6" s="19">
        <f>Segments!B14</f>
        <v/>
      </c>
      <c r="F6" s="19">
        <f>Segments!C14</f>
        <v/>
      </c>
      <c r="G6" s="19">
        <f>Segments!D14</f>
        <v/>
      </c>
      <c r="H6" s="19">
        <f>Segments!E14</f>
        <v/>
      </c>
      <c r="I6" s="19">
        <f>Segments!F14</f>
        <v/>
      </c>
    </row>
    <row r="7">
      <c r="A7" s="13" t="inlineStr">
        <is>
          <t>EBITDA</t>
        </is>
      </c>
      <c r="B7" s="33" t="n">
        <v>20035.105205</v>
      </c>
      <c r="C7" s="33" t="n">
        <v>31601.46495</v>
      </c>
      <c r="D7" s="33" t="n">
        <v>28363.203246</v>
      </c>
      <c r="E7" s="33">
        <f>DCF!B6</f>
        <v/>
      </c>
      <c r="F7" s="33">
        <f>DCF!C6</f>
        <v/>
      </c>
      <c r="G7" s="33">
        <f>DCF!D6</f>
        <v/>
      </c>
      <c r="H7" s="33">
        <f>DCF!E6</f>
        <v/>
      </c>
      <c r="I7" s="33">
        <f>DCF!F6</f>
        <v/>
      </c>
    </row>
    <row r="8">
      <c r="A8" s="6" t="inlineStr">
        <is>
          <t>EBITDA margin</t>
        </is>
      </c>
      <c r="B8" s="9">
        <f>B7/B5</f>
        <v/>
      </c>
      <c r="C8" s="9">
        <f>C7/C5</f>
        <v/>
      </c>
      <c r="D8" s="9">
        <f>D7/D5</f>
        <v/>
      </c>
      <c r="E8" s="9">
        <f>E7/E5</f>
        <v/>
      </c>
      <c r="F8" s="9">
        <f>F7/F5</f>
        <v/>
      </c>
      <c r="G8" s="9">
        <f>G7/G5</f>
        <v/>
      </c>
      <c r="H8" s="9">
        <f>H7/H5</f>
        <v/>
      </c>
      <c r="I8" s="9">
        <f>I7/I5</f>
        <v/>
      </c>
    </row>
    <row r="9">
      <c r="A9" s="6" t="inlineStr">
        <is>
          <t>Depreciation and amortisation</t>
        </is>
      </c>
      <c r="B9" s="24" t="n">
        <v>-2295.986956</v>
      </c>
      <c r="C9" s="24" t="n">
        <v>-2259.745806</v>
      </c>
      <c r="D9" s="24" t="n">
        <v>-3008.977627</v>
      </c>
      <c r="E9" s="19">
        <f>DCF!B8</f>
        <v/>
      </c>
      <c r="F9" s="19">
        <f>DCF!C8</f>
        <v/>
      </c>
      <c r="G9" s="19">
        <f>DCF!D8</f>
        <v/>
      </c>
      <c r="H9" s="19">
        <f>DCF!E8</f>
        <v/>
      </c>
      <c r="I9" s="19">
        <f>DCF!F8</f>
        <v/>
      </c>
    </row>
    <row r="10">
      <c r="A10" s="13" t="inlineStr">
        <is>
          <t>EBIT</t>
        </is>
      </c>
      <c r="B10" s="33">
        <f>B7+B9</f>
        <v/>
      </c>
      <c r="C10" s="33">
        <f>C7+C9</f>
        <v/>
      </c>
      <c r="D10" s="33">
        <f>D7+D9</f>
        <v/>
      </c>
      <c r="E10" s="33">
        <f>E7+E9</f>
        <v/>
      </c>
      <c r="F10" s="33">
        <f>F7+F9</f>
        <v/>
      </c>
      <c r="G10" s="33">
        <f>G7+G9</f>
        <v/>
      </c>
      <c r="H10" s="33">
        <f>H7+H9</f>
        <v/>
      </c>
      <c r="I10" s="33">
        <f>I7+I9</f>
        <v/>
      </c>
    </row>
    <row r="11">
      <c r="A11" s="6" t="inlineStr">
        <is>
          <t>Net finance costs</t>
        </is>
      </c>
      <c r="B11" s="24" t="n">
        <v>-2124.362277</v>
      </c>
      <c r="C11" s="24" t="n">
        <v>-3515.365946</v>
      </c>
      <c r="D11" s="24" t="n">
        <v>-2145.438755</v>
      </c>
      <c r="E11" s="32">
        <f>-(Assumptions!$B$39*'Balance Sheet'!$D$11-Assumptions!$C$68*MAX('Balance Sheet'!$D$11-'Balance Sheet'!D17,0))</f>
        <v/>
      </c>
      <c r="F11" s="32">
        <f>-(Assumptions!$C$39*'Balance Sheet'!$D$11-Assumptions!$C$68*MAX('Balance Sheet'!$D$11-'Balance Sheet'!E17,0))</f>
        <v/>
      </c>
      <c r="G11" s="32">
        <f>-(Assumptions!$D$39*'Balance Sheet'!$D$11-Assumptions!$C$68*MAX('Balance Sheet'!$D$11-'Balance Sheet'!F17,0))</f>
        <v/>
      </c>
      <c r="H11" s="32">
        <f>-(Assumptions!$E$39*'Balance Sheet'!$D$11-Assumptions!$C$68*MAX('Balance Sheet'!$D$11-'Balance Sheet'!G17,0))</f>
        <v/>
      </c>
      <c r="I11" s="32">
        <f>-(Assumptions!$F$39*'Balance Sheet'!$D$11-Assumptions!$C$68*MAX('Balance Sheet'!$D$11-'Balance Sheet'!H17,0))</f>
        <v/>
      </c>
    </row>
    <row r="12">
      <c r="A12" s="6" t="inlineStr">
        <is>
          <t>Share of equity-accounted investees</t>
        </is>
      </c>
      <c r="B12" s="24" t="n">
        <v>603.624972</v>
      </c>
      <c r="C12" s="24" t="n">
        <v>1132.366257</v>
      </c>
      <c r="D12" s="24" t="n">
        <v>1568.902975</v>
      </c>
      <c r="E12" s="32">
        <f>D12*(1+Assumptions!$C$67)</f>
        <v/>
      </c>
      <c r="F12" s="32">
        <f>E12*(1+Assumptions!$C$67)</f>
        <v/>
      </c>
      <c r="G12" s="32">
        <f>F12*(1+Assumptions!$C$67)</f>
        <v/>
      </c>
      <c r="H12" s="32">
        <f>G12*(1+Assumptions!$C$67)</f>
        <v/>
      </c>
      <c r="I12" s="32">
        <f>H12*(1+Assumptions!$C$67)</f>
        <v/>
      </c>
    </row>
    <row r="13">
      <c r="A13" s="6" t="inlineStr">
        <is>
          <t>Profit before tax</t>
        </is>
      </c>
      <c r="B13" s="32">
        <f>B10+B11+B12</f>
        <v/>
      </c>
      <c r="C13" s="32">
        <f>C10+C11+C12</f>
        <v/>
      </c>
      <c r="D13" s="32">
        <f>D10+D11+D12</f>
        <v/>
      </c>
      <c r="E13" s="32">
        <f>E10+E11+E12</f>
        <v/>
      </c>
      <c r="F13" s="32">
        <f>F10+F11+F12</f>
        <v/>
      </c>
      <c r="G13" s="32">
        <f>G10+G11+G12</f>
        <v/>
      </c>
      <c r="H13" s="32">
        <f>H10+H11+H12</f>
        <v/>
      </c>
      <c r="I13" s="32">
        <f>I10+I11+I12</f>
        <v/>
      </c>
    </row>
    <row r="14">
      <c r="A14" s="6" t="inlineStr">
        <is>
          <t>Income tax</t>
        </is>
      </c>
      <c r="B14" s="24" t="n">
        <v>-5080.406688</v>
      </c>
      <c r="C14" s="24" t="n">
        <v>-8121.510082</v>
      </c>
      <c r="D14" s="24" t="n">
        <v>-5591.139782</v>
      </c>
      <c r="E14" s="32">
        <f>-E13*Assumptions!$C$7</f>
        <v/>
      </c>
      <c r="F14" s="32">
        <f>-F13*Assumptions!$C$7</f>
        <v/>
      </c>
      <c r="G14" s="32">
        <f>-G13*Assumptions!$C$7</f>
        <v/>
      </c>
      <c r="H14" s="32">
        <f>-H13*Assumptions!$C$7</f>
        <v/>
      </c>
      <c r="I14" s="32">
        <f>-I13*Assumptions!$C$7</f>
        <v/>
      </c>
    </row>
    <row r="15">
      <c r="A15" s="6" t="inlineStr">
        <is>
          <t>Profit for the year</t>
        </is>
      </c>
      <c r="B15" s="24" t="n">
        <v>11137.974256</v>
      </c>
      <c r="C15" s="24" t="n">
        <v>18837.209373</v>
      </c>
      <c r="D15" s="24" t="n">
        <v>19186.550057</v>
      </c>
      <c r="E15" s="32">
        <f>E13+E14</f>
        <v/>
      </c>
      <c r="F15" s="32">
        <f>F13+F14</f>
        <v/>
      </c>
      <c r="G15" s="32">
        <f>G13+G14</f>
        <v/>
      </c>
      <c r="H15" s="32">
        <f>H13+H14</f>
        <v/>
      </c>
      <c r="I15" s="32">
        <f>I13+I14</f>
        <v/>
      </c>
    </row>
    <row r="16">
      <c r="A16" s="6" t="inlineStr">
        <is>
          <t>Non-controlling interests</t>
        </is>
      </c>
      <c r="B16" s="24" t="n">
        <v>-1022.272478999999</v>
      </c>
      <c r="C16" s="24" t="n">
        <v>-1375.850659</v>
      </c>
      <c r="D16" s="24" t="n">
        <v>-1856.305067000001</v>
      </c>
      <c r="E16" s="32">
        <f>-E15*'SOTP Bridge'!$C$17</f>
        <v/>
      </c>
      <c r="F16" s="32">
        <f>-F15*'SOTP Bridge'!$C$17</f>
        <v/>
      </c>
      <c r="G16" s="32">
        <f>-G15*'SOTP Bridge'!$C$17</f>
        <v/>
      </c>
      <c r="H16" s="32">
        <f>-H15*'SOTP Bridge'!$C$17</f>
        <v/>
      </c>
      <c r="I16" s="32">
        <f>-I15*'SOTP Bridge'!$C$17</f>
        <v/>
      </c>
    </row>
    <row r="17">
      <c r="A17" s="13" t="inlineStr">
        <is>
          <t>Profit attributable to shareholders</t>
        </is>
      </c>
      <c r="B17" s="33" t="n">
        <v>10115.701777</v>
      </c>
      <c r="C17" s="33" t="n">
        <v>17461.358714</v>
      </c>
      <c r="D17" s="33" t="n">
        <v>17330.24499</v>
      </c>
      <c r="E17" s="33">
        <f>E15+E16</f>
        <v/>
      </c>
      <c r="F17" s="33">
        <f>F15+F16</f>
        <v/>
      </c>
      <c r="G17" s="33">
        <f>G15+G16</f>
        <v/>
      </c>
      <c r="H17" s="33">
        <f>H15+H16</f>
        <v/>
      </c>
      <c r="I17" s="33">
        <f>I15+I16</f>
        <v/>
      </c>
    </row>
    <row r="18">
      <c r="A18" s="6" t="inlineStr">
        <is>
          <t>Earnings per share (EGP)</t>
        </is>
      </c>
      <c r="B18" s="16">
        <f>B17/Assumptions!$C$6</f>
        <v/>
      </c>
      <c r="C18" s="16">
        <f>C17/Assumptions!$C$6</f>
        <v/>
      </c>
      <c r="D18" s="16">
        <f>D17/Assumptions!$C$6</f>
        <v/>
      </c>
      <c r="E18" s="16">
        <f>E17/Assumptions!$C$6</f>
        <v/>
      </c>
      <c r="F18" s="16">
        <f>F17/Assumptions!$C$6</f>
        <v/>
      </c>
      <c r="G18" s="16">
        <f>G17/Assumptions!$C$6</f>
        <v/>
      </c>
      <c r="H18" s="16">
        <f>H17/Assumptions!$C$6</f>
        <v/>
      </c>
      <c r="I18" s="16">
        <f>I17/Assumptions!$C$6</f>
        <v/>
      </c>
    </row>
    <row r="20">
      <c r="A20" s="4" t="inlineStr">
        <is>
          <t>Note: every FY2023-25 statement line is the audited figure — no closure or derivation is used for any historical year (the EBITDA and EPS rows are labelled house derivations). In the forecast the finance charge is computed on the gross debt book less the cash the business is accumulating, so it moves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4" t="n">
        <v>18009.166367</v>
      </c>
      <c r="C5" s="24" t="n">
        <v>27543.762675</v>
      </c>
      <c r="D5" s="24" t="n">
        <v>35961.076614</v>
      </c>
      <c r="E5" s="32">
        <f>D5-DCF!B12+DCF!B8</f>
        <v/>
      </c>
      <c r="F5" s="32">
        <f>E5-DCF!C12+DCF!C8</f>
        <v/>
      </c>
      <c r="G5" s="32">
        <f>F5-DCF!D12+DCF!D8</f>
        <v/>
      </c>
      <c r="H5" s="32">
        <f>G5-DCF!E12+DCF!E8</f>
        <v/>
      </c>
      <c r="I5" s="32">
        <f>H5-DCF!F12+DCF!F8</f>
        <v/>
      </c>
    </row>
    <row r="6">
      <c r="A6" s="6" t="inlineStr">
        <is>
          <t>Inventories</t>
        </is>
      </c>
      <c r="B6" s="24" t="n">
        <v>30881.822082</v>
      </c>
      <c r="C6" s="24" t="n">
        <v>56795.884068</v>
      </c>
      <c r="D6" s="24" t="n">
        <v>59860.04457</v>
      </c>
    </row>
    <row r="7">
      <c r="A7" s="6" t="inlineStr">
        <is>
          <t>Contract assets</t>
        </is>
      </c>
      <c r="B7" s="24" t="n">
        <v>16179.633722</v>
      </c>
      <c r="C7" s="24" t="n">
        <v>18051.96657</v>
      </c>
      <c r="D7" s="24" t="n">
        <v>29894.579591</v>
      </c>
    </row>
    <row r="8">
      <c r="A8" s="6" t="inlineStr">
        <is>
          <t>Trade and other receivables</t>
        </is>
      </c>
      <c r="B8" s="24" t="n">
        <v>46591.885092</v>
      </c>
      <c r="C8" s="24" t="n">
        <v>86736.309423</v>
      </c>
      <c r="D8" s="24" t="n">
        <v>116259.797169</v>
      </c>
    </row>
    <row r="9">
      <c r="A9" s="6" t="inlineStr">
        <is>
          <t>Cash and cash equivalents</t>
        </is>
      </c>
      <c r="B9" s="24" t="n">
        <v>25552.0448</v>
      </c>
      <c r="C9" s="24" t="n">
        <v>38180.002322</v>
      </c>
      <c r="D9" s="32">
        <f>D11-D17</f>
        <v/>
      </c>
    </row>
    <row r="10">
      <c r="A10" s="13" t="inlineStr">
        <is>
          <t>Total assets</t>
        </is>
      </c>
      <c r="B10" s="33" t="n">
        <v>151448.654828</v>
      </c>
      <c r="C10" s="33" t="n">
        <v>249527.138687</v>
      </c>
      <c r="D10" s="33" t="n">
        <v>311099.090775</v>
      </c>
      <c r="E10" s="13" t="n"/>
      <c r="F10" s="13" t="n"/>
      <c r="G10" s="13" t="n"/>
      <c r="H10" s="13" t="n"/>
      <c r="I10" s="13" t="n"/>
    </row>
    <row r="11">
      <c r="A11" s="6" t="inlineStr">
        <is>
          <t>Loans and borrowings</t>
        </is>
      </c>
      <c r="B11" s="24" t="n">
        <v>41766.492071</v>
      </c>
      <c r="C11" s="24" t="n">
        <v>59082.941807</v>
      </c>
      <c r="D11" s="24" t="n">
        <v>62509.211797</v>
      </c>
    </row>
    <row r="12">
      <c r="A12" s="6" t="inlineStr">
        <is>
          <t>Trade and other payables</t>
        </is>
      </c>
      <c r="B12" s="24" t="n">
        <v>31938.12206</v>
      </c>
      <c r="C12" s="24" t="n">
        <v>54808.185042</v>
      </c>
      <c r="D12" s="24" t="n">
        <v>68895.662044</v>
      </c>
    </row>
    <row r="13">
      <c r="A13" s="6" t="inlineStr">
        <is>
          <t>Contract liabilities</t>
        </is>
      </c>
      <c r="B13" s="24" t="n">
        <v>25060.328092</v>
      </c>
      <c r="C13" s="24" t="n">
        <v>53281.056753</v>
      </c>
      <c r="D13" s="24" t="n">
        <v>81266.224686</v>
      </c>
    </row>
    <row r="14">
      <c r="A14" s="13" t="inlineStr">
        <is>
          <t>Equity attributable to shareholders</t>
        </is>
      </c>
      <c r="B14" s="33" t="n">
        <v>35724.466132</v>
      </c>
      <c r="C14" s="33" t="n">
        <v>55274.913356</v>
      </c>
      <c r="D14" s="33" t="n">
        <v>66870.86655000001</v>
      </c>
      <c r="E14" s="33">
        <f>D14+'Income Statement'!E17*(1-Assumptions!$C$66)</f>
        <v/>
      </c>
      <c r="F14" s="33">
        <f>E14+'Income Statement'!F17*(1-Assumptions!$C$66)</f>
        <v/>
      </c>
      <c r="G14" s="33">
        <f>F14+'Income Statement'!G17*(1-Assumptions!$C$66)</f>
        <v/>
      </c>
      <c r="H14" s="33">
        <f>G14+'Income Statement'!H17*(1-Assumptions!$C$66)</f>
        <v/>
      </c>
      <c r="I14" s="33">
        <f>H14+'Income Statement'!I17*(1-Assumptions!$C$66)</f>
        <v/>
      </c>
    </row>
    <row r="15">
      <c r="A15" s="6" t="inlineStr">
        <is>
          <t>Non-controlling interests</t>
        </is>
      </c>
      <c r="B15" s="24" t="n">
        <v>2384.013396</v>
      </c>
      <c r="C15" s="24" t="n">
        <v>4251.7719</v>
      </c>
      <c r="D15" s="24" t="n">
        <v>5118.978381</v>
      </c>
    </row>
    <row r="16">
      <c r="A16" s="6" t="inlineStr">
        <is>
          <t>Net working capital</t>
        </is>
      </c>
      <c r="B16" s="24" t="n">
        <v>36654.89074399999</v>
      </c>
      <c r="C16" s="24" t="n">
        <v>53494.91826600001</v>
      </c>
      <c r="D16" s="24" t="n">
        <v>55852.53459999998</v>
      </c>
      <c r="E16" s="32">
        <f>'Income Statement'!E5*Assumptions!$C$29</f>
        <v/>
      </c>
      <c r="F16" s="32">
        <f>'Income Statement'!F5*Assumptions!$C$29</f>
        <v/>
      </c>
      <c r="G16" s="32">
        <f>'Income Statement'!G5*Assumptions!$C$29</f>
        <v/>
      </c>
      <c r="H16" s="32">
        <f>'Income Statement'!H5*Assumptions!$C$29</f>
        <v/>
      </c>
      <c r="I16" s="32">
        <f>'Income Statement'!I5*Assumptions!$C$29</f>
        <v/>
      </c>
    </row>
    <row r="17">
      <c r="A17" s="13" t="inlineStr">
        <is>
          <t>Net bank debt</t>
        </is>
      </c>
      <c r="B17" s="33" t="n">
        <v>16214.447271</v>
      </c>
      <c r="C17" s="33" t="n">
        <v>20902.939485</v>
      </c>
      <c r="D17" s="33">
        <f>Assumptions!$C$58</f>
        <v/>
      </c>
      <c r="E17" s="33">
        <f>D17-DCF!B14-'Income Statement'!E11*(1-Assumptions!$C$7)+Assumptions!$C$66*'Income Statement'!E17</f>
        <v/>
      </c>
      <c r="F17" s="33">
        <f>E17-DCF!C14-'Income Statement'!F11*(1-Assumptions!$C$7)+Assumptions!$C$66*'Income Statement'!F17</f>
        <v/>
      </c>
      <c r="G17" s="33">
        <f>F17-DCF!D14-'Income Statement'!G11*(1-Assumptions!$C$7)+Assumptions!$C$66*'Income Statement'!G17</f>
        <v/>
      </c>
      <c r="H17" s="33">
        <f>G17-DCF!E14-'Income Statement'!H11*(1-Assumptions!$C$7)+Assumptions!$C$66*'Income Statement'!H17</f>
        <v/>
      </c>
      <c r="I17" s="33">
        <f>H17-DCF!F14-'Income Statement'!I11*(1-Assumptions!$C$7)+Assumptions!$C$66*'Income Statement'!I17</f>
        <v/>
      </c>
    </row>
    <row r="18">
      <c r="A18" s="6" t="inlineStr">
        <is>
          <t>Net debt / EBITDA</t>
        </is>
      </c>
      <c r="B18" s="38">
        <f>B17/'Income Statement'!B7</f>
        <v/>
      </c>
      <c r="C18" s="38">
        <f>C17/'Income Statement'!C7</f>
        <v/>
      </c>
      <c r="D18" s="38">
        <f>D17/'Income Statement'!D7</f>
        <v/>
      </c>
      <c r="E18" s="38">
        <f>E17/'Income Statement'!E7</f>
        <v/>
      </c>
      <c r="F18" s="38">
        <f>F17/'Income Statement'!F7</f>
        <v/>
      </c>
      <c r="G18" s="38">
        <f>G17/'Income Statement'!G7</f>
        <v/>
      </c>
      <c r="H18" s="38">
        <f>H17/'Income Statement'!H7</f>
        <v/>
      </c>
      <c r="I18" s="38">
        <f>I17/'Income Statement'!I7</f>
        <v/>
      </c>
    </row>
    <row r="19">
      <c r="A19" s="6" t="inlineStr">
        <is>
          <t>Residual: other liabilities, provisions and deferred tax not shown separately (total assets less the lines above)</t>
        </is>
      </c>
      <c r="B19" s="32">
        <f>B10-(B11+B12+B13+B14+B15)</f>
        <v/>
      </c>
      <c r="C19" s="32">
        <f>C10-(C11+C12+C13+C14+C15)</f>
        <v/>
      </c>
      <c r="D19" s="32">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9">
        <f>'Income Statement'!C7</f>
        <v/>
      </c>
      <c r="C5" s="19">
        <f>'Income Statement'!D7</f>
        <v/>
      </c>
      <c r="D5" s="19">
        <f>'Income Statement'!E7</f>
        <v/>
      </c>
      <c r="E5" s="19">
        <f>'Income Statement'!F7</f>
        <v/>
      </c>
      <c r="F5" s="19">
        <f>'Income Statement'!G7</f>
        <v/>
      </c>
      <c r="G5" s="19">
        <f>'Income Statement'!H7</f>
        <v/>
      </c>
      <c r="H5" s="19">
        <f>'Income Statement'!I7</f>
        <v/>
      </c>
    </row>
    <row r="6">
      <c r="A6" s="6" t="inlineStr">
        <is>
          <t>Interest paid</t>
        </is>
      </c>
      <c r="B6" s="32" t="inlineStr">
        <is>
          <t>-</t>
        </is>
      </c>
      <c r="C6" s="24" t="n">
        <v>-5740.31242</v>
      </c>
    </row>
    <row r="7">
      <c r="A7" s="6" t="inlineStr">
        <is>
          <t>Income tax paid</t>
        </is>
      </c>
      <c r="B7" s="32" t="inlineStr">
        <is>
          <t>-</t>
        </is>
      </c>
      <c r="C7" s="24" t="n">
        <v>-8298.752112</v>
      </c>
    </row>
    <row r="8">
      <c r="A8" s="6" t="inlineStr">
        <is>
          <t>Operating cash flow after interest and tax</t>
        </is>
      </c>
      <c r="B8" s="32" t="inlineStr">
        <is>
          <t>-</t>
        </is>
      </c>
      <c r="C8" s="24" t="n">
        <v>12765.922545</v>
      </c>
    </row>
    <row r="9">
      <c r="A9" s="6" t="inlineStr">
        <is>
          <t>NOPAT</t>
        </is>
      </c>
      <c r="B9" s="32" t="inlineStr">
        <is>
          <t>-</t>
        </is>
      </c>
      <c r="C9" s="32" t="inlineStr">
        <is>
          <t>-</t>
        </is>
      </c>
      <c r="D9" s="19">
        <f>DCF!B10</f>
        <v/>
      </c>
      <c r="E9" s="19">
        <f>DCF!C10</f>
        <v/>
      </c>
      <c r="F9" s="19">
        <f>DCF!D10</f>
        <v/>
      </c>
      <c r="G9" s="19">
        <f>DCF!E10</f>
        <v/>
      </c>
      <c r="H9" s="19">
        <f>DCF!F10</f>
        <v/>
      </c>
    </row>
    <row r="10">
      <c r="A10" s="6" t="inlineStr">
        <is>
          <t>Add back depreciation and amortisation</t>
        </is>
      </c>
      <c r="B10" s="32" t="inlineStr">
        <is>
          <t>-</t>
        </is>
      </c>
      <c r="C10" s="32" t="inlineStr">
        <is>
          <t>-</t>
        </is>
      </c>
      <c r="D10" s="19">
        <f>DCF!B11</f>
        <v/>
      </c>
      <c r="E10" s="19">
        <f>DCF!C11</f>
        <v/>
      </c>
      <c r="F10" s="19">
        <f>DCF!D11</f>
        <v/>
      </c>
      <c r="G10" s="19">
        <f>DCF!E11</f>
        <v/>
      </c>
      <c r="H10" s="19">
        <f>DCF!F11</f>
        <v/>
      </c>
    </row>
    <row r="11">
      <c r="A11" s="6" t="inlineStr">
        <is>
          <t>Capital expenditure</t>
        </is>
      </c>
      <c r="B11" s="24" t="n">
        <v>-8489.780912</v>
      </c>
      <c r="C11" s="24" t="n">
        <v>-13112.049791</v>
      </c>
      <c r="D11" s="19">
        <f>DCF!B12</f>
        <v/>
      </c>
      <c r="E11" s="19">
        <f>DCF!C12</f>
        <v/>
      </c>
      <c r="F11" s="19">
        <f>DCF!D12</f>
        <v/>
      </c>
      <c r="G11" s="19">
        <f>DCF!E12</f>
        <v/>
      </c>
      <c r="H11" s="19">
        <f>DCF!F12</f>
        <v/>
      </c>
    </row>
    <row r="12">
      <c r="A12" s="6" t="inlineStr">
        <is>
          <t>Change in working capital</t>
        </is>
      </c>
      <c r="B12" s="32" t="inlineStr">
        <is>
          <t>-</t>
        </is>
      </c>
      <c r="C12" s="32">
        <f>-('Balance Sheet'!D16-'Balance Sheet'!C16)</f>
        <v/>
      </c>
      <c r="D12" s="19">
        <f>DCF!B13</f>
        <v/>
      </c>
      <c r="E12" s="19">
        <f>DCF!C13</f>
        <v/>
      </c>
      <c r="F12" s="19">
        <f>DCF!D13</f>
        <v/>
      </c>
      <c r="G12" s="19">
        <f>DCF!E13</f>
        <v/>
      </c>
      <c r="H12" s="19">
        <f>DCF!F13</f>
        <v/>
      </c>
    </row>
    <row r="13">
      <c r="A13" s="13" t="inlineStr">
        <is>
          <t>Free cash flow to the firm</t>
        </is>
      </c>
      <c r="B13" s="33" t="inlineStr">
        <is>
          <t>-</t>
        </is>
      </c>
      <c r="C13" s="33" t="inlineStr">
        <is>
          <t>-</t>
        </is>
      </c>
      <c r="D13" s="33">
        <f>D9+D10+D11+D12</f>
        <v/>
      </c>
      <c r="E13" s="33">
        <f>E9+E10+E11+E12</f>
        <v/>
      </c>
      <c r="F13" s="33">
        <f>F9+F10+F11+F12</f>
        <v/>
      </c>
      <c r="G13" s="33">
        <f>G9+G10+G11+G12</f>
        <v/>
      </c>
      <c r="H13" s="33">
        <f>H9+H10+H11+H12</f>
        <v/>
      </c>
      <c r="I13" s="13" t="n"/>
    </row>
    <row r="15">
      <c r="A15" s="6" t="inlineStr">
        <is>
          <t>Cash conversion — operating cash flow as a share of EBITDA, FY2025</t>
        </is>
      </c>
      <c r="C15" s="9">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9" t="inlineStr">
        <is>
          <t>-</t>
        </is>
      </c>
      <c r="C6" s="9">
        <f>C5/B5-1</f>
        <v/>
      </c>
      <c r="D6" s="9">
        <f>D5/C5-1</f>
        <v/>
      </c>
      <c r="E6" s="9">
        <f>E5/D5-1</f>
        <v/>
      </c>
      <c r="F6" s="9">
        <f>F5/E5-1</f>
        <v/>
      </c>
      <c r="G6" s="9">
        <f>G5/F5-1</f>
        <v/>
      </c>
      <c r="H6" s="9">
        <f>H5/G5-1</f>
        <v/>
      </c>
      <c r="I6" s="9">
        <f>I5/H5-1</f>
        <v/>
      </c>
    </row>
    <row r="7">
      <c r="A7" s="6" t="inlineStr">
        <is>
          <t>EBITDA</t>
        </is>
      </c>
      <c r="B7" s="19">
        <f>'Income Statement'!B7</f>
        <v/>
      </c>
      <c r="C7" s="19">
        <f>'Income Statement'!C7</f>
        <v/>
      </c>
      <c r="D7" s="19">
        <f>'Income Statement'!D7</f>
        <v/>
      </c>
      <c r="E7" s="19">
        <f>'Income Statement'!E7</f>
        <v/>
      </c>
      <c r="F7" s="19">
        <f>'Income Statement'!F7</f>
        <v/>
      </c>
      <c r="G7" s="19">
        <f>'Income Statement'!G7</f>
        <v/>
      </c>
      <c r="H7" s="19">
        <f>'Income Statement'!H7</f>
        <v/>
      </c>
      <c r="I7" s="19">
        <f>'Income Statement'!I7</f>
        <v/>
      </c>
    </row>
    <row r="8">
      <c r="A8" s="6" t="inlineStr">
        <is>
          <t>EBITDA margin</t>
        </is>
      </c>
      <c r="B8" s="9">
        <f>B7/B5</f>
        <v/>
      </c>
      <c r="C8" s="9">
        <f>C7/C5</f>
        <v/>
      </c>
      <c r="D8" s="9">
        <f>D7/D5</f>
        <v/>
      </c>
      <c r="E8" s="9">
        <f>E7/E5</f>
        <v/>
      </c>
      <c r="F8" s="9">
        <f>F7/F5</f>
        <v/>
      </c>
      <c r="G8" s="9">
        <f>G7/G5</f>
        <v/>
      </c>
      <c r="H8" s="9">
        <f>H7/H5</f>
        <v/>
      </c>
      <c r="I8" s="9">
        <f>I7/I5</f>
        <v/>
      </c>
    </row>
    <row r="9">
      <c r="A9" s="6" t="inlineStr">
        <is>
          <t>EBIT</t>
        </is>
      </c>
      <c r="B9" s="19">
        <f>'Income Statement'!B10</f>
        <v/>
      </c>
      <c r="C9" s="19">
        <f>'Income Statement'!C10</f>
        <v/>
      </c>
      <c r="D9" s="19">
        <f>'Income Statement'!D10</f>
        <v/>
      </c>
      <c r="E9" s="19">
        <f>'Income Statement'!E10</f>
        <v/>
      </c>
      <c r="F9" s="19">
        <f>'Income Statement'!F10</f>
        <v/>
      </c>
      <c r="G9" s="19">
        <f>'Income Statement'!G10</f>
        <v/>
      </c>
      <c r="H9" s="19">
        <f>'Income Statement'!H10</f>
        <v/>
      </c>
      <c r="I9" s="19">
        <f>'Income Statement'!I10</f>
        <v/>
      </c>
    </row>
    <row r="10">
      <c r="A10" s="6" t="inlineStr">
        <is>
          <t>Attributable profit</t>
        </is>
      </c>
      <c r="B10" s="19">
        <f>'Income Statement'!B17</f>
        <v/>
      </c>
      <c r="C10" s="19">
        <f>'Income Statement'!C17</f>
        <v/>
      </c>
      <c r="D10" s="19">
        <f>'Income Statement'!D17</f>
        <v/>
      </c>
      <c r="E10" s="19">
        <f>'Income Statement'!E17</f>
        <v/>
      </c>
      <c r="F10" s="19">
        <f>'Income Statement'!F17</f>
        <v/>
      </c>
      <c r="G10" s="19">
        <f>'Income Statement'!G17</f>
        <v/>
      </c>
      <c r="H10" s="19">
        <f>'Income Statement'!H17</f>
        <v/>
      </c>
      <c r="I10" s="19">
        <f>'Income Statement'!I17</f>
        <v/>
      </c>
    </row>
    <row r="11">
      <c r="A11" s="6" t="inlineStr">
        <is>
          <t>Free cash flow to the firm</t>
        </is>
      </c>
      <c r="B11" s="32" t="inlineStr">
        <is>
          <t>-</t>
        </is>
      </c>
      <c r="C11" s="32" t="inlineStr">
        <is>
          <t>-</t>
        </is>
      </c>
      <c r="D11" s="32" t="inlineStr">
        <is>
          <t>-</t>
        </is>
      </c>
      <c r="E11" s="19">
        <f>'Cash Flow'!D13</f>
        <v/>
      </c>
      <c r="F11" s="19">
        <f>'Cash Flow'!E13</f>
        <v/>
      </c>
      <c r="G11" s="19">
        <f>'Cash Flow'!F13</f>
        <v/>
      </c>
      <c r="H11" s="19">
        <f>'Cash Flow'!G13</f>
        <v/>
      </c>
      <c r="I11" s="19">
        <f>'Cash Flow'!H13</f>
        <v/>
      </c>
    </row>
    <row r="12">
      <c r="A12" s="6" t="inlineStr">
        <is>
          <t>Net bank debt</t>
        </is>
      </c>
      <c r="B12" s="19">
        <f>'Balance Sheet'!B17</f>
        <v/>
      </c>
      <c r="C12" s="19">
        <f>'Balance Sheet'!C17</f>
        <v/>
      </c>
      <c r="D12" s="19">
        <f>'Balance Sheet'!D17</f>
        <v/>
      </c>
      <c r="E12" s="19">
        <f>'Balance Sheet'!E17</f>
        <v/>
      </c>
      <c r="F12" s="19">
        <f>'Balance Sheet'!F17</f>
        <v/>
      </c>
      <c r="G12" s="19">
        <f>'Balance Sheet'!G17</f>
        <v/>
      </c>
      <c r="H12" s="19">
        <f>'Balance Sheet'!H17</f>
        <v/>
      </c>
      <c r="I12" s="19">
        <f>'Balance Sheet'!I17</f>
        <v/>
      </c>
    </row>
    <row r="13">
      <c r="A13" s="6" t="inlineStr">
        <is>
          <t>Invested capital</t>
        </is>
      </c>
      <c r="B13" s="32" t="inlineStr">
        <is>
          <t>-</t>
        </is>
      </c>
      <c r="C13" s="32" t="inlineStr">
        <is>
          <t>-</t>
        </is>
      </c>
      <c r="D13" s="19">
        <f>'Balance Sheet'!D16+'Balance Sheet'!D5+Assumptions!$C$60</f>
        <v/>
      </c>
      <c r="E13" s="19">
        <f>'Balance Sheet'!E16+'Balance Sheet'!E5+Assumptions!$C$60</f>
        <v/>
      </c>
      <c r="F13" s="19">
        <f>'Balance Sheet'!F16+'Balance Sheet'!F5+Assumptions!$C$60</f>
        <v/>
      </c>
      <c r="G13" s="19">
        <f>'Balance Sheet'!G16+'Balance Sheet'!G5+Assumptions!$C$60</f>
        <v/>
      </c>
      <c r="H13" s="19">
        <f>'Balance Sheet'!H16+'Balance Sheet'!H5+Assumptions!$C$60</f>
        <v/>
      </c>
      <c r="I13" s="19">
        <f>'Balance Sheet'!I16+'Balance Sheet'!I5+Assumptions!$C$60</f>
        <v/>
      </c>
    </row>
    <row r="14">
      <c r="A14" s="6" t="inlineStr">
        <is>
          <t>Return on invested capital</t>
        </is>
      </c>
      <c r="B14" s="9" t="inlineStr">
        <is>
          <t>-</t>
        </is>
      </c>
      <c r="C14" s="9" t="inlineStr">
        <is>
          <t>-</t>
        </is>
      </c>
      <c r="D14" s="9" t="inlineStr">
        <is>
          <t>-</t>
        </is>
      </c>
      <c r="E14" s="17">
        <f>DCF!B10/E13</f>
        <v/>
      </c>
      <c r="F14" s="17">
        <f>DCF!C10/F13</f>
        <v/>
      </c>
      <c r="G14" s="17">
        <f>DCF!D10/G13</f>
        <v/>
      </c>
      <c r="H14" s="17">
        <f>DCF!E10/H13</f>
        <v/>
      </c>
      <c r="I14" s="17">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2026-10-04</t>
        </is>
      </c>
      <c r="B5" s="7" t="n">
        <v>109.5074167265576</v>
      </c>
      <c r="C5" s="7" t="n">
        <v>124.0514957843762</v>
      </c>
      <c r="D5" s="7" t="n">
        <v>133.0616563686112</v>
      </c>
      <c r="E5" s="7" t="n">
        <v>142.7314893420786</v>
      </c>
      <c r="F5" s="7" t="n">
        <v>161.6387745143835</v>
      </c>
      <c r="G5" s="21" t="n">
        <v>0.5907</v>
      </c>
    </row>
    <row r="6">
      <c r="A6" s="6" t="inlineStr">
        <is>
          <t>Three months — to 2026-12-03</t>
        </is>
      </c>
      <c r="B6" s="7" t="n">
        <v>98.48901557567697</v>
      </c>
      <c r="C6" s="7" t="n">
        <v>122.2212388578727</v>
      </c>
      <c r="D6" s="7" t="n">
        <v>137.99004315834</v>
      </c>
      <c r="E6" s="7" t="n">
        <v>155.78764256831</v>
      </c>
      <c r="F6" s="7" t="n">
        <v>193.0056349056027</v>
      </c>
      <c r="G6" s="21" t="n">
        <v>0.6309</v>
      </c>
    </row>
    <row r="8">
      <c r="A8" s="5" t="inlineStr">
        <is>
          <t>Level event</t>
        </is>
      </c>
      <c r="B8" s="5" t="inlineStr">
        <is>
          <t>One month</t>
        </is>
      </c>
      <c r="C8" s="5" t="inlineStr">
        <is>
          <t>Three months</t>
        </is>
      </c>
    </row>
    <row r="9">
      <c r="A9" s="6" t="inlineStr">
        <is>
          <t>Finishes 10% or more above spot</t>
        </is>
      </c>
      <c r="B9" s="21" t="n">
        <v>0.24454</v>
      </c>
      <c r="C9" s="21" t="n">
        <v>0.41946</v>
      </c>
    </row>
    <row r="10">
      <c r="A10" s="6" t="inlineStr">
        <is>
          <t>Finishes 10% or more below spot</t>
        </is>
      </c>
      <c r="B10" s="21" t="n">
        <v>0.11996</v>
      </c>
      <c r="C10" s="21" t="n">
        <v>0.18412</v>
      </c>
    </row>
    <row r="11">
      <c r="A11" s="6" t="inlineStr">
        <is>
          <t>Touches 10% above spot at any point</t>
        </is>
      </c>
      <c r="B11" s="21" t="n">
        <v>0.37802</v>
      </c>
      <c r="C11" s="21" t="n">
        <v>0.65432</v>
      </c>
    </row>
    <row r="12">
      <c r="A12" s="6" t="inlineStr">
        <is>
          <t>Touches 10% below spot at any point</t>
        </is>
      </c>
      <c r="B12" s="21" t="n">
        <v>0.22024</v>
      </c>
      <c r="C12" s="21" t="n">
        <v>0.40498</v>
      </c>
    </row>
    <row r="14">
      <c r="A14" s="5" t="inlineStr">
        <is>
          <t>Engine setting</t>
        </is>
      </c>
      <c r="B14" s="5" t="inlineStr">
        <is>
          <t>Value</t>
        </is>
      </c>
    </row>
    <row r="15">
      <c r="A15" s="6" t="inlineStr">
        <is>
          <t>Simulated paths</t>
        </is>
      </c>
      <c r="C15" s="24" t="n">
        <v>50000</v>
      </c>
    </row>
    <row r="16">
      <c r="A16" s="6" t="inlineStr">
        <is>
          <t>Annualised volatility (3-month anchor)</t>
        </is>
      </c>
      <c r="C16" s="21" t="n">
        <v>0.4932051127914256</v>
      </c>
    </row>
    <row r="17">
      <c r="A17" s="6" t="inlineStr">
        <is>
          <t>Spot price (EGP)</t>
        </is>
      </c>
      <c r="C17" s="8">
        <f>Summary!C16</f>
        <v/>
      </c>
    </row>
    <row r="18">
      <c r="A18" s="6" t="inlineStr">
        <is>
          <t>Anchor date</t>
        </is>
      </c>
      <c r="C18" s="22" t="inlineStr">
        <is>
          <t>2026-09-03</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15" t="inlineStr">
        <is>
          <t>Terminal cost of capital (rows) x terminal growth (columns)</t>
        </is>
      </c>
    </row>
    <row r="5">
      <c r="A5" s="5" t="inlineStr"/>
      <c r="B5" s="5" t="inlineStr">
        <is>
          <t>7%</t>
        </is>
      </c>
      <c r="C5" s="5" t="inlineStr">
        <is>
          <t>8%</t>
        </is>
      </c>
      <c r="D5" s="5" t="inlineStr">
        <is>
          <t>9%</t>
        </is>
      </c>
      <c r="E5" s="5" t="inlineStr">
        <is>
          <t>10%</t>
        </is>
      </c>
      <c r="F5" s="5" t="inlineStr">
        <is>
          <t>11%</t>
        </is>
      </c>
    </row>
    <row r="6">
      <c r="A6" s="6" t="inlineStr">
        <is>
          <t>13.3%</t>
        </is>
      </c>
      <c r="B6" s="7" t="n">
        <v>104.2101859237371</v>
      </c>
      <c r="C6" s="7" t="n">
        <v>116.8098706699302</v>
      </c>
      <c r="D6" s="7" t="n">
        <v>135.219146258418</v>
      </c>
      <c r="E6" s="7" t="n">
        <v>164.8785308033142</v>
      </c>
      <c r="F6" s="7" t="n">
        <v>221.1046215644958</v>
      </c>
    </row>
    <row r="7">
      <c r="A7" s="6" t="inlineStr">
        <is>
          <t>14.3%</t>
        </is>
      </c>
      <c r="B7" s="7" t="n">
        <v>87.86914264056945</v>
      </c>
      <c r="C7" s="7" t="n">
        <v>95.96502215447296</v>
      </c>
      <c r="D7" s="7" t="n">
        <v>107.0264794129917</v>
      </c>
      <c r="E7" s="7" t="n">
        <v>123.1700137459473</v>
      </c>
      <c r="F7" s="7" t="n">
        <v>149.1548471246215</v>
      </c>
    </row>
    <row r="8">
      <c r="A8" s="6" t="inlineStr">
        <is>
          <t>15.3%</t>
        </is>
      </c>
      <c r="B8" s="7" t="n">
        <v>75.53391452021511</v>
      </c>
      <c r="C8" s="7" t="n">
        <v>80.92847382063268</v>
      </c>
      <c r="D8" s="7" t="n">
        <v>87.94253027526975</v>
      </c>
      <c r="E8" s="7" t="n">
        <v>97.50977831627539</v>
      </c>
      <c r="F8" s="7" t="n">
        <v>111.452401931667</v>
      </c>
    </row>
    <row r="9">
      <c r="A9" s="6" t="inlineStr">
        <is>
          <t>16.3%</t>
        </is>
      </c>
      <c r="B9" s="7" t="n">
        <v>65.89800648265457</v>
      </c>
      <c r="C9" s="7" t="n">
        <v>69.57543582124129</v>
      </c>
      <c r="D9" s="7" t="n">
        <v>74.17318967641987</v>
      </c>
      <c r="E9" s="7" t="n">
        <v>80.1363341557968</v>
      </c>
      <c r="F9" s="7" t="n">
        <v>88.25206275347753</v>
      </c>
    </row>
    <row r="10">
      <c r="A10" s="6" t="inlineStr">
        <is>
          <t>17.3%</t>
        </is>
      </c>
      <c r="B10" s="7" t="n">
        <v>58.16712816218472</v>
      </c>
      <c r="C10" s="7" t="n">
        <v>60.7046157451272</v>
      </c>
      <c r="D10" s="7" t="n">
        <v>63.77436696970145</v>
      </c>
      <c r="E10" s="7" t="n">
        <v>67.59805018613132</v>
      </c>
      <c r="F10" s="7" t="n">
        <v>72.5402645884689</v>
      </c>
    </row>
    <row r="12">
      <c r="A12" s="15" t="inlineStr">
        <is>
          <t>Explicit-window cost of capital (columns) x terminal cost of capital (rows)</t>
        </is>
      </c>
    </row>
    <row r="13">
      <c r="A13" s="5" t="inlineStr"/>
      <c r="B13" s="5" t="inlineStr">
        <is>
          <t>23.7%</t>
        </is>
      </c>
      <c r="C13" s="5" t="inlineStr">
        <is>
          <t>25.2%</t>
        </is>
      </c>
      <c r="D13" s="5" t="inlineStr">
        <is>
          <t>26.7%</t>
        </is>
      </c>
      <c r="E13" s="5" t="inlineStr">
        <is>
          <t>28.2%</t>
        </is>
      </c>
      <c r="F13" s="5" t="inlineStr">
        <is>
          <t>29.7%</t>
        </is>
      </c>
    </row>
    <row r="14">
      <c r="A14" s="6" t="inlineStr">
        <is>
          <t>terminal 13.3%</t>
        </is>
      </c>
      <c r="B14" s="7" t="n">
        <v>143.241161592152</v>
      </c>
      <c r="C14" s="7" t="n">
        <v>139.1577769068532</v>
      </c>
      <c r="D14" s="7" t="n">
        <v>135.219146258418</v>
      </c>
      <c r="E14" s="7" t="n">
        <v>131.4188596590871</v>
      </c>
      <c r="F14" s="7" t="n">
        <v>127.7508493430342</v>
      </c>
    </row>
    <row r="15">
      <c r="A15" s="6" t="inlineStr">
        <is>
          <t>terminal 14.3%</t>
        </is>
      </c>
      <c r="B15" s="7" t="n">
        <v>113.4482630797391</v>
      </c>
      <c r="C15" s="7" t="n">
        <v>110.179566181293</v>
      </c>
      <c r="D15" s="7" t="n">
        <v>107.0264794129917</v>
      </c>
      <c r="E15" s="7" t="n">
        <v>103.9838921385165</v>
      </c>
      <c r="F15" s="7" t="n">
        <v>101.0469662109245</v>
      </c>
    </row>
    <row r="16">
      <c r="A16" s="6" t="inlineStr">
        <is>
          <t>terminal 15.3%</t>
        </is>
      </c>
      <c r="B16" s="7" t="n">
        <v>93.28146797926233</v>
      </c>
      <c r="C16" s="7" t="n">
        <v>90.56405159320151</v>
      </c>
      <c r="D16" s="7" t="n">
        <v>87.94253027526975</v>
      </c>
      <c r="E16" s="7" t="n">
        <v>85.41267212934591</v>
      </c>
      <c r="F16" s="7" t="n">
        <v>82.97047060014312</v>
      </c>
    </row>
    <row r="17">
      <c r="A17" s="6" t="inlineStr">
        <is>
          <t>terminal 16.3%</t>
        </is>
      </c>
      <c r="B17" s="7" t="n">
        <v>78.73114527643777</v>
      </c>
      <c r="C17" s="7" t="n">
        <v>76.41132699503298</v>
      </c>
      <c r="D17" s="7" t="n">
        <v>74.17318967641987</v>
      </c>
      <c r="E17" s="7" t="n">
        <v>72.01313478150634</v>
      </c>
      <c r="F17" s="7" t="n">
        <v>69.92775513848943</v>
      </c>
    </row>
    <row r="18">
      <c r="A18" s="6" t="inlineStr">
        <is>
          <t>terminal 17.3%</t>
        </is>
      </c>
      <c r="B18" s="7" t="n">
        <v>67.74277207327435</v>
      </c>
      <c r="C18" s="7" t="n">
        <v>65.72309192406004</v>
      </c>
      <c r="D18" s="7" t="n">
        <v>63.77436696970145</v>
      </c>
      <c r="E18" s="7" t="n">
        <v>61.8934764300487</v>
      </c>
      <c r="F18" s="7" t="n">
        <v>60.07746527262637</v>
      </c>
    </row>
    <row r="20">
      <c r="A20" s="15" t="inlineStr">
        <is>
          <t>Single-driver sensitivities — five engine re-runs per row; the parameter grid for each row is shown beside its name</t>
        </is>
      </c>
    </row>
    <row r="21">
      <c r="A21" s="5" t="inlineStr">
        <is>
          <t>Driver (parameter grid)</t>
        </is>
      </c>
      <c r="B21" s="5" t="inlineStr"/>
      <c r="C21" s="5" t="inlineStr"/>
      <c r="D21" s="5" t="inlineStr"/>
      <c r="E21" s="5" t="inlineStr"/>
      <c r="F21" s="5" t="inlineStr"/>
      <c r="G21" s="5" t="inlineStr"/>
      <c r="H21" s="5" t="inlineStr">
        <is>
          <t>Swing</t>
        </is>
      </c>
    </row>
    <row r="22">
      <c r="A22" s="6" t="inlineStr">
        <is>
          <t>Beta  (0.60 / 0.80 / 1.15 / 1.23 / 1.30)</t>
        </is>
      </c>
      <c r="B22" s="7" t="n">
        <v>92.3073328407132</v>
      </c>
      <c r="C22" s="7" t="n">
        <v>90.88223139673786</v>
      </c>
      <c r="D22" s="7" t="n">
        <v>88.4522706716469</v>
      </c>
      <c r="E22" s="7" t="n">
        <v>87.94189674346777</v>
      </c>
      <c r="F22" s="7" t="n">
        <v>87.43509782336898</v>
      </c>
      <c r="H22" s="16">
        <f>MAX(B22:F22)-MIN(B22:F22)</f>
        <v/>
      </c>
    </row>
    <row r="23">
      <c r="A23" s="6" t="inlineStr">
        <is>
          <t>Exchange-rate path multiplier  (0.90x / 1.00x / 1.20x / 1.45x / 1.70x)</t>
        </is>
      </c>
      <c r="B23" s="7" t="n">
        <v>85.01598494266179</v>
      </c>
      <c r="C23" s="7" t="n">
        <v>87.94253027526975</v>
      </c>
      <c r="D23" s="7" t="n">
        <v>93.79562094048565</v>
      </c>
      <c r="E23" s="7" t="n">
        <v>101.1119842720056</v>
      </c>
      <c r="F23" s="7" t="n">
        <v>108.4283476035255</v>
      </c>
      <c r="H23" s="16">
        <f>MAX(B23:F23)-MIN(B23:F23)</f>
        <v/>
      </c>
    </row>
    <row r="24">
      <c r="A24" s="6" t="inlineStr">
        <is>
          <t>Segment margins, multiplicative  (0.850x / 0.925x / 1.000x / 1.075x / 1.150x)</t>
        </is>
      </c>
      <c r="B24" s="7" t="n">
        <v>50.94299420291501</v>
      </c>
      <c r="C24" s="7" t="n">
        <v>69.44276223909237</v>
      </c>
      <c r="D24" s="7" t="n">
        <v>87.94253027526975</v>
      </c>
      <c r="E24" s="7" t="n">
        <v>106.442298311447</v>
      </c>
      <c r="F24" s="7" t="n">
        <v>124.9420663476243</v>
      </c>
      <c r="H24" s="16">
        <f>MAX(B24:F24)-MIN(B24:F24)</f>
        <v/>
      </c>
    </row>
    <row r="25">
      <c r="A25" s="6" t="inlineStr">
        <is>
          <t>Copper price multiplier  (0.850x / 0.925x / 1.000x / 1.075x / 1.150x)</t>
        </is>
      </c>
      <c r="B25" s="7" t="n">
        <v>83.55271227635778</v>
      </c>
      <c r="C25" s="7" t="n">
        <v>85.74762127581378</v>
      </c>
      <c r="D25" s="7" t="n">
        <v>87.94253027526975</v>
      </c>
      <c r="E25" s="7" t="n">
        <v>90.13743927472571</v>
      </c>
      <c r="F25" s="7" t="n">
        <v>92.33234827418168</v>
      </c>
      <c r="H25" s="16">
        <f>MAX(B25:F25)-MIN(B25:F25)</f>
        <v/>
      </c>
    </row>
    <row r="26">
      <c r="A26" s="6" t="inlineStr">
        <is>
          <t>Working capital / revenue  (17.0% / 18.5% / 19.9% / 21.5% / 23.0%)</t>
        </is>
      </c>
      <c r="B26" s="7" t="n">
        <v>97.75178736220548</v>
      </c>
      <c r="C26" s="7" t="n">
        <v>92.24096877403932</v>
      </c>
      <c r="D26" s="7" t="n">
        <v>87.09753809175092</v>
      </c>
      <c r="E26" s="7" t="n">
        <v>81.21933159770705</v>
      </c>
      <c r="F26" s="7" t="n">
        <v>75.70851300954091</v>
      </c>
      <c r="H26" s="16">
        <f>MAX(B26:F26)-MIN(B26:F26)</f>
        <v/>
      </c>
    </row>
    <row r="27">
      <c r="A27" s="6" t="inlineStr">
        <is>
          <t>Terminal return on invested capital  (15.0% / 18.0% / 22.4% / 26.0% / 30.0%)</t>
        </is>
      </c>
      <c r="B27" s="7" t="n">
        <v>66.63013824272224</v>
      </c>
      <c r="C27" s="7" t="n">
        <v>83.24518221853894</v>
      </c>
      <c r="D27" s="7" t="n">
        <v>99.66193933569537</v>
      </c>
      <c r="E27" s="7" t="n">
        <v>108.80678833518</v>
      </c>
      <c r="F27" s="7" t="n">
        <v>116.4752701701724</v>
      </c>
      <c r="H27" s="16">
        <f>MAX(B27:F27)-MIN(B27:F27)</f>
        <v/>
      </c>
    </row>
    <row r="28">
      <c r="A28" s="6" t="inlineStr">
        <is>
          <t>Terminal growth (at base cost of capital)  (7% / 8% / 9% / 10% / 11%)</t>
        </is>
      </c>
      <c r="B28" s="7" t="n">
        <v>75.53391452021511</v>
      </c>
      <c r="C28" s="7" t="n">
        <v>80.92847382063268</v>
      </c>
      <c r="D28" s="7" t="n">
        <v>87.94253027526975</v>
      </c>
      <c r="E28" s="7" t="n">
        <v>97.50977831627539</v>
      </c>
      <c r="F28" s="7" t="n">
        <v>111.452401931667</v>
      </c>
      <c r="H28" s="16">
        <f>MAX(B28:F28)-MIN(B28:F28)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6">
        <f>'Income Statement'!B18</f>
        <v/>
      </c>
      <c r="C5" s="16">
        <f>'Income Statement'!C18</f>
        <v/>
      </c>
      <c r="D5" s="16">
        <f>'Income Statement'!D18</f>
        <v/>
      </c>
      <c r="E5" s="16">
        <f>'Income Statement'!E18</f>
        <v/>
      </c>
      <c r="F5" s="16">
        <f>'Income Statement'!F18</f>
        <v/>
      </c>
      <c r="G5" s="16">
        <f>'Income Statement'!G18</f>
        <v/>
      </c>
      <c r="H5" s="16">
        <f>'Income Statement'!H18</f>
        <v/>
      </c>
      <c r="I5" s="16">
        <f>'Income Statement'!I18</f>
        <v/>
      </c>
    </row>
    <row r="6">
      <c r="A6" s="6" t="inlineStr">
        <is>
          <t>Book value per share (EGP)</t>
        </is>
      </c>
      <c r="B6" s="16">
        <f>'Balance Sheet'!B14/Assumptions!$C$6</f>
        <v/>
      </c>
      <c r="C6" s="16">
        <f>'Balance Sheet'!C14/Assumptions!$C$6</f>
        <v/>
      </c>
      <c r="D6" s="16">
        <f>'Balance Sheet'!D14/Assumptions!$C$6</f>
        <v/>
      </c>
      <c r="E6" s="16">
        <f>'Balance Sheet'!E14/Assumptions!$C$6</f>
        <v/>
      </c>
      <c r="F6" s="16">
        <f>'Balance Sheet'!F14/Assumptions!$C$6</f>
        <v/>
      </c>
      <c r="G6" s="16">
        <f>'Balance Sheet'!G14/Assumptions!$C$6</f>
        <v/>
      </c>
      <c r="H6" s="16">
        <f>'Balance Sheet'!H14/Assumptions!$C$6</f>
        <v/>
      </c>
      <c r="I6" s="16">
        <f>'Balance Sheet'!I14/Assumptions!$C$6</f>
        <v/>
      </c>
    </row>
    <row r="7">
      <c r="A7" s="6" t="inlineStr">
        <is>
          <t>Free cash flow per share (EGP)</t>
        </is>
      </c>
      <c r="B7" s="16" t="inlineStr">
        <is>
          <t>-</t>
        </is>
      </c>
      <c r="C7" s="16" t="inlineStr">
        <is>
          <t>-</t>
        </is>
      </c>
      <c r="D7" s="16" t="inlineStr">
        <is>
          <t>-</t>
        </is>
      </c>
      <c r="E7" s="16">
        <f>'Summary Financials'!E11/Assumptions!$C$6</f>
        <v/>
      </c>
      <c r="F7" s="16">
        <f>'Summary Financials'!F11/Assumptions!$C$6</f>
        <v/>
      </c>
      <c r="G7" s="16">
        <f>'Summary Financials'!G11/Assumptions!$C$6</f>
        <v/>
      </c>
      <c r="H7" s="16">
        <f>'Summary Financials'!H11/Assumptions!$C$6</f>
        <v/>
      </c>
      <c r="I7" s="16">
        <f>'Summary Financials'!I11/Assumptions!$C$6</f>
        <v/>
      </c>
    </row>
    <row r="8">
      <c r="A8" s="6" t="inlineStr">
        <is>
          <t>Gross margin</t>
        </is>
      </c>
      <c r="B8" s="9">
        <f>'Income Statement'!B6/'Income Statement'!B5</f>
        <v/>
      </c>
      <c r="C8" s="9">
        <f>'Income Statement'!C6/'Income Statement'!C5</f>
        <v/>
      </c>
      <c r="D8" s="9">
        <f>'Income Statement'!D6/'Income Statement'!D5</f>
        <v/>
      </c>
      <c r="E8" s="9">
        <f>'Income Statement'!E6/'Income Statement'!E5</f>
        <v/>
      </c>
      <c r="F8" s="9">
        <f>'Income Statement'!F6/'Income Statement'!F5</f>
        <v/>
      </c>
      <c r="G8" s="9">
        <f>'Income Statement'!G6/'Income Statement'!G5</f>
        <v/>
      </c>
      <c r="H8" s="9">
        <f>'Income Statement'!H6/'Income Statement'!H5</f>
        <v/>
      </c>
      <c r="I8" s="9">
        <f>'Income Statement'!I6/'Income Statement'!I5</f>
        <v/>
      </c>
    </row>
    <row r="9">
      <c r="A9" s="6" t="inlineStr">
        <is>
          <t>EBITDA margin</t>
        </is>
      </c>
      <c r="B9" s="9">
        <f>'Income Statement'!B8</f>
        <v/>
      </c>
      <c r="C9" s="9">
        <f>'Income Statement'!C8</f>
        <v/>
      </c>
      <c r="D9" s="9">
        <f>'Income Statement'!D8</f>
        <v/>
      </c>
      <c r="E9" s="9">
        <f>'Income Statement'!E8</f>
        <v/>
      </c>
      <c r="F9" s="9">
        <f>'Income Statement'!F8</f>
        <v/>
      </c>
      <c r="G9" s="9">
        <f>'Income Statement'!G8</f>
        <v/>
      </c>
      <c r="H9" s="9">
        <f>'Income Statement'!H8</f>
        <v/>
      </c>
      <c r="I9" s="9">
        <f>'Income Statement'!I8</f>
        <v/>
      </c>
    </row>
    <row r="10">
      <c r="A10" s="6" t="inlineStr">
        <is>
          <t>EBIT margin</t>
        </is>
      </c>
      <c r="B10" s="9">
        <f>'Income Statement'!B10/'Income Statement'!B5</f>
        <v/>
      </c>
      <c r="C10" s="9">
        <f>'Income Statement'!C10/'Income Statement'!C5</f>
        <v/>
      </c>
      <c r="D10" s="9">
        <f>'Income Statement'!D10/'Income Statement'!D5</f>
        <v/>
      </c>
      <c r="E10" s="9">
        <f>'Income Statement'!E10/'Income Statement'!E5</f>
        <v/>
      </c>
      <c r="F10" s="9">
        <f>'Income Statement'!F10/'Income Statement'!F5</f>
        <v/>
      </c>
      <c r="G10" s="9">
        <f>'Income Statement'!G10/'Income Statement'!G5</f>
        <v/>
      </c>
      <c r="H10" s="9">
        <f>'Income Statement'!H10/'Income Statement'!H5</f>
        <v/>
      </c>
      <c r="I10" s="9">
        <f>'Income Statement'!I10/'Income Statement'!I5</f>
        <v/>
      </c>
    </row>
    <row r="11">
      <c r="A11" s="6" t="inlineStr">
        <is>
          <t>Net margin (attributable)</t>
        </is>
      </c>
      <c r="B11" s="9">
        <f>'Income Statement'!B17/'Income Statement'!B5</f>
        <v/>
      </c>
      <c r="C11" s="9">
        <f>'Income Statement'!C17/'Income Statement'!C5</f>
        <v/>
      </c>
      <c r="D11" s="9">
        <f>'Income Statement'!D17/'Income Statement'!D5</f>
        <v/>
      </c>
      <c r="E11" s="9">
        <f>'Income Statement'!E17/'Income Statement'!E5</f>
        <v/>
      </c>
      <c r="F11" s="9">
        <f>'Income Statement'!F17/'Income Statement'!F5</f>
        <v/>
      </c>
      <c r="G11" s="9">
        <f>'Income Statement'!G17/'Income Statement'!G5</f>
        <v/>
      </c>
      <c r="H11" s="9">
        <f>'Income Statement'!H17/'Income Statement'!H5</f>
        <v/>
      </c>
      <c r="I11" s="9">
        <f>'Income Statement'!I17/'Income Statement'!I5</f>
        <v/>
      </c>
    </row>
    <row r="12">
      <c r="A12" s="6" t="inlineStr">
        <is>
          <t>Return on equity</t>
        </is>
      </c>
      <c r="B12" s="9" t="inlineStr">
        <is>
          <t>-</t>
        </is>
      </c>
      <c r="C12" s="9">
        <f>'Income Statement'!C17/(('Balance Sheet'!B14+'Balance Sheet'!C14)/2)</f>
        <v/>
      </c>
      <c r="D12" s="9">
        <f>'Income Statement'!D17/(('Balance Sheet'!C14+'Balance Sheet'!D14)/2)</f>
        <v/>
      </c>
      <c r="E12" s="9">
        <f>'Income Statement'!E17/(('Balance Sheet'!D14+'Balance Sheet'!E14)/2)</f>
        <v/>
      </c>
      <c r="F12" s="9">
        <f>'Income Statement'!F17/(('Balance Sheet'!E14+'Balance Sheet'!F14)/2)</f>
        <v/>
      </c>
      <c r="G12" s="9">
        <f>'Income Statement'!G17/(('Balance Sheet'!F14+'Balance Sheet'!G14)/2)</f>
        <v/>
      </c>
      <c r="H12" s="9">
        <f>'Income Statement'!H17/(('Balance Sheet'!G14+'Balance Sheet'!H14)/2)</f>
        <v/>
      </c>
      <c r="I12" s="9">
        <f>'Income Statement'!I17/(('Balance Sheet'!H14+'Balance Sheet'!I14)/2)</f>
        <v/>
      </c>
    </row>
    <row r="13">
      <c r="A13" s="6" t="inlineStr">
        <is>
          <t>Return on invested capital</t>
        </is>
      </c>
      <c r="B13" s="9" t="inlineStr">
        <is>
          <t>-</t>
        </is>
      </c>
      <c r="C13" s="9" t="inlineStr">
        <is>
          <t>-</t>
        </is>
      </c>
      <c r="D13" s="9" t="inlineStr">
        <is>
          <t>-</t>
        </is>
      </c>
      <c r="E13" s="9">
        <f>'Summary Financials'!E14</f>
        <v/>
      </c>
      <c r="F13" s="9">
        <f>'Summary Financials'!F14</f>
        <v/>
      </c>
      <c r="G13" s="9">
        <f>'Summary Financials'!G14</f>
        <v/>
      </c>
      <c r="H13" s="9">
        <f>'Summary Financials'!H14</f>
        <v/>
      </c>
      <c r="I13" s="9">
        <f>'Summary Financials'!I14</f>
        <v/>
      </c>
    </row>
    <row r="14">
      <c r="A14" s="6" t="inlineStr">
        <is>
          <t>Net debt / EBITDA</t>
        </is>
      </c>
      <c r="B14" s="38">
        <f>'Balance Sheet'!B18</f>
        <v/>
      </c>
      <c r="C14" s="38">
        <f>'Balance Sheet'!C18</f>
        <v/>
      </c>
      <c r="D14" s="38">
        <f>'Balance Sheet'!D18</f>
        <v/>
      </c>
      <c r="E14" s="38">
        <f>'Balance Sheet'!E18</f>
        <v/>
      </c>
      <c r="F14" s="38">
        <f>'Balance Sheet'!F18</f>
        <v/>
      </c>
      <c r="G14" s="38">
        <f>'Balance Sheet'!G18</f>
        <v/>
      </c>
      <c r="H14" s="38">
        <f>'Balance Sheet'!H18</f>
        <v/>
      </c>
      <c r="I14" s="38">
        <f>'Balance Sheet'!I18</f>
        <v/>
      </c>
    </row>
    <row r="15">
      <c r="A15" s="6" t="inlineStr">
        <is>
          <t>Interest cover (EBIT / net interest)</t>
        </is>
      </c>
      <c r="B15" s="38" t="inlineStr">
        <is>
          <t>-</t>
        </is>
      </c>
      <c r="C15" s="38">
        <f>-'Income Statement'!C10/'Income Statement'!C11</f>
        <v/>
      </c>
      <c r="D15" s="38">
        <f>-'Income Statement'!D10/'Income Statement'!D11</f>
        <v/>
      </c>
      <c r="E15" s="38">
        <f>-'Income Statement'!E10/'Income Statement'!E11</f>
        <v/>
      </c>
      <c r="F15" s="38">
        <f>-'Income Statement'!F10/'Income Statement'!F11</f>
        <v/>
      </c>
      <c r="G15" s="38">
        <f>-'Income Statement'!G10/'Income Statement'!G11</f>
        <v/>
      </c>
      <c r="H15" s="38">
        <f>-'Income Statement'!H10/'Income Statement'!H11</f>
        <v/>
      </c>
      <c r="I15" s="38">
        <f>-'Income Statement'!I10/'Income Statement'!I11</f>
        <v/>
      </c>
    </row>
    <row r="16">
      <c r="A16" s="6" t="inlineStr">
        <is>
          <t>Working capital / revenue</t>
        </is>
      </c>
      <c r="B16" s="9">
        <f>'Balance Sheet'!B16/'Income Statement'!B5</f>
        <v/>
      </c>
      <c r="C16" s="9">
        <f>'Balance Sheet'!C16/'Income Statement'!C5</f>
        <v/>
      </c>
      <c r="D16" s="9">
        <f>'Balance Sheet'!D16/'Income Statement'!D5</f>
        <v/>
      </c>
      <c r="E16" s="9">
        <f>'Balance Sheet'!E16/'Income Statement'!E5</f>
        <v/>
      </c>
      <c r="F16" s="9">
        <f>'Balance Sheet'!F16/'Income Statement'!F5</f>
        <v/>
      </c>
      <c r="G16" s="9">
        <f>'Balance Sheet'!G16/'Income Statement'!G5</f>
        <v/>
      </c>
      <c r="H16" s="9">
        <f>'Balance Sheet'!H16/'Income Statement'!H5</f>
        <v/>
      </c>
      <c r="I16" s="9">
        <f>'Balance Sheet'!I16/'Income Statement'!I5</f>
        <v/>
      </c>
    </row>
    <row r="17">
      <c r="A17" s="6" t="inlineStr">
        <is>
          <t>Capital expenditure / revenue</t>
        </is>
      </c>
      <c r="B17" s="9" t="inlineStr">
        <is>
          <t>-</t>
        </is>
      </c>
      <c r="C17" s="9">
        <f>-'Cash Flow'!B11/'Income Statement'!C5</f>
        <v/>
      </c>
      <c r="D17" s="9">
        <f>-'Cash Flow'!C11/'Income Statement'!D5</f>
        <v/>
      </c>
      <c r="E17" s="9">
        <f>-'Cash Flow'!D11/'Income Statement'!E5</f>
        <v/>
      </c>
      <c r="F17" s="9">
        <f>-'Cash Flow'!E11/'Income Statement'!F5</f>
        <v/>
      </c>
      <c r="G17" s="9">
        <f>-'Cash Flow'!F11/'Income Statement'!G5</f>
        <v/>
      </c>
      <c r="H17" s="9">
        <f>-'Cash Flow'!G11/'Income Statement'!H5</f>
        <v/>
      </c>
      <c r="I17" s="9">
        <f>-'Cash Flow'!H11/'Income Statement'!I5</f>
        <v/>
      </c>
    </row>
    <row r="18">
      <c r="A18" s="6" t="inlineStr">
        <is>
          <t>Reinvestment rate</t>
        </is>
      </c>
      <c r="B18" s="21" t="n">
        <v>0.2012516504606288</v>
      </c>
      <c r="C18" s="21" t="n">
        <v>0.3037580263923543</v>
      </c>
      <c r="D18" s="21" t="n">
        <v>0.5146285136141233</v>
      </c>
      <c r="E18" s="9" t="inlineStr">
        <is>
          <t>-</t>
        </is>
      </c>
      <c r="F18" s="9" t="inlineStr">
        <is>
          <t>-</t>
        </is>
      </c>
      <c r="G18" s="9" t="inlineStr">
        <is>
          <t>-</t>
        </is>
      </c>
      <c r="H18" s="9" t="inlineStr">
        <is>
          <t>-</t>
        </is>
      </c>
      <c r="I18" s="9" t="inlineStr">
        <is>
          <t>-</t>
        </is>
      </c>
    </row>
    <row r="19">
      <c r="A19" s="6" t="inlineStr">
        <is>
          <t>Implied growth (return on capital x reinvestment)</t>
        </is>
      </c>
      <c r="B19" s="21" t="n">
        <v>0.04486693009301836</v>
      </c>
      <c r="C19" s="21" t="n">
        <v>0.07551752174309861</v>
      </c>
      <c r="D19" s="21" t="n">
        <v>0.1079821501300804</v>
      </c>
      <c r="E19" s="9" t="inlineStr">
        <is>
          <t>-</t>
        </is>
      </c>
      <c r="F19" s="9" t="inlineStr">
        <is>
          <t>-</t>
        </is>
      </c>
      <c r="G19" s="9" t="inlineStr">
        <is>
          <t>-</t>
        </is>
      </c>
      <c r="H19" s="9" t="inlineStr">
        <is>
          <t>-</t>
        </is>
      </c>
      <c r="I19" s="9" t="inlineStr">
        <is>
          <t>-</t>
        </is>
      </c>
    </row>
    <row r="21">
      <c r="A21" s="4" t="inlineStr">
        <is>
          <t>Terminal growth reconciliation: actual NOPAT compound growth FY2023–FY2025 was 26.9%; the implied growth from stable years only (FY2024 excluded as a debt-funded capacity burst) is 7.6%; the adopted terminal growth is 9.1%, below the blended nominal ceiling of 11.2%.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3" t="inlineStr">
        <is>
          <t>nearest listed regional cable manufacturer</t>
        </is>
      </c>
      <c r="D5" s="43" t="inlineStr">
        <is>
          <t>far smaller, no contracting arm, lighter balance sheet, pegged currency</t>
        </is>
      </c>
    </row>
    <row r="6" ht="30" customHeight="1">
      <c r="A6" s="6" t="inlineStr">
        <is>
          <t>Electro Cable Egypt</t>
        </is>
      </c>
      <c r="B6" s="6" t="inlineStr">
        <is>
          <t>Egypt</t>
        </is>
      </c>
      <c r="C6" s="43" t="inlineStr">
        <is>
          <t>the only other listed Egyptian cable manufacturer</t>
        </is>
      </c>
      <c r="D6" s="43" t="inlineStr">
        <is>
          <t>much smaller, domestic, heavily levered, currently loss-making</t>
        </is>
      </c>
    </row>
    <row r="7" ht="30" customHeight="1">
      <c r="A7" s="6" t="inlineStr">
        <is>
          <t>European cable majors</t>
        </is>
      </c>
      <c r="B7" s="6" t="inlineStr">
        <is>
          <t>Europe</t>
        </is>
      </c>
      <c r="C7" s="43" t="inlineStr">
        <is>
          <t>closest match on business model — cables plus projects</t>
        </is>
      </c>
      <c r="D7" s="43" t="inlineStr">
        <is>
          <t>developed-market cost of capital; no convertibility risk</t>
        </is>
      </c>
    </row>
    <row r="8" ht="30" customHeight="1">
      <c r="A8" s="6" t="inlineStr">
        <is>
          <t>Regional engineering and construction contractors</t>
        </is>
      </c>
      <c r="B8" s="6" t="inlineStr">
        <is>
          <t>Gulf and North Africa</t>
        </is>
      </c>
      <c r="C8" s="43" t="inlineStr">
        <is>
          <t>the right frame for the roughly 32% that is the Constructions and infrastructure segment</t>
        </is>
      </c>
      <c r="D8" s="43" t="inlineStr">
        <is>
          <t>project accounting and backlog quality are not comparable</t>
        </is>
      </c>
    </row>
    <row r="10">
      <c r="A10" s="5" t="inlineStr">
        <is>
          <t>Own multiples</t>
        </is>
      </c>
      <c r="B10" s="5" t="inlineStr">
        <is>
          <t>Value</t>
        </is>
      </c>
    </row>
    <row r="11">
      <c r="A11" s="6" t="inlineStr">
        <is>
          <t>Trailing enterprise value / EBITDA</t>
        </is>
      </c>
      <c r="B11" s="36">
        <f>'Relative &amp; Normalized'!C13</f>
        <v/>
      </c>
    </row>
    <row r="12">
      <c r="A12" s="6" t="inlineStr">
        <is>
          <t>Trailing price / earnings</t>
        </is>
      </c>
      <c r="B12" s="36">
        <f>'Relative &amp; Normalized'!C14</f>
        <v/>
      </c>
    </row>
    <row r="13">
      <c r="A13" s="6" t="inlineStr">
        <is>
          <t>Trailing price / book</t>
        </is>
      </c>
      <c r="B13" s="36">
        <f>'Relative &amp; Normalized'!C15</f>
        <v/>
      </c>
    </row>
    <row r="14">
      <c r="A14" s="6" t="inlineStr">
        <is>
          <t>Justified enterprise value / EBITDA applied</t>
        </is>
      </c>
      <c r="B14" s="36">
        <f>'Relative &amp; Normalized'!C6</f>
        <v/>
      </c>
    </row>
    <row r="15">
      <c r="A15" s="6" t="inlineStr">
        <is>
          <t>Justified price / earnings applied</t>
        </is>
      </c>
      <c r="B15" s="36">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2026-09-13T15:17:58Z</dcterms:created>
  <dcterms:modified xmlns:dcterms="http://purl.org/dc/terms/" xmlns:xsi="http://www.w3.org/2001/XMLSchema-instance" xsi:type="dcterms:W3CDTF">2026-09-13T15:17:58Z</dcterms:modified>
</cp:coreProperties>
</file>