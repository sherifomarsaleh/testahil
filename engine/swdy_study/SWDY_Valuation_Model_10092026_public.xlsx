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17.9%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21.60783306447023</v>
      </c>
      <c r="C5" s="8">
        <f>DCF!C62</f>
        <v/>
      </c>
      <c r="D5" s="7" t="n">
        <v>96.98568399661953</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21.60783306447023</v>
      </c>
    </row>
    <row r="7">
      <c r="A7" s="6" t="inlineStr">
        <is>
          <t xml:space="preserve">  bull</t>
        </is>
      </c>
      <c r="B7" s="6" t="inlineStr">
        <is>
          <t>margin +1.5pp, stronger currency path, −2pp cost of capital, g 6%</t>
        </is>
      </c>
      <c r="C7" s="7" t="n">
        <v>96.98568399661953</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17.9%</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67.84301903343683</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67.29616575480996</v>
      </c>
      <c r="D24" s="7" t="n">
        <v>31.35253335195464</v>
      </c>
      <c r="E24" s="7" t="n">
        <v>50.02127247665867</v>
      </c>
    </row>
    <row r="25">
      <c r="A25" s="6" t="inlineStr">
        <is>
          <t>Expert 3</t>
        </is>
      </c>
      <c r="B25" s="6" t="inlineStr">
        <is>
          <t>cash returns vs cost of capital</t>
        </is>
      </c>
      <c r="C25" s="7" t="n">
        <v>59.36008732666913</v>
      </c>
      <c r="D25" s="7" t="n">
        <v>50.00749186839327</v>
      </c>
      <c r="E25" s="7" t="n">
        <v>67.84301903343683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0.125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126491.9551090501</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15.9%</t>
        </is>
      </c>
      <c r="B6" s="7" t="n">
        <v>70.17570645147902</v>
      </c>
      <c r="C6" s="7" t="n">
        <v>74.5996246926746</v>
      </c>
      <c r="D6" s="7" t="n">
        <v>80.23247283501188</v>
      </c>
      <c r="E6" s="7" t="n">
        <v>87.70891982962939</v>
      </c>
      <c r="F6" s="7" t="n">
        <v>98.20212182238502</v>
      </c>
    </row>
    <row r="7">
      <c r="A7" s="6" t="inlineStr">
        <is>
          <t>16.9%</t>
        </is>
      </c>
      <c r="B7" s="7" t="n">
        <v>61.61672294959897</v>
      </c>
      <c r="C7" s="7" t="n">
        <v>64.65660196377915</v>
      </c>
      <c r="D7" s="7" t="n">
        <v>68.39207774007043</v>
      </c>
      <c r="E7" s="7" t="n">
        <v>73.13394081045521</v>
      </c>
      <c r="F7" s="7" t="n">
        <v>79.41052848198404</v>
      </c>
    </row>
    <row r="8">
      <c r="A8" s="6" t="inlineStr">
        <is>
          <t>17.9%</t>
        </is>
      </c>
      <c r="B8" s="7" t="n">
        <v>54.67123187365499</v>
      </c>
      <c r="C8" s="7" t="n">
        <v>56.77539111086816</v>
      </c>
      <c r="D8" s="7" t="n">
        <v>59.28245930736959</v>
      </c>
      <c r="E8" s="7" t="n">
        <v>62.34911976097469</v>
      </c>
      <c r="F8" s="7" t="n">
        <v>66.22539660168512</v>
      </c>
    </row>
    <row r="9">
      <c r="A9" s="6" t="inlineStr">
        <is>
          <t>18.9%</t>
        </is>
      </c>
      <c r="B9" s="7" t="n">
        <v>48.92547571168867</v>
      </c>
      <c r="C9" s="7" t="n">
        <v>50.37817812821243</v>
      </c>
      <c r="D9" s="7" t="n">
        <v>52.05983390850713</v>
      </c>
      <c r="E9" s="7" t="n">
        <v>54.04926149567611</v>
      </c>
      <c r="F9" s="7" t="n">
        <v>56.46614723712895</v>
      </c>
    </row>
    <row r="10">
      <c r="A10" s="6" t="inlineStr">
        <is>
          <t>19.9%</t>
        </is>
      </c>
      <c r="B10" s="7" t="n">
        <v>44.09588838075481</v>
      </c>
      <c r="C10" s="7" t="n">
        <v>45.08446923626055</v>
      </c>
      <c r="D10" s="7" t="n">
        <v>46.19544432508298</v>
      </c>
      <c r="E10" s="7" t="n">
        <v>47.46661119207106</v>
      </c>
      <c r="F10" s="7" t="n">
        <v>48.95311672978444</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15.9%</t>
        </is>
      </c>
      <c r="B14" s="7" t="n">
        <v>85.12948232873711</v>
      </c>
      <c r="C14" s="7" t="n">
        <v>82.63706811237466</v>
      </c>
      <c r="D14" s="7" t="n">
        <v>80.23247283501188</v>
      </c>
      <c r="E14" s="7" t="n">
        <v>77.91182515412919</v>
      </c>
      <c r="F14" s="7" t="n">
        <v>75.67145970797428</v>
      </c>
    </row>
    <row r="15">
      <c r="A15" s="6" t="inlineStr">
        <is>
          <t>terminal 16.9%</t>
        </is>
      </c>
      <c r="B15" s="7" t="n">
        <v>72.61769026655179</v>
      </c>
      <c r="C15" s="7" t="n">
        <v>70.46708294623669</v>
      </c>
      <c r="D15" s="7" t="n">
        <v>68.39207774007043</v>
      </c>
      <c r="E15" s="7" t="n">
        <v>66.38934756098226</v>
      </c>
      <c r="F15" s="7" t="n">
        <v>64.45574211341432</v>
      </c>
    </row>
    <row r="16">
      <c r="A16" s="6" t="inlineStr">
        <is>
          <t>terminal 17.9%</t>
        </is>
      </c>
      <c r="B16" s="7" t="n">
        <v>62.99176538945502</v>
      </c>
      <c r="C16" s="7" t="n">
        <v>61.1040067005519</v>
      </c>
      <c r="D16" s="7" t="n">
        <v>59.28245930736959</v>
      </c>
      <c r="E16" s="7" t="n">
        <v>57.52421432810792</v>
      </c>
      <c r="F16" s="7" t="n">
        <v>55.82651725053635</v>
      </c>
    </row>
    <row r="17">
      <c r="A17" s="6" t="inlineStr">
        <is>
          <t>terminal 18.9%</t>
        </is>
      </c>
      <c r="B17" s="7" t="n">
        <v>55.35999435733649</v>
      </c>
      <c r="C17" s="7" t="n">
        <v>53.68052764295387</v>
      </c>
      <c r="D17" s="7" t="n">
        <v>52.05983390850713</v>
      </c>
      <c r="E17" s="7" t="n">
        <v>50.49533539472387</v>
      </c>
      <c r="F17" s="7" t="n">
        <v>48.98459096491411</v>
      </c>
    </row>
    <row r="18">
      <c r="A18" s="6" t="inlineStr">
        <is>
          <t>terminal 19.9%</t>
        </is>
      </c>
      <c r="B18" s="7" t="n">
        <v>49.16358515317348</v>
      </c>
      <c r="C18" s="7" t="n">
        <v>47.65314483969517</v>
      </c>
      <c r="D18" s="7" t="n">
        <v>46.19544432508298</v>
      </c>
      <c r="E18" s="7" t="n">
        <v>44.78817430791364</v>
      </c>
      <c r="F18" s="7" t="n">
        <v>43.42914772620249</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87.9849315296462</v>
      </c>
      <c r="C22" s="7" t="n">
        <v>76.79028280980998</v>
      </c>
      <c r="D22" s="7" t="n">
        <v>61.89525166016686</v>
      </c>
      <c r="E22" s="7" t="n">
        <v>59.27930478869805</v>
      </c>
      <c r="F22" s="7" t="n">
        <v>56.82565682649614</v>
      </c>
      <c r="H22" s="16">
        <f>MAX(B22:F22)-MIN(B22:F22)</f>
        <v/>
      </c>
    </row>
    <row r="23">
      <c r="A23" s="6" t="inlineStr">
        <is>
          <t>Exchange-rate path multiplier  (0.90x / 1.00x / 1.20x / 1.45x / 1.70x)</t>
        </is>
      </c>
      <c r="B23" s="7" t="n">
        <v>59.28245930736959</v>
      </c>
      <c r="C23" s="7" t="n">
        <v>59.28245930736959</v>
      </c>
      <c r="D23" s="7" t="n">
        <v>59.28245930736959</v>
      </c>
      <c r="E23" s="7" t="n">
        <v>59.28245930736959</v>
      </c>
      <c r="F23" s="7" t="n">
        <v>59.28245930736963</v>
      </c>
      <c r="H23" s="16">
        <f>MAX(B23:F23)-MIN(B23:F23)</f>
        <v/>
      </c>
    </row>
    <row r="24">
      <c r="A24" s="6" t="inlineStr">
        <is>
          <t>Segment margins, multiplicative  (0.850x / 0.925x / 1.000x / 1.075x / 1.150x)</t>
        </is>
      </c>
      <c r="B24" s="7" t="n">
        <v>31.94250897227312</v>
      </c>
      <c r="C24" s="7" t="n">
        <v>45.61248413982136</v>
      </c>
      <c r="D24" s="7" t="n">
        <v>59.28245930736959</v>
      </c>
      <c r="E24" s="7" t="n">
        <v>72.95243447491782</v>
      </c>
      <c r="F24" s="7" t="n">
        <v>86.62240964246601</v>
      </c>
      <c r="H24" s="16">
        <f>MAX(B24:F24)-MIN(B24:F24)</f>
        <v/>
      </c>
    </row>
    <row r="25">
      <c r="A25" s="6" t="inlineStr">
        <is>
          <t>Copper price multiplier  (0.850x / 0.925x / 1.000x / 1.075x / 1.150x)</t>
        </is>
      </c>
      <c r="B25" s="7" t="n">
        <v>59.2824593073696</v>
      </c>
      <c r="C25" s="7" t="n">
        <v>59.28245930736959</v>
      </c>
      <c r="D25" s="7" t="n">
        <v>59.28245930736959</v>
      </c>
      <c r="E25" s="7" t="n">
        <v>59.2824593073696</v>
      </c>
      <c r="F25" s="7" t="n">
        <v>59.28245930736963</v>
      </c>
      <c r="H25" s="16">
        <f>MAX(B25:F25)-MIN(B25:F25)</f>
        <v/>
      </c>
    </row>
    <row r="26">
      <c r="A26" s="6" t="inlineStr">
        <is>
          <t>Working capital / revenue  (17.0% / 18.5% / 19.9% / 21.5% / 23.0%)</t>
        </is>
      </c>
      <c r="B26" s="7" t="n">
        <v>67.45115350041955</v>
      </c>
      <c r="C26" s="7" t="n">
        <v>62.86199945938025</v>
      </c>
      <c r="D26" s="7" t="n">
        <v>58.57878902107689</v>
      </c>
      <c r="E26" s="7" t="n">
        <v>53.68369137730164</v>
      </c>
      <c r="F26" s="7" t="n">
        <v>49.09453733626231</v>
      </c>
      <c r="H26" s="16">
        <f>MAX(B26:F26)-MIN(B26:F26)</f>
        <v/>
      </c>
    </row>
    <row r="27">
      <c r="A27" s="6" t="inlineStr">
        <is>
          <t>Terminal return on invested capital  (15.0% / 18.0% / 22.5% / 26.0% / 30.0%)</t>
        </is>
      </c>
      <c r="B27" s="7" t="n">
        <v>45.13187476092197</v>
      </c>
      <c r="C27" s="7" t="n">
        <v>56.25452670439153</v>
      </c>
      <c r="D27" s="7" t="n">
        <v>67.31478474654207</v>
      </c>
      <c r="E27" s="7" t="n">
        <v>73.36629892511395</v>
      </c>
      <c r="F27" s="7" t="n">
        <v>78.49983059133066</v>
      </c>
      <c r="H27" s="16">
        <f>MAX(B27:F27)-MIN(B27:F27)</f>
        <v/>
      </c>
    </row>
    <row r="28">
      <c r="A28" s="6" t="inlineStr">
        <is>
          <t>Terminal growth (at base cost of capital)  (7% / 8% / 9% / 10% / 11%)</t>
        </is>
      </c>
      <c r="B28" s="7" t="n">
        <v>54.67123187365499</v>
      </c>
      <c r="C28" s="7" t="n">
        <v>56.77539111086816</v>
      </c>
      <c r="D28" s="7" t="n">
        <v>59.28245930736959</v>
      </c>
      <c r="E28" s="7" t="n">
        <v>62.34911976097469</v>
      </c>
      <c r="F28" s="7" t="n">
        <v>66.22539660168512</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2026-09-10T09:14:53Z</dcterms:created>
  <dcterms:modified xmlns:dcterms="http://purl.org/dc/terms/" xmlns:xsi="http://www.w3.org/2001/XMLSchema-instance" xsi:type="dcterms:W3CDTF">2026-09-10T09:14:53Z</dcterms:modified>
</cp:coreProperties>
</file>