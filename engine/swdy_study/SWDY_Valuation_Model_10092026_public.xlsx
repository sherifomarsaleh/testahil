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28.78407997537623</v>
      </c>
      <c r="C5" s="8">
        <f>DCF!C62</f>
        <v/>
      </c>
      <c r="D5" s="7" t="n">
        <v>133.7753850070414</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28.78407997537623</v>
      </c>
    </row>
    <row r="7">
      <c r="A7" s="6" t="inlineStr">
        <is>
          <t xml:space="preserve">  bull</t>
        </is>
      </c>
      <c r="B7" s="6" t="inlineStr">
        <is>
          <t>margin +1.5pp, stronger currency path, −2pp cost of capital, g 6%</t>
        </is>
      </c>
      <c r="C7" s="7" t="n">
        <v>133.7753850070414</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33.87910174981675</v>
      </c>
      <c r="E24" s="7" t="n">
        <v>64.15244367864858</v>
      </c>
    </row>
    <row r="25">
      <c r="A25" s="6" t="inlineStr">
        <is>
          <t>Expert 3</t>
        </is>
      </c>
      <c r="B25" s="6" t="inlineStr">
        <is>
          <t>cash returns vs cost of capital</t>
        </is>
      </c>
      <c r="C25" s="7" t="n">
        <v>89.33482995346847</v>
      </c>
      <c r="D25" s="7" t="n">
        <v>66.64132982804048</v>
      </c>
      <c r="E25" s="7" t="n">
        <v>81.67504702609115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Egypt country premium = sovereign default spread x 1.52</t>
        </is>
      </c>
      <c r="C43" s="9">
        <f>Assumptions!$C$31*1.52</f>
        <v/>
      </c>
    </row>
    <row r="44">
      <c r="A44" s="6" t="inlineStr">
        <is>
          <t>of which the MATURE equity premium — beta applies to this leg only</t>
        </is>
      </c>
      <c r="C44" s="9">
        <f>Assumptions!$C$32-Assumptions!$C$43</f>
        <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9">
        <f>Assumptions!$C$45*Assumptions!$C$43+(1-Assumptions!$C$45)*Assumptions!$C$46</f>
        <v/>
      </c>
    </row>
    <row r="48">
      <c r="A48" s="6" t="inlineStr">
        <is>
          <t>Terminal Egypt country premium</t>
        </is>
      </c>
      <c r="C48" s="9">
        <f>Assumptions!$C$37-Assumptions!$C$44</f>
        <v/>
      </c>
    </row>
    <row r="49">
      <c r="A49" s="6" t="inlineStr">
        <is>
          <t>Terminal mature equity premium</t>
        </is>
      </c>
      <c r="C49" s="9">
        <f>Assumptions!$C$37-Assumptions!$C$48</f>
        <v/>
      </c>
    </row>
    <row r="50">
      <c r="A50" s="6" t="inlineStr">
        <is>
          <t>Terminal country premium CHARGED — flat and once</t>
        </is>
      </c>
      <c r="C50" s="9">
        <f>(Assumptions!$C$45+(1-Assumptions!$C$45)*Assumptions!$C$46/Assumptions!$C$43)*Assumptions!$C$48</f>
        <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Assumptions!$C$44</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Assumptions!$C$49</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87.56537469454608</v>
      </c>
      <c r="C5" s="7" t="n">
        <v>99.48409928257496</v>
      </c>
      <c r="D5" s="7" t="n">
        <v>106.9944391060197</v>
      </c>
      <c r="E5" s="7" t="n">
        <v>115.0917272987826</v>
      </c>
      <c r="F5" s="7" t="n">
        <v>131.1946500992745</v>
      </c>
      <c r="G5" s="21" t="n">
        <v>0.56294</v>
      </c>
    </row>
    <row r="6">
      <c r="A6" s="6" t="inlineStr">
        <is>
          <t>Three months — to 2026-11-05</t>
        </is>
      </c>
      <c r="B6" s="7" t="n">
        <v>79.1329359945467</v>
      </c>
      <c r="C6" s="7" t="n">
        <v>97.94831820710576</v>
      </c>
      <c r="D6" s="7" t="n">
        <v>110.42539731263</v>
      </c>
      <c r="E6" s="7" t="n">
        <v>124.4873816166916</v>
      </c>
      <c r="F6" s="7" t="n">
        <v>153.8337943169789</v>
      </c>
      <c r="G6" s="21" t="n">
        <v>0.6086</v>
      </c>
    </row>
    <row r="8">
      <c r="A8" s="5" t="inlineStr">
        <is>
          <t>Level event</t>
        </is>
      </c>
      <c r="B8" s="5" t="inlineStr">
        <is>
          <t>One month</t>
        </is>
      </c>
      <c r="C8" s="5" t="inlineStr">
        <is>
          <t>Three months</t>
        </is>
      </c>
    </row>
    <row r="9">
      <c r="A9" s="6" t="inlineStr">
        <is>
          <t>Finishes 10% or more above spot</t>
        </is>
      </c>
      <c r="B9" s="21" t="n">
        <v>0.23516</v>
      </c>
      <c r="C9" s="21" t="n">
        <v>0.39422</v>
      </c>
    </row>
    <row r="10">
      <c r="A10" s="6" t="inlineStr">
        <is>
          <t>Finishes 10% or more below spot</t>
        </is>
      </c>
      <c r="B10" s="21" t="n">
        <v>0.13718</v>
      </c>
      <c r="C10" s="21" t="n">
        <v>0.19722</v>
      </c>
    </row>
    <row r="11">
      <c r="A11" s="6" t="inlineStr">
        <is>
          <t>Touches 10% above spot at any point</t>
        </is>
      </c>
      <c r="B11" s="21" t="n">
        <v>0.37194</v>
      </c>
      <c r="C11" s="21" t="n">
        <v>0.63126</v>
      </c>
    </row>
    <row r="12">
      <c r="A12" s="6" t="inlineStr">
        <is>
          <t>Touches 10% below spot at any point</t>
        </is>
      </c>
      <c r="B12" s="21" t="n">
        <v>0.24608</v>
      </c>
      <c r="C12" s="21" t="n">
        <v>0.41858</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87.7632711606884</v>
      </c>
      <c r="C23" s="7" t="n">
        <v>87.7632711606884</v>
      </c>
      <c r="D23" s="7" t="n">
        <v>87.7632711606884</v>
      </c>
      <c r="E23" s="7" t="n">
        <v>87.7632711606884</v>
      </c>
      <c r="F23" s="7" t="n">
        <v>87.76327116068845</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87.76327116068842</v>
      </c>
      <c r="C25" s="7" t="n">
        <v>87.7632711606884</v>
      </c>
      <c r="D25" s="7" t="n">
        <v>87.7632711606884</v>
      </c>
      <c r="E25" s="7" t="n">
        <v>87.76327116068842</v>
      </c>
      <c r="F25" s="7" t="n">
        <v>87.76327116068845</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2026-09-13T13:22:00Z</dcterms:created>
  <dcterms:modified xmlns:dcterms="http://purl.org/dc/terms/" xmlns:xsi="http://www.w3.org/2001/XMLSchema-instance" xsi:type="dcterms:W3CDTF">2026-09-13T13:22:00Z</dcterms:modified>
</cp:coreProperties>
</file>