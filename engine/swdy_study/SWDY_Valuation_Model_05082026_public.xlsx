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1">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6"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0" fontId="8" fillId="0" borderId="0" pivotButton="0" quotePrefix="0" xfId="0"/>
    <xf numFmtId="0" fontId="6"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8" fontId="7" fillId="0" borderId="0" pivotButton="0" quotePrefix="0" xfId="0"/>
    <xf numFmtId="170" fontId="7" fillId="0" borderId="0" pivotButton="0" quotePrefix="0" xfId="0"/>
    <xf numFmtId="168" fontId="5" fillId="0" borderId="0" pivotButton="0" quotePrefix="0" xfId="0"/>
    <xf numFmtId="10" fontId="5" fillId="0" borderId="0" pivotButton="0" quotePrefix="0" xfId="0"/>
    <xf numFmtId="170" fontId="5" fillId="0" borderId="0" pivotButton="0" quotePrefix="0" xfId="0"/>
    <xf numFmtId="10" fontId="7" fillId="0" borderId="0" pivotButton="0" quotePrefix="0" xfId="0"/>
    <xf numFmtId="169"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which. First, audited and disclosed history — the</t>
        </is>
      </c>
    </row>
    <row r="14">
      <c r="A14" s="3" t="inlineStr">
        <is>
          <t>primary record, not a calculation. Second, the sub-segment unit build: revenue and gross profit per segment</t>
        </is>
      </c>
    </row>
    <row r="15">
      <c r="A15" s="3" t="inlineStr">
        <is>
          <t>come from a seven-line tonnage, megavolt-ampere, meter-unit and order-book model, and only its OUTPUT is</t>
        </is>
      </c>
    </row>
    <row r="16">
      <c r="A16" s="3" t="inlineStr">
        <is>
          <t>carried here; everything downstream of it is formula. Third, the Monte Carlo price map and the sensitivity</t>
        </is>
      </c>
    </row>
    <row r="17">
      <c r="A17" s="3" t="inlineStr">
        <is>
          <t>grids, where each individual cell is a complete re-run of the whole valuation and so cannot be a formula in</t>
        </is>
      </c>
    </row>
    <row r="18">
      <c r="A18" s="3" t="inlineStr">
        <is>
          <t>a grid. Changing a driver reprices the model but does NOT redraw those two grids.</t>
        </is>
      </c>
    </row>
    <row r="19">
      <c r="A19" s="3" t="inlineStr"/>
    </row>
    <row r="20">
      <c r="A20" s="3" t="inlineStr">
        <is>
          <t>How revenue is built. Not as one growth rate. Revenue splits into a domestic Egyptian-pound leg and a</t>
        </is>
      </c>
    </row>
    <row r="21">
      <c r="A21" s="3" t="inlineStr">
        <is>
          <t>foreign leg forecast in US dollars and translated at an explicit exchange-rate path, because more than 70%</t>
        </is>
      </c>
    </row>
    <row r="22">
      <c r="A22" s="3" t="inlineStr">
        <is>
          <t>of this company's revenue is earned outside Egypt. Margins come from a segment build; group EBITDA margin</t>
        </is>
      </c>
    </row>
    <row r="23">
      <c r="A23" s="3" t="inlineStr">
        <is>
          <t>is an output of that build, not an input.</t>
        </is>
      </c>
    </row>
    <row r="24">
      <c r="A24" s="3" t="inlineStr"/>
    </row>
    <row r="25">
      <c r="A25" s="3" t="inlineStr">
        <is>
          <t>What it is not. It is not investment advice, a recommendation, or a price target. Values are model outputs</t>
        </is>
      </c>
    </row>
    <row r="26">
      <c r="A26" s="3" t="inlineStr">
        <is>
          <t>shown as ranges.</t>
        </is>
      </c>
    </row>
    <row r="27">
      <c r="A27" s="3" t="inlineStr"/>
    </row>
    <row r="28">
      <c r="A28" s="3" t="inlineStr">
        <is>
          <t>Sourcing note, up front. FY2023 and FY2024 come from the company's audited consolidated statements and</t>
        </is>
      </c>
    </row>
    <row r="29">
      <c r="A29" s="3" t="inlineStr">
        <is>
          <t>earnings releases and are not estimated. For FY2025, revenue, profit after tax, profit after minority</t>
        </is>
      </c>
    </row>
    <row r="30">
      <c r="A30" s="3" t="inlineStr">
        <is>
          <t>interests, total assets and net bank debt are disclosed; the intermediate income-statement lines are</t>
        </is>
      </c>
    </row>
    <row r="31">
      <c r="A31" s="3" t="inlineStr">
        <is>
          <t>derived by closing the profit-and-loss account to the reported profit, and the balance sheet beyond total</t>
        </is>
      </c>
    </row>
    <row r="32">
      <c r="A32" s="3" t="inlineStr">
        <is>
          <t>assets and net debt is triangulated by three methods, which are shown and averaged on the Balance Sheet</t>
        </is>
      </c>
    </row>
    <row r="33">
      <c r="A33" s="3" t="inlineStr">
        <is>
          <t>sheet rather than asserted. Every derived line is annotated where it appears and listed with source and</t>
        </is>
      </c>
    </row>
    <row r="34">
      <c r="A34" s="3" t="inlineStr">
        <is>
          <t>date in the companion bibliography document.</t>
        </is>
      </c>
    </row>
    <row r="35">
      <c r="A35" s="3" t="inlineStr"/>
    </row>
    <row r="36">
      <c r="A36" s="3" t="inlineStr">
        <is>
          <t>Discount convention. Each explicit year is discounted at its own forward cost of capital, gliding</t>
        </is>
      </c>
    </row>
    <row r="37">
      <c r="A37" s="3" t="inlineStr">
        <is>
          <t>26.9% -&gt; 15.1% on the same easing calendar as the interest forecast; the terminal value is</t>
        </is>
      </c>
    </row>
    <row r="38">
      <c r="A38" s="3" t="inlineStr">
        <is>
          <t>capitalised at the terminal rate and discounted at the year-5 cumulative factor. One date, one price of time.</t>
        </is>
      </c>
    </row>
    <row r="39">
      <c r="A39" s="3" t="inlineStr">
        <is>
          <t>The glide fractions are not a free parameter: they are the cost-of-debt path's own cumulative progress, and</t>
        </is>
      </c>
    </row>
    <row r="40">
      <c r="A40" s="3" t="inlineStr">
        <is>
          <t>the DCF sheet computes them in front of you.</t>
        </is>
      </c>
    </row>
    <row r="41">
      <c r="A41" s="3" t="inlineStr"/>
    </row>
    <row r="42">
      <c r="A42" s="3" t="inlineStr">
        <is>
          <t>The open question. This company earns most of its revenue in hard currency but reports, lists and borrows</t>
        </is>
      </c>
    </row>
    <row r="43">
      <c r="A43" s="3" t="inlineStr">
        <is>
          <t>in Egyptian pounds. The primary model charges the full Egyptian cost of capital. The Fundamental Valuation</t>
        </is>
      </c>
    </row>
    <row r="44">
      <c r="A44" s="3" t="inlineStr">
        <is>
          <t>sheet also shows what the same cash flows are worth if the hard-currency leg is discounted at a</t>
        </is>
      </c>
    </row>
    <row r="45">
      <c r="A45" s="3" t="inlineStr">
        <is>
          <t>hard-currency rate. Both are shown; they are not averaged.</t>
        </is>
      </c>
    </row>
    <row r="46">
      <c r="A46" s="3" t="inlineStr"/>
    </row>
    <row r="47">
      <c r="A47" s="3" t="inlineStr">
        <is>
          <t>Currency. EGP million unless stated. Spot EGP 105.20 (2026-08-05 close). Sheets: READ FIRST · Summary ·</t>
        </is>
      </c>
    </row>
    <row r="48">
      <c r="A48" s="3" t="inlineStr">
        <is>
          <t>Fundamental Valuation · Assumptions · SOTP Bridge · Segments · Relative &amp; Normalized · DCF · Income</t>
        </is>
      </c>
    </row>
    <row r="49">
      <c r="A49" s="3" t="inlineStr">
        <is>
          <t>Statement · Balance Sheet · Cash Flow · Summary Financials · Monte Carlo · Sensitivity · Per-Share &amp;</t>
        </is>
      </c>
    </row>
    <row r="50">
      <c r="A50"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35.37439268305282</v>
      </c>
      <c r="C5" s="8">
        <f>DCF!C31</f>
        <v/>
      </c>
      <c r="D5" s="7" t="n">
        <v>110.3869768355961</v>
      </c>
      <c r="E5" s="9" t="n">
        <v>0.45</v>
      </c>
      <c r="F5" s="10">
        <f>C5*E5</f>
        <v/>
      </c>
      <c r="G5" s="11">
        <f>C5/$C$14-1</f>
        <v/>
      </c>
    </row>
    <row r="6">
      <c r="A6" s="6" t="inlineStr">
        <is>
          <t>Relative multiples</t>
        </is>
      </c>
      <c r="B6" s="7" t="n">
        <v>61.2294172643708</v>
      </c>
      <c r="C6" s="8">
        <f>'Relative &amp; Normalized'!C11</f>
        <v/>
      </c>
      <c r="D6" s="7" t="n">
        <v>91.61541724668523</v>
      </c>
      <c r="E6" s="9" t="n">
        <v>0.2</v>
      </c>
      <c r="F6" s="10">
        <f>C6*E6</f>
        <v/>
      </c>
      <c r="G6" s="11">
        <f>C6/$C$14-1</f>
        <v/>
      </c>
    </row>
    <row r="7">
      <c r="A7" s="6" t="inlineStr">
        <is>
          <t>Normalised earnings power</t>
        </is>
      </c>
      <c r="B7" s="7" t="n">
        <v>94.04297714970363</v>
      </c>
      <c r="C7" s="8">
        <f>'Relative &amp; Normalized'!C28</f>
        <v/>
      </c>
      <c r="D7" s="7" t="n">
        <v>154.4991767459417</v>
      </c>
      <c r="E7" s="9" t="n">
        <v>0.2</v>
      </c>
      <c r="F7" s="10">
        <f>C7*E7</f>
        <v/>
      </c>
      <c r="G7" s="11">
        <f>C7/$C$14-1</f>
        <v/>
      </c>
    </row>
    <row r="8">
      <c r="A8" s="6" t="inlineStr">
        <is>
          <t>Book value and sustainable return</t>
        </is>
      </c>
      <c r="B8" s="7" t="n">
        <v>33.76534925901321</v>
      </c>
      <c r="C8" s="8">
        <f>'Relative &amp; Normalized'!C36</f>
        <v/>
      </c>
      <c r="D8" s="7" t="n">
        <v>53.71022096338332</v>
      </c>
      <c r="E8" s="9" t="n">
        <v>0.15</v>
      </c>
      <c r="F8" s="10">
        <f>C8*E8</f>
        <v/>
      </c>
      <c r="G8" s="11">
        <f>C8/$C$14-1</f>
        <v/>
      </c>
    </row>
    <row r="9">
      <c r="A9" s="12" t="inlineStr">
        <is>
          <t>Weighted central</t>
        </is>
      </c>
      <c r="B9" s="13">
        <f>MIN(B5:B8)</f>
        <v/>
      </c>
      <c r="C9" s="13">
        <f>SUM(F5:F8)</f>
        <v/>
      </c>
      <c r="D9" s="13">
        <f>MAX(D5:D8)</f>
        <v/>
      </c>
      <c r="E9" s="14">
        <f>SUM(E5:E8)</f>
        <v/>
      </c>
      <c r="F9" s="15" t="n"/>
      <c r="G9" s="14">
        <f>C9/$C$14-1</f>
        <v/>
      </c>
    </row>
    <row r="11">
      <c r="A11" s="6" t="inlineStr">
        <is>
          <t>Alternative reading — currency of discounting</t>
        </is>
      </c>
      <c r="C11" s="8">
        <f>'Fundamental Valuation'!C18</f>
        <v/>
      </c>
      <c r="G11" s="11">
        <f>C11/$C$14-1</f>
        <v/>
      </c>
    </row>
    <row r="12">
      <c r="A12" s="6" t="inlineStr">
        <is>
          <t>Terminal value share of DCF enterprise value</t>
        </is>
      </c>
      <c r="C12" s="16">
        <f>DCF!C28</f>
        <v/>
      </c>
    </row>
    <row r="13">
      <c r="A13" s="6" t="inlineStr">
        <is>
          <t>Expert panel median</t>
        </is>
      </c>
      <c r="C13" s="8">
        <f>'Fundamental Valuation'!C26</f>
        <v/>
      </c>
      <c r="G13" s="11">
        <f>C13/$C$14-1</f>
        <v/>
      </c>
    </row>
    <row r="14">
      <c r="A14" s="12" t="inlineStr">
        <is>
          <t>Market price (anchor)</t>
        </is>
      </c>
      <c r="B14" s="15" t="n"/>
      <c r="C14" s="17" t="n">
        <v>105.2</v>
      </c>
      <c r="D14" s="15" t="n"/>
      <c r="E14" s="15" t="n"/>
      <c r="F14" s="15" t="n"/>
      <c r="G14" s="15" t="n"/>
    </row>
    <row r="16">
      <c r="A16" s="5" t="inlineStr">
        <is>
          <t>Key figure</t>
        </is>
      </c>
      <c r="B16" s="5" t="inlineStr">
        <is>
          <t>Value</t>
        </is>
      </c>
    </row>
    <row r="17">
      <c r="A17" s="6" t="inlineStr">
        <is>
          <t>Shares outstanding (mn)</t>
        </is>
      </c>
      <c r="C17" s="18">
        <f>Assumptions!$C$6</f>
        <v/>
      </c>
    </row>
    <row r="18">
      <c r="A18" s="6" t="inlineStr">
        <is>
          <t>Market capitalisation (EGP mn)</t>
        </is>
      </c>
      <c r="C18" s="18">
        <f>$C$14*C17</f>
        <v/>
      </c>
    </row>
    <row r="19">
      <c r="A19" s="6" t="inlineStr">
        <is>
          <t>Net bank debt, FY2025 (EGP mn)</t>
        </is>
      </c>
      <c r="C19" s="18">
        <f>'Balance Sheet'!D17</f>
        <v/>
      </c>
    </row>
    <row r="20">
      <c r="A20" s="6" t="inlineStr">
        <is>
          <t>FY2025 revenue (EGP mn)</t>
        </is>
      </c>
      <c r="C20" s="18">
        <f>'Income Statement'!D5</f>
        <v/>
      </c>
    </row>
    <row r="21">
      <c r="A21" s="6" t="inlineStr">
        <is>
          <t>FY2025 EBITDA (EGP mn)</t>
        </is>
      </c>
      <c r="C21" s="18">
        <f>'Income Statement'!D7</f>
        <v/>
      </c>
    </row>
    <row r="22">
      <c r="A22" s="6" t="inlineStr">
        <is>
          <t>FY2025 attributable profit (EGP mn)</t>
        </is>
      </c>
      <c r="C22" s="18">
        <f>'Income Statement'!D17</f>
        <v/>
      </c>
    </row>
    <row r="23">
      <c r="A23" s="6" t="inlineStr">
        <is>
          <t>Cost of capital — explicit window</t>
        </is>
      </c>
      <c r="C23" s="16">
        <f>DCF!C46</f>
        <v/>
      </c>
    </row>
    <row r="24">
      <c r="A24" s="6" t="inlineStr">
        <is>
          <t>Cost of capital — terminal</t>
        </is>
      </c>
      <c r="C24" s="16">
        <f>DCF!C53</f>
        <v/>
      </c>
    </row>
    <row r="25">
      <c r="A25" s="6" t="inlineStr">
        <is>
          <t>Terminal growth</t>
        </is>
      </c>
      <c r="C25" s="16">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DCF!C31</f>
        <v/>
      </c>
    </row>
    <row r="6">
      <c r="A6" s="6" t="inlineStr">
        <is>
          <t xml:space="preserve">  bear</t>
        </is>
      </c>
      <c r="B6" s="6" t="inlineStr">
        <is>
          <t>margin −1.5pp, weaker currency path, +2pp cost of capital, g 3%</t>
        </is>
      </c>
      <c r="C6" s="7" t="n">
        <v>35.37439268305282</v>
      </c>
    </row>
    <row r="7">
      <c r="A7" s="6" t="inlineStr">
        <is>
          <t xml:space="preserve">  bull</t>
        </is>
      </c>
      <c r="B7" s="6" t="inlineStr">
        <is>
          <t>margin +1.5pp, stronger currency path, −2pp cost of capital, g 6%</t>
        </is>
      </c>
      <c r="C7" s="7" t="n">
        <v>110.3869768355961</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2" t="inlineStr">
        <is>
          <t>Weighted central</t>
        </is>
      </c>
      <c r="B12" s="15" t="n"/>
      <c r="C12" s="19">
        <f>Summary!C9</f>
        <v/>
      </c>
    </row>
    <row r="14">
      <c r="A14" s="20" t="inlineStr">
        <is>
          <t>THE CURRENCY-OF-DISCOUNTING QUESTION</t>
        </is>
      </c>
    </row>
    <row r="15">
      <c r="A15" s="6" t="inlineStr">
        <is>
          <t>Share of forecast revenue earned in hard currency</t>
        </is>
      </c>
      <c r="C15" s="9" t="n">
        <v>0.600860789848202</v>
      </c>
    </row>
    <row r="16">
      <c r="A16" s="6" t="inlineStr">
        <is>
          <t>Cost of capital applied in the primary model (explicit → terminal)</t>
        </is>
      </c>
      <c r="C16" s="21" t="inlineStr">
        <is>
          <t>26.9% → 15.1%</t>
        </is>
      </c>
    </row>
    <row r="17">
      <c r="A17" s="6" t="inlineStr">
        <is>
          <t>Hard-currency cost of capital for the foreign leg</t>
        </is>
      </c>
      <c r="C17" s="9" t="n">
        <v>0.10119375</v>
      </c>
    </row>
    <row r="18">
      <c r="A18" s="6" t="inlineStr">
        <is>
          <t>Fair value if the foreign leg is discounted at the hard-currency rate</t>
        </is>
      </c>
      <c r="C18" s="7" t="n">
        <v>91.14622861923802</v>
      </c>
    </row>
    <row r="19">
      <c r="A19" s="6" t="inlineStr">
        <is>
          <t>Market price</t>
        </is>
      </c>
      <c r="C19" s="8">
        <f>Summary!C14</f>
        <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137.7034929664235</v>
      </c>
      <c r="D23" s="7" t="n">
        <v>101.4657316594699</v>
      </c>
      <c r="E23" s="7" t="n">
        <v>173.941254273377</v>
      </c>
    </row>
    <row r="24">
      <c r="A24" s="6" t="inlineStr">
        <is>
          <t>Expert 2</t>
        </is>
      </c>
      <c r="B24" s="6" t="inlineStr">
        <is>
          <t>owner cash earnings</t>
        </is>
      </c>
      <c r="C24" s="7" t="n">
        <v>66.19078084024615</v>
      </c>
      <c r="D24" s="7" t="n">
        <v>40.8187533998155</v>
      </c>
      <c r="E24" s="7" t="n">
        <v>72.60004748131544</v>
      </c>
    </row>
    <row r="25">
      <c r="A25" s="6" t="inlineStr">
        <is>
          <t>Expert 3</t>
        </is>
      </c>
      <c r="B25" s="6" t="inlineStr">
        <is>
          <t>cash returns vs cost of capital</t>
        </is>
      </c>
      <c r="C25" s="7" t="n">
        <v>60.72264310179215</v>
      </c>
      <c r="D25" s="7" t="n">
        <v>49.99375810242254</v>
      </c>
      <c r="E25" s="7" t="n">
        <v>91.14622861923802</v>
      </c>
    </row>
    <row r="26">
      <c r="A26" s="12" t="inlineStr">
        <is>
          <t>Panel median</t>
        </is>
      </c>
      <c r="B26" s="15" t="n"/>
      <c r="C26" s="13">
        <f>MEDIAN(C23:C25)</f>
        <v/>
      </c>
      <c r="D26" s="15" t="n"/>
      <c r="E26" s="1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2" t="inlineStr">
        <is>
          <t>Anchors</t>
        </is>
      </c>
      <c r="B4" s="15" t="n"/>
      <c r="C4" s="15" t="n"/>
      <c r="D4" s="15" t="n"/>
      <c r="E4" s="15" t="n"/>
      <c r="F4" s="15" t="n"/>
      <c r="G4" s="15" t="n"/>
      <c r="H4" s="15" t="n"/>
    </row>
    <row r="5">
      <c r="A5" s="6" t="inlineStr">
        <is>
          <t>Spot price (EGP)</t>
        </is>
      </c>
      <c r="C5" s="7" t="n">
        <v>105.2</v>
      </c>
    </row>
    <row r="6">
      <c r="A6" s="6" t="inlineStr">
        <is>
          <t>Shares outstanding (mn)</t>
        </is>
      </c>
      <c r="C6" s="22" t="n">
        <v>2140.777876</v>
      </c>
    </row>
    <row r="7">
      <c r="A7" s="6" t="inlineStr">
        <is>
          <t>Effective tax rate</t>
        </is>
      </c>
      <c r="C7" s="9" t="n">
        <v>0.25</v>
      </c>
    </row>
    <row r="8">
      <c r="A8" s="6" t="inlineStr">
        <is>
          <t>Statutory corporate tax rate</t>
        </is>
      </c>
      <c r="C8" s="9" t="n">
        <v>0.225</v>
      </c>
    </row>
    <row r="9">
      <c r="A9" s="6" t="inlineStr">
        <is>
          <t>FY2025 average USD/EGP</t>
        </is>
      </c>
      <c r="C9" s="23" t="n">
        <v>49.5</v>
      </c>
    </row>
    <row r="11">
      <c r="A11" s="12" t="inlineStr">
        <is>
          <t>Revenue drivers — the unit build</t>
        </is>
      </c>
      <c r="B11" s="15" t="n"/>
      <c r="C11" s="15" t="n"/>
      <c r="D11" s="15" t="n"/>
      <c r="E11" s="15" t="n"/>
      <c r="F11" s="15" t="n"/>
      <c r="G11" s="15" t="n"/>
      <c r="H11" s="15" t="n"/>
    </row>
    <row r="12">
      <c r="A12" s="6" t="inlineStr">
        <is>
          <t>Copper (USD/tonne)</t>
        </is>
      </c>
      <c r="B12" s="22" t="n">
        <v>13400</v>
      </c>
      <c r="C12" s="22" t="n">
        <v>14000</v>
      </c>
      <c r="D12" s="22" t="n">
        <v>14000</v>
      </c>
      <c r="E12" s="22" t="n">
        <v>14000</v>
      </c>
      <c r="F12" s="22" t="n">
        <v>14000</v>
      </c>
    </row>
    <row r="13">
      <c r="A13" s="6" t="inlineStr">
        <is>
          <t>USD/EGP path</t>
        </is>
      </c>
      <c r="B13" s="23" t="n">
        <v>51</v>
      </c>
      <c r="C13" s="23" t="n">
        <v>54</v>
      </c>
      <c r="D13" s="23" t="n">
        <v>57.5</v>
      </c>
      <c r="E13" s="23" t="n">
        <v>61</v>
      </c>
      <c r="F13" s="23" t="n">
        <v>64.5</v>
      </c>
    </row>
    <row r="14">
      <c r="A14" s="6" t="inlineStr">
        <is>
          <t>Cable volume growth</t>
        </is>
      </c>
      <c r="B14" s="9" t="n">
        <v>0.06</v>
      </c>
      <c r="C14" s="9" t="n">
        <v>0.05</v>
      </c>
      <c r="D14" s="9" t="n">
        <v>0.04</v>
      </c>
      <c r="E14" s="9" t="n">
        <v>0.04</v>
      </c>
      <c r="F14" s="9" t="n">
        <v>0.04</v>
      </c>
    </row>
    <row r="15">
      <c r="A15" s="6" t="inlineStr">
        <is>
          <t>Cable fabrication uplift over copper</t>
        </is>
      </c>
      <c r="B15" s="24" t="n">
        <v>1.3</v>
      </c>
      <c r="C15" s="24" t="n">
        <v>1.3</v>
      </c>
      <c r="D15" s="24" t="n">
        <v>1.3</v>
      </c>
      <c r="E15" s="24" t="n">
        <v>1.3</v>
      </c>
      <c r="F15" s="24" t="n">
        <v>1.3</v>
      </c>
    </row>
    <row r="16">
      <c r="A16" s="6" t="inlineStr">
        <is>
          <t>Raw-material volume growth</t>
        </is>
      </c>
      <c r="B16" s="9" t="n">
        <v>0.04</v>
      </c>
      <c r="C16" s="9" t="n">
        <v>0.04</v>
      </c>
      <c r="D16" s="9" t="n">
        <v>0.03</v>
      </c>
      <c r="E16" s="9" t="n">
        <v>0.03</v>
      </c>
      <c r="F16" s="9" t="n">
        <v>0.03</v>
      </c>
    </row>
    <row r="17">
      <c r="A17" s="6" t="inlineStr">
        <is>
          <t>Transformer MVA growth</t>
        </is>
      </c>
      <c r="B17" s="9" t="n">
        <v>0.08</v>
      </c>
      <c r="C17" s="9" t="n">
        <v>0.07000000000000001</v>
      </c>
      <c r="D17" s="9" t="n">
        <v>0.06</v>
      </c>
      <c r="E17" s="9" t="n">
        <v>0.05</v>
      </c>
      <c r="F17" s="9" t="n">
        <v>0.05</v>
      </c>
    </row>
    <row r="18">
      <c r="A18" s="6" t="inlineStr">
        <is>
          <t>Meter unit growth</t>
        </is>
      </c>
      <c r="B18" s="9" t="n">
        <v>0.06</v>
      </c>
      <c r="C18" s="9" t="n">
        <v>0.05</v>
      </c>
      <c r="D18" s="9" t="n">
        <v>0.05</v>
      </c>
      <c r="E18" s="9" t="n">
        <v>0.04</v>
      </c>
      <c r="F18" s="9" t="n">
        <v>0.04</v>
      </c>
    </row>
    <row r="19">
      <c r="A19" s="6" t="inlineStr">
        <is>
          <t>Order-book conversion rate</t>
        </is>
      </c>
      <c r="B19" s="9" t="n">
        <v>0.27</v>
      </c>
      <c r="C19" s="9" t="n">
        <v>0.265</v>
      </c>
      <c r="D19" s="9" t="n">
        <v>0.26</v>
      </c>
      <c r="E19" s="9" t="n">
        <v>0.255</v>
      </c>
      <c r="F19" s="9" t="n">
        <v>0.25</v>
      </c>
    </row>
    <row r="20">
      <c r="A20" s="6" t="inlineStr">
        <is>
          <t>Order-book book-to-bill</t>
        </is>
      </c>
      <c r="B20" s="24" t="n">
        <v>1.05</v>
      </c>
      <c r="C20" s="24" t="n">
        <v>1.05</v>
      </c>
      <c r="D20" s="24" t="n">
        <v>1.03</v>
      </c>
      <c r="E20" s="24" t="n">
        <v>1.02</v>
      </c>
      <c r="F20" s="24" t="n">
        <v>1</v>
      </c>
    </row>
    <row r="21">
      <c r="A21" s="6" t="inlineStr">
        <is>
          <t>Other-lines revenue growth</t>
        </is>
      </c>
      <c r="B21" s="9" t="n">
        <v>0.12</v>
      </c>
      <c r="C21" s="9" t="n">
        <v>0.11</v>
      </c>
      <c r="D21" s="9" t="n">
        <v>0.1</v>
      </c>
      <c r="E21" s="9" t="n">
        <v>0.09</v>
      </c>
      <c r="F21" s="9" t="n">
        <v>0.08</v>
      </c>
    </row>
    <row r="22">
      <c r="A22" s="6" t="inlineStr">
        <is>
          <t>Meter price inflation</t>
        </is>
      </c>
      <c r="B22" s="9" t="n">
        <v>0.08</v>
      </c>
      <c r="C22" s="9" t="n">
        <v>0.075</v>
      </c>
      <c r="D22" s="9" t="n">
        <v>0.07000000000000001</v>
      </c>
      <c r="E22" s="9" t="n">
        <v>0.07000000000000001</v>
      </c>
      <c r="F22" s="9" t="n">
        <v>0.07000000000000001</v>
      </c>
    </row>
    <row r="24">
      <c r="A24" s="12" t="inlineStr">
        <is>
          <t>Unit gross profit and cost load</t>
        </is>
      </c>
      <c r="B24" s="15" t="n"/>
      <c r="C24" s="15" t="n"/>
      <c r="D24" s="15" t="n"/>
      <c r="E24" s="15" t="n"/>
      <c r="F24" s="15" t="n"/>
      <c r="G24" s="15" t="n"/>
      <c r="H24" s="15" t="n"/>
    </row>
    <row r="25">
      <c r="A25" s="6" t="inlineStr">
        <is>
          <t>Gross profit per unit — growth</t>
        </is>
      </c>
      <c r="B25" s="9" t="n">
        <v>0.08500000000000001</v>
      </c>
      <c r="C25" s="9" t="n">
        <v>0.08</v>
      </c>
      <c r="D25" s="9" t="n">
        <v>0.075</v>
      </c>
      <c r="E25" s="9" t="n">
        <v>0.07000000000000001</v>
      </c>
      <c r="F25" s="9"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9" t="n">
        <v>0.04</v>
      </c>
      <c r="C27" s="9" t="n">
        <v>0.043</v>
      </c>
      <c r="D27" s="9" t="n">
        <v>0.046</v>
      </c>
      <c r="E27" s="9" t="n">
        <v>0.048</v>
      </c>
      <c r="F27" s="9" t="n">
        <v>0.05</v>
      </c>
    </row>
    <row r="28">
      <c r="A28" s="6" t="inlineStr">
        <is>
          <t>Cable gross profit per tonne, FY2025 (EGP)</t>
        </is>
      </c>
      <c r="C28" s="22" t="n">
        <v>88173</v>
      </c>
    </row>
    <row r="29">
      <c r="A29" s="6" t="inlineStr">
        <is>
          <t>Order book at FY2025 (EGP mn)</t>
        </is>
      </c>
      <c r="C29" s="22" t="n">
        <v>323700</v>
      </c>
    </row>
    <row r="31">
      <c r="A31" s="12" t="inlineStr">
        <is>
          <t>Capital intensity</t>
        </is>
      </c>
      <c r="B31" s="15" t="n"/>
      <c r="C31" s="15" t="n"/>
      <c r="D31" s="15" t="n"/>
      <c r="E31" s="15" t="n"/>
      <c r="F31" s="15" t="n"/>
      <c r="G31" s="15" t="n"/>
      <c r="H31" s="15" t="n"/>
    </row>
    <row r="32">
      <c r="A32" s="6" t="inlineStr">
        <is>
          <t>Working capital / revenue</t>
        </is>
      </c>
      <c r="C32" s="9" t="n">
        <v>0.23</v>
      </c>
    </row>
    <row r="33">
      <c r="A33" s="6" t="inlineStr">
        <is>
          <t>Capital expenditure / revenue</t>
        </is>
      </c>
      <c r="B33" s="9" t="n">
        <v>0.03</v>
      </c>
      <c r="C33" s="9" t="n">
        <v>0.029</v>
      </c>
      <c r="D33" s="9" t="n">
        <v>0.028</v>
      </c>
      <c r="E33" s="9" t="n">
        <v>0.026</v>
      </c>
      <c r="F33" s="9" t="n">
        <v>0.024</v>
      </c>
    </row>
    <row r="34">
      <c r="A34" s="6" t="inlineStr">
        <is>
          <t>Depreciation and amortisation / revenue</t>
        </is>
      </c>
      <c r="C34" s="9" t="n">
        <v>0.0105</v>
      </c>
    </row>
    <row r="36">
      <c r="A36" s="12" t="inlineStr">
        <is>
          <t>Cost of capital</t>
        </is>
      </c>
      <c r="B36" s="15" t="n"/>
      <c r="C36" s="15" t="n"/>
      <c r="D36" s="15" t="n"/>
      <c r="E36" s="15" t="n"/>
      <c r="F36" s="15" t="n"/>
      <c r="G36" s="15" t="n"/>
      <c r="H36" s="15" t="n"/>
    </row>
    <row r="37">
      <c r="A37" s="6" t="inlineStr">
        <is>
          <t>Risk-free rate (10-year local currency)</t>
        </is>
      </c>
      <c r="C37" s="9" t="n">
        <v>0.2231</v>
      </c>
    </row>
    <row r="38">
      <c r="A38" s="6" t="inlineStr">
        <is>
          <t>Sovereign default spread (netted out)</t>
        </is>
      </c>
      <c r="C38" s="9" t="n">
        <v>0.034</v>
      </c>
    </row>
    <row r="39">
      <c r="A39" s="6" t="inlineStr">
        <is>
          <t>Equity risk premium</t>
        </is>
      </c>
      <c r="C39" s="9" t="n">
        <v>0.0941</v>
      </c>
    </row>
    <row r="40">
      <c r="A40" s="6" t="inlineStr">
        <is>
          <t>Beta</t>
        </is>
      </c>
      <c r="C40" s="25" t="n">
        <v>1.009</v>
      </c>
    </row>
    <row r="41">
      <c r="A41" s="6" t="inlineStr">
        <is>
          <t>Cost of debt, blended</t>
        </is>
      </c>
      <c r="C41" s="9" t="n">
        <v>0.13</v>
      </c>
    </row>
    <row r="42">
      <c r="A42" s="6" t="inlineStr">
        <is>
          <t>Cost of debt path</t>
        </is>
      </c>
      <c r="B42" s="9" t="n">
        <v>0.13</v>
      </c>
      <c r="C42" s="9" t="n">
        <v>0.122</v>
      </c>
      <c r="D42" s="9" t="n">
        <v>0.115</v>
      </c>
      <c r="E42" s="9" t="n">
        <v>0.11</v>
      </c>
      <c r="F42" s="9" t="n">
        <v>0.106</v>
      </c>
    </row>
    <row r="43">
      <c r="A43" s="6" t="inlineStr">
        <is>
          <t>Terminal risk-free rate</t>
        </is>
      </c>
      <c r="C43" s="9" t="n">
        <v>0.105</v>
      </c>
    </row>
    <row r="44">
      <c r="A44" s="6" t="inlineStr">
        <is>
          <t>Terminal equity risk premium</t>
        </is>
      </c>
      <c r="C44" s="9" t="n">
        <v>0.07000000000000001</v>
      </c>
    </row>
    <row r="45">
      <c r="A45" s="6" t="inlineStr">
        <is>
          <t>Terminal cost of debt</t>
        </is>
      </c>
      <c r="C45" s="9" t="n">
        <v>0.105</v>
      </c>
    </row>
    <row r="46">
      <c r="A46" s="6" t="inlineStr">
        <is>
          <t>Terminal debt weight</t>
        </is>
      </c>
      <c r="C46" s="9" t="n">
        <v>0.25</v>
      </c>
    </row>
    <row r="47">
      <c r="A47" s="6" t="inlineStr">
        <is>
          <t>Terminal growth</t>
        </is>
      </c>
      <c r="C47" s="9" t="n">
        <v>0.05</v>
      </c>
    </row>
    <row r="49">
      <c r="A49" s="12" t="inlineStr">
        <is>
          <t>Balance-sheet and bridge anchors</t>
        </is>
      </c>
      <c r="B49" s="15" t="n"/>
      <c r="C49" s="15" t="n"/>
      <c r="D49" s="15" t="n"/>
      <c r="E49" s="15" t="n"/>
      <c r="F49" s="15" t="n"/>
      <c r="G49" s="15" t="n"/>
      <c r="H49" s="15" t="n"/>
    </row>
    <row r="50">
      <c r="A50" s="6" t="inlineStr">
        <is>
          <t>Net bank debt at FY2025 (EGP mn, disclosed)</t>
        </is>
      </c>
      <c r="C50" s="22" t="n">
        <v>19789</v>
      </c>
    </row>
    <row r="51">
      <c r="A51" s="6" t="inlineStr">
        <is>
          <t>Equity-accounted investees at carrying value (EGP mn)</t>
        </is>
      </c>
      <c r="C51" s="22" t="n">
        <v>6474</v>
      </c>
    </row>
    <row r="52">
      <c r="A52" s="6" t="inlineStr">
        <is>
          <t>Intangible assets and goodwill (EGP mn)</t>
        </is>
      </c>
      <c r="C52" s="22" t="n">
        <v>1459.2</v>
      </c>
    </row>
    <row r="53">
      <c r="A53" s="6" t="inlineStr">
        <is>
          <t>FY2025 profit after tax (EGP mn, disclosed)</t>
        </is>
      </c>
      <c r="C53" s="22" t="n">
        <v>19180</v>
      </c>
    </row>
    <row r="54">
      <c r="A54" s="6" t="inlineStr">
        <is>
          <t>FY2025 profit after minority interests (EGP mn, disclosed)</t>
        </is>
      </c>
      <c r="C54" s="22" t="n">
        <v>17330</v>
      </c>
    </row>
    <row r="55">
      <c r="A55" s="6" t="inlineStr">
        <is>
          <t>FY2024 dividend per share (EGP)</t>
        </is>
      </c>
      <c r="C55" s="7" t="n">
        <v>1</v>
      </c>
    </row>
    <row r="56">
      <c r="A56" s="6" t="inlineStr">
        <is>
          <t>Forecast dividend payout ratio</t>
        </is>
      </c>
      <c r="C56" s="9" t="n">
        <v>0.25</v>
      </c>
    </row>
    <row r="57">
      <c r="A57" s="6" t="inlineStr">
        <is>
          <t>Growth in the share of equity-accounted investees</t>
        </is>
      </c>
      <c r="C57" s="9" t="n">
        <v>0.08</v>
      </c>
    </row>
    <row r="58">
      <c r="A58" s="6" t="inlineStr">
        <is>
          <t>Yield assumed on surplus cash</t>
        </is>
      </c>
      <c r="C58" s="9" t="n">
        <v>0.1</v>
      </c>
    </row>
    <row r="60">
      <c r="A60" s="12" t="inlineStr">
        <is>
          <t>Lens inputs</t>
        </is>
      </c>
      <c r="B60" s="15" t="n"/>
      <c r="C60" s="15" t="n"/>
      <c r="D60" s="15" t="n"/>
      <c r="E60" s="15" t="n"/>
      <c r="F60" s="15" t="n"/>
      <c r="G60" s="15" t="n"/>
      <c r="H60" s="15" t="n"/>
    </row>
    <row r="61">
      <c r="A61" s="6" t="inlineStr">
        <is>
          <t>Justified EV/EBITDA</t>
        </is>
      </c>
      <c r="C61" s="24" t="n">
        <v>6.5</v>
      </c>
    </row>
    <row r="62">
      <c r="A62" s="6" t="inlineStr">
        <is>
          <t>Justified price/earnings</t>
        </is>
      </c>
      <c r="C62" s="24" t="n">
        <v>9</v>
      </c>
    </row>
    <row r="63">
      <c r="A63" s="6" t="inlineStr">
        <is>
          <t>Sustainable return on equity</t>
        </is>
      </c>
      <c r="C63" s="9" t="n">
        <v>0.235</v>
      </c>
    </row>
    <row r="64">
      <c r="A64" s="6" t="inlineStr">
        <is>
          <t>Weight — discounted cash flow</t>
        </is>
      </c>
      <c r="C64" s="9" t="n">
        <v>0.45</v>
      </c>
    </row>
    <row r="65">
      <c r="A65" s="6" t="inlineStr">
        <is>
          <t>Weight — relative</t>
        </is>
      </c>
      <c r="C65" s="9" t="n">
        <v>0.2</v>
      </c>
    </row>
    <row r="66">
      <c r="A66" s="6" t="inlineStr">
        <is>
          <t>Weight — normalised</t>
        </is>
      </c>
      <c r="C66" s="9" t="n">
        <v>0.2</v>
      </c>
    </row>
    <row r="67">
      <c r="A67" s="6" t="inlineStr">
        <is>
          <t>Weight — book</t>
        </is>
      </c>
      <c r="C67" s="9"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10">
        <f>C5/Assumptions!$C$6</f>
        <v/>
      </c>
    </row>
    <row r="6">
      <c r="A6" s="6" t="inlineStr">
        <is>
          <t>Present value of the terminal value</t>
        </is>
      </c>
      <c r="C6" s="18">
        <f>DCF!C27</f>
        <v/>
      </c>
      <c r="D6" s="10">
        <f>C6/Assumptions!$C$6</f>
        <v/>
      </c>
    </row>
    <row r="7">
      <c r="A7" s="6" t="inlineStr">
        <is>
          <t>Enterprise value</t>
        </is>
      </c>
      <c r="C7" s="26">
        <f>C5+C6</f>
        <v/>
      </c>
      <c r="D7" s="27">
        <f>C7/Assumptions!$C$6</f>
        <v/>
      </c>
    </row>
    <row r="8">
      <c r="A8" s="6" t="inlineStr">
        <is>
          <t>Less net bank debt</t>
        </is>
      </c>
      <c r="C8" s="18">
        <f>-Assumptions!$C$50</f>
        <v/>
      </c>
      <c r="D8" s="10">
        <f>C8/Assumptions!$C$6</f>
        <v/>
      </c>
    </row>
    <row r="9">
      <c r="A9" s="6" t="inlineStr">
        <is>
          <t>Plus equity-accounted investees at carrying value</t>
        </is>
      </c>
      <c r="C9" s="18">
        <f>Assumptions!$C$51</f>
        <v/>
      </c>
      <c r="D9" s="10">
        <f>C9/Assumptions!$C$6</f>
        <v/>
      </c>
    </row>
    <row r="10">
      <c r="A10" s="6" t="inlineStr">
        <is>
          <t>Equity before minority interests</t>
        </is>
      </c>
      <c r="C10" s="28">
        <f>C7+C8+C9</f>
        <v/>
      </c>
      <c r="D10" s="10">
        <f>C10/Assumptions!$C$6</f>
        <v/>
      </c>
    </row>
    <row r="11">
      <c r="A11" s="6" t="inlineStr">
        <is>
          <t>Less minority interests at their share of group profit</t>
        </is>
      </c>
      <c r="C11" s="28">
        <f>-C10*$C$15</f>
        <v/>
      </c>
      <c r="D11" s="10">
        <f>C11/Assumptions!$C$6</f>
        <v/>
      </c>
    </row>
    <row r="12">
      <c r="A12" s="15" t="inlineStr">
        <is>
          <t>Equity attributable to shareholders</t>
        </is>
      </c>
      <c r="B12" s="15" t="n"/>
      <c r="C12" s="29">
        <f>C10+C11</f>
        <v/>
      </c>
      <c r="D12" s="30">
        <f>C12/Assumptions!$C$6</f>
        <v/>
      </c>
    </row>
    <row r="14">
      <c r="A14" s="6" t="inlineStr">
        <is>
          <t>Terminal value as a share of enterprise value</t>
        </is>
      </c>
      <c r="C14" s="16">
        <f>DCF!C28</f>
        <v/>
      </c>
    </row>
    <row r="15">
      <c r="A15" s="6" t="inlineStr">
        <is>
          <t>Minority share of group profit</t>
        </is>
      </c>
      <c r="C15" s="11">
        <f>(Assumptions!$C$53-Assumptions!$C$54)/Assumptions!$C$53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2" t="n">
        <v>92138.29685490194</v>
      </c>
      <c r="C5" s="11">
        <f>B5/$B$12</f>
        <v/>
      </c>
      <c r="D5" s="9" t="n">
        <v>0.1479665487953016</v>
      </c>
      <c r="E5" s="22" t="n">
        <v>145610.3678770696</v>
      </c>
      <c r="F5" s="22" t="n">
        <v>169133.0260767016</v>
      </c>
      <c r="G5" s="22" t="n">
        <v>187299.1659145696</v>
      </c>
      <c r="H5" s="22" t="n">
        <v>206647.9840977443</v>
      </c>
      <c r="I5" s="22" t="n">
        <v>227245.0290701096</v>
      </c>
    </row>
    <row r="6">
      <c r="A6" s="6" t="inlineStr">
        <is>
          <t>Raw material (copper rod)</t>
        </is>
      </c>
      <c r="B6" s="22" t="n">
        <v>60448.00314509805</v>
      </c>
      <c r="C6" s="11">
        <f>B6/$B$12</f>
        <v/>
      </c>
      <c r="D6" s="9" t="n">
        <v>0.1239697053155375</v>
      </c>
      <c r="E6" s="22" t="n">
        <v>86793.07467340285</v>
      </c>
      <c r="F6" s="22" t="n">
        <v>99853.94648992721</v>
      </c>
      <c r="G6" s="22" t="n">
        <v>109515.7403864063</v>
      </c>
      <c r="H6" s="22" t="n">
        <v>119667.3733648332</v>
      </c>
      <c r="I6" s="22" t="n">
        <v>130329.5401556179</v>
      </c>
    </row>
    <row r="7">
      <c r="A7" s="6" t="inlineStr">
        <is>
          <t>Engineering &amp; construction</t>
        </is>
      </c>
      <c r="B7" s="22" t="n">
        <v>87100.7</v>
      </c>
      <c r="C7" s="11">
        <f>B7/$B$12</f>
        <v/>
      </c>
      <c r="D7" s="9" t="n">
        <v>0.08991421158660849</v>
      </c>
      <c r="E7" s="22" t="n">
        <v>87399</v>
      </c>
      <c r="F7" s="22" t="n">
        <v>86938.53675000001</v>
      </c>
      <c r="G7" s="22" t="n">
        <v>86428.38797775001</v>
      </c>
      <c r="H7" s="22" t="n">
        <v>85427.48076159229</v>
      </c>
      <c r="I7" s="22" t="n">
        <v>84179.56952301609</v>
      </c>
    </row>
    <row r="8">
      <c r="A8" s="6" t="inlineStr">
        <is>
          <t>Transformers</t>
        </is>
      </c>
      <c r="B8" s="22" t="n">
        <v>17703.5</v>
      </c>
      <c r="C8" s="11">
        <f>B8/$B$12</f>
        <v/>
      </c>
      <c r="D8" s="9" t="n">
        <v>0.2769882639821222</v>
      </c>
      <c r="E8" s="22" t="n">
        <v>20025.95817760357</v>
      </c>
      <c r="F8" s="22" t="n">
        <v>23704.12363041715</v>
      </c>
      <c r="G8" s="22" t="n">
        <v>26754.93213470232</v>
      </c>
      <c r="H8" s="22" t="n">
        <v>29802.66788222058</v>
      </c>
      <c r="I8" s="22" t="n">
        <v>33088.28987415392</v>
      </c>
    </row>
    <row r="9">
      <c r="A9" s="6" t="inlineStr">
        <is>
          <t>Meters &amp; digital</t>
        </is>
      </c>
      <c r="B9" s="22" t="n">
        <v>16594.1</v>
      </c>
      <c r="C9" s="11">
        <f>B9/$B$12</f>
        <v/>
      </c>
      <c r="D9" s="9" t="n">
        <v>0.2190169964043364</v>
      </c>
      <c r="E9" s="22" t="n">
        <v>17815.54107615941</v>
      </c>
      <c r="F9" s="22" t="n">
        <v>20109.29198971493</v>
      </c>
      <c r="G9" s="22" t="n">
        <v>22592.78955044473</v>
      </c>
      <c r="H9" s="22" t="n">
        <v>25141.25621173489</v>
      </c>
      <c r="I9" s="22" t="n">
        <v>27977.18991241859</v>
      </c>
    </row>
    <row r="10">
      <c r="A10" s="6" t="inlineStr">
        <is>
          <t>Other electrical products</t>
        </is>
      </c>
      <c r="B10" s="22" t="n">
        <v>3206.5</v>
      </c>
      <c r="C10" s="11">
        <f>B10/$B$12</f>
        <v/>
      </c>
      <c r="D10" s="9" t="n">
        <v>0.4076827342682428</v>
      </c>
      <c r="E10" s="22" t="n">
        <v>3591.28</v>
      </c>
      <c r="F10" s="22" t="n">
        <v>3986.3208</v>
      </c>
      <c r="G10" s="22" t="n">
        <v>4384.952880000001</v>
      </c>
      <c r="H10" s="22" t="n">
        <v>4779.598639200001</v>
      </c>
      <c r="I10" s="22" t="n">
        <v>5161.966530336002</v>
      </c>
    </row>
    <row r="11">
      <c r="A11" s="6" t="inlineStr">
        <is>
          <t>Infrastructure investment</t>
        </is>
      </c>
      <c r="B11" s="22" t="n">
        <v>3857.9</v>
      </c>
      <c r="C11" s="11">
        <f>B11/$B$12</f>
        <v/>
      </c>
      <c r="D11" s="9" t="n">
        <v>0.4966473826898447</v>
      </c>
      <c r="E11" s="22" t="n">
        <v>4320.848000000001</v>
      </c>
      <c r="F11" s="22" t="n">
        <v>4796.141280000002</v>
      </c>
      <c r="G11" s="22" t="n">
        <v>5275.755408000002</v>
      </c>
      <c r="H11" s="22" t="n">
        <v>5750.573394720002</v>
      </c>
      <c r="I11" s="22" t="n">
        <v>6210.619266297603</v>
      </c>
    </row>
    <row r="12">
      <c r="A12" s="12" t="inlineStr">
        <is>
          <t>Total revenue</t>
        </is>
      </c>
      <c r="B12" s="31">
        <f>SUM(B5:B11)</f>
        <v/>
      </c>
      <c r="C12" s="14">
        <f>SUM(C5:C11)</f>
        <v/>
      </c>
      <c r="D12" s="15" t="n"/>
      <c r="E12" s="31">
        <f>SUM(E5:E11)</f>
        <v/>
      </c>
      <c r="F12" s="31">
        <f>SUM(F5:F11)</f>
        <v/>
      </c>
      <c r="G12" s="31">
        <f>SUM(G5:G11)</f>
        <v/>
      </c>
      <c r="H12" s="31">
        <f>SUM(H5:H11)</f>
        <v/>
      </c>
      <c r="I12" s="31">
        <f>SUM(I5:I11)</f>
        <v/>
      </c>
    </row>
    <row r="14">
      <c r="A14" s="5" t="inlineStr">
        <is>
          <t>Gross profit by segment</t>
        </is>
      </c>
      <c r="B14" s="5" t="inlineStr">
        <is>
          <t>FY26E</t>
        </is>
      </c>
      <c r="C14" s="5" t="inlineStr">
        <is>
          <t>FY27E</t>
        </is>
      </c>
      <c r="D14" s="5" t="inlineStr">
        <is>
          <t>FY28E</t>
        </is>
      </c>
      <c r="E14" s="5" t="inlineStr">
        <is>
          <t>FY29E</t>
        </is>
      </c>
      <c r="F14" s="5" t="inlineStr">
        <is>
          <t>FY30E</t>
        </is>
      </c>
    </row>
    <row r="15">
      <c r="A15" s="6" t="inlineStr">
        <is>
          <t>Cables</t>
        </is>
      </c>
      <c r="B15" s="22" t="n">
        <v>25866.09381390937</v>
      </c>
      <c r="C15" s="22" t="n">
        <v>29332.15038497323</v>
      </c>
      <c r="D15" s="22" t="n">
        <v>32793.34413040007</v>
      </c>
      <c r="E15" s="22" t="n">
        <v>36492.43334830921</v>
      </c>
      <c r="F15" s="22" t="n">
        <v>40608.77982999848</v>
      </c>
    </row>
    <row r="16">
      <c r="A16" s="6" t="inlineStr">
        <is>
          <t>Raw material (copper rod)</t>
        </is>
      </c>
      <c r="B16" s="22" t="n">
        <v>8455.914930776953</v>
      </c>
      <c r="C16" s="22" t="n">
        <v>9497.683650248677</v>
      </c>
      <c r="D16" s="22" t="n">
        <v>10516.31022173785</v>
      </c>
      <c r="E16" s="22" t="n">
        <v>11590.02549537728</v>
      </c>
      <c r="F16" s="22" t="n">
        <v>12773.3670984553</v>
      </c>
    </row>
    <row r="17">
      <c r="A17" s="6" t="inlineStr">
        <is>
          <t>Engineering &amp; construction</t>
        </is>
      </c>
      <c r="B17" s="22" t="n">
        <v>7858.412178457996</v>
      </c>
      <c r="C17" s="22" t="n">
        <v>8129.690387904425</v>
      </c>
      <c r="D17" s="22" t="n">
        <v>8315.120189181367</v>
      </c>
      <c r="E17" s="22" t="n">
        <v>8372.447592754523</v>
      </c>
      <c r="F17" s="22" t="n">
        <v>8325.833587898298</v>
      </c>
    </row>
    <row r="18">
      <c r="A18" s="6" t="inlineStr">
        <is>
          <t>Transformers</t>
        </is>
      </c>
      <c r="B18" s="22" t="n">
        <v>5746.110816863308</v>
      </c>
      <c r="C18" s="22" t="n">
        <v>6640.205659967241</v>
      </c>
      <c r="D18" s="22" t="n">
        <v>7566.514349532672</v>
      </c>
      <c r="E18" s="22" t="n">
        <v>8500.978871699957</v>
      </c>
      <c r="F18" s="22" t="n">
        <v>9550.849762354903</v>
      </c>
    </row>
    <row r="19">
      <c r="A19" s="6" t="inlineStr">
        <is>
          <t>Meters &amp; digital</t>
        </is>
      </c>
      <c r="B19" s="22" t="n">
        <v>4179.911870032181</v>
      </c>
      <c r="C19" s="22" t="n">
        <v>4740.020060616494</v>
      </c>
      <c r="D19" s="22" t="n">
        <v>5350.297643420868</v>
      </c>
      <c r="E19" s="22" t="n">
        <v>5953.811217598743</v>
      </c>
      <c r="F19" s="22" t="n">
        <v>6625.401122943882</v>
      </c>
    </row>
    <row r="20">
      <c r="A20" s="6" t="inlineStr">
        <is>
          <t>Other electrical products</t>
        </is>
      </c>
      <c r="B20" s="22" t="n">
        <v>1464.102849922855</v>
      </c>
      <c r="C20" s="22" t="n">
        <v>1690.160329950944</v>
      </c>
      <c r="D20" s="22" t="n">
        <v>1912.806450338713</v>
      </c>
      <c r="E20" s="22" t="n">
        <v>2123.930227707874</v>
      </c>
      <c r="F20" s="22" t="n">
        <v>2314.889092217389</v>
      </c>
    </row>
    <row r="21">
      <c r="A21" s="6" t="inlineStr">
        <is>
          <t>Infrastructure investment</t>
        </is>
      </c>
      <c r="B21" s="22" t="n">
        <v>2145.937850200651</v>
      </c>
      <c r="C21" s="22" t="n">
        <v>2477.270654271631</v>
      </c>
      <c r="D21" s="22" t="n">
        <v>2803.603423151645</v>
      </c>
      <c r="E21" s="22" t="n">
        <v>3113.047875744363</v>
      </c>
      <c r="F21" s="22" t="n">
        <v>3392.936583838811</v>
      </c>
    </row>
    <row r="22">
      <c r="A22" s="12" t="inlineStr">
        <is>
          <t>Group gross profit</t>
        </is>
      </c>
      <c r="B22" s="31">
        <f>SUM(B15:B21)</f>
        <v/>
      </c>
      <c r="C22" s="31">
        <f>SUM(C15:C21)</f>
        <v/>
      </c>
      <c r="D22" s="31">
        <f>SUM(D15:D21)</f>
        <v/>
      </c>
      <c r="E22" s="31">
        <f>SUM(E15:E21)</f>
        <v/>
      </c>
      <c r="F22" s="31">
        <f>SUM(F15:F21)</f>
        <v/>
      </c>
    </row>
    <row r="23">
      <c r="A23" s="6" t="inlineStr">
        <is>
          <t>Group gross margin</t>
        </is>
      </c>
      <c r="B23" s="11">
        <f>B22/E$12</f>
        <v/>
      </c>
      <c r="C23" s="11">
        <f>C22/F$12</f>
        <v/>
      </c>
      <c r="D23" s="11">
        <f>D22/G$12</f>
        <v/>
      </c>
      <c r="E23" s="11">
        <f>E22/H$12</f>
        <v/>
      </c>
      <c r="F23" s="11">
        <f>F22/I$12</f>
        <v/>
      </c>
    </row>
    <row r="25">
      <c r="A25" s="5" t="inlineStr">
        <is>
          <t>Segment EBITDA — gross profit less the operating load</t>
        </is>
      </c>
      <c r="B25" s="5" t="inlineStr">
        <is>
          <t>FY26E</t>
        </is>
      </c>
      <c r="C25" s="5" t="inlineStr">
        <is>
          <t>FY27E</t>
        </is>
      </c>
      <c r="D25" s="5" t="inlineStr">
        <is>
          <t>FY28E</t>
        </is>
      </c>
      <c r="E25" s="5" t="inlineStr">
        <is>
          <t>FY29E</t>
        </is>
      </c>
      <c r="F25" s="5" t="inlineStr">
        <is>
          <t>FY30E</t>
        </is>
      </c>
    </row>
    <row r="26">
      <c r="A26" s="6" t="inlineStr">
        <is>
          <t>Cables</t>
        </is>
      </c>
      <c r="B26" s="28">
        <f>B15-Assumptions!$B$27*E5</f>
        <v/>
      </c>
      <c r="C26" s="28">
        <f>C15-Assumptions!$C$27*F5</f>
        <v/>
      </c>
      <c r="D26" s="28">
        <f>D15-Assumptions!$D$27*G5</f>
        <v/>
      </c>
      <c r="E26" s="28">
        <f>E15-Assumptions!$E$27*H5</f>
        <v/>
      </c>
      <c r="F26" s="28">
        <f>F15-Assumptions!$F$27*I5</f>
        <v/>
      </c>
    </row>
    <row r="27">
      <c r="A27" s="6" t="inlineStr">
        <is>
          <t>Raw material (copper rod)</t>
        </is>
      </c>
      <c r="B27" s="28">
        <f>B16-Assumptions!$B$27*E6</f>
        <v/>
      </c>
      <c r="C27" s="28">
        <f>C16-Assumptions!$C$27*F6</f>
        <v/>
      </c>
      <c r="D27" s="28">
        <f>D16-Assumptions!$D$27*G6</f>
        <v/>
      </c>
      <c r="E27" s="28">
        <f>E16-Assumptions!$E$27*H6</f>
        <v/>
      </c>
      <c r="F27" s="28">
        <f>F16-Assumptions!$F$27*I6</f>
        <v/>
      </c>
    </row>
    <row r="28">
      <c r="A28" s="6" t="inlineStr">
        <is>
          <t>Engineering &amp; construction</t>
        </is>
      </c>
      <c r="B28" s="28">
        <f>B17-Assumptions!$B$27*E7</f>
        <v/>
      </c>
      <c r="C28" s="28">
        <f>C17-Assumptions!$C$27*F7</f>
        <v/>
      </c>
      <c r="D28" s="28">
        <f>D17-Assumptions!$D$27*G7</f>
        <v/>
      </c>
      <c r="E28" s="28">
        <f>E17-Assumptions!$E$27*H7</f>
        <v/>
      </c>
      <c r="F28" s="28">
        <f>F17-Assumptions!$F$27*I7</f>
        <v/>
      </c>
    </row>
    <row r="29">
      <c r="A29" s="6" t="inlineStr">
        <is>
          <t>Transformers</t>
        </is>
      </c>
      <c r="B29" s="28">
        <f>B18-Assumptions!$B$27*E8</f>
        <v/>
      </c>
      <c r="C29" s="28">
        <f>C18-Assumptions!$C$27*F8</f>
        <v/>
      </c>
      <c r="D29" s="28">
        <f>D18-Assumptions!$D$27*G8</f>
        <v/>
      </c>
      <c r="E29" s="28">
        <f>E18-Assumptions!$E$27*H8</f>
        <v/>
      </c>
      <c r="F29" s="28">
        <f>F18-Assumptions!$F$27*I8</f>
        <v/>
      </c>
    </row>
    <row r="30">
      <c r="A30" s="6" t="inlineStr">
        <is>
          <t>Meters &amp; digital</t>
        </is>
      </c>
      <c r="B30" s="28">
        <f>B19-Assumptions!$B$27*E9</f>
        <v/>
      </c>
      <c r="C30" s="28">
        <f>C19-Assumptions!$C$27*F9</f>
        <v/>
      </c>
      <c r="D30" s="28">
        <f>D19-Assumptions!$D$27*G9</f>
        <v/>
      </c>
      <c r="E30" s="28">
        <f>E19-Assumptions!$E$27*H9</f>
        <v/>
      </c>
      <c r="F30" s="28">
        <f>F19-Assumptions!$F$27*I9</f>
        <v/>
      </c>
    </row>
    <row r="31">
      <c r="A31" s="6" t="inlineStr">
        <is>
          <t>Other electrical products</t>
        </is>
      </c>
      <c r="B31" s="28">
        <f>B20-Assumptions!$B$27*E10</f>
        <v/>
      </c>
      <c r="C31" s="28">
        <f>C20-Assumptions!$C$27*F10</f>
        <v/>
      </c>
      <c r="D31" s="28">
        <f>D20-Assumptions!$D$27*G10</f>
        <v/>
      </c>
      <c r="E31" s="28">
        <f>E20-Assumptions!$E$27*H10</f>
        <v/>
      </c>
      <c r="F31" s="28">
        <f>F20-Assumptions!$F$27*I10</f>
        <v/>
      </c>
    </row>
    <row r="32">
      <c r="A32" s="6" t="inlineStr">
        <is>
          <t>Infrastructure investment</t>
        </is>
      </c>
      <c r="B32" s="28">
        <f>B21-Assumptions!$B$27*E11</f>
        <v/>
      </c>
      <c r="C32" s="28">
        <f>C21-Assumptions!$C$27*F11</f>
        <v/>
      </c>
      <c r="D32" s="28">
        <f>D21-Assumptions!$D$27*G11</f>
        <v/>
      </c>
      <c r="E32" s="28">
        <f>E21-Assumptions!$E$27*H11</f>
        <v/>
      </c>
      <c r="F32" s="28">
        <f>F21-Assumptions!$F$27*I11</f>
        <v/>
      </c>
    </row>
    <row r="33">
      <c r="A33" s="12" t="inlineStr">
        <is>
          <t>Group EBITDA</t>
        </is>
      </c>
      <c r="B33" s="31">
        <f>SUM(B26:B32)</f>
        <v/>
      </c>
      <c r="C33" s="31">
        <f>SUM(C26:C32)</f>
        <v/>
      </c>
      <c r="D33" s="31">
        <f>SUM(D26:D32)</f>
        <v/>
      </c>
      <c r="E33" s="31">
        <f>SUM(E26:E32)</f>
        <v/>
      </c>
      <c r="F33" s="31">
        <f>SUM(F26:F32)</f>
        <v/>
      </c>
    </row>
    <row r="34">
      <c r="A34" s="6" t="inlineStr">
        <is>
          <t>Group EBITDA margin</t>
        </is>
      </c>
      <c r="B34" s="11">
        <f>B33/E$12</f>
        <v/>
      </c>
      <c r="C34" s="11">
        <f>C33/F$12</f>
        <v/>
      </c>
      <c r="D34" s="11">
        <f>D33/G$12</f>
        <v/>
      </c>
      <c r="E34" s="11">
        <f>E33/H$12</f>
        <v/>
      </c>
      <c r="F34" s="11">
        <f>F33/I$12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32">
        <f>Assumptions!$C$61</f>
        <v/>
      </c>
    </row>
    <row r="7">
      <c r="A7" s="6" t="inlineStr">
        <is>
          <t>Implied enterprise value AS AT end-FY2027 (EGP mn)</t>
        </is>
      </c>
      <c r="C7" s="28">
        <f>C5*C6</f>
        <v/>
      </c>
    </row>
    <row r="8">
      <c r="A8" s="6" t="inlineStr">
        <is>
          <t>Discount factor back to today (year-2)</t>
        </is>
      </c>
      <c r="C8" s="33">
        <f>DCF!C16</f>
        <v/>
      </c>
    </row>
    <row r="9">
      <c r="A9" s="6" t="inlineStr">
        <is>
          <t>Implied enterprise value TODAY (EGP mn)</t>
        </is>
      </c>
      <c r="C9" s="28">
        <f>C7*C8</f>
        <v/>
      </c>
    </row>
    <row r="10">
      <c r="A10" s="6" t="inlineStr">
        <is>
          <t>Less net bank debt, plus associates (EGP mn)</t>
        </is>
      </c>
      <c r="C10" s="28">
        <f>-Assumptions!$C$50+Assumptions!$C$51</f>
        <v/>
      </c>
    </row>
    <row r="11">
      <c r="A11" s="15" t="inlineStr">
        <is>
          <t>Implied value per share (EGP)</t>
        </is>
      </c>
      <c r="B11" s="15" t="n"/>
      <c r="C11" s="30">
        <f>(C9+C10)*(1-'SOTP Bridge'!$C$15)/Assumptions!$C$6</f>
        <v/>
      </c>
    </row>
    <row r="13">
      <c r="A13" s="6" t="inlineStr">
        <is>
          <t>Trailing enterprise value / EBITDA</t>
        </is>
      </c>
      <c r="C13" s="34">
        <f>((Assumptions!$C$5*Assumptions!$C$6)+Assumptions!$C$50)/'Income Statement'!D7</f>
        <v/>
      </c>
    </row>
    <row r="14">
      <c r="A14" s="6" t="inlineStr">
        <is>
          <t>Trailing price / earnings</t>
        </is>
      </c>
      <c r="C14" s="34">
        <f>Assumptions!$C$5/'Income Statement'!D18</f>
        <v/>
      </c>
    </row>
    <row r="15">
      <c r="A15" s="6" t="inlineStr">
        <is>
          <t>Trailing price / book</t>
        </is>
      </c>
      <c r="C15" s="34">
        <f>Assumptions!$C$5/C31</f>
        <v/>
      </c>
    </row>
    <row r="16">
      <c r="A16" s="6" t="inlineStr">
        <is>
          <t>Net bank debt / EBITDA</t>
        </is>
      </c>
      <c r="C16" s="34">
        <f>Assumptions!$C$50/'Income Statement'!D7</f>
        <v/>
      </c>
    </row>
    <row r="18">
      <c r="A18" s="5" t="inlineStr">
        <is>
          <t>Normalised earnings lens — every component from the same year (FY2028E)</t>
        </is>
      </c>
      <c r="B18" s="5" t="inlineStr">
        <is>
          <t>Value</t>
        </is>
      </c>
    </row>
    <row r="19">
      <c r="A19" s="6" t="inlineStr">
        <is>
          <t>Mid-cycle revenue (EGP mn)</t>
        </is>
      </c>
      <c r="C19" s="18">
        <f>DCF!D5</f>
        <v/>
      </c>
    </row>
    <row r="20">
      <c r="A20" s="6" t="inlineStr">
        <is>
          <t>Mid-cycle EBITDA margin</t>
        </is>
      </c>
      <c r="C20" s="16">
        <f>DCF!D7</f>
        <v/>
      </c>
    </row>
    <row r="21">
      <c r="A21" s="6" t="inlineStr">
        <is>
          <t>Mid-cycle EBITDA (EGP mn)</t>
        </is>
      </c>
      <c r="C21" s="28">
        <f>C19*C20</f>
        <v/>
      </c>
    </row>
    <row r="22">
      <c r="A22" s="6" t="inlineStr">
        <is>
          <t>Mid-cycle EBIT (EGP mn)</t>
        </is>
      </c>
      <c r="C22" s="28">
        <f>C21-C19*Assumptions!$C$34</f>
        <v/>
      </c>
    </row>
    <row r="23">
      <c r="A23" s="6" t="inlineStr">
        <is>
          <t>Net finance cost (EGP mn)</t>
        </is>
      </c>
      <c r="C23" s="18">
        <f>'Income Statement'!G11</f>
        <v/>
      </c>
    </row>
    <row r="24">
      <c r="A24" s="6" t="inlineStr">
        <is>
          <t>Share of equity-accounted investees (EGP mn)</t>
        </is>
      </c>
      <c r="C24" s="18">
        <f>'Income Statement'!G12</f>
        <v/>
      </c>
    </row>
    <row r="25">
      <c r="A25" s="6" t="inlineStr">
        <is>
          <t>Normalised attributable earnings (EGP mn)</t>
        </is>
      </c>
      <c r="C25" s="28">
        <f>(C22+C23+C24)*(1-Assumptions!$C$7)*(1-'SOTP Bridge'!$C$15)</f>
        <v/>
      </c>
    </row>
    <row r="26">
      <c r="A26" s="6" t="inlineStr">
        <is>
          <t>Normalised earnings per share (EGP)</t>
        </is>
      </c>
      <c r="C26" s="10">
        <f>C25/Assumptions!$C$6</f>
        <v/>
      </c>
    </row>
    <row r="27">
      <c r="A27" s="6" t="inlineStr">
        <is>
          <t>Justified price / earnings</t>
        </is>
      </c>
      <c r="C27" s="34">
        <f>Assumptions!$C$62</f>
        <v/>
      </c>
    </row>
    <row r="28">
      <c r="A28" s="15" t="inlineStr">
        <is>
          <t>Implied value per share (EGP)</t>
        </is>
      </c>
      <c r="B28" s="15" t="n"/>
      <c r="C28" s="30">
        <f>C26*C27</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11">
        <f>Assumptions!$C$63</f>
        <v/>
      </c>
    </row>
    <row r="33">
      <c r="A33" s="6" t="inlineStr">
        <is>
          <t>Trailing return on equity</t>
        </is>
      </c>
      <c r="C33" s="16">
        <f>'Income Statement'!D17/(('Balance Sheet'!C14+'Balance Sheet'!D14)/2)</f>
        <v/>
      </c>
    </row>
    <row r="34">
      <c r="A34" s="6" t="inlineStr">
        <is>
          <t>Perpetual cost of equity</t>
        </is>
      </c>
      <c r="C34" s="16">
        <f>DCF!C49</f>
        <v/>
      </c>
    </row>
    <row r="35">
      <c r="A35" s="6" t="inlineStr">
        <is>
          <t>Justified price / book</t>
        </is>
      </c>
      <c r="C35" s="34">
        <f>(C32-Assumptions!$C$47)/(C34-Assumptions!$C$47)</f>
        <v/>
      </c>
    </row>
    <row r="36">
      <c r="A36" s="15" t="inlineStr">
        <is>
          <t>Implied value per share (EGP)</t>
        </is>
      </c>
      <c r="B36" s="15" t="n"/>
      <c r="C36" s="30">
        <f>C31*C35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8">
        <f>Segments!E12</f>
        <v/>
      </c>
      <c r="C5" s="18">
        <f>Segments!F12</f>
        <v/>
      </c>
      <c r="D5" s="18">
        <f>Segments!G12</f>
        <v/>
      </c>
      <c r="E5" s="18">
        <f>Segments!H12</f>
        <v/>
      </c>
      <c r="F5" s="18">
        <f>Segments!I12</f>
        <v/>
      </c>
    </row>
    <row r="6">
      <c r="A6" s="6" t="inlineStr">
        <is>
          <t>EBITDA</t>
        </is>
      </c>
      <c r="B6" s="18">
        <f>Segments!B33</f>
        <v/>
      </c>
      <c r="C6" s="18">
        <f>Segments!C33</f>
        <v/>
      </c>
      <c r="D6" s="18">
        <f>Segments!D33</f>
        <v/>
      </c>
      <c r="E6" s="18">
        <f>Segments!E33</f>
        <v/>
      </c>
      <c r="F6" s="18">
        <f>Segments!F33</f>
        <v/>
      </c>
    </row>
    <row r="7">
      <c r="A7" s="6" t="inlineStr">
        <is>
          <t>EBITDA margin</t>
        </is>
      </c>
      <c r="B7" s="11">
        <f>B6/B5</f>
        <v/>
      </c>
      <c r="C7" s="11">
        <f>C6/C5</f>
        <v/>
      </c>
      <c r="D7" s="11">
        <f>D6/D5</f>
        <v/>
      </c>
      <c r="E7" s="11">
        <f>E6/E5</f>
        <v/>
      </c>
      <c r="F7" s="11">
        <f>F6/F5</f>
        <v/>
      </c>
    </row>
    <row r="8">
      <c r="A8" s="6" t="inlineStr">
        <is>
          <t>Less depreciation and amortisation</t>
        </is>
      </c>
      <c r="B8" s="28">
        <f>-B5*Assumptions!$C$34</f>
        <v/>
      </c>
      <c r="C8" s="28">
        <f>-C5*Assumptions!$C$34</f>
        <v/>
      </c>
      <c r="D8" s="28">
        <f>-D5*Assumptions!$C$34</f>
        <v/>
      </c>
      <c r="E8" s="28">
        <f>-E5*Assumptions!$C$34</f>
        <v/>
      </c>
      <c r="F8" s="28">
        <f>-F5*Assumptions!$C$34</f>
        <v/>
      </c>
    </row>
    <row r="9">
      <c r="A9" s="15" t="inlineStr">
        <is>
          <t>EBIT</t>
        </is>
      </c>
      <c r="B9" s="29">
        <f>B6+B8</f>
        <v/>
      </c>
      <c r="C9" s="29">
        <f>C6+C8</f>
        <v/>
      </c>
      <c r="D9" s="29">
        <f>D6+D8</f>
        <v/>
      </c>
      <c r="E9" s="29">
        <f>E6+E8</f>
        <v/>
      </c>
      <c r="F9" s="29">
        <f>F6+F8</f>
        <v/>
      </c>
    </row>
    <row r="10">
      <c r="A10" s="6" t="inlineStr">
        <is>
          <t>NOPAT — EBIT x (1 - 25%)</t>
        </is>
      </c>
      <c r="B10" s="28">
        <f>B9*(1-Assumptions!$C$7)</f>
        <v/>
      </c>
      <c r="C10" s="28">
        <f>C9*(1-Assumptions!$C$7)</f>
        <v/>
      </c>
      <c r="D10" s="28">
        <f>D9*(1-Assumptions!$C$7)</f>
        <v/>
      </c>
      <c r="E10" s="28">
        <f>E9*(1-Assumptions!$C$7)</f>
        <v/>
      </c>
      <c r="F10" s="28">
        <f>F9*(1-Assumptions!$C$7)</f>
        <v/>
      </c>
    </row>
    <row r="11">
      <c r="A11" s="6" t="inlineStr">
        <is>
          <t>Add back depreciation and amortisation</t>
        </is>
      </c>
      <c r="B11" s="28">
        <f>-B8</f>
        <v/>
      </c>
      <c r="C11" s="28">
        <f>-C8</f>
        <v/>
      </c>
      <c r="D11" s="28">
        <f>-D8</f>
        <v/>
      </c>
      <c r="E11" s="28">
        <f>-E8</f>
        <v/>
      </c>
      <c r="F11" s="28">
        <f>-F8</f>
        <v/>
      </c>
    </row>
    <row r="12">
      <c r="A12" s="6" t="inlineStr">
        <is>
          <t>Less capital expenditure</t>
        </is>
      </c>
      <c r="B12" s="28">
        <f>-B5*Assumptions!$B$33</f>
        <v/>
      </c>
      <c r="C12" s="28">
        <f>-C5*Assumptions!$C$33</f>
        <v/>
      </c>
      <c r="D12" s="28">
        <f>-D5*Assumptions!$D$33</f>
        <v/>
      </c>
      <c r="E12" s="28">
        <f>-E5*Assumptions!$E$33</f>
        <v/>
      </c>
      <c r="F12" s="28">
        <f>-F5*Assumptions!$F$33</f>
        <v/>
      </c>
    </row>
    <row r="13">
      <c r="A13" s="6" t="inlineStr">
        <is>
          <t>Less change in working capital</t>
        </is>
      </c>
      <c r="B13" s="28">
        <f>-(B5-'Income Statement'!D5)*Assumptions!$C$32</f>
        <v/>
      </c>
      <c r="C13" s="28">
        <f>-(C5-B5)*Assumptions!$C$32</f>
        <v/>
      </c>
      <c r="D13" s="28">
        <f>-(D5-C5)*Assumptions!$C$32</f>
        <v/>
      </c>
      <c r="E13" s="28">
        <f>-(E5-D5)*Assumptions!$C$32</f>
        <v/>
      </c>
      <c r="F13" s="28">
        <f>-(F5-E5)*Assumptions!$C$32</f>
        <v/>
      </c>
    </row>
    <row r="14">
      <c r="A14" s="15" t="inlineStr">
        <is>
          <t>Free cash flow to the firm</t>
        </is>
      </c>
      <c r="B14" s="29">
        <f>B10+B11+B12+B13</f>
        <v/>
      </c>
      <c r="C14" s="29">
        <f>C10+C11+C12+C13</f>
        <v/>
      </c>
      <c r="D14" s="29">
        <f>D10+D11+D12+D13</f>
        <v/>
      </c>
      <c r="E14" s="29">
        <f>E10+E11+E12+E13</f>
        <v/>
      </c>
      <c r="F14" s="29">
        <f>F10+F11+F12+F13</f>
        <v/>
      </c>
    </row>
    <row r="15">
      <c r="A15" s="6" t="inlineStr">
        <is>
          <t>Forward cost of capital</t>
        </is>
      </c>
      <c r="B15" s="35">
        <f>$C$46-($C$46-$C$53)*B57</f>
        <v/>
      </c>
      <c r="C15" s="35">
        <f>$C$46-($C$46-$C$53)*C57</f>
        <v/>
      </c>
      <c r="D15" s="35">
        <f>$C$46-($C$46-$C$53)*D57</f>
        <v/>
      </c>
      <c r="E15" s="35">
        <f>$C$46-($C$46-$C$53)*E57</f>
        <v/>
      </c>
      <c r="F15" s="35">
        <f>$C$46-($C$46-$C$53)*F57</f>
        <v/>
      </c>
    </row>
    <row r="16">
      <c r="A16" s="6" t="inlineStr">
        <is>
          <t>Discount factor</t>
        </is>
      </c>
      <c r="B16" s="36">
        <f>1/(1+B15)</f>
        <v/>
      </c>
      <c r="C16" s="36">
        <f>B16/(1+C15)</f>
        <v/>
      </c>
      <c r="D16" s="36">
        <f>C16/(1+D15)</f>
        <v/>
      </c>
      <c r="E16" s="36">
        <f>D16/(1+E15)</f>
        <v/>
      </c>
      <c r="F16" s="36">
        <f>E16/(1+F15)</f>
        <v/>
      </c>
    </row>
    <row r="17">
      <c r="A17" s="15" t="inlineStr">
        <is>
          <t>Present value of FCFF</t>
        </is>
      </c>
      <c r="B17" s="29">
        <f>B14*B16</f>
        <v/>
      </c>
      <c r="C17" s="29">
        <f>C14*C16</f>
        <v/>
      </c>
      <c r="D17" s="29">
        <f>D14*D16</f>
        <v/>
      </c>
      <c r="E17" s="29">
        <f>E14*E16</f>
        <v/>
      </c>
      <c r="F17" s="29">
        <f>F14*F16</f>
        <v/>
      </c>
    </row>
    <row r="19">
      <c r="A19" s="20" t="inlineStr">
        <is>
          <t>TERMINAL VALUE AND BRIDGE</t>
        </is>
      </c>
    </row>
    <row r="20">
      <c r="A20" s="6" t="inlineStr">
        <is>
          <t>Terminal-year NOPAT grown one year (EGP mn)</t>
        </is>
      </c>
      <c r="C20" s="28">
        <f>F10*(1+C23)</f>
        <v/>
      </c>
    </row>
    <row r="21">
      <c r="A21" s="6" t="inlineStr">
        <is>
          <t>Terminal return on invested capital</t>
        </is>
      </c>
      <c r="C21" s="16">
        <f>F10*(1+C23)/'Summary Financials'!I13</f>
        <v/>
      </c>
    </row>
    <row r="22">
      <c r="A22" s="6" t="inlineStr">
        <is>
          <t>Required reinvestment rate (g / return on capital)</t>
        </is>
      </c>
      <c r="C22" s="11">
        <f>C23/C21</f>
        <v/>
      </c>
    </row>
    <row r="23">
      <c r="A23" s="6" t="inlineStr">
        <is>
          <t>Terminal growth</t>
        </is>
      </c>
      <c r="C23" s="16">
        <f>Assumptions!$C$47</f>
        <v/>
      </c>
    </row>
    <row r="24">
      <c r="A24" s="6" t="inlineStr">
        <is>
          <t>Terminal cost of capital</t>
        </is>
      </c>
      <c r="C24" s="11">
        <f>C53</f>
        <v/>
      </c>
    </row>
    <row r="25">
      <c r="A25" s="6" t="inlineStr">
        <is>
          <t>Terminal value (EGP mn)</t>
        </is>
      </c>
      <c r="C25" s="28">
        <f>C20*(1-C22)/(C24-C23)</f>
        <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1">
        <f>C27/(C26+C27)</f>
        <v/>
      </c>
    </row>
    <row r="29">
      <c r="A29" s="6" t="inlineStr">
        <is>
          <t>Enterprise value (EGP mn)</t>
        </is>
      </c>
      <c r="C29" s="28">
        <f>C26+C27</f>
        <v/>
      </c>
    </row>
    <row r="30">
      <c r="A30" s="6" t="inlineStr">
        <is>
          <t>Equity attributable to shareholders (EGP mn)</t>
        </is>
      </c>
      <c r="C30" s="18">
        <f>'SOTP Bridge'!C12</f>
        <v/>
      </c>
    </row>
    <row r="31">
      <c r="A31" s="15" t="inlineStr">
        <is>
          <t>Fair value per share (EGP)</t>
        </is>
      </c>
      <c r="B31" s="15" t="n"/>
      <c r="C31" s="30">
        <f>C30/Assumptions!$C$6</f>
        <v/>
      </c>
      <c r="D31" s="15" t="n"/>
    </row>
    <row r="33">
      <c r="A33" s="20" t="inlineStr">
        <is>
          <t>COST OF CAPITAL — BUILT HERE, NOT ASSUMED</t>
        </is>
      </c>
    </row>
    <row r="34">
      <c r="A34" s="6" t="inlineStr">
        <is>
          <t>Risk-free rate, 10-year local currency</t>
        </is>
      </c>
      <c r="C34" s="37">
        <f>Assumptions!$C$37</f>
        <v/>
      </c>
    </row>
    <row r="35">
      <c r="A35" s="6" t="inlineStr">
        <is>
          <t>Less sovereign default spread (removed to avoid double-counting)</t>
        </is>
      </c>
      <c r="C35" s="37">
        <f>Assumptions!$C$38</f>
        <v/>
      </c>
    </row>
    <row r="36">
      <c r="A36" s="6" t="inlineStr">
        <is>
          <t>Risk-free rate net of the sovereign spread</t>
        </is>
      </c>
      <c r="C36" s="35">
        <f>C34-C35</f>
        <v/>
      </c>
    </row>
    <row r="37">
      <c r="A37" s="6" t="inlineStr">
        <is>
          <t>Beta</t>
        </is>
      </c>
      <c r="C37" s="38">
        <f>Assumptions!$C$40</f>
        <v/>
      </c>
    </row>
    <row r="38">
      <c r="A38" s="6" t="inlineStr">
        <is>
          <t>Equity risk premium</t>
        </is>
      </c>
      <c r="C38" s="37">
        <f>Assumptions!$C$39</f>
        <v/>
      </c>
    </row>
    <row r="39">
      <c r="A39" s="6" t="inlineStr">
        <is>
          <t>Cost of equity, explicit window</t>
        </is>
      </c>
      <c r="C39" s="35">
        <f>C36+C37*C38</f>
        <v/>
      </c>
    </row>
    <row r="40">
      <c r="A40" s="6" t="inlineStr">
        <is>
          <t>Cost of debt, blended</t>
        </is>
      </c>
      <c r="C40" s="37">
        <f>Assumptions!$C$41</f>
        <v/>
      </c>
    </row>
    <row r="41">
      <c r="A41" s="6" t="inlineStr">
        <is>
          <t>Cost of debt after tax</t>
        </is>
      </c>
      <c r="C41" s="35">
        <f>C40*(1-Assumptions!$C$7)</f>
        <v/>
      </c>
    </row>
    <row r="42">
      <c r="A42" s="6" t="inlineStr">
        <is>
          <t>Market capitalisation (EGP mn)</t>
        </is>
      </c>
      <c r="C42" s="18">
        <f>Assumptions!$C$5*Assumptions!$C$6</f>
        <v/>
      </c>
    </row>
    <row r="43">
      <c r="A43" s="6" t="inlineStr">
        <is>
          <t>Net bank debt (EGP mn)</t>
        </is>
      </c>
      <c r="C43" s="18">
        <f>Assumptions!$C$50</f>
        <v/>
      </c>
    </row>
    <row r="44">
      <c r="A44" s="6" t="inlineStr">
        <is>
          <t>Debt weight (net debt / (net debt + market capitalisation))</t>
        </is>
      </c>
      <c r="C44" s="35">
        <f>C43/(C43+C42)</f>
        <v/>
      </c>
    </row>
    <row r="45">
      <c r="A45" s="6" t="inlineStr">
        <is>
          <t>Equity weight</t>
        </is>
      </c>
      <c r="C45" s="35">
        <f>1-C44</f>
        <v/>
      </c>
    </row>
    <row r="46">
      <c r="A46" s="15" t="inlineStr">
        <is>
          <t>Cost of capital, explicit window</t>
        </is>
      </c>
      <c r="B46" s="15" t="n"/>
      <c r="C46" s="39">
        <f>C45*C39+C44*C41</f>
        <v/>
      </c>
      <c r="D46" s="15" t="n"/>
    </row>
    <row r="47">
      <c r="A47" s="6" t="inlineStr">
        <is>
          <t>Terminal risk-free rate</t>
        </is>
      </c>
      <c r="C47" s="37">
        <f>Assumptions!$C$43</f>
        <v/>
      </c>
    </row>
    <row r="48">
      <c r="A48" s="6" t="inlineStr">
        <is>
          <t>Terminal equity risk premium</t>
        </is>
      </c>
      <c r="C48" s="37">
        <f>Assumptions!$C$44</f>
        <v/>
      </c>
    </row>
    <row r="49">
      <c r="A49" s="6" t="inlineStr">
        <is>
          <t>Terminal cost of equity</t>
        </is>
      </c>
      <c r="C49" s="35">
        <f>C47+C37*C48</f>
        <v/>
      </c>
    </row>
    <row r="50">
      <c r="A50" s="6" t="inlineStr">
        <is>
          <t>Terminal cost of debt</t>
        </is>
      </c>
      <c r="C50" s="37">
        <f>Assumptions!$C$45</f>
        <v/>
      </c>
    </row>
    <row r="51">
      <c r="A51" s="6" t="inlineStr">
        <is>
          <t>Terminal cost of debt after tax</t>
        </is>
      </c>
      <c r="C51" s="35">
        <f>C50*(1-Assumptions!$C$7)</f>
        <v/>
      </c>
    </row>
    <row r="52">
      <c r="A52" s="6" t="inlineStr">
        <is>
          <t>Terminal debt weight</t>
        </is>
      </c>
      <c r="C52" s="37">
        <f>Assumptions!$C$46</f>
        <v/>
      </c>
    </row>
    <row r="53">
      <c r="A53" s="15" t="inlineStr">
        <is>
          <t>Terminal cost of capital</t>
        </is>
      </c>
      <c r="B53" s="15" t="n"/>
      <c r="C53" s="39">
        <f>(1-C52)*C49+C52*C51</f>
        <v/>
      </c>
      <c r="D53" s="15"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37">
        <f>Assumptions!$B$42</f>
        <v/>
      </c>
      <c r="C56" s="37">
        <f>Assumptions!$C$42</f>
        <v/>
      </c>
      <c r="D56" s="37">
        <f>Assumptions!$D$42</f>
        <v/>
      </c>
      <c r="E56" s="37">
        <f>Assumptions!$E$42</f>
        <v/>
      </c>
      <c r="F56" s="37">
        <f>Assumptions!$F$42</f>
        <v/>
      </c>
    </row>
    <row r="57">
      <c r="A57" s="6" t="inlineStr">
        <is>
          <t>Glide fraction — cumulative progress of the easing</t>
        </is>
      </c>
      <c r="B57" s="35">
        <f>($B$56-B56)/($B$56-$F$56)</f>
        <v/>
      </c>
      <c r="C57" s="35">
        <f>($B$56-C56)/($B$56-$F$56)</f>
        <v/>
      </c>
      <c r="D57" s="35">
        <f>($B$56-D56)/($B$56-$F$56)</f>
        <v/>
      </c>
      <c r="E57" s="35">
        <f>($B$56-E56)/($B$56-$F$56)</f>
        <v/>
      </c>
      <c r="F57" s="35">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5" t="inlineStr">
        <is>
          <t>Revenue</t>
        </is>
      </c>
      <c r="B5" s="29" t="n">
        <v>152186.2</v>
      </c>
      <c r="C5" s="29" t="n">
        <v>231981.8</v>
      </c>
      <c r="D5" s="29" t="n">
        <v>281049</v>
      </c>
      <c r="E5" s="29">
        <f>DCF!B5</f>
        <v/>
      </c>
      <c r="F5" s="29">
        <f>DCF!C5</f>
        <v/>
      </c>
      <c r="G5" s="29">
        <f>DCF!D5</f>
        <v/>
      </c>
      <c r="H5" s="29">
        <f>DCF!E5</f>
        <v/>
      </c>
      <c r="I5" s="29">
        <f>DCF!F5</f>
        <v/>
      </c>
    </row>
    <row r="6">
      <c r="A6" s="6" t="inlineStr">
        <is>
          <t>Gross profit</t>
        </is>
      </c>
      <c r="B6" s="22" t="n">
        <v>29077.3</v>
      </c>
      <c r="C6" s="22" t="n">
        <v>43898.5</v>
      </c>
      <c r="D6" s="22" t="n">
        <v>40720</v>
      </c>
      <c r="E6" s="18">
        <f>Segments!B22</f>
        <v/>
      </c>
      <c r="F6" s="18">
        <f>Segments!C22</f>
        <v/>
      </c>
      <c r="G6" s="18">
        <f>Segments!D22</f>
        <v/>
      </c>
      <c r="H6" s="18">
        <f>Segments!E22</f>
        <v/>
      </c>
      <c r="I6" s="18">
        <f>Segments!F22</f>
        <v/>
      </c>
    </row>
    <row r="7">
      <c r="A7" s="15" t="inlineStr">
        <is>
          <t>EBITDA</t>
        </is>
      </c>
      <c r="B7" s="29" t="n">
        <v>20035.1</v>
      </c>
      <c r="C7" s="29" t="n">
        <v>31601.6</v>
      </c>
      <c r="D7" s="29" t="n">
        <v>30622.08783333333</v>
      </c>
      <c r="E7" s="29">
        <f>DCF!B6</f>
        <v/>
      </c>
      <c r="F7" s="29">
        <f>DCF!C6</f>
        <v/>
      </c>
      <c r="G7" s="29">
        <f>DCF!D6</f>
        <v/>
      </c>
      <c r="H7" s="29">
        <f>DCF!E6</f>
        <v/>
      </c>
      <c r="I7" s="29">
        <f>DCF!F6</f>
        <v/>
      </c>
    </row>
    <row r="8">
      <c r="A8" s="6" t="inlineStr">
        <is>
          <t>EBITDA margin</t>
        </is>
      </c>
      <c r="B8" s="11">
        <f>B7/B5</f>
        <v/>
      </c>
      <c r="C8" s="11">
        <f>C7/C5</f>
        <v/>
      </c>
      <c r="D8" s="11">
        <f>D7/D5</f>
        <v/>
      </c>
      <c r="E8" s="11">
        <f>E7/E5</f>
        <v/>
      </c>
      <c r="F8" s="11">
        <f>F7/F5</f>
        <v/>
      </c>
      <c r="G8" s="11">
        <f>G7/G5</f>
        <v/>
      </c>
      <c r="H8" s="11">
        <f>H7/H5</f>
        <v/>
      </c>
      <c r="I8" s="11">
        <f>I7/I5</f>
        <v/>
      </c>
    </row>
    <row r="9">
      <c r="A9" s="6" t="inlineStr">
        <is>
          <t>Depreciation and amortisation</t>
        </is>
      </c>
      <c r="B9" s="22" t="n">
        <v>-2296</v>
      </c>
      <c r="C9" s="22" t="n">
        <v>-2259.9</v>
      </c>
      <c r="D9" s="22" t="n">
        <v>-2951.0145</v>
      </c>
      <c r="E9" s="18">
        <f>DCF!B8</f>
        <v/>
      </c>
      <c r="F9" s="18">
        <f>DCF!C8</f>
        <v/>
      </c>
      <c r="G9" s="18">
        <f>DCF!D8</f>
        <v/>
      </c>
      <c r="H9" s="18">
        <f>DCF!E8</f>
        <v/>
      </c>
      <c r="I9" s="18">
        <f>DCF!F8</f>
        <v/>
      </c>
    </row>
    <row r="10">
      <c r="A10" s="15" t="inlineStr">
        <is>
          <t>EBIT</t>
        </is>
      </c>
      <c r="B10" s="29">
        <f>B7+B9</f>
        <v/>
      </c>
      <c r="C10" s="29">
        <f>C7+C9</f>
        <v/>
      </c>
      <c r="D10" s="29">
        <f>D7+D9</f>
        <v/>
      </c>
      <c r="E10" s="29">
        <f>E7+E9</f>
        <v/>
      </c>
      <c r="F10" s="29">
        <f>F7+F9</f>
        <v/>
      </c>
      <c r="G10" s="29">
        <f>G7+G9</f>
        <v/>
      </c>
      <c r="H10" s="29">
        <f>H7+H9</f>
        <v/>
      </c>
      <c r="I10" s="29">
        <f>I7+I9</f>
        <v/>
      </c>
    </row>
    <row r="11">
      <c r="A11" s="6" t="inlineStr">
        <is>
          <t>Net finance costs</t>
        </is>
      </c>
      <c r="B11" s="22" t="n">
        <v>-2124.4</v>
      </c>
      <c r="C11" s="22" t="n">
        <v>-3515.4</v>
      </c>
      <c r="D11" s="22" t="n">
        <v>-3400</v>
      </c>
      <c r="E11" s="28">
        <f>-(Assumptions!$B$42*'Balance Sheet'!$D$11-Assumptions!$C$58*MAX('Balance Sheet'!$D$11-'Balance Sheet'!D17,0))</f>
        <v/>
      </c>
      <c r="F11" s="28">
        <f>-(Assumptions!$C$42*'Balance Sheet'!$D$11-Assumptions!$C$58*MAX('Balance Sheet'!$D$11-'Balance Sheet'!E17,0))</f>
        <v/>
      </c>
      <c r="G11" s="28">
        <f>-(Assumptions!$D$42*'Balance Sheet'!$D$11-Assumptions!$C$58*MAX('Balance Sheet'!$D$11-'Balance Sheet'!F17,0))</f>
        <v/>
      </c>
      <c r="H11" s="28">
        <f>-(Assumptions!$E$42*'Balance Sheet'!$D$11-Assumptions!$C$58*MAX('Balance Sheet'!$D$11-'Balance Sheet'!G17,0))</f>
        <v/>
      </c>
      <c r="I11" s="28">
        <f>-(Assumptions!$F$42*'Balance Sheet'!$D$11-Assumptions!$C$58*MAX('Balance Sheet'!$D$11-'Balance Sheet'!H17,0))</f>
        <v/>
      </c>
    </row>
    <row r="12">
      <c r="A12" s="6" t="inlineStr">
        <is>
          <t>Share of equity-accounted investees</t>
        </is>
      </c>
      <c r="B12" s="22" t="n">
        <v>603.6</v>
      </c>
      <c r="C12" s="22" t="n">
        <v>1132.4</v>
      </c>
      <c r="D12" s="22" t="n">
        <v>1302.26</v>
      </c>
      <c r="E12" s="28">
        <f>D12*(1+Assumptions!$C$57)</f>
        <v/>
      </c>
      <c r="F12" s="28">
        <f>E12*(1+Assumptions!$C$57)</f>
        <v/>
      </c>
      <c r="G12" s="28">
        <f>F12*(1+Assumptions!$C$57)</f>
        <v/>
      </c>
      <c r="H12" s="28">
        <f>G12*(1+Assumptions!$C$57)</f>
        <v/>
      </c>
      <c r="I12" s="28">
        <f>H12*(1+Assumptions!$C$57)</f>
        <v/>
      </c>
    </row>
    <row r="13">
      <c r="A13" s="6" t="inlineStr">
        <is>
          <t>Profit before tax</t>
        </is>
      </c>
      <c r="B13" s="28">
        <f>B10+B11+B12</f>
        <v/>
      </c>
      <c r="C13" s="28">
        <f>C10+C11+C12</f>
        <v/>
      </c>
      <c r="D13" s="28">
        <f>D10+D11+D12</f>
        <v/>
      </c>
      <c r="E13" s="28">
        <f>E10+E11+E12</f>
        <v/>
      </c>
      <c r="F13" s="28">
        <f>F10+F11+F12</f>
        <v/>
      </c>
      <c r="G13" s="28">
        <f>G10+G11+G12</f>
        <v/>
      </c>
      <c r="H13" s="28">
        <f>H10+H11+H12</f>
        <v/>
      </c>
      <c r="I13" s="28">
        <f>I10+I11+I12</f>
        <v/>
      </c>
    </row>
    <row r="14">
      <c r="A14" s="6" t="inlineStr">
        <is>
          <t>Income tax</t>
        </is>
      </c>
      <c r="B14" s="22" t="n">
        <v>-5080.4</v>
      </c>
      <c r="C14" s="22" t="n">
        <v>-8121.5</v>
      </c>
      <c r="D14" s="22" t="n">
        <v>-6393.333333333332</v>
      </c>
      <c r="E14" s="28">
        <f>-E13*Assumptions!$C$7</f>
        <v/>
      </c>
      <c r="F14" s="28">
        <f>-F13*Assumptions!$C$7</f>
        <v/>
      </c>
      <c r="G14" s="28">
        <f>-G13*Assumptions!$C$7</f>
        <v/>
      </c>
      <c r="H14" s="28">
        <f>-H13*Assumptions!$C$7</f>
        <v/>
      </c>
      <c r="I14" s="28">
        <f>-I13*Assumptions!$C$7</f>
        <v/>
      </c>
    </row>
    <row r="15">
      <c r="A15" s="6" t="inlineStr">
        <is>
          <t>Profit for the year</t>
        </is>
      </c>
      <c r="B15" s="22" t="n">
        <v>11138</v>
      </c>
      <c r="C15" s="22" t="n">
        <v>18837.2</v>
      </c>
      <c r="D15" s="22" t="n">
        <v>19180</v>
      </c>
      <c r="E15" s="28">
        <f>E13+E14</f>
        <v/>
      </c>
      <c r="F15" s="28">
        <f>F13+F14</f>
        <v/>
      </c>
      <c r="G15" s="28">
        <f>G13+G14</f>
        <v/>
      </c>
      <c r="H15" s="28">
        <f>H13+H14</f>
        <v/>
      </c>
      <c r="I15" s="28">
        <f>I13+I14</f>
        <v/>
      </c>
    </row>
    <row r="16">
      <c r="A16" s="6" t="inlineStr">
        <is>
          <t>Non-controlling interests</t>
        </is>
      </c>
      <c r="B16" s="22" t="n">
        <v>-1022.299999999999</v>
      </c>
      <c r="C16" s="22" t="n">
        <v>-1375.799999999999</v>
      </c>
      <c r="D16" s="22" t="n">
        <v>-1850</v>
      </c>
      <c r="E16" s="28">
        <f>-E15*'SOTP Bridge'!$C$15</f>
        <v/>
      </c>
      <c r="F16" s="28">
        <f>-F15*'SOTP Bridge'!$C$15</f>
        <v/>
      </c>
      <c r="G16" s="28">
        <f>-G15*'SOTP Bridge'!$C$15</f>
        <v/>
      </c>
      <c r="H16" s="28">
        <f>-H15*'SOTP Bridge'!$C$15</f>
        <v/>
      </c>
      <c r="I16" s="28">
        <f>-I15*'SOTP Bridge'!$C$15</f>
        <v/>
      </c>
    </row>
    <row r="17">
      <c r="A17" s="15" t="inlineStr">
        <is>
          <t>Profit attributable to shareholders</t>
        </is>
      </c>
      <c r="B17" s="29" t="n">
        <v>10115.7</v>
      </c>
      <c r="C17" s="29" t="n">
        <v>17461.4</v>
      </c>
      <c r="D17" s="29" t="n">
        <v>17330</v>
      </c>
      <c r="E17" s="29">
        <f>E15+E16</f>
        <v/>
      </c>
      <c r="F17" s="29">
        <f>F15+F16</f>
        <v/>
      </c>
      <c r="G17" s="29">
        <f>G15+G16</f>
        <v/>
      </c>
      <c r="H17" s="29">
        <f>H15+H16</f>
        <v/>
      </c>
      <c r="I17" s="29">
        <f>I15+I16</f>
        <v/>
      </c>
    </row>
    <row r="18">
      <c r="A18" s="6" t="inlineStr">
        <is>
          <t>Earnings per share (EGP)</t>
        </is>
      </c>
      <c r="B18" s="10">
        <f>B17/Assumptions!$C$6</f>
        <v/>
      </c>
      <c r="C18" s="10">
        <f>C17/Assumptions!$C$6</f>
        <v/>
      </c>
      <c r="D18" s="10">
        <f>D17/Assumptions!$C$6</f>
        <v/>
      </c>
      <c r="E18" s="10">
        <f>E17/Assumptions!$C$6</f>
        <v/>
      </c>
      <c r="F18" s="10">
        <f>F17/Assumptions!$C$6</f>
        <v/>
      </c>
      <c r="G18" s="10">
        <f>G17/Assumptions!$C$6</f>
        <v/>
      </c>
      <c r="H18" s="10">
        <f>H17/Assumptions!$C$6</f>
        <v/>
      </c>
      <c r="I18" s="10">
        <f>I17/Assumptions!$C$6</f>
        <v/>
      </c>
    </row>
    <row r="20">
      <c r="A20" s="4" t="inlineStr">
        <is>
          <t>Note: FY2023 and FY2024 are audited. FY2025 revenue, profit after tax and profit after minority interests are disclosed; the intermediate lines are derived by closing the account to the reported profit. In the forecast the finance charge is computed on the gross debt book less the cash the business is accumulating, so it falls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The FY2025 debt and cash lines are triangulated by three methods, shown and averaged below rather than asserted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2" t="n">
        <v>18009.2</v>
      </c>
      <c r="C5" s="22" t="n">
        <v>27543.8</v>
      </c>
      <c r="D5" s="28">
        <f>C5+'Income Statement'!D5*(Assumptions!$B$33-Assumptions!$C$34)</f>
        <v/>
      </c>
      <c r="E5" s="28">
        <f>D5-DCF!B12+DCF!B8</f>
        <v/>
      </c>
      <c r="F5" s="28">
        <f>E5-DCF!C12+DCF!C8</f>
        <v/>
      </c>
      <c r="G5" s="28">
        <f>F5-DCF!D12+DCF!D8</f>
        <v/>
      </c>
      <c r="H5" s="28">
        <f>G5-DCF!E12+DCF!E8</f>
        <v/>
      </c>
      <c r="I5" s="28">
        <f>H5-DCF!F12+DCF!F8</f>
        <v/>
      </c>
    </row>
    <row r="6">
      <c r="A6" s="6" t="inlineStr">
        <is>
          <t>Inventories</t>
        </is>
      </c>
      <c r="B6" s="22" t="n">
        <v>30881.8</v>
      </c>
      <c r="C6" s="22" t="n">
        <v>56795.9</v>
      </c>
      <c r="D6" s="22" t="inlineStr">
        <is>
          <t>-</t>
        </is>
      </c>
    </row>
    <row r="7">
      <c r="A7" s="6" t="inlineStr">
        <is>
          <t>Contract assets</t>
        </is>
      </c>
      <c r="B7" s="22" t="n">
        <v>16179.6</v>
      </c>
      <c r="C7" s="22" t="n">
        <v>18052</v>
      </c>
      <c r="D7" s="22" t="inlineStr">
        <is>
          <t>-</t>
        </is>
      </c>
    </row>
    <row r="8">
      <c r="A8" s="6" t="inlineStr">
        <is>
          <t>Trade and other receivables</t>
        </is>
      </c>
      <c r="B8" s="22" t="n">
        <v>46591.9</v>
      </c>
      <c r="C8" s="22" t="n">
        <v>86736.3</v>
      </c>
      <c r="D8" s="22" t="inlineStr">
        <is>
          <t>-</t>
        </is>
      </c>
    </row>
    <row r="9">
      <c r="A9" s="6" t="inlineStr">
        <is>
          <t>Cash and cash equivalents</t>
        </is>
      </c>
      <c r="B9" s="22" t="n">
        <v>25552</v>
      </c>
      <c r="C9" s="22" t="n">
        <v>38180</v>
      </c>
      <c r="D9" s="28">
        <f>D11-D17</f>
        <v/>
      </c>
    </row>
    <row r="10">
      <c r="A10" s="15" t="inlineStr">
        <is>
          <t>Total assets</t>
        </is>
      </c>
      <c r="B10" s="29" t="n">
        <v>151448.7</v>
      </c>
      <c r="C10" s="29" t="n">
        <v>249527.1</v>
      </c>
      <c r="D10" s="29" t="n">
        <v>311090</v>
      </c>
      <c r="E10" s="15" t="n"/>
      <c r="F10" s="15" t="n"/>
      <c r="G10" s="15" t="n"/>
      <c r="H10" s="15" t="n"/>
      <c r="I10" s="15" t="n"/>
    </row>
    <row r="11">
      <c r="A11" s="6" t="inlineStr">
        <is>
          <t>Loans and borrowings</t>
        </is>
      </c>
      <c r="B11" s="22" t="n">
        <v>41766.5</v>
      </c>
      <c r="C11" s="22" t="n">
        <v>59082.9</v>
      </c>
      <c r="D11" s="28">
        <f>AVERAGE(B23:B25)</f>
        <v/>
      </c>
    </row>
    <row r="12">
      <c r="A12" s="6" t="inlineStr">
        <is>
          <t>Trade and other payables</t>
        </is>
      </c>
      <c r="B12" s="22" t="n">
        <v>31938.1</v>
      </c>
      <c r="C12" s="22" t="n">
        <v>54808.2</v>
      </c>
      <c r="D12" s="22" t="inlineStr">
        <is>
          <t>-</t>
        </is>
      </c>
    </row>
    <row r="13">
      <c r="A13" s="6" t="inlineStr">
        <is>
          <t>Contract liabilities</t>
        </is>
      </c>
      <c r="B13" s="22" t="n">
        <v>25060.3</v>
      </c>
      <c r="C13" s="22" t="n">
        <v>53281.1</v>
      </c>
      <c r="D13" s="22" t="inlineStr">
        <is>
          <t>-</t>
        </is>
      </c>
    </row>
    <row r="14">
      <c r="A14" s="15" t="inlineStr">
        <is>
          <t>Equity attributable to shareholders</t>
        </is>
      </c>
      <c r="B14" s="29" t="n">
        <v>35724.5</v>
      </c>
      <c r="C14" s="29" t="n">
        <v>55274.9</v>
      </c>
      <c r="D14" s="29">
        <f>C14+'Income Statement'!D17-Assumptions!$C$55*Assumptions!$C$6</f>
        <v/>
      </c>
      <c r="E14" s="29">
        <f>D14+'Income Statement'!E17*(1-Assumptions!$C$56)</f>
        <v/>
      </c>
      <c r="F14" s="29">
        <f>E14+'Income Statement'!F17*(1-Assumptions!$C$56)</f>
        <v/>
      </c>
      <c r="G14" s="29">
        <f>F14+'Income Statement'!G17*(1-Assumptions!$C$56)</f>
        <v/>
      </c>
      <c r="H14" s="29">
        <f>G14+'Income Statement'!H17*(1-Assumptions!$C$56)</f>
        <v/>
      </c>
      <c r="I14" s="29">
        <f>H14+'Income Statement'!I17*(1-Assumptions!$C$56)</f>
        <v/>
      </c>
    </row>
    <row r="15">
      <c r="A15" s="6" t="inlineStr">
        <is>
          <t>Non-controlling interests</t>
        </is>
      </c>
      <c r="B15" s="22" t="n">
        <v>2384</v>
      </c>
      <c r="C15" s="22" t="n">
        <v>4251.8</v>
      </c>
      <c r="D15" s="22" t="n">
        <v>5851.8</v>
      </c>
    </row>
    <row r="16">
      <c r="A16" s="6" t="inlineStr">
        <is>
          <t>Net working capital</t>
        </is>
      </c>
      <c r="B16" s="22" t="n">
        <v>36654.90000000001</v>
      </c>
      <c r="C16" s="22" t="n">
        <v>53494.90000000002</v>
      </c>
      <c r="D16" s="28">
        <f>'Income Statement'!D5*Assumptions!$C$32</f>
        <v/>
      </c>
      <c r="E16" s="28">
        <f>'Income Statement'!E5*Assumptions!$C$32</f>
        <v/>
      </c>
      <c r="F16" s="28">
        <f>'Income Statement'!F5*Assumptions!$C$32</f>
        <v/>
      </c>
      <c r="G16" s="28">
        <f>'Income Statement'!G5*Assumptions!$C$32</f>
        <v/>
      </c>
      <c r="H16" s="28">
        <f>'Income Statement'!H5*Assumptions!$C$32</f>
        <v/>
      </c>
      <c r="I16" s="28">
        <f>'Income Statement'!I5*Assumptions!$C$32</f>
        <v/>
      </c>
    </row>
    <row r="17">
      <c r="A17" s="15" t="inlineStr">
        <is>
          <t>Net bank debt</t>
        </is>
      </c>
      <c r="B17" s="29" t="n">
        <v>14768</v>
      </c>
      <c r="C17" s="29" t="n">
        <v>20028</v>
      </c>
      <c r="D17" s="29">
        <f>Assumptions!$C$50</f>
        <v/>
      </c>
      <c r="E17" s="29">
        <f>D17-DCF!B14-'Income Statement'!E11*(1-Assumptions!$C$7)+Assumptions!$C$56*'Income Statement'!E17</f>
        <v/>
      </c>
      <c r="F17" s="29">
        <f>E17-DCF!C14-'Income Statement'!F11*(1-Assumptions!$C$7)+Assumptions!$C$56*'Income Statement'!F17</f>
        <v/>
      </c>
      <c r="G17" s="29">
        <f>F17-DCF!D14-'Income Statement'!G11*(1-Assumptions!$C$7)+Assumptions!$C$56*'Income Statement'!G17</f>
        <v/>
      </c>
      <c r="H17" s="29">
        <f>G17-DCF!E14-'Income Statement'!H11*(1-Assumptions!$C$7)+Assumptions!$C$56*'Income Statement'!H17</f>
        <v/>
      </c>
      <c r="I17" s="29">
        <f>H17-DCF!F14-'Income Statement'!I11*(1-Assumptions!$C$7)+Assumptions!$C$56*'Income Statement'!I17</f>
        <v/>
      </c>
    </row>
    <row r="18">
      <c r="A18" s="6" t="inlineStr">
        <is>
          <t>Net debt / EBITDA</t>
        </is>
      </c>
      <c r="B18" s="34">
        <f>B17/'Income Statement'!B7</f>
        <v/>
      </c>
      <c r="C18" s="34">
        <f>C17/'Income Statement'!C7</f>
        <v/>
      </c>
      <c r="D18" s="34">
        <f>D17/'Income Statement'!D7</f>
        <v/>
      </c>
      <c r="E18" s="34">
        <f>E17/'Income Statement'!E7</f>
        <v/>
      </c>
      <c r="F18" s="34">
        <f>F17/'Income Statement'!F7</f>
        <v/>
      </c>
      <c r="G18" s="34">
        <f>G17/'Income Statement'!G7</f>
        <v/>
      </c>
      <c r="H18" s="34">
        <f>H17/'Income Statement'!H7</f>
        <v/>
      </c>
      <c r="I18" s="34">
        <f>I17/'Income Statement'!I7</f>
        <v/>
      </c>
    </row>
    <row r="19">
      <c r="A19" s="6" t="inlineStr">
        <is>
          <t>Residual: other liabilities, provisions and deferred tax not shown separately (total assets less the lines above)</t>
        </is>
      </c>
      <c r="B19" s="28">
        <f>B10-(B11+B12+B13+B14+B15)</f>
        <v/>
      </c>
      <c r="C19" s="28">
        <f>C10-(C11+C12+C13+C14+C15)</f>
        <v/>
      </c>
      <c r="D19" s="6" t="inlineStr">
        <is>
          <t>n/a</t>
        </is>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FY2025 shows only the disclosed lines (total assets, net bank debt) plus rolled-forward equity and triangulated debt and cash; the valuation bridge uses only the disclosed net bank debt.</t>
        </is>
      </c>
    </row>
    <row r="22">
      <c r="A22" s="5" t="inlineStr">
        <is>
          <t>FY2025 gross debt — three independent triangulations</t>
        </is>
      </c>
      <c r="B22" s="5" t="inlineStr">
        <is>
          <t>EGP mn</t>
        </is>
      </c>
    </row>
    <row r="23">
      <c r="A23" s="6" t="inlineStr">
        <is>
          <t>Balance-sheet residual (assets less equity and non-debt liabilities)</t>
        </is>
      </c>
      <c r="B23" s="22" t="n">
        <v>76165.80577232633</v>
      </c>
    </row>
    <row r="24">
      <c r="A24" s="6" t="inlineStr">
        <is>
          <t>FY2024 debt scaled with revenue growth</t>
        </is>
      </c>
      <c r="B24" s="22" t="n">
        <v>71579.70996905792</v>
      </c>
    </row>
    <row r="25">
      <c r="A25" s="6" t="inlineStr">
        <is>
          <t>Implied from the cash balance and the disclosed net debt</t>
        </is>
      </c>
      <c r="B25" s="22" t="n">
        <v>67104.64586101151</v>
      </c>
    </row>
    <row r="26">
      <c r="A26" s="15" t="inlineStr">
        <is>
          <t>Average — the figure carried on row 11</t>
        </is>
      </c>
      <c r="B26" s="29">
        <f>AVERAGE(B23:B25)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18">
        <f>'Income Statement'!B7</f>
        <v/>
      </c>
      <c r="C5" s="18">
        <f>'Income Statement'!C7</f>
        <v/>
      </c>
      <c r="D5" s="18">
        <f>'Income Statement'!E7</f>
        <v/>
      </c>
      <c r="E5" s="18">
        <f>'Income Statement'!F7</f>
        <v/>
      </c>
      <c r="F5" s="18">
        <f>'Income Statement'!G7</f>
        <v/>
      </c>
      <c r="G5" s="18">
        <f>'Income Statement'!H7</f>
        <v/>
      </c>
      <c r="H5" s="18">
        <f>'Income Statement'!I7</f>
        <v/>
      </c>
    </row>
    <row r="6">
      <c r="A6" s="6" t="inlineStr">
        <is>
          <t>Interest paid</t>
        </is>
      </c>
      <c r="B6" s="28" t="inlineStr">
        <is>
          <t>-</t>
        </is>
      </c>
      <c r="C6" s="22" t="n">
        <v>-7706.9</v>
      </c>
    </row>
    <row r="7">
      <c r="A7" s="6" t="inlineStr">
        <is>
          <t>Income tax paid</t>
        </is>
      </c>
      <c r="B7" s="28" t="inlineStr">
        <is>
          <t>-</t>
        </is>
      </c>
      <c r="C7" s="22" t="n">
        <v>-4891</v>
      </c>
    </row>
    <row r="8">
      <c r="A8" s="6" t="inlineStr">
        <is>
          <t>Operating cash flow after interest and tax</t>
        </is>
      </c>
      <c r="B8" s="28" t="inlineStr">
        <is>
          <t>-</t>
        </is>
      </c>
      <c r="C8" s="22" t="n">
        <v>3979.4</v>
      </c>
    </row>
    <row r="9">
      <c r="A9" s="6" t="inlineStr">
        <is>
          <t>NOPAT</t>
        </is>
      </c>
      <c r="B9" s="28" t="inlineStr">
        <is>
          <t>-</t>
        </is>
      </c>
      <c r="C9" s="28" t="inlineStr">
        <is>
          <t>-</t>
        </is>
      </c>
      <c r="D9" s="18">
        <f>DCF!B10</f>
        <v/>
      </c>
      <c r="E9" s="18">
        <f>DCF!C10</f>
        <v/>
      </c>
      <c r="F9" s="18">
        <f>DCF!D10</f>
        <v/>
      </c>
      <c r="G9" s="18">
        <f>DCF!E10</f>
        <v/>
      </c>
      <c r="H9" s="18">
        <f>DCF!F10</f>
        <v/>
      </c>
    </row>
    <row r="10">
      <c r="A10" s="6" t="inlineStr">
        <is>
          <t>Add back depreciation and amortisation</t>
        </is>
      </c>
      <c r="B10" s="28" t="inlineStr">
        <is>
          <t>-</t>
        </is>
      </c>
      <c r="C10" s="28" t="inlineStr">
        <is>
          <t>-</t>
        </is>
      </c>
      <c r="D10" s="18">
        <f>DCF!B11</f>
        <v/>
      </c>
      <c r="E10" s="18">
        <f>DCF!C11</f>
        <v/>
      </c>
      <c r="F10" s="18">
        <f>DCF!D11</f>
        <v/>
      </c>
      <c r="G10" s="18">
        <f>DCF!E11</f>
        <v/>
      </c>
      <c r="H10" s="18">
        <f>DCF!F11</f>
        <v/>
      </c>
    </row>
    <row r="11">
      <c r="A11" s="6" t="inlineStr">
        <is>
          <t>Capital expenditure</t>
        </is>
      </c>
      <c r="B11" s="22" t="n">
        <v>-4830</v>
      </c>
      <c r="C11" s="22" t="n">
        <v>-8765.700000000001</v>
      </c>
      <c r="D11" s="18">
        <f>DCF!B12</f>
        <v/>
      </c>
      <c r="E11" s="18">
        <f>DCF!C12</f>
        <v/>
      </c>
      <c r="F11" s="18">
        <f>DCF!D12</f>
        <v/>
      </c>
      <c r="G11" s="18">
        <f>DCF!E12</f>
        <v/>
      </c>
      <c r="H11" s="18">
        <f>DCF!F12</f>
        <v/>
      </c>
    </row>
    <row r="12">
      <c r="A12" s="6" t="inlineStr">
        <is>
          <t>Change in working capital</t>
        </is>
      </c>
      <c r="B12" s="28" t="inlineStr">
        <is>
          <t>-</t>
        </is>
      </c>
      <c r="C12" s="28">
        <f>-('Balance Sheet'!C16-'Balance Sheet'!B16)</f>
        <v/>
      </c>
      <c r="D12" s="18">
        <f>DCF!B13</f>
        <v/>
      </c>
      <c r="E12" s="18">
        <f>DCF!C13</f>
        <v/>
      </c>
      <c r="F12" s="18">
        <f>DCF!D13</f>
        <v/>
      </c>
      <c r="G12" s="18">
        <f>DCF!E13</f>
        <v/>
      </c>
      <c r="H12" s="18">
        <f>DCF!F13</f>
        <v/>
      </c>
    </row>
    <row r="13">
      <c r="A13" s="15" t="inlineStr">
        <is>
          <t>Free cash flow to the firm</t>
        </is>
      </c>
      <c r="B13" s="29" t="inlineStr">
        <is>
          <t>-</t>
        </is>
      </c>
      <c r="C13" s="29" t="inlineStr">
        <is>
          <t>-</t>
        </is>
      </c>
      <c r="D13" s="29">
        <f>D9+D10+D11+D12</f>
        <v/>
      </c>
      <c r="E13" s="29">
        <f>E9+E10+E11+E12</f>
        <v/>
      </c>
      <c r="F13" s="29">
        <f>F9+F10+F11+F12</f>
        <v/>
      </c>
      <c r="G13" s="29">
        <f>G9+G10+G11+G12</f>
        <v/>
      </c>
      <c r="H13" s="29">
        <f>H9+H10+H11+H12</f>
        <v/>
      </c>
      <c r="I13" s="15" t="n"/>
    </row>
    <row r="15">
      <c r="A15" s="6" t="inlineStr">
        <is>
          <t>Cash conversion — operating cash flow as a share of EBITDA, FY2024</t>
        </is>
      </c>
      <c r="C15" s="11">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1" t="inlineStr">
        <is>
          <t>-</t>
        </is>
      </c>
      <c r="C6" s="11">
        <f>C5/B5-1</f>
        <v/>
      </c>
      <c r="D6" s="11">
        <f>D5/C5-1</f>
        <v/>
      </c>
      <c r="E6" s="11">
        <f>E5/D5-1</f>
        <v/>
      </c>
      <c r="F6" s="11">
        <f>F5/E5-1</f>
        <v/>
      </c>
      <c r="G6" s="11">
        <f>G5/F5-1</f>
        <v/>
      </c>
      <c r="H6" s="11">
        <f>H5/G5-1</f>
        <v/>
      </c>
      <c r="I6" s="11">
        <f>I5/H5-1</f>
        <v/>
      </c>
    </row>
    <row r="7">
      <c r="A7" s="6" t="inlineStr">
        <is>
          <t>EBITDA</t>
        </is>
      </c>
      <c r="B7" s="18">
        <f>'Income Statement'!B7</f>
        <v/>
      </c>
      <c r="C7" s="18">
        <f>'Income Statement'!C7</f>
        <v/>
      </c>
      <c r="D7" s="18">
        <f>'Income Statement'!D7</f>
        <v/>
      </c>
      <c r="E7" s="18">
        <f>'Income Statement'!E7</f>
        <v/>
      </c>
      <c r="F7" s="18">
        <f>'Income Statement'!F7</f>
        <v/>
      </c>
      <c r="G7" s="18">
        <f>'Income Statement'!G7</f>
        <v/>
      </c>
      <c r="H7" s="18">
        <f>'Income Statement'!H7</f>
        <v/>
      </c>
      <c r="I7" s="18">
        <f>'Income Statement'!I7</f>
        <v/>
      </c>
    </row>
    <row r="8">
      <c r="A8" s="6" t="inlineStr">
        <is>
          <t>EBITDA margin</t>
        </is>
      </c>
      <c r="B8" s="11">
        <f>B7/B5</f>
        <v/>
      </c>
      <c r="C8" s="11">
        <f>C7/C5</f>
        <v/>
      </c>
      <c r="D8" s="11">
        <f>D7/D5</f>
        <v/>
      </c>
      <c r="E8" s="11">
        <f>E7/E5</f>
        <v/>
      </c>
      <c r="F8" s="11">
        <f>F7/F5</f>
        <v/>
      </c>
      <c r="G8" s="11">
        <f>G7/G5</f>
        <v/>
      </c>
      <c r="H8" s="11">
        <f>H7/H5</f>
        <v/>
      </c>
      <c r="I8" s="11">
        <f>I7/I5</f>
        <v/>
      </c>
    </row>
    <row r="9">
      <c r="A9" s="6" t="inlineStr">
        <is>
          <t>EBIT</t>
        </is>
      </c>
      <c r="B9" s="18">
        <f>'Income Statement'!B10</f>
        <v/>
      </c>
      <c r="C9" s="18">
        <f>'Income Statement'!C10</f>
        <v/>
      </c>
      <c r="D9" s="18">
        <f>'Income Statement'!D10</f>
        <v/>
      </c>
      <c r="E9" s="18">
        <f>'Income Statement'!E10</f>
        <v/>
      </c>
      <c r="F9" s="18">
        <f>'Income Statement'!F10</f>
        <v/>
      </c>
      <c r="G9" s="18">
        <f>'Income Statement'!G10</f>
        <v/>
      </c>
      <c r="H9" s="18">
        <f>'Income Statement'!H10</f>
        <v/>
      </c>
      <c r="I9" s="18">
        <f>'Income Statement'!I10</f>
        <v/>
      </c>
    </row>
    <row r="10">
      <c r="A10" s="6" t="inlineStr">
        <is>
          <t>Attributable profit</t>
        </is>
      </c>
      <c r="B10" s="18">
        <f>'Income Statement'!B17</f>
        <v/>
      </c>
      <c r="C10" s="18">
        <f>'Income Statement'!C17</f>
        <v/>
      </c>
      <c r="D10" s="18">
        <f>'Income Statement'!D17</f>
        <v/>
      </c>
      <c r="E10" s="18">
        <f>'Income Statement'!E17</f>
        <v/>
      </c>
      <c r="F10" s="18">
        <f>'Income Statement'!F17</f>
        <v/>
      </c>
      <c r="G10" s="18">
        <f>'Income Statement'!G17</f>
        <v/>
      </c>
      <c r="H10" s="18">
        <f>'Income Statement'!H17</f>
        <v/>
      </c>
      <c r="I10" s="18">
        <f>'Income Statement'!I17</f>
        <v/>
      </c>
    </row>
    <row r="11">
      <c r="A11" s="6" t="inlineStr">
        <is>
          <t>Free cash flow to the firm</t>
        </is>
      </c>
      <c r="B11" s="28" t="inlineStr">
        <is>
          <t>-</t>
        </is>
      </c>
      <c r="C11" s="28" t="inlineStr">
        <is>
          <t>-</t>
        </is>
      </c>
      <c r="D11" s="28" t="inlineStr">
        <is>
          <t>-</t>
        </is>
      </c>
      <c r="E11" s="18">
        <f>'Cash Flow'!D13</f>
        <v/>
      </c>
      <c r="F11" s="18">
        <f>'Cash Flow'!E13</f>
        <v/>
      </c>
      <c r="G11" s="18">
        <f>'Cash Flow'!F13</f>
        <v/>
      </c>
      <c r="H11" s="18">
        <f>'Cash Flow'!G13</f>
        <v/>
      </c>
      <c r="I11" s="18">
        <f>'Cash Flow'!H13</f>
        <v/>
      </c>
    </row>
    <row r="12">
      <c r="A12" s="6" t="inlineStr">
        <is>
          <t>Net bank debt</t>
        </is>
      </c>
      <c r="B12" s="18">
        <f>'Balance Sheet'!B17</f>
        <v/>
      </c>
      <c r="C12" s="18">
        <f>'Balance Sheet'!C17</f>
        <v/>
      </c>
      <c r="D12" s="18">
        <f>'Balance Sheet'!D17</f>
        <v/>
      </c>
      <c r="E12" s="18">
        <f>'Balance Sheet'!E17</f>
        <v/>
      </c>
      <c r="F12" s="18">
        <f>'Balance Sheet'!F17</f>
        <v/>
      </c>
      <c r="G12" s="18">
        <f>'Balance Sheet'!G17</f>
        <v/>
      </c>
      <c r="H12" s="18">
        <f>'Balance Sheet'!H17</f>
        <v/>
      </c>
      <c r="I12" s="18">
        <f>'Balance Sheet'!I17</f>
        <v/>
      </c>
    </row>
    <row r="13">
      <c r="A13" s="6" t="inlineStr">
        <is>
          <t>Invested capital</t>
        </is>
      </c>
      <c r="B13" s="28" t="inlineStr">
        <is>
          <t>-</t>
        </is>
      </c>
      <c r="C13" s="28" t="inlineStr">
        <is>
          <t>-</t>
        </is>
      </c>
      <c r="D13" s="18">
        <f>'Balance Sheet'!D16+'Balance Sheet'!D5+Assumptions!$C$52</f>
        <v/>
      </c>
      <c r="E13" s="18">
        <f>'Balance Sheet'!E16+'Balance Sheet'!E5+Assumptions!$C$52</f>
        <v/>
      </c>
      <c r="F13" s="18">
        <f>'Balance Sheet'!F16+'Balance Sheet'!F5+Assumptions!$C$52</f>
        <v/>
      </c>
      <c r="G13" s="18">
        <f>'Balance Sheet'!G16+'Balance Sheet'!G5+Assumptions!$C$52</f>
        <v/>
      </c>
      <c r="H13" s="18">
        <f>'Balance Sheet'!H16+'Balance Sheet'!H5+Assumptions!$C$52</f>
        <v/>
      </c>
      <c r="I13" s="18">
        <f>'Balance Sheet'!I16+'Balance Sheet'!I5+Assumptions!$C$52</f>
        <v/>
      </c>
    </row>
    <row r="14">
      <c r="A14" s="6" t="inlineStr">
        <is>
          <t>Return on invested capital</t>
        </is>
      </c>
      <c r="B14" s="11" t="inlineStr">
        <is>
          <t>-</t>
        </is>
      </c>
      <c r="C14" s="11" t="inlineStr">
        <is>
          <t>-</t>
        </is>
      </c>
      <c r="D14" s="11" t="inlineStr">
        <is>
          <t>-</t>
        </is>
      </c>
      <c r="E14" s="16">
        <f>DCF!B10/E13</f>
        <v/>
      </c>
      <c r="F14" s="16">
        <f>DCF!C10/F13</f>
        <v/>
      </c>
      <c r="G14" s="16">
        <f>DCF!D10/G13</f>
        <v/>
      </c>
      <c r="H14" s="16">
        <f>DCF!E10/H13</f>
        <v/>
      </c>
      <c r="I14" s="16">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9" t="n">
        <v>0.55144</v>
      </c>
    </row>
    <row r="6">
      <c r="A6" s="6" t="inlineStr">
        <is>
          <t>Three months — to 2026-11-05</t>
        </is>
      </c>
      <c r="B6" s="7" t="n">
        <v>78.29508034182929</v>
      </c>
      <c r="C6" s="7" t="n">
        <v>96.93670208976819</v>
      </c>
      <c r="D6" s="7" t="n">
        <v>109.9075824742194</v>
      </c>
      <c r="E6" s="7" t="n">
        <v>124.4581193266816</v>
      </c>
      <c r="F6" s="7" t="n">
        <v>154.1934203763022</v>
      </c>
      <c r="G6" s="9" t="n">
        <v>0.59456</v>
      </c>
    </row>
    <row r="8">
      <c r="A8" s="5" t="inlineStr">
        <is>
          <t>Level event</t>
        </is>
      </c>
      <c r="B8" s="5" t="inlineStr">
        <is>
          <t>One month</t>
        </is>
      </c>
      <c r="C8" s="5" t="inlineStr">
        <is>
          <t>Three months</t>
        </is>
      </c>
    </row>
    <row r="9">
      <c r="A9" s="6" t="inlineStr">
        <is>
          <t>Finishes 10% or more above spot</t>
        </is>
      </c>
      <c r="B9" s="9" t="n">
        <v>0.23044</v>
      </c>
      <c r="C9" s="9" t="n">
        <v>0.3878</v>
      </c>
    </row>
    <row r="10">
      <c r="A10" s="6" t="inlineStr">
        <is>
          <t>Finishes 10% or more below spot</t>
        </is>
      </c>
      <c r="B10" s="9" t="n">
        <v>0.14414</v>
      </c>
      <c r="C10" s="9" t="n">
        <v>0.21232</v>
      </c>
    </row>
    <row r="11">
      <c r="A11" s="6" t="inlineStr">
        <is>
          <t>Touches 10% above spot at any point</t>
        </is>
      </c>
      <c r="B11" s="9" t="n">
        <v>0.36882</v>
      </c>
      <c r="C11" s="9" t="n">
        <v>0.6306</v>
      </c>
    </row>
    <row r="12">
      <c r="A12" s="6" t="inlineStr">
        <is>
          <t>Touches 10% below spot at any point</t>
        </is>
      </c>
      <c r="B12" s="9" t="n">
        <v>0.2549</v>
      </c>
      <c r="C12" s="9" t="n">
        <v>0.446</v>
      </c>
    </row>
    <row r="14">
      <c r="A14" s="5" t="inlineStr">
        <is>
          <t>Engine setting</t>
        </is>
      </c>
      <c r="B14" s="5" t="inlineStr">
        <is>
          <t>Value</t>
        </is>
      </c>
    </row>
    <row r="15">
      <c r="A15" s="6" t="inlineStr">
        <is>
          <t>Simulated paths</t>
        </is>
      </c>
      <c r="C15" s="22" t="n">
        <v>50000</v>
      </c>
    </row>
    <row r="16">
      <c r="A16" s="6" t="inlineStr">
        <is>
          <t>Annualised volatility (3-month anchor)</t>
        </is>
      </c>
      <c r="C16" s="9" t="n">
        <v>0.4838094309558744</v>
      </c>
    </row>
    <row r="17">
      <c r="A17" s="6" t="inlineStr">
        <is>
          <t>Spot price (EGP)</t>
        </is>
      </c>
      <c r="C17" s="8">
        <f>Summary!C14</f>
        <v/>
      </c>
    </row>
    <row r="18">
      <c r="A18" s="6" t="inlineStr">
        <is>
          <t>Anchor date</t>
        </is>
      </c>
      <c r="C18" s="21"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7" t="n">
        <v>71.48013737611937</v>
      </c>
      <c r="C6" s="7" t="n">
        <v>75.158505958635</v>
      </c>
      <c r="D6" s="7" t="n">
        <v>79.66249997898875</v>
      </c>
      <c r="E6" s="7" t="n">
        <v>85.33897230281774</v>
      </c>
      <c r="F6" s="7" t="n">
        <v>92.76070177891306</v>
      </c>
    </row>
    <row r="7">
      <c r="A7" s="6" t="inlineStr">
        <is>
          <t>14.1%</t>
        </is>
      </c>
      <c r="B7" s="7" t="n">
        <v>64.51999723358476</v>
      </c>
      <c r="C7" s="7" t="n">
        <v>67.23266415979741</v>
      </c>
      <c r="D7" s="7" t="n">
        <v>70.47099233404454</v>
      </c>
      <c r="E7" s="7" t="n">
        <v>74.42869060586594</v>
      </c>
      <c r="F7" s="7" t="n">
        <v>79.40797299188714</v>
      </c>
    </row>
    <row r="8">
      <c r="A8" s="6" t="inlineStr">
        <is>
          <t>15.1%</t>
        </is>
      </c>
      <c r="B8" s="7" t="n">
        <v>58.71390500851878</v>
      </c>
      <c r="C8" s="7" t="n">
        <v>60.7356474116613</v>
      </c>
      <c r="D8" s="7" t="n">
        <v>63.09639197519306</v>
      </c>
      <c r="E8" s="7" t="n">
        <v>65.90739638220869</v>
      </c>
      <c r="F8" s="7" t="n">
        <v>69.3345836803008</v>
      </c>
    </row>
    <row r="9">
      <c r="A9" s="6" t="inlineStr">
        <is>
          <t>16.1%</t>
        </is>
      </c>
      <c r="B9" s="7" t="n">
        <v>53.79809034203993</v>
      </c>
      <c r="C9" s="7" t="n">
        <v>55.314134925563</v>
      </c>
      <c r="D9" s="7" t="n">
        <v>57.04924305755583</v>
      </c>
      <c r="E9" s="7" t="n">
        <v>59.06822004769293</v>
      </c>
      <c r="F9" s="7" t="n">
        <v>61.46422928886715</v>
      </c>
    </row>
    <row r="10">
      <c r="A10" s="6" t="inlineStr">
        <is>
          <t>17.1%</t>
        </is>
      </c>
      <c r="B10" s="7" t="n">
        <v>49.58340787307901</v>
      </c>
      <c r="C10" s="7" t="n">
        <v>50.72236517614795</v>
      </c>
      <c r="D10" s="7" t="n">
        <v>52.00135637265844</v>
      </c>
      <c r="E10" s="7" t="n">
        <v>53.45808918007977</v>
      </c>
      <c r="F10" s="7" t="n">
        <v>55.14514468831749</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7" t="n">
        <v>84.33728753089692</v>
      </c>
      <c r="C14" s="7" t="n">
        <v>81.95820408756369</v>
      </c>
      <c r="D14" s="7" t="n">
        <v>79.66249997898875</v>
      </c>
      <c r="E14" s="7" t="n">
        <v>77.44651129819714</v>
      </c>
      <c r="F14" s="7" t="n">
        <v>75.30676865150218</v>
      </c>
    </row>
    <row r="15">
      <c r="A15" s="6" t="inlineStr">
        <is>
          <t>terminal 14.1%</t>
        </is>
      </c>
      <c r="B15" s="7" t="n">
        <v>74.62341007610547</v>
      </c>
      <c r="C15" s="7" t="n">
        <v>72.51027129509237</v>
      </c>
      <c r="D15" s="7" t="n">
        <v>70.47099233404454</v>
      </c>
      <c r="E15" s="7" t="n">
        <v>68.50233381059978</v>
      </c>
      <c r="F15" s="7" t="n">
        <v>66.60122807292484</v>
      </c>
    </row>
    <row r="16">
      <c r="A16" s="6" t="inlineStr">
        <is>
          <t>terminal 15.1%</t>
        </is>
      </c>
      <c r="B16" s="7" t="n">
        <v>66.82989265057586</v>
      </c>
      <c r="C16" s="7" t="n">
        <v>64.9300279088521</v>
      </c>
      <c r="D16" s="7" t="n">
        <v>63.09639197519306</v>
      </c>
      <c r="E16" s="7" t="n">
        <v>61.32608564835102</v>
      </c>
      <c r="F16" s="7" t="n">
        <v>59.61636320712214</v>
      </c>
    </row>
    <row r="17">
      <c r="A17" s="6" t="inlineStr">
        <is>
          <t>terminal 16.1%</t>
        </is>
      </c>
      <c r="B17" s="7" t="n">
        <v>60.43940513969982</v>
      </c>
      <c r="C17" s="7" t="n">
        <v>58.71433541623137</v>
      </c>
      <c r="D17" s="7" t="n">
        <v>57.04924305755583</v>
      </c>
      <c r="E17" s="7" t="n">
        <v>55.44150743399135</v>
      </c>
      <c r="F17" s="7" t="n">
        <v>53.88864645585161</v>
      </c>
    </row>
    <row r="18">
      <c r="A18" s="6" t="inlineStr">
        <is>
          <t>terminal 17.1%</t>
        </is>
      </c>
      <c r="B18" s="7" t="n">
        <v>55.10506833536628</v>
      </c>
      <c r="C18" s="7" t="n">
        <v>53.52583022982751</v>
      </c>
      <c r="D18" s="7" t="n">
        <v>52.00135637265844</v>
      </c>
      <c r="E18" s="7" t="n">
        <v>50.52925833918371</v>
      </c>
      <c r="F18" s="7" t="n">
        <v>49.1072737958847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7" t="n">
        <v>86.86398352810841</v>
      </c>
      <c r="C22" s="7" t="n">
        <v>73.76938856958702</v>
      </c>
      <c r="D22" s="7" t="n">
        <v>63.09639197519306</v>
      </c>
      <c r="E22" s="7" t="n">
        <v>57.1692154119707</v>
      </c>
      <c r="F22" s="7" t="n">
        <v>51.73397898456535</v>
      </c>
      <c r="H22" s="10">
        <f>MAX(B22:F22)-MIN(B22:F22)</f>
        <v/>
      </c>
    </row>
    <row r="23">
      <c r="A23" s="6" t="inlineStr">
        <is>
          <t>Exchange-rate path multiplier</t>
        </is>
      </c>
      <c r="B23" s="7" t="n">
        <v>71.93944315776433</v>
      </c>
      <c r="C23" s="7" t="n">
        <v>63.09639197519306</v>
      </c>
      <c r="D23" s="7" t="n">
        <v>45.41028961005051</v>
      </c>
      <c r="E23" s="7" t="n">
        <v>23.30266165362228</v>
      </c>
      <c r="F23" s="7" t="n">
        <v>1.195033697194072</v>
      </c>
      <c r="H23" s="10">
        <f>MAX(B23:F23)-MIN(B23:F23)</f>
        <v/>
      </c>
    </row>
    <row r="24">
      <c r="A24" s="6" t="inlineStr">
        <is>
          <t>EBITDA margin shift</t>
        </is>
      </c>
      <c r="B24" s="7" t="n">
        <v>42.21530497281732</v>
      </c>
      <c r="C24" s="7" t="n">
        <v>52.6558484740052</v>
      </c>
      <c r="D24" s="7" t="n">
        <v>63.09639197519306</v>
      </c>
      <c r="E24" s="7" t="n">
        <v>73.53693547638095</v>
      </c>
      <c r="F24" s="7" t="n">
        <v>83.97747897756886</v>
      </c>
      <c r="H24" s="10">
        <f>MAX(B24:F24)-MIN(B24:F24)</f>
        <v/>
      </c>
    </row>
    <row r="25">
      <c r="A25" s="6" t="inlineStr">
        <is>
          <t>Working capital / revenue</t>
        </is>
      </c>
      <c r="B25" s="7" t="n">
        <v>66.1820174425543</v>
      </c>
      <c r="C25" s="7" t="n">
        <v>64.63920470887369</v>
      </c>
      <c r="D25" s="7" t="n">
        <v>63.09639197519306</v>
      </c>
      <c r="E25" s="7" t="n">
        <v>61.55357924151245</v>
      </c>
      <c r="F25" s="7" t="n">
        <v>60.01076650783185</v>
      </c>
      <c r="H25" s="10">
        <f>MAX(B25:F25)-MIN(B25:F25)</f>
        <v/>
      </c>
    </row>
    <row r="26">
      <c r="A26" s="6" t="inlineStr">
        <is>
          <t>Terminal return on invested capital</t>
        </is>
      </c>
      <c r="B26" s="7" t="n">
        <v>55.97972245871841</v>
      </c>
      <c r="C26" s="7" t="n">
        <v>59.77877118391308</v>
      </c>
      <c r="D26" s="7" t="n">
        <v>63.09639197519306</v>
      </c>
      <c r="E26" s="7" t="n">
        <v>65.62346153036643</v>
      </c>
      <c r="F26" s="7" t="n">
        <v>67.37686863430243</v>
      </c>
      <c r="H26" s="10">
        <f>MAX(B26:F26)-MIN(B26:F26)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0">
        <f>'Income Statement'!B18</f>
        <v/>
      </c>
      <c r="C5" s="10">
        <f>'Income Statement'!C18</f>
        <v/>
      </c>
      <c r="D5" s="10">
        <f>'Income Statement'!D18</f>
        <v/>
      </c>
      <c r="E5" s="10">
        <f>'Income Statement'!E18</f>
        <v/>
      </c>
      <c r="F5" s="10">
        <f>'Income Statement'!F18</f>
        <v/>
      </c>
      <c r="G5" s="10">
        <f>'Income Statement'!G18</f>
        <v/>
      </c>
      <c r="H5" s="10">
        <f>'Income Statement'!H18</f>
        <v/>
      </c>
      <c r="I5" s="10">
        <f>'Income Statement'!I18</f>
        <v/>
      </c>
    </row>
    <row r="6">
      <c r="A6" s="6" t="inlineStr">
        <is>
          <t>Book value per share (EGP)</t>
        </is>
      </c>
      <c r="B6" s="10">
        <f>'Balance Sheet'!B14/Assumptions!$C$6</f>
        <v/>
      </c>
      <c r="C6" s="10">
        <f>'Balance Sheet'!C14/Assumptions!$C$6</f>
        <v/>
      </c>
      <c r="D6" s="10">
        <f>'Balance Sheet'!D14/Assumptions!$C$6</f>
        <v/>
      </c>
      <c r="E6" s="10">
        <f>'Balance Sheet'!E14/Assumptions!$C$6</f>
        <v/>
      </c>
      <c r="F6" s="10">
        <f>'Balance Sheet'!F14/Assumptions!$C$6</f>
        <v/>
      </c>
      <c r="G6" s="10">
        <f>'Balance Sheet'!G14/Assumptions!$C$6</f>
        <v/>
      </c>
      <c r="H6" s="10">
        <f>'Balance Sheet'!H14/Assumptions!$C$6</f>
        <v/>
      </c>
      <c r="I6" s="10">
        <f>'Balance Sheet'!I14/Assumptions!$C$6</f>
        <v/>
      </c>
    </row>
    <row r="7">
      <c r="A7" s="6" t="inlineStr">
        <is>
          <t>Free cash flow per share (EGP)</t>
        </is>
      </c>
      <c r="B7" s="10" t="inlineStr">
        <is>
          <t>-</t>
        </is>
      </c>
      <c r="C7" s="10" t="inlineStr">
        <is>
          <t>-</t>
        </is>
      </c>
      <c r="D7" s="10" t="inlineStr">
        <is>
          <t>-</t>
        </is>
      </c>
      <c r="E7" s="10">
        <f>'Summary Financials'!E11/Assumptions!$C$6</f>
        <v/>
      </c>
      <c r="F7" s="10">
        <f>'Summary Financials'!F11/Assumptions!$C$6</f>
        <v/>
      </c>
      <c r="G7" s="10">
        <f>'Summary Financials'!G11/Assumptions!$C$6</f>
        <v/>
      </c>
      <c r="H7" s="10">
        <f>'Summary Financials'!H11/Assumptions!$C$6</f>
        <v/>
      </c>
      <c r="I7" s="10">
        <f>'Summary Financials'!I11/Assumptions!$C$6</f>
        <v/>
      </c>
    </row>
    <row r="8">
      <c r="A8" s="6" t="inlineStr">
        <is>
          <t>Gross margin</t>
        </is>
      </c>
      <c r="B8" s="11">
        <f>'Income Statement'!B6/'Income Statement'!B5</f>
        <v/>
      </c>
      <c r="C8" s="11">
        <f>'Income Statement'!C6/'Income Statement'!C5</f>
        <v/>
      </c>
      <c r="D8" s="11">
        <f>'Income Statement'!D6/'Income Statement'!D5</f>
        <v/>
      </c>
      <c r="E8" s="11">
        <f>'Income Statement'!E6/'Income Statement'!E5</f>
        <v/>
      </c>
      <c r="F8" s="11">
        <f>'Income Statement'!F6/'Income Statement'!F5</f>
        <v/>
      </c>
      <c r="G8" s="11">
        <f>'Income Statement'!G6/'Income Statement'!G5</f>
        <v/>
      </c>
      <c r="H8" s="11">
        <f>'Income Statement'!H6/'Income Statement'!H5</f>
        <v/>
      </c>
      <c r="I8" s="11">
        <f>'Income Statement'!I6/'Income Statement'!I5</f>
        <v/>
      </c>
    </row>
    <row r="9">
      <c r="A9" s="6" t="inlineStr">
        <is>
          <t>EBITDA margin</t>
        </is>
      </c>
      <c r="B9" s="11">
        <f>'Income Statement'!B8</f>
        <v/>
      </c>
      <c r="C9" s="11">
        <f>'Income Statement'!C8</f>
        <v/>
      </c>
      <c r="D9" s="11">
        <f>'Income Statement'!D8</f>
        <v/>
      </c>
      <c r="E9" s="11">
        <f>'Income Statement'!E8</f>
        <v/>
      </c>
      <c r="F9" s="11">
        <f>'Income Statement'!F8</f>
        <v/>
      </c>
      <c r="G9" s="11">
        <f>'Income Statement'!G8</f>
        <v/>
      </c>
      <c r="H9" s="11">
        <f>'Income Statement'!H8</f>
        <v/>
      </c>
      <c r="I9" s="11">
        <f>'Income Statement'!I8</f>
        <v/>
      </c>
    </row>
    <row r="10">
      <c r="A10" s="6" t="inlineStr">
        <is>
          <t>EBIT margin</t>
        </is>
      </c>
      <c r="B10" s="11">
        <f>'Income Statement'!B10/'Income Statement'!B5</f>
        <v/>
      </c>
      <c r="C10" s="11">
        <f>'Income Statement'!C10/'Income Statement'!C5</f>
        <v/>
      </c>
      <c r="D10" s="11">
        <f>'Income Statement'!D10/'Income Statement'!D5</f>
        <v/>
      </c>
      <c r="E10" s="11">
        <f>'Income Statement'!E10/'Income Statement'!E5</f>
        <v/>
      </c>
      <c r="F10" s="11">
        <f>'Income Statement'!F10/'Income Statement'!F5</f>
        <v/>
      </c>
      <c r="G10" s="11">
        <f>'Income Statement'!G10/'Income Statement'!G5</f>
        <v/>
      </c>
      <c r="H10" s="11">
        <f>'Income Statement'!H10/'Income Statement'!H5</f>
        <v/>
      </c>
      <c r="I10" s="11">
        <f>'Income Statement'!I10/'Income Statement'!I5</f>
        <v/>
      </c>
    </row>
    <row r="11">
      <c r="A11" s="6" t="inlineStr">
        <is>
          <t>Net margin (attributable)</t>
        </is>
      </c>
      <c r="B11" s="11">
        <f>'Income Statement'!B17/'Income Statement'!B5</f>
        <v/>
      </c>
      <c r="C11" s="11">
        <f>'Income Statement'!C17/'Income Statement'!C5</f>
        <v/>
      </c>
      <c r="D11" s="11">
        <f>'Income Statement'!D17/'Income Statement'!D5</f>
        <v/>
      </c>
      <c r="E11" s="11">
        <f>'Income Statement'!E17/'Income Statement'!E5</f>
        <v/>
      </c>
      <c r="F11" s="11">
        <f>'Income Statement'!F17/'Income Statement'!F5</f>
        <v/>
      </c>
      <c r="G11" s="11">
        <f>'Income Statement'!G17/'Income Statement'!G5</f>
        <v/>
      </c>
      <c r="H11" s="11">
        <f>'Income Statement'!H17/'Income Statement'!H5</f>
        <v/>
      </c>
      <c r="I11" s="11">
        <f>'Income Statement'!I17/'Income Statement'!I5</f>
        <v/>
      </c>
    </row>
    <row r="12">
      <c r="A12" s="6" t="inlineStr">
        <is>
          <t>Return on equity</t>
        </is>
      </c>
      <c r="B12" s="11" t="inlineStr">
        <is>
          <t>-</t>
        </is>
      </c>
      <c r="C12" s="11">
        <f>'Income Statement'!C17/(('Balance Sheet'!B14+'Balance Sheet'!C14)/2)</f>
        <v/>
      </c>
      <c r="D12" s="11">
        <f>'Income Statement'!D17/(('Balance Sheet'!C14+'Balance Sheet'!D14)/2)</f>
        <v/>
      </c>
      <c r="E12" s="11">
        <f>'Income Statement'!E17/(('Balance Sheet'!D14+'Balance Sheet'!E14)/2)</f>
        <v/>
      </c>
      <c r="F12" s="11">
        <f>'Income Statement'!F17/(('Balance Sheet'!E14+'Balance Sheet'!F14)/2)</f>
        <v/>
      </c>
      <c r="G12" s="11">
        <f>'Income Statement'!G17/(('Balance Sheet'!F14+'Balance Sheet'!G14)/2)</f>
        <v/>
      </c>
      <c r="H12" s="11">
        <f>'Income Statement'!H17/(('Balance Sheet'!G14+'Balance Sheet'!H14)/2)</f>
        <v/>
      </c>
      <c r="I12" s="11">
        <f>'Income Statement'!I17/(('Balance Sheet'!H14+'Balance Sheet'!I14)/2)</f>
        <v/>
      </c>
    </row>
    <row r="13">
      <c r="A13" s="6" t="inlineStr">
        <is>
          <t>Return on invested capital</t>
        </is>
      </c>
      <c r="B13" s="11" t="inlineStr">
        <is>
          <t>-</t>
        </is>
      </c>
      <c r="C13" s="11" t="inlineStr">
        <is>
          <t>-</t>
        </is>
      </c>
      <c r="D13" s="11" t="inlineStr">
        <is>
          <t>-</t>
        </is>
      </c>
      <c r="E13" s="11">
        <f>'Summary Financials'!E14</f>
        <v/>
      </c>
      <c r="F13" s="11">
        <f>'Summary Financials'!F14</f>
        <v/>
      </c>
      <c r="G13" s="11">
        <f>'Summary Financials'!G14</f>
        <v/>
      </c>
      <c r="H13" s="11">
        <f>'Summary Financials'!H14</f>
        <v/>
      </c>
      <c r="I13" s="11">
        <f>'Summary Financials'!I14</f>
        <v/>
      </c>
    </row>
    <row r="14">
      <c r="A14" s="6" t="inlineStr">
        <is>
          <t>Net debt / EBITDA</t>
        </is>
      </c>
      <c r="B14" s="34">
        <f>'Balance Sheet'!B18</f>
        <v/>
      </c>
      <c r="C14" s="34">
        <f>'Balance Sheet'!C18</f>
        <v/>
      </c>
      <c r="D14" s="34">
        <f>'Balance Sheet'!D18</f>
        <v/>
      </c>
      <c r="E14" s="34">
        <f>'Balance Sheet'!E18</f>
        <v/>
      </c>
      <c r="F14" s="34">
        <f>'Balance Sheet'!F18</f>
        <v/>
      </c>
      <c r="G14" s="34">
        <f>'Balance Sheet'!G18</f>
        <v/>
      </c>
      <c r="H14" s="34">
        <f>'Balance Sheet'!H18</f>
        <v/>
      </c>
      <c r="I14" s="34">
        <f>'Balance Sheet'!I18</f>
        <v/>
      </c>
    </row>
    <row r="15">
      <c r="A15" s="6" t="inlineStr">
        <is>
          <t>Interest cover (EBIT / net interest)</t>
        </is>
      </c>
      <c r="B15" s="34" t="inlineStr">
        <is>
          <t>-</t>
        </is>
      </c>
      <c r="C15" s="34">
        <f>-'Income Statement'!C10/'Income Statement'!C11</f>
        <v/>
      </c>
      <c r="D15" s="34">
        <f>-'Income Statement'!D10/'Income Statement'!D11</f>
        <v/>
      </c>
      <c r="E15" s="34">
        <f>-'Income Statement'!E10/'Income Statement'!E11</f>
        <v/>
      </c>
      <c r="F15" s="34">
        <f>-'Income Statement'!F10/'Income Statement'!F11</f>
        <v/>
      </c>
      <c r="G15" s="34">
        <f>-'Income Statement'!G10/'Income Statement'!G11</f>
        <v/>
      </c>
      <c r="H15" s="34">
        <f>-'Income Statement'!H10/'Income Statement'!H11</f>
        <v/>
      </c>
      <c r="I15" s="34">
        <f>-'Income Statement'!I10/'Income Statement'!I11</f>
        <v/>
      </c>
    </row>
    <row r="16">
      <c r="A16" s="6" t="inlineStr">
        <is>
          <t>Working capital / revenue</t>
        </is>
      </c>
      <c r="B16" s="11">
        <f>'Balance Sheet'!B16/'Income Statement'!B5</f>
        <v/>
      </c>
      <c r="C16" s="11">
        <f>'Balance Sheet'!C16/'Income Statement'!C5</f>
        <v/>
      </c>
      <c r="D16" s="11">
        <f>'Balance Sheet'!D16/'Income Statement'!D5</f>
        <v/>
      </c>
      <c r="E16" s="11">
        <f>'Balance Sheet'!E16/'Income Statement'!E5</f>
        <v/>
      </c>
      <c r="F16" s="11">
        <f>'Balance Sheet'!F16/'Income Statement'!F5</f>
        <v/>
      </c>
      <c r="G16" s="11">
        <f>'Balance Sheet'!G16/'Income Statement'!G5</f>
        <v/>
      </c>
      <c r="H16" s="11">
        <f>'Balance Sheet'!H16/'Income Statement'!H5</f>
        <v/>
      </c>
      <c r="I16" s="11">
        <f>'Balance Sheet'!I16/'Income Statement'!I5</f>
        <v/>
      </c>
    </row>
    <row r="17">
      <c r="A17" s="6" t="inlineStr">
        <is>
          <t>Capital expenditure / revenue</t>
        </is>
      </c>
      <c r="B17" s="11">
        <f>-'Cash Flow'!B11/'Income Statement'!B5</f>
        <v/>
      </c>
      <c r="C17" s="11">
        <f>-'Cash Flow'!C11/'Income Statement'!C5</f>
        <v/>
      </c>
      <c r="D17" s="11" t="inlineStr">
        <is>
          <t>-</t>
        </is>
      </c>
      <c r="E17" s="11">
        <f>-'Cash Flow'!D11/'Income Statement'!E5</f>
        <v/>
      </c>
      <c r="F17" s="11">
        <f>-'Cash Flow'!E11/'Income Statement'!F5</f>
        <v/>
      </c>
      <c r="G17" s="11">
        <f>-'Cash Flow'!F11/'Income Statement'!G5</f>
        <v/>
      </c>
      <c r="H17" s="11">
        <f>-'Cash Flow'!G11/'Income Statement'!H5</f>
        <v/>
      </c>
      <c r="I17" s="11">
        <f>-'Cash Flow'!H11/'Income Statement'!I5</f>
        <v/>
      </c>
    </row>
    <row r="18">
      <c r="A18" s="6" t="inlineStr">
        <is>
          <t>Reinvestment rate</t>
        </is>
      </c>
      <c r="B18" s="9" t="n">
        <v>0.2079305448304614</v>
      </c>
      <c r="C18" s="9" t="n">
        <v>0.3172037113507076</v>
      </c>
      <c r="D18" s="9" t="n">
        <v>0.2640762760437433</v>
      </c>
      <c r="E18" s="11" t="inlineStr">
        <is>
          <t>-</t>
        </is>
      </c>
      <c r="F18" s="11" t="inlineStr">
        <is>
          <t>-</t>
        </is>
      </c>
      <c r="G18" s="11" t="inlineStr">
        <is>
          <t>-</t>
        </is>
      </c>
      <c r="H18" s="11" t="inlineStr">
        <is>
          <t>-</t>
        </is>
      </c>
      <c r="I18" s="11" t="inlineStr">
        <is>
          <t>-</t>
        </is>
      </c>
    </row>
    <row r="19">
      <c r="A19" s="6" t="inlineStr">
        <is>
          <t>Implied growth (return on capital x reinvestment)</t>
        </is>
      </c>
      <c r="B19" s="9" t="n">
        <v>0.04635583499957009</v>
      </c>
      <c r="C19" s="9" t="n">
        <v>0.07886018916845154</v>
      </c>
      <c r="D19" s="9" t="n">
        <v>0.05528848097541515</v>
      </c>
      <c r="E19" s="11" t="inlineStr">
        <is>
          <t>-</t>
        </is>
      </c>
      <c r="F19" s="11" t="inlineStr">
        <is>
          <t>-</t>
        </is>
      </c>
      <c r="G19" s="11" t="inlineStr">
        <is>
          <t>-</t>
        </is>
      </c>
      <c r="H19" s="11" t="inlineStr">
        <is>
          <t>-</t>
        </is>
      </c>
      <c r="I19" s="11"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0" t="inlineStr">
        <is>
          <t>nearest listed regional cable manufacturer</t>
        </is>
      </c>
      <c r="D5" s="40" t="inlineStr">
        <is>
          <t>far smaller, no contracting arm, lighter balance sheet, pegged currency</t>
        </is>
      </c>
    </row>
    <row r="6" ht="30" customHeight="1">
      <c r="A6" s="6" t="inlineStr">
        <is>
          <t>Electro Cable Egypt</t>
        </is>
      </c>
      <c r="B6" s="6" t="inlineStr">
        <is>
          <t>Egypt</t>
        </is>
      </c>
      <c r="C6" s="40" t="inlineStr">
        <is>
          <t>the only other listed Egyptian cable manufacturer</t>
        </is>
      </c>
      <c r="D6" s="40" t="inlineStr">
        <is>
          <t>much smaller, domestic, heavily levered, currently loss-making</t>
        </is>
      </c>
    </row>
    <row r="7" ht="30" customHeight="1">
      <c r="A7" s="6" t="inlineStr">
        <is>
          <t>European cable majors</t>
        </is>
      </c>
      <c r="B7" s="6" t="inlineStr">
        <is>
          <t>Europe</t>
        </is>
      </c>
      <c r="C7" s="40" t="inlineStr">
        <is>
          <t>closest match on business model — cables plus projects</t>
        </is>
      </c>
      <c r="D7" s="40" t="inlineStr">
        <is>
          <t>developed-market cost of capital; no convertibility risk</t>
        </is>
      </c>
    </row>
    <row r="8" ht="30" customHeight="1">
      <c r="A8" s="6" t="inlineStr">
        <is>
          <t>Regional engineering and construction contractors</t>
        </is>
      </c>
      <c r="B8" s="6" t="inlineStr">
        <is>
          <t>Gulf and North Africa</t>
        </is>
      </c>
      <c r="C8" s="40" t="inlineStr">
        <is>
          <t>the right frame for the roughly 27% that is turnkey project work</t>
        </is>
      </c>
      <c r="D8" s="40" t="inlineStr">
        <is>
          <t>project accounting and backlog quality are not comparable</t>
        </is>
      </c>
    </row>
    <row r="10">
      <c r="A10" s="5" t="inlineStr">
        <is>
          <t>Own multiples</t>
        </is>
      </c>
      <c r="B10" s="5" t="inlineStr">
        <is>
          <t>Value</t>
        </is>
      </c>
    </row>
    <row r="11">
      <c r="A11" s="6" t="inlineStr">
        <is>
          <t>Trailing enterprise value / EBITDA</t>
        </is>
      </c>
      <c r="B11" s="32">
        <f>'Relative &amp; Normalized'!C13</f>
        <v/>
      </c>
    </row>
    <row r="12">
      <c r="A12" s="6" t="inlineStr">
        <is>
          <t>Trailing price / earnings</t>
        </is>
      </c>
      <c r="B12" s="32">
        <f>'Relative &amp; Normalized'!C14</f>
        <v/>
      </c>
    </row>
    <row r="13">
      <c r="A13" s="6" t="inlineStr">
        <is>
          <t>Trailing price / book</t>
        </is>
      </c>
      <c r="B13" s="32">
        <f>'Relative &amp; Normalized'!C15</f>
        <v/>
      </c>
    </row>
    <row r="14">
      <c r="A14" s="6" t="inlineStr">
        <is>
          <t>Justified enterprise value / EBITDA applied</t>
        </is>
      </c>
      <c r="B14" s="32">
        <f>'Relative &amp; Normalized'!C6</f>
        <v/>
      </c>
    </row>
    <row r="15">
      <c r="A15" s="6" t="inlineStr">
        <is>
          <t>Justified price / earnings applied</t>
        </is>
      </c>
      <c r="B15" s="32">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2026-08-06T10:19:50Z</dcterms:created>
  <dcterms:modified xmlns:dcterms="http://purl.org/dc/terms/" xmlns:xsi="http://www.w3.org/2001/XMLSchema-instance" xsi:type="dcterms:W3CDTF">2026-08-06T10:19:50Z</dcterms:modified>
</cp:coreProperties>
</file>