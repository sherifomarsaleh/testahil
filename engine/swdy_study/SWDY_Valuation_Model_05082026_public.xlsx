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x"/>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1">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6"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0" fontId="8"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9" fontId="7" fillId="0" borderId="0" pivotButton="0" quotePrefix="0" xfId="0"/>
    <xf numFmtId="170" fontId="7" fillId="0" borderId="0" pivotButton="0" quotePrefix="0" xfId="0"/>
    <xf numFmtId="169" fontId="5" fillId="0" borderId="0" pivotButton="0" quotePrefix="0" xfId="0"/>
    <xf numFmtId="10" fontId="5" fillId="0" borderId="0" pivotButton="0" quotePrefix="0" xfId="0"/>
    <xf numFmtId="170"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26.6% -&gt; 15.9%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105.20 (2026-08-05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19.945090316451</v>
      </c>
      <c r="C5" s="8">
        <f>DCF!C62</f>
        <v/>
      </c>
      <c r="D5" s="7" t="n">
        <v>122.3348933382508</v>
      </c>
      <c r="E5" s="9" t="n">
        <v>0.45</v>
      </c>
      <c r="F5" s="10">
        <f>C5*E5</f>
        <v/>
      </c>
      <c r="G5" s="11">
        <f>C5/$C$14-1</f>
        <v/>
      </c>
    </row>
    <row r="6">
      <c r="A6" s="6" t="inlineStr">
        <is>
          <t>Relative multiples</t>
        </is>
      </c>
      <c r="B6" s="8">
        <f>'Relative &amp; Normalized'!C12</f>
        <v/>
      </c>
      <c r="C6" s="8">
        <f>'Relative &amp; Normalized'!C11</f>
        <v/>
      </c>
      <c r="D6" s="8">
        <f>'Relative &amp; Normalized'!D12</f>
        <v/>
      </c>
      <c r="E6" s="9" t="n">
        <v>0.2</v>
      </c>
      <c r="F6" s="10">
        <f>C6*E6</f>
        <v/>
      </c>
      <c r="G6" s="11">
        <f>C6/$C$14-1</f>
        <v/>
      </c>
    </row>
    <row r="7">
      <c r="A7" s="6" t="inlineStr">
        <is>
          <t>Normalised earnings power</t>
        </is>
      </c>
      <c r="B7" s="8">
        <f>'Relative &amp; Normalized'!E28</f>
        <v/>
      </c>
      <c r="C7" s="8">
        <f>'Relative &amp; Normalized'!C28</f>
        <v/>
      </c>
      <c r="D7" s="8">
        <f>'Relative &amp; Normalized'!F28</f>
        <v/>
      </c>
      <c r="E7" s="9" t="n">
        <v>0.2</v>
      </c>
      <c r="F7" s="10">
        <f>C7*E7</f>
        <v/>
      </c>
      <c r="G7" s="11">
        <f>C7/$C$14-1</f>
        <v/>
      </c>
    </row>
    <row r="8">
      <c r="A8" s="6" t="inlineStr">
        <is>
          <t>Book value and sustainable return</t>
        </is>
      </c>
      <c r="B8" s="8">
        <f>'Relative &amp; Normalized'!E36</f>
        <v/>
      </c>
      <c r="C8" s="8">
        <f>'Relative &amp; Normalized'!C36</f>
        <v/>
      </c>
      <c r="D8" s="8">
        <f>'Relative &amp; Normalized'!F36</f>
        <v/>
      </c>
      <c r="E8" s="9" t="n">
        <v>0.15</v>
      </c>
      <c r="F8" s="10">
        <f>C8*E8</f>
        <v/>
      </c>
      <c r="G8" s="11">
        <f>C8/$C$14-1</f>
        <v/>
      </c>
    </row>
    <row r="9">
      <c r="A9" s="12" t="inlineStr">
        <is>
          <t>Weighted central</t>
        </is>
      </c>
      <c r="B9" s="13">
        <f>MIN(B5:B8)</f>
        <v/>
      </c>
      <c r="C9" s="13">
        <f>SUM(F5:F8)</f>
        <v/>
      </c>
      <c r="D9" s="13">
        <f>MAX(D5:D8)</f>
        <v/>
      </c>
      <c r="E9" s="14">
        <f>SUM(E5:E8)</f>
        <v/>
      </c>
      <c r="F9" s="15" t="n"/>
      <c r="G9" s="14">
        <f>C9/$C$14-1</f>
        <v/>
      </c>
    </row>
    <row r="11">
      <c r="A11" s="6" t="inlineStr">
        <is>
          <t>Alternative reading — currency of discounting</t>
        </is>
      </c>
      <c r="C11" s="8">
        <f>'Fundamental Valuation'!C18</f>
        <v/>
      </c>
      <c r="G11" s="11">
        <f>C11/$C$14-1</f>
        <v/>
      </c>
    </row>
    <row r="12">
      <c r="A12" s="6" t="inlineStr">
        <is>
          <t>Terminal value share of DCF enterprise value</t>
        </is>
      </c>
      <c r="C12" s="16">
        <f>DCF!C28</f>
        <v/>
      </c>
    </row>
    <row r="13">
      <c r="A13" s="6" t="inlineStr">
        <is>
          <t>Expert panel median</t>
        </is>
      </c>
      <c r="C13" s="8">
        <f>'Fundamental Valuation'!C26</f>
        <v/>
      </c>
      <c r="G13" s="11">
        <f>C13/$C$14-1</f>
        <v/>
      </c>
    </row>
    <row r="14">
      <c r="A14" s="12" t="inlineStr">
        <is>
          <t>Market price (anchor)</t>
        </is>
      </c>
      <c r="B14" s="15" t="n"/>
      <c r="C14" s="17" t="n">
        <v>105.2</v>
      </c>
      <c r="D14" s="15" t="n"/>
      <c r="E14" s="15" t="n"/>
      <c r="F14" s="15" t="n"/>
      <c r="G14" s="15" t="n"/>
    </row>
    <row r="16">
      <c r="A16" s="5" t="inlineStr">
        <is>
          <t>Key figure</t>
        </is>
      </c>
      <c r="B16" s="5" t="inlineStr">
        <is>
          <t>Value</t>
        </is>
      </c>
    </row>
    <row r="17">
      <c r="A17" s="6" t="inlineStr">
        <is>
          <t>Shares outstanding (mn)</t>
        </is>
      </c>
      <c r="C17" s="18">
        <f>Assumptions!$C$6</f>
        <v/>
      </c>
    </row>
    <row r="18">
      <c r="A18" s="6" t="inlineStr">
        <is>
          <t>Market capitalisation (EGP mn)</t>
        </is>
      </c>
      <c r="C18" s="18">
        <f>$C$14*C17</f>
        <v/>
      </c>
    </row>
    <row r="19">
      <c r="A19" s="6" t="inlineStr">
        <is>
          <t>Net bank debt, FY2025 (EGP mn)</t>
        </is>
      </c>
      <c r="C19" s="18">
        <f>'Balance Sheet'!D17</f>
        <v/>
      </c>
    </row>
    <row r="20">
      <c r="A20" s="6" t="inlineStr">
        <is>
          <t>FY2025 revenue (EGP mn)</t>
        </is>
      </c>
      <c r="C20" s="18">
        <f>'Income Statement'!D5</f>
        <v/>
      </c>
    </row>
    <row r="21">
      <c r="A21" s="6" t="inlineStr">
        <is>
          <t>FY2025 EBITDA (EGP mn)</t>
        </is>
      </c>
      <c r="C21" s="18">
        <f>'Income Statement'!D7</f>
        <v/>
      </c>
    </row>
    <row r="22">
      <c r="A22" s="6" t="inlineStr">
        <is>
          <t>FY2025 attributable profit (EGP mn)</t>
        </is>
      </c>
      <c r="C22" s="18">
        <f>'Income Statement'!D17</f>
        <v/>
      </c>
    </row>
    <row r="23">
      <c r="A23" s="6" t="inlineStr">
        <is>
          <t>Cost of capital — explicit window</t>
        </is>
      </c>
      <c r="C23" s="16">
        <f>DCF!C46</f>
        <v/>
      </c>
    </row>
    <row r="24">
      <c r="A24" s="6" t="inlineStr">
        <is>
          <t>Cost of capital — terminal</t>
        </is>
      </c>
      <c r="C24" s="16">
        <f>DCF!C53</f>
        <v/>
      </c>
    </row>
    <row r="25">
      <c r="A25" s="6" t="inlineStr">
        <is>
          <t>Terminal growth</t>
        </is>
      </c>
      <c r="C25" s="16">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19.945090316451</v>
      </c>
    </row>
    <row r="7">
      <c r="A7" s="6" t="inlineStr">
        <is>
          <t xml:space="preserve">  bull</t>
        </is>
      </c>
      <c r="B7" s="6" t="inlineStr">
        <is>
          <t>margin +1.5pp, stronger currency path, −2pp cost of capital, g 6%</t>
        </is>
      </c>
      <c r="C7" s="7" t="n">
        <v>122.3348933382508</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2" t="inlineStr">
        <is>
          <t>Weighted central</t>
        </is>
      </c>
      <c r="B12" s="15" t="n"/>
      <c r="C12" s="19">
        <f>Summary!C9</f>
        <v/>
      </c>
    </row>
    <row r="14">
      <c r="A14" s="20" t="inlineStr">
        <is>
          <t>THE CURRENCY-OF-DISCOUNTING QUESTION</t>
        </is>
      </c>
    </row>
    <row r="15">
      <c r="A15" s="6" t="inlineStr">
        <is>
          <t>Share of forecast revenue earned in hard currency</t>
        </is>
      </c>
      <c r="C15" s="9" t="n">
        <v>0.5254856747391311</v>
      </c>
    </row>
    <row r="16">
      <c r="A16" s="6" t="inlineStr">
        <is>
          <t>Cost of capital applied in the primary model (explicit → terminal)</t>
        </is>
      </c>
      <c r="C16" s="21" t="inlineStr">
        <is>
          <t>26.6% → 15.9%</t>
        </is>
      </c>
    </row>
    <row r="17">
      <c r="A17" s="6" t="inlineStr">
        <is>
          <t>Hard-currency cost of capital for the foreign leg</t>
        </is>
      </c>
      <c r="C17" s="22">
        <f>(1-Assumptions!$C$59)*(Assumptions!$C$56+Assumptions!$C$33*Assumptions!$C$57)+Assumptions!$C$59*Assumptions!$C$58*(1-Assumptions!$C$7)</f>
        <v/>
      </c>
    </row>
    <row r="18">
      <c r="A18" s="6" t="inlineStr">
        <is>
          <t>Fair value if the foreign leg is discounted at the hard-currency rate</t>
        </is>
      </c>
      <c r="C18" s="7" t="n">
        <v>85.97488545126602</v>
      </c>
    </row>
    <row r="19">
      <c r="A19" s="6" t="inlineStr">
        <is>
          <t>Market price</t>
        </is>
      </c>
      <c r="C19" s="8">
        <f>Summary!C14</f>
        <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146.6166527148279</v>
      </c>
      <c r="D23" s="7" t="n">
        <v>107.5464809477679</v>
      </c>
      <c r="E23" s="7" t="n">
        <v>185.6868244818879</v>
      </c>
    </row>
    <row r="24">
      <c r="A24" s="6" t="inlineStr">
        <is>
          <t>Expert 2</t>
        </is>
      </c>
      <c r="B24" s="6" t="inlineStr">
        <is>
          <t>owner cash earnings</t>
        </is>
      </c>
      <c r="C24" s="7" t="n">
        <v>61.91445272087842</v>
      </c>
      <c r="D24" s="7" t="n">
        <v>37.47247721279566</v>
      </c>
      <c r="E24" s="7" t="n">
        <v>68.08877752143243</v>
      </c>
    </row>
    <row r="25">
      <c r="A25" s="6" t="inlineStr">
        <is>
          <t>Expert 3</t>
        </is>
      </c>
      <c r="B25" s="6" t="inlineStr">
        <is>
          <t>cash returns vs cost of capital</t>
        </is>
      </c>
      <c r="C25" s="7" t="n">
        <v>53.24641887790025</v>
      </c>
      <c r="D25" s="7" t="n">
        <v>46.17387104421569</v>
      </c>
      <c r="E25" s="7" t="n">
        <v>85.97488545126602</v>
      </c>
    </row>
    <row r="26">
      <c r="A26" s="12" t="inlineStr">
        <is>
          <t>Panel median</t>
        </is>
      </c>
      <c r="B26" s="15" t="n"/>
      <c r="C26" s="13">
        <f>MEDIAN(C23:C25)</f>
        <v/>
      </c>
      <c r="D26" s="15" t="n"/>
      <c r="E26" s="1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2" t="inlineStr">
        <is>
          <t>Anchors</t>
        </is>
      </c>
      <c r="B4" s="15" t="n"/>
      <c r="C4" s="15" t="n"/>
      <c r="D4" s="15" t="n"/>
      <c r="E4" s="15" t="n"/>
      <c r="F4" s="15" t="n"/>
      <c r="G4" s="15" t="n"/>
      <c r="H4" s="15" t="n"/>
    </row>
    <row r="5">
      <c r="A5" s="6" t="inlineStr">
        <is>
          <t>Spot price (EGP)</t>
        </is>
      </c>
      <c r="C5" s="7" t="n">
        <v>105.2</v>
      </c>
    </row>
    <row r="6">
      <c r="A6" s="6" t="inlineStr">
        <is>
          <t>Shares outstanding (mn)</t>
        </is>
      </c>
      <c r="C6" s="23" t="n">
        <v>2140.777876</v>
      </c>
    </row>
    <row r="7">
      <c r="A7" s="6" t="inlineStr">
        <is>
          <t>Effective tax rate</t>
        </is>
      </c>
      <c r="C7" s="9" t="n">
        <v>0.245</v>
      </c>
    </row>
    <row r="8">
      <c r="A8" s="6" t="inlineStr">
        <is>
          <t>Statutory corporate tax rate</t>
        </is>
      </c>
      <c r="C8" s="9" t="n">
        <v>0.225</v>
      </c>
    </row>
    <row r="9">
      <c r="A9" s="6" t="inlineStr">
        <is>
          <t>FY2025 average USD/EGP</t>
        </is>
      </c>
      <c r="C9" s="24" t="n">
        <v>49.5</v>
      </c>
    </row>
    <row r="11">
      <c r="A11" s="12" t="inlineStr">
        <is>
          <t>Revenue drivers — the three disclosed segments</t>
        </is>
      </c>
      <c r="B11" s="15" t="n"/>
      <c r="C11" s="15" t="n"/>
      <c r="D11" s="15" t="n"/>
      <c r="E11" s="15" t="n"/>
      <c r="F11" s="15" t="n"/>
      <c r="G11" s="15" t="n"/>
      <c r="H11" s="15" t="n"/>
    </row>
    <row r="12">
      <c r="A12" s="6" t="inlineStr">
        <is>
          <t>Copper (USD/tonne)</t>
        </is>
      </c>
      <c r="B12" s="23" t="n">
        <v>13400</v>
      </c>
      <c r="C12" s="23" t="n">
        <v>14000</v>
      </c>
      <c r="D12" s="23" t="n">
        <v>14000</v>
      </c>
      <c r="E12" s="23" t="n">
        <v>14000</v>
      </c>
      <c r="F12" s="23" t="n">
        <v>14000</v>
      </c>
    </row>
    <row r="13">
      <c r="A13" s="6" t="inlineStr">
        <is>
          <t>USD/EGP path</t>
        </is>
      </c>
      <c r="B13" s="24" t="n">
        <v>51</v>
      </c>
      <c r="C13" s="24" t="n">
        <v>54</v>
      </c>
      <c r="D13" s="24" t="n">
        <v>57.5</v>
      </c>
      <c r="E13" s="24" t="n">
        <v>61</v>
      </c>
      <c r="F13" s="24" t="n">
        <v>64.5</v>
      </c>
    </row>
    <row r="14">
      <c r="A14" s="6" t="inlineStr">
        <is>
          <t>Cables — real (volume) growth over copper x FX</t>
        </is>
      </c>
      <c r="B14" s="9" t="n">
        <v>0.03</v>
      </c>
      <c r="C14" s="9" t="n">
        <v>0.03</v>
      </c>
      <c r="D14" s="9" t="n">
        <v>0.03</v>
      </c>
      <c r="E14" s="9" t="n">
        <v>0.03</v>
      </c>
      <c r="F14" s="9" t="n">
        <v>0.03</v>
      </c>
    </row>
    <row r="15">
      <c r="A15" s="6" t="inlineStr">
        <is>
          <t>Constructions and infrastructure — revenue growth</t>
        </is>
      </c>
      <c r="B15" s="9" t="n">
        <v>0.18</v>
      </c>
      <c r="C15" s="9" t="n">
        <v>0.14</v>
      </c>
      <c r="D15" s="9" t="n">
        <v>0.11</v>
      </c>
      <c r="E15" s="9" t="n">
        <v>0.09</v>
      </c>
      <c r="F15" s="9" t="n">
        <v>0.08</v>
      </c>
    </row>
    <row r="16">
      <c r="A16" s="6" t="inlineStr">
        <is>
          <t>Electrical products and digital solutions — revenue growth</t>
        </is>
      </c>
      <c r="B16" s="9" t="n">
        <v>0.2</v>
      </c>
      <c r="C16" s="9" t="n">
        <v>0.16</v>
      </c>
      <c r="D16" s="9" t="n">
        <v>0.13</v>
      </c>
      <c r="E16" s="9" t="n">
        <v>0.11</v>
      </c>
      <c r="F16" s="9" t="n">
        <v>0.1</v>
      </c>
    </row>
    <row r="18">
      <c r="A18" s="12" t="inlineStr">
        <is>
          <t>Segment gross margins and corporate cost load</t>
        </is>
      </c>
      <c r="B18" s="15" t="n"/>
      <c r="C18" s="15" t="n"/>
      <c r="D18" s="15" t="n"/>
      <c r="E18" s="15" t="n"/>
      <c r="F18" s="15" t="n"/>
      <c r="G18" s="15" t="n"/>
      <c r="H18" s="15" t="n"/>
    </row>
    <row r="19">
      <c r="A19" s="6" t="inlineStr">
        <is>
          <t>Cables — gross/segment margin</t>
        </is>
      </c>
      <c r="B19" s="9" t="n">
        <v>0.14</v>
      </c>
      <c r="C19" s="9" t="n">
        <v>0.145</v>
      </c>
      <c r="D19" s="9" t="n">
        <v>0.15</v>
      </c>
      <c r="E19" s="9" t="n">
        <v>0.153</v>
      </c>
      <c r="F19" s="9" t="n">
        <v>0.155</v>
      </c>
    </row>
    <row r="20">
      <c r="A20" s="6" t="inlineStr">
        <is>
          <t>Constructions and infrastructure — segment margin</t>
        </is>
      </c>
      <c r="B20" s="9" t="n">
        <v>0.068</v>
      </c>
      <c r="C20" s="9" t="n">
        <v>0.07199999999999999</v>
      </c>
      <c r="D20" s="9" t="n">
        <v>0.076</v>
      </c>
      <c r="E20" s="9" t="n">
        <v>0.079</v>
      </c>
      <c r="F20" s="9" t="n">
        <v>0.082</v>
      </c>
    </row>
    <row r="21">
      <c r="A21" s="6" t="inlineStr">
        <is>
          <t>Electrical products and digital solutions — segment margin</t>
        </is>
      </c>
      <c r="B21" s="9" t="n">
        <v>0.22</v>
      </c>
      <c r="C21" s="9" t="n">
        <v>0.222</v>
      </c>
      <c r="D21" s="9" t="n">
        <v>0.224</v>
      </c>
      <c r="E21" s="9" t="n">
        <v>0.226</v>
      </c>
      <c r="F21" s="9" t="n">
        <v>0.228</v>
      </c>
    </row>
    <row r="22">
      <c r="A22" s="6" t="inlineStr">
        <is>
          <t>Corporate cost load (% of revenue) — the bridge from segment profit to EBIT</t>
        </is>
      </c>
      <c r="B22" s="9" t="n">
        <v>0.0455</v>
      </c>
      <c r="C22" s="9" t="n">
        <v>0.0465</v>
      </c>
      <c r="D22" s="9" t="n">
        <v>0.0475</v>
      </c>
      <c r="E22" s="9" t="n">
        <v>0.0475</v>
      </c>
      <c r="F22" s="9" t="n">
        <v>0.0485</v>
      </c>
    </row>
    <row r="24">
      <c r="A24" s="12" t="inlineStr">
        <is>
          <t>Capital intensity</t>
        </is>
      </c>
      <c r="B24" s="15" t="n"/>
      <c r="C24" s="15" t="n"/>
      <c r="D24" s="15" t="n"/>
      <c r="E24" s="15" t="n"/>
      <c r="F24" s="15" t="n"/>
      <c r="G24" s="15" t="n"/>
      <c r="H24" s="15" t="n"/>
    </row>
    <row r="25">
      <c r="A25" s="6" t="inlineStr">
        <is>
          <t>Working capital / revenue</t>
        </is>
      </c>
      <c r="C25" s="9" t="n">
        <v>0.199</v>
      </c>
    </row>
    <row r="26">
      <c r="A26" s="6" t="inlineStr">
        <is>
          <t>Capital expenditure / revenue</t>
        </is>
      </c>
      <c r="B26" s="9" t="n">
        <v>0.044</v>
      </c>
      <c r="C26" s="9" t="n">
        <v>0.04</v>
      </c>
      <c r="D26" s="9" t="n">
        <v>0.036</v>
      </c>
      <c r="E26" s="9" t="n">
        <v>0.033</v>
      </c>
      <c r="F26" s="9" t="n">
        <v>0.031</v>
      </c>
    </row>
    <row r="27">
      <c r="A27" s="6" t="inlineStr">
        <is>
          <t>Depreciation and amortisation / revenue</t>
        </is>
      </c>
      <c r="C27" s="9" t="n">
        <v>0.0125</v>
      </c>
    </row>
    <row r="29">
      <c r="A29" s="12" t="inlineStr">
        <is>
          <t>Cost of capital</t>
        </is>
      </c>
      <c r="B29" s="15" t="n"/>
      <c r="C29" s="15" t="n"/>
      <c r="D29" s="15" t="n"/>
      <c r="E29" s="15" t="n"/>
      <c r="F29" s="15" t="n"/>
      <c r="G29" s="15" t="n"/>
      <c r="H29" s="15" t="n"/>
    </row>
    <row r="30">
      <c r="A30" s="6" t="inlineStr">
        <is>
          <t>Risk-free rate (10-year local currency)</t>
        </is>
      </c>
      <c r="C30" s="9" t="n">
        <v>0.2231</v>
      </c>
    </row>
    <row r="31">
      <c r="A31" s="6" t="inlineStr">
        <is>
          <t>Sovereign default spread (netted out)</t>
        </is>
      </c>
      <c r="C31" s="9" t="n">
        <v>0.034</v>
      </c>
    </row>
    <row r="32">
      <c r="A32" s="6" t="inlineStr">
        <is>
          <t>Equity risk premium</t>
        </is>
      </c>
      <c r="C32" s="9" t="n">
        <v>0.0941</v>
      </c>
    </row>
    <row r="33">
      <c r="A33" s="6" t="inlineStr">
        <is>
          <t>Beta</t>
        </is>
      </c>
      <c r="C33" s="25" t="n">
        <v>1.009</v>
      </c>
    </row>
    <row r="34">
      <c r="A34" s="6" t="inlineStr">
        <is>
          <t>Cost of debt, blended</t>
        </is>
      </c>
      <c r="C34" s="9" t="n">
        <v>0.095</v>
      </c>
    </row>
    <row r="35">
      <c r="A35" s="6" t="inlineStr">
        <is>
          <t>Cost of debt path</t>
        </is>
      </c>
      <c r="B35" s="9" t="n">
        <v>0.095</v>
      </c>
      <c r="C35" s="9" t="n">
        <v>0.089</v>
      </c>
      <c r="D35" s="9" t="n">
        <v>0.08400000000000001</v>
      </c>
      <c r="E35" s="9" t="n">
        <v>0.08</v>
      </c>
      <c r="F35" s="9" t="n">
        <v>0.077</v>
      </c>
    </row>
    <row r="36">
      <c r="A36" s="6" t="inlineStr">
        <is>
          <t>Terminal risk-free rate</t>
        </is>
      </c>
      <c r="C36" s="9" t="n">
        <v>0.105</v>
      </c>
    </row>
    <row r="37">
      <c r="A37" s="6" t="inlineStr">
        <is>
          <t>Terminal equity risk premium</t>
        </is>
      </c>
      <c r="C37" s="9" t="n">
        <v>0.07000000000000001</v>
      </c>
    </row>
    <row r="38">
      <c r="A38" s="6" t="inlineStr">
        <is>
          <t>Terminal cost of debt</t>
        </is>
      </c>
      <c r="C38" s="9" t="n">
        <v>0.0888</v>
      </c>
    </row>
    <row r="39">
      <c r="A39" s="6" t="inlineStr">
        <is>
          <t>Terminal debt weight</t>
        </is>
      </c>
      <c r="C39" s="9" t="n">
        <v>0.15</v>
      </c>
    </row>
    <row r="40">
      <c r="A40" s="6" t="inlineStr">
        <is>
          <t>Terminal growth</t>
        </is>
      </c>
      <c r="C40" s="9" t="n">
        <v>0.05</v>
      </c>
    </row>
    <row r="42">
      <c r="A42" s="12" t="inlineStr">
        <is>
          <t>Balance-sheet and bridge anchors</t>
        </is>
      </c>
      <c r="B42" s="15" t="n"/>
      <c r="C42" s="15" t="n"/>
      <c r="D42" s="15" t="n"/>
      <c r="E42" s="15" t="n"/>
      <c r="F42" s="15" t="n"/>
      <c r="G42" s="15" t="n"/>
      <c r="H42" s="15" t="n"/>
    </row>
    <row r="43">
      <c r="A43" s="6" t="inlineStr">
        <is>
          <t>Net bank debt at FY2025 (EGP mn, disclosed)</t>
        </is>
      </c>
      <c r="C43" s="23" t="n">
        <v>20560.003173</v>
      </c>
    </row>
    <row r="44">
      <c r="A44" s="6" t="inlineStr">
        <is>
          <t>Equity-accounted investees at carrying value (EGP mn)</t>
        </is>
      </c>
      <c r="C44" s="23" t="n">
        <v>6757.650507</v>
      </c>
    </row>
    <row r="45">
      <c r="A45" s="6" t="inlineStr">
        <is>
          <t>Intangible assets and goodwill (EGP mn)</t>
        </is>
      </c>
      <c r="C45" s="23" t="n">
        <v>1748.816945</v>
      </c>
    </row>
    <row r="46">
      <c r="A46" s="6" t="inlineStr">
        <is>
          <t>FY2025 profit after tax (EGP mn, disclosed)</t>
        </is>
      </c>
      <c r="C46" s="23" t="n">
        <v>19186.550057</v>
      </c>
    </row>
    <row r="47">
      <c r="A47" s="6" t="inlineStr">
        <is>
          <t>FY2025 profit after minority interests (EGP mn, disclosed)</t>
        </is>
      </c>
      <c r="C47" s="23"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9" t="n">
        <v>0.25</v>
      </c>
    </row>
    <row r="51">
      <c r="A51" s="6" t="inlineStr">
        <is>
          <t>Growth in the share of equity-accounted investees</t>
        </is>
      </c>
      <c r="C51" s="9" t="n">
        <v>0.08</v>
      </c>
    </row>
    <row r="52">
      <c r="A52" s="6" t="inlineStr">
        <is>
          <t>Yield assumed on surplus cash (blend of EGP deposit and hard-currency rates)</t>
        </is>
      </c>
      <c r="C52" s="9" t="n">
        <v>0.1</v>
      </c>
    </row>
    <row r="53">
      <c r="A53" s="6" t="inlineStr">
        <is>
          <t>Days from the 31-Dec-2025 valuation date to the 5-Aug-2026 anchor</t>
        </is>
      </c>
      <c r="C53" s="23" t="n">
        <v>217</v>
      </c>
    </row>
    <row r="55">
      <c r="A55" s="12" t="inlineStr">
        <is>
          <t>Currency-of-discounting alternative</t>
        </is>
      </c>
      <c r="B55" s="15" t="n"/>
      <c r="C55" s="15" t="n"/>
      <c r="D55" s="15" t="n"/>
      <c r="E55" s="15" t="n"/>
      <c r="F55" s="15" t="n"/>
      <c r="G55" s="15" t="n"/>
      <c r="H55" s="15" t="n"/>
    </row>
    <row r="56">
      <c r="A56" s="6" t="inlineStr">
        <is>
          <t>US dollar risk-free rate</t>
        </is>
      </c>
      <c r="C56" s="9" t="n">
        <v>0.043</v>
      </c>
    </row>
    <row r="57">
      <c r="A57" s="6" t="inlineStr">
        <is>
          <t>Hard-currency-leg equity risk premium</t>
        </is>
      </c>
      <c r="C57" s="9" t="n">
        <v>0.075</v>
      </c>
    </row>
    <row r="58">
      <c r="A58" s="6" t="inlineStr">
        <is>
          <t>US dollar cost of debt</t>
        </is>
      </c>
      <c r="C58" s="9" t="n">
        <v>0.065</v>
      </c>
    </row>
    <row r="59">
      <c r="A59" s="6" t="inlineStr">
        <is>
          <t>Debt weight, USD leg</t>
        </is>
      </c>
      <c r="C59" s="9" t="n">
        <v>0.25</v>
      </c>
    </row>
    <row r="60">
      <c r="A60" s="6" t="inlineStr">
        <is>
          <t>Terminal growth of the USD leg</t>
        </is>
      </c>
      <c r="C60" s="9" t="n">
        <v>0.035</v>
      </c>
    </row>
    <row r="62">
      <c r="A62" s="12" t="inlineStr">
        <is>
          <t>Lens inputs</t>
        </is>
      </c>
      <c r="B62" s="15" t="n"/>
      <c r="C62" s="15" t="n"/>
      <c r="D62" s="15" t="n"/>
      <c r="E62" s="15" t="n"/>
      <c r="F62" s="15" t="n"/>
      <c r="G62" s="15" t="n"/>
      <c r="H62" s="15" t="n"/>
    </row>
    <row r="63">
      <c r="A63" s="6" t="inlineStr">
        <is>
          <t>Justified EV/EBITDA</t>
        </is>
      </c>
      <c r="C63" s="26" t="n">
        <v>6.5</v>
      </c>
    </row>
    <row r="64">
      <c r="A64" s="6" t="inlineStr">
        <is>
          <t>Justified price/earnings</t>
        </is>
      </c>
      <c r="C64" s="26" t="n">
        <v>9</v>
      </c>
    </row>
    <row r="65">
      <c r="A65" s="6" t="inlineStr">
        <is>
          <t>Sustainable return on equity</t>
        </is>
      </c>
      <c r="C65" s="9" t="n">
        <v>0.235</v>
      </c>
    </row>
    <row r="66">
      <c r="A66" s="6" t="inlineStr">
        <is>
          <t>Weight — discounted cash flow</t>
        </is>
      </c>
      <c r="C66" s="9" t="n">
        <v>0.45</v>
      </c>
    </row>
    <row r="67">
      <c r="A67" s="6" t="inlineStr">
        <is>
          <t>Weight — relative</t>
        </is>
      </c>
      <c r="C67" s="9" t="n">
        <v>0.2</v>
      </c>
    </row>
    <row r="68">
      <c r="A68" s="6" t="inlineStr">
        <is>
          <t>Weight — normalised</t>
        </is>
      </c>
      <c r="C68" s="9" t="n">
        <v>0.2</v>
      </c>
    </row>
    <row r="69">
      <c r="A69" s="6" t="inlineStr">
        <is>
          <t>Weight — book</t>
        </is>
      </c>
      <c r="C69" s="9"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10">
        <f>C5/Assumptions!$C$6</f>
        <v/>
      </c>
    </row>
    <row r="6">
      <c r="A6" s="6" t="inlineStr">
        <is>
          <t>Present value of the terminal value</t>
        </is>
      </c>
      <c r="C6" s="18">
        <f>DCF!C27</f>
        <v/>
      </c>
      <c r="D6" s="10">
        <f>C6/Assumptions!$C$6</f>
        <v/>
      </c>
    </row>
    <row r="7">
      <c r="A7" s="6" t="inlineStr">
        <is>
          <t>Enterprise value</t>
        </is>
      </c>
      <c r="C7" s="27">
        <f>C5+C6</f>
        <v/>
      </c>
      <c r="D7" s="28">
        <f>C7/Assumptions!$C$6</f>
        <v/>
      </c>
    </row>
    <row r="8">
      <c r="A8" s="6" t="inlineStr">
        <is>
          <t>Less net bank debt</t>
        </is>
      </c>
      <c r="C8" s="18">
        <f>-Assumptions!$C$43</f>
        <v/>
      </c>
      <c r="D8" s="10">
        <f>C8/Assumptions!$C$6</f>
        <v/>
      </c>
    </row>
    <row r="9">
      <c r="A9" s="6" t="inlineStr">
        <is>
          <t>Plus equity-accounted investees at carrying value</t>
        </is>
      </c>
      <c r="C9" s="18">
        <f>Assumptions!$C$44</f>
        <v/>
      </c>
      <c r="D9" s="10">
        <f>C9/Assumptions!$C$6</f>
        <v/>
      </c>
    </row>
    <row r="10">
      <c r="A10" s="6" t="inlineStr">
        <is>
          <t>Equity before minority interests</t>
        </is>
      </c>
      <c r="C10" s="29">
        <f>C7+C8+C9</f>
        <v/>
      </c>
      <c r="D10" s="10">
        <f>C10/Assumptions!$C$6</f>
        <v/>
      </c>
    </row>
    <row r="11">
      <c r="A11" s="6" t="inlineStr">
        <is>
          <t>Less minority interests at their share of group profit</t>
        </is>
      </c>
      <c r="C11" s="29">
        <f>-C10*$C$15</f>
        <v/>
      </c>
      <c r="D11" s="10">
        <f>C11/Assumptions!$C$6</f>
        <v/>
      </c>
    </row>
    <row r="12">
      <c r="A12" s="15" t="inlineStr">
        <is>
          <t>Equity attributable to shareholders</t>
        </is>
      </c>
      <c r="B12" s="15" t="n"/>
      <c r="C12" s="30">
        <f>C10+C11</f>
        <v/>
      </c>
      <c r="D12" s="31">
        <f>C12/Assumptions!$C$6</f>
        <v/>
      </c>
    </row>
    <row r="14">
      <c r="A14" s="6" t="inlineStr">
        <is>
          <t>Terminal value as a share of enterprise value</t>
        </is>
      </c>
      <c r="C14" s="16">
        <f>DCF!C28</f>
        <v/>
      </c>
    </row>
    <row r="15">
      <c r="A15" s="6" t="inlineStr">
        <is>
          <t>Minority share of group profit</t>
        </is>
      </c>
      <c r="C15" s="11">
        <f>(Assumptions!$C$46-Assumptions!$C$47)/Assumptions!$C$46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3" t="n">
        <v>155792.929738</v>
      </c>
      <c r="C5" s="11">
        <f>B5/$B$8</f>
        <v/>
      </c>
      <c r="D5" s="9" t="n">
        <v>0.134899552356732</v>
      </c>
      <c r="E5" s="23" t="n">
        <v>221541.3228857327</v>
      </c>
      <c r="F5" s="23" t="n">
        <v>252428.7347156312</v>
      </c>
      <c r="G5" s="23" t="n">
        <v>276853.5521024677</v>
      </c>
      <c r="H5" s="23" t="n">
        <v>302516.6726712704</v>
      </c>
      <c r="I5" s="23" t="n">
        <v>329470.412277309</v>
      </c>
    </row>
    <row r="6">
      <c r="A6" s="6" t="inlineStr">
        <is>
          <t>Constructions and infrastructure</t>
        </is>
      </c>
      <c r="B6" s="23" t="n">
        <v>90958.55022799999</v>
      </c>
      <c r="C6" s="11">
        <f>B6/$B$8</f>
        <v/>
      </c>
      <c r="D6" s="9" t="n">
        <v>0.06452269254829619</v>
      </c>
      <c r="E6" s="23" t="n">
        <v>107331.08926904</v>
      </c>
      <c r="F6" s="23" t="n">
        <v>122357.4417667056</v>
      </c>
      <c r="G6" s="23" t="n">
        <v>135816.7603610432</v>
      </c>
      <c r="H6" s="23" t="n">
        <v>148040.2687935371</v>
      </c>
      <c r="I6" s="23" t="n">
        <v>159883.4902970201</v>
      </c>
    </row>
    <row r="7">
      <c r="A7" s="6" t="inlineStr">
        <is>
          <t>Electrical products and digital solutions</t>
        </is>
      </c>
      <c r="B7" s="23" t="n">
        <v>34297.601753</v>
      </c>
      <c r="C7" s="11">
        <f>B7/$B$8</f>
        <v/>
      </c>
      <c r="D7" s="9" t="n">
        <v>0.2217300370961013</v>
      </c>
      <c r="E7" s="23" t="n">
        <v>41157.1221036</v>
      </c>
      <c r="F7" s="23" t="n">
        <v>47742.261640176</v>
      </c>
      <c r="G7" s="23" t="n">
        <v>53948.75565339887</v>
      </c>
      <c r="H7" s="23" t="n">
        <v>59883.11877527275</v>
      </c>
      <c r="I7" s="23" t="n">
        <v>65871.43065280003</v>
      </c>
    </row>
    <row r="8">
      <c r="A8" s="12" t="inlineStr">
        <is>
          <t>Total revenue</t>
        </is>
      </c>
      <c r="B8" s="32">
        <f>SUM(B5:B7)</f>
        <v/>
      </c>
      <c r="C8" s="14">
        <f>SUM(C5:C7)</f>
        <v/>
      </c>
      <c r="D8" s="15" t="n"/>
      <c r="E8" s="32">
        <f>SUM(E5:E7)</f>
        <v/>
      </c>
      <c r="F8" s="32">
        <f>SUM(F5:F7)</f>
        <v/>
      </c>
      <c r="G8" s="32">
        <f>SUM(G5:G7)</f>
        <v/>
      </c>
      <c r="H8" s="32">
        <f>SUM(H5:H7)</f>
        <v/>
      </c>
      <c r="I8" s="32">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3" t="n">
        <v>31015.78520400258</v>
      </c>
      <c r="C11" s="23" t="n">
        <v>36602.16653376652</v>
      </c>
      <c r="D11" s="23" t="n">
        <v>41528.03281537016</v>
      </c>
      <c r="E11" s="23" t="n">
        <v>46285.05091870438</v>
      </c>
      <c r="F11" s="23" t="n">
        <v>51067.91390298289</v>
      </c>
    </row>
    <row r="12">
      <c r="A12" s="6" t="inlineStr">
        <is>
          <t>Constructions and infrastructure</t>
        </is>
      </c>
      <c r="B12" s="23" t="n">
        <v>7298.51407029472</v>
      </c>
      <c r="C12" s="23" t="n">
        <v>8809.735807202804</v>
      </c>
      <c r="D12" s="23" t="n">
        <v>10322.07378743929</v>
      </c>
      <c r="E12" s="23" t="n">
        <v>11695.18123468943</v>
      </c>
      <c r="F12" s="23" t="n">
        <v>13110.44620435565</v>
      </c>
    </row>
    <row r="13">
      <c r="A13" s="6" t="inlineStr">
        <is>
          <t>Electrical products and digital solutions</t>
        </is>
      </c>
      <c r="B13" s="23" t="n">
        <v>9054.566862792</v>
      </c>
      <c r="C13" s="23" t="n">
        <v>10598.78208411907</v>
      </c>
      <c r="D13" s="23" t="n">
        <v>12084.52126636135</v>
      </c>
      <c r="E13" s="23" t="n">
        <v>13533.58484321164</v>
      </c>
      <c r="F13" s="23" t="n">
        <v>15018.68618883841</v>
      </c>
    </row>
    <row r="14">
      <c r="A14" s="12" t="inlineStr">
        <is>
          <t>Group segment profit</t>
        </is>
      </c>
      <c r="B14" s="32">
        <f>SUM(B11:B13)</f>
        <v/>
      </c>
      <c r="C14" s="32">
        <f>SUM(C11:C13)</f>
        <v/>
      </c>
      <c r="D14" s="32">
        <f>SUM(D11:D13)</f>
        <v/>
      </c>
      <c r="E14" s="32">
        <f>SUM(E11:E13)</f>
        <v/>
      </c>
      <c r="F14" s="32">
        <f>SUM(F11:F13)</f>
        <v/>
      </c>
    </row>
    <row r="15">
      <c r="A15" s="6" t="inlineStr">
        <is>
          <t>Group segment-profit margin</t>
        </is>
      </c>
      <c r="B15" s="11">
        <f>B14/E$8</f>
        <v/>
      </c>
      <c r="C15" s="11">
        <f>C14/F$8</f>
        <v/>
      </c>
      <c r="D15" s="11">
        <f>D14/G$8</f>
        <v/>
      </c>
      <c r="E15" s="11">
        <f>E14/H$8</f>
        <v/>
      </c>
      <c r="F15" s="11">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29">
        <f>B11-Assumptions!$B$22*E5</f>
        <v/>
      </c>
      <c r="C18" s="29">
        <f>C11-Assumptions!$C$22*F5</f>
        <v/>
      </c>
      <c r="D18" s="29">
        <f>D11-Assumptions!$D$22*G5</f>
        <v/>
      </c>
      <c r="E18" s="29">
        <f>E11-Assumptions!$E$22*H5</f>
        <v/>
      </c>
      <c r="F18" s="29">
        <f>F11-Assumptions!$F$22*I5</f>
        <v/>
      </c>
    </row>
    <row r="19">
      <c r="A19" s="6" t="inlineStr">
        <is>
          <t>Constructions and infrastructure</t>
        </is>
      </c>
      <c r="B19" s="29">
        <f>B12-Assumptions!$B$22*E6</f>
        <v/>
      </c>
      <c r="C19" s="29">
        <f>C12-Assumptions!$C$22*F6</f>
        <v/>
      </c>
      <c r="D19" s="29">
        <f>D12-Assumptions!$D$22*G6</f>
        <v/>
      </c>
      <c r="E19" s="29">
        <f>E12-Assumptions!$E$22*H6</f>
        <v/>
      </c>
      <c r="F19" s="29">
        <f>F12-Assumptions!$F$22*I6</f>
        <v/>
      </c>
    </row>
    <row r="20">
      <c r="A20" s="6" t="inlineStr">
        <is>
          <t>Electrical products and digital solutions</t>
        </is>
      </c>
      <c r="B20" s="29">
        <f>B13-Assumptions!$B$22*E7</f>
        <v/>
      </c>
      <c r="C20" s="29">
        <f>C13-Assumptions!$C$22*F7</f>
        <v/>
      </c>
      <c r="D20" s="29">
        <f>D13-Assumptions!$D$22*G7</f>
        <v/>
      </c>
      <c r="E20" s="29">
        <f>E13-Assumptions!$E$22*H7</f>
        <v/>
      </c>
      <c r="F20" s="29">
        <f>F13-Assumptions!$F$22*I7</f>
        <v/>
      </c>
    </row>
    <row r="21">
      <c r="A21" s="12" t="inlineStr">
        <is>
          <t>Group EBIT</t>
        </is>
      </c>
      <c r="B21" s="32">
        <f>SUM(B18:B20)</f>
        <v/>
      </c>
      <c r="C21" s="32">
        <f>SUM(C18:C20)</f>
        <v/>
      </c>
      <c r="D21" s="32">
        <f>SUM(D18:D20)</f>
        <v/>
      </c>
      <c r="E21" s="32">
        <f>SUM(E18:E20)</f>
        <v/>
      </c>
      <c r="F21" s="32">
        <f>SUM(F18:F20)</f>
        <v/>
      </c>
    </row>
    <row r="22">
      <c r="A22" s="6" t="inlineStr">
        <is>
          <t>Add back depreciation and amortisation</t>
        </is>
      </c>
      <c r="B22" s="29">
        <f>Assumptions!$C$27*E8</f>
        <v/>
      </c>
      <c r="C22" s="29">
        <f>Assumptions!$C$27*F8</f>
        <v/>
      </c>
      <c r="D22" s="29">
        <f>Assumptions!$C$27*G8</f>
        <v/>
      </c>
      <c r="E22" s="29">
        <f>Assumptions!$C$27*H8</f>
        <v/>
      </c>
      <c r="F22" s="29">
        <f>Assumptions!$C$27*I8</f>
        <v/>
      </c>
    </row>
    <row r="23">
      <c r="A23" s="12" t="inlineStr">
        <is>
          <t>Group EBITDA</t>
        </is>
      </c>
      <c r="B23" s="32">
        <f>B21+B22</f>
        <v/>
      </c>
      <c r="C23" s="32">
        <f>C21+C22</f>
        <v/>
      </c>
      <c r="D23" s="32">
        <f>D21+D22</f>
        <v/>
      </c>
      <c r="E23" s="32">
        <f>E21+E22</f>
        <v/>
      </c>
      <c r="F23" s="32">
        <f>F21+F22</f>
        <v/>
      </c>
    </row>
    <row r="24">
      <c r="A24" s="6" t="inlineStr">
        <is>
          <t>Group EBITDA margin</t>
        </is>
      </c>
      <c r="B24" s="11">
        <f>B23/E$8</f>
        <v/>
      </c>
      <c r="C24" s="11">
        <f>C23/F$8</f>
        <v/>
      </c>
      <c r="D24" s="11">
        <f>D23/G$8</f>
        <v/>
      </c>
      <c r="E24" s="11">
        <f>E23/H$8</f>
        <v/>
      </c>
      <c r="F24" s="11">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8">
        <f>DCF!C6</f>
        <v/>
      </c>
    </row>
    <row r="6">
      <c r="A6" s="6" t="inlineStr">
        <is>
          <t>Justified enterprise value / EBITDA</t>
        </is>
      </c>
      <c r="C6" s="33">
        <f>Assumptions!$C$63</f>
        <v/>
      </c>
    </row>
    <row r="7">
      <c r="A7" s="6" t="inlineStr">
        <is>
          <t>Implied enterprise value AS AT end-FY2027 (EGP mn)</t>
        </is>
      </c>
      <c r="C7" s="29">
        <f>C5*C6</f>
        <v/>
      </c>
    </row>
    <row r="8">
      <c r="A8" s="6" t="inlineStr">
        <is>
          <t>Discount factor back to the valuation date (year-2)</t>
        </is>
      </c>
      <c r="C8" s="34">
        <f>DCF!C16</f>
        <v/>
      </c>
    </row>
    <row r="9">
      <c r="A9" s="6" t="inlineStr">
        <is>
          <t>Plus present value of the interim FY26-27 free cash flows (EGP mn)</t>
        </is>
      </c>
      <c r="C9" s="18">
        <f>DCF!B17+DCF!C17</f>
        <v/>
      </c>
    </row>
    <row r="10">
      <c r="A10" s="6" t="inlineStr">
        <is>
          <t>Implied enterprise value at 31-Dec-2025 (EGP mn)</t>
        </is>
      </c>
      <c r="C10" s="29">
        <f>C7*C8+C9</f>
        <v/>
      </c>
    </row>
    <row r="11">
      <c r="A11" s="15" t="inlineStr">
        <is>
          <t>Implied value per share, rolled to the anchor (EGP)</t>
        </is>
      </c>
      <c r="B11" s="15" t="n"/>
      <c r="C11" s="31">
        <f>((C10-Assumptions!$C$43+Assumptions!$C$44)*(1-'SOTP Bridge'!$C$15)/Assumptions!$C$6)*DCF!$C$61-Assumptions!$C$49</f>
        <v/>
      </c>
    </row>
    <row r="12">
      <c r="A12" s="6" t="inlineStr">
        <is>
          <t>Bear at 5.5× (C) / bull at 8.0× (D), same construction</t>
        </is>
      </c>
      <c r="C12" s="10">
        <f>((5.5*C5*C8+C9-Assumptions!$C$43+Assumptions!$C$44)*(1-'SOTP Bridge'!$C$15)/Assumptions!$C$6)*DCF!$C$61-Assumptions!$C$49</f>
        <v/>
      </c>
      <c r="D12" s="10">
        <f>((8.0*C5*C8+C9-Assumptions!$C$43+Assumptions!$C$44)*(1-'SOTP Bridge'!$C$15)/Assumptions!$C$6)*DCF!$C$61-Assumptions!$C$49</f>
        <v/>
      </c>
    </row>
    <row r="13">
      <c r="A13" s="6" t="inlineStr">
        <is>
          <t>Trailing enterprise value / EBITDA</t>
        </is>
      </c>
      <c r="C13" s="35">
        <f>((Assumptions!$C$5*Assumptions!$C$6)+Assumptions!$C$43)/'Income Statement'!D7</f>
        <v/>
      </c>
    </row>
    <row r="14">
      <c r="A14" s="6" t="inlineStr">
        <is>
          <t>Trailing price / earnings</t>
        </is>
      </c>
      <c r="C14" s="35">
        <f>Assumptions!$C$5/'Income Statement'!D18</f>
        <v/>
      </c>
    </row>
    <row r="15">
      <c r="A15" s="6" t="inlineStr">
        <is>
          <t>Trailing price / book</t>
        </is>
      </c>
      <c r="C15" s="35">
        <f>Assumptions!$C$5/C31</f>
        <v/>
      </c>
    </row>
    <row r="16">
      <c r="A16" s="6" t="inlineStr">
        <is>
          <t>Net bank debt / EBITDA</t>
        </is>
      </c>
      <c r="C16" s="35">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8">
        <f>DCF!B5</f>
        <v/>
      </c>
    </row>
    <row r="20">
      <c r="A20" s="6" t="inlineStr">
        <is>
          <t>Mid-cycle EBITDA margin (FY2028E)</t>
        </is>
      </c>
      <c r="C20" s="16">
        <f>DCF!D7</f>
        <v/>
      </c>
    </row>
    <row r="21">
      <c r="A21" s="6" t="inlineStr">
        <is>
          <t>Normalised EBITDA (EGP mn)</t>
        </is>
      </c>
      <c r="C21" s="29">
        <f>C19*C20</f>
        <v/>
      </c>
    </row>
    <row r="22">
      <c r="A22" s="6" t="inlineStr">
        <is>
          <t>Normalised EBIT (EGP mn)</t>
        </is>
      </c>
      <c r="C22" s="29">
        <f>C21-C19*Assumptions!$C$27</f>
        <v/>
      </c>
    </row>
    <row r="23">
      <c r="A23" s="6" t="inlineStr">
        <is>
          <t>Net finance cost (FY2026E, EGP mn)</t>
        </is>
      </c>
      <c r="C23" s="18">
        <f>'Income Statement'!E11</f>
        <v/>
      </c>
    </row>
    <row r="24">
      <c r="A24" s="6" t="inlineStr">
        <is>
          <t>Share of equity-accounted investees (FY2026E, EGP mn)</t>
        </is>
      </c>
      <c r="C24" s="18">
        <f>'Income Statement'!E12</f>
        <v/>
      </c>
    </row>
    <row r="25">
      <c r="A25" s="6" t="inlineStr">
        <is>
          <t>Normalised attributable earnings (EGP mn)</t>
        </is>
      </c>
      <c r="C25" s="29">
        <f>(C22+C23+C24)*(1-Assumptions!$C$7)*(1-'SOTP Bridge'!$C$15)</f>
        <v/>
      </c>
    </row>
    <row r="26">
      <c r="A26" s="6" t="inlineStr">
        <is>
          <t>Normalised earnings per share (EGP)</t>
        </is>
      </c>
      <c r="C26" s="10">
        <f>C25/Assumptions!$C$6</f>
        <v/>
      </c>
    </row>
    <row r="27">
      <c r="A27" s="6" t="inlineStr">
        <is>
          <t>Justified price / earnings</t>
        </is>
      </c>
      <c r="C27" s="35">
        <f>Assumptions!$C$64</f>
        <v/>
      </c>
    </row>
    <row r="28">
      <c r="A28" s="15" t="inlineStr">
        <is>
          <t>Implied value per share, rolled to the anchor (EGP)</t>
        </is>
      </c>
      <c r="B28" s="15" t="n"/>
      <c r="C28" s="31">
        <f>C26*C27*DCF!$C$61-Assumptions!$C$49</f>
        <v/>
      </c>
      <c r="D28" s="6" t="inlineStr">
        <is>
          <t>bear 7.0× (E) / bull 11.5× (F):</t>
        </is>
      </c>
      <c r="E28" s="10">
        <f>C26*7*DCF!$C$61-Assumptions!$C$49</f>
        <v/>
      </c>
      <c r="F28" s="10">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11">
        <f>Assumptions!$C$65</f>
        <v/>
      </c>
    </row>
    <row r="33">
      <c r="A33" s="6" t="inlineStr">
        <is>
          <t>Trailing return on equity</t>
        </is>
      </c>
      <c r="C33" s="16">
        <f>'Income Statement'!D17/(('Balance Sheet'!C14+'Balance Sheet'!D14)/2)</f>
        <v/>
      </c>
    </row>
    <row r="34">
      <c r="A34" s="6" t="inlineStr">
        <is>
          <t>Perpetual (terminal) cost of equity — a steady-state multiple takes a steady-state rate</t>
        </is>
      </c>
      <c r="C34" s="16">
        <f>DCF!C49</f>
        <v/>
      </c>
    </row>
    <row r="35">
      <c r="A35" s="6" t="inlineStr">
        <is>
          <t>Justified price / book</t>
        </is>
      </c>
      <c r="C35" s="35">
        <f>(C32-Assumptions!$C$40)/(C34-Assumptions!$C$40)</f>
        <v/>
      </c>
    </row>
    <row r="36">
      <c r="A36" s="15" t="inlineStr">
        <is>
          <t>Implied value per share, rolled to the anchor (EGP)</t>
        </is>
      </c>
      <c r="B36" s="15" t="n"/>
      <c r="C36" s="31">
        <f>C31*C35*DCF!$C$61-Assumptions!$C$49</f>
        <v/>
      </c>
      <c r="D36" s="6" t="inlineStr">
        <is>
          <t>bear / bull constructions (E / F):</t>
        </is>
      </c>
      <c r="E36" s="10">
        <f>((Assumptions!$C$65-0.03)/((DCF!C39+DCF!C49)/2-0.03))*C31*DCF!$C$61-Assumptions!$C$49</f>
        <v/>
      </c>
      <c r="F36" s="10">
        <f>((Assumptions!$C$65+0.02-Assumptions!$C$40)/(DCF!C49-Assumptions!$C$40))*C31*DCF!$C$61-Assumptions!$C$49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8">
        <f>Segments!E8</f>
        <v/>
      </c>
      <c r="C5" s="18">
        <f>Segments!F8</f>
        <v/>
      </c>
      <c r="D5" s="18">
        <f>Segments!G8</f>
        <v/>
      </c>
      <c r="E5" s="18">
        <f>Segments!H8</f>
        <v/>
      </c>
      <c r="F5" s="18">
        <f>Segments!I8</f>
        <v/>
      </c>
    </row>
    <row r="6">
      <c r="A6" s="6" t="inlineStr">
        <is>
          <t>EBITDA</t>
        </is>
      </c>
      <c r="B6" s="18">
        <f>Segments!B23</f>
        <v/>
      </c>
      <c r="C6" s="18">
        <f>Segments!C23</f>
        <v/>
      </c>
      <c r="D6" s="18">
        <f>Segments!D23</f>
        <v/>
      </c>
      <c r="E6" s="18">
        <f>Segments!E23</f>
        <v/>
      </c>
      <c r="F6" s="18">
        <f>Segments!F23</f>
        <v/>
      </c>
    </row>
    <row r="7">
      <c r="A7" s="6" t="inlineStr">
        <is>
          <t>EBITDA margin</t>
        </is>
      </c>
      <c r="B7" s="11">
        <f>B6/B5</f>
        <v/>
      </c>
      <c r="C7" s="11">
        <f>C6/C5</f>
        <v/>
      </c>
      <c r="D7" s="11">
        <f>D6/D5</f>
        <v/>
      </c>
      <c r="E7" s="11">
        <f>E6/E5</f>
        <v/>
      </c>
      <c r="F7" s="11">
        <f>F6/F5</f>
        <v/>
      </c>
    </row>
    <row r="8">
      <c r="A8" s="6" t="inlineStr">
        <is>
          <t>Less depreciation and amortisation</t>
        </is>
      </c>
      <c r="B8" s="29">
        <f>-B5*Assumptions!$C$27</f>
        <v/>
      </c>
      <c r="C8" s="29">
        <f>-C5*Assumptions!$C$27</f>
        <v/>
      </c>
      <c r="D8" s="29">
        <f>-D5*Assumptions!$C$27</f>
        <v/>
      </c>
      <c r="E8" s="29">
        <f>-E5*Assumptions!$C$27</f>
        <v/>
      </c>
      <c r="F8" s="29">
        <f>-F5*Assumptions!$C$27</f>
        <v/>
      </c>
    </row>
    <row r="9">
      <c r="A9" s="15" t="inlineStr">
        <is>
          <t>EBIT</t>
        </is>
      </c>
      <c r="B9" s="30">
        <f>B6+B8</f>
        <v/>
      </c>
      <c r="C9" s="30">
        <f>C6+C8</f>
        <v/>
      </c>
      <c r="D9" s="30">
        <f>D6+D8</f>
        <v/>
      </c>
      <c r="E9" s="30">
        <f>E6+E8</f>
        <v/>
      </c>
      <c r="F9" s="30">
        <f>F6+F8</f>
        <v/>
      </c>
    </row>
    <row r="10">
      <c r="A10" s="6" t="inlineStr">
        <is>
          <t>NOPAT — EBIT x (1 - 24%)</t>
        </is>
      </c>
      <c r="B10" s="29">
        <f>B9*(1-Assumptions!$C$7)</f>
        <v/>
      </c>
      <c r="C10" s="29">
        <f>C9*(1-Assumptions!$C$7)</f>
        <v/>
      </c>
      <c r="D10" s="29">
        <f>D9*(1-Assumptions!$C$7)</f>
        <v/>
      </c>
      <c r="E10" s="29">
        <f>E9*(1-Assumptions!$C$7)</f>
        <v/>
      </c>
      <c r="F10" s="29">
        <f>F9*(1-Assumptions!$C$7)</f>
        <v/>
      </c>
    </row>
    <row r="11">
      <c r="A11" s="6" t="inlineStr">
        <is>
          <t>Add back depreciation and amortisation</t>
        </is>
      </c>
      <c r="B11" s="29">
        <f>-B8</f>
        <v/>
      </c>
      <c r="C11" s="29">
        <f>-C8</f>
        <v/>
      </c>
      <c r="D11" s="29">
        <f>-D8</f>
        <v/>
      </c>
      <c r="E11" s="29">
        <f>-E8</f>
        <v/>
      </c>
      <c r="F11" s="29">
        <f>-F8</f>
        <v/>
      </c>
    </row>
    <row r="12">
      <c r="A12" s="6" t="inlineStr">
        <is>
          <t>Less capital expenditure</t>
        </is>
      </c>
      <c r="B12" s="29">
        <f>-B5*Assumptions!$B$26</f>
        <v/>
      </c>
      <c r="C12" s="29">
        <f>-C5*Assumptions!$C$26</f>
        <v/>
      </c>
      <c r="D12" s="29">
        <f>-D5*Assumptions!$D$26</f>
        <v/>
      </c>
      <c r="E12" s="29">
        <f>-E5*Assumptions!$E$26</f>
        <v/>
      </c>
      <c r="F12" s="29">
        <f>-F5*Assumptions!$F$26</f>
        <v/>
      </c>
    </row>
    <row r="13">
      <c r="A13" s="6" t="inlineStr">
        <is>
          <t>Less change in working capital</t>
        </is>
      </c>
      <c r="B13" s="29">
        <f>-(B5*Assumptions!$C$25-'Balance Sheet'!D16)</f>
        <v/>
      </c>
      <c r="C13" s="29">
        <f>-(C5-B5)*Assumptions!$C$25</f>
        <v/>
      </c>
      <c r="D13" s="29">
        <f>-(D5-C5)*Assumptions!$C$25</f>
        <v/>
      </c>
      <c r="E13" s="29">
        <f>-(E5-D5)*Assumptions!$C$25</f>
        <v/>
      </c>
      <c r="F13" s="29">
        <f>-(F5-E5)*Assumptions!$C$25</f>
        <v/>
      </c>
    </row>
    <row r="14">
      <c r="A14" s="15" t="inlineStr">
        <is>
          <t>Free cash flow to the firm</t>
        </is>
      </c>
      <c r="B14" s="30">
        <f>B10+B11+B12+B13</f>
        <v/>
      </c>
      <c r="C14" s="30">
        <f>C10+C11+C12+C13</f>
        <v/>
      </c>
      <c r="D14" s="30">
        <f>D10+D11+D12+D13</f>
        <v/>
      </c>
      <c r="E14" s="30">
        <f>E10+E11+E12+E13</f>
        <v/>
      </c>
      <c r="F14" s="30">
        <f>F10+F11+F12+F13</f>
        <v/>
      </c>
    </row>
    <row r="15">
      <c r="A15" s="6" t="inlineStr">
        <is>
          <t>Forward cost of capital</t>
        </is>
      </c>
      <c r="B15" s="36">
        <f>$C$46-($C$46-$C$53)*B57</f>
        <v/>
      </c>
      <c r="C15" s="36">
        <f>$C$46-($C$46-$C$53)*C57</f>
        <v/>
      </c>
      <c r="D15" s="36">
        <f>$C$46-($C$46-$C$53)*D57</f>
        <v/>
      </c>
      <c r="E15" s="36">
        <f>$C$46-($C$46-$C$53)*E57</f>
        <v/>
      </c>
      <c r="F15" s="36">
        <f>$C$46-($C$46-$C$53)*F57</f>
        <v/>
      </c>
    </row>
    <row r="16">
      <c r="A16" s="6" t="inlineStr">
        <is>
          <t>Discount factor</t>
        </is>
      </c>
      <c r="B16" s="37">
        <f>1/(1+B15)</f>
        <v/>
      </c>
      <c r="C16" s="37">
        <f>B16/(1+C15)</f>
        <v/>
      </c>
      <c r="D16" s="37">
        <f>C16/(1+D15)</f>
        <v/>
      </c>
      <c r="E16" s="37">
        <f>D16/(1+E15)</f>
        <v/>
      </c>
      <c r="F16" s="37">
        <f>E16/(1+F15)</f>
        <v/>
      </c>
    </row>
    <row r="17">
      <c r="A17" s="15" t="inlineStr">
        <is>
          <t>Present value of FCFF</t>
        </is>
      </c>
      <c r="B17" s="30">
        <f>B14*B16</f>
        <v/>
      </c>
      <c r="C17" s="30">
        <f>C14*C16</f>
        <v/>
      </c>
      <c r="D17" s="30">
        <f>D14*D16</f>
        <v/>
      </c>
      <c r="E17" s="30">
        <f>E14*E16</f>
        <v/>
      </c>
      <c r="F17" s="30">
        <f>F14*F16</f>
        <v/>
      </c>
    </row>
    <row r="19">
      <c r="A19" s="20" t="inlineStr">
        <is>
          <t>TERMINAL VALUE, BRIDGE AND THE ANCHOR ROLL</t>
        </is>
      </c>
    </row>
    <row r="20">
      <c r="A20" s="6" t="inlineStr">
        <is>
          <t>Terminal-year NOPAT grown one year (EGP mn)</t>
        </is>
      </c>
      <c r="C20" s="29">
        <f>F10*(1+C23)</f>
        <v/>
      </c>
    </row>
    <row r="21">
      <c r="A21" s="6" t="inlineStr">
        <is>
          <t>Terminal return on invested capital</t>
        </is>
      </c>
      <c r="C21" s="16">
        <f>F10*(1+C23)/'Summary Financials'!I13</f>
        <v/>
      </c>
    </row>
    <row r="22">
      <c r="A22" s="6" t="inlineStr">
        <is>
          <t>Required reinvestment rate (g / return on capital)</t>
        </is>
      </c>
      <c r="C22" s="11">
        <f>C23/C21</f>
        <v/>
      </c>
    </row>
    <row r="23">
      <c r="A23" s="6" t="inlineStr">
        <is>
          <t>Terminal growth</t>
        </is>
      </c>
      <c r="C23" s="16">
        <f>Assumptions!$C$40</f>
        <v/>
      </c>
    </row>
    <row r="24">
      <c r="A24" s="6" t="inlineStr">
        <is>
          <t>Terminal cost of capital</t>
        </is>
      </c>
      <c r="C24" s="11">
        <f>C53</f>
        <v/>
      </c>
    </row>
    <row r="25">
      <c r="A25" s="6" t="inlineStr">
        <is>
          <t>Terminal value — terminal-year FCFF C20×(1−C22), capitalised (EGP mn)</t>
        </is>
      </c>
      <c r="C25" s="29">
        <f>C20*(1-C22)/(C24-C23)</f>
        <v/>
      </c>
    </row>
    <row r="26">
      <c r="A26" s="6" t="inlineStr">
        <is>
          <t>Present value of the five forecast years (EGP mn)</t>
        </is>
      </c>
      <c r="C26" s="29">
        <f>SUM(B17:F17)</f>
        <v/>
      </c>
    </row>
    <row r="27">
      <c r="A27" s="6" t="inlineStr">
        <is>
          <t>Present value of the terminal value (EGP mn)</t>
        </is>
      </c>
      <c r="C27" s="29">
        <f>C25*F16</f>
        <v/>
      </c>
    </row>
    <row r="28">
      <c r="A28" s="6" t="inlineStr">
        <is>
          <t>Terminal value as a share of enterprise value</t>
        </is>
      </c>
      <c r="C28" s="11">
        <f>C27/(C26+C27)</f>
        <v/>
      </c>
    </row>
    <row r="29">
      <c r="A29" s="6" t="inlineStr">
        <is>
          <t>Enterprise value (EGP mn)</t>
        </is>
      </c>
      <c r="C29" s="29">
        <f>C26+C27</f>
        <v/>
      </c>
    </row>
    <row r="30">
      <c r="A30" s="6" t="inlineStr">
        <is>
          <t>Equity attributable to shareholders (EGP mn)</t>
        </is>
      </c>
      <c r="C30" s="18">
        <f>'SOTP Bridge'!C12</f>
        <v/>
      </c>
    </row>
    <row r="31">
      <c r="A31" s="15" t="inlineStr">
        <is>
          <t>Fair value per share at 31-Dec-2025 (EGP)</t>
        </is>
      </c>
      <c r="B31" s="15" t="n"/>
      <c r="C31" s="31">
        <f>C30/Assumptions!$C$6</f>
        <v/>
      </c>
      <c r="D31" s="15" t="n"/>
    </row>
    <row r="33">
      <c r="A33" s="20" t="inlineStr">
        <is>
          <t>COST OF CAPITAL — BUILT HERE, NOT ASSUMED</t>
        </is>
      </c>
    </row>
    <row r="34">
      <c r="A34" s="6" t="inlineStr">
        <is>
          <t>Risk-free rate, 10-year local currency</t>
        </is>
      </c>
      <c r="C34" s="22">
        <f>Assumptions!$C$30</f>
        <v/>
      </c>
    </row>
    <row r="35">
      <c r="A35" s="6" t="inlineStr">
        <is>
          <t>Less sovereign default spread (removed to avoid double-counting)</t>
        </is>
      </c>
      <c r="C35" s="22">
        <f>Assumptions!$C$31</f>
        <v/>
      </c>
    </row>
    <row r="36">
      <c r="A36" s="6" t="inlineStr">
        <is>
          <t>Risk-free rate net of the sovereign spread</t>
        </is>
      </c>
      <c r="C36" s="36">
        <f>C34-C35</f>
        <v/>
      </c>
    </row>
    <row r="37">
      <c r="A37" s="6" t="inlineStr">
        <is>
          <t>Beta</t>
        </is>
      </c>
      <c r="C37" s="38">
        <f>Assumptions!$C$33</f>
        <v/>
      </c>
    </row>
    <row r="38">
      <c r="A38" s="6" t="inlineStr">
        <is>
          <t>Equity risk premium</t>
        </is>
      </c>
      <c r="C38" s="22">
        <f>Assumptions!$C$32</f>
        <v/>
      </c>
    </row>
    <row r="39">
      <c r="A39" s="6" t="inlineStr">
        <is>
          <t>Cost of equity, explicit window</t>
        </is>
      </c>
      <c r="C39" s="36">
        <f>C36+C37*C38</f>
        <v/>
      </c>
    </row>
    <row r="40">
      <c r="A40" s="6" t="inlineStr">
        <is>
          <t>Cost of debt, blended</t>
        </is>
      </c>
      <c r="C40" s="22">
        <f>Assumptions!$C$34</f>
        <v/>
      </c>
    </row>
    <row r="41">
      <c r="A41" s="6" t="inlineStr">
        <is>
          <t>Cost of debt after tax</t>
        </is>
      </c>
      <c r="C41" s="36">
        <f>C40*(1-Assumptions!$C$7)</f>
        <v/>
      </c>
    </row>
    <row r="42">
      <c r="A42" s="6" t="inlineStr">
        <is>
          <t>Market capitalisation (EGP mn)</t>
        </is>
      </c>
      <c r="C42" s="18">
        <f>Assumptions!$C$5*Assumptions!$C$6</f>
        <v/>
      </c>
    </row>
    <row r="43">
      <c r="A43" s="6" t="inlineStr">
        <is>
          <t>Net bank debt (EGP mn)</t>
        </is>
      </c>
      <c r="C43" s="18">
        <f>Assumptions!$C$43</f>
        <v/>
      </c>
    </row>
    <row r="44">
      <c r="A44" s="6" t="inlineStr">
        <is>
          <t>Debt weight (net debt / (net debt + market capitalisation))</t>
        </is>
      </c>
      <c r="C44" s="36">
        <f>C43/(C43+C42)</f>
        <v/>
      </c>
    </row>
    <row r="45">
      <c r="A45" s="6" t="inlineStr">
        <is>
          <t>Equity weight</t>
        </is>
      </c>
      <c r="C45" s="36">
        <f>1-C44</f>
        <v/>
      </c>
    </row>
    <row r="46">
      <c r="A46" s="15" t="inlineStr">
        <is>
          <t>Cost of capital, explicit window</t>
        </is>
      </c>
      <c r="B46" s="15" t="n"/>
      <c r="C46" s="39">
        <f>C45*C39+C44*C41</f>
        <v/>
      </c>
      <c r="D46" s="15" t="n"/>
    </row>
    <row r="47">
      <c r="A47" s="6" t="inlineStr">
        <is>
          <t>Terminal risk-free rate</t>
        </is>
      </c>
      <c r="C47" s="22">
        <f>Assumptions!$C$36</f>
        <v/>
      </c>
    </row>
    <row r="48">
      <c r="A48" s="6" t="inlineStr">
        <is>
          <t>Terminal equity risk premium</t>
        </is>
      </c>
      <c r="C48" s="22">
        <f>Assumptions!$C$37</f>
        <v/>
      </c>
    </row>
    <row r="49">
      <c r="A49" s="6" t="inlineStr">
        <is>
          <t>Terminal cost of equity</t>
        </is>
      </c>
      <c r="C49" s="36">
        <f>C47+C37*C48</f>
        <v/>
      </c>
    </row>
    <row r="50">
      <c r="A50" s="6" t="inlineStr">
        <is>
          <t>Terminal cost of debt</t>
        </is>
      </c>
      <c r="C50" s="22">
        <f>Assumptions!$C$38</f>
        <v/>
      </c>
    </row>
    <row r="51">
      <c r="A51" s="6" t="inlineStr">
        <is>
          <t>Terminal cost of debt after tax</t>
        </is>
      </c>
      <c r="C51" s="36">
        <f>C50*(1-Assumptions!$C$7)</f>
        <v/>
      </c>
    </row>
    <row r="52">
      <c r="A52" s="6" t="inlineStr">
        <is>
          <t>Terminal debt weight</t>
        </is>
      </c>
      <c r="C52" s="22">
        <f>Assumptions!$C$39</f>
        <v/>
      </c>
    </row>
    <row r="53">
      <c r="A53" s="15" t="inlineStr">
        <is>
          <t>Terminal cost of capital</t>
        </is>
      </c>
      <c r="B53" s="15" t="n"/>
      <c r="C53" s="39">
        <f>(1-C52)*C49+C52*C51</f>
        <v/>
      </c>
      <c r="D53" s="15"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2">
        <f>Assumptions!$B$35</f>
        <v/>
      </c>
      <c r="C56" s="22">
        <f>Assumptions!$C$35</f>
        <v/>
      </c>
      <c r="D56" s="22">
        <f>Assumptions!$D$35</f>
        <v/>
      </c>
      <c r="E56" s="22">
        <f>Assumptions!$E$35</f>
        <v/>
      </c>
      <c r="F56" s="22">
        <f>Assumptions!$F$35</f>
        <v/>
      </c>
    </row>
    <row r="57">
      <c r="A57" s="6" t="inlineStr">
        <is>
          <t>Glide fraction — cumulative progress of the easing</t>
        </is>
      </c>
      <c r="B57" s="36">
        <f>($B$56-B56)/($B$56-$F$56)</f>
        <v/>
      </c>
      <c r="C57" s="36">
        <f>($B$56-C56)/($B$56-$F$56)</f>
        <v/>
      </c>
      <c r="D57" s="36">
        <f>($B$56-D56)/($B$56-$F$56)</f>
        <v/>
      </c>
      <c r="E57" s="36">
        <f>($B$56-E56)/($B$56-$F$56)</f>
        <v/>
      </c>
      <c r="F57" s="36">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20" t="inlineStr">
        <is>
          <t>THE ANCHOR ROLL — one date, one price of time</t>
        </is>
      </c>
    </row>
    <row r="61">
      <c r="A61" s="6" t="inlineStr">
        <is>
          <t>Anchor accretion factor — (1 + cost of equity)^(days to anchor / 365)</t>
        </is>
      </c>
      <c r="C61" s="37">
        <f>(1+C39)^(Assumptions!$C$53/365)</f>
        <v/>
      </c>
    </row>
    <row r="62">
      <c r="A62" s="15" t="inlineStr">
        <is>
          <t>Fair value per share at the 5-Aug-2026 anchor (EGP)</t>
        </is>
      </c>
      <c r="B62" s="15" t="n"/>
      <c r="C62" s="31">
        <f>C31*C61-Assumptions!$C$49</f>
        <v/>
      </c>
      <c r="D62" s="15"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5" t="inlineStr">
        <is>
          <t>Revenue</t>
        </is>
      </c>
      <c r="B5" s="30" t="n">
        <v>152186.247545</v>
      </c>
      <c r="C5" s="30" t="n">
        <v>231981.835577</v>
      </c>
      <c r="D5" s="30" t="n">
        <v>281049.081719</v>
      </c>
      <c r="E5" s="30">
        <f>DCF!B5</f>
        <v/>
      </c>
      <c r="F5" s="30">
        <f>DCF!C5</f>
        <v/>
      </c>
      <c r="G5" s="30">
        <f>DCF!D5</f>
        <v/>
      </c>
      <c r="H5" s="30">
        <f>DCF!E5</f>
        <v/>
      </c>
      <c r="I5" s="30">
        <f>DCF!F5</f>
        <v/>
      </c>
    </row>
    <row r="6">
      <c r="A6" s="6" t="inlineStr">
        <is>
          <t>Gross profit</t>
        </is>
      </c>
      <c r="B6" s="23" t="n">
        <v>29077.288803</v>
      </c>
      <c r="C6" s="23" t="n">
        <v>43898.520903</v>
      </c>
      <c r="D6" s="23" t="n">
        <v>40762.108187</v>
      </c>
      <c r="E6" s="18">
        <f>Segments!B14</f>
        <v/>
      </c>
      <c r="F6" s="18">
        <f>Segments!C14</f>
        <v/>
      </c>
      <c r="G6" s="18">
        <f>Segments!D14</f>
        <v/>
      </c>
      <c r="H6" s="18">
        <f>Segments!E14</f>
        <v/>
      </c>
      <c r="I6" s="18">
        <f>Segments!F14</f>
        <v/>
      </c>
    </row>
    <row r="7">
      <c r="A7" s="15" t="inlineStr">
        <is>
          <t>EBITDA</t>
        </is>
      </c>
      <c r="B7" s="30" t="n">
        <v>20035.105205</v>
      </c>
      <c r="C7" s="30" t="n">
        <v>31601.46495</v>
      </c>
      <c r="D7" s="30" t="n">
        <v>28363.203246</v>
      </c>
      <c r="E7" s="30">
        <f>DCF!B6</f>
        <v/>
      </c>
      <c r="F7" s="30">
        <f>DCF!C6</f>
        <v/>
      </c>
      <c r="G7" s="30">
        <f>DCF!D6</f>
        <v/>
      </c>
      <c r="H7" s="30">
        <f>DCF!E6</f>
        <v/>
      </c>
      <c r="I7" s="30">
        <f>DCF!F6</f>
        <v/>
      </c>
    </row>
    <row r="8">
      <c r="A8" s="6" t="inlineStr">
        <is>
          <t>EBITDA margin</t>
        </is>
      </c>
      <c r="B8" s="11">
        <f>B7/B5</f>
        <v/>
      </c>
      <c r="C8" s="11">
        <f>C7/C5</f>
        <v/>
      </c>
      <c r="D8" s="11">
        <f>D7/D5</f>
        <v/>
      </c>
      <c r="E8" s="11">
        <f>E7/E5</f>
        <v/>
      </c>
      <c r="F8" s="11">
        <f>F7/F5</f>
        <v/>
      </c>
      <c r="G8" s="11">
        <f>G7/G5</f>
        <v/>
      </c>
      <c r="H8" s="11">
        <f>H7/H5</f>
        <v/>
      </c>
      <c r="I8" s="11">
        <f>I7/I5</f>
        <v/>
      </c>
    </row>
    <row r="9">
      <c r="A9" s="6" t="inlineStr">
        <is>
          <t>Depreciation and amortisation</t>
        </is>
      </c>
      <c r="B9" s="23" t="n">
        <v>-2295.986956</v>
      </c>
      <c r="C9" s="23" t="n">
        <v>-2259.745806</v>
      </c>
      <c r="D9" s="23" t="n">
        <v>-3008.977627</v>
      </c>
      <c r="E9" s="18">
        <f>DCF!B8</f>
        <v/>
      </c>
      <c r="F9" s="18">
        <f>DCF!C8</f>
        <v/>
      </c>
      <c r="G9" s="18">
        <f>DCF!D8</f>
        <v/>
      </c>
      <c r="H9" s="18">
        <f>DCF!E8</f>
        <v/>
      </c>
      <c r="I9" s="18">
        <f>DCF!F8</f>
        <v/>
      </c>
    </row>
    <row r="10">
      <c r="A10" s="15" t="inlineStr">
        <is>
          <t>EBIT</t>
        </is>
      </c>
      <c r="B10" s="30">
        <f>B7+B9</f>
        <v/>
      </c>
      <c r="C10" s="30">
        <f>C7+C9</f>
        <v/>
      </c>
      <c r="D10" s="30">
        <f>D7+D9</f>
        <v/>
      </c>
      <c r="E10" s="30">
        <f>E7+E9</f>
        <v/>
      </c>
      <c r="F10" s="30">
        <f>F7+F9</f>
        <v/>
      </c>
      <c r="G10" s="30">
        <f>G7+G9</f>
        <v/>
      </c>
      <c r="H10" s="30">
        <f>H7+H9</f>
        <v/>
      </c>
      <c r="I10" s="30">
        <f>I7+I9</f>
        <v/>
      </c>
    </row>
    <row r="11">
      <c r="A11" s="6" t="inlineStr">
        <is>
          <t>Net finance costs</t>
        </is>
      </c>
      <c r="B11" s="23" t="n">
        <v>-2124.362277</v>
      </c>
      <c r="C11" s="23" t="n">
        <v>-3515.365946</v>
      </c>
      <c r="D11" s="23" t="n">
        <v>-2145.438755</v>
      </c>
      <c r="E11" s="29">
        <f>-(Assumptions!$B$35*'Balance Sheet'!$D$11-Assumptions!$C$52*MAX('Balance Sheet'!$D$11-'Balance Sheet'!D17,0))</f>
        <v/>
      </c>
      <c r="F11" s="29">
        <f>-(Assumptions!$C$35*'Balance Sheet'!$D$11-Assumptions!$C$52*MAX('Balance Sheet'!$D$11-'Balance Sheet'!E17,0))</f>
        <v/>
      </c>
      <c r="G11" s="29">
        <f>-(Assumptions!$D$35*'Balance Sheet'!$D$11-Assumptions!$C$52*MAX('Balance Sheet'!$D$11-'Balance Sheet'!F17,0))</f>
        <v/>
      </c>
      <c r="H11" s="29">
        <f>-(Assumptions!$E$35*'Balance Sheet'!$D$11-Assumptions!$C$52*MAX('Balance Sheet'!$D$11-'Balance Sheet'!G17,0))</f>
        <v/>
      </c>
      <c r="I11" s="29">
        <f>-(Assumptions!$F$35*'Balance Sheet'!$D$11-Assumptions!$C$52*MAX('Balance Sheet'!$D$11-'Balance Sheet'!H17,0))</f>
        <v/>
      </c>
    </row>
    <row r="12">
      <c r="A12" s="6" t="inlineStr">
        <is>
          <t>Share of equity-accounted investees</t>
        </is>
      </c>
      <c r="B12" s="23" t="n">
        <v>603.624972</v>
      </c>
      <c r="C12" s="23" t="n">
        <v>1132.366257</v>
      </c>
      <c r="D12" s="23" t="n">
        <v>1568.902975</v>
      </c>
      <c r="E12" s="29">
        <f>D12*(1+Assumptions!$C$51)</f>
        <v/>
      </c>
      <c r="F12" s="29">
        <f>E12*(1+Assumptions!$C$51)</f>
        <v/>
      </c>
      <c r="G12" s="29">
        <f>F12*(1+Assumptions!$C$51)</f>
        <v/>
      </c>
      <c r="H12" s="29">
        <f>G12*(1+Assumptions!$C$51)</f>
        <v/>
      </c>
      <c r="I12" s="29">
        <f>H12*(1+Assumptions!$C$51)</f>
        <v/>
      </c>
    </row>
    <row r="13">
      <c r="A13" s="6" t="inlineStr">
        <is>
          <t>Profit before tax</t>
        </is>
      </c>
      <c r="B13" s="29">
        <f>B10+B11+B12</f>
        <v/>
      </c>
      <c r="C13" s="29">
        <f>C10+C11+C12</f>
        <v/>
      </c>
      <c r="D13" s="29">
        <f>D10+D11+D12</f>
        <v/>
      </c>
      <c r="E13" s="29">
        <f>E10+E11+E12</f>
        <v/>
      </c>
      <c r="F13" s="29">
        <f>F10+F11+F12</f>
        <v/>
      </c>
      <c r="G13" s="29">
        <f>G10+G11+G12</f>
        <v/>
      </c>
      <c r="H13" s="29">
        <f>H10+H11+H12</f>
        <v/>
      </c>
      <c r="I13" s="29">
        <f>I10+I11+I12</f>
        <v/>
      </c>
    </row>
    <row r="14">
      <c r="A14" s="6" t="inlineStr">
        <is>
          <t>Income tax</t>
        </is>
      </c>
      <c r="B14" s="23" t="n">
        <v>-5080.406688</v>
      </c>
      <c r="C14" s="23" t="n">
        <v>-8121.510082</v>
      </c>
      <c r="D14" s="23" t="n">
        <v>-5591.139782</v>
      </c>
      <c r="E14" s="29">
        <f>-E13*Assumptions!$C$7</f>
        <v/>
      </c>
      <c r="F14" s="29">
        <f>-F13*Assumptions!$C$7</f>
        <v/>
      </c>
      <c r="G14" s="29">
        <f>-G13*Assumptions!$C$7</f>
        <v/>
      </c>
      <c r="H14" s="29">
        <f>-H13*Assumptions!$C$7</f>
        <v/>
      </c>
      <c r="I14" s="29">
        <f>-I13*Assumptions!$C$7</f>
        <v/>
      </c>
    </row>
    <row r="15">
      <c r="A15" s="6" t="inlineStr">
        <is>
          <t>Profit for the year</t>
        </is>
      </c>
      <c r="B15" s="23" t="n">
        <v>11137.974256</v>
      </c>
      <c r="C15" s="23" t="n">
        <v>18837.209373</v>
      </c>
      <c r="D15" s="23" t="n">
        <v>19186.550057</v>
      </c>
      <c r="E15" s="29">
        <f>E13+E14</f>
        <v/>
      </c>
      <c r="F15" s="29">
        <f>F13+F14</f>
        <v/>
      </c>
      <c r="G15" s="29">
        <f>G13+G14</f>
        <v/>
      </c>
      <c r="H15" s="29">
        <f>H13+H14</f>
        <v/>
      </c>
      <c r="I15" s="29">
        <f>I13+I14</f>
        <v/>
      </c>
    </row>
    <row r="16">
      <c r="A16" s="6" t="inlineStr">
        <is>
          <t>Non-controlling interests</t>
        </is>
      </c>
      <c r="B16" s="23" t="n">
        <v>-1022.272478999999</v>
      </c>
      <c r="C16" s="23" t="n">
        <v>-1375.850659</v>
      </c>
      <c r="D16" s="23" t="n">
        <v>-1856.305067000001</v>
      </c>
      <c r="E16" s="29">
        <f>-E15*'SOTP Bridge'!$C$15</f>
        <v/>
      </c>
      <c r="F16" s="29">
        <f>-F15*'SOTP Bridge'!$C$15</f>
        <v/>
      </c>
      <c r="G16" s="29">
        <f>-G15*'SOTP Bridge'!$C$15</f>
        <v/>
      </c>
      <c r="H16" s="29">
        <f>-H15*'SOTP Bridge'!$C$15</f>
        <v/>
      </c>
      <c r="I16" s="29">
        <f>-I15*'SOTP Bridge'!$C$15</f>
        <v/>
      </c>
    </row>
    <row r="17">
      <c r="A17" s="15" t="inlineStr">
        <is>
          <t>Profit attributable to shareholders</t>
        </is>
      </c>
      <c r="B17" s="30" t="n">
        <v>10115.701777</v>
      </c>
      <c r="C17" s="30" t="n">
        <v>17461.358714</v>
      </c>
      <c r="D17" s="30" t="n">
        <v>17330.24499</v>
      </c>
      <c r="E17" s="30">
        <f>E15+E16</f>
        <v/>
      </c>
      <c r="F17" s="30">
        <f>F15+F16</f>
        <v/>
      </c>
      <c r="G17" s="30">
        <f>G15+G16</f>
        <v/>
      </c>
      <c r="H17" s="30">
        <f>H15+H16</f>
        <v/>
      </c>
      <c r="I17" s="30">
        <f>I15+I16</f>
        <v/>
      </c>
    </row>
    <row r="18">
      <c r="A18" s="6" t="inlineStr">
        <is>
          <t>Earnings per share (EGP)</t>
        </is>
      </c>
      <c r="B18" s="10">
        <f>B17/Assumptions!$C$6</f>
        <v/>
      </c>
      <c r="C18" s="10">
        <f>C17/Assumptions!$C$6</f>
        <v/>
      </c>
      <c r="D18" s="10">
        <f>D17/Assumptions!$C$6</f>
        <v/>
      </c>
      <c r="E18" s="10">
        <f>E17/Assumptions!$C$6</f>
        <v/>
      </c>
      <c r="F18" s="10">
        <f>F17/Assumptions!$C$6</f>
        <v/>
      </c>
      <c r="G18" s="10">
        <f>G17/Assumptions!$C$6</f>
        <v/>
      </c>
      <c r="H18" s="10">
        <f>H17/Assumptions!$C$6</f>
        <v/>
      </c>
      <c r="I18" s="10">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3" t="n">
        <v>18009.166367</v>
      </c>
      <c r="C5" s="23" t="n">
        <v>27543.762675</v>
      </c>
      <c r="D5" s="23" t="n">
        <v>35961.076614</v>
      </c>
      <c r="E5" s="29">
        <f>D5-DCF!B12+DCF!B8</f>
        <v/>
      </c>
      <c r="F5" s="29">
        <f>E5-DCF!C12+DCF!C8</f>
        <v/>
      </c>
      <c r="G5" s="29">
        <f>F5-DCF!D12+DCF!D8</f>
        <v/>
      </c>
      <c r="H5" s="29">
        <f>G5-DCF!E12+DCF!E8</f>
        <v/>
      </c>
      <c r="I5" s="29">
        <f>H5-DCF!F12+DCF!F8</f>
        <v/>
      </c>
    </row>
    <row r="6">
      <c r="A6" s="6" t="inlineStr">
        <is>
          <t>Inventories</t>
        </is>
      </c>
      <c r="B6" s="23" t="n">
        <v>30881.822082</v>
      </c>
      <c r="C6" s="23" t="n">
        <v>56795.884068</v>
      </c>
      <c r="D6" s="23" t="n">
        <v>59860.04457</v>
      </c>
    </row>
    <row r="7">
      <c r="A7" s="6" t="inlineStr">
        <is>
          <t>Contract assets</t>
        </is>
      </c>
      <c r="B7" s="23" t="n">
        <v>16179.633722</v>
      </c>
      <c r="C7" s="23" t="n">
        <v>18051.96657</v>
      </c>
      <c r="D7" s="23" t="n">
        <v>29894.579591</v>
      </c>
    </row>
    <row r="8">
      <c r="A8" s="6" t="inlineStr">
        <is>
          <t>Trade and other receivables</t>
        </is>
      </c>
      <c r="B8" s="23" t="n">
        <v>46591.885092</v>
      </c>
      <c r="C8" s="23" t="n">
        <v>86736.309423</v>
      </c>
      <c r="D8" s="23" t="n">
        <v>116259.797169</v>
      </c>
    </row>
    <row r="9">
      <c r="A9" s="6" t="inlineStr">
        <is>
          <t>Cash and cash equivalents</t>
        </is>
      </c>
      <c r="B9" s="23" t="n">
        <v>25552.0448</v>
      </c>
      <c r="C9" s="23" t="n">
        <v>38180.002322</v>
      </c>
      <c r="D9" s="29">
        <f>D11-D17</f>
        <v/>
      </c>
    </row>
    <row r="10">
      <c r="A10" s="15" t="inlineStr">
        <is>
          <t>Total assets</t>
        </is>
      </c>
      <c r="B10" s="30" t="n">
        <v>151448.654828</v>
      </c>
      <c r="C10" s="30" t="n">
        <v>249527.138687</v>
      </c>
      <c r="D10" s="30" t="n">
        <v>311099.090775</v>
      </c>
      <c r="E10" s="15" t="n"/>
      <c r="F10" s="15" t="n"/>
      <c r="G10" s="15" t="n"/>
      <c r="H10" s="15" t="n"/>
      <c r="I10" s="15" t="n"/>
    </row>
    <row r="11">
      <c r="A11" s="6" t="inlineStr">
        <is>
          <t>Loans and borrowings</t>
        </is>
      </c>
      <c r="B11" s="23" t="n">
        <v>41766.492071</v>
      </c>
      <c r="C11" s="23" t="n">
        <v>59082.941807</v>
      </c>
      <c r="D11" s="23" t="n">
        <v>62509.211797</v>
      </c>
    </row>
    <row r="12">
      <c r="A12" s="6" t="inlineStr">
        <is>
          <t>Trade and other payables</t>
        </is>
      </c>
      <c r="B12" s="23" t="n">
        <v>31938.12206</v>
      </c>
      <c r="C12" s="23" t="n">
        <v>54808.185042</v>
      </c>
      <c r="D12" s="23" t="n">
        <v>68895.662044</v>
      </c>
    </row>
    <row r="13">
      <c r="A13" s="6" t="inlineStr">
        <is>
          <t>Contract liabilities</t>
        </is>
      </c>
      <c r="B13" s="23" t="n">
        <v>25060.328092</v>
      </c>
      <c r="C13" s="23" t="n">
        <v>53281.056753</v>
      </c>
      <c r="D13" s="23" t="n">
        <v>81266.224686</v>
      </c>
    </row>
    <row r="14">
      <c r="A14" s="15" t="inlineStr">
        <is>
          <t>Equity attributable to shareholders</t>
        </is>
      </c>
      <c r="B14" s="30" t="n">
        <v>35724.466132</v>
      </c>
      <c r="C14" s="30" t="n">
        <v>55274.913356</v>
      </c>
      <c r="D14" s="30" t="n">
        <v>66870.86655000001</v>
      </c>
      <c r="E14" s="30">
        <f>D14+'Income Statement'!E17*(1-Assumptions!$C$50)</f>
        <v/>
      </c>
      <c r="F14" s="30">
        <f>E14+'Income Statement'!F17*(1-Assumptions!$C$50)</f>
        <v/>
      </c>
      <c r="G14" s="30">
        <f>F14+'Income Statement'!G17*(1-Assumptions!$C$50)</f>
        <v/>
      </c>
      <c r="H14" s="30">
        <f>G14+'Income Statement'!H17*(1-Assumptions!$C$50)</f>
        <v/>
      </c>
      <c r="I14" s="30">
        <f>H14+'Income Statement'!I17*(1-Assumptions!$C$50)</f>
        <v/>
      </c>
    </row>
    <row r="15">
      <c r="A15" s="6" t="inlineStr">
        <is>
          <t>Non-controlling interests</t>
        </is>
      </c>
      <c r="B15" s="23" t="n">
        <v>2384.013396</v>
      </c>
      <c r="C15" s="23" t="n">
        <v>4251.7719</v>
      </c>
      <c r="D15" s="23" t="n">
        <v>5118.978381</v>
      </c>
    </row>
    <row r="16">
      <c r="A16" s="6" t="inlineStr">
        <is>
          <t>Net working capital</t>
        </is>
      </c>
      <c r="B16" s="23" t="n">
        <v>36654.89074399999</v>
      </c>
      <c r="C16" s="23" t="n">
        <v>53494.91826600001</v>
      </c>
      <c r="D16" s="23" t="n">
        <v>55852.53459999998</v>
      </c>
      <c r="E16" s="29">
        <f>'Income Statement'!E5*Assumptions!$C$25</f>
        <v/>
      </c>
      <c r="F16" s="29">
        <f>'Income Statement'!F5*Assumptions!$C$25</f>
        <v/>
      </c>
      <c r="G16" s="29">
        <f>'Income Statement'!G5*Assumptions!$C$25</f>
        <v/>
      </c>
      <c r="H16" s="29">
        <f>'Income Statement'!H5*Assumptions!$C$25</f>
        <v/>
      </c>
      <c r="I16" s="29">
        <f>'Income Statement'!I5*Assumptions!$C$25</f>
        <v/>
      </c>
    </row>
    <row r="17">
      <c r="A17" s="15" t="inlineStr">
        <is>
          <t>Net bank debt</t>
        </is>
      </c>
      <c r="B17" s="30" t="n">
        <v>16214.447271</v>
      </c>
      <c r="C17" s="30" t="n">
        <v>20902.939485</v>
      </c>
      <c r="D17" s="30">
        <f>Assumptions!$C$43</f>
        <v/>
      </c>
      <c r="E17" s="30">
        <f>D17-DCF!B14-'Income Statement'!E11*(1-Assumptions!$C$7)+Assumptions!$C$50*'Income Statement'!E17</f>
        <v/>
      </c>
      <c r="F17" s="30">
        <f>E17-DCF!C14-'Income Statement'!F11*(1-Assumptions!$C$7)+Assumptions!$C$50*'Income Statement'!F17</f>
        <v/>
      </c>
      <c r="G17" s="30">
        <f>F17-DCF!D14-'Income Statement'!G11*(1-Assumptions!$C$7)+Assumptions!$C$50*'Income Statement'!G17</f>
        <v/>
      </c>
      <c r="H17" s="30">
        <f>G17-DCF!E14-'Income Statement'!H11*(1-Assumptions!$C$7)+Assumptions!$C$50*'Income Statement'!H17</f>
        <v/>
      </c>
      <c r="I17" s="30">
        <f>H17-DCF!F14-'Income Statement'!I11*(1-Assumptions!$C$7)+Assumptions!$C$50*'Income Statement'!I17</f>
        <v/>
      </c>
    </row>
    <row r="18">
      <c r="A18" s="6" t="inlineStr">
        <is>
          <t>Net debt / EBITDA</t>
        </is>
      </c>
      <c r="B18" s="35">
        <f>B17/'Income Statement'!B7</f>
        <v/>
      </c>
      <c r="C18" s="35">
        <f>C17/'Income Statement'!C7</f>
        <v/>
      </c>
      <c r="D18" s="35">
        <f>D17/'Income Statement'!D7</f>
        <v/>
      </c>
      <c r="E18" s="35">
        <f>E17/'Income Statement'!E7</f>
        <v/>
      </c>
      <c r="F18" s="35">
        <f>F17/'Income Statement'!F7</f>
        <v/>
      </c>
      <c r="G18" s="35">
        <f>G17/'Income Statement'!G7</f>
        <v/>
      </c>
      <c r="H18" s="35">
        <f>H17/'Income Statement'!H7</f>
        <v/>
      </c>
      <c r="I18" s="35">
        <f>I17/'Income Statement'!I7</f>
        <v/>
      </c>
    </row>
    <row r="19">
      <c r="A19" s="6" t="inlineStr">
        <is>
          <t>Residual: other liabilities, provisions and deferred tax not shown separately (total assets less the lines above)</t>
        </is>
      </c>
      <c r="B19" s="29">
        <f>B10-(B11+B12+B13+B14+B15)</f>
        <v/>
      </c>
      <c r="C19" s="29">
        <f>C10-(C11+C12+C13+C14+C15)</f>
        <v/>
      </c>
      <c r="D19" s="29">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8">
        <f>'Income Statement'!C7</f>
        <v/>
      </c>
      <c r="C5" s="18">
        <f>'Income Statement'!D7</f>
        <v/>
      </c>
      <c r="D5" s="18">
        <f>'Income Statement'!E7</f>
        <v/>
      </c>
      <c r="E5" s="18">
        <f>'Income Statement'!F7</f>
        <v/>
      </c>
      <c r="F5" s="18">
        <f>'Income Statement'!G7</f>
        <v/>
      </c>
      <c r="G5" s="18">
        <f>'Income Statement'!H7</f>
        <v/>
      </c>
      <c r="H5" s="18">
        <f>'Income Statement'!I7</f>
        <v/>
      </c>
    </row>
    <row r="6">
      <c r="A6" s="6" t="inlineStr">
        <is>
          <t>Interest paid</t>
        </is>
      </c>
      <c r="B6" s="29" t="inlineStr">
        <is>
          <t>-</t>
        </is>
      </c>
      <c r="C6" s="23" t="n">
        <v>-5740.31242</v>
      </c>
    </row>
    <row r="7">
      <c r="A7" s="6" t="inlineStr">
        <is>
          <t>Income tax paid</t>
        </is>
      </c>
      <c r="B7" s="29" t="inlineStr">
        <is>
          <t>-</t>
        </is>
      </c>
      <c r="C7" s="23" t="n">
        <v>-8298.752112</v>
      </c>
    </row>
    <row r="8">
      <c r="A8" s="6" t="inlineStr">
        <is>
          <t>Operating cash flow after interest and tax</t>
        </is>
      </c>
      <c r="B8" s="29" t="inlineStr">
        <is>
          <t>-</t>
        </is>
      </c>
      <c r="C8" s="23" t="n">
        <v>12765.922545</v>
      </c>
    </row>
    <row r="9">
      <c r="A9" s="6" t="inlineStr">
        <is>
          <t>NOPAT</t>
        </is>
      </c>
      <c r="B9" s="29" t="inlineStr">
        <is>
          <t>-</t>
        </is>
      </c>
      <c r="C9" s="29" t="inlineStr">
        <is>
          <t>-</t>
        </is>
      </c>
      <c r="D9" s="18">
        <f>DCF!B10</f>
        <v/>
      </c>
      <c r="E9" s="18">
        <f>DCF!C10</f>
        <v/>
      </c>
      <c r="F9" s="18">
        <f>DCF!D10</f>
        <v/>
      </c>
      <c r="G9" s="18">
        <f>DCF!E10</f>
        <v/>
      </c>
      <c r="H9" s="18">
        <f>DCF!F10</f>
        <v/>
      </c>
    </row>
    <row r="10">
      <c r="A10" s="6" t="inlineStr">
        <is>
          <t>Add back depreciation and amortisation</t>
        </is>
      </c>
      <c r="B10" s="29" t="inlineStr">
        <is>
          <t>-</t>
        </is>
      </c>
      <c r="C10" s="29" t="inlineStr">
        <is>
          <t>-</t>
        </is>
      </c>
      <c r="D10" s="18">
        <f>DCF!B11</f>
        <v/>
      </c>
      <c r="E10" s="18">
        <f>DCF!C11</f>
        <v/>
      </c>
      <c r="F10" s="18">
        <f>DCF!D11</f>
        <v/>
      </c>
      <c r="G10" s="18">
        <f>DCF!E11</f>
        <v/>
      </c>
      <c r="H10" s="18">
        <f>DCF!F11</f>
        <v/>
      </c>
    </row>
    <row r="11">
      <c r="A11" s="6" t="inlineStr">
        <is>
          <t>Capital expenditure</t>
        </is>
      </c>
      <c r="B11" s="23" t="n">
        <v>-8489.780912</v>
      </c>
      <c r="C11" s="23" t="n">
        <v>-13112.049791</v>
      </c>
      <c r="D11" s="18">
        <f>DCF!B12</f>
        <v/>
      </c>
      <c r="E11" s="18">
        <f>DCF!C12</f>
        <v/>
      </c>
      <c r="F11" s="18">
        <f>DCF!D12</f>
        <v/>
      </c>
      <c r="G11" s="18">
        <f>DCF!E12</f>
        <v/>
      </c>
      <c r="H11" s="18">
        <f>DCF!F12</f>
        <v/>
      </c>
    </row>
    <row r="12">
      <c r="A12" s="6" t="inlineStr">
        <is>
          <t>Change in working capital</t>
        </is>
      </c>
      <c r="B12" s="29" t="inlineStr">
        <is>
          <t>-</t>
        </is>
      </c>
      <c r="C12" s="29">
        <f>-('Balance Sheet'!D16-'Balance Sheet'!C16)</f>
        <v/>
      </c>
      <c r="D12" s="18">
        <f>DCF!B13</f>
        <v/>
      </c>
      <c r="E12" s="18">
        <f>DCF!C13</f>
        <v/>
      </c>
      <c r="F12" s="18">
        <f>DCF!D13</f>
        <v/>
      </c>
      <c r="G12" s="18">
        <f>DCF!E13</f>
        <v/>
      </c>
      <c r="H12" s="18">
        <f>DCF!F13</f>
        <v/>
      </c>
    </row>
    <row r="13">
      <c r="A13" s="15" t="inlineStr">
        <is>
          <t>Free cash flow to the firm</t>
        </is>
      </c>
      <c r="B13" s="30" t="inlineStr">
        <is>
          <t>-</t>
        </is>
      </c>
      <c r="C13" s="30" t="inlineStr">
        <is>
          <t>-</t>
        </is>
      </c>
      <c r="D13" s="30">
        <f>D9+D10+D11+D12</f>
        <v/>
      </c>
      <c r="E13" s="30">
        <f>E9+E10+E11+E12</f>
        <v/>
      </c>
      <c r="F13" s="30">
        <f>F9+F10+F11+F12</f>
        <v/>
      </c>
      <c r="G13" s="30">
        <f>G9+G10+G11+G12</f>
        <v/>
      </c>
      <c r="H13" s="30">
        <f>H9+H10+H11+H12</f>
        <v/>
      </c>
      <c r="I13" s="15" t="n"/>
    </row>
    <row r="15">
      <c r="A15" s="6" t="inlineStr">
        <is>
          <t>Cash conversion — operating cash flow as a share of EBITDA, FY2025</t>
        </is>
      </c>
      <c r="C15" s="11">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1" t="inlineStr">
        <is>
          <t>-</t>
        </is>
      </c>
      <c r="C6" s="11">
        <f>C5/B5-1</f>
        <v/>
      </c>
      <c r="D6" s="11">
        <f>D5/C5-1</f>
        <v/>
      </c>
      <c r="E6" s="11">
        <f>E5/D5-1</f>
        <v/>
      </c>
      <c r="F6" s="11">
        <f>F5/E5-1</f>
        <v/>
      </c>
      <c r="G6" s="11">
        <f>G5/F5-1</f>
        <v/>
      </c>
      <c r="H6" s="11">
        <f>H5/G5-1</f>
        <v/>
      </c>
      <c r="I6" s="11">
        <f>I5/H5-1</f>
        <v/>
      </c>
    </row>
    <row r="7">
      <c r="A7" s="6" t="inlineStr">
        <is>
          <t>EBITDA</t>
        </is>
      </c>
      <c r="B7" s="18">
        <f>'Income Statement'!B7</f>
        <v/>
      </c>
      <c r="C7" s="18">
        <f>'Income Statement'!C7</f>
        <v/>
      </c>
      <c r="D7" s="18">
        <f>'Income Statement'!D7</f>
        <v/>
      </c>
      <c r="E7" s="18">
        <f>'Income Statement'!E7</f>
        <v/>
      </c>
      <c r="F7" s="18">
        <f>'Income Statement'!F7</f>
        <v/>
      </c>
      <c r="G7" s="18">
        <f>'Income Statement'!G7</f>
        <v/>
      </c>
      <c r="H7" s="18">
        <f>'Income Statement'!H7</f>
        <v/>
      </c>
      <c r="I7" s="18">
        <f>'Income Statement'!I7</f>
        <v/>
      </c>
    </row>
    <row r="8">
      <c r="A8" s="6" t="inlineStr">
        <is>
          <t>EBITDA margin</t>
        </is>
      </c>
      <c r="B8" s="11">
        <f>B7/B5</f>
        <v/>
      </c>
      <c r="C8" s="11">
        <f>C7/C5</f>
        <v/>
      </c>
      <c r="D8" s="11">
        <f>D7/D5</f>
        <v/>
      </c>
      <c r="E8" s="11">
        <f>E7/E5</f>
        <v/>
      </c>
      <c r="F8" s="11">
        <f>F7/F5</f>
        <v/>
      </c>
      <c r="G8" s="11">
        <f>G7/G5</f>
        <v/>
      </c>
      <c r="H8" s="11">
        <f>H7/H5</f>
        <v/>
      </c>
      <c r="I8" s="11">
        <f>I7/I5</f>
        <v/>
      </c>
    </row>
    <row r="9">
      <c r="A9" s="6" t="inlineStr">
        <is>
          <t>EBIT</t>
        </is>
      </c>
      <c r="B9" s="18">
        <f>'Income Statement'!B10</f>
        <v/>
      </c>
      <c r="C9" s="18">
        <f>'Income Statement'!C10</f>
        <v/>
      </c>
      <c r="D9" s="18">
        <f>'Income Statement'!D10</f>
        <v/>
      </c>
      <c r="E9" s="18">
        <f>'Income Statement'!E10</f>
        <v/>
      </c>
      <c r="F9" s="18">
        <f>'Income Statement'!F10</f>
        <v/>
      </c>
      <c r="G9" s="18">
        <f>'Income Statement'!G10</f>
        <v/>
      </c>
      <c r="H9" s="18">
        <f>'Income Statement'!H10</f>
        <v/>
      </c>
      <c r="I9" s="18">
        <f>'Income Statement'!I10</f>
        <v/>
      </c>
    </row>
    <row r="10">
      <c r="A10" s="6" t="inlineStr">
        <is>
          <t>Attributable profit</t>
        </is>
      </c>
      <c r="B10" s="18">
        <f>'Income Statement'!B17</f>
        <v/>
      </c>
      <c r="C10" s="18">
        <f>'Income Statement'!C17</f>
        <v/>
      </c>
      <c r="D10" s="18">
        <f>'Income Statement'!D17</f>
        <v/>
      </c>
      <c r="E10" s="18">
        <f>'Income Statement'!E17</f>
        <v/>
      </c>
      <c r="F10" s="18">
        <f>'Income Statement'!F17</f>
        <v/>
      </c>
      <c r="G10" s="18">
        <f>'Income Statement'!G17</f>
        <v/>
      </c>
      <c r="H10" s="18">
        <f>'Income Statement'!H17</f>
        <v/>
      </c>
      <c r="I10" s="18">
        <f>'Income Statement'!I17</f>
        <v/>
      </c>
    </row>
    <row r="11">
      <c r="A11" s="6" t="inlineStr">
        <is>
          <t>Free cash flow to the firm</t>
        </is>
      </c>
      <c r="B11" s="29" t="inlineStr">
        <is>
          <t>-</t>
        </is>
      </c>
      <c r="C11" s="29" t="inlineStr">
        <is>
          <t>-</t>
        </is>
      </c>
      <c r="D11" s="29" t="inlineStr">
        <is>
          <t>-</t>
        </is>
      </c>
      <c r="E11" s="18">
        <f>'Cash Flow'!D13</f>
        <v/>
      </c>
      <c r="F11" s="18">
        <f>'Cash Flow'!E13</f>
        <v/>
      </c>
      <c r="G11" s="18">
        <f>'Cash Flow'!F13</f>
        <v/>
      </c>
      <c r="H11" s="18">
        <f>'Cash Flow'!G13</f>
        <v/>
      </c>
      <c r="I11" s="18">
        <f>'Cash Flow'!H13</f>
        <v/>
      </c>
    </row>
    <row r="12">
      <c r="A12" s="6" t="inlineStr">
        <is>
          <t>Net bank debt</t>
        </is>
      </c>
      <c r="B12" s="18">
        <f>'Balance Sheet'!B17</f>
        <v/>
      </c>
      <c r="C12" s="18">
        <f>'Balance Sheet'!C17</f>
        <v/>
      </c>
      <c r="D12" s="18">
        <f>'Balance Sheet'!D17</f>
        <v/>
      </c>
      <c r="E12" s="18">
        <f>'Balance Sheet'!E17</f>
        <v/>
      </c>
      <c r="F12" s="18">
        <f>'Balance Sheet'!F17</f>
        <v/>
      </c>
      <c r="G12" s="18">
        <f>'Balance Sheet'!G17</f>
        <v/>
      </c>
      <c r="H12" s="18">
        <f>'Balance Sheet'!H17</f>
        <v/>
      </c>
      <c r="I12" s="18">
        <f>'Balance Sheet'!I17</f>
        <v/>
      </c>
    </row>
    <row r="13">
      <c r="A13" s="6" t="inlineStr">
        <is>
          <t>Invested capital</t>
        </is>
      </c>
      <c r="B13" s="29" t="inlineStr">
        <is>
          <t>-</t>
        </is>
      </c>
      <c r="C13" s="29" t="inlineStr">
        <is>
          <t>-</t>
        </is>
      </c>
      <c r="D13" s="18">
        <f>'Balance Sheet'!D16+'Balance Sheet'!D5+Assumptions!$C$45</f>
        <v/>
      </c>
      <c r="E13" s="18">
        <f>'Balance Sheet'!E16+'Balance Sheet'!E5+Assumptions!$C$45</f>
        <v/>
      </c>
      <c r="F13" s="18">
        <f>'Balance Sheet'!F16+'Balance Sheet'!F5+Assumptions!$C$45</f>
        <v/>
      </c>
      <c r="G13" s="18">
        <f>'Balance Sheet'!G16+'Balance Sheet'!G5+Assumptions!$C$45</f>
        <v/>
      </c>
      <c r="H13" s="18">
        <f>'Balance Sheet'!H16+'Balance Sheet'!H5+Assumptions!$C$45</f>
        <v/>
      </c>
      <c r="I13" s="18">
        <f>'Balance Sheet'!I16+'Balance Sheet'!I5+Assumptions!$C$45</f>
        <v/>
      </c>
    </row>
    <row r="14">
      <c r="A14" s="6" t="inlineStr">
        <is>
          <t>Return on invested capital</t>
        </is>
      </c>
      <c r="B14" s="11" t="inlineStr">
        <is>
          <t>-</t>
        </is>
      </c>
      <c r="C14" s="11" t="inlineStr">
        <is>
          <t>-</t>
        </is>
      </c>
      <c r="D14" s="11" t="inlineStr">
        <is>
          <t>-</t>
        </is>
      </c>
      <c r="E14" s="16">
        <f>DCF!B10/E13</f>
        <v/>
      </c>
      <c r="F14" s="16">
        <f>DCF!C10/F13</f>
        <v/>
      </c>
      <c r="G14" s="16">
        <f>DCF!D10/G13</f>
        <v/>
      </c>
      <c r="H14" s="16">
        <f>DCF!E10/H13</f>
        <v/>
      </c>
      <c r="I14" s="16">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9" t="n">
        <v>0.55144</v>
      </c>
    </row>
    <row r="6">
      <c r="A6" s="6" t="inlineStr">
        <is>
          <t>Three months — to 2026-11-05</t>
        </is>
      </c>
      <c r="B6" s="7" t="n">
        <v>78.29508034182929</v>
      </c>
      <c r="C6" s="7" t="n">
        <v>96.93670208976819</v>
      </c>
      <c r="D6" s="7" t="n">
        <v>109.9075824742194</v>
      </c>
      <c r="E6" s="7" t="n">
        <v>124.4581193266816</v>
      </c>
      <c r="F6" s="7" t="n">
        <v>154.1934203763022</v>
      </c>
      <c r="G6" s="9" t="n">
        <v>0.59456</v>
      </c>
    </row>
    <row r="8">
      <c r="A8" s="5" t="inlineStr">
        <is>
          <t>Level event</t>
        </is>
      </c>
      <c r="B8" s="5" t="inlineStr">
        <is>
          <t>One month</t>
        </is>
      </c>
      <c r="C8" s="5" t="inlineStr">
        <is>
          <t>Three months</t>
        </is>
      </c>
    </row>
    <row r="9">
      <c r="A9" s="6" t="inlineStr">
        <is>
          <t>Finishes 10% or more above spot</t>
        </is>
      </c>
      <c r="B9" s="9" t="n">
        <v>0.23044</v>
      </c>
      <c r="C9" s="9" t="n">
        <v>0.3878</v>
      </c>
    </row>
    <row r="10">
      <c r="A10" s="6" t="inlineStr">
        <is>
          <t>Finishes 10% or more below spot</t>
        </is>
      </c>
      <c r="B10" s="9" t="n">
        <v>0.14414</v>
      </c>
      <c r="C10" s="9" t="n">
        <v>0.21232</v>
      </c>
    </row>
    <row r="11">
      <c r="A11" s="6" t="inlineStr">
        <is>
          <t>Touches 10% above spot at any point</t>
        </is>
      </c>
      <c r="B11" s="9" t="n">
        <v>0.36882</v>
      </c>
      <c r="C11" s="9" t="n">
        <v>0.6306</v>
      </c>
    </row>
    <row r="12">
      <c r="A12" s="6" t="inlineStr">
        <is>
          <t>Touches 10% below spot at any point</t>
        </is>
      </c>
      <c r="B12" s="9" t="n">
        <v>0.2549</v>
      </c>
      <c r="C12" s="9" t="n">
        <v>0.446</v>
      </c>
    </row>
    <row r="14">
      <c r="A14" s="5" t="inlineStr">
        <is>
          <t>Engine setting</t>
        </is>
      </c>
      <c r="B14" s="5" t="inlineStr">
        <is>
          <t>Value</t>
        </is>
      </c>
    </row>
    <row r="15">
      <c r="A15" s="6" t="inlineStr">
        <is>
          <t>Simulated paths</t>
        </is>
      </c>
      <c r="C15" s="23" t="n">
        <v>50000</v>
      </c>
    </row>
    <row r="16">
      <c r="A16" s="6" t="inlineStr">
        <is>
          <t>Annualised volatility (3-month anchor)</t>
        </is>
      </c>
      <c r="C16" s="9" t="n">
        <v>0.4838094309558744</v>
      </c>
    </row>
    <row r="17">
      <c r="A17" s="6" t="inlineStr">
        <is>
          <t>Spot price (EGP)</t>
        </is>
      </c>
      <c r="C17" s="8">
        <f>Summary!C14</f>
        <v/>
      </c>
    </row>
    <row r="18">
      <c r="A18" s="6" t="inlineStr">
        <is>
          <t>Anchor date</t>
        </is>
      </c>
      <c r="C18" s="21"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13.9%</t>
        </is>
      </c>
      <c r="B6" s="7" t="n">
        <v>65.329844401984</v>
      </c>
      <c r="C6" s="7" t="n">
        <v>68.35354257523431</v>
      </c>
      <c r="D6" s="7" t="n">
        <v>71.9670712933261</v>
      </c>
      <c r="E6" s="7" t="n">
        <v>76.39345107557055</v>
      </c>
      <c r="F6" s="7" t="n">
        <v>81.98435185876774</v>
      </c>
    </row>
    <row r="7">
      <c r="A7" s="6" t="inlineStr">
        <is>
          <t>14.9%</t>
        </is>
      </c>
      <c r="B7" s="7" t="n">
        <v>58.4402879098668</v>
      </c>
      <c r="C7" s="7" t="n">
        <v>60.6461755538821</v>
      </c>
      <c r="D7" s="7" t="n">
        <v>63.21971152566643</v>
      </c>
      <c r="E7" s="7" t="n">
        <v>66.28434770102153</v>
      </c>
      <c r="F7" s="7" t="n">
        <v>70.02577372147603</v>
      </c>
    </row>
    <row r="8">
      <c r="A8" s="6" t="inlineStr">
        <is>
          <t>15.9%</t>
        </is>
      </c>
      <c r="B8" s="7" t="n">
        <v>52.6302713847032</v>
      </c>
      <c r="C8" s="7" t="n">
        <v>54.24351203947743</v>
      </c>
      <c r="D8" s="7" t="n">
        <v>56.08399377388404</v>
      </c>
      <c r="E8" s="7" t="n">
        <v>58.22034038779206</v>
      </c>
      <c r="F8" s="7" t="n">
        <v>60.75189974055389</v>
      </c>
    </row>
    <row r="9">
      <c r="A9" s="6" t="inlineStr">
        <is>
          <t>16.9%</t>
        </is>
      </c>
      <c r="B9" s="7" t="n">
        <v>47.66687793345727</v>
      </c>
      <c r="C9" s="7" t="n">
        <v>48.84248007666995</v>
      </c>
      <c r="D9" s="7" t="n">
        <v>50.15437928765454</v>
      </c>
      <c r="E9" s="7" t="n">
        <v>51.63997115359249</v>
      </c>
      <c r="F9" s="7" t="n">
        <v>53.35170855849378</v>
      </c>
    </row>
    <row r="10">
      <c r="A10" s="6" t="inlineStr">
        <is>
          <t>17.9%</t>
        </is>
      </c>
      <c r="B10" s="7" t="n">
        <v>43.37959572111903</v>
      </c>
      <c r="C10" s="7" t="n">
        <v>44.22702715685592</v>
      </c>
      <c r="D10" s="7" t="n">
        <v>45.15076181775254</v>
      </c>
      <c r="E10" s="7" t="n">
        <v>46.16998066974453</v>
      </c>
      <c r="F10" s="7" t="n">
        <v>47.31088154269673</v>
      </c>
    </row>
    <row r="12">
      <c r="A12" s="20" t="inlineStr">
        <is>
          <t>Explicit-window cost of capital (columns) x terminal cost of capital (rows)</t>
        </is>
      </c>
    </row>
    <row r="13">
      <c r="A13" s="5" t="inlineStr"/>
      <c r="B13" s="5" t="inlineStr">
        <is>
          <t>23.6%</t>
        </is>
      </c>
      <c r="C13" s="5" t="inlineStr">
        <is>
          <t>25.1%</t>
        </is>
      </c>
      <c r="D13" s="5" t="inlineStr">
        <is>
          <t>26.6%</t>
        </is>
      </c>
      <c r="E13" s="5" t="inlineStr">
        <is>
          <t>28.1%</t>
        </is>
      </c>
      <c r="F13" s="5" t="inlineStr">
        <is>
          <t>29.6%</t>
        </is>
      </c>
    </row>
    <row r="14">
      <c r="A14" s="6" t="inlineStr">
        <is>
          <t>terminal 13.9%</t>
        </is>
      </c>
      <c r="B14" s="7" t="n">
        <v>76.53066395732843</v>
      </c>
      <c r="C14" s="7" t="n">
        <v>74.20763706152702</v>
      </c>
      <c r="D14" s="7" t="n">
        <v>71.9670712933261</v>
      </c>
      <c r="E14" s="7" t="n">
        <v>69.80531513594863</v>
      </c>
      <c r="F14" s="7" t="n">
        <v>67.71891197265076</v>
      </c>
    </row>
    <row r="15">
      <c r="A15" s="6" t="inlineStr">
        <is>
          <t>terminal 14.9%</t>
        </is>
      </c>
      <c r="B15" s="7" t="n">
        <v>67.28261009519261</v>
      </c>
      <c r="C15" s="7" t="n">
        <v>65.21451934442834</v>
      </c>
      <c r="D15" s="7" t="n">
        <v>63.21971152566643</v>
      </c>
      <c r="E15" s="7" t="n">
        <v>61.29494639096928</v>
      </c>
      <c r="F15" s="7" t="n">
        <v>59.4371564326104</v>
      </c>
    </row>
    <row r="16">
      <c r="A16" s="6" t="inlineStr">
        <is>
          <t>terminal 15.9%</t>
        </is>
      </c>
      <c r="B16" s="7" t="n">
        <v>59.73868410008669</v>
      </c>
      <c r="C16" s="7" t="n">
        <v>57.87843695583718</v>
      </c>
      <c r="D16" s="7" t="n">
        <v>56.08399377388404</v>
      </c>
      <c r="E16" s="7" t="n">
        <v>54.35244928326305</v>
      </c>
      <c r="F16" s="7" t="n">
        <v>52.68105291114693</v>
      </c>
    </row>
    <row r="17">
      <c r="A17" s="6" t="inlineStr">
        <is>
          <t>terminal 16.9%</t>
        </is>
      </c>
      <c r="B17" s="7" t="n">
        <v>53.47006721636905</v>
      </c>
      <c r="C17" s="7" t="n">
        <v>51.78242507173835</v>
      </c>
      <c r="D17" s="7" t="n">
        <v>50.15437928765454</v>
      </c>
      <c r="E17" s="7" t="n">
        <v>48.58330249404308</v>
      </c>
      <c r="F17" s="7" t="n">
        <v>47.06670705720629</v>
      </c>
    </row>
    <row r="18">
      <c r="A18" s="6" t="inlineStr">
        <is>
          <t>terminal 17.9%</t>
        </is>
      </c>
      <c r="B18" s="7" t="n">
        <v>48.18057399728519</v>
      </c>
      <c r="C18" s="7" t="n">
        <v>46.63848559892643</v>
      </c>
      <c r="D18" s="7" t="n">
        <v>45.15076181775254</v>
      </c>
      <c r="E18" s="7" t="n">
        <v>43.71500938002328</v>
      </c>
      <c r="F18" s="7" t="n">
        <v>42.32896215043171</v>
      </c>
    </row>
    <row r="20">
      <c r="A20" s="20"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1.01 / 1.15 / 1.30)</t>
        </is>
      </c>
      <c r="B22" s="7" t="n">
        <v>82.1040695099194</v>
      </c>
      <c r="C22" s="7" t="n">
        <v>67.65449935590391</v>
      </c>
      <c r="D22" s="7" t="n">
        <v>56.08399377388404</v>
      </c>
      <c r="E22" s="7" t="n">
        <v>49.74342393917833</v>
      </c>
      <c r="F22" s="7" t="n">
        <v>43.98578978959206</v>
      </c>
      <c r="H22" s="10">
        <f>MAX(B22:F22)-MIN(B22:F22)</f>
        <v/>
      </c>
    </row>
    <row r="23">
      <c r="A23" s="6" t="inlineStr">
        <is>
          <t>Exchange-rate path multiplier  (0.90x / 1.00x / 1.20x / 1.45x / 1.70x)</t>
        </is>
      </c>
      <c r="B23" s="7" t="n">
        <v>52.41845656686412</v>
      </c>
      <c r="C23" s="7" t="n">
        <v>56.08399377388404</v>
      </c>
      <c r="D23" s="7" t="n">
        <v>63.41506818792391</v>
      </c>
      <c r="E23" s="7" t="n">
        <v>72.57891120547374</v>
      </c>
      <c r="F23" s="7" t="n">
        <v>81.74275422302357</v>
      </c>
      <c r="H23" s="10">
        <f>MAX(B23:F23)-MIN(B23:F23)</f>
        <v/>
      </c>
    </row>
    <row r="24">
      <c r="A24" s="6" t="inlineStr">
        <is>
          <t>Segment margins, multiplicative  (0.850x / 0.925x / 1.000x / 1.075x / 1.150x)</t>
        </is>
      </c>
      <c r="B24" s="7" t="n">
        <v>30.09596871603819</v>
      </c>
      <c r="C24" s="7" t="n">
        <v>43.08998124496109</v>
      </c>
      <c r="D24" s="7" t="n">
        <v>56.08399377388404</v>
      </c>
      <c r="E24" s="7" t="n">
        <v>69.078006302807</v>
      </c>
      <c r="F24" s="7" t="n">
        <v>82.07201883172988</v>
      </c>
      <c r="H24" s="10">
        <f>MAX(B24:F24)-MIN(B24:F24)</f>
        <v/>
      </c>
    </row>
    <row r="25">
      <c r="A25" s="6" t="inlineStr">
        <is>
          <t>Copper price multiplier  (0.850x / 0.925x / 1.000x / 1.075x / 1.150x)</t>
        </is>
      </c>
      <c r="B25" s="7" t="n">
        <v>50.58568796335414</v>
      </c>
      <c r="C25" s="7" t="n">
        <v>53.33484086861908</v>
      </c>
      <c r="D25" s="7" t="n">
        <v>56.08399377388404</v>
      </c>
      <c r="E25" s="7" t="n">
        <v>58.83314667914899</v>
      </c>
      <c r="F25" s="7" t="n">
        <v>61.58229958441391</v>
      </c>
      <c r="H25" s="10">
        <f>MAX(B25:F25)-MIN(B25:F25)</f>
        <v/>
      </c>
    </row>
    <row r="26">
      <c r="A26" s="6" t="inlineStr">
        <is>
          <t>Working capital / revenue  (17.0% / 18.5% / 19.9% / 21.5% / 23.0%)</t>
        </is>
      </c>
      <c r="B26" s="7" t="n">
        <v>62.98785448545478</v>
      </c>
      <c r="C26" s="7" t="n">
        <v>59.41689204843545</v>
      </c>
      <c r="D26" s="7" t="n">
        <v>56.08399377388404</v>
      </c>
      <c r="E26" s="7" t="n">
        <v>52.27496717439674</v>
      </c>
      <c r="F26" s="7" t="n">
        <v>48.70400473737737</v>
      </c>
      <c r="H26" s="10">
        <f>MAX(B26:F26)-MIN(B26:F26)</f>
        <v/>
      </c>
    </row>
    <row r="27">
      <c r="A27" s="6" t="inlineStr">
        <is>
          <t>Terminal return on invested capital  (15.0% / 18.0% / 20.4% / 26.0% / 30.0%)</t>
        </is>
      </c>
      <c r="B27" s="7" t="n">
        <v>49.68012825683863</v>
      </c>
      <c r="C27" s="7" t="n">
        <v>53.7154504510227</v>
      </c>
      <c r="D27" s="7" t="n">
        <v>56.08399377388404</v>
      </c>
      <c r="E27" s="7" t="n">
        <v>59.92363844207513</v>
      </c>
      <c r="F27" s="7" t="n">
        <v>61.78609483939085</v>
      </c>
      <c r="H27" s="10">
        <f>MAX(B27:F27)-MIN(B27:F27)</f>
        <v/>
      </c>
    </row>
    <row r="28">
      <c r="A28" s="6" t="inlineStr">
        <is>
          <t>Terminal growth (at base cost of capital)  (3% / 4% / 5% / 6% / 7%)</t>
        </is>
      </c>
      <c r="B28" s="7" t="n">
        <v>52.6302713847032</v>
      </c>
      <c r="C28" s="7" t="n">
        <v>54.24351203947743</v>
      </c>
      <c r="D28" s="7" t="n">
        <v>56.08399377388404</v>
      </c>
      <c r="E28" s="7" t="n">
        <v>58.22034038779206</v>
      </c>
      <c r="F28" s="7" t="n">
        <v>60.75189974055389</v>
      </c>
      <c r="H28" s="10">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0">
        <f>'Income Statement'!B18</f>
        <v/>
      </c>
      <c r="C5" s="10">
        <f>'Income Statement'!C18</f>
        <v/>
      </c>
      <c r="D5" s="10">
        <f>'Income Statement'!D18</f>
        <v/>
      </c>
      <c r="E5" s="10">
        <f>'Income Statement'!E18</f>
        <v/>
      </c>
      <c r="F5" s="10">
        <f>'Income Statement'!F18</f>
        <v/>
      </c>
      <c r="G5" s="10">
        <f>'Income Statement'!G18</f>
        <v/>
      </c>
      <c r="H5" s="10">
        <f>'Income Statement'!H18</f>
        <v/>
      </c>
      <c r="I5" s="10">
        <f>'Income Statement'!I18</f>
        <v/>
      </c>
    </row>
    <row r="6">
      <c r="A6" s="6" t="inlineStr">
        <is>
          <t>Book value per share (EGP)</t>
        </is>
      </c>
      <c r="B6" s="10">
        <f>'Balance Sheet'!B14/Assumptions!$C$6</f>
        <v/>
      </c>
      <c r="C6" s="10">
        <f>'Balance Sheet'!C14/Assumptions!$C$6</f>
        <v/>
      </c>
      <c r="D6" s="10">
        <f>'Balance Sheet'!D14/Assumptions!$C$6</f>
        <v/>
      </c>
      <c r="E6" s="10">
        <f>'Balance Sheet'!E14/Assumptions!$C$6</f>
        <v/>
      </c>
      <c r="F6" s="10">
        <f>'Balance Sheet'!F14/Assumptions!$C$6</f>
        <v/>
      </c>
      <c r="G6" s="10">
        <f>'Balance Sheet'!G14/Assumptions!$C$6</f>
        <v/>
      </c>
      <c r="H6" s="10">
        <f>'Balance Sheet'!H14/Assumptions!$C$6</f>
        <v/>
      </c>
      <c r="I6" s="10">
        <f>'Balance Sheet'!I14/Assumptions!$C$6</f>
        <v/>
      </c>
    </row>
    <row r="7">
      <c r="A7" s="6" t="inlineStr">
        <is>
          <t>Free cash flow per share (EGP)</t>
        </is>
      </c>
      <c r="B7" s="10" t="inlineStr">
        <is>
          <t>-</t>
        </is>
      </c>
      <c r="C7" s="10" t="inlineStr">
        <is>
          <t>-</t>
        </is>
      </c>
      <c r="D7" s="10" t="inlineStr">
        <is>
          <t>-</t>
        </is>
      </c>
      <c r="E7" s="10">
        <f>'Summary Financials'!E11/Assumptions!$C$6</f>
        <v/>
      </c>
      <c r="F7" s="10">
        <f>'Summary Financials'!F11/Assumptions!$C$6</f>
        <v/>
      </c>
      <c r="G7" s="10">
        <f>'Summary Financials'!G11/Assumptions!$C$6</f>
        <v/>
      </c>
      <c r="H7" s="10">
        <f>'Summary Financials'!H11/Assumptions!$C$6</f>
        <v/>
      </c>
      <c r="I7" s="10">
        <f>'Summary Financials'!I11/Assumptions!$C$6</f>
        <v/>
      </c>
    </row>
    <row r="8">
      <c r="A8" s="6" t="inlineStr">
        <is>
          <t>Gross margin</t>
        </is>
      </c>
      <c r="B8" s="11">
        <f>'Income Statement'!B6/'Income Statement'!B5</f>
        <v/>
      </c>
      <c r="C8" s="11">
        <f>'Income Statement'!C6/'Income Statement'!C5</f>
        <v/>
      </c>
      <c r="D8" s="11">
        <f>'Income Statement'!D6/'Income Statement'!D5</f>
        <v/>
      </c>
      <c r="E8" s="11">
        <f>'Income Statement'!E6/'Income Statement'!E5</f>
        <v/>
      </c>
      <c r="F8" s="11">
        <f>'Income Statement'!F6/'Income Statement'!F5</f>
        <v/>
      </c>
      <c r="G8" s="11">
        <f>'Income Statement'!G6/'Income Statement'!G5</f>
        <v/>
      </c>
      <c r="H8" s="11">
        <f>'Income Statement'!H6/'Income Statement'!H5</f>
        <v/>
      </c>
      <c r="I8" s="11">
        <f>'Income Statement'!I6/'Income Statement'!I5</f>
        <v/>
      </c>
    </row>
    <row r="9">
      <c r="A9" s="6" t="inlineStr">
        <is>
          <t>EBITDA margin</t>
        </is>
      </c>
      <c r="B9" s="11">
        <f>'Income Statement'!B8</f>
        <v/>
      </c>
      <c r="C9" s="11">
        <f>'Income Statement'!C8</f>
        <v/>
      </c>
      <c r="D9" s="11">
        <f>'Income Statement'!D8</f>
        <v/>
      </c>
      <c r="E9" s="11">
        <f>'Income Statement'!E8</f>
        <v/>
      </c>
      <c r="F9" s="11">
        <f>'Income Statement'!F8</f>
        <v/>
      </c>
      <c r="G9" s="11">
        <f>'Income Statement'!G8</f>
        <v/>
      </c>
      <c r="H9" s="11">
        <f>'Income Statement'!H8</f>
        <v/>
      </c>
      <c r="I9" s="11">
        <f>'Income Statement'!I8</f>
        <v/>
      </c>
    </row>
    <row r="10">
      <c r="A10" s="6" t="inlineStr">
        <is>
          <t>EBIT margin</t>
        </is>
      </c>
      <c r="B10" s="11">
        <f>'Income Statement'!B10/'Income Statement'!B5</f>
        <v/>
      </c>
      <c r="C10" s="11">
        <f>'Income Statement'!C10/'Income Statement'!C5</f>
        <v/>
      </c>
      <c r="D10" s="11">
        <f>'Income Statement'!D10/'Income Statement'!D5</f>
        <v/>
      </c>
      <c r="E10" s="11">
        <f>'Income Statement'!E10/'Income Statement'!E5</f>
        <v/>
      </c>
      <c r="F10" s="11">
        <f>'Income Statement'!F10/'Income Statement'!F5</f>
        <v/>
      </c>
      <c r="G10" s="11">
        <f>'Income Statement'!G10/'Income Statement'!G5</f>
        <v/>
      </c>
      <c r="H10" s="11">
        <f>'Income Statement'!H10/'Income Statement'!H5</f>
        <v/>
      </c>
      <c r="I10" s="11">
        <f>'Income Statement'!I10/'Income Statement'!I5</f>
        <v/>
      </c>
    </row>
    <row r="11">
      <c r="A11" s="6" t="inlineStr">
        <is>
          <t>Net margin (attributable)</t>
        </is>
      </c>
      <c r="B11" s="11">
        <f>'Income Statement'!B17/'Income Statement'!B5</f>
        <v/>
      </c>
      <c r="C11" s="11">
        <f>'Income Statement'!C17/'Income Statement'!C5</f>
        <v/>
      </c>
      <c r="D11" s="11">
        <f>'Income Statement'!D17/'Income Statement'!D5</f>
        <v/>
      </c>
      <c r="E11" s="11">
        <f>'Income Statement'!E17/'Income Statement'!E5</f>
        <v/>
      </c>
      <c r="F11" s="11">
        <f>'Income Statement'!F17/'Income Statement'!F5</f>
        <v/>
      </c>
      <c r="G11" s="11">
        <f>'Income Statement'!G17/'Income Statement'!G5</f>
        <v/>
      </c>
      <c r="H11" s="11">
        <f>'Income Statement'!H17/'Income Statement'!H5</f>
        <v/>
      </c>
      <c r="I11" s="11">
        <f>'Income Statement'!I17/'Income Statement'!I5</f>
        <v/>
      </c>
    </row>
    <row r="12">
      <c r="A12" s="6" t="inlineStr">
        <is>
          <t>Return on equity</t>
        </is>
      </c>
      <c r="B12" s="11" t="inlineStr">
        <is>
          <t>-</t>
        </is>
      </c>
      <c r="C12" s="11">
        <f>'Income Statement'!C17/(('Balance Sheet'!B14+'Balance Sheet'!C14)/2)</f>
        <v/>
      </c>
      <c r="D12" s="11">
        <f>'Income Statement'!D17/(('Balance Sheet'!C14+'Balance Sheet'!D14)/2)</f>
        <v/>
      </c>
      <c r="E12" s="11">
        <f>'Income Statement'!E17/(('Balance Sheet'!D14+'Balance Sheet'!E14)/2)</f>
        <v/>
      </c>
      <c r="F12" s="11">
        <f>'Income Statement'!F17/(('Balance Sheet'!E14+'Balance Sheet'!F14)/2)</f>
        <v/>
      </c>
      <c r="G12" s="11">
        <f>'Income Statement'!G17/(('Balance Sheet'!F14+'Balance Sheet'!G14)/2)</f>
        <v/>
      </c>
      <c r="H12" s="11">
        <f>'Income Statement'!H17/(('Balance Sheet'!G14+'Balance Sheet'!H14)/2)</f>
        <v/>
      </c>
      <c r="I12" s="11">
        <f>'Income Statement'!I17/(('Balance Sheet'!H14+'Balance Sheet'!I14)/2)</f>
        <v/>
      </c>
    </row>
    <row r="13">
      <c r="A13" s="6" t="inlineStr">
        <is>
          <t>Return on invested capital</t>
        </is>
      </c>
      <c r="B13" s="11" t="inlineStr">
        <is>
          <t>-</t>
        </is>
      </c>
      <c r="C13" s="11" t="inlineStr">
        <is>
          <t>-</t>
        </is>
      </c>
      <c r="D13" s="11" t="inlineStr">
        <is>
          <t>-</t>
        </is>
      </c>
      <c r="E13" s="11">
        <f>'Summary Financials'!E14</f>
        <v/>
      </c>
      <c r="F13" s="11">
        <f>'Summary Financials'!F14</f>
        <v/>
      </c>
      <c r="G13" s="11">
        <f>'Summary Financials'!G14</f>
        <v/>
      </c>
      <c r="H13" s="11">
        <f>'Summary Financials'!H14</f>
        <v/>
      </c>
      <c r="I13" s="11">
        <f>'Summary Financials'!I14</f>
        <v/>
      </c>
    </row>
    <row r="14">
      <c r="A14" s="6" t="inlineStr">
        <is>
          <t>Net debt / EBITDA</t>
        </is>
      </c>
      <c r="B14" s="35">
        <f>'Balance Sheet'!B18</f>
        <v/>
      </c>
      <c r="C14" s="35">
        <f>'Balance Sheet'!C18</f>
        <v/>
      </c>
      <c r="D14" s="35">
        <f>'Balance Sheet'!D18</f>
        <v/>
      </c>
      <c r="E14" s="35">
        <f>'Balance Sheet'!E18</f>
        <v/>
      </c>
      <c r="F14" s="35">
        <f>'Balance Sheet'!F18</f>
        <v/>
      </c>
      <c r="G14" s="35">
        <f>'Balance Sheet'!G18</f>
        <v/>
      </c>
      <c r="H14" s="35">
        <f>'Balance Sheet'!H18</f>
        <v/>
      </c>
      <c r="I14" s="35">
        <f>'Balance Sheet'!I18</f>
        <v/>
      </c>
    </row>
    <row r="15">
      <c r="A15" s="6" t="inlineStr">
        <is>
          <t>Interest cover (EBIT / net interest)</t>
        </is>
      </c>
      <c r="B15" s="35" t="inlineStr">
        <is>
          <t>-</t>
        </is>
      </c>
      <c r="C15" s="35">
        <f>-'Income Statement'!C10/'Income Statement'!C11</f>
        <v/>
      </c>
      <c r="D15" s="35">
        <f>-'Income Statement'!D10/'Income Statement'!D11</f>
        <v/>
      </c>
      <c r="E15" s="35">
        <f>-'Income Statement'!E10/'Income Statement'!E11</f>
        <v/>
      </c>
      <c r="F15" s="35">
        <f>-'Income Statement'!F10/'Income Statement'!F11</f>
        <v/>
      </c>
      <c r="G15" s="35">
        <f>-'Income Statement'!G10/'Income Statement'!G11</f>
        <v/>
      </c>
      <c r="H15" s="35">
        <f>-'Income Statement'!H10/'Income Statement'!H11</f>
        <v/>
      </c>
      <c r="I15" s="35">
        <f>-'Income Statement'!I10/'Income Statement'!I11</f>
        <v/>
      </c>
    </row>
    <row r="16">
      <c r="A16" s="6" t="inlineStr">
        <is>
          <t>Working capital / revenue</t>
        </is>
      </c>
      <c r="B16" s="11">
        <f>'Balance Sheet'!B16/'Income Statement'!B5</f>
        <v/>
      </c>
      <c r="C16" s="11">
        <f>'Balance Sheet'!C16/'Income Statement'!C5</f>
        <v/>
      </c>
      <c r="D16" s="11">
        <f>'Balance Sheet'!D16/'Income Statement'!D5</f>
        <v/>
      </c>
      <c r="E16" s="11">
        <f>'Balance Sheet'!E16/'Income Statement'!E5</f>
        <v/>
      </c>
      <c r="F16" s="11">
        <f>'Balance Sheet'!F16/'Income Statement'!F5</f>
        <v/>
      </c>
      <c r="G16" s="11">
        <f>'Balance Sheet'!G16/'Income Statement'!G5</f>
        <v/>
      </c>
      <c r="H16" s="11">
        <f>'Balance Sheet'!H16/'Income Statement'!H5</f>
        <v/>
      </c>
      <c r="I16" s="11">
        <f>'Balance Sheet'!I16/'Income Statement'!I5</f>
        <v/>
      </c>
    </row>
    <row r="17">
      <c r="A17" s="6" t="inlineStr">
        <is>
          <t>Capital expenditure / revenue</t>
        </is>
      </c>
      <c r="B17" s="11" t="inlineStr">
        <is>
          <t>-</t>
        </is>
      </c>
      <c r="C17" s="11">
        <f>-'Cash Flow'!B11/'Income Statement'!C5</f>
        <v/>
      </c>
      <c r="D17" s="11">
        <f>-'Cash Flow'!C11/'Income Statement'!D5</f>
        <v/>
      </c>
      <c r="E17" s="11">
        <f>-'Cash Flow'!D11/'Income Statement'!E5</f>
        <v/>
      </c>
      <c r="F17" s="11">
        <f>-'Cash Flow'!E11/'Income Statement'!F5</f>
        <v/>
      </c>
      <c r="G17" s="11">
        <f>-'Cash Flow'!F11/'Income Statement'!G5</f>
        <v/>
      </c>
      <c r="H17" s="11">
        <f>-'Cash Flow'!G11/'Income Statement'!H5</f>
        <v/>
      </c>
      <c r="I17" s="11">
        <f>-'Cash Flow'!H11/'Income Statement'!I5</f>
        <v/>
      </c>
    </row>
    <row r="18">
      <c r="A18" s="6" t="inlineStr">
        <is>
          <t>Reinvestment rate</t>
        </is>
      </c>
      <c r="B18" s="9" t="n">
        <v>0.2012516504606288</v>
      </c>
      <c r="C18" s="9" t="n">
        <v>0.3037580263923543</v>
      </c>
      <c r="D18" s="9" t="n">
        <v>0.5146285136141233</v>
      </c>
      <c r="E18" s="11" t="inlineStr">
        <is>
          <t>-</t>
        </is>
      </c>
      <c r="F18" s="11" t="inlineStr">
        <is>
          <t>-</t>
        </is>
      </c>
      <c r="G18" s="11" t="inlineStr">
        <is>
          <t>-</t>
        </is>
      </c>
      <c r="H18" s="11" t="inlineStr">
        <is>
          <t>-</t>
        </is>
      </c>
      <c r="I18" s="11" t="inlineStr">
        <is>
          <t>-</t>
        </is>
      </c>
    </row>
    <row r="19">
      <c r="A19" s="6" t="inlineStr">
        <is>
          <t>Implied growth (return on capital x reinvestment)</t>
        </is>
      </c>
      <c r="B19" s="9" t="n">
        <v>0.04486693009301836</v>
      </c>
      <c r="C19" s="9" t="n">
        <v>0.07551752174309861</v>
      </c>
      <c r="D19" s="9" t="n">
        <v>0.1079821501300804</v>
      </c>
      <c r="E19" s="11" t="inlineStr">
        <is>
          <t>-</t>
        </is>
      </c>
      <c r="F19" s="11" t="inlineStr">
        <is>
          <t>-</t>
        </is>
      </c>
      <c r="G19" s="11" t="inlineStr">
        <is>
          <t>-</t>
        </is>
      </c>
      <c r="H19" s="11" t="inlineStr">
        <is>
          <t>-</t>
        </is>
      </c>
      <c r="I19" s="11" t="inlineStr">
        <is>
          <t>-</t>
        </is>
      </c>
    </row>
    <row r="21">
      <c r="A21" s="4" t="inlineStr">
        <is>
          <t>Terminal growth reconciliation: actual NOPAT compound growth FY2023–FY2025 was 26.9%; the implied growth from stable years only (FY2024 excluded as a debt-funded capacity burst) is 7.6%; the adopted terminal growth is 5.0%, below the blended nominal ceiling of 11.1%.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0" t="inlineStr">
        <is>
          <t>nearest listed regional cable manufacturer</t>
        </is>
      </c>
      <c r="D5" s="40" t="inlineStr">
        <is>
          <t>far smaller, no contracting arm, lighter balance sheet, pegged currency</t>
        </is>
      </c>
    </row>
    <row r="6" ht="30" customHeight="1">
      <c r="A6" s="6" t="inlineStr">
        <is>
          <t>Electro Cable Egypt</t>
        </is>
      </c>
      <c r="B6" s="6" t="inlineStr">
        <is>
          <t>Egypt</t>
        </is>
      </c>
      <c r="C6" s="40" t="inlineStr">
        <is>
          <t>the only other listed Egyptian cable manufacturer</t>
        </is>
      </c>
      <c r="D6" s="40" t="inlineStr">
        <is>
          <t>much smaller, domestic, heavily levered, currently loss-making</t>
        </is>
      </c>
    </row>
    <row r="7" ht="30" customHeight="1">
      <c r="A7" s="6" t="inlineStr">
        <is>
          <t>European cable majors</t>
        </is>
      </c>
      <c r="B7" s="6" t="inlineStr">
        <is>
          <t>Europe</t>
        </is>
      </c>
      <c r="C7" s="40" t="inlineStr">
        <is>
          <t>closest match on business model — cables plus projects</t>
        </is>
      </c>
      <c r="D7" s="40" t="inlineStr">
        <is>
          <t>developed-market cost of capital; no convertibility risk</t>
        </is>
      </c>
    </row>
    <row r="8" ht="30" customHeight="1">
      <c r="A8" s="6" t="inlineStr">
        <is>
          <t>Regional engineering and construction contractors</t>
        </is>
      </c>
      <c r="B8" s="6" t="inlineStr">
        <is>
          <t>Gulf and North Africa</t>
        </is>
      </c>
      <c r="C8" s="40" t="inlineStr">
        <is>
          <t>the right frame for the roughly 32% that is the Constructions and infrastructure segment</t>
        </is>
      </c>
      <c r="D8" s="40" t="inlineStr">
        <is>
          <t>project accounting and backlog quality are not comparable</t>
        </is>
      </c>
    </row>
    <row r="10">
      <c r="A10" s="5" t="inlineStr">
        <is>
          <t>Own multiples</t>
        </is>
      </c>
      <c r="B10" s="5" t="inlineStr">
        <is>
          <t>Value</t>
        </is>
      </c>
    </row>
    <row r="11">
      <c r="A11" s="6" t="inlineStr">
        <is>
          <t>Trailing enterprise value / EBITDA</t>
        </is>
      </c>
      <c r="B11" s="33">
        <f>'Relative &amp; Normalized'!C13</f>
        <v/>
      </c>
    </row>
    <row r="12">
      <c r="A12" s="6" t="inlineStr">
        <is>
          <t>Trailing price / earnings</t>
        </is>
      </c>
      <c r="B12" s="33">
        <f>'Relative &amp; Normalized'!C14</f>
        <v/>
      </c>
    </row>
    <row r="13">
      <c r="A13" s="6" t="inlineStr">
        <is>
          <t>Trailing price / book</t>
        </is>
      </c>
      <c r="B13" s="33">
        <f>'Relative &amp; Normalized'!C15</f>
        <v/>
      </c>
    </row>
    <row r="14">
      <c r="A14" s="6" t="inlineStr">
        <is>
          <t>Justified enterprise value / EBITDA applied</t>
        </is>
      </c>
      <c r="B14" s="33">
        <f>'Relative &amp; Normalized'!C6</f>
        <v/>
      </c>
    </row>
    <row r="15">
      <c r="A15" s="6" t="inlineStr">
        <is>
          <t>Justified price / earnings applied</t>
        </is>
      </c>
      <c r="B15" s="33">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2026-08-07T13:26:10Z</dcterms:created>
  <dcterms:modified xmlns:dcterms="http://purl.org/dc/terms/" xmlns:xsi="http://www.w3.org/2001/XMLSchema-instance" xsi:type="dcterms:W3CDTF">2026-08-07T13:26:10Z</dcterms:modified>
</cp:coreProperties>
</file>