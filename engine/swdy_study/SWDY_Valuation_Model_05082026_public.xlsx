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x"/>
    <numFmt numFmtId="169" formatCode="0.000"/>
    <numFmt numFmtId="170" formatCode="0.0000"/>
  </numFmts>
  <fonts count="11">
    <font>
      <name val="Calibri"/>
      <family val="2"/>
      <color theme="1"/>
      <sz val="11"/>
      <scheme val="minor"/>
    </font>
    <font>
      <b val="1"/>
      <color rgb="00F6F1E6"/>
      <sz val="13"/>
    </font>
    <font>
      <sz val="10"/>
    </font>
    <font>
      <color rgb="006E7B77"/>
      <sz val="9"/>
    </font>
    <font>
      <b val="1"/>
    </font>
    <font>
      <color rgb="00000000"/>
    </font>
    <font>
      <color rgb="00008000"/>
    </font>
    <font>
      <color rgb="000000FF"/>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37">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5" fontId="7" fillId="0" borderId="0" pivotButton="0" quotePrefix="0" xfId="0"/>
    <xf numFmtId="164" fontId="5" fillId="0" borderId="0" pivotButton="0" quotePrefix="0" xfId="0"/>
    <xf numFmtId="165" fontId="5" fillId="0" borderId="0" pivotButton="0" quotePrefix="0" xfId="0"/>
    <xf numFmtId="0" fontId="8" fillId="4" borderId="0" pivotButton="0" quotePrefix="0" xfId="0"/>
    <xf numFmtId="164" fontId="8" fillId="4" borderId="0" pivotButton="0" quotePrefix="0" xfId="0"/>
    <xf numFmtId="165" fontId="8" fillId="4" borderId="0" pivotButton="0" quotePrefix="0" xfId="0"/>
    <xf numFmtId="0" fontId="4" fillId="4" borderId="0" pivotButton="0" quotePrefix="0" xfId="0"/>
    <xf numFmtId="165" fontId="6" fillId="0" borderId="0" pivotButton="0" quotePrefix="0" xfId="0"/>
    <xf numFmtId="164" fontId="9" fillId="4" borderId="0" pivotButton="0" quotePrefix="0" xfId="0"/>
    <xf numFmtId="166" fontId="7" fillId="0" borderId="0" pivotButton="0" quotePrefix="0" xfId="0"/>
    <xf numFmtId="166" fontId="6" fillId="0" borderId="0" pivotButton="0" quotePrefix="0" xfId="0"/>
    <xf numFmtId="164" fontId="10" fillId="4" borderId="0" pivotButton="0" quotePrefix="0" xfId="0"/>
    <xf numFmtId="0" fontId="8" fillId="0" borderId="0" pivotButton="0" quotePrefix="0" xfId="0"/>
    <xf numFmtId="0" fontId="7" fillId="0" borderId="0" pivotButton="0" quotePrefix="0" xfId="0"/>
    <xf numFmtId="164" fontId="7" fillId="0" borderId="0" pivotButton="0" quotePrefix="0" xfId="0"/>
    <xf numFmtId="167" fontId="7" fillId="0" borderId="0" pivotButton="0" quotePrefix="0" xfId="0"/>
    <xf numFmtId="168" fontId="7" fillId="0" borderId="0" pivotButton="0" quotePrefix="0" xfId="0"/>
    <xf numFmtId="169" fontId="7"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70" fontId="7" fillId="0" borderId="0" pivotButton="0" quotePrefix="0" xfId="0"/>
    <xf numFmtId="168" fontId="5" fillId="0" borderId="0" pivotButton="0" quotePrefix="0" xfId="0"/>
    <xf numFmtId="10" fontId="5" fillId="0" borderId="0" pivotButton="0" quotePrefix="0" xfId="0"/>
    <xf numFmtId="170" fontId="5" fillId="0"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41"/>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IMPORTANT, so the workbook is not over-read. The Assumptions sheet is a complete REGISTER of every input</t>
        </is>
      </c>
    </row>
    <row r="9">
      <c r="A9" s="3" t="inlineStr">
        <is>
          <t>and its value, not a live driver: the forecast is computed in the accompanying model and the results are</t>
        </is>
      </c>
    </row>
    <row r="10">
      <c r="A10" s="3" t="inlineStr">
        <is>
          <t>written here, so editing an Assumptions cell will NOT reprice the workbook. Formulas here aggregate,</t>
        </is>
      </c>
    </row>
    <row r="11">
      <c r="A11" s="3" t="inlineStr">
        <is>
          <t>cross-link and derive ratios. Every input is listed so the build can be reproduced independently, and the</t>
        </is>
      </c>
    </row>
    <row r="12">
      <c r="A12" s="3" t="inlineStr">
        <is>
          <t>sensitivity tables show what happens when each driver moves.</t>
        </is>
      </c>
    </row>
    <row r="13">
      <c r="A13" s="3" t="inlineStr"/>
    </row>
    <row r="14">
      <c r="A14" s="3" t="inlineStr">
        <is>
          <t>How revenue is built. Not as one growth rate. Revenue splits into a domestic Egyptian-pound leg and a</t>
        </is>
      </c>
    </row>
    <row r="15">
      <c r="A15" s="3" t="inlineStr">
        <is>
          <t>foreign leg forecast in US dollars and translated at an explicit exchange-rate path, because more than 70%</t>
        </is>
      </c>
    </row>
    <row r="16">
      <c r="A16" s="3" t="inlineStr">
        <is>
          <t>of this company's revenue is earned outside Egypt. Margins come from a segment build; group EBITDA margin</t>
        </is>
      </c>
    </row>
    <row r="17">
      <c r="A17" s="3" t="inlineStr">
        <is>
          <t>is an output of that build, not an input.</t>
        </is>
      </c>
    </row>
    <row r="18">
      <c r="A18" s="3" t="inlineStr"/>
    </row>
    <row r="19">
      <c r="A19" s="3" t="inlineStr">
        <is>
          <t>What it is not. It is not investment advice, a recommendation, or a price target. Values are model outputs</t>
        </is>
      </c>
    </row>
    <row r="20">
      <c r="A20" s="3" t="inlineStr">
        <is>
          <t>shown as ranges.</t>
        </is>
      </c>
    </row>
    <row r="21">
      <c r="A21" s="3" t="inlineStr"/>
    </row>
    <row r="22">
      <c r="A22" s="3" t="inlineStr">
        <is>
          <t>Sourcing note, up front. FY2023 and FY2024 come from the company's audited consolidated statements and</t>
        </is>
      </c>
    </row>
    <row r="23">
      <c r="A23" s="3" t="inlineStr">
        <is>
          <t>earnings releases and are not estimated. For FY2025, revenue, profit after tax, profit after minority</t>
        </is>
      </c>
    </row>
    <row r="24">
      <c r="A24" s="3" t="inlineStr">
        <is>
          <t>interests, total assets and net bank debt are disclosed; the intermediate income-statement lines are</t>
        </is>
      </c>
    </row>
    <row r="25">
      <c r="A25" s="3" t="inlineStr">
        <is>
          <t>derived by closing the profit-and-loss account to the reported profit, and the balance sheet beyond total</t>
        </is>
      </c>
    </row>
    <row r="26">
      <c r="A26" s="3" t="inlineStr">
        <is>
          <t>assets and net debt is triangulated by three methods. Every derived line is annotated where it appears and</t>
        </is>
      </c>
    </row>
    <row r="27">
      <c r="A27" s="3" t="inlineStr">
        <is>
          <t>listed with source and date in the companion bibliography document.</t>
        </is>
      </c>
    </row>
    <row r="28">
      <c r="A28" s="3" t="inlineStr"/>
    </row>
    <row r="29">
      <c r="A29" s="3" t="inlineStr">
        <is>
          <t>Discount convention. Each explicit year is discounted at its own forward cost of capital, gliding</t>
        </is>
      </c>
    </row>
    <row r="30">
      <c r="A30" s="3" t="inlineStr">
        <is>
          <t>26.9% -&gt; 15.1% on the same easing calendar as the interest forecast; the terminal value is</t>
        </is>
      </c>
    </row>
    <row r="31">
      <c r="A31" s="3" t="inlineStr">
        <is>
          <t>capitalised at the terminal rate and discounted at the year-5 cumulative factor. One date, one price of time.</t>
        </is>
      </c>
    </row>
    <row r="32">
      <c r="A32" s="3" t="inlineStr"/>
    </row>
    <row r="33">
      <c r="A33" s="3" t="inlineStr">
        <is>
          <t>The open question. This company earns most of its revenue in hard currency but reports, lists and borrows</t>
        </is>
      </c>
    </row>
    <row r="34">
      <c r="A34" s="3" t="inlineStr">
        <is>
          <t>in Egyptian pounds. The primary model charges the full Egyptian cost of capital. The Fundamental Valuation</t>
        </is>
      </c>
    </row>
    <row r="35">
      <c r="A35" s="3" t="inlineStr">
        <is>
          <t>sheet also shows what the same cash flows are worth if the hard-currency leg is discounted at a</t>
        </is>
      </c>
    </row>
    <row r="36">
      <c r="A36" s="3" t="inlineStr">
        <is>
          <t>hard-currency rate. Both are shown; they are not averaged.</t>
        </is>
      </c>
    </row>
    <row r="37">
      <c r="A37" s="3" t="inlineStr"/>
    </row>
    <row r="38">
      <c r="A38" s="3" t="inlineStr">
        <is>
          <t>Currency. EGP million unless stated. Spot EGP 105.20 (2026-08-05 close). Sheets: READ FIRST · Summary ·</t>
        </is>
      </c>
    </row>
    <row r="39">
      <c r="A39" s="3" t="inlineStr">
        <is>
          <t>Fundamental Valuation · Assumptions · SOTP Bridge · Segments · Relative &amp; Normalized · DCF · Income</t>
        </is>
      </c>
    </row>
    <row r="40">
      <c r="A40" s="3" t="inlineStr">
        <is>
          <t>Statement · Balance Sheet · Cash Flow · Summary Financials · Monte Carlo · Sensitivity · Per-Share &amp;</t>
        </is>
      </c>
    </row>
    <row r="41">
      <c r="A41"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Weight</t>
        </is>
      </c>
      <c r="F4" s="5" t="inlineStr">
        <is>
          <t>Contribution</t>
        </is>
      </c>
      <c r="G4" s="5" t="inlineStr">
        <is>
          <t>vs spot</t>
        </is>
      </c>
    </row>
    <row r="5">
      <c r="A5" s="6" t="inlineStr">
        <is>
          <t>Discounted cash flow (primary)</t>
        </is>
      </c>
      <c r="B5" s="7" t="n">
        <v>35.37439268305282</v>
      </c>
      <c r="C5" s="7" t="n">
        <v>63.09639197519306</v>
      </c>
      <c r="D5" s="7" t="n">
        <v>110.3869768355961</v>
      </c>
      <c r="E5" s="8" t="n">
        <v>0.45</v>
      </c>
      <c r="F5" s="9">
        <f>C5*E5</f>
        <v/>
      </c>
      <c r="G5" s="10">
        <f>C5/$C$14-1</f>
        <v/>
      </c>
    </row>
    <row r="6">
      <c r="A6" s="6" t="inlineStr">
        <is>
          <t>Relative multiples</t>
        </is>
      </c>
      <c r="B6" s="7" t="n">
        <v>61.2294172643708</v>
      </c>
      <c r="C6" s="7" t="n">
        <v>73.38381725729656</v>
      </c>
      <c r="D6" s="7" t="n">
        <v>91.61541724668523</v>
      </c>
      <c r="E6" s="8" t="n">
        <v>0.2</v>
      </c>
      <c r="F6" s="9">
        <f>C6*E6</f>
        <v/>
      </c>
      <c r="G6" s="10">
        <f>C6/$C$14-1</f>
        <v/>
      </c>
    </row>
    <row r="7">
      <c r="A7" s="6" t="inlineStr">
        <is>
          <t>Normalised earnings power</t>
        </is>
      </c>
      <c r="B7" s="7" t="n">
        <v>94.15599509791565</v>
      </c>
      <c r="C7" s="7" t="n">
        <v>121.0577079830344</v>
      </c>
      <c r="D7" s="7" t="n">
        <v>154.6848490894329</v>
      </c>
      <c r="E7" s="8" t="n">
        <v>0.2</v>
      </c>
      <c r="F7" s="9">
        <f>C7*E7</f>
        <v/>
      </c>
      <c r="G7" s="10">
        <f>C7/$C$14-1</f>
        <v/>
      </c>
    </row>
    <row r="8">
      <c r="A8" s="6" t="inlineStr">
        <is>
          <t>Book value and sustainable return</t>
        </is>
      </c>
      <c r="B8" s="7" t="n">
        <v>33.76534925901321</v>
      </c>
      <c r="C8" s="7" t="n">
        <v>48.47019940598007</v>
      </c>
      <c r="D8" s="7" t="n">
        <v>53.71022096338332</v>
      </c>
      <c r="E8" s="8" t="n">
        <v>0.15</v>
      </c>
      <c r="F8" s="9">
        <f>C8*E8</f>
        <v/>
      </c>
      <c r="G8" s="10">
        <f>C8/$C$14-1</f>
        <v/>
      </c>
    </row>
    <row r="9">
      <c r="A9" s="11" t="inlineStr">
        <is>
          <t>Weighted central</t>
        </is>
      </c>
      <c r="B9" s="12">
        <f>MIN(B5:B8)</f>
        <v/>
      </c>
      <c r="C9" s="12">
        <f>SUM(F5:F8)</f>
        <v/>
      </c>
      <c r="D9" s="12">
        <f>MAX(D5:D8)</f>
        <v/>
      </c>
      <c r="E9" s="13">
        <f>SUM(E5:E8)</f>
        <v/>
      </c>
      <c r="F9" s="14" t="n"/>
      <c r="G9" s="13">
        <f>C9/$C$14-1</f>
        <v/>
      </c>
    </row>
    <row r="11">
      <c r="A11" s="6" t="inlineStr">
        <is>
          <t>Memo — currency-of-discounting alternative</t>
        </is>
      </c>
      <c r="C11" s="7">
        <f>'Fundamental Valuation'!C18</f>
        <v/>
      </c>
      <c r="G11" s="10">
        <f>C11/$C$14-1</f>
        <v/>
      </c>
    </row>
    <row r="12">
      <c r="A12" s="6" t="inlineStr">
        <is>
          <t>Memo — terminal value share of DCF enterprise value</t>
        </is>
      </c>
      <c r="C12" s="15">
        <f>DCF!C28</f>
        <v/>
      </c>
    </row>
    <row r="13">
      <c r="A13" s="6" t="inlineStr">
        <is>
          <t>Memo — expert panel median</t>
        </is>
      </c>
      <c r="C13" s="7">
        <f>'Fundamental Valuation'!C26</f>
        <v/>
      </c>
      <c r="G13" s="10">
        <f>C13/$C$14-1</f>
        <v/>
      </c>
    </row>
    <row r="14">
      <c r="A14" s="11" t="inlineStr">
        <is>
          <t>Market price (anchor)</t>
        </is>
      </c>
      <c r="B14" s="14" t="n"/>
      <c r="C14" s="16" t="n">
        <v>105.2</v>
      </c>
      <c r="D14" s="14" t="n"/>
      <c r="E14" s="14" t="n"/>
      <c r="F14" s="14" t="n"/>
      <c r="G14" s="14" t="n"/>
    </row>
    <row r="16">
      <c r="A16" s="5" t="inlineStr">
        <is>
          <t>Key figure</t>
        </is>
      </c>
      <c r="B16" s="5" t="inlineStr">
        <is>
          <t>Value</t>
        </is>
      </c>
    </row>
    <row r="17">
      <c r="A17" s="6" t="inlineStr">
        <is>
          <t>Shares outstanding (mn)</t>
        </is>
      </c>
      <c r="C17" s="17" t="n">
        <v>2140.777876</v>
      </c>
    </row>
    <row r="18">
      <c r="A18" s="6" t="inlineStr">
        <is>
          <t>Market capitalisation (EGP mn)</t>
        </is>
      </c>
      <c r="C18" s="18">
        <f>$C$14*C17</f>
        <v/>
      </c>
    </row>
    <row r="19">
      <c r="A19" s="6" t="inlineStr">
        <is>
          <t>Net bank debt, FY2025 (EGP mn)</t>
        </is>
      </c>
      <c r="C19" s="17" t="n">
        <v>19789</v>
      </c>
    </row>
    <row r="20">
      <c r="A20" s="6" t="inlineStr">
        <is>
          <t>FY2025 revenue (EGP mn)</t>
        </is>
      </c>
      <c r="C20" s="17" t="n">
        <v>281049</v>
      </c>
    </row>
    <row r="21">
      <c r="A21" s="6" t="inlineStr">
        <is>
          <t>FY2025 EBITDA (EGP mn)</t>
        </is>
      </c>
      <c r="C21" s="17" t="n">
        <v>30622.08783333333</v>
      </c>
    </row>
    <row r="22">
      <c r="A22" s="6" t="inlineStr">
        <is>
          <t>FY2025 attributable profit (EGP mn)</t>
        </is>
      </c>
      <c r="C22" s="17" t="n">
        <v>17330</v>
      </c>
    </row>
    <row r="23">
      <c r="A23" s="6" t="inlineStr">
        <is>
          <t>Cost of capital — explicit window</t>
        </is>
      </c>
      <c r="C23" s="8" t="n">
        <v>0.2689791685924707</v>
      </c>
    </row>
    <row r="24">
      <c r="A24" s="6" t="inlineStr">
        <is>
          <t>Cost of capital — terminal</t>
        </is>
      </c>
      <c r="C24" s="8" t="n">
        <v>0.15141</v>
      </c>
    </row>
    <row r="25">
      <c r="A25" s="6" t="inlineStr">
        <is>
          <t>Terminal growth</t>
        </is>
      </c>
      <c r="C25" s="8" t="n">
        <v>0.05</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7">
        <f>DCF!C31</f>
        <v/>
      </c>
    </row>
    <row r="6">
      <c r="A6" s="6" t="inlineStr">
        <is>
          <t xml:space="preserve">  bear</t>
        </is>
      </c>
      <c r="B6" s="6" t="inlineStr">
        <is>
          <t>margin −1.5pp, weaker currency path, +2pp cost of capital, g 3%</t>
        </is>
      </c>
      <c r="C6" s="9" t="n">
        <v>35.37439268305282</v>
      </c>
    </row>
    <row r="7">
      <c r="A7" s="6" t="inlineStr">
        <is>
          <t xml:space="preserve">  bull</t>
        </is>
      </c>
      <c r="B7" s="6" t="inlineStr">
        <is>
          <t>margin +1.5pp, stronger currency path, −2pp cost of capital, g 6%</t>
        </is>
      </c>
      <c r="C7" s="9" t="n">
        <v>110.3869768355961</v>
      </c>
    </row>
    <row r="8">
      <c r="A8" s="6" t="inlineStr">
        <is>
          <t>Relative multiples</t>
        </is>
      </c>
      <c r="B8" s="6" t="inlineStr">
        <is>
          <t>6.5x mid-cycle EV/EBITDA</t>
        </is>
      </c>
      <c r="C8" s="7">
        <f>'Relative &amp; Normalized'!C11</f>
        <v/>
      </c>
    </row>
    <row r="9">
      <c r="A9" s="6" t="inlineStr">
        <is>
          <t>Normalised earnings power</t>
        </is>
      </c>
      <c r="B9" s="6" t="inlineStr">
        <is>
          <t>9.0x normalised earnings per share</t>
        </is>
      </c>
      <c r="C9" s="7">
        <f>'Relative &amp; Normalized'!C26</f>
        <v/>
      </c>
    </row>
    <row r="10">
      <c r="A10" s="6" t="inlineStr">
        <is>
          <t>Book value and sustainable return</t>
        </is>
      </c>
      <c r="B10" s="6" t="inlineStr">
        <is>
          <t>justified price-to-book on sustainable return on equity</t>
        </is>
      </c>
      <c r="C10" s="7">
        <f>'Relative &amp; Normalized'!C34</f>
        <v/>
      </c>
    </row>
    <row r="12">
      <c r="A12" s="11" t="inlineStr">
        <is>
          <t>Weighted central</t>
        </is>
      </c>
      <c r="B12" s="14" t="n"/>
      <c r="C12" s="19">
        <f>Summary!C9</f>
        <v/>
      </c>
    </row>
    <row r="14">
      <c r="A14" s="20" t="inlineStr">
        <is>
          <t>THE CURRENCY-OF-DISCOUNTING QUESTION</t>
        </is>
      </c>
    </row>
    <row r="15">
      <c r="A15" s="6" t="inlineStr">
        <is>
          <t>Share of forecast revenue earned in hard currency</t>
        </is>
      </c>
      <c r="C15" s="8" t="n">
        <v>0.600860789848202</v>
      </c>
    </row>
    <row r="16">
      <c r="A16" s="6" t="inlineStr">
        <is>
          <t>Cost of capital applied in the primary model (explicit → terminal)</t>
        </is>
      </c>
      <c r="C16" s="21" t="inlineStr">
        <is>
          <t>26.9% → 15.1%</t>
        </is>
      </c>
    </row>
    <row r="17">
      <c r="A17" s="6" t="inlineStr">
        <is>
          <t>Hard-currency cost of capital for the foreign leg</t>
        </is>
      </c>
      <c r="C17" s="8" t="n">
        <v>0.10119375</v>
      </c>
    </row>
    <row r="18">
      <c r="A18" s="6" t="inlineStr">
        <is>
          <t>Fair value if the foreign leg is discounted at the hard-currency rate</t>
        </is>
      </c>
      <c r="C18" s="22" t="n">
        <v>91.14622861923802</v>
      </c>
    </row>
    <row r="19">
      <c r="A19" s="6" t="inlineStr">
        <is>
          <t>Market price</t>
        </is>
      </c>
      <c r="C19" s="22" t="n">
        <v>105.2</v>
      </c>
    </row>
    <row r="21">
      <c r="A21" s="20"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9" t="n">
        <v>137.7034929664235</v>
      </c>
      <c r="D23" s="9" t="n">
        <v>101.4657316594699</v>
      </c>
      <c r="E23" s="9" t="n">
        <v>173.941254273377</v>
      </c>
    </row>
    <row r="24">
      <c r="A24" s="6" t="inlineStr">
        <is>
          <t>Expert 2</t>
        </is>
      </c>
      <c r="B24" s="6" t="inlineStr">
        <is>
          <t>owner cash earnings</t>
        </is>
      </c>
      <c r="C24" s="9" t="n">
        <v>66.19078084024615</v>
      </c>
      <c r="D24" s="9" t="n">
        <v>40.8187533998155</v>
      </c>
      <c r="E24" s="9" t="n">
        <v>72.60004748131544</v>
      </c>
    </row>
    <row r="25">
      <c r="A25" s="6" t="inlineStr">
        <is>
          <t>Expert 3</t>
        </is>
      </c>
      <c r="B25" s="6" t="inlineStr">
        <is>
          <t>cash returns vs cost of capital</t>
        </is>
      </c>
      <c r="C25" s="9" t="n">
        <v>60.72264310179215</v>
      </c>
      <c r="D25" s="9" t="n">
        <v>49.99375810242254</v>
      </c>
      <c r="E25" s="9" t="n">
        <v>91.14622861923802</v>
      </c>
    </row>
    <row r="26">
      <c r="A26" s="11" t="inlineStr">
        <is>
          <t>Panel median</t>
        </is>
      </c>
      <c r="B26" s="14" t="n"/>
      <c r="C26" s="12">
        <f>MEDIAN(C23:C25)</f>
        <v/>
      </c>
      <c r="D26" s="14" t="n"/>
      <c r="E26" s="14"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56"/>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t>
        </is>
      </c>
    </row>
    <row r="3">
      <c r="A3" s="5" t="inlineStr">
        <is>
          <t>Input</t>
        </is>
      </c>
      <c r="B3" s="5" t="inlineStr">
        <is>
          <t>FY26E</t>
        </is>
      </c>
      <c r="C3" s="5" t="inlineStr">
        <is>
          <t>FY27E</t>
        </is>
      </c>
      <c r="D3" s="5" t="inlineStr">
        <is>
          <t>FY28E</t>
        </is>
      </c>
      <c r="E3" s="5" t="inlineStr">
        <is>
          <t>FY29E</t>
        </is>
      </c>
      <c r="F3" s="5" t="inlineStr">
        <is>
          <t>FY30E</t>
        </is>
      </c>
    </row>
    <row r="4">
      <c r="A4" s="11" t="inlineStr">
        <is>
          <t>Anchors</t>
        </is>
      </c>
      <c r="B4" s="14" t="n"/>
      <c r="C4" s="14" t="n"/>
      <c r="D4" s="14" t="n"/>
      <c r="E4" s="14" t="n"/>
      <c r="F4" s="14" t="n"/>
      <c r="G4" s="14" t="n"/>
      <c r="H4" s="14" t="n"/>
    </row>
    <row r="5">
      <c r="A5" s="6" t="inlineStr">
        <is>
          <t>Spot price (EGP)</t>
        </is>
      </c>
      <c r="C5" s="22" t="n">
        <v>105.2</v>
      </c>
    </row>
    <row r="6">
      <c r="A6" s="6" t="inlineStr">
        <is>
          <t>Shares outstanding (mn)</t>
        </is>
      </c>
      <c r="C6" s="17" t="n">
        <v>2140.777876</v>
      </c>
    </row>
    <row r="7">
      <c r="A7" s="6" t="inlineStr">
        <is>
          <t>Effective tax rate</t>
        </is>
      </c>
      <c r="C7" s="8" t="n">
        <v>0.25</v>
      </c>
    </row>
    <row r="8">
      <c r="A8" s="6" t="inlineStr">
        <is>
          <t>Statutory corporate tax rate</t>
        </is>
      </c>
      <c r="C8" s="8" t="n">
        <v>0.225</v>
      </c>
    </row>
    <row r="9">
      <c r="A9" s="6" t="inlineStr">
        <is>
          <t>FY2025 average USD/EGP</t>
        </is>
      </c>
      <c r="C9" s="23" t="n">
        <v>49.5</v>
      </c>
    </row>
    <row r="11">
      <c r="A11" s="11" t="inlineStr">
        <is>
          <t>Revenue drivers — the unit build</t>
        </is>
      </c>
      <c r="B11" s="14" t="n"/>
      <c r="C11" s="14" t="n"/>
      <c r="D11" s="14" t="n"/>
      <c r="E11" s="14" t="n"/>
      <c r="F11" s="14" t="n"/>
      <c r="G11" s="14" t="n"/>
      <c r="H11" s="14" t="n"/>
    </row>
    <row r="12">
      <c r="A12" s="6" t="inlineStr">
        <is>
          <t>Copper (USD/tonne)</t>
        </is>
      </c>
      <c r="B12" s="17" t="n">
        <v>13400</v>
      </c>
      <c r="C12" s="17" t="n">
        <v>14000</v>
      </c>
      <c r="D12" s="17" t="n">
        <v>14000</v>
      </c>
      <c r="E12" s="17" t="n">
        <v>14000</v>
      </c>
      <c r="F12" s="17" t="n">
        <v>14000</v>
      </c>
    </row>
    <row r="13">
      <c r="A13" s="6" t="inlineStr">
        <is>
          <t>USD/EGP path</t>
        </is>
      </c>
      <c r="B13" s="23" t="n">
        <v>51</v>
      </c>
      <c r="C13" s="23" t="n">
        <v>54</v>
      </c>
      <c r="D13" s="23" t="n">
        <v>57.5</v>
      </c>
      <c r="E13" s="23" t="n">
        <v>61</v>
      </c>
      <c r="F13" s="23" t="n">
        <v>64.5</v>
      </c>
    </row>
    <row r="14">
      <c r="A14" s="6" t="inlineStr">
        <is>
          <t>Cable volume growth</t>
        </is>
      </c>
      <c r="B14" s="8" t="n">
        <v>0.06</v>
      </c>
      <c r="C14" s="8" t="n">
        <v>0.05</v>
      </c>
      <c r="D14" s="8" t="n">
        <v>0.04</v>
      </c>
      <c r="E14" s="8" t="n">
        <v>0.04</v>
      </c>
      <c r="F14" s="8" t="n">
        <v>0.04</v>
      </c>
    </row>
    <row r="15">
      <c r="A15" s="6" t="inlineStr">
        <is>
          <t>Cable fabrication uplift over copper</t>
        </is>
      </c>
      <c r="B15" s="24" t="n">
        <v>1.3</v>
      </c>
      <c r="C15" s="24" t="n">
        <v>1.3</v>
      </c>
      <c r="D15" s="24" t="n">
        <v>1.3</v>
      </c>
      <c r="E15" s="24" t="n">
        <v>1.3</v>
      </c>
      <c r="F15" s="24" t="n">
        <v>1.3</v>
      </c>
    </row>
    <row r="16">
      <c r="A16" s="6" t="inlineStr">
        <is>
          <t>Raw-material volume growth</t>
        </is>
      </c>
      <c r="B16" s="8" t="n">
        <v>0.04</v>
      </c>
      <c r="C16" s="8" t="n">
        <v>0.04</v>
      </c>
      <c r="D16" s="8" t="n">
        <v>0.03</v>
      </c>
      <c r="E16" s="8" t="n">
        <v>0.03</v>
      </c>
      <c r="F16" s="8" t="n">
        <v>0.03</v>
      </c>
    </row>
    <row r="17">
      <c r="A17" s="6" t="inlineStr">
        <is>
          <t>Transformer MVA growth</t>
        </is>
      </c>
      <c r="B17" s="8" t="n">
        <v>0.08</v>
      </c>
      <c r="C17" s="8" t="n">
        <v>0.07000000000000001</v>
      </c>
      <c r="D17" s="8" t="n">
        <v>0.06</v>
      </c>
      <c r="E17" s="8" t="n">
        <v>0.05</v>
      </c>
      <c r="F17" s="8" t="n">
        <v>0.05</v>
      </c>
    </row>
    <row r="18">
      <c r="A18" s="6" t="inlineStr">
        <is>
          <t>Meter unit growth</t>
        </is>
      </c>
      <c r="B18" s="8" t="n">
        <v>0.06</v>
      </c>
      <c r="C18" s="8" t="n">
        <v>0.05</v>
      </c>
      <c r="D18" s="8" t="n">
        <v>0.05</v>
      </c>
      <c r="E18" s="8" t="n">
        <v>0.04</v>
      </c>
      <c r="F18" s="8" t="n">
        <v>0.04</v>
      </c>
    </row>
    <row r="19">
      <c r="A19" s="6" t="inlineStr">
        <is>
          <t>Order-book conversion rate</t>
        </is>
      </c>
      <c r="B19" s="8" t="n">
        <v>0.27</v>
      </c>
      <c r="C19" s="8" t="n">
        <v>0.265</v>
      </c>
      <c r="D19" s="8" t="n">
        <v>0.26</v>
      </c>
      <c r="E19" s="8" t="n">
        <v>0.255</v>
      </c>
      <c r="F19" s="8" t="n">
        <v>0.25</v>
      </c>
    </row>
    <row r="20">
      <c r="A20" s="6" t="inlineStr">
        <is>
          <t>Order-book book-to-bill</t>
        </is>
      </c>
      <c r="B20" s="24" t="n">
        <v>1.05</v>
      </c>
      <c r="C20" s="24" t="n">
        <v>1.05</v>
      </c>
      <c r="D20" s="24" t="n">
        <v>1.03</v>
      </c>
      <c r="E20" s="24" t="n">
        <v>1.02</v>
      </c>
      <c r="F20" s="24" t="n">
        <v>1</v>
      </c>
    </row>
    <row r="21">
      <c r="A21" s="6" t="inlineStr">
        <is>
          <t>Other-lines revenue growth</t>
        </is>
      </c>
      <c r="B21" s="8" t="n">
        <v>0.12</v>
      </c>
      <c r="C21" s="8" t="n">
        <v>0.11</v>
      </c>
      <c r="D21" s="8" t="n">
        <v>0.1</v>
      </c>
      <c r="E21" s="8" t="n">
        <v>0.09</v>
      </c>
      <c r="F21" s="8" t="n">
        <v>0.08</v>
      </c>
    </row>
    <row r="22">
      <c r="A22" s="6" t="inlineStr">
        <is>
          <t>Meter price inflation</t>
        </is>
      </c>
      <c r="B22" s="8" t="n">
        <v>0.08</v>
      </c>
      <c r="C22" s="8" t="n">
        <v>0.075</v>
      </c>
      <c r="D22" s="8" t="n">
        <v>0.07000000000000001</v>
      </c>
      <c r="E22" s="8" t="n">
        <v>0.07000000000000001</v>
      </c>
      <c r="F22" s="8" t="n">
        <v>0.07000000000000001</v>
      </c>
    </row>
    <row r="24">
      <c r="A24" s="11" t="inlineStr">
        <is>
          <t>Unit gross profit and cost load</t>
        </is>
      </c>
      <c r="B24" s="14" t="n"/>
      <c r="C24" s="14" t="n"/>
      <c r="D24" s="14" t="n"/>
      <c r="E24" s="14" t="n"/>
      <c r="F24" s="14" t="n"/>
      <c r="G24" s="14" t="n"/>
      <c r="H24" s="14" t="n"/>
    </row>
    <row r="25">
      <c r="A25" s="6" t="inlineStr">
        <is>
          <t>Gross profit per unit — growth</t>
        </is>
      </c>
      <c r="B25" s="8" t="n">
        <v>0.08500000000000001</v>
      </c>
      <c r="C25" s="8" t="n">
        <v>0.08</v>
      </c>
      <c r="D25" s="8" t="n">
        <v>0.075</v>
      </c>
      <c r="E25" s="8" t="n">
        <v>0.07000000000000001</v>
      </c>
      <c r="F25" s="8" t="n">
        <v>0.07000000000000001</v>
      </c>
    </row>
    <row r="26">
      <c r="A26" s="6" t="inlineStr">
        <is>
          <t>Non-cable margin recovery factor</t>
        </is>
      </c>
      <c r="B26" s="24" t="n">
        <v>1</v>
      </c>
      <c r="C26" s="24" t="n">
        <v>1.04</v>
      </c>
      <c r="D26" s="24" t="n">
        <v>1.07</v>
      </c>
      <c r="E26" s="24" t="n">
        <v>1.09</v>
      </c>
      <c r="F26" s="24" t="n">
        <v>1.1</v>
      </c>
    </row>
    <row r="27">
      <c r="A27" s="6" t="inlineStr">
        <is>
          <t>Operating load (% of revenue)</t>
        </is>
      </c>
      <c r="B27" s="8" t="n">
        <v>0.04</v>
      </c>
      <c r="C27" s="8" t="n">
        <v>0.043</v>
      </c>
      <c r="D27" s="8" t="n">
        <v>0.046</v>
      </c>
      <c r="E27" s="8" t="n">
        <v>0.048</v>
      </c>
      <c r="F27" s="8" t="n">
        <v>0.05</v>
      </c>
    </row>
    <row r="28">
      <c r="A28" s="6" t="inlineStr">
        <is>
          <t>Cable gross profit per tonne, FY2025 (EGP)</t>
        </is>
      </c>
      <c r="C28" s="17" t="n">
        <v>88173</v>
      </c>
    </row>
    <row r="29">
      <c r="A29" s="6" t="inlineStr">
        <is>
          <t>Order book at FY2025 (EGP mn)</t>
        </is>
      </c>
      <c r="C29" s="17" t="n">
        <v>323700</v>
      </c>
    </row>
    <row r="31">
      <c r="A31" s="11" t="inlineStr">
        <is>
          <t>Capital intensity</t>
        </is>
      </c>
      <c r="B31" s="14" t="n"/>
      <c r="C31" s="14" t="n"/>
      <c r="D31" s="14" t="n"/>
      <c r="E31" s="14" t="n"/>
      <c r="F31" s="14" t="n"/>
      <c r="G31" s="14" t="n"/>
      <c r="H31" s="14" t="n"/>
    </row>
    <row r="32">
      <c r="A32" s="6" t="inlineStr">
        <is>
          <t>Working capital / revenue</t>
        </is>
      </c>
      <c r="C32" s="8" t="n">
        <v>0.23</v>
      </c>
    </row>
    <row r="33">
      <c r="A33" s="6" t="inlineStr">
        <is>
          <t>Capital expenditure / revenue</t>
        </is>
      </c>
      <c r="B33" s="8" t="n">
        <v>0.03</v>
      </c>
      <c r="C33" s="8" t="n">
        <v>0.029</v>
      </c>
      <c r="D33" s="8" t="n">
        <v>0.028</v>
      </c>
      <c r="E33" s="8" t="n">
        <v>0.026</v>
      </c>
      <c r="F33" s="8" t="n">
        <v>0.024</v>
      </c>
    </row>
    <row r="34">
      <c r="A34" s="6" t="inlineStr">
        <is>
          <t>Depreciation and amortisation / revenue</t>
        </is>
      </c>
      <c r="C34" s="8" t="n">
        <v>0.0105</v>
      </c>
    </row>
    <row r="36">
      <c r="A36" s="11" t="inlineStr">
        <is>
          <t>Cost of capital</t>
        </is>
      </c>
      <c r="B36" s="14" t="n"/>
      <c r="C36" s="14" t="n"/>
      <c r="D36" s="14" t="n"/>
      <c r="E36" s="14" t="n"/>
      <c r="F36" s="14" t="n"/>
      <c r="G36" s="14" t="n"/>
      <c r="H36" s="14" t="n"/>
    </row>
    <row r="37">
      <c r="A37" s="6" t="inlineStr">
        <is>
          <t>Risk-free rate (10-year local currency)</t>
        </is>
      </c>
      <c r="C37" s="8" t="n">
        <v>0.2231</v>
      </c>
    </row>
    <row r="38">
      <c r="A38" s="6" t="inlineStr">
        <is>
          <t>Sovereign default spread (netted out)</t>
        </is>
      </c>
      <c r="C38" s="8" t="n">
        <v>0.034</v>
      </c>
    </row>
    <row r="39">
      <c r="A39" s="6" t="inlineStr">
        <is>
          <t>Equity risk premium</t>
        </is>
      </c>
      <c r="C39" s="8" t="n">
        <v>0.0941</v>
      </c>
    </row>
    <row r="40">
      <c r="A40" s="6" t="inlineStr">
        <is>
          <t>Beta</t>
        </is>
      </c>
      <c r="C40" s="25" t="n">
        <v>1.009</v>
      </c>
    </row>
    <row r="41">
      <c r="A41" s="6" t="inlineStr">
        <is>
          <t>Cost of debt, blended</t>
        </is>
      </c>
      <c r="C41" s="8" t="n">
        <v>0.13</v>
      </c>
    </row>
    <row r="42">
      <c r="A42" s="6" t="inlineStr">
        <is>
          <t>Cost of debt path</t>
        </is>
      </c>
      <c r="B42" s="8" t="n">
        <v>0.13</v>
      </c>
      <c r="C42" s="8" t="n">
        <v>0.122</v>
      </c>
      <c r="D42" s="8" t="n">
        <v>0.115</v>
      </c>
      <c r="E42" s="8" t="n">
        <v>0.11</v>
      </c>
      <c r="F42" s="8" t="n">
        <v>0.106</v>
      </c>
    </row>
    <row r="43">
      <c r="A43" s="6" t="inlineStr">
        <is>
          <t>Terminal risk-free rate</t>
        </is>
      </c>
      <c r="C43" s="8" t="n">
        <v>0.105</v>
      </c>
    </row>
    <row r="44">
      <c r="A44" s="6" t="inlineStr">
        <is>
          <t>Terminal equity risk premium</t>
        </is>
      </c>
      <c r="C44" s="8" t="n">
        <v>0.07000000000000001</v>
      </c>
    </row>
    <row r="45">
      <c r="A45" s="6" t="inlineStr">
        <is>
          <t>Terminal cost of debt</t>
        </is>
      </c>
      <c r="C45" s="8" t="n">
        <v>0.105</v>
      </c>
    </row>
    <row r="46">
      <c r="A46" s="6" t="inlineStr">
        <is>
          <t>Terminal debt weight</t>
        </is>
      </c>
      <c r="C46" s="8" t="n">
        <v>0.25</v>
      </c>
    </row>
    <row r="47">
      <c r="A47" s="6" t="inlineStr">
        <is>
          <t>Terminal growth</t>
        </is>
      </c>
      <c r="C47" s="8" t="n">
        <v>0.05</v>
      </c>
    </row>
    <row r="49">
      <c r="A49" s="11" t="inlineStr">
        <is>
          <t>Lens inputs</t>
        </is>
      </c>
      <c r="B49" s="14" t="n"/>
      <c r="C49" s="14" t="n"/>
      <c r="D49" s="14" t="n"/>
      <c r="E49" s="14" t="n"/>
      <c r="F49" s="14" t="n"/>
      <c r="G49" s="14" t="n"/>
      <c r="H49" s="14" t="n"/>
    </row>
    <row r="50">
      <c r="A50" s="6" t="inlineStr">
        <is>
          <t>Justified EV/EBITDA</t>
        </is>
      </c>
      <c r="C50" s="24" t="n">
        <v>6.5</v>
      </c>
    </row>
    <row r="51">
      <c r="A51" s="6" t="inlineStr">
        <is>
          <t>Justified price/earnings</t>
        </is>
      </c>
      <c r="C51" s="24" t="n">
        <v>9</v>
      </c>
    </row>
    <row r="52">
      <c r="A52" s="6" t="inlineStr">
        <is>
          <t>Sustainable return on equity</t>
        </is>
      </c>
      <c r="C52" s="8" t="n">
        <v>0.235</v>
      </c>
    </row>
    <row r="53">
      <c r="A53" s="6" t="inlineStr">
        <is>
          <t>Weight — discounted cash flow</t>
        </is>
      </c>
      <c r="C53" s="8" t="n">
        <v>0.45</v>
      </c>
    </row>
    <row r="54">
      <c r="A54" s="6" t="inlineStr">
        <is>
          <t>Weight — relative</t>
        </is>
      </c>
      <c r="C54" s="8" t="n">
        <v>0.2</v>
      </c>
    </row>
    <row r="55">
      <c r="A55" s="6" t="inlineStr">
        <is>
          <t>Weight — normalised</t>
        </is>
      </c>
      <c r="C55" s="8" t="n">
        <v>0.2</v>
      </c>
    </row>
    <row r="56">
      <c r="A56" s="6" t="inlineStr">
        <is>
          <t>Weight — book</t>
        </is>
      </c>
      <c r="C56" s="8" t="n">
        <v>0.15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8">
        <f>DCF!C26</f>
        <v/>
      </c>
      <c r="D5" s="9">
        <f>C5/2140.777876</f>
        <v/>
      </c>
    </row>
    <row r="6">
      <c r="A6" s="6" t="inlineStr">
        <is>
          <t>Present value of the terminal value</t>
        </is>
      </c>
      <c r="C6" s="18">
        <f>DCF!C27</f>
        <v/>
      </c>
      <c r="D6" s="9">
        <f>C6/2140.777876</f>
        <v/>
      </c>
    </row>
    <row r="7">
      <c r="A7" s="6" t="inlineStr">
        <is>
          <t>Enterprise value</t>
        </is>
      </c>
      <c r="C7" s="26">
        <f>C5+C6</f>
        <v/>
      </c>
      <c r="D7" s="27">
        <f>C7/2140.777876</f>
        <v/>
      </c>
    </row>
    <row r="8">
      <c r="A8" s="6" t="inlineStr">
        <is>
          <t>Less net bank debt</t>
        </is>
      </c>
      <c r="C8" s="28">
        <f>-19789.0</f>
        <v/>
      </c>
      <c r="D8" s="9">
        <f>C8/2140.777876</f>
        <v/>
      </c>
    </row>
    <row r="9">
      <c r="A9" s="6" t="inlineStr">
        <is>
          <t>Plus equity-accounted investees at carrying value</t>
        </is>
      </c>
      <c r="C9" s="28" t="n">
        <v>6474</v>
      </c>
      <c r="D9" s="9">
        <f>C9/2140.777876</f>
        <v/>
      </c>
    </row>
    <row r="10">
      <c r="A10" s="6" t="inlineStr">
        <is>
          <t>Equity before minority interests</t>
        </is>
      </c>
      <c r="C10" s="28">
        <f>C7+C8+C9</f>
        <v/>
      </c>
      <c r="D10" s="9">
        <f>C10/2140.777876</f>
        <v/>
      </c>
    </row>
    <row r="11">
      <c r="A11" s="6" t="inlineStr">
        <is>
          <t>Less minority interests at their share of group profit</t>
        </is>
      </c>
      <c r="C11" s="28">
        <f>-C10*0.09645464025026068</f>
        <v/>
      </c>
      <c r="D11" s="9">
        <f>C11/2140.777876</f>
        <v/>
      </c>
    </row>
    <row r="12">
      <c r="A12" s="14" t="inlineStr">
        <is>
          <t>Equity attributable to shareholders</t>
        </is>
      </c>
      <c r="B12" s="14" t="n"/>
      <c r="C12" s="29">
        <f>C10+C11</f>
        <v/>
      </c>
      <c r="D12" s="30">
        <f>C12/2140.777876</f>
        <v/>
      </c>
    </row>
    <row r="14">
      <c r="A14" s="6" t="inlineStr">
        <is>
          <t>Memo — terminal value as a share of enterprise value</t>
        </is>
      </c>
      <c r="C14" s="15">
        <f>DCF!C28</f>
        <v/>
      </c>
    </row>
    <row r="15">
      <c r="A15" s="6" t="inlineStr">
        <is>
          <t>Memo — minority share of group profit</t>
        </is>
      </c>
      <c r="C15" s="8" t="n">
        <v>0.09645464025026068</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3"/>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Segments — the margin build</t>
        </is>
      </c>
      <c r="B1" s="2" t="n"/>
      <c r="C1" s="2" t="n"/>
      <c r="D1" s="2" t="n"/>
      <c r="E1" s="2" t="n"/>
      <c r="F1" s="2" t="n"/>
      <c r="G1" s="2" t="n"/>
      <c r="H1" s="2" t="n"/>
    </row>
    <row r="2">
      <c r="A2" s="4" t="inlineStr">
        <is>
          <t>FY2025 disclosed shares and gross margins; forecast revenue and EBITDA by segment</t>
        </is>
      </c>
    </row>
    <row r="4">
      <c r="A4" s="5" t="inlineStr">
        <is>
          <t>Segment</t>
        </is>
      </c>
      <c r="B4" s="5" t="inlineStr">
        <is>
          <t>FY2025 revenue</t>
        </is>
      </c>
      <c r="C4" s="5" t="inlineStr">
        <is>
          <t>Share</t>
        </is>
      </c>
      <c r="D4" s="5" t="inlineStr">
        <is>
          <t>Gross margin</t>
        </is>
      </c>
      <c r="E4" s="5" t="inlineStr">
        <is>
          <t>FY26E</t>
        </is>
      </c>
      <c r="F4" s="5" t="inlineStr">
        <is>
          <t>FY27E</t>
        </is>
      </c>
      <c r="G4" s="5" t="inlineStr">
        <is>
          <t>FY28E</t>
        </is>
      </c>
      <c r="H4" s="5" t="inlineStr">
        <is>
          <t>FY29E</t>
        </is>
      </c>
      <c r="I4" s="5" t="inlineStr">
        <is>
          <t>FY30E</t>
        </is>
      </c>
    </row>
    <row r="5">
      <c r="A5" s="6" t="inlineStr">
        <is>
          <t>Cables</t>
        </is>
      </c>
      <c r="B5" s="28" t="n">
        <v>92138.29685490194</v>
      </c>
      <c r="C5" s="10" t="n">
        <v>0.3278371275290143</v>
      </c>
      <c r="D5" s="8" t="n">
        <v>0.1479665487953016</v>
      </c>
      <c r="E5" s="28" t="n">
        <v>145610.3678770696</v>
      </c>
      <c r="F5" s="28" t="n">
        <v>169133.0260767016</v>
      </c>
      <c r="G5" s="28" t="n">
        <v>187299.1659145696</v>
      </c>
      <c r="H5" s="28" t="n">
        <v>206647.9840977443</v>
      </c>
      <c r="I5" s="28" t="n">
        <v>227245.0290701096</v>
      </c>
    </row>
    <row r="6">
      <c r="A6" s="6" t="inlineStr">
        <is>
          <t>Raw material (copper rod)</t>
        </is>
      </c>
      <c r="B6" s="28" t="n">
        <v>60448.00314509805</v>
      </c>
      <c r="C6" s="10" t="n">
        <v>0.2150799438713465</v>
      </c>
      <c r="D6" s="8" t="n">
        <v>0.1239697053155375</v>
      </c>
      <c r="E6" s="28" t="n">
        <v>86793.07467340285</v>
      </c>
      <c r="F6" s="28" t="n">
        <v>99853.94648992721</v>
      </c>
      <c r="G6" s="28" t="n">
        <v>109515.7403864063</v>
      </c>
      <c r="H6" s="28" t="n">
        <v>119667.3733648332</v>
      </c>
      <c r="I6" s="28" t="n">
        <v>130329.5401556179</v>
      </c>
    </row>
    <row r="7">
      <c r="A7" s="6" t="inlineStr">
        <is>
          <t>Engineering &amp; construction</t>
        </is>
      </c>
      <c r="B7" s="28" t="n">
        <v>87100.7</v>
      </c>
      <c r="C7" s="10" t="n">
        <v>0.3099128621699419</v>
      </c>
      <c r="D7" s="8" t="n">
        <v>0.08991421158660849</v>
      </c>
      <c r="E7" s="28" t="n">
        <v>87399</v>
      </c>
      <c r="F7" s="28" t="n">
        <v>86938.53675000001</v>
      </c>
      <c r="G7" s="28" t="n">
        <v>86428.38797775001</v>
      </c>
      <c r="H7" s="28" t="n">
        <v>85427.48076159229</v>
      </c>
      <c r="I7" s="28" t="n">
        <v>84179.56952301609</v>
      </c>
    </row>
    <row r="8">
      <c r="A8" s="6" t="inlineStr">
        <is>
          <t>Transformers</t>
        </is>
      </c>
      <c r="B8" s="28" t="n">
        <v>17703.5</v>
      </c>
      <c r="C8" s="10" t="n">
        <v>0.06299079519941363</v>
      </c>
      <c r="D8" s="8" t="n">
        <v>0.2769882639821222</v>
      </c>
      <c r="E8" s="28" t="n">
        <v>20025.95817760357</v>
      </c>
      <c r="F8" s="28" t="n">
        <v>23704.12363041715</v>
      </c>
      <c r="G8" s="28" t="n">
        <v>26754.93213470232</v>
      </c>
      <c r="H8" s="28" t="n">
        <v>29802.66788222058</v>
      </c>
      <c r="I8" s="28" t="n">
        <v>33088.28987415392</v>
      </c>
    </row>
    <row r="9">
      <c r="A9" s="6" t="inlineStr">
        <is>
          <t>Meters &amp; digital</t>
        </is>
      </c>
      <c r="B9" s="28" t="n">
        <v>16594.1</v>
      </c>
      <c r="C9" s="10" t="n">
        <v>0.05904344082348629</v>
      </c>
      <c r="D9" s="8" t="n">
        <v>0.2190169964043364</v>
      </c>
      <c r="E9" s="28" t="n">
        <v>17815.54107615941</v>
      </c>
      <c r="F9" s="28" t="n">
        <v>20109.29198971493</v>
      </c>
      <c r="G9" s="28" t="n">
        <v>22592.78955044473</v>
      </c>
      <c r="H9" s="28" t="n">
        <v>25141.25621173489</v>
      </c>
      <c r="I9" s="28" t="n">
        <v>27977.18991241859</v>
      </c>
    </row>
    <row r="10">
      <c r="A10" s="6" t="inlineStr">
        <is>
          <t>Other electrical products</t>
        </is>
      </c>
      <c r="B10" s="28" t="n">
        <v>3206.5</v>
      </c>
      <c r="C10" s="10" t="n">
        <v>0.01140904255129888</v>
      </c>
      <c r="D10" s="8" t="n">
        <v>0.4076827342682428</v>
      </c>
      <c r="E10" s="28" t="n">
        <v>3591.28</v>
      </c>
      <c r="F10" s="28" t="n">
        <v>3986.3208</v>
      </c>
      <c r="G10" s="28" t="n">
        <v>4384.952880000001</v>
      </c>
      <c r="H10" s="28" t="n">
        <v>4779.598639200001</v>
      </c>
      <c r="I10" s="28" t="n">
        <v>5161.966530336002</v>
      </c>
    </row>
    <row r="11">
      <c r="A11" s="6" t="inlineStr">
        <is>
          <t>Infrastructure investment</t>
        </is>
      </c>
      <c r="B11" s="28" t="n">
        <v>3857.9</v>
      </c>
      <c r="C11" s="10" t="n">
        <v>0.01372678785549851</v>
      </c>
      <c r="D11" s="8" t="n">
        <v>0.4966473826898447</v>
      </c>
      <c r="E11" s="28" t="n">
        <v>4320.848000000001</v>
      </c>
      <c r="F11" s="28" t="n">
        <v>4796.141280000002</v>
      </c>
      <c r="G11" s="28" t="n">
        <v>5275.755408000002</v>
      </c>
      <c r="H11" s="28" t="n">
        <v>5750.573394720002</v>
      </c>
      <c r="I11" s="28" t="n">
        <v>6210.619266297603</v>
      </c>
    </row>
    <row r="12">
      <c r="A12" s="11" t="inlineStr">
        <is>
          <t>Total revenue</t>
        </is>
      </c>
      <c r="B12" s="31">
        <f>SUM(B5:B11)</f>
        <v/>
      </c>
      <c r="C12" s="13">
        <f>SUM(C5:C11)</f>
        <v/>
      </c>
      <c r="D12" s="14" t="n"/>
      <c r="E12" s="31">
        <f>SUM(E5:E11)</f>
        <v/>
      </c>
      <c r="F12" s="31">
        <f>SUM(F5:F11)</f>
        <v/>
      </c>
      <c r="G12" s="31">
        <f>SUM(G5:G11)</f>
        <v/>
      </c>
      <c r="H12" s="31">
        <f>SUM(H5:H11)</f>
        <v/>
      </c>
      <c r="I12" s="31">
        <f>SUM(I5:I11)</f>
        <v/>
      </c>
    </row>
    <row r="14">
      <c r="A14" s="5" t="inlineStr">
        <is>
          <t>Segment EBITDA</t>
        </is>
      </c>
      <c r="B14" s="5" t="inlineStr">
        <is>
          <t>FY26E</t>
        </is>
      </c>
      <c r="C14" s="5" t="inlineStr">
        <is>
          <t>FY27E</t>
        </is>
      </c>
      <c r="D14" s="5" t="inlineStr">
        <is>
          <t>FY28E</t>
        </is>
      </c>
      <c r="E14" s="5" t="inlineStr">
        <is>
          <t>FY29E</t>
        </is>
      </c>
      <c r="F14" s="5" t="inlineStr">
        <is>
          <t>FY30E</t>
        </is>
      </c>
    </row>
    <row r="15">
      <c r="A15" s="6" t="inlineStr">
        <is>
          <t>Cables</t>
        </is>
      </c>
      <c r="B15" s="28" t="n">
        <v>20041.67909882659</v>
      </c>
      <c r="C15" s="28" t="n">
        <v>22059.43026367506</v>
      </c>
      <c r="D15" s="28" t="n">
        <v>24177.58249832987</v>
      </c>
      <c r="E15" s="28" t="n">
        <v>26573.33011161748</v>
      </c>
      <c r="F15" s="28" t="n">
        <v>29246.528376493</v>
      </c>
    </row>
    <row r="16">
      <c r="A16" s="6" t="inlineStr">
        <is>
          <t>Raw material (copper rod)</t>
        </is>
      </c>
      <c r="B16" s="28" t="n">
        <v>4984.191943840839</v>
      </c>
      <c r="C16" s="28" t="n">
        <v>5203.963951181807</v>
      </c>
      <c r="D16" s="28" t="n">
        <v>5478.586163963156</v>
      </c>
      <c r="E16" s="28" t="n">
        <v>5845.99157386529</v>
      </c>
      <c r="F16" s="28" t="n">
        <v>6256.890090674406</v>
      </c>
    </row>
    <row r="17">
      <c r="A17" s="6" t="inlineStr">
        <is>
          <t>Engineering &amp; construction</t>
        </is>
      </c>
      <c r="B17" s="28" t="n">
        <v>4362.452178457996</v>
      </c>
      <c r="C17" s="28" t="n">
        <v>4391.333307654424</v>
      </c>
      <c r="D17" s="28" t="n">
        <v>4339.414342204866</v>
      </c>
      <c r="E17" s="28" t="n">
        <v>4271.928516198092</v>
      </c>
      <c r="F17" s="28" t="n">
        <v>4116.855111747494</v>
      </c>
    </row>
    <row r="18">
      <c r="A18" s="6" t="inlineStr">
        <is>
          <t>Transformers</t>
        </is>
      </c>
      <c r="B18" s="28" t="n">
        <v>4945.072489759165</v>
      </c>
      <c r="C18" s="28" t="n">
        <v>5620.928343859304</v>
      </c>
      <c r="D18" s="28" t="n">
        <v>6335.787471336365</v>
      </c>
      <c r="E18" s="28" t="n">
        <v>7070.450813353369</v>
      </c>
      <c r="F18" s="28" t="n">
        <v>7896.435268647207</v>
      </c>
    </row>
    <row r="19">
      <c r="A19" s="6" t="inlineStr">
        <is>
          <t>Meters &amp; digital</t>
        </is>
      </c>
      <c r="B19" s="28" t="n">
        <v>3467.290226985804</v>
      </c>
      <c r="C19" s="28" t="n">
        <v>3875.320505058752</v>
      </c>
      <c r="D19" s="28" t="n">
        <v>4311.02932410041</v>
      </c>
      <c r="E19" s="28" t="n">
        <v>4747.030919435468</v>
      </c>
      <c r="F19" s="28" t="n">
        <v>5226.541627322952</v>
      </c>
    </row>
    <row r="20">
      <c r="A20" s="6" t="inlineStr">
        <is>
          <t>Other electrical products</t>
        </is>
      </c>
      <c r="B20" s="28" t="n">
        <v>1320.451649922855</v>
      </c>
      <c r="C20" s="28" t="n">
        <v>1518.748535550944</v>
      </c>
      <c r="D20" s="28" t="n">
        <v>1711.098617858713</v>
      </c>
      <c r="E20" s="28" t="n">
        <v>1894.509493026274</v>
      </c>
      <c r="F20" s="28" t="n">
        <v>2056.790765700589</v>
      </c>
    </row>
    <row r="21">
      <c r="A21" s="6" t="inlineStr">
        <is>
          <t>Infrastructure investment</t>
        </is>
      </c>
      <c r="B21" s="28" t="n">
        <v>1973.103930200651</v>
      </c>
      <c r="C21" s="28" t="n">
        <v>2271.036579231632</v>
      </c>
      <c r="D21" s="28" t="n">
        <v>2560.918674383644</v>
      </c>
      <c r="E21" s="28" t="n">
        <v>2837.020352797803</v>
      </c>
      <c r="F21" s="28" t="n">
        <v>3082.405620523931</v>
      </c>
    </row>
    <row r="22">
      <c r="A22" s="11" t="inlineStr">
        <is>
          <t>Group EBITDA</t>
        </is>
      </c>
      <c r="B22" s="31">
        <f>SUM(B15:B21)</f>
        <v/>
      </c>
      <c r="C22" s="31">
        <f>SUM(C15:C21)</f>
        <v/>
      </c>
      <c r="D22" s="31">
        <f>SUM(D15:D21)</f>
        <v/>
      </c>
      <c r="E22" s="31">
        <f>SUM(E15:E21)</f>
        <v/>
      </c>
      <c r="F22" s="31">
        <f>SUM(F15:F21)</f>
        <v/>
      </c>
    </row>
    <row r="23">
      <c r="A23" s="6" t="inlineStr">
        <is>
          <t>Group EBITDA margin</t>
        </is>
      </c>
      <c r="B23" s="10" t="n">
        <v>0.112415700114078</v>
      </c>
      <c r="C23" s="10" t="n">
        <v>0.1100083445187365</v>
      </c>
      <c r="D23" s="10" t="n">
        <v>0.1106031122318905</v>
      </c>
      <c r="E23" s="10" t="n">
        <v>0.1115640664608482</v>
      </c>
      <c r="F23" s="10" t="n">
        <v>0.1125696702000991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4"/>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8">
        <f>DCF!C6</f>
        <v/>
      </c>
    </row>
    <row r="6">
      <c r="A6" s="6" t="inlineStr">
        <is>
          <t>Justified enterprise value / EBITDA</t>
        </is>
      </c>
      <c r="C6" s="24" t="n">
        <v>6.5</v>
      </c>
    </row>
    <row r="7">
      <c r="A7" s="6" t="inlineStr">
        <is>
          <t>Implied enterprise value AS AT end-FY2027 (EGP mn)</t>
        </is>
      </c>
      <c r="C7" s="28">
        <f>C5*C6</f>
        <v/>
      </c>
    </row>
    <row r="8">
      <c r="A8" s="6" t="inlineStr">
        <is>
          <t>Discount factor back to today (year-2)</t>
        </is>
      </c>
      <c r="C8" s="32" t="n">
        <v>0.6407885540320136</v>
      </c>
    </row>
    <row r="9">
      <c r="A9" s="6" t="inlineStr">
        <is>
          <t>Implied enterprise value TODAY (EGP mn)</t>
        </is>
      </c>
      <c r="C9" s="28">
        <f>C7*C8</f>
        <v/>
      </c>
    </row>
    <row r="10">
      <c r="A10" s="6" t="inlineStr">
        <is>
          <t>Less net bank debt, plus associates (EGP mn)</t>
        </is>
      </c>
      <c r="C10" s="28">
        <f>-19789.0+6474.0</f>
        <v/>
      </c>
    </row>
    <row r="11">
      <c r="A11" s="14" t="inlineStr">
        <is>
          <t>Implied value per share (EGP)</t>
        </is>
      </c>
      <c r="B11" s="14" t="n"/>
      <c r="C11" s="30">
        <f>(C9+C10)*(1-0.09645464025026068)/2140.777876</f>
        <v/>
      </c>
    </row>
    <row r="13">
      <c r="A13" s="6" t="inlineStr">
        <is>
          <t>Trailing enterprise value / EBITDA</t>
        </is>
      </c>
      <c r="C13" s="33" t="n">
        <v>8.000722677325394</v>
      </c>
    </row>
    <row r="14">
      <c r="A14" s="6" t="inlineStr">
        <is>
          <t>Trailing price / earnings</t>
        </is>
      </c>
      <c r="C14" s="33" t="n">
        <v>12.9953740655049</v>
      </c>
    </row>
    <row r="15">
      <c r="A15" s="6" t="inlineStr">
        <is>
          <t>Trailing price / book</t>
        </is>
      </c>
      <c r="C15" s="33" t="n">
        <v>3.196092220646482</v>
      </c>
    </row>
    <row r="16">
      <c r="A16" s="6" t="inlineStr">
        <is>
          <t>Net bank debt / EBITDA</t>
        </is>
      </c>
      <c r="C16" s="33" t="n">
        <v>0.6462328796032941</v>
      </c>
    </row>
    <row r="18">
      <c r="A18" s="5" t="inlineStr">
        <is>
          <t>Normalised earnings lens</t>
        </is>
      </c>
      <c r="B18" s="5" t="inlineStr">
        <is>
          <t>Value</t>
        </is>
      </c>
    </row>
    <row r="19">
      <c r="A19" s="6" t="inlineStr">
        <is>
          <t>Mid-cycle revenue (EGP mn)</t>
        </is>
      </c>
      <c r="C19" s="17" t="n">
        <v>442251.724251873</v>
      </c>
    </row>
    <row r="20">
      <c r="A20" s="6" t="inlineStr">
        <is>
          <t>Mid-cycle EBITDA margin</t>
        </is>
      </c>
      <c r="C20" s="8" t="n">
        <v>0.1106031122318905</v>
      </c>
    </row>
    <row r="21">
      <c r="A21" s="6" t="inlineStr">
        <is>
          <t>Mid-cycle EBIT (EGP mn)</t>
        </is>
      </c>
      <c r="C21" s="17" t="n">
        <v>44270.77398753235</v>
      </c>
    </row>
    <row r="22">
      <c r="A22" s="6" t="inlineStr">
        <is>
          <t>Less net interest (EGP mn)</t>
        </is>
      </c>
      <c r="C22" s="17" t="n">
        <v>-3418.938394042807</v>
      </c>
    </row>
    <row r="23">
      <c r="A23" s="6" t="inlineStr">
        <is>
          <t>Normalised attributable earnings (EGP mn)</t>
        </is>
      </c>
      <c r="C23" s="17" t="n">
        <v>28795.29588548318</v>
      </c>
    </row>
    <row r="24">
      <c r="A24" s="6" t="inlineStr">
        <is>
          <t>Normalised earnings per share (EGP)</t>
        </is>
      </c>
      <c r="C24" s="22" t="n">
        <v>13.45085644255938</v>
      </c>
    </row>
    <row r="25">
      <c r="A25" s="6" t="inlineStr">
        <is>
          <t>Justified price / earnings</t>
        </is>
      </c>
      <c r="C25" s="24" t="n">
        <v>9</v>
      </c>
    </row>
    <row r="26">
      <c r="A26" s="14" t="inlineStr">
        <is>
          <t>Implied value per share (EGP)</t>
        </is>
      </c>
      <c r="B26" s="14" t="n"/>
      <c r="C26" s="30">
        <f>C24*C25</f>
        <v/>
      </c>
    </row>
    <row r="28">
      <c r="A28" s="5" t="inlineStr">
        <is>
          <t>Book lens</t>
        </is>
      </c>
      <c r="B28" s="5" t="inlineStr">
        <is>
          <t>Value</t>
        </is>
      </c>
    </row>
    <row r="29">
      <c r="A29" s="6" t="inlineStr">
        <is>
          <t>Book value per share (EGP)</t>
        </is>
      </c>
      <c r="C29" s="22" t="n">
        <v>32.91519541282852</v>
      </c>
    </row>
    <row r="30">
      <c r="A30" s="6" t="inlineStr">
        <is>
          <t>Sustainable return on equity</t>
        </is>
      </c>
      <c r="C30" s="8" t="n">
        <v>0.235</v>
      </c>
    </row>
    <row r="31">
      <c r="A31" s="6" t="inlineStr">
        <is>
          <t>Trailing return on equity</t>
        </is>
      </c>
      <c r="C31" s="8" t="n">
        <v>0.2756503065994848</v>
      </c>
    </row>
    <row r="32">
      <c r="A32" s="6" t="inlineStr">
        <is>
          <t>Perpetual cost of equity</t>
        </is>
      </c>
      <c r="C32" s="8" t="n">
        <v>0.17563</v>
      </c>
    </row>
    <row r="33">
      <c r="A33" s="6" t="inlineStr">
        <is>
          <t>Justified price / book</t>
        </is>
      </c>
      <c r="C33" s="24" t="n">
        <v>1.472578205842553</v>
      </c>
    </row>
    <row r="34">
      <c r="A34" s="14" t="inlineStr">
        <is>
          <t>Implied value per share (EGP)</t>
        </is>
      </c>
      <c r="B34" s="14" t="n"/>
      <c r="C34" s="30">
        <f>C29*C33</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31"/>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computed;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28" t="n">
        <v>365556.0698042354</v>
      </c>
      <c r="C5" s="28" t="n">
        <v>408521.3870167609</v>
      </c>
      <c r="D5" s="28" t="n">
        <v>442251.724251873</v>
      </c>
      <c r="E5" s="28" t="n">
        <v>477216.9343520451</v>
      </c>
      <c r="F5" s="28" t="n">
        <v>514192.2043319497</v>
      </c>
    </row>
    <row r="6">
      <c r="A6" s="6" t="inlineStr">
        <is>
          <t>EBITDA</t>
        </is>
      </c>
      <c r="B6" s="28" t="n">
        <v>41094.2415179939</v>
      </c>
      <c r="C6" s="28" t="n">
        <v>44940.76148621193</v>
      </c>
      <c r="D6" s="28" t="n">
        <v>48914.41709217701</v>
      </c>
      <c r="E6" s="28" t="n">
        <v>53240.26178029377</v>
      </c>
      <c r="F6" s="28" t="n">
        <v>57882.44686110957</v>
      </c>
    </row>
    <row r="7">
      <c r="A7" s="6" t="inlineStr">
        <is>
          <t>EBITDA margin</t>
        </is>
      </c>
      <c r="B7" s="10" t="n">
        <v>0.112415700114078</v>
      </c>
      <c r="C7" s="10" t="n">
        <v>0.1100083445187365</v>
      </c>
      <c r="D7" s="10" t="n">
        <v>0.1106031122318905</v>
      </c>
      <c r="E7" s="10" t="n">
        <v>0.1115640664608482</v>
      </c>
      <c r="F7" s="10" t="n">
        <v>0.1125696702000991</v>
      </c>
    </row>
    <row r="8">
      <c r="A8" s="6" t="inlineStr">
        <is>
          <t>Less depreciation and amortisation</t>
        </is>
      </c>
      <c r="B8" s="28" t="n">
        <v>-3838.338732944472</v>
      </c>
      <c r="C8" s="28" t="n">
        <v>-4289.47456367599</v>
      </c>
      <c r="D8" s="28" t="n">
        <v>-4643.643104644667</v>
      </c>
      <c r="E8" s="28" t="n">
        <v>-5010.777810696474</v>
      </c>
      <c r="F8" s="28" t="n">
        <v>-5399.018145485472</v>
      </c>
    </row>
    <row r="9">
      <c r="A9" s="14" t="inlineStr">
        <is>
          <t>EBIT</t>
        </is>
      </c>
      <c r="B9" s="29" t="n">
        <v>37255.90278504942</v>
      </c>
      <c r="C9" s="29" t="n">
        <v>40651.28692253594</v>
      </c>
      <c r="D9" s="29" t="n">
        <v>44270.77398753235</v>
      </c>
      <c r="E9" s="29" t="n">
        <v>48229.4839695973</v>
      </c>
      <c r="F9" s="29" t="n">
        <v>52483.42871562409</v>
      </c>
    </row>
    <row r="10">
      <c r="A10" s="6" t="inlineStr">
        <is>
          <t>NOPAT — EBIT x (1 - 25%)</t>
        </is>
      </c>
      <c r="B10" s="28" t="n">
        <v>27941.92708878707</v>
      </c>
      <c r="C10" s="28" t="n">
        <v>30488.46519190195</v>
      </c>
      <c r="D10" s="28" t="n">
        <v>33203.08049064926</v>
      </c>
      <c r="E10" s="28" t="n">
        <v>36172.11297719798</v>
      </c>
      <c r="F10" s="28" t="n">
        <v>39362.57153671807</v>
      </c>
    </row>
    <row r="11">
      <c r="A11" s="6" t="inlineStr">
        <is>
          <t>Add back depreciation and amortisation</t>
        </is>
      </c>
      <c r="B11" s="28" t="n">
        <v>3838.338732944472</v>
      </c>
      <c r="C11" s="28" t="n">
        <v>4289.47456367599</v>
      </c>
      <c r="D11" s="28" t="n">
        <v>4643.643104644667</v>
      </c>
      <c r="E11" s="28" t="n">
        <v>5010.777810696474</v>
      </c>
      <c r="F11" s="28" t="n">
        <v>5399.018145485472</v>
      </c>
    </row>
    <row r="12">
      <c r="A12" s="6" t="inlineStr">
        <is>
          <t>Less capital expenditure</t>
        </is>
      </c>
      <c r="B12" s="28" t="n">
        <v>-10966.68209412706</v>
      </c>
      <c r="C12" s="28" t="n">
        <v>-11847.12022348607</v>
      </c>
      <c r="D12" s="28" t="n">
        <v>-12383.04827905244</v>
      </c>
      <c r="E12" s="28" t="n">
        <v>-12407.64029315317</v>
      </c>
      <c r="F12" s="28" t="n">
        <v>-12340.61290396679</v>
      </c>
    </row>
    <row r="13">
      <c r="A13" s="6" t="inlineStr">
        <is>
          <t>Less change in working capital</t>
        </is>
      </c>
      <c r="B13" s="28" t="n">
        <v>-19436.62605497414</v>
      </c>
      <c r="C13" s="28" t="n">
        <v>-9882.022958880872</v>
      </c>
      <c r="D13" s="28" t="n">
        <v>-7757.977564075773</v>
      </c>
      <c r="E13" s="28" t="n">
        <v>-8041.998323039588</v>
      </c>
      <c r="F13" s="28" t="n">
        <v>-8504.31209537806</v>
      </c>
    </row>
    <row r="14">
      <c r="A14" s="14" t="inlineStr">
        <is>
          <t>Free cash flow to the firm</t>
        </is>
      </c>
      <c r="B14" s="29" t="n">
        <v>1376.957672630335</v>
      </c>
      <c r="C14" s="29" t="n">
        <v>13048.796573211</v>
      </c>
      <c r="D14" s="29" t="n">
        <v>17705.69775216571</v>
      </c>
      <c r="E14" s="29" t="n">
        <v>20733.25217170169</v>
      </c>
      <c r="F14" s="29" t="n">
        <v>23916.66468285869</v>
      </c>
    </row>
    <row r="15">
      <c r="A15" s="6" t="inlineStr">
        <is>
          <t>Forward cost of capital</t>
        </is>
      </c>
      <c r="B15" s="34" t="n">
        <v>0.2689791685924707</v>
      </c>
      <c r="C15" s="34" t="n">
        <v>0.2297894457283138</v>
      </c>
      <c r="D15" s="34" t="n">
        <v>0.1954984382221766</v>
      </c>
      <c r="E15" s="34" t="n">
        <v>0.1710048614320785</v>
      </c>
      <c r="F15" s="34" t="n">
        <v>0.15141</v>
      </c>
    </row>
    <row r="16">
      <c r="A16" s="6" t="inlineStr">
        <is>
          <t>Discount factor</t>
        </is>
      </c>
      <c r="B16" s="35" t="n">
        <v>0.7880350006920778</v>
      </c>
      <c r="C16" s="35" t="n">
        <v>0.6407885540320136</v>
      </c>
      <c r="D16" s="35" t="n">
        <v>0.536001163652651</v>
      </c>
      <c r="E16" s="35" t="n">
        <v>0.4577275306928695</v>
      </c>
      <c r="F16" s="35" t="n">
        <v>0.3975365253844151</v>
      </c>
    </row>
    <row r="17">
      <c r="A17" s="14" t="inlineStr">
        <is>
          <t>Present value of FCFF</t>
        </is>
      </c>
      <c r="B17" s="29" t="n">
        <v>1085.090840504208</v>
      </c>
      <c r="C17" s="29" t="n">
        <v>8361.519488005773</v>
      </c>
      <c r="D17" s="29" t="n">
        <v>9490.274598442946</v>
      </c>
      <c r="E17" s="29" t="n">
        <v>9490.18031978559</v>
      </c>
      <c r="F17" s="29" t="n">
        <v>9507.747776807799</v>
      </c>
    </row>
    <row r="19">
      <c r="A19" s="20" t="inlineStr">
        <is>
          <t>TERMINAL VALUE AND BRIDGE</t>
        </is>
      </c>
    </row>
    <row r="20">
      <c r="A20" s="6" t="inlineStr">
        <is>
          <t>Terminal-year NOPAT grown one year (EGP mn)</t>
        </is>
      </c>
      <c r="C20" s="17" t="n">
        <v>41330.70011355398</v>
      </c>
    </row>
    <row r="21">
      <c r="A21" s="6" t="inlineStr">
        <is>
          <t>Terminal return on invested capital</t>
        </is>
      </c>
      <c r="C21" s="8" t="n">
        <v>0.2180907072919819</v>
      </c>
    </row>
    <row r="22">
      <c r="A22" s="6" t="inlineStr">
        <is>
          <t>Required reinvestment rate (g / return on capital)</t>
        </is>
      </c>
      <c r="C22" s="8" t="n">
        <v>0.2292624047161236</v>
      </c>
    </row>
    <row r="23">
      <c r="A23" s="6" t="inlineStr">
        <is>
          <t>Terminal growth</t>
        </is>
      </c>
      <c r="C23" s="8" t="n">
        <v>0.05</v>
      </c>
    </row>
    <row r="24">
      <c r="A24" s="6" t="inlineStr">
        <is>
          <t>Terminal cost of capital</t>
        </is>
      </c>
      <c r="C24" s="8" t="n">
        <v>0.15141</v>
      </c>
    </row>
    <row r="25">
      <c r="A25" s="6" t="inlineStr">
        <is>
          <t>Terminal value (EGP mn)</t>
        </is>
      </c>
      <c r="C25" s="17" t="n">
        <v>314122.1222455342</v>
      </c>
    </row>
    <row r="26">
      <c r="A26" s="6" t="inlineStr">
        <is>
          <t>Present value of the five forecast years (EGP mn)</t>
        </is>
      </c>
      <c r="C26" s="28">
        <f>SUM(B17:F17)</f>
        <v/>
      </c>
    </row>
    <row r="27">
      <c r="A27" s="6" t="inlineStr">
        <is>
          <t>Present value of the terminal value (EGP mn)</t>
        </is>
      </c>
      <c r="C27" s="28">
        <f>C25*F16</f>
        <v/>
      </c>
    </row>
    <row r="28">
      <c r="A28" s="6" t="inlineStr">
        <is>
          <t>Terminal value as a share of enterprise value</t>
        </is>
      </c>
      <c r="C28" s="10">
        <f>C27/(C26+C27)</f>
        <v/>
      </c>
    </row>
    <row r="29">
      <c r="A29" s="6" t="inlineStr">
        <is>
          <t>Enterprise value (EGP mn)</t>
        </is>
      </c>
      <c r="C29" s="28">
        <f>C26+C27</f>
        <v/>
      </c>
    </row>
    <row r="30">
      <c r="A30" s="6" t="inlineStr">
        <is>
          <t>Equity attributable to shareholders (EGP mn)</t>
        </is>
      </c>
      <c r="C30" s="18">
        <f>'SOTP Bridge'!C12</f>
        <v/>
      </c>
    </row>
    <row r="31">
      <c r="A31" s="14" t="inlineStr">
        <is>
          <t>Fair value per share (EGP)</t>
        </is>
      </c>
      <c r="B31" s="14" t="n"/>
      <c r="C31" s="30">
        <f>C30/2140.777876</f>
        <v/>
      </c>
      <c r="D31" s="1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4" t="inlineStr">
        <is>
          <t>Revenue</t>
        </is>
      </c>
      <c r="B5" s="29" t="n">
        <v>152186.2</v>
      </c>
      <c r="C5" s="29" t="n">
        <v>231981.8</v>
      </c>
      <c r="D5" s="29" t="n">
        <v>281049</v>
      </c>
      <c r="E5" s="29" t="n">
        <v>365556.0698042354</v>
      </c>
      <c r="F5" s="29" t="n">
        <v>408521.3870167609</v>
      </c>
      <c r="G5" s="29" t="n">
        <v>442251.724251873</v>
      </c>
      <c r="H5" s="29" t="n">
        <v>477216.9343520451</v>
      </c>
      <c r="I5" s="29" t="n">
        <v>514192.2043319497</v>
      </c>
    </row>
    <row r="6">
      <c r="A6" s="6" t="inlineStr">
        <is>
          <t>Gross profit</t>
        </is>
      </c>
      <c r="B6" s="28" t="n">
        <v>29077.3</v>
      </c>
      <c r="C6" s="28" t="n">
        <v>43898.5</v>
      </c>
      <c r="D6" s="28" t="n">
        <v>40720</v>
      </c>
    </row>
    <row r="7">
      <c r="A7" s="14" t="inlineStr">
        <is>
          <t>EBITDA</t>
        </is>
      </c>
      <c r="B7" s="29" t="n">
        <v>20035.1</v>
      </c>
      <c r="C7" s="29" t="n">
        <v>31601.6</v>
      </c>
      <c r="D7" s="29" t="n">
        <v>30622.08783333333</v>
      </c>
      <c r="E7" s="29" t="n">
        <v>41094.2415179939</v>
      </c>
      <c r="F7" s="29" t="n">
        <v>44940.76148621193</v>
      </c>
      <c r="G7" s="29" t="n">
        <v>48914.41709217701</v>
      </c>
      <c r="H7" s="29" t="n">
        <v>53240.26178029377</v>
      </c>
      <c r="I7" s="29" t="n">
        <v>57882.44686110957</v>
      </c>
    </row>
    <row r="8">
      <c r="A8" s="6" t="inlineStr">
        <is>
          <t>EBITDA margin</t>
        </is>
      </c>
      <c r="B8" s="10">
        <f>B7/B5</f>
        <v/>
      </c>
      <c r="C8" s="10">
        <f>C7/C5</f>
        <v/>
      </c>
      <c r="D8" s="10">
        <f>D7/D5</f>
        <v/>
      </c>
      <c r="E8" s="10">
        <f>E7/E5</f>
        <v/>
      </c>
      <c r="F8" s="10">
        <f>F7/F5</f>
        <v/>
      </c>
      <c r="G8" s="10">
        <f>G7/G5</f>
        <v/>
      </c>
      <c r="H8" s="10">
        <f>H7/H5</f>
        <v/>
      </c>
      <c r="I8" s="10">
        <f>I7/I5</f>
        <v/>
      </c>
    </row>
    <row r="9">
      <c r="A9" s="6" t="inlineStr">
        <is>
          <t>Depreciation and amortisation</t>
        </is>
      </c>
      <c r="B9" s="28" t="n">
        <v>-2296</v>
      </c>
      <c r="C9" s="28" t="n">
        <v>-2259.9</v>
      </c>
      <c r="D9" s="28" t="n">
        <v>-2951.0145</v>
      </c>
      <c r="E9" s="28" t="n">
        <v>-3838.338732944472</v>
      </c>
      <c r="F9" s="28" t="n">
        <v>-4289.47456367599</v>
      </c>
      <c r="G9" s="28" t="n">
        <v>-4643.643104644667</v>
      </c>
      <c r="H9" s="28" t="n">
        <v>-5010.777810696474</v>
      </c>
      <c r="I9" s="28" t="n">
        <v>-5399.018145485472</v>
      </c>
    </row>
    <row r="10">
      <c r="A10" s="14" t="inlineStr">
        <is>
          <t>EBIT</t>
        </is>
      </c>
      <c r="B10" s="29" t="n">
        <v>17739.1</v>
      </c>
      <c r="C10" s="29" t="n">
        <v>29341.7</v>
      </c>
      <c r="D10" s="29" t="n">
        <v>27671.07333333333</v>
      </c>
      <c r="E10" s="29" t="n">
        <v>37255.90278504942</v>
      </c>
      <c r="F10" s="29" t="n">
        <v>40651.28692253594</v>
      </c>
      <c r="G10" s="29" t="n">
        <v>44270.77398753235</v>
      </c>
      <c r="H10" s="29" t="n">
        <v>48229.4839695973</v>
      </c>
      <c r="I10" s="29" t="n">
        <v>52483.42871562409</v>
      </c>
    </row>
    <row r="11">
      <c r="A11" s="6" t="inlineStr">
        <is>
          <t>Net finance costs</t>
        </is>
      </c>
      <c r="B11" s="28" t="n">
        <v>-2124.4</v>
      </c>
      <c r="C11" s="28" t="n">
        <v>-3515.4</v>
      </c>
      <c r="D11" s="28" t="n">
        <v>-3400</v>
      </c>
      <c r="E11" s="28" t="n">
        <v>-4127.401616023958</v>
      </c>
      <c r="F11" s="28" t="n">
        <v>-3554.467851750901</v>
      </c>
      <c r="G11" s="28" t="n">
        <v>-3053.150808011979</v>
      </c>
      <c r="H11" s="28" t="n">
        <v>-2695.067205341319</v>
      </c>
      <c r="I11" s="28" t="n">
        <v>-2408.600323204791</v>
      </c>
    </row>
    <row r="12">
      <c r="A12" s="6" t="inlineStr">
        <is>
          <t>Share of equity-accounted investees</t>
        </is>
      </c>
      <c r="B12" s="28" t="n">
        <v>603.6</v>
      </c>
      <c r="C12" s="28" t="n">
        <v>1132.4</v>
      </c>
      <c r="D12" s="28" t="n">
        <v>1302.26</v>
      </c>
      <c r="E12" s="28" t="n">
        <v>1406.4408</v>
      </c>
      <c r="F12" s="28" t="n">
        <v>1518.956064</v>
      </c>
      <c r="G12" s="28" t="n">
        <v>1640.47254912</v>
      </c>
      <c r="H12" s="28" t="n">
        <v>1771.7103530496</v>
      </c>
      <c r="I12" s="28" t="n">
        <v>1913.447181293569</v>
      </c>
    </row>
    <row r="13">
      <c r="A13" s="6" t="inlineStr">
        <is>
          <t>Profit before tax</t>
        </is>
      </c>
      <c r="B13" s="28" t="n">
        <v>16218.3</v>
      </c>
      <c r="C13" s="28" t="n">
        <v>26958.7</v>
      </c>
      <c r="D13" s="28" t="n">
        <v>25573.33333333333</v>
      </c>
    </row>
    <row r="14">
      <c r="A14" s="6" t="inlineStr">
        <is>
          <t>Income tax</t>
        </is>
      </c>
      <c r="B14" s="28" t="n">
        <v>-5080.4</v>
      </c>
      <c r="C14" s="28" t="n">
        <v>-8121.5</v>
      </c>
      <c r="D14" s="28" t="n">
        <v>-6393.333333333332</v>
      </c>
    </row>
    <row r="15">
      <c r="A15" s="6" t="inlineStr">
        <is>
          <t>Profit for the year</t>
        </is>
      </c>
      <c r="B15" s="28" t="n">
        <v>11138</v>
      </c>
      <c r="C15" s="28" t="n">
        <v>18837.2</v>
      </c>
      <c r="D15" s="28" t="n">
        <v>19180</v>
      </c>
    </row>
    <row r="16">
      <c r="A16" s="6" t="inlineStr">
        <is>
          <t>Non-controlling interests</t>
        </is>
      </c>
      <c r="B16" s="28" t="n">
        <v>-1022.299999999999</v>
      </c>
      <c r="C16" s="28" t="n">
        <v>-1375.799999999999</v>
      </c>
      <c r="D16" s="28" t="n">
        <v>-1850</v>
      </c>
    </row>
    <row r="17">
      <c r="A17" s="14" t="inlineStr">
        <is>
          <t>Profit attributable to shareholders</t>
        </is>
      </c>
      <c r="B17" s="29" t="n">
        <v>10115.7</v>
      </c>
      <c r="C17" s="29" t="n">
        <v>17461.4</v>
      </c>
      <c r="D17" s="29" t="n">
        <v>17330</v>
      </c>
      <c r="E17" s="29" t="n">
        <v>23402.91492400461</v>
      </c>
      <c r="F17" s="29" t="n">
        <v>25655.38637609128</v>
      </c>
      <c r="G17" s="29" t="n">
        <v>28760.73212503701</v>
      </c>
      <c r="H17" s="29" t="n">
        <v>32311.21619073199</v>
      </c>
      <c r="I17" s="29" t="n">
        <v>36223.78337066263</v>
      </c>
    </row>
    <row r="18">
      <c r="A18" s="6" t="inlineStr">
        <is>
          <t>Earnings per share (EGP)</t>
        </is>
      </c>
      <c r="B18" s="9">
        <f>B17/2140.777876</f>
        <v/>
      </c>
      <c r="C18" s="9">
        <f>C17/2140.777876</f>
        <v/>
      </c>
      <c r="D18" s="9">
        <f>D17/2140.777876</f>
        <v/>
      </c>
      <c r="E18" s="9">
        <f>E17/2140.777876</f>
        <v/>
      </c>
      <c r="F18" s="9">
        <f>F17/2140.777876</f>
        <v/>
      </c>
      <c r="G18" s="9">
        <f>G17/2140.777876</f>
        <v/>
      </c>
      <c r="H18" s="9">
        <f>H17/2140.777876</f>
        <v/>
      </c>
      <c r="I18" s="9">
        <f>I17/2140.777876</f>
        <v/>
      </c>
    </row>
    <row r="20">
      <c r="A20" s="4" t="inlineStr">
        <is>
          <t>Note: FY2023 and FY2024 are audited. FY2025 revenue, profit after tax and profit after minority interests are disclosed; the intermediate lines are derived by closing the account to the reported profit. Forecast profit is struck after interest on the estimated debt and cash balances, so it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8" t="n">
        <v>18009.2</v>
      </c>
      <c r="C5" s="28" t="n">
        <v>27543.8</v>
      </c>
      <c r="D5" s="28" t="n">
        <v>33024.2555</v>
      </c>
      <c r="E5" s="28" t="n">
        <v>40152.59886118259</v>
      </c>
      <c r="F5" s="28" t="n">
        <v>47710.24452099267</v>
      </c>
      <c r="G5" s="28" t="n">
        <v>55449.64969540044</v>
      </c>
      <c r="H5" s="28" t="n">
        <v>62846.51217785713</v>
      </c>
      <c r="I5" s="28" t="n">
        <v>69788.10693633846</v>
      </c>
    </row>
    <row r="6">
      <c r="A6" s="6" t="inlineStr">
        <is>
          <t>Inventories</t>
        </is>
      </c>
      <c r="B6" s="28" t="n">
        <v>30881.8</v>
      </c>
      <c r="C6" s="28" t="n">
        <v>56795.9</v>
      </c>
      <c r="D6" s="28" t="inlineStr">
        <is>
          <t>-</t>
        </is>
      </c>
    </row>
    <row r="7">
      <c r="A7" s="6" t="inlineStr">
        <is>
          <t>Contract assets</t>
        </is>
      </c>
      <c r="B7" s="28" t="n">
        <v>16179.6</v>
      </c>
      <c r="C7" s="28" t="n">
        <v>18052</v>
      </c>
      <c r="D7" s="28" t="inlineStr">
        <is>
          <t>-</t>
        </is>
      </c>
    </row>
    <row r="8">
      <c r="A8" s="6" t="inlineStr">
        <is>
          <t>Trade and other receivables</t>
        </is>
      </c>
      <c r="B8" s="28" t="n">
        <v>46591.9</v>
      </c>
      <c r="C8" s="28" t="n">
        <v>86736.3</v>
      </c>
      <c r="D8" s="28" t="inlineStr">
        <is>
          <t>-</t>
        </is>
      </c>
    </row>
    <row r="9">
      <c r="A9" s="6" t="inlineStr">
        <is>
          <t>Cash and cash equivalents</t>
        </is>
      </c>
      <c r="B9" s="28" t="n">
        <v>25552</v>
      </c>
      <c r="C9" s="28" t="n">
        <v>38180</v>
      </c>
      <c r="D9" s="28" t="n">
        <v>51827.72053413192</v>
      </c>
    </row>
    <row r="10">
      <c r="A10" s="14" t="inlineStr">
        <is>
          <t>Total assets</t>
        </is>
      </c>
      <c r="B10" s="29" t="n">
        <v>151448.7</v>
      </c>
      <c r="C10" s="29" t="n">
        <v>249527.1</v>
      </c>
      <c r="D10" s="29" t="n">
        <v>311090</v>
      </c>
      <c r="E10" s="14" t="n"/>
      <c r="F10" s="14" t="n"/>
      <c r="G10" s="14" t="n"/>
      <c r="H10" s="14" t="n"/>
      <c r="I10" s="14" t="n"/>
    </row>
    <row r="11">
      <c r="A11" s="6" t="inlineStr">
        <is>
          <t>Loans and borrowings</t>
        </is>
      </c>
      <c r="B11" s="28" t="n">
        <v>41766.5</v>
      </c>
      <c r="C11" s="28" t="n">
        <v>59082.9</v>
      </c>
      <c r="D11" s="28" t="n">
        <v>71616.72053413192</v>
      </c>
    </row>
    <row r="12">
      <c r="A12" s="6" t="inlineStr">
        <is>
          <t>Trade and other payables</t>
        </is>
      </c>
      <c r="B12" s="28" t="n">
        <v>31938.1</v>
      </c>
      <c r="C12" s="28" t="n">
        <v>54808.2</v>
      </c>
      <c r="D12" s="28" t="inlineStr">
        <is>
          <t>-</t>
        </is>
      </c>
    </row>
    <row r="13">
      <c r="A13" s="6" t="inlineStr">
        <is>
          <t>Contract liabilities</t>
        </is>
      </c>
      <c r="B13" s="28" t="n">
        <v>25060.3</v>
      </c>
      <c r="C13" s="28" t="n">
        <v>53281.1</v>
      </c>
      <c r="D13" s="28" t="inlineStr">
        <is>
          <t>-</t>
        </is>
      </c>
    </row>
    <row r="14">
      <c r="A14" s="14" t="inlineStr">
        <is>
          <t>Equity attributable to shareholders</t>
        </is>
      </c>
      <c r="B14" s="29" t="n">
        <v>35724.5</v>
      </c>
      <c r="C14" s="29" t="n">
        <v>55274.9</v>
      </c>
      <c r="D14" s="29" t="n">
        <v>70464.12212399999</v>
      </c>
      <c r="E14" s="29" t="n">
        <v>88016.30831700345</v>
      </c>
      <c r="F14" s="29" t="n">
        <v>107257.8480990719</v>
      </c>
      <c r="G14" s="29" t="n">
        <v>128828.3971928497</v>
      </c>
      <c r="H14" s="29" t="n">
        <v>153061.8093358987</v>
      </c>
      <c r="I14" s="29" t="n">
        <v>180229.6468638956</v>
      </c>
    </row>
    <row r="15">
      <c r="A15" s="6" t="inlineStr">
        <is>
          <t>Non-controlling interests</t>
        </is>
      </c>
      <c r="B15" s="28" t="n">
        <v>2384</v>
      </c>
      <c r="C15" s="28" t="n">
        <v>4251.8</v>
      </c>
      <c r="D15" s="28" t="n">
        <v>5851.8</v>
      </c>
    </row>
    <row r="16">
      <c r="A16" s="6" t="inlineStr">
        <is>
          <t>Net working capital</t>
        </is>
      </c>
      <c r="B16" s="28" t="n">
        <v>36654.90000000001</v>
      </c>
      <c r="C16" s="28" t="n">
        <v>53494.90000000002</v>
      </c>
      <c r="D16" s="28" t="n">
        <v>64641.27</v>
      </c>
      <c r="E16" s="28" t="n">
        <v>84077.89605497415</v>
      </c>
      <c r="F16" s="28" t="n">
        <v>93959.91901385502</v>
      </c>
      <c r="G16" s="28" t="n">
        <v>101717.8965779308</v>
      </c>
      <c r="H16" s="28" t="n">
        <v>109759.8949009704</v>
      </c>
      <c r="I16" s="28" t="n">
        <v>118264.2069963484</v>
      </c>
    </row>
    <row r="17">
      <c r="A17" s="14" t="inlineStr">
        <is>
          <t>Net bank debt</t>
        </is>
      </c>
      <c r="B17" s="29" t="n">
        <v>14768</v>
      </c>
      <c r="C17" s="29" t="n">
        <v>20028</v>
      </c>
      <c r="D17" s="29" t="n">
        <v>19789</v>
      </c>
      <c r="E17" s="29" t="n">
        <v>27358.32227038879</v>
      </c>
      <c r="F17" s="29" t="n">
        <v>23956.92235029294</v>
      </c>
      <c r="G17" s="29" t="n">
        <v>16043.86491166744</v>
      </c>
      <c r="H17" s="29" t="n">
        <v>5128.832060029791</v>
      </c>
      <c r="I17" s="29" t="n">
        <v>-9024.949133257413</v>
      </c>
    </row>
    <row r="18">
      <c r="A18" s="6" t="inlineStr">
        <is>
          <t>Net debt / EBITDA</t>
        </is>
      </c>
      <c r="B18" s="33">
        <f>B17/'Income Statement'!B7</f>
        <v/>
      </c>
      <c r="C18" s="33">
        <f>C17/'Income Statement'!C7</f>
        <v/>
      </c>
      <c r="D18" s="33">
        <f>D17/'Income Statement'!D7</f>
        <v/>
      </c>
      <c r="E18" s="33">
        <f>E17/'Income Statement'!E7</f>
        <v/>
      </c>
      <c r="F18" s="33">
        <f>F17/'Income Statement'!F7</f>
        <v/>
      </c>
      <c r="G18" s="33">
        <f>G17/'Income Statement'!G7</f>
        <v/>
      </c>
      <c r="H18" s="33">
        <f>H17/'Income Statement'!H7</f>
        <v/>
      </c>
      <c r="I18" s="33">
        <f>I17/'Income Statement'!I7</f>
        <v/>
      </c>
    </row>
    <row r="19">
      <c r="A19" s="6" t="inlineStr">
        <is>
          <t>Residual: other liabilities, provisions and deferred tax not shown separately (total assets less the lines above)</t>
        </is>
      </c>
      <c r="B19" s="28">
        <f>B10-(B11+B12+B13+B14+B15)</f>
        <v/>
      </c>
      <c r="C19" s="28">
        <f>C10-(C11+C12+C13+C14+C15)</f>
        <v/>
      </c>
      <c r="D19" s="6" t="inlineStr">
        <is>
          <t>n/a</t>
        </is>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FY2025 shows only the disclosed lines (total assets, net bank debt) plus rolled-forward equity and triangulated debt and cash; the valuation bridge uses only the disclosed net bank debt.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5"/>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FY2023</t>
        </is>
      </c>
      <c r="C4" s="5" t="inlineStr">
        <is>
          <t>FY2024</t>
        </is>
      </c>
      <c r="D4" s="5" t="inlineStr">
        <is>
          <t>FY26E</t>
        </is>
      </c>
      <c r="E4" s="5" t="inlineStr">
        <is>
          <t>FY27E</t>
        </is>
      </c>
      <c r="F4" s="5" t="inlineStr">
        <is>
          <t>FY28E</t>
        </is>
      </c>
      <c r="G4" s="5" t="inlineStr">
        <is>
          <t>FY29E</t>
        </is>
      </c>
      <c r="H4" s="5" t="inlineStr">
        <is>
          <t>FY30E</t>
        </is>
      </c>
    </row>
    <row r="5">
      <c r="A5" s="6" t="inlineStr">
        <is>
          <t>EBITDA</t>
        </is>
      </c>
      <c r="B5" s="28" t="n">
        <v>20035.1</v>
      </c>
      <c r="C5" s="28" t="n">
        <v>31601.6</v>
      </c>
      <c r="D5" s="28" t="n">
        <v>41094.2415179939</v>
      </c>
      <c r="E5" s="28" t="n">
        <v>44940.76148621193</v>
      </c>
      <c r="F5" s="28" t="n">
        <v>48914.41709217701</v>
      </c>
      <c r="G5" s="28" t="n">
        <v>53240.26178029377</v>
      </c>
      <c r="H5" s="28" t="n">
        <v>57882.44686110957</v>
      </c>
    </row>
    <row r="6">
      <c r="A6" s="6" t="inlineStr">
        <is>
          <t>Interest paid</t>
        </is>
      </c>
      <c r="B6" s="28" t="inlineStr">
        <is>
          <t>-</t>
        </is>
      </c>
      <c r="C6" s="28" t="n">
        <v>-7706.9</v>
      </c>
    </row>
    <row r="7">
      <c r="A7" s="6" t="inlineStr">
        <is>
          <t>Income tax paid</t>
        </is>
      </c>
      <c r="B7" s="28" t="inlineStr">
        <is>
          <t>-</t>
        </is>
      </c>
      <c r="C7" s="28" t="n">
        <v>-4891</v>
      </c>
    </row>
    <row r="8">
      <c r="A8" s="6" t="inlineStr">
        <is>
          <t>Operating cash flow after interest and tax</t>
        </is>
      </c>
      <c r="B8" s="28" t="inlineStr">
        <is>
          <t>-</t>
        </is>
      </c>
      <c r="C8" s="28" t="n">
        <v>3979.4</v>
      </c>
    </row>
    <row r="9">
      <c r="A9" s="6" t="inlineStr">
        <is>
          <t>Capital expenditure</t>
        </is>
      </c>
      <c r="B9" s="28" t="n">
        <v>-4830</v>
      </c>
      <c r="C9" s="28" t="n">
        <v>-8765.700000000001</v>
      </c>
      <c r="D9" s="28" t="n">
        <v>-10966.68209412706</v>
      </c>
      <c r="E9" s="28" t="n">
        <v>-11847.12022348607</v>
      </c>
      <c r="F9" s="28" t="n">
        <v>-12383.04827905244</v>
      </c>
      <c r="G9" s="28" t="n">
        <v>-12407.64029315317</v>
      </c>
      <c r="H9" s="28" t="n">
        <v>-12340.61290396679</v>
      </c>
    </row>
    <row r="10">
      <c r="A10" s="6" t="inlineStr">
        <is>
          <t>Change in working capital</t>
        </is>
      </c>
      <c r="B10" s="28" t="inlineStr">
        <is>
          <t>-</t>
        </is>
      </c>
      <c r="C10" s="28" t="n">
        <v>-16840.00000000001</v>
      </c>
      <c r="D10" s="28" t="n">
        <v>-19436.62605497414</v>
      </c>
      <c r="E10" s="28" t="n">
        <v>-9882.022958880872</v>
      </c>
      <c r="F10" s="28" t="n">
        <v>-7757.977564075773</v>
      </c>
      <c r="G10" s="28" t="n">
        <v>-8041.998323039588</v>
      </c>
      <c r="H10" s="28" t="n">
        <v>-8504.31209537806</v>
      </c>
    </row>
    <row r="11">
      <c r="A11" s="6" t="inlineStr">
        <is>
          <t>NOPAT</t>
        </is>
      </c>
      <c r="B11" s="28" t="inlineStr">
        <is>
          <t>-</t>
        </is>
      </c>
      <c r="C11" s="28" t="inlineStr">
        <is>
          <t>-</t>
        </is>
      </c>
      <c r="D11" s="28" t="n">
        <v>27941.92708878707</v>
      </c>
      <c r="E11" s="28" t="n">
        <v>30488.46519190195</v>
      </c>
      <c r="F11" s="28" t="n">
        <v>33203.08049064926</v>
      </c>
      <c r="G11" s="28" t="n">
        <v>36172.11297719798</v>
      </c>
      <c r="H11" s="28" t="n">
        <v>39362.57153671807</v>
      </c>
    </row>
    <row r="12">
      <c r="A12" s="14" t="inlineStr">
        <is>
          <t>Free cash flow to the firm</t>
        </is>
      </c>
      <c r="B12" s="29" t="inlineStr">
        <is>
          <t>-</t>
        </is>
      </c>
      <c r="C12" s="29" t="inlineStr">
        <is>
          <t>-</t>
        </is>
      </c>
      <c r="D12" s="29" t="n">
        <v>1376.957672630335</v>
      </c>
      <c r="E12" s="29" t="n">
        <v>13048.796573211</v>
      </c>
      <c r="F12" s="29" t="n">
        <v>17705.69775216571</v>
      </c>
      <c r="G12" s="29" t="n">
        <v>20733.25217170169</v>
      </c>
      <c r="H12" s="29" t="n">
        <v>23916.66468285869</v>
      </c>
      <c r="I12" s="14" t="n"/>
    </row>
    <row r="14">
      <c r="A14" s="6" t="inlineStr">
        <is>
          <t>Cash conversion — operating cash flow as a share of EBITDA, FY2024</t>
        </is>
      </c>
      <c r="C14" s="10" t="n">
        <v>0.1259240038479064</v>
      </c>
    </row>
    <row r="15">
      <c r="A15"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28" t="n">
        <v>152186.2</v>
      </c>
      <c r="C5" s="28" t="n">
        <v>231981.8</v>
      </c>
      <c r="D5" s="28" t="n">
        <v>281049</v>
      </c>
      <c r="E5" s="28" t="n">
        <v>365556.0698042354</v>
      </c>
      <c r="F5" s="28" t="n">
        <v>408521.3870167609</v>
      </c>
      <c r="G5" s="28" t="n">
        <v>442251.724251873</v>
      </c>
      <c r="H5" s="28" t="n">
        <v>477216.9343520451</v>
      </c>
      <c r="I5" s="28" t="n">
        <v>514192.2043319497</v>
      </c>
    </row>
    <row r="6">
      <c r="A6" s="6" t="inlineStr">
        <is>
          <t>Revenue growth</t>
        </is>
      </c>
      <c r="B6" s="10" t="inlineStr">
        <is>
          <t>-</t>
        </is>
      </c>
      <c r="C6" s="10" t="n">
        <v>0.5243287499129354</v>
      </c>
      <c r="D6" s="10" t="n">
        <v>0.2115131445656513</v>
      </c>
      <c r="E6" s="10" t="n">
        <v>0.3006844706945602</v>
      </c>
      <c r="F6" s="10" t="n">
        <v>0.1175341370628438</v>
      </c>
      <c r="G6" s="10" t="n">
        <v>0.08256688219294661</v>
      </c>
      <c r="H6" s="10" t="n">
        <v>0.07906178355623239</v>
      </c>
      <c r="I6" s="10" t="n">
        <v>0.07748105173616437</v>
      </c>
    </row>
    <row r="7">
      <c r="A7" s="6" t="inlineStr">
        <is>
          <t>EBITDA</t>
        </is>
      </c>
      <c r="B7" s="28" t="n">
        <v>20035.1</v>
      </c>
      <c r="C7" s="28" t="n">
        <v>31601.6</v>
      </c>
      <c r="D7" s="28" t="n">
        <v>30622.08783333333</v>
      </c>
      <c r="E7" s="28" t="n">
        <v>41094.2415179939</v>
      </c>
      <c r="F7" s="28" t="n">
        <v>44940.76148621193</v>
      </c>
      <c r="G7" s="28" t="n">
        <v>48914.41709217701</v>
      </c>
      <c r="H7" s="28" t="n">
        <v>53240.26178029377</v>
      </c>
      <c r="I7" s="28" t="n">
        <v>57882.44686110957</v>
      </c>
    </row>
    <row r="8">
      <c r="A8" s="6" t="inlineStr">
        <is>
          <t>EBITDA margin</t>
        </is>
      </c>
      <c r="B8" s="10" t="n">
        <v>0.1316485988874155</v>
      </c>
      <c r="C8" s="10" t="n">
        <v>0.1362244796790093</v>
      </c>
      <c r="D8" s="10" t="n">
        <v>0.1089564020271673</v>
      </c>
      <c r="E8" s="10" t="n">
        <v>0.112415700114078</v>
      </c>
      <c r="F8" s="10" t="n">
        <v>0.1100083445187365</v>
      </c>
      <c r="G8" s="10" t="n">
        <v>0.1106031122318905</v>
      </c>
      <c r="H8" s="10" t="n">
        <v>0.1115640664608482</v>
      </c>
      <c r="I8" s="10" t="n">
        <v>0.1125696702000991</v>
      </c>
    </row>
    <row r="9">
      <c r="A9" s="6" t="inlineStr">
        <is>
          <t>EBIT</t>
        </is>
      </c>
      <c r="B9" s="28" t="n">
        <v>17739.1</v>
      </c>
      <c r="C9" s="28" t="n">
        <v>29341.7</v>
      </c>
      <c r="D9" s="28" t="n">
        <v>27671.07333333333</v>
      </c>
      <c r="E9" s="28" t="n">
        <v>37255.90278504942</v>
      </c>
      <c r="F9" s="28" t="n">
        <v>40651.28692253594</v>
      </c>
      <c r="G9" s="28" t="n">
        <v>44270.77398753235</v>
      </c>
      <c r="H9" s="28" t="n">
        <v>48229.4839695973</v>
      </c>
      <c r="I9" s="28" t="n">
        <v>52483.42871562409</v>
      </c>
    </row>
    <row r="10">
      <c r="A10" s="6" t="inlineStr">
        <is>
          <t>Attributable profit</t>
        </is>
      </c>
      <c r="B10" s="28" t="n">
        <v>10115.7</v>
      </c>
      <c r="C10" s="28" t="n">
        <v>17461.4</v>
      </c>
      <c r="D10" s="28" t="n">
        <v>17330</v>
      </c>
      <c r="E10" s="28" t="n">
        <v>23402.91492400461</v>
      </c>
      <c r="F10" s="28" t="n">
        <v>25655.38637609128</v>
      </c>
      <c r="G10" s="28" t="n">
        <v>28760.73212503701</v>
      </c>
      <c r="H10" s="28" t="n">
        <v>32311.21619073199</v>
      </c>
      <c r="I10" s="28" t="n">
        <v>36223.78337066263</v>
      </c>
    </row>
    <row r="11">
      <c r="A11" s="6" t="inlineStr">
        <is>
          <t>Free cash flow to the firm</t>
        </is>
      </c>
      <c r="B11" s="28" t="inlineStr">
        <is>
          <t>-</t>
        </is>
      </c>
      <c r="C11" s="28" t="inlineStr">
        <is>
          <t>-</t>
        </is>
      </c>
      <c r="D11" s="28" t="inlineStr">
        <is>
          <t>-</t>
        </is>
      </c>
      <c r="E11" s="28" t="n">
        <v>1376.957672630335</v>
      </c>
      <c r="F11" s="28" t="n">
        <v>13048.796573211</v>
      </c>
      <c r="G11" s="28" t="n">
        <v>17705.69775216571</v>
      </c>
      <c r="H11" s="28" t="n">
        <v>20733.25217170169</v>
      </c>
      <c r="I11" s="28" t="n">
        <v>23916.66468285869</v>
      </c>
    </row>
    <row r="12">
      <c r="A12" s="6" t="inlineStr">
        <is>
          <t>Net bank debt</t>
        </is>
      </c>
      <c r="B12" s="28" t="n">
        <v>14768</v>
      </c>
      <c r="C12" s="28" t="n">
        <v>20028</v>
      </c>
      <c r="D12" s="28" t="n">
        <v>19789</v>
      </c>
      <c r="E12" s="28" t="n">
        <v>27358.32227038879</v>
      </c>
      <c r="F12" s="28" t="n">
        <v>23956.92235029294</v>
      </c>
      <c r="G12" s="28" t="n">
        <v>16043.86491166744</v>
      </c>
      <c r="H12" s="28" t="n">
        <v>5128.832060029791</v>
      </c>
      <c r="I12" s="28" t="n">
        <v>-9024.949133257413</v>
      </c>
    </row>
    <row r="13">
      <c r="A13" s="6" t="inlineStr">
        <is>
          <t>Invested capital</t>
        </is>
      </c>
      <c r="B13" s="28" t="inlineStr">
        <is>
          <t>-</t>
        </is>
      </c>
      <c r="C13" s="28" t="inlineStr">
        <is>
          <t>-</t>
        </is>
      </c>
      <c r="D13" s="28" t="inlineStr">
        <is>
          <t>-</t>
        </is>
      </c>
      <c r="E13" s="28" t="n">
        <v>125689.6949161567</v>
      </c>
      <c r="F13" s="28" t="n">
        <v>143129.3635348477</v>
      </c>
      <c r="G13" s="28" t="n">
        <v>158626.7462733312</v>
      </c>
      <c r="H13" s="28" t="n">
        <v>174065.6070788275</v>
      </c>
      <c r="I13" s="28" t="n">
        <v>189511.5139326869</v>
      </c>
    </row>
    <row r="14">
      <c r="A14" s="6" t="inlineStr">
        <is>
          <t>Return on invested capital</t>
        </is>
      </c>
      <c r="B14" s="10" t="inlineStr">
        <is>
          <t>-</t>
        </is>
      </c>
      <c r="C14" s="10" t="inlineStr">
        <is>
          <t>-</t>
        </is>
      </c>
      <c r="D14" s="10" t="inlineStr">
        <is>
          <t>-</t>
        </is>
      </c>
      <c r="E14" s="10" t="n">
        <v>0.2223088146361256</v>
      </c>
      <c r="F14" s="10" t="n">
        <v>0.2130133498740734</v>
      </c>
      <c r="G14" s="10" t="n">
        <v>0.2093157760005789</v>
      </c>
      <c r="H14" s="10" t="n">
        <v>0.2078073525507945</v>
      </c>
      <c r="I14" s="10" t="n">
        <v>0.2077054355161732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9" t="n">
        <v>87.47283768142248</v>
      </c>
      <c r="C5" s="9" t="n">
        <v>99.10709529417855</v>
      </c>
      <c r="D5" s="9" t="n">
        <v>106.6824907823649</v>
      </c>
      <c r="E5" s="9" t="n">
        <v>114.8982326066757</v>
      </c>
      <c r="F5" s="9" t="n">
        <v>130.1682181904347</v>
      </c>
      <c r="G5" s="10" t="n">
        <v>0.55144</v>
      </c>
    </row>
    <row r="6">
      <c r="A6" s="6" t="inlineStr">
        <is>
          <t>Three months — to 2026-11-05</t>
        </is>
      </c>
      <c r="B6" s="9" t="n">
        <v>78.29508034182929</v>
      </c>
      <c r="C6" s="9" t="n">
        <v>96.93670208976819</v>
      </c>
      <c r="D6" s="9" t="n">
        <v>109.9075824742194</v>
      </c>
      <c r="E6" s="9" t="n">
        <v>124.4581193266816</v>
      </c>
      <c r="F6" s="9" t="n">
        <v>154.1934203763022</v>
      </c>
      <c r="G6" s="10" t="n">
        <v>0.59456</v>
      </c>
    </row>
    <row r="8">
      <c r="A8" s="5" t="inlineStr">
        <is>
          <t>Level event</t>
        </is>
      </c>
      <c r="B8" s="5" t="inlineStr">
        <is>
          <t>One month</t>
        </is>
      </c>
      <c r="C8" s="5" t="inlineStr">
        <is>
          <t>Three months</t>
        </is>
      </c>
    </row>
    <row r="9">
      <c r="A9" s="6" t="inlineStr">
        <is>
          <t>Finishes 10% or more above spot</t>
        </is>
      </c>
      <c r="B9" s="10" t="n">
        <v>0.23044</v>
      </c>
      <c r="C9" s="10" t="n">
        <v>0.3878</v>
      </c>
    </row>
    <row r="10">
      <c r="A10" s="6" t="inlineStr">
        <is>
          <t>Finishes 10% or more below spot</t>
        </is>
      </c>
      <c r="B10" s="10" t="n">
        <v>0.14414</v>
      </c>
      <c r="C10" s="10" t="n">
        <v>0.21232</v>
      </c>
    </row>
    <row r="11">
      <c r="A11" s="6" t="inlineStr">
        <is>
          <t>Touches 10% above spot at any point</t>
        </is>
      </c>
      <c r="B11" s="10" t="n">
        <v>0.36882</v>
      </c>
      <c r="C11" s="10" t="n">
        <v>0.6306</v>
      </c>
    </row>
    <row r="12">
      <c r="A12" s="6" t="inlineStr">
        <is>
          <t>Touches 10% below spot at any point</t>
        </is>
      </c>
      <c r="B12" s="10" t="n">
        <v>0.2549</v>
      </c>
      <c r="C12" s="10" t="n">
        <v>0.446</v>
      </c>
    </row>
    <row r="14">
      <c r="A14" s="5" t="inlineStr">
        <is>
          <t>Engine setting</t>
        </is>
      </c>
      <c r="B14" s="5" t="inlineStr">
        <is>
          <t>Value</t>
        </is>
      </c>
    </row>
    <row r="15">
      <c r="A15" s="6" t="inlineStr">
        <is>
          <t>Simulated paths</t>
        </is>
      </c>
      <c r="C15" s="28" t="n">
        <v>50000</v>
      </c>
    </row>
    <row r="16">
      <c r="A16" s="6" t="inlineStr">
        <is>
          <t>Annualised volatility (3-month anchor)</t>
        </is>
      </c>
      <c r="C16" s="10" t="n">
        <v>0.4838094309558744</v>
      </c>
    </row>
    <row r="17">
      <c r="A17" s="6" t="inlineStr">
        <is>
          <t>Spot price (EGP)</t>
        </is>
      </c>
      <c r="C17" s="9" t="n">
        <v>105.2</v>
      </c>
    </row>
    <row r="18">
      <c r="A18" s="6" t="inlineStr">
        <is>
          <t>Anchor date</t>
        </is>
      </c>
      <c r="C18" s="6"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t>
        </is>
      </c>
    </row>
    <row r="4">
      <c r="A4" s="20"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13.1%</t>
        </is>
      </c>
      <c r="B6" s="9" t="n">
        <v>71.48013737611937</v>
      </c>
      <c r="C6" s="9" t="n">
        <v>75.158505958635</v>
      </c>
      <c r="D6" s="9" t="n">
        <v>79.66249997898875</v>
      </c>
      <c r="E6" s="9" t="n">
        <v>85.33897230281774</v>
      </c>
      <c r="F6" s="9" t="n">
        <v>92.76070177891306</v>
      </c>
    </row>
    <row r="7">
      <c r="A7" s="6" t="inlineStr">
        <is>
          <t>14.1%</t>
        </is>
      </c>
      <c r="B7" s="9" t="n">
        <v>64.51999723358476</v>
      </c>
      <c r="C7" s="9" t="n">
        <v>67.23266415979741</v>
      </c>
      <c r="D7" s="9" t="n">
        <v>70.47099233404454</v>
      </c>
      <c r="E7" s="9" t="n">
        <v>74.42869060586594</v>
      </c>
      <c r="F7" s="9" t="n">
        <v>79.40797299188714</v>
      </c>
    </row>
    <row r="8">
      <c r="A8" s="6" t="inlineStr">
        <is>
          <t>15.1%</t>
        </is>
      </c>
      <c r="B8" s="9" t="n">
        <v>58.71390500851878</v>
      </c>
      <c r="C8" s="9" t="n">
        <v>60.7356474116613</v>
      </c>
      <c r="D8" s="9" t="n">
        <v>63.09639197519306</v>
      </c>
      <c r="E8" s="9" t="n">
        <v>65.90739638220869</v>
      </c>
      <c r="F8" s="9" t="n">
        <v>69.3345836803008</v>
      </c>
    </row>
    <row r="9">
      <c r="A9" s="6" t="inlineStr">
        <is>
          <t>16.1%</t>
        </is>
      </c>
      <c r="B9" s="9" t="n">
        <v>53.79809034203993</v>
      </c>
      <c r="C9" s="9" t="n">
        <v>55.314134925563</v>
      </c>
      <c r="D9" s="9" t="n">
        <v>57.04924305755583</v>
      </c>
      <c r="E9" s="9" t="n">
        <v>59.06822004769293</v>
      </c>
      <c r="F9" s="9" t="n">
        <v>61.46422928886715</v>
      </c>
    </row>
    <row r="10">
      <c r="A10" s="6" t="inlineStr">
        <is>
          <t>17.1%</t>
        </is>
      </c>
      <c r="B10" s="9" t="n">
        <v>49.58340787307901</v>
      </c>
      <c r="C10" s="9" t="n">
        <v>50.72236517614795</v>
      </c>
      <c r="D10" s="9" t="n">
        <v>52.00135637265844</v>
      </c>
      <c r="E10" s="9" t="n">
        <v>53.45808918007977</v>
      </c>
      <c r="F10" s="9" t="n">
        <v>55.14514468831749</v>
      </c>
    </row>
    <row r="12">
      <c r="A12" s="20" t="inlineStr">
        <is>
          <t>Explicit-window cost of capital (columns) x terminal cost of capital (rows)</t>
        </is>
      </c>
    </row>
    <row r="13">
      <c r="A13" s="5" t="inlineStr"/>
      <c r="B13" s="5" t="inlineStr">
        <is>
          <t>23.9%</t>
        </is>
      </c>
      <c r="C13" s="5" t="inlineStr">
        <is>
          <t>25.4%</t>
        </is>
      </c>
      <c r="D13" s="5" t="inlineStr">
        <is>
          <t>26.9%</t>
        </is>
      </c>
      <c r="E13" s="5" t="inlineStr">
        <is>
          <t>28.4%</t>
        </is>
      </c>
      <c r="F13" s="5" t="inlineStr">
        <is>
          <t>29.9%</t>
        </is>
      </c>
    </row>
    <row r="14">
      <c r="A14" s="6" t="inlineStr">
        <is>
          <t>terminal 13.1%</t>
        </is>
      </c>
      <c r="B14" s="9" t="n">
        <v>84.33728753089692</v>
      </c>
      <c r="C14" s="9" t="n">
        <v>81.95820408756369</v>
      </c>
      <c r="D14" s="9" t="n">
        <v>79.66249997898875</v>
      </c>
      <c r="E14" s="9" t="n">
        <v>77.44651129819714</v>
      </c>
      <c r="F14" s="9" t="n">
        <v>75.30676865150218</v>
      </c>
    </row>
    <row r="15">
      <c r="A15" s="6" t="inlineStr">
        <is>
          <t>terminal 14.1%</t>
        </is>
      </c>
      <c r="B15" s="9" t="n">
        <v>74.62341007610547</v>
      </c>
      <c r="C15" s="9" t="n">
        <v>72.51027129509237</v>
      </c>
      <c r="D15" s="9" t="n">
        <v>70.47099233404454</v>
      </c>
      <c r="E15" s="9" t="n">
        <v>68.50233381059978</v>
      </c>
      <c r="F15" s="9" t="n">
        <v>66.60122807292484</v>
      </c>
    </row>
    <row r="16">
      <c r="A16" s="6" t="inlineStr">
        <is>
          <t>terminal 15.1%</t>
        </is>
      </c>
      <c r="B16" s="9" t="n">
        <v>66.82989265057586</v>
      </c>
      <c r="C16" s="9" t="n">
        <v>64.9300279088521</v>
      </c>
      <c r="D16" s="9" t="n">
        <v>63.09639197519306</v>
      </c>
      <c r="E16" s="9" t="n">
        <v>61.32608564835102</v>
      </c>
      <c r="F16" s="9" t="n">
        <v>59.61636320712214</v>
      </c>
    </row>
    <row r="17">
      <c r="A17" s="6" t="inlineStr">
        <is>
          <t>terminal 16.1%</t>
        </is>
      </c>
      <c r="B17" s="9" t="n">
        <v>60.43940513969982</v>
      </c>
      <c r="C17" s="9" t="n">
        <v>58.71433541623137</v>
      </c>
      <c r="D17" s="9" t="n">
        <v>57.04924305755583</v>
      </c>
      <c r="E17" s="9" t="n">
        <v>55.44150743399135</v>
      </c>
      <c r="F17" s="9" t="n">
        <v>53.88864645585161</v>
      </c>
    </row>
    <row r="18">
      <c r="A18" s="6" t="inlineStr">
        <is>
          <t>terminal 17.1%</t>
        </is>
      </c>
      <c r="B18" s="9" t="n">
        <v>55.10506833536628</v>
      </c>
      <c r="C18" s="9" t="n">
        <v>53.52583022982751</v>
      </c>
      <c r="D18" s="9" t="n">
        <v>52.00135637265844</v>
      </c>
      <c r="E18" s="9" t="n">
        <v>50.52925833918371</v>
      </c>
      <c r="F18" s="9" t="n">
        <v>49.1072737958847</v>
      </c>
    </row>
    <row r="20">
      <c r="A20" s="20" t="inlineStr">
        <is>
          <t>Single-driver sensitivities</t>
        </is>
      </c>
    </row>
    <row r="21">
      <c r="A21" s="5" t="inlineStr">
        <is>
          <t>Driver</t>
        </is>
      </c>
      <c r="B21" s="5" t="inlineStr">
        <is>
          <t>Low</t>
        </is>
      </c>
      <c r="C21" s="5" t="inlineStr"/>
      <c r="D21" s="5" t="inlineStr">
        <is>
          <t>Base</t>
        </is>
      </c>
      <c r="E21" s="5" t="inlineStr"/>
      <c r="F21" s="5" t="inlineStr">
        <is>
          <t>High</t>
        </is>
      </c>
      <c r="G21" s="5" t="inlineStr">
        <is>
          <t>Swing</t>
        </is>
      </c>
    </row>
    <row r="22">
      <c r="A22" s="6" t="inlineStr">
        <is>
          <t>Beta</t>
        </is>
      </c>
      <c r="B22" s="9" t="n">
        <v>86.86398352810841</v>
      </c>
      <c r="C22" s="9" t="n">
        <v>73.76938856958702</v>
      </c>
      <c r="D22" s="9" t="n">
        <v>63.09639197519306</v>
      </c>
      <c r="E22" s="9" t="n">
        <v>57.1692154119707</v>
      </c>
      <c r="F22" s="9" t="n">
        <v>51.73397898456535</v>
      </c>
      <c r="H22" s="9" t="n">
        <v>35.13000454354306</v>
      </c>
    </row>
    <row r="23">
      <c r="A23" s="6" t="inlineStr">
        <is>
          <t>Exchange-rate path multiplier</t>
        </is>
      </c>
      <c r="B23" s="9" t="n">
        <v>71.93944315776433</v>
      </c>
      <c r="C23" s="9" t="n">
        <v>63.09639197519306</v>
      </c>
      <c r="D23" s="9" t="n">
        <v>45.41028961005051</v>
      </c>
      <c r="E23" s="9" t="n">
        <v>23.30266165362228</v>
      </c>
      <c r="F23" s="9" t="n">
        <v>1.195033697194072</v>
      </c>
      <c r="H23" s="9" t="n">
        <v>70.74440946057025</v>
      </c>
    </row>
    <row r="24">
      <c r="A24" s="6" t="inlineStr">
        <is>
          <t>EBITDA margin shift</t>
        </is>
      </c>
      <c r="B24" s="9" t="n">
        <v>42.21530497281732</v>
      </c>
      <c r="C24" s="9" t="n">
        <v>52.6558484740052</v>
      </c>
      <c r="D24" s="9" t="n">
        <v>63.09639197519306</v>
      </c>
      <c r="E24" s="9" t="n">
        <v>73.53693547638095</v>
      </c>
      <c r="F24" s="9" t="n">
        <v>83.97747897756886</v>
      </c>
      <c r="H24" s="9" t="n">
        <v>41.76217400475154</v>
      </c>
    </row>
    <row r="25">
      <c r="A25" s="6" t="inlineStr">
        <is>
          <t>Working capital / revenue</t>
        </is>
      </c>
      <c r="B25" s="9" t="n">
        <v>66.1820174425543</v>
      </c>
      <c r="C25" s="9" t="n">
        <v>64.63920470887369</v>
      </c>
      <c r="D25" s="9" t="n">
        <v>63.09639197519306</v>
      </c>
      <c r="E25" s="9" t="n">
        <v>61.55357924151245</v>
      </c>
      <c r="F25" s="9" t="n">
        <v>60.01076650783185</v>
      </c>
      <c r="H25" s="9" t="n">
        <v>6.171250934722451</v>
      </c>
    </row>
    <row r="26">
      <c r="A26" s="6" t="inlineStr">
        <is>
          <t>Terminal return on invested capital</t>
        </is>
      </c>
      <c r="B26" s="9" t="n">
        <v>55.97972245871841</v>
      </c>
      <c r="C26" s="9" t="n">
        <v>59.77877118391308</v>
      </c>
      <c r="D26" s="9" t="n">
        <v>63.09639197519306</v>
      </c>
      <c r="E26" s="9" t="n">
        <v>65.62346153036643</v>
      </c>
      <c r="F26" s="9" t="n">
        <v>67.37686863430243</v>
      </c>
      <c r="H26" s="9" t="n">
        <v>11.39714617558401</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9" t="n">
        <v>4.725245021170053</v>
      </c>
      <c r="C5" s="9" t="n">
        <v>8.156567851227177</v>
      </c>
      <c r="D5" s="9" t="n">
        <v>8.095188293136117</v>
      </c>
      <c r="E5" s="9" t="n">
        <v>10.93196785447563</v>
      </c>
      <c r="F5" s="9" t="n">
        <v>11.98414214931436</v>
      </c>
      <c r="G5" s="9" t="n">
        <v>13.43471102138623</v>
      </c>
      <c r="H5" s="9" t="n">
        <v>15.09321287040991</v>
      </c>
      <c r="I5" s="9" t="n">
        <v>16.92085095645048</v>
      </c>
    </row>
    <row r="6">
      <c r="A6" s="6" t="inlineStr">
        <is>
          <t>Book value per share (EGP)</t>
        </is>
      </c>
      <c r="B6" s="9" t="n">
        <v>16.68762574599776</v>
      </c>
      <c r="C6" s="9" t="n">
        <v>25.82000711969241</v>
      </c>
      <c r="D6" s="9" t="n">
        <v>32.91519541282852</v>
      </c>
      <c r="E6" s="9" t="n">
        <v>41.11417130368525</v>
      </c>
      <c r="F6" s="9" t="n">
        <v>50.10227791567102</v>
      </c>
      <c r="G6" s="9" t="n">
        <v>60.17831118171069</v>
      </c>
      <c r="H6" s="9" t="n">
        <v>71.49822083451812</v>
      </c>
      <c r="I6" s="9" t="n">
        <v>84.18885905185599</v>
      </c>
    </row>
    <row r="7">
      <c r="A7" s="6" t="inlineStr">
        <is>
          <t>Free cash flow per share (EGP)</t>
        </is>
      </c>
      <c r="B7" s="9" t="inlineStr">
        <is>
          <t>-</t>
        </is>
      </c>
      <c r="C7" s="9" t="inlineStr">
        <is>
          <t>-</t>
        </is>
      </c>
      <c r="D7" s="9" t="inlineStr">
        <is>
          <t>-</t>
        </is>
      </c>
      <c r="E7" s="9" t="n">
        <v>0.6432043642020219</v>
      </c>
      <c r="F7" s="9" t="n">
        <v>6.095352871262111</v>
      </c>
      <c r="G7" s="9" t="n">
        <v>8.270684198796207</v>
      </c>
      <c r="H7" s="9" t="n">
        <v>9.684915190940478</v>
      </c>
      <c r="I7" s="9" t="n">
        <v>11.17195060308942</v>
      </c>
    </row>
    <row r="8">
      <c r="A8" s="6" t="inlineStr">
        <is>
          <t>Gross margin</t>
        </is>
      </c>
      <c r="B8" s="10" t="n">
        <v>0.191063972948927</v>
      </c>
      <c r="C8" s="10" t="n">
        <v>0.1892325173785185</v>
      </c>
      <c r="D8" s="10" t="n">
        <v>0.1448857672505506</v>
      </c>
      <c r="E8" s="10" t="inlineStr">
        <is>
          <t>-</t>
        </is>
      </c>
      <c r="F8" s="10" t="inlineStr">
        <is>
          <t>-</t>
        </is>
      </c>
      <c r="G8" s="10" t="inlineStr">
        <is>
          <t>-</t>
        </is>
      </c>
      <c r="H8" s="10" t="inlineStr">
        <is>
          <t>-</t>
        </is>
      </c>
      <c r="I8" s="10" t="inlineStr">
        <is>
          <t>-</t>
        </is>
      </c>
    </row>
    <row r="9">
      <c r="A9" s="6" t="inlineStr">
        <is>
          <t>EBITDA margin</t>
        </is>
      </c>
      <c r="B9" s="10" t="n">
        <v>0.1316485988874155</v>
      </c>
      <c r="C9" s="10" t="n">
        <v>0.1362244796790093</v>
      </c>
      <c r="D9" s="10" t="n">
        <v>0.1089564020271673</v>
      </c>
      <c r="E9" s="10" t="n">
        <v>0.112415700114078</v>
      </c>
      <c r="F9" s="10" t="n">
        <v>0.1100083445187365</v>
      </c>
      <c r="G9" s="10" t="n">
        <v>0.1106031122318905</v>
      </c>
      <c r="H9" s="10" t="n">
        <v>0.1115640664608482</v>
      </c>
      <c r="I9" s="10" t="n">
        <v>0.1125696702000991</v>
      </c>
    </row>
    <row r="10">
      <c r="A10" s="6" t="inlineStr">
        <is>
          <t>EBIT margin</t>
        </is>
      </c>
      <c r="B10" s="10" t="n">
        <v>0.1165618170372872</v>
      </c>
      <c r="C10" s="10" t="n">
        <v>0.126482767182598</v>
      </c>
      <c r="D10" s="10" t="n">
        <v>0.09845640202716727</v>
      </c>
      <c r="E10" s="10" t="n">
        <v>0.101915700114078</v>
      </c>
      <c r="F10" s="10" t="n">
        <v>0.09950834451873651</v>
      </c>
      <c r="G10" s="10" t="n">
        <v>0.1001031122318905</v>
      </c>
      <c r="H10" s="10" t="n">
        <v>0.1010640664608482</v>
      </c>
      <c r="I10" s="10" t="n">
        <v>0.1020696702000991</v>
      </c>
    </row>
    <row r="11">
      <c r="A11" s="6" t="inlineStr">
        <is>
          <t>Net margin (attributable)</t>
        </is>
      </c>
      <c r="B11" s="10" t="n">
        <v>0.06646923308420868</v>
      </c>
      <c r="C11" s="10" t="n">
        <v>0.07527056001807039</v>
      </c>
      <c r="D11" s="10" t="n">
        <v>0.06166184544332127</v>
      </c>
      <c r="E11" s="10" t="n">
        <v>0.06402004195016504</v>
      </c>
      <c r="F11" s="10" t="n">
        <v>0.06280059549254072</v>
      </c>
      <c r="G11" s="10" t="n">
        <v>0.06503249291721717</v>
      </c>
      <c r="H11" s="10" t="n">
        <v>0.06770760604839697</v>
      </c>
      <c r="I11" s="10" t="n">
        <v>0.07044794352284163</v>
      </c>
    </row>
    <row r="12">
      <c r="A12" s="6" t="inlineStr">
        <is>
          <t>Return on equity</t>
        </is>
      </c>
      <c r="B12" s="10" t="inlineStr">
        <is>
          <t>-</t>
        </is>
      </c>
      <c r="C12" s="10" t="n">
        <v>0.3837695633158021</v>
      </c>
      <c r="D12" s="10" t="n">
        <v>0.2756503065994848</v>
      </c>
      <c r="E12" s="10" t="n">
        <v>0.2658929392916098</v>
      </c>
      <c r="F12" s="10" t="n">
        <v>0.2391935586139479</v>
      </c>
      <c r="G12" s="10" t="n">
        <v>0.2232483889556092</v>
      </c>
      <c r="H12" s="10" t="n">
        <v>0.2110991391707913</v>
      </c>
      <c r="I12" s="10" t="n">
        <v>0.2009868187669358</v>
      </c>
    </row>
    <row r="13">
      <c r="A13" s="6" t="inlineStr">
        <is>
          <t>Return on invested capital</t>
        </is>
      </c>
      <c r="B13" s="10" t="n">
        <v>0.2229390349424942</v>
      </c>
      <c r="C13" s="10" t="n">
        <v>0.2486105500867294</v>
      </c>
      <c r="D13" s="10" t="n">
        <v>0.2093655734764178</v>
      </c>
      <c r="E13" s="10" t="n">
        <v>0.2223088146361256</v>
      </c>
      <c r="F13" s="10" t="n">
        <v>0.2130133498740734</v>
      </c>
      <c r="G13" s="10" t="n">
        <v>0.2093157760005789</v>
      </c>
      <c r="H13" s="10" t="n">
        <v>0.2078073525507945</v>
      </c>
      <c r="I13" s="10" t="n">
        <v>0.2077054355161732</v>
      </c>
    </row>
    <row r="14">
      <c r="A14" s="6" t="inlineStr">
        <is>
          <t>Net debt / EBITDA</t>
        </is>
      </c>
      <c r="B14" s="33" t="n">
        <v>0.7371063783060728</v>
      </c>
      <c r="C14" s="33" t="n">
        <v>0.6337653789681534</v>
      </c>
      <c r="D14" s="33" t="n">
        <v>0.6462328796032941</v>
      </c>
      <c r="E14" s="33" t="n">
        <v>0.6657458870097267</v>
      </c>
      <c r="F14" s="33" t="n">
        <v>0.53307780193362</v>
      </c>
      <c r="G14" s="33" t="n">
        <v>0.3279986937477656</v>
      </c>
      <c r="H14" s="33" t="n">
        <v>0.09633371227953212</v>
      </c>
      <c r="I14" s="33" t="n">
        <v>-0.1559185836582377</v>
      </c>
    </row>
    <row r="15">
      <c r="A15" s="6" t="inlineStr">
        <is>
          <t>Interest cover (EBIT / net interest)</t>
        </is>
      </c>
      <c r="B15" s="33" t="inlineStr">
        <is>
          <t>-</t>
        </is>
      </c>
      <c r="C15" s="33" t="n">
        <v>8.346617739090858</v>
      </c>
      <c r="D15" s="33" t="n">
        <v>8.138550980392157</v>
      </c>
      <c r="E15" s="33" t="inlineStr">
        <is>
          <t>-</t>
        </is>
      </c>
      <c r="F15" s="33" t="inlineStr">
        <is>
          <t>-</t>
        </is>
      </c>
      <c r="G15" s="33" t="inlineStr">
        <is>
          <t>-</t>
        </is>
      </c>
      <c r="H15" s="33" t="inlineStr">
        <is>
          <t>-</t>
        </is>
      </c>
      <c r="I15" s="33" t="inlineStr">
        <is>
          <t>-</t>
        </is>
      </c>
    </row>
    <row r="16">
      <c r="A16" s="6" t="inlineStr">
        <is>
          <t>Working capital / revenue</t>
        </is>
      </c>
      <c r="B16" s="10" t="n">
        <v>0.2408556097727652</v>
      </c>
      <c r="C16" s="10" t="n">
        <v>0.2305995556547972</v>
      </c>
      <c r="D16" s="10" t="n">
        <v>0.23</v>
      </c>
      <c r="E16" s="10" t="n">
        <v>0.23</v>
      </c>
      <c r="F16" s="10" t="n">
        <v>0.23</v>
      </c>
      <c r="G16" s="10" t="n">
        <v>0.23</v>
      </c>
      <c r="H16" s="10" t="n">
        <v>0.23</v>
      </c>
      <c r="I16" s="10" t="n">
        <v>0.23</v>
      </c>
    </row>
    <row r="17">
      <c r="A17" s="6" t="inlineStr">
        <is>
          <t>Capital expenditure / revenue</t>
        </is>
      </c>
      <c r="B17" s="10" t="n">
        <v>0.03173743742862362</v>
      </c>
      <c r="C17" s="10" t="n">
        <v>0.03778615391379841</v>
      </c>
      <c r="D17" s="10" t="inlineStr">
        <is>
          <t>-</t>
        </is>
      </c>
      <c r="E17" s="10" t="n">
        <v>0.03</v>
      </c>
      <c r="F17" s="10" t="n">
        <v>0.029</v>
      </c>
      <c r="G17" s="10" t="n">
        <v>0.028</v>
      </c>
      <c r="H17" s="10" t="n">
        <v>0.026</v>
      </c>
      <c r="I17" s="10" t="n">
        <v>0.024</v>
      </c>
    </row>
    <row r="18">
      <c r="A18" s="6" t="inlineStr">
        <is>
          <t>Reinvestment rate</t>
        </is>
      </c>
      <c r="B18" s="10" t="n">
        <v>0.2079305448304614</v>
      </c>
      <c r="C18" s="10" t="n">
        <v>0.3172037113507076</v>
      </c>
      <c r="D18" s="10" t="n">
        <v>0.2640762760437433</v>
      </c>
      <c r="E18" s="10" t="inlineStr">
        <is>
          <t>-</t>
        </is>
      </c>
      <c r="F18" s="10" t="inlineStr">
        <is>
          <t>-</t>
        </is>
      </c>
      <c r="G18" s="10" t="inlineStr">
        <is>
          <t>-</t>
        </is>
      </c>
      <c r="H18" s="10" t="inlineStr">
        <is>
          <t>-</t>
        </is>
      </c>
      <c r="I18" s="10" t="inlineStr">
        <is>
          <t>-</t>
        </is>
      </c>
    </row>
    <row r="19">
      <c r="A19" s="6" t="inlineStr">
        <is>
          <t>Implied growth (return on capital x reinvestment)</t>
        </is>
      </c>
      <c r="B19" s="10" t="n">
        <v>0.04635583499957009</v>
      </c>
      <c r="C19" s="10" t="n">
        <v>0.07886018916845154</v>
      </c>
      <c r="D19" s="10" t="n">
        <v>0.05528848097541515</v>
      </c>
      <c r="E19" s="10" t="inlineStr">
        <is>
          <t>-</t>
        </is>
      </c>
      <c r="F19" s="10" t="inlineStr">
        <is>
          <t>-</t>
        </is>
      </c>
      <c r="G19" s="10" t="inlineStr">
        <is>
          <t>-</t>
        </is>
      </c>
      <c r="H19" s="10" t="inlineStr">
        <is>
          <t>-</t>
        </is>
      </c>
      <c r="I19" s="10" t="inlineStr">
        <is>
          <t>-</t>
        </is>
      </c>
    </row>
    <row r="21">
      <c r="A21" s="4" t="inlineStr">
        <is>
          <t>Terminal growth reconciliation: actual NOPAT compound growth FY2023–FY2025 was 30.5%; the implied growth from stable years only (FY2024 excluded as a debt-funded capacity burst) is 5.1%; the adopted terminal growth is 5.0%, below the blended nominal ceiling of 10.5%.</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36" t="inlineStr">
        <is>
          <t>nearest listed regional cable manufacturer</t>
        </is>
      </c>
      <c r="D5" s="36" t="inlineStr">
        <is>
          <t>far smaller, no contracting arm, lighter balance sheet, pegged currency</t>
        </is>
      </c>
    </row>
    <row r="6" ht="30" customHeight="1">
      <c r="A6" s="6" t="inlineStr">
        <is>
          <t>Electro Cable Egypt</t>
        </is>
      </c>
      <c r="B6" s="6" t="inlineStr">
        <is>
          <t>Egypt</t>
        </is>
      </c>
      <c r="C6" s="36" t="inlineStr">
        <is>
          <t>the only other listed Egyptian cable manufacturer</t>
        </is>
      </c>
      <c r="D6" s="36" t="inlineStr">
        <is>
          <t>much smaller, domestic, heavily levered, currently loss-making</t>
        </is>
      </c>
    </row>
    <row r="7" ht="30" customHeight="1">
      <c r="A7" s="6" t="inlineStr">
        <is>
          <t>European cable majors</t>
        </is>
      </c>
      <c r="B7" s="6" t="inlineStr">
        <is>
          <t>Europe</t>
        </is>
      </c>
      <c r="C7" s="36" t="inlineStr">
        <is>
          <t>closest match on business model — cables plus projects</t>
        </is>
      </c>
      <c r="D7" s="36" t="inlineStr">
        <is>
          <t>developed-market cost of capital; no convertibility risk</t>
        </is>
      </c>
    </row>
    <row r="8" ht="30" customHeight="1">
      <c r="A8" s="6" t="inlineStr">
        <is>
          <t>Regional engineering and construction contractors</t>
        </is>
      </c>
      <c r="B8" s="6" t="inlineStr">
        <is>
          <t>Gulf and North Africa</t>
        </is>
      </c>
      <c r="C8" s="36" t="inlineStr">
        <is>
          <t>the right frame for the roughly 27% that is turnkey project work</t>
        </is>
      </c>
      <c r="D8" s="36" t="inlineStr">
        <is>
          <t>project accounting and backlog quality are not comparable</t>
        </is>
      </c>
    </row>
    <row r="10">
      <c r="A10" s="5" t="inlineStr">
        <is>
          <t>Own multiples</t>
        </is>
      </c>
      <c r="B10" s="5" t="inlineStr">
        <is>
          <t>Value</t>
        </is>
      </c>
    </row>
    <row r="11">
      <c r="A11" s="6" t="inlineStr">
        <is>
          <t>Trailing enterprise value / EBITDA</t>
        </is>
      </c>
      <c r="B11" s="33" t="n">
        <v>8.000722677325394</v>
      </c>
    </row>
    <row r="12">
      <c r="A12" s="6" t="inlineStr">
        <is>
          <t>Trailing price / earnings</t>
        </is>
      </c>
      <c r="B12" s="33" t="n">
        <v>12.9953740655049</v>
      </c>
    </row>
    <row r="13">
      <c r="A13" s="6" t="inlineStr">
        <is>
          <t>Trailing price / book</t>
        </is>
      </c>
      <c r="B13" s="33" t="n">
        <v>3.196092220646482</v>
      </c>
    </row>
    <row r="14">
      <c r="A14" s="6" t="inlineStr">
        <is>
          <t>Justified enterprise value / EBITDA applied</t>
        </is>
      </c>
      <c r="B14" s="33" t="n">
        <v>6.5</v>
      </c>
    </row>
    <row r="15">
      <c r="A15" s="6" t="inlineStr">
        <is>
          <t>Justified price / earnings applied</t>
        </is>
      </c>
      <c r="B15" s="33" t="n">
        <v>9</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2026-08-06T07:36:11Z</dcterms:created>
  <dcterms:modified xmlns:dcterms="http://purl.org/dc/terms/" xmlns:xsi="http://www.w3.org/2001/XMLSchema-instance" xsi:type="dcterms:W3CDTF">2026-08-06T07:36:11Z</dcterms:modified>
</cp:coreProperties>
</file>