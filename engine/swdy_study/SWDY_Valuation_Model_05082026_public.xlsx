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6">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IMPORTANT, so the workbook is not over-read. The Assumptions sheet is a complete REGISTER of every input</t>
        </is>
      </c>
    </row>
    <row r="9">
      <c r="A9" s="3" t="inlineStr">
        <is>
          <t>and its value, not a live driver: the forecast is computed in the accompanying model and the results are</t>
        </is>
      </c>
    </row>
    <row r="10">
      <c r="A10" s="3" t="inlineStr">
        <is>
          <t>written here, so editing an Assumptions cell will NOT reprice the workbook. Formulas here aggregate,</t>
        </is>
      </c>
    </row>
    <row r="11">
      <c r="A11" s="3" t="inlineStr">
        <is>
          <t>cross-link and derive ratios. Every input is listed so the build can be reproduced independently, and the</t>
        </is>
      </c>
    </row>
    <row r="12">
      <c r="A12" s="3" t="inlineStr">
        <is>
          <t>sensitivity tables show what happens when each driver moves.</t>
        </is>
      </c>
    </row>
    <row r="13">
      <c r="A13" s="3" t="inlineStr"/>
    </row>
    <row r="14">
      <c r="A14" s="3" t="inlineStr">
        <is>
          <t>How revenue is built. Not as one growth rate. Revenue splits into a domestic Egyptian-pound leg and a</t>
        </is>
      </c>
    </row>
    <row r="15">
      <c r="A15" s="3" t="inlineStr">
        <is>
          <t>foreign leg forecast in US dollars and translated at an explicit exchange-rate path, because more than 70%</t>
        </is>
      </c>
    </row>
    <row r="16">
      <c r="A16" s="3" t="inlineStr">
        <is>
          <t>of this company's revenue is earned outside Egypt. Margins come from a segment build; group EBITDA margin</t>
        </is>
      </c>
    </row>
    <row r="17">
      <c r="A17" s="3" t="inlineStr">
        <is>
          <t>is an output of that build, not an input.</t>
        </is>
      </c>
    </row>
    <row r="18">
      <c r="A18" s="3" t="inlineStr"/>
    </row>
    <row r="19">
      <c r="A19" s="3" t="inlineStr">
        <is>
          <t>What it is not. It is not investment advice, a recommendation, or a price target. Values are model outputs</t>
        </is>
      </c>
    </row>
    <row r="20">
      <c r="A20" s="3" t="inlineStr">
        <is>
          <t>shown as ranges.</t>
        </is>
      </c>
    </row>
    <row r="21">
      <c r="A21" s="3" t="inlineStr"/>
    </row>
    <row r="22">
      <c r="A22" s="3" t="inlineStr">
        <is>
          <t>Sourcing note, up front. FY2023 and FY2024 come from the company's audited consolidated statements and</t>
        </is>
      </c>
    </row>
    <row r="23">
      <c r="A23" s="3" t="inlineStr">
        <is>
          <t>earnings releases and are not estimated. For FY2025, revenue, profit after tax, profit after minority</t>
        </is>
      </c>
    </row>
    <row r="24">
      <c r="A24" s="3" t="inlineStr">
        <is>
          <t>interests, total assets and net bank debt are disclosed; the intermediate income-statement lines are</t>
        </is>
      </c>
    </row>
    <row r="25">
      <c r="A25" s="3" t="inlineStr">
        <is>
          <t>derived by closing the profit-and-loss account to the reported profit, and the balance sheet beyond total</t>
        </is>
      </c>
    </row>
    <row r="26">
      <c r="A26" s="3" t="inlineStr">
        <is>
          <t>assets and net debt is triangulated by three methods. Every derived line is annotated where it appears and</t>
        </is>
      </c>
    </row>
    <row r="27">
      <c r="A27" s="3" t="inlineStr">
        <is>
          <t>listed with source and date in the companion bibliography document.</t>
        </is>
      </c>
    </row>
    <row r="28">
      <c r="A28" s="3" t="inlineStr"/>
    </row>
    <row r="29">
      <c r="A29" s="3" t="inlineStr">
        <is>
          <t>Discount convention. Each explicit year is discounted at its own forward cost of capital, gliding</t>
        </is>
      </c>
    </row>
    <row r="30">
      <c r="A30" s="3" t="inlineStr">
        <is>
          <t>26.9% -&gt; 15.1% on the same easing calendar as the interest forecast; the terminal value is</t>
        </is>
      </c>
    </row>
    <row r="31">
      <c r="A31" s="3" t="inlineStr">
        <is>
          <t>capitalised at the terminal rate and discounted at the year-5 cumulative factor. One date, one price of time.</t>
        </is>
      </c>
    </row>
    <row r="32">
      <c r="A32" s="3" t="inlineStr"/>
    </row>
    <row r="33">
      <c r="A33" s="3" t="inlineStr">
        <is>
          <t>The open question. This company earns most of its revenue in hard currency but reports, lists and borrows</t>
        </is>
      </c>
    </row>
    <row r="34">
      <c r="A34" s="3" t="inlineStr">
        <is>
          <t>in Egyptian pounds. The primary model charges the full Egyptian cost of capital. The Fundamental Valuation</t>
        </is>
      </c>
    </row>
    <row r="35">
      <c r="A35" s="3" t="inlineStr">
        <is>
          <t>sheet also shows what the same cash flows are worth if the hard-currency leg is discounted at a</t>
        </is>
      </c>
    </row>
    <row r="36">
      <c r="A36" s="3" t="inlineStr">
        <is>
          <t>hard-currency rate. Both are shown; they are not averaged.</t>
        </is>
      </c>
    </row>
    <row r="37">
      <c r="A37" s="3" t="inlineStr"/>
    </row>
    <row r="38">
      <c r="A38" s="3" t="inlineStr">
        <is>
          <t>Currency. EGP million unless stated. Spot EGP 105.20 (2026-08-05 close). Sheets: READ FIRST · Summary ·</t>
        </is>
      </c>
    </row>
    <row r="39">
      <c r="A39" s="3" t="inlineStr">
        <is>
          <t>Fundamental Valuation · Assumptions · SOTP Bridge · Segments · Relative &amp; Normalized · DCF · Income</t>
        </is>
      </c>
    </row>
    <row r="40">
      <c r="A40" s="3" t="inlineStr">
        <is>
          <t>Statement · Balance Sheet · Cash Flow · Summary Financials · Monte Carlo · Sensitivity · Per-Share &amp;</t>
        </is>
      </c>
    </row>
    <row r="41">
      <c r="A41"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35.60479630603451</v>
      </c>
      <c r="C5" s="7" t="n">
        <v>62.72237722300294</v>
      </c>
      <c r="D5" s="7" t="n">
        <v>108.9676974718246</v>
      </c>
      <c r="E5" s="8" t="n">
        <v>0.45</v>
      </c>
      <c r="F5" s="9">
        <f>C5*E5</f>
        <v/>
      </c>
      <c r="G5" s="10">
        <f>C5/$C$14-1</f>
        <v/>
      </c>
    </row>
    <row r="6">
      <c r="A6" s="6" t="inlineStr">
        <is>
          <t>Relative multiples</t>
        </is>
      </c>
      <c r="B6" s="7" t="n">
        <v>99.11342021383139</v>
      </c>
      <c r="C6" s="7" t="n">
        <v>118.0812995812873</v>
      </c>
      <c r="D6" s="7" t="n">
        <v>146.5331186324713</v>
      </c>
      <c r="E6" s="8" t="n">
        <v>0.2</v>
      </c>
      <c r="F6" s="9">
        <f>C6*E6</f>
        <v/>
      </c>
      <c r="G6" s="10">
        <f>C6/$C$14-1</f>
        <v/>
      </c>
    </row>
    <row r="7">
      <c r="A7" s="6" t="inlineStr">
        <is>
          <t>Normalised earnings power</t>
        </is>
      </c>
      <c r="B7" s="7" t="n">
        <v>94.15599509791565</v>
      </c>
      <c r="C7" s="7" t="n">
        <v>121.0577079830344</v>
      </c>
      <c r="D7" s="7" t="n">
        <v>154.6848490894329</v>
      </c>
      <c r="E7" s="8" t="n">
        <v>0.2</v>
      </c>
      <c r="F7" s="9">
        <f>C7*E7</f>
        <v/>
      </c>
      <c r="G7" s="10">
        <f>C7/$C$14-1</f>
        <v/>
      </c>
    </row>
    <row r="8">
      <c r="A8" s="6" t="inlineStr">
        <is>
          <t>Book value and sustainable return</t>
        </is>
      </c>
      <c r="B8" s="7" t="n">
        <v>26.5605093375666</v>
      </c>
      <c r="C8" s="7" t="n">
        <v>33.85989565286666</v>
      </c>
      <c r="D8" s="7" t="n">
        <v>48.47019940598007</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35.60479630603451</v>
      </c>
    </row>
    <row r="7">
      <c r="A7" s="6" t="inlineStr">
        <is>
          <t xml:space="preserve">  bull</t>
        </is>
      </c>
      <c r="B7" s="6" t="inlineStr">
        <is>
          <t>margin +1.5pp, stronger currency path, −2pp cost of capital, g 6%</t>
        </is>
      </c>
      <c r="C7" s="9" t="n">
        <v>108.9676974718246</v>
      </c>
    </row>
    <row r="8">
      <c r="A8" s="6" t="inlineStr">
        <is>
          <t>Relative multiples</t>
        </is>
      </c>
      <c r="B8" s="6" t="inlineStr">
        <is>
          <t>6.5x mid-cycle EV/EBITDA</t>
        </is>
      </c>
      <c r="C8" s="7">
        <f>'Relative &amp; Normalized'!C9</f>
        <v/>
      </c>
    </row>
    <row r="9">
      <c r="A9" s="6" t="inlineStr">
        <is>
          <t>Normalised earnings power</t>
        </is>
      </c>
      <c r="B9" s="6" t="inlineStr">
        <is>
          <t>9.0x normalised earnings per share</t>
        </is>
      </c>
      <c r="C9" s="7">
        <f>'Relative &amp; Normalized'!C24</f>
        <v/>
      </c>
    </row>
    <row r="10">
      <c r="A10" s="6" t="inlineStr">
        <is>
          <t>Book value and sustainable return</t>
        </is>
      </c>
      <c r="B10" s="6" t="inlineStr">
        <is>
          <t>justified price-to-book on sustainable return on equity</t>
        </is>
      </c>
      <c r="C10" s="7">
        <f>'Relative &amp; Normalized'!C32</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0.600860789848202</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90.38294164821865</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137.7034929664235</v>
      </c>
      <c r="D23" s="9" t="n">
        <v>101.4657316594699</v>
      </c>
      <c r="E23" s="9" t="n">
        <v>173.941254273377</v>
      </c>
    </row>
    <row r="24">
      <c r="A24" s="6" t="inlineStr">
        <is>
          <t>Expert 2</t>
        </is>
      </c>
      <c r="B24" s="6" t="inlineStr">
        <is>
          <t>owner cash earnings</t>
        </is>
      </c>
      <c r="C24" s="9" t="n">
        <v>46.2389872519482</v>
      </c>
      <c r="D24" s="9" t="n">
        <v>32.10886025513935</v>
      </c>
      <c r="E24" s="9" t="n">
        <v>66.19078084024615</v>
      </c>
    </row>
    <row r="25">
      <c r="A25" s="6" t="inlineStr">
        <is>
          <t>Expert 3</t>
        </is>
      </c>
      <c r="B25" s="6" t="inlineStr">
        <is>
          <t>cash returns vs cost of capital</t>
        </is>
      </c>
      <c r="C25" s="9" t="n">
        <v>56.08425905816016</v>
      </c>
      <c r="D25" s="9" t="n">
        <v>47.37467423206117</v>
      </c>
      <c r="E25" s="9" t="n">
        <v>90.38294164821865</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7445.099999999999</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92138.29685490194</v>
      </c>
      <c r="C5" s="10" t="n">
        <v>0.3278371275290143</v>
      </c>
      <c r="D5" s="8" t="n">
        <v>0.1479665487953016</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0.1239697053155375</v>
      </c>
      <c r="E6" s="28" t="n">
        <v>86793.07467340285</v>
      </c>
      <c r="F6" s="28" t="n">
        <v>99853.94648992721</v>
      </c>
      <c r="G6" s="28" t="n">
        <v>109515.7403864063</v>
      </c>
      <c r="H6" s="28" t="n">
        <v>119667.3733648332</v>
      </c>
      <c r="I6" s="28" t="n">
        <v>130329.5401556179</v>
      </c>
    </row>
    <row r="7">
      <c r="A7" s="6" t="inlineStr">
        <is>
          <t>Engineering &amp; construction</t>
        </is>
      </c>
      <c r="B7" s="28" t="n">
        <v>87100.7</v>
      </c>
      <c r="C7" s="10" t="n">
        <v>0.3099128621699419</v>
      </c>
      <c r="D7" s="8" t="n">
        <v>0.08991421158660849</v>
      </c>
      <c r="E7" s="28" t="n">
        <v>87399</v>
      </c>
      <c r="F7" s="28" t="n">
        <v>86938.53675000001</v>
      </c>
      <c r="G7" s="28" t="n">
        <v>86428.38797775001</v>
      </c>
      <c r="H7" s="28" t="n">
        <v>85427.48076159229</v>
      </c>
      <c r="I7" s="28" t="n">
        <v>84179.56952301609</v>
      </c>
    </row>
    <row r="8">
      <c r="A8" s="6" t="inlineStr">
        <is>
          <t>Transformers</t>
        </is>
      </c>
      <c r="B8" s="28" t="n">
        <v>17703.5</v>
      </c>
      <c r="C8" s="10" t="n">
        <v>0.06299079519941363</v>
      </c>
      <c r="D8" s="8" t="n">
        <v>0.2769882639821222</v>
      </c>
      <c r="E8" s="28" t="n">
        <v>20025.95817760357</v>
      </c>
      <c r="F8" s="28" t="n">
        <v>23704.12363041715</v>
      </c>
      <c r="G8" s="28" t="n">
        <v>26754.93213470232</v>
      </c>
      <c r="H8" s="28" t="n">
        <v>29802.66788222058</v>
      </c>
      <c r="I8" s="28" t="n">
        <v>33088.28987415392</v>
      </c>
    </row>
    <row r="9">
      <c r="A9" s="6" t="inlineStr">
        <is>
          <t>Meters &amp; digital</t>
        </is>
      </c>
      <c r="B9" s="28" t="n">
        <v>16594.1</v>
      </c>
      <c r="C9" s="10" t="n">
        <v>0.05904344082348629</v>
      </c>
      <c r="D9" s="8" t="n">
        <v>0.2190169964043364</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0.4076827342682428</v>
      </c>
      <c r="E10" s="28" t="n">
        <v>3591.28</v>
      </c>
      <c r="F10" s="28" t="n">
        <v>3986.3208</v>
      </c>
      <c r="G10" s="28" t="n">
        <v>4384.952880000001</v>
      </c>
      <c r="H10" s="28" t="n">
        <v>4779.598639200001</v>
      </c>
      <c r="I10" s="28" t="n">
        <v>5161.966530336002</v>
      </c>
    </row>
    <row r="11">
      <c r="A11" s="6" t="inlineStr">
        <is>
          <t>Infrastructure investment</t>
        </is>
      </c>
      <c r="B11" s="28" t="n">
        <v>3857.9</v>
      </c>
      <c r="C11" s="10" t="n">
        <v>0.01372678785549851</v>
      </c>
      <c r="D11" s="8" t="n">
        <v>0.4966473826898447</v>
      </c>
      <c r="E11" s="28" t="n">
        <v>4320.848000000001</v>
      </c>
      <c r="F11" s="28" t="n">
        <v>4796.141280000002</v>
      </c>
      <c r="G11" s="28" t="n">
        <v>5275.755408000002</v>
      </c>
      <c r="H11" s="28" t="n">
        <v>5750.573394720002</v>
      </c>
      <c r="I11" s="28" t="n">
        <v>6210.619266297603</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20041.67909882659</v>
      </c>
      <c r="C15" s="28" t="n">
        <v>22059.43026367506</v>
      </c>
      <c r="D15" s="28" t="n">
        <v>24177.58249832987</v>
      </c>
      <c r="E15" s="28" t="n">
        <v>26573.33011161748</v>
      </c>
      <c r="F15" s="28" t="n">
        <v>29246.528376493</v>
      </c>
    </row>
    <row r="16">
      <c r="A16" s="6" t="inlineStr">
        <is>
          <t>Raw material (copper rod)</t>
        </is>
      </c>
      <c r="B16" s="28" t="n">
        <v>4984.191943840839</v>
      </c>
      <c r="C16" s="28" t="n">
        <v>5203.963951181807</v>
      </c>
      <c r="D16" s="28" t="n">
        <v>5478.586163963156</v>
      </c>
      <c r="E16" s="28" t="n">
        <v>5845.99157386529</v>
      </c>
      <c r="F16" s="28" t="n">
        <v>6256.890090674406</v>
      </c>
    </row>
    <row r="17">
      <c r="A17" s="6" t="inlineStr">
        <is>
          <t>Engineering &amp; construction</t>
        </is>
      </c>
      <c r="B17" s="28" t="n">
        <v>4362.452178457996</v>
      </c>
      <c r="C17" s="28" t="n">
        <v>4391.333307654424</v>
      </c>
      <c r="D17" s="28" t="n">
        <v>4339.414342204866</v>
      </c>
      <c r="E17" s="28" t="n">
        <v>4271.928516198092</v>
      </c>
      <c r="F17" s="28" t="n">
        <v>4116.855111747494</v>
      </c>
    </row>
    <row r="18">
      <c r="A18" s="6" t="inlineStr">
        <is>
          <t>Transformers</t>
        </is>
      </c>
      <c r="B18" s="28" t="n">
        <v>4945.072489759165</v>
      </c>
      <c r="C18" s="28" t="n">
        <v>5620.928343859304</v>
      </c>
      <c r="D18" s="28" t="n">
        <v>6335.787471336365</v>
      </c>
      <c r="E18" s="28" t="n">
        <v>7070.450813353369</v>
      </c>
      <c r="F18" s="28" t="n">
        <v>7896.435268647207</v>
      </c>
    </row>
    <row r="19">
      <c r="A19" s="6" t="inlineStr">
        <is>
          <t>Meters &amp; digital</t>
        </is>
      </c>
      <c r="B19" s="28" t="n">
        <v>3467.290226985804</v>
      </c>
      <c r="C19" s="28" t="n">
        <v>3875.320505058752</v>
      </c>
      <c r="D19" s="28" t="n">
        <v>4311.02932410041</v>
      </c>
      <c r="E19" s="28" t="n">
        <v>4747.030919435468</v>
      </c>
      <c r="F19" s="28" t="n">
        <v>5226.541627322952</v>
      </c>
    </row>
    <row r="20">
      <c r="A20" s="6" t="inlineStr">
        <is>
          <t>Other electrical products</t>
        </is>
      </c>
      <c r="B20" s="28" t="n">
        <v>1320.451649922855</v>
      </c>
      <c r="C20" s="28" t="n">
        <v>1518.748535550944</v>
      </c>
      <c r="D20" s="28" t="n">
        <v>1711.098617858713</v>
      </c>
      <c r="E20" s="28" t="n">
        <v>1894.509493026274</v>
      </c>
      <c r="F20" s="28" t="n">
        <v>2056.790765700589</v>
      </c>
    </row>
    <row r="21">
      <c r="A21" s="6" t="inlineStr">
        <is>
          <t>Infrastructure investment</t>
        </is>
      </c>
      <c r="B21" s="28" t="n">
        <v>1973.103930200651</v>
      </c>
      <c r="C21" s="28" t="n">
        <v>2271.036579231632</v>
      </c>
      <c r="D21" s="28" t="n">
        <v>2560.918674383644</v>
      </c>
      <c r="E21" s="28" t="n">
        <v>2837.020352797803</v>
      </c>
      <c r="F21" s="28" t="n">
        <v>3082.405620523931</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0.1100083445187365</v>
      </c>
      <c r="D23" s="10" t="n">
        <v>0.1106031122318905</v>
      </c>
      <c r="E23" s="10" t="n">
        <v>0.1115640664608482</v>
      </c>
      <c r="F23" s="10" t="n">
        <v>0.1125696702000991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Mid-cycle EBITDA (FY2027E, EGP mn)</t>
        </is>
      </c>
      <c r="C5" s="18">
        <f>DCF!C6</f>
        <v/>
      </c>
    </row>
    <row r="6">
      <c r="A6" s="6" t="inlineStr">
        <is>
          <t>Justified enterprise value / EBITDA</t>
        </is>
      </c>
      <c r="C6" s="24" t="n">
        <v>6.5</v>
      </c>
    </row>
    <row r="7">
      <c r="A7" s="6" t="inlineStr">
        <is>
          <t>Implied enterprise value (EGP mn)</t>
        </is>
      </c>
      <c r="C7" s="28">
        <f>C5*C6</f>
        <v/>
      </c>
    </row>
    <row r="8">
      <c r="A8" s="6" t="inlineStr">
        <is>
          <t>Less net bank debt, plus associates, less minority share (EGP mn)</t>
        </is>
      </c>
      <c r="C8" s="28">
        <f>(-19789.0+7445.099999999999)*1</f>
        <v/>
      </c>
    </row>
    <row r="9">
      <c r="A9" s="14" t="inlineStr">
        <is>
          <t>Implied value per share (EGP)</t>
        </is>
      </c>
      <c r="B9" s="14" t="n"/>
      <c r="C9" s="30">
        <f>(C7+C8)*(1-0.09645464025026068)/2140.777876</f>
        <v/>
      </c>
    </row>
    <row r="11">
      <c r="A11" s="6" t="inlineStr">
        <is>
          <t>Trailing enterprise value / EBITDA</t>
        </is>
      </c>
      <c r="C11" s="32" t="n">
        <v>8.000722677325394</v>
      </c>
    </row>
    <row r="12">
      <c r="A12" s="6" t="inlineStr">
        <is>
          <t>Trailing price / earnings</t>
        </is>
      </c>
      <c r="C12" s="32" t="n">
        <v>12.9953740655049</v>
      </c>
    </row>
    <row r="13">
      <c r="A13" s="6" t="inlineStr">
        <is>
          <t>Trailing price / book</t>
        </is>
      </c>
      <c r="C13" s="32" t="n">
        <v>3.196092220646482</v>
      </c>
    </row>
    <row r="14">
      <c r="A14" s="6" t="inlineStr">
        <is>
          <t>Net bank debt / EBITDA</t>
        </is>
      </c>
      <c r="C14" s="32" t="n">
        <v>0.6462328796032941</v>
      </c>
    </row>
    <row r="16">
      <c r="A16" s="5" t="inlineStr">
        <is>
          <t>Normalised earnings lens</t>
        </is>
      </c>
      <c r="B16" s="5" t="inlineStr">
        <is>
          <t>Value</t>
        </is>
      </c>
    </row>
    <row r="17">
      <c r="A17" s="6" t="inlineStr">
        <is>
          <t>Mid-cycle revenue (EGP mn)</t>
        </is>
      </c>
      <c r="C17" s="17" t="n">
        <v>442251.724251873</v>
      </c>
    </row>
    <row r="18">
      <c r="A18" s="6" t="inlineStr">
        <is>
          <t>Mid-cycle EBITDA margin</t>
        </is>
      </c>
      <c r="C18" s="8" t="n">
        <v>0.1106031122318905</v>
      </c>
    </row>
    <row r="19">
      <c r="A19" s="6" t="inlineStr">
        <is>
          <t>Mid-cycle EBIT (EGP mn)</t>
        </is>
      </c>
      <c r="C19" s="17" t="n">
        <v>44270.77398753235</v>
      </c>
    </row>
    <row r="20">
      <c r="A20" s="6" t="inlineStr">
        <is>
          <t>Less net interest (EGP mn)</t>
        </is>
      </c>
      <c r="C20" s="17" t="n">
        <v>-3418.938394042807</v>
      </c>
    </row>
    <row r="21">
      <c r="A21" s="6" t="inlineStr">
        <is>
          <t>Normalised attributable earnings (EGP mn)</t>
        </is>
      </c>
      <c r="C21" s="17" t="n">
        <v>28795.29588548318</v>
      </c>
    </row>
    <row r="22">
      <c r="A22" s="6" t="inlineStr">
        <is>
          <t>Normalised earnings per share (EGP)</t>
        </is>
      </c>
      <c r="C22" s="22" t="n">
        <v>13.45085644255938</v>
      </c>
    </row>
    <row r="23">
      <c r="A23" s="6" t="inlineStr">
        <is>
          <t>Justified price / earnings</t>
        </is>
      </c>
      <c r="C23" s="24" t="n">
        <v>9</v>
      </c>
    </row>
    <row r="24">
      <c r="A24" s="14" t="inlineStr">
        <is>
          <t>Implied value per share (EGP)</t>
        </is>
      </c>
      <c r="B24" s="14" t="n"/>
      <c r="C24" s="30">
        <f>C22*C23</f>
        <v/>
      </c>
    </row>
    <row r="26">
      <c r="A26" s="5" t="inlineStr">
        <is>
          <t>Book lens</t>
        </is>
      </c>
      <c r="B26" s="5" t="inlineStr">
        <is>
          <t>Value</t>
        </is>
      </c>
    </row>
    <row r="27">
      <c r="A27" s="6" t="inlineStr">
        <is>
          <t>Book value per share (EGP)</t>
        </is>
      </c>
      <c r="C27" s="22" t="n">
        <v>32.91519541282852</v>
      </c>
    </row>
    <row r="28">
      <c r="A28" s="6" t="inlineStr">
        <is>
          <t>Sustainable return on equity</t>
        </is>
      </c>
      <c r="C28" s="8" t="n">
        <v>0.235</v>
      </c>
    </row>
    <row r="29">
      <c r="A29" s="6" t="inlineStr">
        <is>
          <t>Trailing return on equity</t>
        </is>
      </c>
      <c r="C29" s="8" t="n">
        <v>0.2756503065994848</v>
      </c>
    </row>
    <row r="30">
      <c r="A30" s="6" t="inlineStr">
        <is>
          <t>Blended cost of equity</t>
        </is>
      </c>
      <c r="C30" s="8" t="n">
        <v>0.22983845</v>
      </c>
    </row>
    <row r="31">
      <c r="A31" s="6" t="inlineStr">
        <is>
          <t>Justified price / book</t>
        </is>
      </c>
      <c r="C31" s="24" t="n">
        <v>1.028701036958448</v>
      </c>
    </row>
    <row r="32">
      <c r="A32" s="14" t="inlineStr">
        <is>
          <t>Implied value per share (EGP)</t>
        </is>
      </c>
      <c r="B32" s="14" t="n"/>
      <c r="C32" s="30">
        <f>C27*C31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365556.0698042354</v>
      </c>
      <c r="C5" s="28" t="n">
        <v>408521.3870167609</v>
      </c>
      <c r="D5" s="28" t="n">
        <v>442251.724251873</v>
      </c>
      <c r="E5" s="28" t="n">
        <v>477216.9343520451</v>
      </c>
      <c r="F5" s="28" t="n">
        <v>514192.2043319497</v>
      </c>
    </row>
    <row r="6">
      <c r="A6" s="6" t="inlineStr">
        <is>
          <t>EBITDA</t>
        </is>
      </c>
      <c r="B6" s="28" t="n">
        <v>41094.2415179939</v>
      </c>
      <c r="C6" s="28" t="n">
        <v>44940.76148621193</v>
      </c>
      <c r="D6" s="28" t="n">
        <v>48914.41709217701</v>
      </c>
      <c r="E6" s="28" t="n">
        <v>53240.26178029377</v>
      </c>
      <c r="F6" s="28" t="n">
        <v>57882.44686110957</v>
      </c>
    </row>
    <row r="7">
      <c r="A7" s="6" t="inlineStr">
        <is>
          <t>EBITDA margin</t>
        </is>
      </c>
      <c r="B7" s="10" t="n">
        <v>0.112415700114078</v>
      </c>
      <c r="C7" s="10" t="n">
        <v>0.1100083445187365</v>
      </c>
      <c r="D7" s="10" t="n">
        <v>0.1106031122318905</v>
      </c>
      <c r="E7" s="10" t="n">
        <v>0.1115640664608482</v>
      </c>
      <c r="F7" s="10" t="n">
        <v>0.1125696702000991</v>
      </c>
    </row>
    <row r="8">
      <c r="A8" s="6" t="inlineStr">
        <is>
          <t>Less depreciation and amortisation</t>
        </is>
      </c>
      <c r="B8" s="28" t="n">
        <v>-3838.338732944472</v>
      </c>
      <c r="C8" s="28" t="n">
        <v>-4289.47456367599</v>
      </c>
      <c r="D8" s="28" t="n">
        <v>-4643.643104644667</v>
      </c>
      <c r="E8" s="28" t="n">
        <v>-5010.777810696474</v>
      </c>
      <c r="F8" s="28" t="n">
        <v>-5399.018145485472</v>
      </c>
    </row>
    <row r="9">
      <c r="A9" s="14" t="inlineStr">
        <is>
          <t>EBIT</t>
        </is>
      </c>
      <c r="B9" s="29" t="n">
        <v>37255.90278504942</v>
      </c>
      <c r="C9" s="29" t="n">
        <v>40651.28692253594</v>
      </c>
      <c r="D9" s="29" t="n">
        <v>44270.77398753235</v>
      </c>
      <c r="E9" s="29" t="n">
        <v>48229.4839695973</v>
      </c>
      <c r="F9" s="29" t="n">
        <v>52483.42871562409</v>
      </c>
    </row>
    <row r="10">
      <c r="A10" s="6" t="inlineStr">
        <is>
          <t>NOPAT — EBIT x (1 - 25%)</t>
        </is>
      </c>
      <c r="B10" s="28" t="n">
        <v>27941.92708878707</v>
      </c>
      <c r="C10" s="28" t="n">
        <v>30488.46519190195</v>
      </c>
      <c r="D10" s="28" t="n">
        <v>33203.08049064926</v>
      </c>
      <c r="E10" s="28" t="n">
        <v>36172.11297719798</v>
      </c>
      <c r="F10" s="28" t="n">
        <v>39362.57153671807</v>
      </c>
    </row>
    <row r="11">
      <c r="A11" s="6" t="inlineStr">
        <is>
          <t>Add back depreciation and amortisation</t>
        </is>
      </c>
      <c r="B11" s="28" t="n">
        <v>3838.338732944472</v>
      </c>
      <c r="C11" s="28" t="n">
        <v>4289.47456367599</v>
      </c>
      <c r="D11" s="28" t="n">
        <v>4643.643104644667</v>
      </c>
      <c r="E11" s="28" t="n">
        <v>5010.777810696474</v>
      </c>
      <c r="F11" s="28" t="n">
        <v>5399.018145485472</v>
      </c>
    </row>
    <row r="12">
      <c r="A12" s="6" t="inlineStr">
        <is>
          <t>Less capital expenditure</t>
        </is>
      </c>
      <c r="B12" s="28" t="n">
        <v>-10966.68209412706</v>
      </c>
      <c r="C12" s="28" t="n">
        <v>-11847.12022348607</v>
      </c>
      <c r="D12" s="28" t="n">
        <v>-12383.04827905244</v>
      </c>
      <c r="E12" s="28" t="n">
        <v>-12407.64029315317</v>
      </c>
      <c r="F12" s="28" t="n">
        <v>-12340.61290396679</v>
      </c>
    </row>
    <row r="13">
      <c r="A13" s="6" t="inlineStr">
        <is>
          <t>Less change in working capital</t>
        </is>
      </c>
      <c r="B13" s="28" t="n">
        <v>-19436.62605497414</v>
      </c>
      <c r="C13" s="28" t="n">
        <v>-9882.022958880872</v>
      </c>
      <c r="D13" s="28" t="n">
        <v>-7757.977564075773</v>
      </c>
      <c r="E13" s="28" t="n">
        <v>-8041.998323039588</v>
      </c>
      <c r="F13" s="28" t="n">
        <v>-8504.31209537806</v>
      </c>
    </row>
    <row r="14">
      <c r="A14" s="14" t="inlineStr">
        <is>
          <t>Free cash flow to the firm</t>
        </is>
      </c>
      <c r="B14" s="29" t="n">
        <v>1376.957672630335</v>
      </c>
      <c r="C14" s="29" t="n">
        <v>13048.796573211</v>
      </c>
      <c r="D14" s="29" t="n">
        <v>17705.69775216571</v>
      </c>
      <c r="E14" s="29" t="n">
        <v>20733.25217170169</v>
      </c>
      <c r="F14" s="29" t="n">
        <v>23916.66468285869</v>
      </c>
    </row>
    <row r="15">
      <c r="A15" s="6" t="inlineStr">
        <is>
          <t>Forward cost of capital</t>
        </is>
      </c>
      <c r="B15" s="33" t="n">
        <v>0.2689791685924707</v>
      </c>
      <c r="C15" s="33" t="n">
        <v>0.2297894457283138</v>
      </c>
      <c r="D15" s="33" t="n">
        <v>0.1954984382221766</v>
      </c>
      <c r="E15" s="33" t="n">
        <v>0.1710048614320785</v>
      </c>
      <c r="F15" s="33" t="n">
        <v>0.15141</v>
      </c>
    </row>
    <row r="16">
      <c r="A16" s="6" t="inlineStr">
        <is>
          <t>Discount factor</t>
        </is>
      </c>
      <c r="B16" s="34" t="n">
        <v>0.7880350006920778</v>
      </c>
      <c r="C16" s="34" t="n">
        <v>0.6407885540320136</v>
      </c>
      <c r="D16" s="34" t="n">
        <v>0.536001163652651</v>
      </c>
      <c r="E16" s="34" t="n">
        <v>0.4577275306928695</v>
      </c>
      <c r="F16" s="34" t="n">
        <v>0.3975365253844151</v>
      </c>
    </row>
    <row r="17">
      <c r="A17" s="14" t="inlineStr">
        <is>
          <t>Present value of FCFF</t>
        </is>
      </c>
      <c r="B17" s="29" t="n">
        <v>1085.090840504208</v>
      </c>
      <c r="C17" s="29" t="n">
        <v>8361.519488005773</v>
      </c>
      <c r="D17" s="29" t="n">
        <v>9490.274598442946</v>
      </c>
      <c r="E17" s="29" t="n">
        <v>9490.18031978559</v>
      </c>
      <c r="F17" s="29" t="n">
        <v>9507.747776807799</v>
      </c>
    </row>
    <row r="19">
      <c r="A19" s="20" t="inlineStr">
        <is>
          <t>TERMINAL VALUE AND BRIDGE</t>
        </is>
      </c>
    </row>
    <row r="20">
      <c r="A20" s="6" t="inlineStr">
        <is>
          <t>Terminal-year NOPAT grown one year (EGP mn)</t>
        </is>
      </c>
      <c r="C20" s="17" t="n">
        <v>41330.70011355398</v>
      </c>
    </row>
    <row r="21">
      <c r="A21" s="6" t="inlineStr">
        <is>
          <t>Terminal return on invested capital</t>
        </is>
      </c>
      <c r="C21" s="8" t="n">
        <v>0.2077054355161732</v>
      </c>
    </row>
    <row r="22">
      <c r="A22" s="6" t="inlineStr">
        <is>
          <t>Required reinvestment rate (g / return on capital)</t>
        </is>
      </c>
      <c r="C22" s="8" t="n">
        <v>0.2407255249519298</v>
      </c>
    </row>
    <row r="23">
      <c r="A23" s="6" t="inlineStr">
        <is>
          <t>Terminal growth</t>
        </is>
      </c>
      <c r="C23" s="8" t="n">
        <v>0.05</v>
      </c>
    </row>
    <row r="24">
      <c r="A24" s="6" t="inlineStr">
        <is>
          <t>Terminal cost of capital</t>
        </is>
      </c>
      <c r="C24" s="8" t="n">
        <v>0.15141</v>
      </c>
    </row>
    <row r="25">
      <c r="A25" s="6" t="inlineStr">
        <is>
          <t>Terminal value (EGP mn)</t>
        </is>
      </c>
      <c r="C25" s="17" t="n">
        <v>309450.2083826832</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365556.0698042354</v>
      </c>
      <c r="F5" s="29" t="n">
        <v>408521.3870167609</v>
      </c>
      <c r="G5" s="29" t="n">
        <v>442251.724251873</v>
      </c>
      <c r="H5" s="29" t="n">
        <v>477216.9343520451</v>
      </c>
      <c r="I5" s="29" t="n">
        <v>514192.2043319497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41094.2415179939</v>
      </c>
      <c r="F7" s="29" t="n">
        <v>44940.76148621193</v>
      </c>
      <c r="G7" s="29" t="n">
        <v>48914.41709217701</v>
      </c>
      <c r="H7" s="29" t="n">
        <v>53240.26178029377</v>
      </c>
      <c r="I7" s="29" t="n">
        <v>57882.44686110957</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-3838.338732944472</v>
      </c>
      <c r="F9" s="28" t="n">
        <v>-4289.47456367599</v>
      </c>
      <c r="G9" s="28" t="n">
        <v>-4643.643104644667</v>
      </c>
      <c r="H9" s="28" t="n">
        <v>-5010.777810696474</v>
      </c>
      <c r="I9" s="28" t="n">
        <v>-5399.018145485472</v>
      </c>
    </row>
    <row r="10">
      <c r="A10" s="14" t="inlineStr">
        <is>
          <t>EBIT</t>
        </is>
      </c>
      <c r="B10" s="29" t="n">
        <v>17739.1</v>
      </c>
      <c r="C10" s="29" t="n">
        <v>29341.7</v>
      </c>
      <c r="D10" s="29" t="n">
        <v>27671.07333333333</v>
      </c>
      <c r="E10" s="29" t="n">
        <v>37255.90278504942</v>
      </c>
      <c r="F10" s="29" t="n">
        <v>40651.28692253594</v>
      </c>
      <c r="G10" s="29" t="n">
        <v>44270.77398753235</v>
      </c>
      <c r="H10" s="29" t="n">
        <v>48229.4839695973</v>
      </c>
      <c r="I10" s="29" t="n">
        <v>52483.42871562409</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23402.91492400461</v>
      </c>
      <c r="F17" s="29" t="n">
        <v>25655.38637609128</v>
      </c>
      <c r="G17" s="29" t="n">
        <v>28760.73212503701</v>
      </c>
      <c r="H17" s="29" t="n">
        <v>32311.21619073199</v>
      </c>
      <c r="I17" s="29" t="n">
        <v>36223.78337066263</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40152.59886118259</v>
      </c>
      <c r="F5" s="28" t="n">
        <v>47710.24452099267</v>
      </c>
      <c r="G5" s="28" t="n">
        <v>55449.64969540044</v>
      </c>
      <c r="H5" s="28" t="n">
        <v>62846.51217785713</v>
      </c>
      <c r="I5" s="28" t="n">
        <v>69788.10693633846</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88016.30831700345</v>
      </c>
      <c r="F14" s="29" t="n">
        <v>107257.8480990719</v>
      </c>
      <c r="G14" s="29" t="n">
        <v>128828.3971928497</v>
      </c>
      <c r="H14" s="29" t="n">
        <v>153061.8093358987</v>
      </c>
      <c r="I14" s="29" t="n">
        <v>180229.6468638956</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84077.89605497415</v>
      </c>
      <c r="F16" s="28" t="n">
        <v>93959.91901385502</v>
      </c>
      <c r="G16" s="28" t="n">
        <v>101717.8965779308</v>
      </c>
      <c r="H16" s="28" t="n">
        <v>109759.8949009704</v>
      </c>
      <c r="I16" s="28" t="n">
        <v>118264.2069963484</v>
      </c>
    </row>
    <row r="17">
      <c r="A17" s="14" t="inlineStr">
        <is>
          <t>Net bank debt</t>
        </is>
      </c>
      <c r="B17" s="29" t="n">
        <v>14768</v>
      </c>
      <c r="C17" s="29" t="n">
        <v>20028</v>
      </c>
      <c r="D17" s="29" t="n">
        <v>19789</v>
      </c>
      <c r="E17" s="29" t="n">
        <v>27358.32227038879</v>
      </c>
      <c r="F17" s="29" t="n">
        <v>23956.92235029294</v>
      </c>
      <c r="G17" s="29" t="n">
        <v>16043.86491166744</v>
      </c>
      <c r="H17" s="29" t="n">
        <v>5128.832060029791</v>
      </c>
      <c r="I17" s="29" t="n">
        <v>-9024.949133257413</v>
      </c>
    </row>
    <row r="18">
      <c r="A18" s="6" t="inlineStr">
        <is>
          <t>Net debt / EBITDA</t>
        </is>
      </c>
      <c r="B18" s="32">
        <f>B17/'Income Statement'!B7</f>
        <v/>
      </c>
      <c r="C18" s="32">
        <f>C17/'Income Statement'!C7</f>
        <v/>
      </c>
      <c r="D18" s="32">
        <f>D17/'Income Statement'!D7</f>
        <v/>
      </c>
      <c r="E18" s="32">
        <f>E17/'Income Statement'!E7</f>
        <v/>
      </c>
      <c r="F18" s="32">
        <f>F17/'Income Statement'!F7</f>
        <v/>
      </c>
      <c r="G18" s="32">
        <f>G17/'Income Statement'!G7</f>
        <v/>
      </c>
      <c r="H18" s="32">
        <f>H17/'Income Statement'!H7</f>
        <v/>
      </c>
      <c r="I18" s="32">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41094.2415179939</v>
      </c>
      <c r="E5" s="28" t="n">
        <v>44940.76148621193</v>
      </c>
      <c r="F5" s="28" t="n">
        <v>48914.41709217701</v>
      </c>
      <c r="G5" s="28" t="n">
        <v>53240.26178029377</v>
      </c>
      <c r="H5" s="28" t="n">
        <v>57882.44686110957</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-10966.68209412706</v>
      </c>
      <c r="E9" s="28" t="n">
        <v>-11847.12022348607</v>
      </c>
      <c r="F9" s="28" t="n">
        <v>-12383.04827905244</v>
      </c>
      <c r="G9" s="28" t="n">
        <v>-12407.64029315317</v>
      </c>
      <c r="H9" s="28" t="n">
        <v>-12340.61290396679</v>
      </c>
    </row>
    <row r="10">
      <c r="A10" s="6" t="inlineStr">
        <is>
          <t>Change in working capital</t>
        </is>
      </c>
      <c r="B10" s="28" t="inlineStr">
        <is>
          <t>-</t>
        </is>
      </c>
      <c r="C10" s="28" t="n">
        <v>-16840.00000000001</v>
      </c>
      <c r="D10" s="28" t="n">
        <v>-19436.62605497414</v>
      </c>
      <c r="E10" s="28" t="n">
        <v>-9882.022958880872</v>
      </c>
      <c r="F10" s="28" t="n">
        <v>-7757.977564075773</v>
      </c>
      <c r="G10" s="28" t="n">
        <v>-8041.998323039588</v>
      </c>
      <c r="H10" s="28" t="n">
        <v>-8504.31209537806</v>
      </c>
    </row>
    <row r="11">
      <c r="A11" s="6" t="inlineStr">
        <is>
          <t>NOPAT</t>
        </is>
      </c>
      <c r="B11" s="28" t="inlineStr">
        <is>
          <t>-</t>
        </is>
      </c>
      <c r="C11" s="28" t="inlineStr">
        <is>
          <t>-</t>
        </is>
      </c>
      <c r="D11" s="28" t="n">
        <v>27941.92708878707</v>
      </c>
      <c r="E11" s="28" t="n">
        <v>30488.46519190195</v>
      </c>
      <c r="F11" s="28" t="n">
        <v>33203.08049064926</v>
      </c>
      <c r="G11" s="28" t="n">
        <v>36172.11297719798</v>
      </c>
      <c r="H11" s="28" t="n">
        <v>39362.57153671807</v>
      </c>
    </row>
    <row r="12">
      <c r="A12" s="14" t="inlineStr">
        <is>
          <t>Free cash flow to the firm</t>
        </is>
      </c>
      <c r="B12" s="29" t="inlineStr">
        <is>
          <t>-</t>
        </is>
      </c>
      <c r="C12" s="29" t="inlineStr">
        <is>
          <t>-</t>
        </is>
      </c>
      <c r="D12" s="29" t="n">
        <v>1376.957672630335</v>
      </c>
      <c r="E12" s="29" t="n">
        <v>13048.796573211</v>
      </c>
      <c r="F12" s="29" t="n">
        <v>17705.69775216571</v>
      </c>
      <c r="G12" s="29" t="n">
        <v>20733.25217170169</v>
      </c>
      <c r="H12" s="29" t="n">
        <v>23916.66468285869</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365556.0698042354</v>
      </c>
      <c r="F5" s="28" t="n">
        <v>408521.3870167609</v>
      </c>
      <c r="G5" s="28" t="n">
        <v>442251.724251873</v>
      </c>
      <c r="H5" s="28" t="n">
        <v>477216.9343520451</v>
      </c>
      <c r="I5" s="28" t="n">
        <v>514192.2043319497</v>
      </c>
    </row>
    <row r="6">
      <c r="A6" s="6" t="inlineStr">
        <is>
          <t>Revenue growth</t>
        </is>
      </c>
      <c r="B6" s="10" t="inlineStr">
        <is>
          <t>-</t>
        </is>
      </c>
      <c r="C6" s="10" t="n">
        <v>0.5243287499129354</v>
      </c>
      <c r="D6" s="10" t="n">
        <v>0.2115131445656513</v>
      </c>
      <c r="E6" s="10" t="n">
        <v>0.3006844706945602</v>
      </c>
      <c r="F6" s="10" t="n">
        <v>0.1175341370628438</v>
      </c>
      <c r="G6" s="10" t="n">
        <v>0.08256688219294661</v>
      </c>
      <c r="H6" s="10" t="n">
        <v>0.07906178355623239</v>
      </c>
      <c r="I6" s="10" t="n">
        <v>0.07748105173616437</v>
      </c>
    </row>
    <row r="7">
      <c r="A7" s="6" t="inlineStr">
        <is>
          <t>EBITDA</t>
        </is>
      </c>
      <c r="B7" s="28" t="n">
        <v>20035.1</v>
      </c>
      <c r="C7" s="28" t="n">
        <v>31601.6</v>
      </c>
      <c r="D7" s="28" t="n">
        <v>30622.08783333333</v>
      </c>
      <c r="E7" s="28" t="n">
        <v>41094.2415179939</v>
      </c>
      <c r="F7" s="28" t="n">
        <v>44940.76148621193</v>
      </c>
      <c r="G7" s="28" t="n">
        <v>48914.41709217701</v>
      </c>
      <c r="H7" s="28" t="n">
        <v>53240.26178029377</v>
      </c>
      <c r="I7" s="28" t="n">
        <v>57882.44686110957</v>
      </c>
    </row>
    <row r="8">
      <c r="A8" s="6" t="inlineStr">
        <is>
          <t>EBITDA margin</t>
        </is>
      </c>
      <c r="B8" s="10" t="n">
        <v>0.1316485988874155</v>
      </c>
      <c r="C8" s="10" t="n">
        <v>0.1362244796790093</v>
      </c>
      <c r="D8" s="10" t="n">
        <v>0.1089564020271673</v>
      </c>
      <c r="E8" s="10" t="n">
        <v>0.112415700114078</v>
      </c>
      <c r="F8" s="10" t="n">
        <v>0.1100083445187365</v>
      </c>
      <c r="G8" s="10" t="n">
        <v>0.1106031122318905</v>
      </c>
      <c r="H8" s="10" t="n">
        <v>0.1115640664608482</v>
      </c>
      <c r="I8" s="10" t="n">
        <v>0.1125696702000991</v>
      </c>
    </row>
    <row r="9">
      <c r="A9" s="6" t="inlineStr">
        <is>
          <t>EBIT</t>
        </is>
      </c>
      <c r="B9" s="28" t="n">
        <v>17739.1</v>
      </c>
      <c r="C9" s="28" t="n">
        <v>29341.7</v>
      </c>
      <c r="D9" s="28" t="n">
        <v>27671.07333333333</v>
      </c>
      <c r="E9" s="28" t="n">
        <v>37255.90278504942</v>
      </c>
      <c r="F9" s="28" t="n">
        <v>40651.28692253594</v>
      </c>
      <c r="G9" s="28" t="n">
        <v>44270.77398753235</v>
      </c>
      <c r="H9" s="28" t="n">
        <v>48229.4839695973</v>
      </c>
      <c r="I9" s="28" t="n">
        <v>52483.42871562409</v>
      </c>
    </row>
    <row r="10">
      <c r="A10" s="6" t="inlineStr">
        <is>
          <t>Attributable profit</t>
        </is>
      </c>
      <c r="B10" s="28" t="n">
        <v>10115.7</v>
      </c>
      <c r="C10" s="28" t="n">
        <v>17461.4</v>
      </c>
      <c r="D10" s="28" t="n">
        <v>17330</v>
      </c>
      <c r="E10" s="28" t="n">
        <v>23402.91492400461</v>
      </c>
      <c r="F10" s="28" t="n">
        <v>25655.38637609128</v>
      </c>
      <c r="G10" s="28" t="n">
        <v>28760.73212503701</v>
      </c>
      <c r="H10" s="28" t="n">
        <v>32311.21619073199</v>
      </c>
      <c r="I10" s="28" t="n">
        <v>36223.78337066263</v>
      </c>
    </row>
    <row r="11">
      <c r="A11" s="6" t="inlineStr">
        <is>
          <t>Free cash flow to the firm</t>
        </is>
      </c>
      <c r="B11" s="28" t="inlineStr">
        <is>
          <t>-</t>
        </is>
      </c>
      <c r="C11" s="28" t="inlineStr">
        <is>
          <t>-</t>
        </is>
      </c>
      <c r="D11" s="28" t="inlineStr">
        <is>
          <t>-</t>
        </is>
      </c>
      <c r="E11" s="28" t="n">
        <v>1376.957672630335</v>
      </c>
      <c r="F11" s="28" t="n">
        <v>13048.796573211</v>
      </c>
      <c r="G11" s="28" t="n">
        <v>17705.69775216571</v>
      </c>
      <c r="H11" s="28" t="n">
        <v>20733.25217170169</v>
      </c>
      <c r="I11" s="28" t="n">
        <v>23916.66468285869</v>
      </c>
    </row>
    <row r="12">
      <c r="A12" s="6" t="inlineStr">
        <is>
          <t>Net bank debt</t>
        </is>
      </c>
      <c r="B12" s="28" t="n">
        <v>14768</v>
      </c>
      <c r="C12" s="28" t="n">
        <v>20028</v>
      </c>
      <c r="D12" s="28" t="n">
        <v>19789</v>
      </c>
      <c r="E12" s="28" t="n">
        <v>27358.32227038879</v>
      </c>
      <c r="F12" s="28" t="n">
        <v>23956.92235029294</v>
      </c>
      <c r="G12" s="28" t="n">
        <v>16043.86491166744</v>
      </c>
      <c r="H12" s="28" t="n">
        <v>5128.832060029791</v>
      </c>
      <c r="I12" s="28" t="n">
        <v>-9024.949133257413</v>
      </c>
    </row>
    <row r="13">
      <c r="A13" s="6" t="inlineStr">
        <is>
          <t>Invested capital</t>
        </is>
      </c>
      <c r="B13" s="28" t="inlineStr">
        <is>
          <t>-</t>
        </is>
      </c>
      <c r="C13" s="28" t="inlineStr">
        <is>
          <t>-</t>
        </is>
      </c>
      <c r="D13" s="28" t="inlineStr">
        <is>
          <t>-</t>
        </is>
      </c>
      <c r="E13" s="28" t="n">
        <v>125689.6949161567</v>
      </c>
      <c r="F13" s="28" t="n">
        <v>143129.3635348477</v>
      </c>
      <c r="G13" s="28" t="n">
        <v>158626.7462733312</v>
      </c>
      <c r="H13" s="28" t="n">
        <v>174065.6070788275</v>
      </c>
      <c r="I13" s="28" t="n">
        <v>189511.5139326869</v>
      </c>
    </row>
    <row r="14">
      <c r="A14" s="6" t="inlineStr">
        <is>
          <t>Return on invested capital</t>
        </is>
      </c>
      <c r="B14" s="10" t="inlineStr">
        <is>
          <t>-</t>
        </is>
      </c>
      <c r="C14" s="10" t="inlineStr">
        <is>
          <t>-</t>
        </is>
      </c>
      <c r="D14" s="10" t="inlineStr">
        <is>
          <t>-</t>
        </is>
      </c>
      <c r="E14" s="10" t="n">
        <v>0.2223088146361256</v>
      </c>
      <c r="F14" s="10" t="n">
        <v>0.2130133498740734</v>
      </c>
      <c r="G14" s="10" t="n">
        <v>0.2093157760005789</v>
      </c>
      <c r="H14" s="10" t="n">
        <v>0.2078073525507945</v>
      </c>
      <c r="I14" s="10" t="n">
        <v>0.2077054355161732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71.40604255139132</v>
      </c>
      <c r="C6" s="9" t="n">
        <v>74.8455484835976</v>
      </c>
      <c r="D6" s="9" t="n">
        <v>79.04809647022493</v>
      </c>
      <c r="E6" s="9" t="n">
        <v>84.3342475199925</v>
      </c>
      <c r="F6" s="9" t="n">
        <v>91.23336316838652</v>
      </c>
    </row>
    <row r="7">
      <c r="A7" s="6" t="inlineStr">
        <is>
          <t>14.1%</t>
        </is>
      </c>
      <c r="B7" s="9" t="n">
        <v>64.49978173034609</v>
      </c>
      <c r="C7" s="9" t="n">
        <v>67.00642468255586</v>
      </c>
      <c r="D7" s="9" t="n">
        <v>69.99025922223638</v>
      </c>
      <c r="E7" s="9" t="n">
        <v>73.62713288192815</v>
      </c>
      <c r="F7" s="9" t="n">
        <v>78.19139342245379</v>
      </c>
    </row>
    <row r="8">
      <c r="A8" s="6" t="inlineStr">
        <is>
          <t>15.1%</t>
        </is>
      </c>
      <c r="B8" s="9" t="n">
        <v>58.73840333856804</v>
      </c>
      <c r="C8" s="9" t="n">
        <v>60.5801332665243</v>
      </c>
      <c r="D8" s="9" t="n">
        <v>62.72237722300294</v>
      </c>
      <c r="E8" s="9" t="n">
        <v>65.26376140705965</v>
      </c>
      <c r="F8" s="9" t="n">
        <v>68.35137102723559</v>
      </c>
    </row>
    <row r="9">
      <c r="A9" s="6" t="inlineStr">
        <is>
          <t>16.1%</t>
        </is>
      </c>
      <c r="B9" s="9" t="n">
        <v>53.86023933636113</v>
      </c>
      <c r="C9" s="9" t="n">
        <v>55.21731960809319</v>
      </c>
      <c r="D9" s="9" t="n">
        <v>56.76227199734095</v>
      </c>
      <c r="E9" s="9" t="n">
        <v>58.55067448976136</v>
      </c>
      <c r="F9" s="9" t="n">
        <v>60.66242537979906</v>
      </c>
    </row>
    <row r="10">
      <c r="A10" s="6" t="inlineStr">
        <is>
          <t>17.1%</t>
        </is>
      </c>
      <c r="B10" s="9" t="n">
        <v>49.67765160561232</v>
      </c>
      <c r="C10" s="9" t="n">
        <v>50.67498049644503</v>
      </c>
      <c r="D10" s="9" t="n">
        <v>51.78663329144614</v>
      </c>
      <c r="E10" s="9" t="n">
        <v>53.04339463405028</v>
      </c>
      <c r="F10" s="9" t="n">
        <v>54.48819181375644</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83.66571992603276</v>
      </c>
      <c r="C14" s="9" t="n">
        <v>81.31573210887528</v>
      </c>
      <c r="D14" s="9" t="n">
        <v>79.04809647022493</v>
      </c>
      <c r="E14" s="9" t="n">
        <v>76.8591944099261</v>
      </c>
      <c r="F14" s="9" t="n">
        <v>74.74559943059796</v>
      </c>
    </row>
    <row r="15">
      <c r="A15" s="6" t="inlineStr">
        <is>
          <t>terminal 14.1%</t>
        </is>
      </c>
      <c r="B15" s="9" t="n">
        <v>74.09309219727253</v>
      </c>
      <c r="C15" s="9" t="n">
        <v>72.00519044120513</v>
      </c>
      <c r="D15" s="9" t="n">
        <v>69.99025922223638</v>
      </c>
      <c r="E15" s="9" t="n">
        <v>68.04509832510135</v>
      </c>
      <c r="F15" s="9" t="n">
        <v>66.16667718367351</v>
      </c>
    </row>
    <row r="16">
      <c r="A16" s="6" t="inlineStr">
        <is>
          <t>terminal 15.1%</t>
        </is>
      </c>
      <c r="B16" s="9" t="n">
        <v>66.41233867790525</v>
      </c>
      <c r="C16" s="9" t="n">
        <v>64.53463324396715</v>
      </c>
      <c r="D16" s="9" t="n">
        <v>62.72237722300294</v>
      </c>
      <c r="E16" s="9" t="n">
        <v>60.97270569052243</v>
      </c>
      <c r="F16" s="9" t="n">
        <v>59.28290538269756</v>
      </c>
    </row>
    <row r="17">
      <c r="A17" s="6" t="inlineStr">
        <is>
          <t>terminal 16.1%</t>
        </is>
      </c>
      <c r="B17" s="9" t="n">
        <v>60.11382102859078</v>
      </c>
      <c r="C17" s="9" t="n">
        <v>58.40840279419519</v>
      </c>
      <c r="D17" s="9" t="n">
        <v>56.76227199734095</v>
      </c>
      <c r="E17" s="9" t="n">
        <v>55.17283830621533</v>
      </c>
      <c r="F17" s="9" t="n">
        <v>53.63764832267511</v>
      </c>
    </row>
    <row r="18">
      <c r="A18" s="6" t="inlineStr">
        <is>
          <t>terminal 17.1%</t>
        </is>
      </c>
      <c r="B18" s="9" t="n">
        <v>54.85581681153326</v>
      </c>
      <c r="C18" s="9" t="n">
        <v>53.29415083110127</v>
      </c>
      <c r="D18" s="9" t="n">
        <v>51.78663329144614</v>
      </c>
      <c r="E18" s="9" t="n">
        <v>50.33090277179734</v>
      </c>
      <c r="F18" s="9" t="n">
        <v>48.92472251249137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86.15763153561919</v>
      </c>
      <c r="C22" s="9" t="n">
        <v>73.24713700573579</v>
      </c>
      <c r="D22" s="9" t="n">
        <v>63.12622637075465</v>
      </c>
      <c r="E22" s="9" t="n">
        <v>62.72237722300294</v>
      </c>
      <c r="F22" s="9" t="n">
        <v>56.87661209559251</v>
      </c>
      <c r="G22" s="9" t="n">
        <v>51.51532544021109</v>
      </c>
      <c r="H22" s="9" t="n">
        <v>34.6423060954081</v>
      </c>
    </row>
    <row r="23">
      <c r="A23" s="6" t="inlineStr">
        <is>
          <t>Exchange-rate path multiplier</t>
        </is>
      </c>
      <c r="B23" s="9" t="n">
        <v>71.61367692250901</v>
      </c>
      <c r="C23" s="9" t="n">
        <v>67.16802707275598</v>
      </c>
      <c r="D23" s="9" t="n">
        <v>62.72237722300294</v>
      </c>
      <c r="E23" s="9" t="n">
        <v>55.60933746339811</v>
      </c>
      <c r="F23" s="9" t="n">
        <v>44.93977782399083</v>
      </c>
      <c r="H23" s="9" t="n">
        <v>26.67389909851818</v>
      </c>
    </row>
    <row r="24">
      <c r="A24" s="6" t="inlineStr">
        <is>
          <t>EBITDA margin shift</t>
        </is>
      </c>
      <c r="B24" s="9" t="n">
        <v>41.84129022062721</v>
      </c>
      <c r="C24" s="9" t="n">
        <v>52.28183372181507</v>
      </c>
      <c r="D24" s="9" t="n">
        <v>62.72237722300294</v>
      </c>
      <c r="E24" s="9" t="n">
        <v>73.16292072419081</v>
      </c>
      <c r="F24" s="9" t="n">
        <v>83.60346422537874</v>
      </c>
      <c r="H24" s="9" t="n">
        <v>41.76217400475154</v>
      </c>
    </row>
    <row r="25">
      <c r="A25" s="6" t="inlineStr">
        <is>
          <t>Working capital / revenue</t>
        </is>
      </c>
      <c r="B25" s="9" t="n">
        <v>65.87180866666164</v>
      </c>
      <c r="C25" s="9" t="n">
        <v>64.2970929448323</v>
      </c>
      <c r="D25" s="9" t="n">
        <v>62.72237722300294</v>
      </c>
      <c r="E25" s="9" t="n">
        <v>61.1476615011736</v>
      </c>
      <c r="F25" s="9" t="n">
        <v>59.57294577934427</v>
      </c>
      <c r="H25" s="9" t="n">
        <v>6.298862887317362</v>
      </c>
    </row>
    <row r="26">
      <c r="A26" s="6" t="inlineStr">
        <is>
          <t>Terminal return on invested capital</t>
        </is>
      </c>
      <c r="B26" s="9" t="n">
        <v>56.38958884826296</v>
      </c>
      <c r="C26" s="9" t="n">
        <v>60.18863757345764</v>
      </c>
      <c r="D26" s="9" t="n">
        <v>62.72237722300294</v>
      </c>
      <c r="E26" s="9" t="n">
        <v>66.03332791991097</v>
      </c>
      <c r="F26" s="9" t="n">
        <v>67.78673502384697</v>
      </c>
      <c r="H26" s="9" t="n">
        <v>11.39714617558401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10.93196785447563</v>
      </c>
      <c r="F5" s="9" t="n">
        <v>11.98414214931436</v>
      </c>
      <c r="G5" s="9" t="n">
        <v>13.43471102138623</v>
      </c>
      <c r="H5" s="9" t="n">
        <v>15.09321287040991</v>
      </c>
      <c r="I5" s="9" t="n">
        <v>16.92085095645048</v>
      </c>
    </row>
    <row r="6">
      <c r="A6" s="6" t="inlineStr">
        <is>
          <t>Book value per share (EGP)</t>
        </is>
      </c>
      <c r="B6" s="9" t="n">
        <v>16.68762574599776</v>
      </c>
      <c r="C6" s="9" t="n">
        <v>25.82000711969241</v>
      </c>
      <c r="D6" s="9" t="n">
        <v>32.91519541282852</v>
      </c>
      <c r="E6" s="9" t="n">
        <v>41.11417130368525</v>
      </c>
      <c r="F6" s="9" t="n">
        <v>50.10227791567102</v>
      </c>
      <c r="G6" s="9" t="n">
        <v>60.17831118171069</v>
      </c>
      <c r="H6" s="9" t="n">
        <v>71.49822083451812</v>
      </c>
      <c r="I6" s="9" t="n">
        <v>84.18885905185599</v>
      </c>
    </row>
    <row r="7">
      <c r="A7" s="6" t="inlineStr">
        <is>
          <t>Free cash flow per share (EGP)</t>
        </is>
      </c>
      <c r="B7" s="9" t="inlineStr">
        <is>
          <t>-</t>
        </is>
      </c>
      <c r="C7" s="9" t="inlineStr">
        <is>
          <t>-</t>
        </is>
      </c>
      <c r="D7" s="9" t="inlineStr">
        <is>
          <t>-</t>
        </is>
      </c>
      <c r="E7" s="9" t="n">
        <v>0.6432043642020219</v>
      </c>
      <c r="F7" s="9" t="n">
        <v>6.095352871262111</v>
      </c>
      <c r="G7" s="9" t="n">
        <v>8.270684198796207</v>
      </c>
      <c r="H7" s="9" t="n">
        <v>9.684915190940478</v>
      </c>
      <c r="I7" s="9" t="n">
        <v>11.17195060308942</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0.1100083445187365</v>
      </c>
      <c r="G9" s="10" t="n">
        <v>0.1106031122318905</v>
      </c>
      <c r="H9" s="10" t="n">
        <v>0.1115640664608482</v>
      </c>
      <c r="I9" s="10" t="n">
        <v>0.1125696702000991</v>
      </c>
    </row>
    <row r="10">
      <c r="A10" s="6" t="inlineStr">
        <is>
          <t>EBIT margin</t>
        </is>
      </c>
      <c r="B10" s="10" t="n">
        <v>0.1165618170372872</v>
      </c>
      <c r="C10" s="10" t="n">
        <v>0.126482767182598</v>
      </c>
      <c r="D10" s="10" t="n">
        <v>0.09845640202716727</v>
      </c>
      <c r="E10" s="10" t="n">
        <v>0.101915700114078</v>
      </c>
      <c r="F10" s="10" t="n">
        <v>0.09950834451873651</v>
      </c>
      <c r="G10" s="10" t="n">
        <v>0.1001031122318905</v>
      </c>
      <c r="H10" s="10" t="n">
        <v>0.1010640664608482</v>
      </c>
      <c r="I10" s="10" t="n">
        <v>0.1020696702000991</v>
      </c>
    </row>
    <row r="11">
      <c r="A11" s="6" t="inlineStr">
        <is>
          <t>Net margin (attributable)</t>
        </is>
      </c>
      <c r="B11" s="10" t="n">
        <v>0.06646923308420868</v>
      </c>
      <c r="C11" s="10" t="n">
        <v>0.07527056001807039</v>
      </c>
      <c r="D11" s="10" t="n">
        <v>0.06166184544332127</v>
      </c>
      <c r="E11" s="10" t="n">
        <v>0.06402004195016504</v>
      </c>
      <c r="F11" s="10" t="n">
        <v>0.06280059549254072</v>
      </c>
      <c r="G11" s="10" t="n">
        <v>0.06503249291721717</v>
      </c>
      <c r="H11" s="10" t="n">
        <v>0.06770760604839697</v>
      </c>
      <c r="I11" s="10" t="n">
        <v>0.07044794352284163</v>
      </c>
    </row>
    <row r="12">
      <c r="A12" s="6" t="inlineStr">
        <is>
          <t>Return on equity</t>
        </is>
      </c>
      <c r="B12" s="10" t="inlineStr">
        <is>
          <t>-</t>
        </is>
      </c>
      <c r="C12" s="10" t="n">
        <v>0.3837695633158021</v>
      </c>
      <c r="D12" s="10" t="n">
        <v>0.2756503065994848</v>
      </c>
      <c r="E12" s="10" t="n">
        <v>0.2658929392916098</v>
      </c>
      <c r="F12" s="10" t="n">
        <v>0.2391935586139479</v>
      </c>
      <c r="G12" s="10" t="n">
        <v>0.2232483889556092</v>
      </c>
      <c r="H12" s="10" t="n">
        <v>0.2110991391707913</v>
      </c>
      <c r="I12" s="10" t="n">
        <v>0.2009868187669358</v>
      </c>
    </row>
    <row r="13">
      <c r="A13" s="6" t="inlineStr">
        <is>
          <t>Return on invested capital</t>
        </is>
      </c>
      <c r="B13" s="10" t="n">
        <v>0.2229390349424942</v>
      </c>
      <c r="C13" s="10" t="n">
        <v>0.2486105500867294</v>
      </c>
      <c r="D13" s="10" t="n">
        <v>0.2093655734764178</v>
      </c>
      <c r="E13" s="10" t="n">
        <v>0.2223088146361256</v>
      </c>
      <c r="F13" s="10" t="n">
        <v>0.2130133498740734</v>
      </c>
      <c r="G13" s="10" t="n">
        <v>0.2093157760005789</v>
      </c>
      <c r="H13" s="10" t="n">
        <v>0.2078073525507945</v>
      </c>
      <c r="I13" s="10" t="n">
        <v>0.2077054355161732</v>
      </c>
    </row>
    <row r="14">
      <c r="A14" s="6" t="inlineStr">
        <is>
          <t>Net debt / EBITDA</t>
        </is>
      </c>
      <c r="B14" s="32" t="n">
        <v>0.7371063783060728</v>
      </c>
      <c r="C14" s="32" t="n">
        <v>0.6337653789681534</v>
      </c>
      <c r="D14" s="32" t="n">
        <v>0.6462328796032941</v>
      </c>
      <c r="E14" s="32" t="n">
        <v>0.6657458870097267</v>
      </c>
      <c r="F14" s="32" t="n">
        <v>0.53307780193362</v>
      </c>
      <c r="G14" s="32" t="n">
        <v>0.3279986937477656</v>
      </c>
      <c r="H14" s="32" t="n">
        <v>0.09633371227953212</v>
      </c>
      <c r="I14" s="32" t="n">
        <v>-0.1559185836582377</v>
      </c>
    </row>
    <row r="15">
      <c r="A15" s="6" t="inlineStr">
        <is>
          <t>Interest cover (EBIT / net interest)</t>
        </is>
      </c>
      <c r="B15" s="32" t="inlineStr">
        <is>
          <t>-</t>
        </is>
      </c>
      <c r="C15" s="32" t="n">
        <v>8.346617739090858</v>
      </c>
      <c r="D15" s="32" t="n">
        <v>8.138550980392157</v>
      </c>
      <c r="E15" s="32" t="inlineStr">
        <is>
          <t>-</t>
        </is>
      </c>
      <c r="F15" s="32" t="inlineStr">
        <is>
          <t>-</t>
        </is>
      </c>
      <c r="G15" s="32" t="inlineStr">
        <is>
          <t>-</t>
        </is>
      </c>
      <c r="H15" s="32" t="inlineStr">
        <is>
          <t>-</t>
        </is>
      </c>
      <c r="I15" s="32"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5" t="inlineStr">
        <is>
          <t>nearest listed regional cable manufacturer</t>
        </is>
      </c>
      <c r="D5" s="35" t="inlineStr">
        <is>
          <t>far smaller, no contracting arm, lighter balance sheet, pegged currency</t>
        </is>
      </c>
    </row>
    <row r="6" ht="30" customHeight="1">
      <c r="A6" s="6" t="inlineStr">
        <is>
          <t>Electro Cable Egypt</t>
        </is>
      </c>
      <c r="B6" s="6" t="inlineStr">
        <is>
          <t>Egypt</t>
        </is>
      </c>
      <c r="C6" s="35" t="inlineStr">
        <is>
          <t>the only other listed Egyptian cable manufacturer</t>
        </is>
      </c>
      <c r="D6" s="35" t="inlineStr">
        <is>
          <t>much smaller, domestic, heavily levered, currently loss-making</t>
        </is>
      </c>
    </row>
    <row r="7" ht="30" customHeight="1">
      <c r="A7" s="6" t="inlineStr">
        <is>
          <t>European cable majors</t>
        </is>
      </c>
      <c r="B7" s="6" t="inlineStr">
        <is>
          <t>Europe</t>
        </is>
      </c>
      <c r="C7" s="35" t="inlineStr">
        <is>
          <t>closest match on business model — cables plus projects</t>
        </is>
      </c>
      <c r="D7" s="35" t="inlineStr">
        <is>
          <t>developed-market cost of capital; no convertibility risk</t>
        </is>
      </c>
    </row>
    <row r="8" ht="30" customHeight="1">
      <c r="A8" s="6" t="inlineStr">
        <is>
          <t>Regional engineering and construction contractors</t>
        </is>
      </c>
      <c r="B8" s="6" t="inlineStr">
        <is>
          <t>Gulf and North Africa</t>
        </is>
      </c>
      <c r="C8" s="35" t="inlineStr">
        <is>
          <t>the right frame for the roughly 27% that is turnkey project work</t>
        </is>
      </c>
      <c r="D8" s="35" t="inlineStr">
        <is>
          <t>project accounting and backlog quality are not comparable</t>
        </is>
      </c>
    </row>
    <row r="10">
      <c r="A10" s="5" t="inlineStr">
        <is>
          <t>Own multiples</t>
        </is>
      </c>
      <c r="B10" s="5" t="inlineStr">
        <is>
          <t>Value</t>
        </is>
      </c>
    </row>
    <row r="11">
      <c r="A11" s="6" t="inlineStr">
        <is>
          <t>Trailing enterprise value / EBITDA</t>
        </is>
      </c>
      <c r="B11" s="32" t="n">
        <v>8.000722677325394</v>
      </c>
    </row>
    <row r="12">
      <c r="A12" s="6" t="inlineStr">
        <is>
          <t>Trailing price / earnings</t>
        </is>
      </c>
      <c r="B12" s="32" t="n">
        <v>12.9953740655049</v>
      </c>
    </row>
    <row r="13">
      <c r="A13" s="6" t="inlineStr">
        <is>
          <t>Trailing price / book</t>
        </is>
      </c>
      <c r="B13" s="32" t="n">
        <v>3.196092220646482</v>
      </c>
    </row>
    <row r="14">
      <c r="A14" s="6" t="inlineStr">
        <is>
          <t>Justified enterprise value / EBITDA applied</t>
        </is>
      </c>
      <c r="B14" s="32" t="n">
        <v>6.5</v>
      </c>
    </row>
    <row r="15">
      <c r="A15" s="6" t="inlineStr">
        <is>
          <t>Justified price / earnings applied</t>
        </is>
      </c>
      <c r="B15" s="32"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2026-08-06T07:01:52Z</dcterms:created>
  <dcterms:modified xmlns:dcterms="http://purl.org/dc/terms/" xmlns:xsi="http://www.w3.org/2001/XMLSchema-instance" xsi:type="dcterms:W3CDTF">2026-08-06T07:01:52Z</dcterms:modified>
</cp:coreProperties>
</file>