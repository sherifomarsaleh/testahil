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x"/>
    <numFmt numFmtId="170" formatCode="0.0000"/>
  </numFmts>
  <fonts count="11">
    <font>
      <name val="Calibri"/>
      <family val="2"/>
      <color theme="1"/>
      <sz val="11"/>
      <scheme val="minor"/>
    </font>
    <font>
      <b val="1"/>
      <color rgb="00F6F1E6"/>
      <sz val="13"/>
    </font>
    <font>
      <sz val="10"/>
    </font>
    <font>
      <color rgb="006E7B77"/>
      <sz val="9"/>
    </font>
    <font>
      <b val="1"/>
    </font>
    <font>
      <color rgb="00000000"/>
    </font>
    <font>
      <color rgb="00008000"/>
    </font>
    <font>
      <color rgb="000000FF"/>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6">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5" fontId="7" fillId="0" borderId="0" pivotButton="0" quotePrefix="0" xfId="0"/>
    <xf numFmtId="164" fontId="5" fillId="0" borderId="0" pivotButton="0" quotePrefix="0" xfId="0"/>
    <xf numFmtId="165" fontId="5" fillId="0" borderId="0" pivotButton="0" quotePrefix="0" xfId="0"/>
    <xf numFmtId="0" fontId="8" fillId="4" borderId="0" pivotButton="0" quotePrefix="0" xfId="0"/>
    <xf numFmtId="164" fontId="8" fillId="4" borderId="0" pivotButton="0" quotePrefix="0" xfId="0"/>
    <xf numFmtId="165" fontId="8" fillId="4" borderId="0" pivotButton="0" quotePrefix="0" xfId="0"/>
    <xf numFmtId="0" fontId="4" fillId="4" borderId="0" pivotButton="0" quotePrefix="0" xfId="0"/>
    <xf numFmtId="165" fontId="6" fillId="0" borderId="0" pivotButton="0" quotePrefix="0" xfId="0"/>
    <xf numFmtId="164" fontId="9" fillId="4" borderId="0" pivotButton="0" quotePrefix="0" xfId="0"/>
    <xf numFmtId="166" fontId="7" fillId="0" borderId="0" pivotButton="0" quotePrefix="0" xfId="0"/>
    <xf numFmtId="166" fontId="6" fillId="0" borderId="0" pivotButton="0" quotePrefix="0" xfId="0"/>
    <xf numFmtId="164" fontId="10" fillId="4" borderId="0" pivotButton="0" quotePrefix="0" xfId="0"/>
    <xf numFmtId="0" fontId="8" fillId="0" borderId="0" pivotButton="0" quotePrefix="0" xfId="0"/>
    <xf numFmtId="0" fontId="7" fillId="0" borderId="0" pivotButton="0" quotePrefix="0" xfId="0"/>
    <xf numFmtId="164" fontId="7" fillId="0" borderId="0" pivotButton="0" quotePrefix="0" xfId="0"/>
    <xf numFmtId="167" fontId="7" fillId="0" borderId="0" pivotButton="0" quotePrefix="0" xfId="0"/>
    <xf numFmtId="168" fontId="7" fillId="0" borderId="0" pivotButton="0" quotePrefix="0" xfId="0"/>
    <xf numFmtId="169" fontId="7"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69" fontId="5" fillId="0" borderId="0" pivotButton="0" quotePrefix="0" xfId="0"/>
    <xf numFmtId="10" fontId="5" fillId="0" borderId="0" pivotButton="0" quotePrefix="0" xfId="0"/>
    <xf numFmtId="170" fontId="5"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 All inputs live on the Assumptions sheet —</t>
        </is>
      </c>
    </row>
    <row r="7">
      <c r="A7" s="3" t="inlineStr">
        <is>
          <t>change one (the domestic growth path, the foreign growth path in US dollars, the exchange-rate path, the</t>
        </is>
      </c>
    </row>
    <row r="8">
      <c r="A8" s="3" t="inlineStr">
        <is>
          <t>segment EBITDA margins, the working-capital intensity, the cost-of-capital anchors) and the whole model</t>
        </is>
      </c>
    </row>
    <row r="9">
      <c r="A9" s="3" t="inlineStr">
        <is>
          <t>reprices.</t>
        </is>
      </c>
    </row>
    <row r="10">
      <c r="A10" s="3" t="inlineStr"/>
    </row>
    <row r="11">
      <c r="A11" s="3" t="inlineStr">
        <is>
          <t>How revenue is built. Not as one growth rate. Revenue splits into a domestic Egyptian-pound leg and a</t>
        </is>
      </c>
    </row>
    <row r="12">
      <c r="A12" s="3" t="inlineStr">
        <is>
          <t>foreign leg forecast in US dollars and translated at an explicit exchange-rate path, because more than 70%</t>
        </is>
      </c>
    </row>
    <row r="13">
      <c r="A13" s="3" t="inlineStr">
        <is>
          <t>of this company's revenue is earned outside Egypt. Margins come from a segment build; group EBITDA margin</t>
        </is>
      </c>
    </row>
    <row r="14">
      <c r="A14" s="3" t="inlineStr">
        <is>
          <t>is an output of that build, not an input.</t>
        </is>
      </c>
    </row>
    <row r="15">
      <c r="A15" s="3" t="inlineStr"/>
    </row>
    <row r="16">
      <c r="A16" s="3" t="inlineStr">
        <is>
          <t>What it is not. It is not investment advice, a recommendation, or a price target. Values are model outputs</t>
        </is>
      </c>
    </row>
    <row r="17">
      <c r="A17" s="3" t="inlineStr">
        <is>
          <t>shown as ranges.</t>
        </is>
      </c>
    </row>
    <row r="18">
      <c r="A18" s="3" t="inlineStr"/>
    </row>
    <row r="19">
      <c r="A19" s="3" t="inlineStr">
        <is>
          <t>Sourcing note, up front. FY2023 and FY2024 come from the company's audited consolidated statements and</t>
        </is>
      </c>
    </row>
    <row r="20">
      <c r="A20" s="3" t="inlineStr">
        <is>
          <t>earnings releases and are not estimated. For FY2025, revenue, profit after tax, profit after minority</t>
        </is>
      </c>
    </row>
    <row r="21">
      <c r="A21" s="3" t="inlineStr">
        <is>
          <t>interests, total assets and net bank debt are disclosed; the intermediate income-statement lines are</t>
        </is>
      </c>
    </row>
    <row r="22">
      <c r="A22" s="3" t="inlineStr">
        <is>
          <t>derived by closing the profit-and-loss account to the reported profit, and the balance sheet beyond total</t>
        </is>
      </c>
    </row>
    <row r="23">
      <c r="A23" s="3" t="inlineStr">
        <is>
          <t>assets and net debt is triangulated by three methods. Every derived line is annotated where it appears and</t>
        </is>
      </c>
    </row>
    <row r="24">
      <c r="A24" s="3" t="inlineStr">
        <is>
          <t>listed with source and date in the companion bibliography document.</t>
        </is>
      </c>
    </row>
    <row r="25">
      <c r="A25" s="3" t="inlineStr"/>
    </row>
    <row r="26">
      <c r="A26" s="3" t="inlineStr">
        <is>
          <t>Discount convention. Each explicit year is discounted at its own forward cost of capital, gliding</t>
        </is>
      </c>
    </row>
    <row r="27">
      <c r="A27" s="3" t="inlineStr">
        <is>
          <t>26.9% -&gt; 15.1% on the same easing calendar as the interest forecast; the terminal value is</t>
        </is>
      </c>
    </row>
    <row r="28">
      <c r="A28" s="3" t="inlineStr">
        <is>
          <t>capitalised at the terminal rate and discounted at the year-5 cumulative factor. One date, one price of time.</t>
        </is>
      </c>
    </row>
    <row r="29">
      <c r="A29" s="3" t="inlineStr"/>
    </row>
    <row r="30">
      <c r="A30" s="3" t="inlineStr">
        <is>
          <t>The open question. This company earns most of its revenue in hard currency but reports, lists and borrows</t>
        </is>
      </c>
    </row>
    <row r="31">
      <c r="A31" s="3" t="inlineStr">
        <is>
          <t>in Egyptian pounds. The primary model charges the full Egyptian cost of capital. The Fundamental Valuation</t>
        </is>
      </c>
    </row>
    <row r="32">
      <c r="A32" s="3" t="inlineStr">
        <is>
          <t>sheet also shows what the same cash flows are worth if the hard-currency leg is discounted at a</t>
        </is>
      </c>
    </row>
    <row r="33">
      <c r="A33" s="3" t="inlineStr">
        <is>
          <t>hard-currency rate. Both are shown; they are not averaged.</t>
        </is>
      </c>
    </row>
    <row r="34">
      <c r="A34" s="3" t="inlineStr"/>
    </row>
    <row r="35">
      <c r="A35" s="3" t="inlineStr">
        <is>
          <t>Currency. EGP million unless stated. Spot EGP 105.20 (2026-08-05 close). Sheets: READ FIRST · Summary ·</t>
        </is>
      </c>
    </row>
    <row r="36">
      <c r="A36" s="3" t="inlineStr">
        <is>
          <t>Fundamental Valuation · Assumptions · SOTP Bridge · Segments · Relative &amp; Normalized · DCF · Income</t>
        </is>
      </c>
    </row>
    <row r="37">
      <c r="A37" s="3" t="inlineStr">
        <is>
          <t>Statement · Balance Sheet · Cash Flow · Summary Financials · Monte Carlo · Sensitivity · Per-Share &amp;</t>
        </is>
      </c>
    </row>
    <row r="38">
      <c r="A38"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Weight</t>
        </is>
      </c>
      <c r="F4" s="5" t="inlineStr">
        <is>
          <t>Contribution</t>
        </is>
      </c>
      <c r="G4" s="5" t="inlineStr">
        <is>
          <t>vs spot</t>
        </is>
      </c>
    </row>
    <row r="5">
      <c r="A5" s="6" t="inlineStr">
        <is>
          <t>Discounted cash flow (primary)</t>
        </is>
      </c>
      <c r="B5" s="7" t="n">
        <v>40.56529733053896</v>
      </c>
      <c r="C5" s="7" t="n">
        <v>70.98722314447478</v>
      </c>
      <c r="D5" s="7" t="n">
        <v>129.3657551944428</v>
      </c>
      <c r="E5" s="8" t="n">
        <v>0.45</v>
      </c>
      <c r="F5" s="9">
        <f>C5*E5</f>
        <v/>
      </c>
      <c r="G5" s="10">
        <f>C5/$C$14-1</f>
        <v/>
      </c>
    </row>
    <row r="6">
      <c r="A6" s="6" t="inlineStr">
        <is>
          <t>Relative multiples</t>
        </is>
      </c>
      <c r="B6" s="7" t="n">
        <v>91.33860936168992</v>
      </c>
      <c r="C6" s="7" t="n">
        <v>108.8928867560292</v>
      </c>
      <c r="D6" s="7" t="n">
        <v>135.2243028475382</v>
      </c>
      <c r="E6" s="8" t="n">
        <v>0.2</v>
      </c>
      <c r="F6" s="9">
        <f>C6*E6</f>
        <v/>
      </c>
      <c r="G6" s="10">
        <f>C6/$C$14-1</f>
        <v/>
      </c>
    </row>
    <row r="7">
      <c r="A7" s="6" t="inlineStr">
        <is>
          <t>Normalised earnings power</t>
        </is>
      </c>
      <c r="B7" s="7" t="n">
        <v>82.45205242479992</v>
      </c>
      <c r="C7" s="7" t="n">
        <v>106.0097816890285</v>
      </c>
      <c r="D7" s="7" t="n">
        <v>135.4569432693142</v>
      </c>
      <c r="E7" s="8" t="n">
        <v>0.2</v>
      </c>
      <c r="F7" s="9">
        <f>C7*E7</f>
        <v/>
      </c>
      <c r="G7" s="10">
        <f>C7/$C$14-1</f>
        <v/>
      </c>
    </row>
    <row r="8">
      <c r="A8" s="6" t="inlineStr">
        <is>
          <t>Book value and sustainable return</t>
        </is>
      </c>
      <c r="B8" s="7" t="n">
        <v>26.5605093375666</v>
      </c>
      <c r="C8" s="7" t="n">
        <v>33.85989565286666</v>
      </c>
      <c r="D8" s="7" t="n">
        <v>48.47019940598007</v>
      </c>
      <c r="E8" s="8" t="n">
        <v>0.15</v>
      </c>
      <c r="F8" s="9">
        <f>C8*E8</f>
        <v/>
      </c>
      <c r="G8" s="10">
        <f>C8/$C$14-1</f>
        <v/>
      </c>
    </row>
    <row r="9">
      <c r="A9" s="11" t="inlineStr">
        <is>
          <t>Weighted central</t>
        </is>
      </c>
      <c r="B9" s="12">
        <f>MIN(B5:B8)</f>
        <v/>
      </c>
      <c r="C9" s="12">
        <f>SUM(F5:F8)</f>
        <v/>
      </c>
      <c r="D9" s="12">
        <f>MAX(D5:D8)</f>
        <v/>
      </c>
      <c r="E9" s="13">
        <f>SUM(E5:E8)</f>
        <v/>
      </c>
      <c r="F9" s="14" t="n"/>
      <c r="G9" s="13">
        <f>C9/$C$14-1</f>
        <v/>
      </c>
    </row>
    <row r="11">
      <c r="A11" s="6" t="inlineStr">
        <is>
          <t>Memo — currency-of-discounting alternative</t>
        </is>
      </c>
      <c r="C11" s="7">
        <f>'Fundamental Valuation'!C18</f>
        <v/>
      </c>
      <c r="G11" s="10">
        <f>C11/$C$14-1</f>
        <v/>
      </c>
    </row>
    <row r="12">
      <c r="A12" s="6" t="inlineStr">
        <is>
          <t>Memo — terminal value share of DCF enterprise value</t>
        </is>
      </c>
      <c r="C12" s="15">
        <f>DCF!C28</f>
        <v/>
      </c>
    </row>
    <row r="13">
      <c r="A13" s="6" t="inlineStr">
        <is>
          <t>Memo — expert panel median</t>
        </is>
      </c>
      <c r="C13" s="7">
        <f>'Fundamental Valuation'!C26</f>
        <v/>
      </c>
      <c r="G13" s="10">
        <f>C13/$C$14-1</f>
        <v/>
      </c>
    </row>
    <row r="14">
      <c r="A14" s="11" t="inlineStr">
        <is>
          <t>Market price (anchor)</t>
        </is>
      </c>
      <c r="B14" s="14" t="n"/>
      <c r="C14" s="16" t="n">
        <v>105.2</v>
      </c>
      <c r="D14" s="14" t="n"/>
      <c r="E14" s="14" t="n"/>
      <c r="F14" s="14" t="n"/>
      <c r="G14" s="14" t="n"/>
    </row>
    <row r="16">
      <c r="A16" s="5" t="inlineStr">
        <is>
          <t>Key figure</t>
        </is>
      </c>
      <c r="B16" s="5" t="inlineStr">
        <is>
          <t>Value</t>
        </is>
      </c>
    </row>
    <row r="17">
      <c r="A17" s="6" t="inlineStr">
        <is>
          <t>Shares outstanding (mn)</t>
        </is>
      </c>
      <c r="C17" s="17" t="n">
        <v>2140.777876</v>
      </c>
    </row>
    <row r="18">
      <c r="A18" s="6" t="inlineStr">
        <is>
          <t>Market capitalisation (EGP mn)</t>
        </is>
      </c>
      <c r="C18" s="18">
        <f>$C$14*C17</f>
        <v/>
      </c>
    </row>
    <row r="19">
      <c r="A19" s="6" t="inlineStr">
        <is>
          <t>Net bank debt, FY2025 (EGP mn)</t>
        </is>
      </c>
      <c r="C19" s="17" t="n">
        <v>19789</v>
      </c>
    </row>
    <row r="20">
      <c r="A20" s="6" t="inlineStr">
        <is>
          <t>FY2025 revenue (EGP mn)</t>
        </is>
      </c>
      <c r="C20" s="17" t="n">
        <v>281049</v>
      </c>
    </row>
    <row r="21">
      <c r="A21" s="6" t="inlineStr">
        <is>
          <t>FY2025 EBITDA (EGP mn)</t>
        </is>
      </c>
      <c r="C21" s="17" t="n">
        <v>30915.39</v>
      </c>
    </row>
    <row r="22">
      <c r="A22" s="6" t="inlineStr">
        <is>
          <t>FY2025 attributable profit (EGP mn)</t>
        </is>
      </c>
      <c r="C22" s="17" t="n">
        <v>17330</v>
      </c>
    </row>
    <row r="23">
      <c r="A23" s="6" t="inlineStr">
        <is>
          <t>Cost of capital — explicit window</t>
        </is>
      </c>
      <c r="C23" s="8" t="n">
        <v>0.2689791685924707</v>
      </c>
    </row>
    <row r="24">
      <c r="A24" s="6" t="inlineStr">
        <is>
          <t>Cost of capital — terminal</t>
        </is>
      </c>
      <c r="C24" s="8" t="n">
        <v>0.15141</v>
      </c>
    </row>
    <row r="25">
      <c r="A25" s="6" t="inlineStr">
        <is>
          <t>Terminal growth</t>
        </is>
      </c>
      <c r="C25" s="8" t="n">
        <v>0.05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7">
        <f>DCF!C31</f>
        <v/>
      </c>
    </row>
    <row r="6">
      <c r="A6" s="6" t="inlineStr">
        <is>
          <t xml:space="preserve">  bear</t>
        </is>
      </c>
      <c r="B6" s="6" t="inlineStr">
        <is>
          <t>margin −1.5pp, weaker currency path, +2pp cost of capital, g 3%</t>
        </is>
      </c>
      <c r="C6" s="9" t="n">
        <v>40.56529733053896</v>
      </c>
    </row>
    <row r="7">
      <c r="A7" s="6" t="inlineStr">
        <is>
          <t xml:space="preserve">  bull</t>
        </is>
      </c>
      <c r="B7" s="6" t="inlineStr">
        <is>
          <t>margin +1.5pp, stronger currency path, −2pp cost of capital, g 6%</t>
        </is>
      </c>
      <c r="C7" s="9" t="n">
        <v>129.3657551944428</v>
      </c>
    </row>
    <row r="8">
      <c r="A8" s="6" t="inlineStr">
        <is>
          <t>Relative multiples</t>
        </is>
      </c>
      <c r="B8" s="6" t="inlineStr">
        <is>
          <t>6.5x mid-cycle EV/EBITDA</t>
        </is>
      </c>
      <c r="C8" s="7">
        <f>'Relative &amp; Normalized'!C9</f>
        <v/>
      </c>
    </row>
    <row r="9">
      <c r="A9" s="6" t="inlineStr">
        <is>
          <t>Normalised earnings power</t>
        </is>
      </c>
      <c r="B9" s="6" t="inlineStr">
        <is>
          <t>9.0x normalised earnings per share</t>
        </is>
      </c>
      <c r="C9" s="7">
        <f>'Relative &amp; Normalized'!C24</f>
        <v/>
      </c>
    </row>
    <row r="10">
      <c r="A10" s="6" t="inlineStr">
        <is>
          <t>Book value and sustainable return</t>
        </is>
      </c>
      <c r="B10" s="6" t="inlineStr">
        <is>
          <t>justified price-to-book on sustainable return on equity</t>
        </is>
      </c>
      <c r="C10" s="7">
        <f>'Relative &amp; Normalized'!C32</f>
        <v/>
      </c>
    </row>
    <row r="12">
      <c r="A12" s="11" t="inlineStr">
        <is>
          <t>Weighted central</t>
        </is>
      </c>
      <c r="B12" s="14" t="n"/>
      <c r="C12" s="19">
        <f>Summary!C9</f>
        <v/>
      </c>
    </row>
    <row r="14">
      <c r="A14" s="20" t="inlineStr">
        <is>
          <t>THE CURRENCY-OF-DISCOUNTING QUESTION</t>
        </is>
      </c>
    </row>
    <row r="15">
      <c r="A15" s="6" t="inlineStr">
        <is>
          <t>Share of forecast revenue earned in hard currency</t>
        </is>
      </c>
      <c r="C15" s="8" t="n">
        <v>0.7242520484138188</v>
      </c>
    </row>
    <row r="16">
      <c r="A16" s="6" t="inlineStr">
        <is>
          <t>Cost of capital applied in the primary model (explicit → terminal)</t>
        </is>
      </c>
      <c r="C16" s="21" t="inlineStr">
        <is>
          <t>26.9% → 15.1%</t>
        </is>
      </c>
    </row>
    <row r="17">
      <c r="A17" s="6" t="inlineStr">
        <is>
          <t>Hard-currency cost of capital for the foreign leg</t>
        </is>
      </c>
      <c r="C17" s="8" t="n">
        <v>0.10119375</v>
      </c>
    </row>
    <row r="18">
      <c r="A18" s="6" t="inlineStr">
        <is>
          <t>Fair value if the foreign leg is discounted at the hard-currency rate</t>
        </is>
      </c>
      <c r="C18" s="22" t="n">
        <v>134.4043758858767</v>
      </c>
    </row>
    <row r="19">
      <c r="A19" s="6" t="inlineStr">
        <is>
          <t>Market price</t>
        </is>
      </c>
      <c r="C19" s="22" t="n">
        <v>105.2</v>
      </c>
    </row>
    <row r="21">
      <c r="A21" s="20"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9" t="n">
        <v>126.9269548097662</v>
      </c>
      <c r="D23" s="9" t="n">
        <v>93.52512459666983</v>
      </c>
      <c r="E23" s="9" t="n">
        <v>160.3287850228626</v>
      </c>
    </row>
    <row r="24">
      <c r="A24" s="6" t="inlineStr">
        <is>
          <t>Expert 2</t>
        </is>
      </c>
      <c r="B24" s="6" t="inlineStr">
        <is>
          <t>owner cash earnings</t>
        </is>
      </c>
      <c r="C24" s="9" t="n">
        <v>44.10008548785977</v>
      </c>
      <c r="D24" s="9" t="n">
        <v>30.62358339411352</v>
      </c>
      <c r="E24" s="9" t="n">
        <v>63.12895820269197</v>
      </c>
    </row>
    <row r="25">
      <c r="A25" s="6" t="inlineStr">
        <is>
          <t>Expert 3</t>
        </is>
      </c>
      <c r="B25" s="6" t="inlineStr">
        <is>
          <t>cash returns vs cost of capital</t>
        </is>
      </c>
      <c r="C25" s="9" t="n">
        <v>65.21797762845104</v>
      </c>
      <c r="D25" s="9" t="n">
        <v>52.48301668482841</v>
      </c>
      <c r="E25" s="9" t="n">
        <v>134.4043758858767</v>
      </c>
    </row>
    <row r="26">
      <c r="A26" s="11" t="inlineStr">
        <is>
          <t>Panel median</t>
        </is>
      </c>
      <c r="B26" s="14" t="n"/>
      <c r="C26" s="12">
        <f>MEDIAN(C23:C25)</f>
        <v/>
      </c>
      <c r="D26" s="14" t="n"/>
      <c r="E26"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t>
        </is>
      </c>
    </row>
    <row r="3">
      <c r="A3" s="5" t="inlineStr">
        <is>
          <t>Input</t>
        </is>
      </c>
      <c r="B3" s="5" t="inlineStr">
        <is>
          <t>FY26E</t>
        </is>
      </c>
      <c r="C3" s="5" t="inlineStr">
        <is>
          <t>FY27E</t>
        </is>
      </c>
      <c r="D3" s="5" t="inlineStr">
        <is>
          <t>FY28E</t>
        </is>
      </c>
      <c r="E3" s="5" t="inlineStr">
        <is>
          <t>FY29E</t>
        </is>
      </c>
      <c r="F3" s="5" t="inlineStr">
        <is>
          <t>FY30E</t>
        </is>
      </c>
    </row>
    <row r="4">
      <c r="A4" s="11" t="inlineStr">
        <is>
          <t>Anchors</t>
        </is>
      </c>
      <c r="B4" s="14" t="n"/>
      <c r="C4" s="14" t="n"/>
      <c r="D4" s="14" t="n"/>
      <c r="E4" s="14" t="n"/>
      <c r="F4" s="14" t="n"/>
      <c r="G4" s="14" t="n"/>
      <c r="H4" s="14" t="n"/>
    </row>
    <row r="5">
      <c r="A5" s="6" t="inlineStr">
        <is>
          <t>Spot price (EGP)</t>
        </is>
      </c>
      <c r="C5" s="22" t="n">
        <v>105.2</v>
      </c>
    </row>
    <row r="6">
      <c r="A6" s="6" t="inlineStr">
        <is>
          <t>Shares outstanding (mn)</t>
        </is>
      </c>
      <c r="C6" s="17" t="n">
        <v>2140.777876</v>
      </c>
    </row>
    <row r="7">
      <c r="A7" s="6" t="inlineStr">
        <is>
          <t>Effective tax rate</t>
        </is>
      </c>
      <c r="C7" s="8" t="n">
        <v>0.25</v>
      </c>
    </row>
    <row r="8">
      <c r="A8" s="6" t="inlineStr">
        <is>
          <t>Statutory corporate tax rate</t>
        </is>
      </c>
      <c r="C8" s="8" t="n">
        <v>0.225</v>
      </c>
    </row>
    <row r="9">
      <c r="A9" s="6" t="inlineStr">
        <is>
          <t>FY2025 average USD/EGP</t>
        </is>
      </c>
      <c r="C9" s="23" t="n">
        <v>49.5</v>
      </c>
    </row>
    <row r="11">
      <c r="A11" s="11" t="inlineStr">
        <is>
          <t>Revenue drivers</t>
        </is>
      </c>
      <c r="B11" s="14" t="n"/>
      <c r="C11" s="14" t="n"/>
      <c r="D11" s="14" t="n"/>
      <c r="E11" s="14" t="n"/>
      <c r="F11" s="14" t="n"/>
      <c r="G11" s="14" t="n"/>
      <c r="H11" s="14" t="n"/>
    </row>
    <row r="12">
      <c r="A12" s="6" t="inlineStr">
        <is>
          <t>Domestic revenue growth</t>
        </is>
      </c>
      <c r="B12" s="8" t="n">
        <v>0.14</v>
      </c>
      <c r="C12" s="8" t="n">
        <v>0.12</v>
      </c>
      <c r="D12" s="8" t="n">
        <v>0.1</v>
      </c>
      <c r="E12" s="8" t="n">
        <v>0.09</v>
      </c>
      <c r="F12" s="8" t="n">
        <v>0.08</v>
      </c>
    </row>
    <row r="13">
      <c r="A13" s="6" t="inlineStr">
        <is>
          <t>Foreign revenue growth (USD)</t>
        </is>
      </c>
      <c r="B13" s="8" t="n">
        <v>0.1</v>
      </c>
      <c r="C13" s="8" t="n">
        <v>0.08</v>
      </c>
      <c r="D13" s="8" t="n">
        <v>0.07000000000000001</v>
      </c>
      <c r="E13" s="8" t="n">
        <v>0.06</v>
      </c>
      <c r="F13" s="8" t="n">
        <v>0.06</v>
      </c>
    </row>
    <row r="14">
      <c r="A14" s="6" t="inlineStr">
        <is>
          <t>USD/EGP path</t>
        </is>
      </c>
      <c r="B14" s="23" t="n">
        <v>51</v>
      </c>
      <c r="C14" s="23" t="n">
        <v>54</v>
      </c>
      <c r="D14" s="23" t="n">
        <v>57.5</v>
      </c>
      <c r="E14" s="23" t="n">
        <v>61</v>
      </c>
      <c r="F14" s="23" t="n">
        <v>64.5</v>
      </c>
    </row>
    <row r="15">
      <c r="A15" s="6" t="inlineStr">
        <is>
          <t>Foreign share of FY2025 revenue</t>
        </is>
      </c>
      <c r="C15" s="8" t="n">
        <v>0.7</v>
      </c>
    </row>
    <row r="17">
      <c r="A17" s="11" t="inlineStr">
        <is>
          <t>Segment EBITDA margins</t>
        </is>
      </c>
      <c r="B17" s="14" t="n"/>
      <c r="C17" s="14" t="n"/>
      <c r="D17" s="14" t="n"/>
      <c r="E17" s="14" t="n"/>
      <c r="F17" s="14" t="n"/>
      <c r="G17" s="14" t="n"/>
      <c r="H17" s="14" t="n"/>
    </row>
    <row r="18">
      <c r="A18" s="6" t="inlineStr">
        <is>
          <t>Wires, Cables &amp; Accessories</t>
        </is>
      </c>
      <c r="B18" s="8" t="n">
        <v>0.091</v>
      </c>
      <c r="C18" s="8" t="n">
        <v>0.0925</v>
      </c>
      <c r="D18" s="8" t="n">
        <v>0.095</v>
      </c>
      <c r="E18" s="8" t="n">
        <v>0.098</v>
      </c>
      <c r="F18" s="8" t="n">
        <v>0.1</v>
      </c>
    </row>
    <row r="19">
      <c r="A19" s="6" t="inlineStr">
        <is>
          <t>Engineering &amp; Construction</t>
        </is>
      </c>
      <c r="B19" s="8" t="n">
        <v>0.056</v>
      </c>
      <c r="C19" s="8" t="n">
        <v>0.058</v>
      </c>
      <c r="D19" s="8" t="n">
        <v>0.061</v>
      </c>
      <c r="E19" s="8" t="n">
        <v>0.063</v>
      </c>
      <c r="F19" s="8" t="n">
        <v>0.065</v>
      </c>
    </row>
    <row r="20">
      <c r="A20" s="6" t="inlineStr">
        <is>
          <t>Electrical Products</t>
        </is>
      </c>
      <c r="B20" s="8" t="n">
        <v>0.345</v>
      </c>
      <c r="C20" s="8" t="n">
        <v>0.345</v>
      </c>
      <c r="D20" s="8" t="n">
        <v>0.345</v>
      </c>
      <c r="E20" s="8" t="n">
        <v>0.345</v>
      </c>
      <c r="F20" s="8" t="n">
        <v>0.345</v>
      </c>
    </row>
    <row r="21">
      <c r="A21" s="6" t="inlineStr">
        <is>
          <t>Digital Solutions</t>
        </is>
      </c>
      <c r="B21" s="8" t="n">
        <v>0.177</v>
      </c>
      <c r="C21" s="8" t="n">
        <v>0.18</v>
      </c>
      <c r="D21" s="8" t="n">
        <v>0.182</v>
      </c>
      <c r="E21" s="8" t="n">
        <v>0.1835</v>
      </c>
      <c r="F21" s="8" t="n">
        <v>0.185</v>
      </c>
    </row>
    <row r="22">
      <c r="A22" s="6" t="inlineStr">
        <is>
          <t>Infrastructure Investment</t>
        </is>
      </c>
      <c r="B22" s="8" t="n">
        <v>0.5649999999999999</v>
      </c>
      <c r="C22" s="8" t="n">
        <v>0.5649999999999999</v>
      </c>
      <c r="D22" s="8" t="n">
        <v>0.5649999999999999</v>
      </c>
      <c r="E22" s="8" t="n">
        <v>0.5649999999999999</v>
      </c>
      <c r="F22" s="8" t="n">
        <v>0.5649999999999999</v>
      </c>
    </row>
    <row r="24">
      <c r="A24" s="11" t="inlineStr">
        <is>
          <t>Capital intensity</t>
        </is>
      </c>
      <c r="B24" s="14" t="n"/>
      <c r="C24" s="14" t="n"/>
      <c r="D24" s="14" t="n"/>
      <c r="E24" s="14" t="n"/>
      <c r="F24" s="14" t="n"/>
      <c r="G24" s="14" t="n"/>
      <c r="H24" s="14" t="n"/>
    </row>
    <row r="25">
      <c r="A25" s="6" t="inlineStr">
        <is>
          <t>Working capital / revenue</t>
        </is>
      </c>
      <c r="C25" s="8" t="n">
        <v>0.23</v>
      </c>
    </row>
    <row r="26">
      <c r="A26" s="6" t="inlineStr">
        <is>
          <t>Capital expenditure / revenue</t>
        </is>
      </c>
      <c r="B26" s="8" t="n">
        <v>0.03</v>
      </c>
      <c r="C26" s="8" t="n">
        <v>0.029</v>
      </c>
      <c r="D26" s="8" t="n">
        <v>0.028</v>
      </c>
      <c r="E26" s="8" t="n">
        <v>0.026</v>
      </c>
      <c r="F26" s="8" t="n">
        <v>0.024</v>
      </c>
    </row>
    <row r="27">
      <c r="A27" s="6" t="inlineStr">
        <is>
          <t>Depreciation and amortisation / revenue</t>
        </is>
      </c>
      <c r="C27" s="8" t="n">
        <v>0.0105</v>
      </c>
    </row>
    <row r="29">
      <c r="A29" s="11" t="inlineStr">
        <is>
          <t>Cost of capital</t>
        </is>
      </c>
      <c r="B29" s="14" t="n"/>
      <c r="C29" s="14" t="n"/>
      <c r="D29" s="14" t="n"/>
      <c r="E29" s="14" t="n"/>
      <c r="F29" s="14" t="n"/>
      <c r="G29" s="14" t="n"/>
      <c r="H29" s="14" t="n"/>
    </row>
    <row r="30">
      <c r="A30" s="6" t="inlineStr">
        <is>
          <t>Risk-free rate (10-year local currency)</t>
        </is>
      </c>
      <c r="C30" s="8" t="n">
        <v>0.2231</v>
      </c>
    </row>
    <row r="31">
      <c r="A31" s="6" t="inlineStr">
        <is>
          <t>Sovereign default spread (netted out)</t>
        </is>
      </c>
      <c r="C31" s="8" t="n">
        <v>0.034</v>
      </c>
    </row>
    <row r="32">
      <c r="A32" s="6" t="inlineStr">
        <is>
          <t>Equity risk premium</t>
        </is>
      </c>
      <c r="C32" s="8" t="n">
        <v>0.0941</v>
      </c>
    </row>
    <row r="33">
      <c r="A33" s="6" t="inlineStr">
        <is>
          <t>Beta</t>
        </is>
      </c>
      <c r="C33" s="24" t="n">
        <v>1.009</v>
      </c>
    </row>
    <row r="34">
      <c r="A34" s="6" t="inlineStr">
        <is>
          <t>Cost of debt, blended</t>
        </is>
      </c>
      <c r="C34" s="8" t="n">
        <v>0.13</v>
      </c>
    </row>
    <row r="35">
      <c r="A35" s="6" t="inlineStr">
        <is>
          <t>Cost of debt path</t>
        </is>
      </c>
      <c r="B35" s="8" t="n">
        <v>0.13</v>
      </c>
      <c r="C35" s="8" t="n">
        <v>0.122</v>
      </c>
      <c r="D35" s="8" t="n">
        <v>0.115</v>
      </c>
      <c r="E35" s="8" t="n">
        <v>0.11</v>
      </c>
      <c r="F35" s="8" t="n">
        <v>0.106</v>
      </c>
    </row>
    <row r="36">
      <c r="A36" s="6" t="inlineStr">
        <is>
          <t>Terminal risk-free rate</t>
        </is>
      </c>
      <c r="C36" s="8" t="n">
        <v>0.105</v>
      </c>
    </row>
    <row r="37">
      <c r="A37" s="6" t="inlineStr">
        <is>
          <t>Terminal equity risk premium</t>
        </is>
      </c>
      <c r="C37" s="8" t="n">
        <v>0.07000000000000001</v>
      </c>
    </row>
    <row r="38">
      <c r="A38" s="6" t="inlineStr">
        <is>
          <t>Terminal cost of debt</t>
        </is>
      </c>
      <c r="C38" s="8" t="n">
        <v>0.105</v>
      </c>
    </row>
    <row r="39">
      <c r="A39" s="6" t="inlineStr">
        <is>
          <t>Terminal debt weight</t>
        </is>
      </c>
      <c r="C39" s="8" t="n">
        <v>0.25</v>
      </c>
    </row>
    <row r="40">
      <c r="A40" s="6" t="inlineStr">
        <is>
          <t>Terminal growth</t>
        </is>
      </c>
      <c r="C40" s="8" t="n">
        <v>0.05</v>
      </c>
    </row>
    <row r="42">
      <c r="A42" s="11" t="inlineStr">
        <is>
          <t>Lens inputs</t>
        </is>
      </c>
      <c r="B42" s="14" t="n"/>
      <c r="C42" s="14" t="n"/>
      <c r="D42" s="14" t="n"/>
      <c r="E42" s="14" t="n"/>
      <c r="F42" s="14" t="n"/>
      <c r="G42" s="14" t="n"/>
      <c r="H42" s="14" t="n"/>
    </row>
    <row r="43">
      <c r="A43" s="6" t="inlineStr">
        <is>
          <t>Justified EV/EBITDA</t>
        </is>
      </c>
      <c r="C43" s="25" t="n">
        <v>6.5</v>
      </c>
    </row>
    <row r="44">
      <c r="A44" s="6" t="inlineStr">
        <is>
          <t>Justified price/earnings</t>
        </is>
      </c>
      <c r="C44" s="25" t="n">
        <v>9</v>
      </c>
    </row>
    <row r="45">
      <c r="A45" s="6" t="inlineStr">
        <is>
          <t>Sustainable return on equity</t>
        </is>
      </c>
      <c r="C45" s="8" t="n">
        <v>0.235</v>
      </c>
    </row>
    <row r="46">
      <c r="A46" s="6" t="inlineStr">
        <is>
          <t>Weight — discounted cash flow</t>
        </is>
      </c>
      <c r="C46" s="8" t="n">
        <v>0.45</v>
      </c>
    </row>
    <row r="47">
      <c r="A47" s="6" t="inlineStr">
        <is>
          <t>Weight — relative</t>
        </is>
      </c>
      <c r="C47" s="8" t="n">
        <v>0.2</v>
      </c>
    </row>
    <row r="48">
      <c r="A48" s="6" t="inlineStr">
        <is>
          <t>Weight — normalised</t>
        </is>
      </c>
      <c r="C48" s="8" t="n">
        <v>0.2</v>
      </c>
    </row>
    <row r="49">
      <c r="A49" s="6" t="inlineStr">
        <is>
          <t>Weight — book</t>
        </is>
      </c>
      <c r="C49" s="8" t="n">
        <v>0.15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8">
        <f>DCF!C26</f>
        <v/>
      </c>
      <c r="D5" s="9">
        <f>C5/2140.777876</f>
        <v/>
      </c>
    </row>
    <row r="6">
      <c r="A6" s="6" t="inlineStr">
        <is>
          <t>Present value of the terminal value</t>
        </is>
      </c>
      <c r="C6" s="18">
        <f>DCF!C27</f>
        <v/>
      </c>
      <c r="D6" s="9">
        <f>C6/2140.777876</f>
        <v/>
      </c>
    </row>
    <row r="7">
      <c r="A7" s="6" t="inlineStr">
        <is>
          <t>Enterprise value</t>
        </is>
      </c>
      <c r="C7" s="26">
        <f>C5+C6</f>
        <v/>
      </c>
      <c r="D7" s="27">
        <f>C7/2140.777876</f>
        <v/>
      </c>
    </row>
    <row r="8">
      <c r="A8" s="6" t="inlineStr">
        <is>
          <t>Less net bank debt</t>
        </is>
      </c>
      <c r="C8" s="28">
        <f>-19789.0</f>
        <v/>
      </c>
      <c r="D8" s="9">
        <f>C8/2140.777876</f>
        <v/>
      </c>
    </row>
    <row r="9">
      <c r="A9" s="6" t="inlineStr">
        <is>
          <t>Plus equity-accounted investees at carrying value</t>
        </is>
      </c>
      <c r="C9" s="28" t="n">
        <v>7445.099999999999</v>
      </c>
      <c r="D9" s="9">
        <f>C9/2140.777876</f>
        <v/>
      </c>
    </row>
    <row r="10">
      <c r="A10" s="6" t="inlineStr">
        <is>
          <t>Equity before minority interests</t>
        </is>
      </c>
      <c r="C10" s="28">
        <f>C7+C8+C9</f>
        <v/>
      </c>
      <c r="D10" s="9">
        <f>C10/2140.777876</f>
        <v/>
      </c>
    </row>
    <row r="11">
      <c r="A11" s="6" t="inlineStr">
        <is>
          <t>Less minority interests at their share of group profit</t>
        </is>
      </c>
      <c r="C11" s="28">
        <f>-C10*0.09645464025026068</f>
        <v/>
      </c>
      <c r="D11" s="9">
        <f>C11/2140.777876</f>
        <v/>
      </c>
    </row>
    <row r="12">
      <c r="A12" s="14" t="inlineStr">
        <is>
          <t>Equity attributable to shareholders</t>
        </is>
      </c>
      <c r="B12" s="14" t="n"/>
      <c r="C12" s="29">
        <f>C10+C11</f>
        <v/>
      </c>
      <c r="D12" s="30">
        <f>C12/2140.777876</f>
        <v/>
      </c>
    </row>
    <row r="14">
      <c r="A14" s="6" t="inlineStr">
        <is>
          <t>Memo — terminal value as a share of enterprise value</t>
        </is>
      </c>
      <c r="C14" s="15">
        <f>DCF!C28</f>
        <v/>
      </c>
    </row>
    <row r="15">
      <c r="A15" s="6" t="inlineStr">
        <is>
          <t>Memo — minority share of group profit</t>
        </is>
      </c>
      <c r="C15" s="8" t="n">
        <v>0.09645464025026068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Segments — the margin build</t>
        </is>
      </c>
      <c r="B1" s="2" t="n"/>
      <c r="C1" s="2" t="n"/>
      <c r="D1" s="2" t="n"/>
      <c r="E1" s="2" t="n"/>
      <c r="F1" s="2" t="n"/>
      <c r="G1" s="2" t="n"/>
      <c r="H1" s="2" t="n"/>
    </row>
    <row r="2">
      <c r="A2" s="4" t="inlineStr">
        <is>
          <t>FY2025 disclosed shares and gross margins; forecast revenue and EBITDA by segment</t>
        </is>
      </c>
    </row>
    <row r="4">
      <c r="A4" s="5" t="inlineStr">
        <is>
          <t>Segment</t>
        </is>
      </c>
      <c r="B4" s="5" t="inlineStr">
        <is>
          <t>FY2025 revenue</t>
        </is>
      </c>
      <c r="C4" s="5" t="inlineStr">
        <is>
          <t>Share</t>
        </is>
      </c>
      <c r="D4" s="5" t="inlineStr">
        <is>
          <t>Gross margin</t>
        </is>
      </c>
      <c r="E4" s="5" t="inlineStr">
        <is>
          <t>FY26E</t>
        </is>
      </c>
      <c r="F4" s="5" t="inlineStr">
        <is>
          <t>FY27E</t>
        </is>
      </c>
      <c r="G4" s="5" t="inlineStr">
        <is>
          <t>FY28E</t>
        </is>
      </c>
      <c r="H4" s="5" t="inlineStr">
        <is>
          <t>FY29E</t>
        </is>
      </c>
      <c r="I4" s="5" t="inlineStr">
        <is>
          <t>FY30E</t>
        </is>
      </c>
    </row>
    <row r="5">
      <c r="A5" s="6" t="inlineStr">
        <is>
          <t>Wires, Cables &amp; Accessories</t>
        </is>
      </c>
      <c r="B5" s="28" t="n">
        <v>165818.91</v>
      </c>
      <c r="C5" s="8" t="n">
        <v>0.59</v>
      </c>
      <c r="D5" s="8" t="n">
        <v>0.1245</v>
      </c>
      <c r="E5" s="28" t="n">
        <v>186345.230032</v>
      </c>
      <c r="F5" s="28" t="n">
        <v>209594.74249728</v>
      </c>
      <c r="G5" s="28" t="n">
        <v>233900.0533789921</v>
      </c>
      <c r="H5" s="28" t="n">
        <v>257952.8726271101</v>
      </c>
      <c r="I5" s="28" t="n">
        <v>283103.2426313147</v>
      </c>
    </row>
    <row r="6">
      <c r="A6" s="6" t="inlineStr">
        <is>
          <t>Engineering &amp; Construction</t>
        </is>
      </c>
      <c r="B6" s="28" t="n">
        <v>75883.23000000001</v>
      </c>
      <c r="C6" s="8" t="n">
        <v>0.27</v>
      </c>
      <c r="D6" s="8" t="n">
        <v>0.09</v>
      </c>
      <c r="E6" s="28" t="n">
        <v>86790.92905600001</v>
      </c>
      <c r="F6" s="28" t="n">
        <v>99358.06132224001</v>
      </c>
      <c r="G6" s="28" t="n">
        <v>112860.864917136</v>
      </c>
      <c r="H6" s="28" t="n">
        <v>126697.7006896406</v>
      </c>
      <c r="I6" s="28" t="n">
        <v>141551.6213156573</v>
      </c>
    </row>
    <row r="7">
      <c r="A7" s="6" t="inlineStr">
        <is>
          <t>Electrical Products</t>
        </is>
      </c>
      <c r="B7" s="28" t="n">
        <v>16862.94</v>
      </c>
      <c r="C7" s="8" t="n">
        <v>0.06</v>
      </c>
      <c r="D7" s="8" t="n">
        <v>0.38</v>
      </c>
      <c r="E7" s="28" t="n">
        <v>19464.142178</v>
      </c>
      <c r="F7" s="28" t="n">
        <v>22482.48102912</v>
      </c>
      <c r="G7" s="28" t="n">
        <v>25761.71916586801</v>
      </c>
      <c r="H7" s="28" t="n">
        <v>29167.81598610432</v>
      </c>
      <c r="I7" s="28" t="n">
        <v>32860.19780542045</v>
      </c>
    </row>
    <row r="8">
      <c r="A8" s="6" t="inlineStr">
        <is>
          <t>Digital Solutions</t>
        </is>
      </c>
      <c r="B8" s="28" t="n">
        <v>16862.94</v>
      </c>
      <c r="C8" s="8" t="n">
        <v>0.06</v>
      </c>
      <c r="D8" s="8" t="n">
        <v>0.21</v>
      </c>
      <c r="E8" s="28" t="n">
        <v>19783.226476</v>
      </c>
      <c r="F8" s="28" t="n">
        <v>23207.72235264</v>
      </c>
      <c r="G8" s="28" t="n">
        <v>26988.467697576</v>
      </c>
      <c r="H8" s="28" t="n">
        <v>30990.80448523584</v>
      </c>
      <c r="I8" s="28" t="n">
        <v>35387.90532891433</v>
      </c>
    </row>
    <row r="9">
      <c r="A9" s="6" t="inlineStr">
        <is>
          <t>Infrastructure Investment</t>
        </is>
      </c>
      <c r="B9" s="28" t="n">
        <v>5620.98</v>
      </c>
      <c r="C9" s="8" t="n">
        <v>0.02</v>
      </c>
      <c r="D9" s="8" t="n">
        <v>0.6</v>
      </c>
      <c r="E9" s="28" t="n">
        <v>6700.770258</v>
      </c>
      <c r="F9" s="28" t="n">
        <v>7977.654558720002</v>
      </c>
      <c r="G9" s="28" t="n">
        <v>9405.072076428001</v>
      </c>
      <c r="H9" s="28" t="n">
        <v>10937.93099478912</v>
      </c>
      <c r="I9" s="28" t="n">
        <v>12638.5376174694</v>
      </c>
    </row>
    <row r="10">
      <c r="A10" s="11" t="inlineStr">
        <is>
          <t>Total revenue</t>
        </is>
      </c>
      <c r="B10" s="31">
        <f>SUM(B5:B9)</f>
        <v/>
      </c>
      <c r="C10" s="13">
        <f>SUM(C5:C9)</f>
        <v/>
      </c>
      <c r="D10" s="14" t="n"/>
      <c r="E10" s="31">
        <f>SUM(E5:E9)</f>
        <v/>
      </c>
      <c r="F10" s="31">
        <f>SUM(F5:F9)</f>
        <v/>
      </c>
      <c r="G10" s="31">
        <f>SUM(G5:G9)</f>
        <v/>
      </c>
      <c r="H10" s="31">
        <f>SUM(H5:H9)</f>
        <v/>
      </c>
      <c r="I10" s="31">
        <f>SUM(I5:I9)</f>
        <v/>
      </c>
    </row>
    <row r="12">
      <c r="A12" s="5" t="inlineStr">
        <is>
          <t>Segment EBITDA</t>
        </is>
      </c>
      <c r="B12" s="5" t="inlineStr">
        <is>
          <t>FY26E</t>
        </is>
      </c>
      <c r="C12" s="5" t="inlineStr">
        <is>
          <t>FY27E</t>
        </is>
      </c>
      <c r="D12" s="5" t="inlineStr">
        <is>
          <t>FY28E</t>
        </is>
      </c>
      <c r="E12" s="5" t="inlineStr">
        <is>
          <t>FY29E</t>
        </is>
      </c>
      <c r="F12" s="5" t="inlineStr">
        <is>
          <t>FY30E</t>
        </is>
      </c>
    </row>
    <row r="13">
      <c r="A13" s="6" t="inlineStr">
        <is>
          <t>Wires, Cables &amp; Accessories</t>
        </is>
      </c>
      <c r="B13" s="28" t="n">
        <v>16957.415932912</v>
      </c>
      <c r="C13" s="28" t="n">
        <v>19387.5136809984</v>
      </c>
      <c r="D13" s="28" t="n">
        <v>22220.50507100425</v>
      </c>
      <c r="E13" s="28" t="n">
        <v>25279.38151745679</v>
      </c>
      <c r="F13" s="28" t="n">
        <v>28310.32426313147</v>
      </c>
    </row>
    <row r="14">
      <c r="A14" s="6" t="inlineStr">
        <is>
          <t>Engineering &amp; Construction</t>
        </is>
      </c>
      <c r="B14" s="28" t="n">
        <v>4860.292027136001</v>
      </c>
      <c r="C14" s="28" t="n">
        <v>5762.767556689921</v>
      </c>
      <c r="D14" s="28" t="n">
        <v>6884.512759945298</v>
      </c>
      <c r="E14" s="28" t="n">
        <v>7981.955143447361</v>
      </c>
      <c r="F14" s="28" t="n">
        <v>9200.855385517727</v>
      </c>
    </row>
    <row r="15">
      <c r="A15" s="6" t="inlineStr">
        <is>
          <t>Electrical Products</t>
        </is>
      </c>
      <c r="B15" s="28" t="n">
        <v>6715.12905141</v>
      </c>
      <c r="C15" s="28" t="n">
        <v>7756.4559550464</v>
      </c>
      <c r="D15" s="28" t="n">
        <v>8887.793112224461</v>
      </c>
      <c r="E15" s="28" t="n">
        <v>10062.89651520599</v>
      </c>
      <c r="F15" s="28" t="n">
        <v>11336.76824287006</v>
      </c>
    </row>
    <row r="16">
      <c r="A16" s="6" t="inlineStr">
        <is>
          <t>Digital Solutions</t>
        </is>
      </c>
      <c r="B16" s="28" t="n">
        <v>3501.631086252</v>
      </c>
      <c r="C16" s="28" t="n">
        <v>4177.390023475201</v>
      </c>
      <c r="D16" s="28" t="n">
        <v>4911.901120958833</v>
      </c>
      <c r="E16" s="28" t="n">
        <v>5686.812623040776</v>
      </c>
      <c r="F16" s="28" t="n">
        <v>6546.762485849152</v>
      </c>
    </row>
    <row r="17">
      <c r="A17" s="6" t="inlineStr">
        <is>
          <t>Infrastructure Investment</t>
        </is>
      </c>
      <c r="B17" s="28" t="n">
        <v>3785.93519577</v>
      </c>
      <c r="C17" s="28" t="n">
        <v>4507.3748256768</v>
      </c>
      <c r="D17" s="28" t="n">
        <v>5313.865723181821</v>
      </c>
      <c r="E17" s="28" t="n">
        <v>6179.931012055851</v>
      </c>
      <c r="F17" s="28" t="n">
        <v>7140.773753870213</v>
      </c>
    </row>
    <row r="18">
      <c r="A18" s="11" t="inlineStr">
        <is>
          <t>Group EBITDA</t>
        </is>
      </c>
      <c r="B18" s="31">
        <f>SUM(B13:B17)</f>
        <v/>
      </c>
      <c r="C18" s="31">
        <f>SUM(C13:C17)</f>
        <v/>
      </c>
      <c r="D18" s="31">
        <f>SUM(D13:D17)</f>
        <v/>
      </c>
      <c r="E18" s="31">
        <f>SUM(E13:E17)</f>
        <v/>
      </c>
      <c r="F18" s="31">
        <f>SUM(F13:F17)</f>
        <v/>
      </c>
    </row>
    <row r="19">
      <c r="A19" s="6" t="inlineStr">
        <is>
          <t>Group EBITDA margin</t>
        </is>
      </c>
      <c r="B19" s="10" t="n">
        <v>0.11226</v>
      </c>
      <c r="C19" s="10" t="n">
        <v>0.114697</v>
      </c>
      <c r="D19" s="10" t="n">
        <v>0.117918</v>
      </c>
      <c r="E19" s="10" t="n">
        <v>0.1211</v>
      </c>
      <c r="F19" s="10" t="n">
        <v>0.1237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Mid-cycle EBITDA (FY2027E, EGP mn)</t>
        </is>
      </c>
      <c r="C5" s="18">
        <f>DCF!C6</f>
        <v/>
      </c>
    </row>
    <row r="6">
      <c r="A6" s="6" t="inlineStr">
        <is>
          <t>Justified enterprise value / EBITDA</t>
        </is>
      </c>
      <c r="C6" s="25" t="n">
        <v>6.5</v>
      </c>
    </row>
    <row r="7">
      <c r="A7" s="6" t="inlineStr">
        <is>
          <t>Implied enterprise value (EGP mn)</t>
        </is>
      </c>
      <c r="C7" s="28">
        <f>C5*C6</f>
        <v/>
      </c>
    </row>
    <row r="8">
      <c r="A8" s="6" t="inlineStr">
        <is>
          <t>Less net bank debt, plus associates, less minority share (EGP mn)</t>
        </is>
      </c>
      <c r="C8" s="28">
        <f>(-19789.0+7445.099999999999)*1</f>
        <v/>
      </c>
    </row>
    <row r="9">
      <c r="A9" s="14" t="inlineStr">
        <is>
          <t>Implied value per share (EGP)</t>
        </is>
      </c>
      <c r="B9" s="14" t="n"/>
      <c r="C9" s="30">
        <f>(C7+C8)*(1-0.09645464025026068)/2140.777876</f>
        <v/>
      </c>
    </row>
    <row r="11">
      <c r="A11" s="6" t="inlineStr">
        <is>
          <t>Trailing enterprise value / EBITDA</t>
        </is>
      </c>
      <c r="C11" s="32" t="n">
        <v>7.924817786713997</v>
      </c>
    </row>
    <row r="12">
      <c r="A12" s="6" t="inlineStr">
        <is>
          <t>Trailing price / earnings</t>
        </is>
      </c>
      <c r="C12" s="32" t="n">
        <v>12.9953740655049</v>
      </c>
    </row>
    <row r="13">
      <c r="A13" s="6" t="inlineStr">
        <is>
          <t>Trailing price / book</t>
        </is>
      </c>
      <c r="C13" s="32" t="n">
        <v>3.196092220646482</v>
      </c>
    </row>
    <row r="14">
      <c r="A14" s="6" t="inlineStr">
        <is>
          <t>Net bank debt / EBITDA</t>
        </is>
      </c>
      <c r="C14" s="32" t="n">
        <v>0.6401019039384591</v>
      </c>
    </row>
    <row r="16">
      <c r="A16" s="5" t="inlineStr">
        <is>
          <t>Normalised earnings lens</t>
        </is>
      </c>
      <c r="B16" s="5" t="inlineStr">
        <is>
          <t>Value</t>
        </is>
      </c>
    </row>
    <row r="17">
      <c r="A17" s="6" t="inlineStr">
        <is>
          <t>Mid-cycle revenue (EGP mn)</t>
        </is>
      </c>
      <c r="C17" s="17" t="n">
        <v>362620.66176</v>
      </c>
    </row>
    <row r="18">
      <c r="A18" s="6" t="inlineStr">
        <is>
          <t>Mid-cycle EBITDA margin</t>
        </is>
      </c>
      <c r="C18" s="8" t="n">
        <v>0.120906</v>
      </c>
    </row>
    <row r="19">
      <c r="A19" s="6" t="inlineStr">
        <is>
          <t>Mid-cycle EBIT (EGP mn)</t>
        </is>
      </c>
      <c r="C19" s="17" t="n">
        <v>40035.49678227457</v>
      </c>
    </row>
    <row r="20">
      <c r="A20" s="6" t="inlineStr">
        <is>
          <t>Less net interest (EGP mn)</t>
        </is>
      </c>
      <c r="C20" s="17" t="n">
        <v>-4127.401616023958</v>
      </c>
    </row>
    <row r="21">
      <c r="A21" s="6" t="inlineStr">
        <is>
          <t>Normalised attributable earnings (EGP mn)</t>
        </is>
      </c>
      <c r="C21" s="17" t="n">
        <v>25215.93280882912</v>
      </c>
    </row>
    <row r="22">
      <c r="A22" s="6" t="inlineStr">
        <is>
          <t>Normalised earnings per share (EGP)</t>
        </is>
      </c>
      <c r="C22" s="22" t="n">
        <v>11.77886463211427</v>
      </c>
    </row>
    <row r="23">
      <c r="A23" s="6" t="inlineStr">
        <is>
          <t>Justified price / earnings</t>
        </is>
      </c>
      <c r="C23" s="25" t="n">
        <v>9</v>
      </c>
    </row>
    <row r="24">
      <c r="A24" s="14" t="inlineStr">
        <is>
          <t>Implied value per share (EGP)</t>
        </is>
      </c>
      <c r="B24" s="14" t="n"/>
      <c r="C24" s="30">
        <f>C22*C23</f>
        <v/>
      </c>
    </row>
    <row r="26">
      <c r="A26" s="5" t="inlineStr">
        <is>
          <t>Book lens</t>
        </is>
      </c>
      <c r="B26" s="5" t="inlineStr">
        <is>
          <t>Value</t>
        </is>
      </c>
    </row>
    <row r="27">
      <c r="A27" s="6" t="inlineStr">
        <is>
          <t>Book value per share (EGP)</t>
        </is>
      </c>
      <c r="C27" s="22" t="n">
        <v>32.91519541282852</v>
      </c>
    </row>
    <row r="28">
      <c r="A28" s="6" t="inlineStr">
        <is>
          <t>Sustainable return on equity</t>
        </is>
      </c>
      <c r="C28" s="8" t="n">
        <v>0.235</v>
      </c>
    </row>
    <row r="29">
      <c r="A29" s="6" t="inlineStr">
        <is>
          <t>Trailing return on equity</t>
        </is>
      </c>
      <c r="C29" s="8" t="n">
        <v>0.2756503065994848</v>
      </c>
    </row>
    <row r="30">
      <c r="A30" s="6" t="inlineStr">
        <is>
          <t>Blended cost of equity</t>
        </is>
      </c>
      <c r="C30" s="8" t="n">
        <v>0.22983845</v>
      </c>
    </row>
    <row r="31">
      <c r="A31" s="6" t="inlineStr">
        <is>
          <t>Justified price / book</t>
        </is>
      </c>
      <c r="C31" s="25" t="n">
        <v>1.028701036958448</v>
      </c>
    </row>
    <row r="32">
      <c r="A32" s="14" t="inlineStr">
        <is>
          <t>Implied value per share (EGP)</t>
        </is>
      </c>
      <c r="B32" s="14" t="n"/>
      <c r="C32" s="30">
        <f>C27*C31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computed;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28" t="n">
        <v>319084.298</v>
      </c>
      <c r="C5" s="28" t="n">
        <v>362620.66176</v>
      </c>
      <c r="D5" s="28" t="n">
        <v>408916.1772360001</v>
      </c>
      <c r="E5" s="28" t="n">
        <v>455747.1247828801</v>
      </c>
      <c r="F5" s="28" t="n">
        <v>505541.5046987762</v>
      </c>
    </row>
    <row r="6">
      <c r="A6" s="6" t="inlineStr">
        <is>
          <t>EBITDA</t>
        </is>
      </c>
      <c r="B6" s="28" t="n">
        <v>35820.40329348</v>
      </c>
      <c r="C6" s="28" t="n">
        <v>41591.50204188672</v>
      </c>
      <c r="D6" s="28" t="n">
        <v>48218.57778731467</v>
      </c>
      <c r="E6" s="28" t="n">
        <v>55190.97681120677</v>
      </c>
      <c r="F6" s="28" t="n">
        <v>62535.48413123862</v>
      </c>
    </row>
    <row r="7">
      <c r="A7" s="6" t="inlineStr">
        <is>
          <t>EBITDA margin</t>
        </is>
      </c>
      <c r="B7" s="10" t="n">
        <v>0.11226</v>
      </c>
      <c r="C7" s="10" t="n">
        <v>0.114697</v>
      </c>
      <c r="D7" s="10" t="n">
        <v>0.117918</v>
      </c>
      <c r="E7" s="10" t="n">
        <v>0.1211</v>
      </c>
      <c r="F7" s="10" t="n">
        <v>0.1237</v>
      </c>
    </row>
    <row r="8">
      <c r="A8" s="6" t="inlineStr">
        <is>
          <t>Less depreciation and amortisation</t>
        </is>
      </c>
      <c r="B8" s="28" t="n">
        <v>-3350.385129</v>
      </c>
      <c r="C8" s="28" t="n">
        <v>-3807.516948480001</v>
      </c>
      <c r="D8" s="28" t="n">
        <v>-4293.619860978001</v>
      </c>
      <c r="E8" s="28" t="n">
        <v>-4785.344810220241</v>
      </c>
      <c r="F8" s="28" t="n">
        <v>-5308.18579933715</v>
      </c>
    </row>
    <row r="9">
      <c r="A9" s="14" t="inlineStr">
        <is>
          <t>EBIT</t>
        </is>
      </c>
      <c r="B9" s="29" t="n">
        <v>32470.01816448</v>
      </c>
      <c r="C9" s="29" t="n">
        <v>37783.98509340672</v>
      </c>
      <c r="D9" s="29" t="n">
        <v>43924.95792633666</v>
      </c>
      <c r="E9" s="29" t="n">
        <v>50405.63200098653</v>
      </c>
      <c r="F9" s="29" t="n">
        <v>57227.29833190147</v>
      </c>
    </row>
    <row r="10">
      <c r="A10" s="6" t="inlineStr">
        <is>
          <t>NOPAT — EBIT x (1 - 25%)</t>
        </is>
      </c>
      <c r="B10" s="28" t="n">
        <v>24352.51362336</v>
      </c>
      <c r="C10" s="28" t="n">
        <v>28337.98882005504</v>
      </c>
      <c r="D10" s="28" t="n">
        <v>32943.71844475249</v>
      </c>
      <c r="E10" s="28" t="n">
        <v>37804.22400073989</v>
      </c>
      <c r="F10" s="28" t="n">
        <v>42920.4737489261</v>
      </c>
    </row>
    <row r="11">
      <c r="A11" s="6" t="inlineStr">
        <is>
          <t>Add back depreciation and amortisation</t>
        </is>
      </c>
      <c r="B11" s="28" t="n">
        <v>3350.385129</v>
      </c>
      <c r="C11" s="28" t="n">
        <v>3807.516948480001</v>
      </c>
      <c r="D11" s="28" t="n">
        <v>4293.619860978001</v>
      </c>
      <c r="E11" s="28" t="n">
        <v>4785.344810220241</v>
      </c>
      <c r="F11" s="28" t="n">
        <v>5308.18579933715</v>
      </c>
    </row>
    <row r="12">
      <c r="A12" s="6" t="inlineStr">
        <is>
          <t>Less capital expenditure</t>
        </is>
      </c>
      <c r="B12" s="28" t="n">
        <v>-9572.52894</v>
      </c>
      <c r="C12" s="28" t="n">
        <v>-10515.99919104</v>
      </c>
      <c r="D12" s="28" t="n">
        <v>-11449.652962608</v>
      </c>
      <c r="E12" s="28" t="n">
        <v>-11849.42524435488</v>
      </c>
      <c r="F12" s="28" t="n">
        <v>-12132.99611277063</v>
      </c>
    </row>
    <row r="13">
      <c r="A13" s="6" t="inlineStr">
        <is>
          <t>Less change in working capital</t>
        </is>
      </c>
      <c r="B13" s="28" t="n">
        <v>-8748.118539999996</v>
      </c>
      <c r="C13" s="28" t="n">
        <v>-10013.36366480001</v>
      </c>
      <c r="D13" s="28" t="n">
        <v>-10647.96855948001</v>
      </c>
      <c r="E13" s="28" t="n">
        <v>-10771.1179357824</v>
      </c>
      <c r="F13" s="28" t="n">
        <v>-11452.70738065611</v>
      </c>
    </row>
    <row r="14">
      <c r="A14" s="14" t="inlineStr">
        <is>
          <t>Free cash flow to the firm</t>
        </is>
      </c>
      <c r="B14" s="29" t="n">
        <v>9382.251272360005</v>
      </c>
      <c r="C14" s="29" t="n">
        <v>11616.14291269503</v>
      </c>
      <c r="D14" s="29" t="n">
        <v>15139.71678364249</v>
      </c>
      <c r="E14" s="29" t="n">
        <v>19969.02563082285</v>
      </c>
      <c r="F14" s="29" t="n">
        <v>24642.95605483652</v>
      </c>
    </row>
    <row r="15">
      <c r="A15" s="6" t="inlineStr">
        <is>
          <t>Forward cost of capital</t>
        </is>
      </c>
      <c r="B15" s="33" t="n">
        <v>0.2689791685924707</v>
      </c>
      <c r="C15" s="33" t="n">
        <v>0.2297894457283138</v>
      </c>
      <c r="D15" s="33" t="n">
        <v>0.1954984382221766</v>
      </c>
      <c r="E15" s="33" t="n">
        <v>0.1710048614320785</v>
      </c>
      <c r="F15" s="33" t="n">
        <v>0.15141</v>
      </c>
    </row>
    <row r="16">
      <c r="A16" s="6" t="inlineStr">
        <is>
          <t>Discount factor</t>
        </is>
      </c>
      <c r="B16" s="34" t="n">
        <v>0.7880350006920778</v>
      </c>
      <c r="C16" s="34" t="n">
        <v>0.6407885540320136</v>
      </c>
      <c r="D16" s="34" t="n">
        <v>0.536001163652651</v>
      </c>
      <c r="E16" s="34" t="n">
        <v>0.4577275306928695</v>
      </c>
      <c r="F16" s="34" t="n">
        <v>0.3975365253844151</v>
      </c>
    </row>
    <row r="17">
      <c r="A17" s="14" t="inlineStr">
        <is>
          <t>Present value of FCFF</t>
        </is>
      </c>
      <c r="B17" s="29" t="n">
        <v>7393.542387907464</v>
      </c>
      <c r="C17" s="29" t="n">
        <v>7443.49142045507</v>
      </c>
      <c r="D17" s="29" t="n">
        <v>8114.905813403943</v>
      </c>
      <c r="E17" s="29" t="n">
        <v>9140.372792339163</v>
      </c>
      <c r="F17" s="29" t="n">
        <v>9796.475125240544</v>
      </c>
    </row>
    <row r="19">
      <c r="A19" s="20" t="inlineStr">
        <is>
          <t>TERMINAL VALUE AND BRIDGE</t>
        </is>
      </c>
    </row>
    <row r="20">
      <c r="A20" s="6" t="inlineStr">
        <is>
          <t>Terminal-year NOPAT grown one year (EGP mn)</t>
        </is>
      </c>
      <c r="C20" s="17" t="n">
        <v>45066.49743637241</v>
      </c>
    </row>
    <row r="21">
      <c r="A21" s="6" t="inlineStr">
        <is>
          <t>Terminal return on invested capital</t>
        </is>
      </c>
      <c r="C21" s="8" t="n">
        <v>0.2323371872854677</v>
      </c>
    </row>
    <row r="22">
      <c r="A22" s="6" t="inlineStr">
        <is>
          <t>Required reinvestment rate (g / return on capital)</t>
        </is>
      </c>
      <c r="C22" s="8" t="n">
        <v>0.2152044646153269</v>
      </c>
    </row>
    <row r="23">
      <c r="A23" s="6" t="inlineStr">
        <is>
          <t>Terminal growth</t>
        </is>
      </c>
      <c r="C23" s="8" t="n">
        <v>0.05</v>
      </c>
    </row>
    <row r="24">
      <c r="A24" s="6" t="inlineStr">
        <is>
          <t>Terminal cost of capital</t>
        </is>
      </c>
      <c r="C24" s="8" t="n">
        <v>0.15141</v>
      </c>
    </row>
    <row r="25">
      <c r="A25" s="6" t="inlineStr">
        <is>
          <t>Terminal value (EGP mn)</t>
        </is>
      </c>
      <c r="C25" s="17" t="n">
        <v>348762.3112463257</v>
      </c>
    </row>
    <row r="26">
      <c r="A26" s="6" t="inlineStr">
        <is>
          <t>Present value of the five forecast years (EGP mn)</t>
        </is>
      </c>
      <c r="C26" s="28">
        <f>SUM(B17:F17)</f>
        <v/>
      </c>
    </row>
    <row r="27">
      <c r="A27" s="6" t="inlineStr">
        <is>
          <t>Present value of the terminal value (EGP mn)</t>
        </is>
      </c>
      <c r="C27" s="28">
        <f>C25*F16</f>
        <v/>
      </c>
    </row>
    <row r="28">
      <c r="A28" s="6" t="inlineStr">
        <is>
          <t>Terminal value as a share of enterprise value</t>
        </is>
      </c>
      <c r="C28" s="10">
        <f>C27/(C26+C27)</f>
        <v/>
      </c>
    </row>
    <row r="29">
      <c r="A29" s="6" t="inlineStr">
        <is>
          <t>Enterprise value (EGP mn)</t>
        </is>
      </c>
      <c r="C29" s="28">
        <f>C26+C27</f>
        <v/>
      </c>
    </row>
    <row r="30">
      <c r="A30" s="6" t="inlineStr">
        <is>
          <t>Equity attributable to shareholders (EGP mn)</t>
        </is>
      </c>
      <c r="C30" s="18">
        <f>'SOTP Bridge'!C12</f>
        <v/>
      </c>
    </row>
    <row r="31">
      <c r="A31" s="14" t="inlineStr">
        <is>
          <t>Fair value per share (EGP)</t>
        </is>
      </c>
      <c r="B31" s="14" t="n"/>
      <c r="C31" s="30">
        <f>C30/2140.777876</f>
        <v/>
      </c>
      <c r="D31" s="1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4" t="inlineStr">
        <is>
          <t>Revenue</t>
        </is>
      </c>
      <c r="B5" s="29" t="n">
        <v>152186.2</v>
      </c>
      <c r="C5" s="29" t="n">
        <v>231981.8</v>
      </c>
      <c r="D5" s="29" t="n">
        <v>281049</v>
      </c>
      <c r="E5" s="29" t="n">
        <v>319084.298</v>
      </c>
      <c r="F5" s="29" t="n">
        <v>362620.66176</v>
      </c>
      <c r="G5" s="29" t="n">
        <v>408916.1772360001</v>
      </c>
      <c r="H5" s="29" t="n">
        <v>455747.1247828801</v>
      </c>
      <c r="I5" s="29" t="n">
        <v>505541.5046987762</v>
      </c>
    </row>
    <row r="6">
      <c r="A6" s="6" t="inlineStr">
        <is>
          <t>Gross profit</t>
        </is>
      </c>
      <c r="B6" s="28" t="n">
        <v>29077.3</v>
      </c>
      <c r="C6" s="28" t="n">
        <v>43898.5</v>
      </c>
      <c r="D6" s="28" t="n">
        <v>40720</v>
      </c>
    </row>
    <row r="7">
      <c r="A7" s="14" t="inlineStr">
        <is>
          <t>EBITDA</t>
        </is>
      </c>
      <c r="B7" s="29" t="n">
        <v>20035.1</v>
      </c>
      <c r="C7" s="29" t="n">
        <v>31601.6</v>
      </c>
      <c r="D7" s="29" t="n">
        <v>30915.39</v>
      </c>
      <c r="E7" s="29" t="n">
        <v>35820.40329348</v>
      </c>
      <c r="F7" s="29" t="n">
        <v>41591.50204188672</v>
      </c>
      <c r="G7" s="29" t="n">
        <v>48218.57778731467</v>
      </c>
      <c r="H7" s="29" t="n">
        <v>55190.97681120677</v>
      </c>
      <c r="I7" s="29" t="n">
        <v>62535.48413123862</v>
      </c>
    </row>
    <row r="8">
      <c r="A8" s="6" t="inlineStr">
        <is>
          <t>EBITDA margin</t>
        </is>
      </c>
      <c r="B8" s="10">
        <f>B7/B5</f>
        <v/>
      </c>
      <c r="C8" s="10">
        <f>C7/C5</f>
        <v/>
      </c>
      <c r="D8" s="10">
        <f>D7/D5</f>
        <v/>
      </c>
      <c r="E8" s="10">
        <f>E7/E5</f>
        <v/>
      </c>
      <c r="F8" s="10">
        <f>F7/F5</f>
        <v/>
      </c>
      <c r="G8" s="10">
        <f>G7/G5</f>
        <v/>
      </c>
      <c r="H8" s="10">
        <f>H7/H5</f>
        <v/>
      </c>
      <c r="I8" s="10">
        <f>I7/I5</f>
        <v/>
      </c>
    </row>
    <row r="9">
      <c r="A9" s="6" t="inlineStr">
        <is>
          <t>Depreciation and amortisation</t>
        </is>
      </c>
      <c r="B9" s="28" t="n">
        <v>-2296</v>
      </c>
      <c r="C9" s="28" t="n">
        <v>-2259.9</v>
      </c>
      <c r="D9" s="28" t="n">
        <v>-2951.0145</v>
      </c>
      <c r="E9" s="28" t="n">
        <v>-3350.385129</v>
      </c>
      <c r="F9" s="28" t="n">
        <v>-3807.516948480001</v>
      </c>
      <c r="G9" s="28" t="n">
        <v>-4293.619860978001</v>
      </c>
      <c r="H9" s="28" t="n">
        <v>-4785.344810220241</v>
      </c>
      <c r="I9" s="28" t="n">
        <v>-5308.18579933715</v>
      </c>
    </row>
    <row r="10">
      <c r="A10" s="14" t="inlineStr">
        <is>
          <t>EBIT</t>
        </is>
      </c>
      <c r="B10" s="29" t="n">
        <v>17739.1</v>
      </c>
      <c r="C10" s="29" t="n">
        <v>29341.7</v>
      </c>
      <c r="D10" s="29" t="n">
        <v>27964.3755</v>
      </c>
      <c r="E10" s="29" t="n">
        <v>32470.01816448</v>
      </c>
      <c r="F10" s="29" t="n">
        <v>37783.98509340672</v>
      </c>
      <c r="G10" s="29" t="n">
        <v>43924.95792633666</v>
      </c>
      <c r="H10" s="29" t="n">
        <v>50405.63200098653</v>
      </c>
      <c r="I10" s="29" t="n">
        <v>57227.29833190147</v>
      </c>
    </row>
    <row r="11">
      <c r="A11" s="6" t="inlineStr">
        <is>
          <t>Net finance costs</t>
        </is>
      </c>
      <c r="B11" s="28" t="n">
        <v>-2124.4</v>
      </c>
      <c r="C11" s="28" t="n">
        <v>-3515.4</v>
      </c>
      <c r="D11" s="28" t="n">
        <v>-3400</v>
      </c>
      <c r="E11" s="28" t="n">
        <v>-4127.401616023958</v>
      </c>
      <c r="F11" s="28" t="n">
        <v>-3554.467851750901</v>
      </c>
      <c r="G11" s="28" t="n">
        <v>-3053.150808011979</v>
      </c>
      <c r="H11" s="28" t="n">
        <v>-2695.067205341319</v>
      </c>
      <c r="I11" s="28" t="n">
        <v>-2408.600323204791</v>
      </c>
    </row>
    <row r="12">
      <c r="A12" s="6" t="inlineStr">
        <is>
          <t>Share of equity-accounted investees</t>
        </is>
      </c>
      <c r="B12" s="28" t="n">
        <v>603.6</v>
      </c>
      <c r="C12" s="28" t="n">
        <v>1132.4</v>
      </c>
      <c r="D12" s="28" t="n">
        <v>1302.26</v>
      </c>
      <c r="E12" s="28" t="n">
        <v>1406.4408</v>
      </c>
      <c r="F12" s="28" t="n">
        <v>1518.956064</v>
      </c>
      <c r="G12" s="28" t="n">
        <v>1640.47254912</v>
      </c>
      <c r="H12" s="28" t="n">
        <v>1771.7103530496</v>
      </c>
      <c r="I12" s="28" t="n">
        <v>1913.447181293569</v>
      </c>
    </row>
    <row r="13">
      <c r="A13" s="6" t="inlineStr">
        <is>
          <t>Profit before tax</t>
        </is>
      </c>
      <c r="B13" s="28" t="n">
        <v>16218.3</v>
      </c>
      <c r="C13" s="28" t="n">
        <v>26958.7</v>
      </c>
      <c r="D13" s="28" t="n">
        <v>25866.6355</v>
      </c>
    </row>
    <row r="14">
      <c r="A14" s="6" t="inlineStr">
        <is>
          <t>Income tax</t>
        </is>
      </c>
      <c r="B14" s="28" t="n">
        <v>-5080.4</v>
      </c>
      <c r="C14" s="28" t="n">
        <v>-8121.5</v>
      </c>
      <c r="D14" s="28" t="n">
        <v>-6686.635499999997</v>
      </c>
    </row>
    <row r="15">
      <c r="A15" s="6" t="inlineStr">
        <is>
          <t>Profit for the year</t>
        </is>
      </c>
      <c r="B15" s="28" t="n">
        <v>11138</v>
      </c>
      <c r="C15" s="28" t="n">
        <v>18837.2</v>
      </c>
      <c r="D15" s="28" t="n">
        <v>19180</v>
      </c>
    </row>
    <row r="16">
      <c r="A16" s="6" t="inlineStr">
        <is>
          <t>Non-controlling interests</t>
        </is>
      </c>
      <c r="B16" s="28" t="n">
        <v>-1022.299999999999</v>
      </c>
      <c r="C16" s="28" t="n">
        <v>-1375.799999999999</v>
      </c>
      <c r="D16" s="28" t="n">
        <v>-1850</v>
      </c>
    </row>
    <row r="17">
      <c r="A17" s="14" t="inlineStr">
        <is>
          <t>Profit attributable to shareholders</t>
        </is>
      </c>
      <c r="B17" s="29" t="n">
        <v>10115.7</v>
      </c>
      <c r="C17" s="29" t="n">
        <v>17461.4</v>
      </c>
      <c r="D17" s="29" t="n">
        <v>17330</v>
      </c>
      <c r="E17" s="29" t="n">
        <v>20159.71704309476</v>
      </c>
      <c r="F17" s="29" t="n">
        <v>24225.27538009706</v>
      </c>
      <c r="G17" s="29" t="n">
        <v>28808.82976942713</v>
      </c>
      <c r="H17" s="29" t="n">
        <v>33532.11007534728</v>
      </c>
      <c r="I17" s="29" t="n">
        <v>38445.04990129814</v>
      </c>
    </row>
    <row r="18">
      <c r="A18" s="6" t="inlineStr">
        <is>
          <t>Earnings per share (EGP)</t>
        </is>
      </c>
      <c r="B18" s="9">
        <f>B17/2140.777876</f>
        <v/>
      </c>
      <c r="C18" s="9">
        <f>C17/2140.777876</f>
        <v/>
      </c>
      <c r="D18" s="9">
        <f>D17/2140.777876</f>
        <v/>
      </c>
      <c r="E18" s="9">
        <f>E17/2140.777876</f>
        <v/>
      </c>
      <c r="F18" s="9">
        <f>F17/2140.777876</f>
        <v/>
      </c>
      <c r="G18" s="9">
        <f>G17/2140.777876</f>
        <v/>
      </c>
      <c r="H18" s="9">
        <f>H17/2140.777876</f>
        <v/>
      </c>
      <c r="I18" s="9">
        <f>I17/2140.777876</f>
        <v/>
      </c>
    </row>
    <row r="20">
      <c r="A20" s="4" t="inlineStr">
        <is>
          <t>Note: FY2023 and FY2024 are audited. FY2025 revenue, profit after tax and profit after minority interests are disclosed; the intermediate lines are derived by closing the account to the reported profit. Forecast profit is struck after interest on the estimated debt and cash balances, so it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8" t="n">
        <v>18009.2</v>
      </c>
      <c r="C5" s="28" t="n">
        <v>27543.8</v>
      </c>
      <c r="D5" s="28" t="n">
        <v>33024.2555</v>
      </c>
      <c r="E5" s="28" t="n">
        <v>39246.399311</v>
      </c>
      <c r="F5" s="28" t="n">
        <v>45954.88155356</v>
      </c>
      <c r="G5" s="28" t="n">
        <v>53110.91465519</v>
      </c>
      <c r="H5" s="28" t="n">
        <v>60174.99508932464</v>
      </c>
      <c r="I5" s="28" t="n">
        <v>66999.80540275812</v>
      </c>
    </row>
    <row r="6">
      <c r="A6" s="6" t="inlineStr">
        <is>
          <t>Inventories</t>
        </is>
      </c>
      <c r="B6" s="28" t="n">
        <v>30881.8</v>
      </c>
      <c r="C6" s="28" t="n">
        <v>56795.9</v>
      </c>
      <c r="D6" s="28" t="inlineStr">
        <is>
          <t>-</t>
        </is>
      </c>
    </row>
    <row r="7">
      <c r="A7" s="6" t="inlineStr">
        <is>
          <t>Contract assets</t>
        </is>
      </c>
      <c r="B7" s="28" t="n">
        <v>16179.6</v>
      </c>
      <c r="C7" s="28" t="n">
        <v>18052</v>
      </c>
      <c r="D7" s="28" t="inlineStr">
        <is>
          <t>-</t>
        </is>
      </c>
    </row>
    <row r="8">
      <c r="A8" s="6" t="inlineStr">
        <is>
          <t>Trade and other receivables</t>
        </is>
      </c>
      <c r="B8" s="28" t="n">
        <v>46591.9</v>
      </c>
      <c r="C8" s="28" t="n">
        <v>86736.3</v>
      </c>
      <c r="D8" s="28" t="inlineStr">
        <is>
          <t>-</t>
        </is>
      </c>
    </row>
    <row r="9">
      <c r="A9" s="6" t="inlineStr">
        <is>
          <t>Cash and cash equivalents</t>
        </is>
      </c>
      <c r="B9" s="28" t="n">
        <v>25552</v>
      </c>
      <c r="C9" s="28" t="n">
        <v>38180</v>
      </c>
      <c r="D9" s="28" t="n">
        <v>51827.72053413192</v>
      </c>
    </row>
    <row r="10">
      <c r="A10" s="14" t="inlineStr">
        <is>
          <t>Total assets</t>
        </is>
      </c>
      <c r="B10" s="29" t="n">
        <v>151448.7</v>
      </c>
      <c r="C10" s="29" t="n">
        <v>249527.1</v>
      </c>
      <c r="D10" s="29" t="n">
        <v>311090</v>
      </c>
      <c r="E10" s="14" t="n"/>
      <c r="F10" s="14" t="n"/>
      <c r="G10" s="14" t="n"/>
      <c r="H10" s="14" t="n"/>
      <c r="I10" s="14" t="n"/>
    </row>
    <row r="11">
      <c r="A11" s="6" t="inlineStr">
        <is>
          <t>Loans and borrowings</t>
        </is>
      </c>
      <c r="B11" s="28" t="n">
        <v>41766.5</v>
      </c>
      <c r="C11" s="28" t="n">
        <v>59082.9</v>
      </c>
      <c r="D11" s="28" t="n">
        <v>71616.72053413192</v>
      </c>
    </row>
    <row r="12">
      <c r="A12" s="6" t="inlineStr">
        <is>
          <t>Trade and other payables</t>
        </is>
      </c>
      <c r="B12" s="28" t="n">
        <v>31938.1</v>
      </c>
      <c r="C12" s="28" t="n">
        <v>54808.2</v>
      </c>
      <c r="D12" s="28" t="inlineStr">
        <is>
          <t>-</t>
        </is>
      </c>
    </row>
    <row r="13">
      <c r="A13" s="6" t="inlineStr">
        <is>
          <t>Contract liabilities</t>
        </is>
      </c>
      <c r="B13" s="28" t="n">
        <v>25060.3</v>
      </c>
      <c r="C13" s="28" t="n">
        <v>53281.1</v>
      </c>
      <c r="D13" s="28" t="inlineStr">
        <is>
          <t>-</t>
        </is>
      </c>
    </row>
    <row r="14">
      <c r="A14" s="14" t="inlineStr">
        <is>
          <t>Equity attributable to shareholders</t>
        </is>
      </c>
      <c r="B14" s="29" t="n">
        <v>35724.5</v>
      </c>
      <c r="C14" s="29" t="n">
        <v>55274.9</v>
      </c>
      <c r="D14" s="29" t="n">
        <v>70464.12212399999</v>
      </c>
      <c r="E14" s="29" t="n">
        <v>85583.90990632106</v>
      </c>
      <c r="F14" s="29" t="n">
        <v>103752.8664413939</v>
      </c>
      <c r="G14" s="29" t="n">
        <v>125359.4887684642</v>
      </c>
      <c r="H14" s="29" t="n">
        <v>150508.5713249746</v>
      </c>
      <c r="I14" s="29" t="n">
        <v>179342.3587509482</v>
      </c>
    </row>
    <row r="15">
      <c r="A15" s="6" t="inlineStr">
        <is>
          <t>Non-controlling interests</t>
        </is>
      </c>
      <c r="B15" s="28" t="n">
        <v>2384</v>
      </c>
      <c r="C15" s="28" t="n">
        <v>4251.8</v>
      </c>
      <c r="D15" s="28" t="n">
        <v>5851.8</v>
      </c>
    </row>
    <row r="16">
      <c r="A16" s="6" t="inlineStr">
        <is>
          <t>Net working capital</t>
        </is>
      </c>
      <c r="B16" s="28" t="n">
        <v>36654.90000000001</v>
      </c>
      <c r="C16" s="28" t="n">
        <v>53494.90000000002</v>
      </c>
      <c r="D16" s="28" t="n">
        <v>64641.27</v>
      </c>
      <c r="E16" s="28" t="n">
        <v>73389.38854</v>
      </c>
      <c r="F16" s="28" t="n">
        <v>83402.75220480001</v>
      </c>
      <c r="G16" s="28" t="n">
        <v>94050.72076428002</v>
      </c>
      <c r="H16" s="28" t="n">
        <v>104821.8387000624</v>
      </c>
      <c r="I16" s="28" t="n">
        <v>116274.5460807185</v>
      </c>
    </row>
    <row r="17">
      <c r="A17" s="14" t="inlineStr">
        <is>
          <t>Net bank debt</t>
        </is>
      </c>
      <c r="B17" s="29" t="n">
        <v>14768</v>
      </c>
      <c r="C17" s="29" t="n">
        <v>20028</v>
      </c>
      <c r="D17" s="29" t="n">
        <v>19789</v>
      </c>
      <c r="E17" s="29" t="n">
        <v>18542.22920043165</v>
      </c>
      <c r="F17" s="29" t="n">
        <v>15648.25602157406</v>
      </c>
      <c r="G17" s="29" t="n">
        <v>10000.60978629734</v>
      </c>
      <c r="H17" s="29" t="n">
        <v>435.9120783173039</v>
      </c>
      <c r="I17" s="29" t="n">
        <v>-12789.33125879109</v>
      </c>
    </row>
    <row r="18">
      <c r="A18" s="6" t="inlineStr">
        <is>
          <t>Net debt / EBITDA</t>
        </is>
      </c>
      <c r="B18" s="32">
        <f>B17/'Income Statement'!B7</f>
        <v/>
      </c>
      <c r="C18" s="32">
        <f>C17/'Income Statement'!C7</f>
        <v/>
      </c>
      <c r="D18" s="32">
        <f>D17/'Income Statement'!D7</f>
        <v/>
      </c>
      <c r="E18" s="32">
        <f>E17/'Income Statement'!E7</f>
        <v/>
      </c>
      <c r="F18" s="32">
        <f>F17/'Income Statement'!F7</f>
        <v/>
      </c>
      <c r="G18" s="32">
        <f>G17/'Income Statement'!G7</f>
        <v/>
      </c>
      <c r="H18" s="32">
        <f>H17/'Income Statement'!H7</f>
        <v/>
      </c>
      <c r="I18" s="32">
        <f>I17/'Income Statement'!I7</f>
        <v/>
      </c>
    </row>
    <row r="19">
      <c r="A19" s="6" t="inlineStr">
        <is>
          <t>Balance check — assets less liabilities less equity</t>
        </is>
      </c>
      <c r="B19" s="28" t="n">
        <v>0</v>
      </c>
      <c r="C19" s="28" t="n">
        <v>0</v>
      </c>
      <c r="D19" s="28" t="n">
        <v>0</v>
      </c>
    </row>
    <row r="21">
      <c r="A21" s="4" t="inlineStr">
        <is>
          <t>Note: FY2025 shows only the disclosed lines (total assets, net bank debt) plus the rolled-forward equity and the triangulated debt and cash. The valuation bridge uses only the disclosed net bank debt.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FY2023</t>
        </is>
      </c>
      <c r="C4" s="5" t="inlineStr">
        <is>
          <t>FY2024</t>
        </is>
      </c>
      <c r="D4" s="5" t="inlineStr">
        <is>
          <t>FY26E</t>
        </is>
      </c>
      <c r="E4" s="5" t="inlineStr">
        <is>
          <t>FY27E</t>
        </is>
      </c>
      <c r="F4" s="5" t="inlineStr">
        <is>
          <t>FY28E</t>
        </is>
      </c>
      <c r="G4" s="5" t="inlineStr">
        <is>
          <t>FY29E</t>
        </is>
      </c>
      <c r="H4" s="5" t="inlineStr">
        <is>
          <t>FY30E</t>
        </is>
      </c>
    </row>
    <row r="5">
      <c r="A5" s="6" t="inlineStr">
        <is>
          <t>EBITDA</t>
        </is>
      </c>
      <c r="B5" s="28" t="n">
        <v>20035.1</v>
      </c>
      <c r="C5" s="28" t="n">
        <v>31601.6</v>
      </c>
      <c r="D5" s="28" t="n">
        <v>35820.40329348</v>
      </c>
      <c r="E5" s="28" t="n">
        <v>41591.50204188672</v>
      </c>
      <c r="F5" s="28" t="n">
        <v>48218.57778731467</v>
      </c>
      <c r="G5" s="28" t="n">
        <v>55190.97681120677</v>
      </c>
      <c r="H5" s="28" t="n">
        <v>62535.48413123862</v>
      </c>
    </row>
    <row r="6">
      <c r="A6" s="6" t="inlineStr">
        <is>
          <t>Interest paid</t>
        </is>
      </c>
      <c r="B6" s="28" t="inlineStr">
        <is>
          <t>-</t>
        </is>
      </c>
      <c r="C6" s="28" t="n">
        <v>-7706.9</v>
      </c>
    </row>
    <row r="7">
      <c r="A7" s="6" t="inlineStr">
        <is>
          <t>Income tax paid</t>
        </is>
      </c>
      <c r="B7" s="28" t="inlineStr">
        <is>
          <t>-</t>
        </is>
      </c>
      <c r="C7" s="28" t="n">
        <v>-4891</v>
      </c>
    </row>
    <row r="8">
      <c r="A8" s="6" t="inlineStr">
        <is>
          <t>Operating cash flow after interest and tax</t>
        </is>
      </c>
      <c r="B8" s="28" t="inlineStr">
        <is>
          <t>-</t>
        </is>
      </c>
      <c r="C8" s="28" t="n">
        <v>3979.4</v>
      </c>
    </row>
    <row r="9">
      <c r="A9" s="6" t="inlineStr">
        <is>
          <t>Capital expenditure</t>
        </is>
      </c>
      <c r="B9" s="28" t="n">
        <v>-4830</v>
      </c>
      <c r="C9" s="28" t="n">
        <v>-8765.700000000001</v>
      </c>
      <c r="D9" s="28" t="n">
        <v>-9572.52894</v>
      </c>
      <c r="E9" s="28" t="n">
        <v>-10515.99919104</v>
      </c>
      <c r="F9" s="28" t="n">
        <v>-11449.652962608</v>
      </c>
      <c r="G9" s="28" t="n">
        <v>-11849.42524435488</v>
      </c>
      <c r="H9" s="28" t="n">
        <v>-12132.99611277063</v>
      </c>
    </row>
    <row r="10">
      <c r="A10" s="6" t="inlineStr">
        <is>
          <t>Change in working capital</t>
        </is>
      </c>
      <c r="B10" s="28" t="inlineStr">
        <is>
          <t>-</t>
        </is>
      </c>
      <c r="C10" s="28" t="n">
        <v>-16840.00000000001</v>
      </c>
      <c r="D10" s="28" t="n">
        <v>-8748.118539999996</v>
      </c>
      <c r="E10" s="28" t="n">
        <v>-10013.36366480001</v>
      </c>
      <c r="F10" s="28" t="n">
        <v>-10647.96855948001</v>
      </c>
      <c r="G10" s="28" t="n">
        <v>-10771.1179357824</v>
      </c>
      <c r="H10" s="28" t="n">
        <v>-11452.70738065611</v>
      </c>
    </row>
    <row r="11">
      <c r="A11" s="6" t="inlineStr">
        <is>
          <t>NOPAT</t>
        </is>
      </c>
      <c r="B11" s="28" t="inlineStr">
        <is>
          <t>-</t>
        </is>
      </c>
      <c r="C11" s="28" t="inlineStr">
        <is>
          <t>-</t>
        </is>
      </c>
      <c r="D11" s="28" t="n">
        <v>24352.51362336</v>
      </c>
      <c r="E11" s="28" t="n">
        <v>28337.98882005504</v>
      </c>
      <c r="F11" s="28" t="n">
        <v>32943.71844475249</v>
      </c>
      <c r="G11" s="28" t="n">
        <v>37804.22400073989</v>
      </c>
      <c r="H11" s="28" t="n">
        <v>42920.4737489261</v>
      </c>
    </row>
    <row r="12">
      <c r="A12" s="14" t="inlineStr">
        <is>
          <t>Free cash flow to the firm</t>
        </is>
      </c>
      <c r="B12" s="29" t="inlineStr">
        <is>
          <t>-</t>
        </is>
      </c>
      <c r="C12" s="29" t="inlineStr">
        <is>
          <t>-</t>
        </is>
      </c>
      <c r="D12" s="29" t="n">
        <v>9382.251272360005</v>
      </c>
      <c r="E12" s="29" t="n">
        <v>11616.14291269503</v>
      </c>
      <c r="F12" s="29" t="n">
        <v>15139.71678364249</v>
      </c>
      <c r="G12" s="29" t="n">
        <v>19969.02563082285</v>
      </c>
      <c r="H12" s="29" t="n">
        <v>24642.95605483652</v>
      </c>
      <c r="I12" s="14" t="n"/>
    </row>
    <row r="14">
      <c r="A14" s="6" t="inlineStr">
        <is>
          <t>Cash conversion — operating cash flow as a share of EBITDA, FY2024</t>
        </is>
      </c>
      <c r="C14" s="10" t="n">
        <v>0.1259240038479064</v>
      </c>
    </row>
    <row r="15">
      <c r="A15"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28" t="n">
        <v>152186.2</v>
      </c>
      <c r="C5" s="28" t="n">
        <v>231981.8</v>
      </c>
      <c r="D5" s="28" t="n">
        <v>281049</v>
      </c>
      <c r="E5" s="28" t="n">
        <v>319084.298</v>
      </c>
      <c r="F5" s="28" t="n">
        <v>362620.66176</v>
      </c>
      <c r="G5" s="28" t="n">
        <v>408916.1772360001</v>
      </c>
      <c r="H5" s="28" t="n">
        <v>455747.1247828801</v>
      </c>
      <c r="I5" s="28" t="n">
        <v>505541.5046987762</v>
      </c>
    </row>
    <row r="6">
      <c r="A6" s="6" t="inlineStr">
        <is>
          <t>Revenue growth</t>
        </is>
      </c>
      <c r="B6" s="10" t="inlineStr">
        <is>
          <t>-</t>
        </is>
      </c>
      <c r="C6" s="10" t="n">
        <v>0.5243287499129354</v>
      </c>
      <c r="D6" s="10" t="n">
        <v>0.2115131445656513</v>
      </c>
      <c r="E6" s="10" t="n">
        <v>0.1353333333333333</v>
      </c>
      <c r="F6" s="10" t="n">
        <v>0.1364415736934823</v>
      </c>
      <c r="G6" s="10" t="n">
        <v>0.1276692708333333</v>
      </c>
      <c r="H6" s="10" t="n">
        <v>0.1145245655562612</v>
      </c>
      <c r="I6" s="10" t="n">
        <v>0.1092587911325131</v>
      </c>
    </row>
    <row r="7">
      <c r="A7" s="6" t="inlineStr">
        <is>
          <t>EBITDA</t>
        </is>
      </c>
      <c r="B7" s="28" t="n">
        <v>20035.1</v>
      </c>
      <c r="C7" s="28" t="n">
        <v>31601.6</v>
      </c>
      <c r="D7" s="28" t="n">
        <v>30915.39</v>
      </c>
      <c r="E7" s="28" t="n">
        <v>35820.40329348</v>
      </c>
      <c r="F7" s="28" t="n">
        <v>41591.50204188672</v>
      </c>
      <c r="G7" s="28" t="n">
        <v>48218.57778731467</v>
      </c>
      <c r="H7" s="28" t="n">
        <v>55190.97681120677</v>
      </c>
      <c r="I7" s="28" t="n">
        <v>62535.48413123862</v>
      </c>
    </row>
    <row r="8">
      <c r="A8" s="6" t="inlineStr">
        <is>
          <t>EBITDA margin</t>
        </is>
      </c>
      <c r="B8" s="10" t="n">
        <v>0.1316485988874155</v>
      </c>
      <c r="C8" s="10" t="n">
        <v>0.1362244796790093</v>
      </c>
      <c r="D8" s="10" t="n">
        <v>0.11</v>
      </c>
      <c r="E8" s="10" t="n">
        <v>0.11226</v>
      </c>
      <c r="F8" s="10" t="n">
        <v>0.114697</v>
      </c>
      <c r="G8" s="10" t="n">
        <v>0.117918</v>
      </c>
      <c r="H8" s="10" t="n">
        <v>0.1211</v>
      </c>
      <c r="I8" s="10" t="n">
        <v>0.1237</v>
      </c>
    </row>
    <row r="9">
      <c r="A9" s="6" t="inlineStr">
        <is>
          <t>EBIT</t>
        </is>
      </c>
      <c r="B9" s="28" t="n">
        <v>17739.1</v>
      </c>
      <c r="C9" s="28" t="n">
        <v>29341.7</v>
      </c>
      <c r="D9" s="28" t="n">
        <v>27964.3755</v>
      </c>
      <c r="E9" s="28" t="n">
        <v>32470.01816448</v>
      </c>
      <c r="F9" s="28" t="n">
        <v>37783.98509340672</v>
      </c>
      <c r="G9" s="28" t="n">
        <v>43924.95792633666</v>
      </c>
      <c r="H9" s="28" t="n">
        <v>50405.63200098653</v>
      </c>
      <c r="I9" s="28" t="n">
        <v>57227.29833190147</v>
      </c>
    </row>
    <row r="10">
      <c r="A10" s="6" t="inlineStr">
        <is>
          <t>Attributable profit</t>
        </is>
      </c>
      <c r="B10" s="28" t="n">
        <v>10115.7</v>
      </c>
      <c r="C10" s="28" t="n">
        <v>17461.4</v>
      </c>
      <c r="D10" s="28" t="n">
        <v>17330</v>
      </c>
      <c r="E10" s="28" t="n">
        <v>20159.71704309476</v>
      </c>
      <c r="F10" s="28" t="n">
        <v>24225.27538009706</v>
      </c>
      <c r="G10" s="28" t="n">
        <v>28808.82976942713</v>
      </c>
      <c r="H10" s="28" t="n">
        <v>33532.11007534728</v>
      </c>
      <c r="I10" s="28" t="n">
        <v>38445.04990129814</v>
      </c>
    </row>
    <row r="11">
      <c r="A11" s="6" t="inlineStr">
        <is>
          <t>Free cash flow to the firm</t>
        </is>
      </c>
      <c r="B11" s="28" t="inlineStr">
        <is>
          <t>-</t>
        </is>
      </c>
      <c r="C11" s="28" t="inlineStr">
        <is>
          <t>-</t>
        </is>
      </c>
      <c r="D11" s="28" t="inlineStr">
        <is>
          <t>-</t>
        </is>
      </c>
      <c r="E11" s="28" t="n">
        <v>9382.251272360005</v>
      </c>
      <c r="F11" s="28" t="n">
        <v>11616.14291269503</v>
      </c>
      <c r="G11" s="28" t="n">
        <v>15139.71678364249</v>
      </c>
      <c r="H11" s="28" t="n">
        <v>19969.02563082285</v>
      </c>
      <c r="I11" s="28" t="n">
        <v>24642.95605483652</v>
      </c>
    </row>
    <row r="12">
      <c r="A12" s="6" t="inlineStr">
        <is>
          <t>Net bank debt</t>
        </is>
      </c>
      <c r="B12" s="28" t="n">
        <v>14768</v>
      </c>
      <c r="C12" s="28" t="n">
        <v>20028</v>
      </c>
      <c r="D12" s="28" t="n">
        <v>19789</v>
      </c>
      <c r="E12" s="28" t="n">
        <v>18542.22920043165</v>
      </c>
      <c r="F12" s="28" t="n">
        <v>15648.25602157406</v>
      </c>
      <c r="G12" s="28" t="n">
        <v>10000.60978629734</v>
      </c>
      <c r="H12" s="28" t="n">
        <v>435.9120783173039</v>
      </c>
      <c r="I12" s="28" t="n">
        <v>-12789.33125879109</v>
      </c>
    </row>
    <row r="13">
      <c r="A13" s="6" t="inlineStr">
        <is>
          <t>Invested capital</t>
        </is>
      </c>
      <c r="B13" s="28" t="inlineStr">
        <is>
          <t>-</t>
        </is>
      </c>
      <c r="C13" s="28" t="inlineStr">
        <is>
          <t>-</t>
        </is>
      </c>
      <c r="D13" s="28" t="inlineStr">
        <is>
          <t>-</t>
        </is>
      </c>
      <c r="E13" s="28" t="n">
        <v>114094.987851</v>
      </c>
      <c r="F13" s="28" t="n">
        <v>130816.83375836</v>
      </c>
      <c r="G13" s="28" t="n">
        <v>148620.83541947</v>
      </c>
      <c r="H13" s="28" t="n">
        <v>166456.0337893871</v>
      </c>
      <c r="I13" s="28" t="n">
        <v>184733.5514834767</v>
      </c>
    </row>
    <row r="14">
      <c r="A14" s="6" t="inlineStr">
        <is>
          <t>Return on invested capital</t>
        </is>
      </c>
      <c r="B14" s="10" t="inlineStr">
        <is>
          <t>-</t>
        </is>
      </c>
      <c r="C14" s="10" t="inlineStr">
        <is>
          <t>-</t>
        </is>
      </c>
      <c r="D14" s="10" t="inlineStr">
        <is>
          <t>-</t>
        </is>
      </c>
      <c r="E14" s="10" t="n">
        <v>0.213440696055489</v>
      </c>
      <c r="F14" s="10" t="n">
        <v>0.2166234115740786</v>
      </c>
      <c r="G14" s="10" t="n">
        <v>0.2216628533393152</v>
      </c>
      <c r="H14" s="10" t="n">
        <v>0.2271123679936571</v>
      </c>
      <c r="I14" s="10" t="n">
        <v>0.2323371872854677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9" t="n">
        <v>87.47283768142248</v>
      </c>
      <c r="C5" s="9" t="n">
        <v>99.10709529417855</v>
      </c>
      <c r="D5" s="9" t="n">
        <v>106.6824907823649</v>
      </c>
      <c r="E5" s="9" t="n">
        <v>114.8982326066757</v>
      </c>
      <c r="F5" s="9" t="n">
        <v>130.1682181904347</v>
      </c>
      <c r="G5" s="10" t="n">
        <v>0.55144</v>
      </c>
    </row>
    <row r="6">
      <c r="A6" s="6" t="inlineStr">
        <is>
          <t>Three months — to 2026-11-05</t>
        </is>
      </c>
      <c r="B6" s="9" t="n">
        <v>78.29508034182929</v>
      </c>
      <c r="C6" s="9" t="n">
        <v>96.93670208976819</v>
      </c>
      <c r="D6" s="9" t="n">
        <v>109.9075824742194</v>
      </c>
      <c r="E6" s="9" t="n">
        <v>124.4581193266816</v>
      </c>
      <c r="F6" s="9" t="n">
        <v>154.1934203763022</v>
      </c>
      <c r="G6" s="10" t="n">
        <v>0.59456</v>
      </c>
    </row>
    <row r="8">
      <c r="A8" s="5" t="inlineStr">
        <is>
          <t>Level event</t>
        </is>
      </c>
      <c r="B8" s="5" t="inlineStr">
        <is>
          <t>One month</t>
        </is>
      </c>
      <c r="C8" s="5" t="inlineStr">
        <is>
          <t>Three months</t>
        </is>
      </c>
    </row>
    <row r="9">
      <c r="A9" s="6" t="inlineStr">
        <is>
          <t>Finishes 10% or more above spot</t>
        </is>
      </c>
      <c r="B9" s="10" t="n">
        <v>0.23044</v>
      </c>
      <c r="C9" s="10" t="n">
        <v>0.3878</v>
      </c>
    </row>
    <row r="10">
      <c r="A10" s="6" t="inlineStr">
        <is>
          <t>Finishes 10% or more below spot</t>
        </is>
      </c>
      <c r="B10" s="10" t="n">
        <v>0.14414</v>
      </c>
      <c r="C10" s="10" t="n">
        <v>0.21232</v>
      </c>
    </row>
    <row r="11">
      <c r="A11" s="6" t="inlineStr">
        <is>
          <t>Touches 10% above spot at any point</t>
        </is>
      </c>
      <c r="B11" s="10" t="n">
        <v>0.36882</v>
      </c>
      <c r="C11" s="10" t="n">
        <v>0.6306</v>
      </c>
    </row>
    <row r="12">
      <c r="A12" s="6" t="inlineStr">
        <is>
          <t>Touches 10% below spot at any point</t>
        </is>
      </c>
      <c r="B12" s="10" t="n">
        <v>0.2549</v>
      </c>
      <c r="C12" s="10" t="n">
        <v>0.446</v>
      </c>
    </row>
    <row r="14">
      <c r="A14" s="5" t="inlineStr">
        <is>
          <t>Engine setting</t>
        </is>
      </c>
      <c r="B14" s="5" t="inlineStr">
        <is>
          <t>Value</t>
        </is>
      </c>
    </row>
    <row r="15">
      <c r="A15" s="6" t="inlineStr">
        <is>
          <t>Simulated paths</t>
        </is>
      </c>
      <c r="C15" s="28" t="n">
        <v>50000</v>
      </c>
    </row>
    <row r="16">
      <c r="A16" s="6" t="inlineStr">
        <is>
          <t>Annualised volatility (3-month anchor)</t>
        </is>
      </c>
      <c r="C16" s="10" t="n">
        <v>0.4838094309558744</v>
      </c>
    </row>
    <row r="17">
      <c r="A17" s="6" t="inlineStr">
        <is>
          <t>Spot price (EGP)</t>
        </is>
      </c>
      <c r="C17" s="9" t="n">
        <v>105.2</v>
      </c>
    </row>
    <row r="18">
      <c r="A18" s="6" t="inlineStr">
        <is>
          <t>Anchor date</t>
        </is>
      </c>
      <c r="C18" s="6"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t>
        </is>
      </c>
    </row>
    <row r="4">
      <c r="A4" s="20"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13.1%</t>
        </is>
      </c>
      <c r="B6" s="9" t="n">
        <v>79.68123670415163</v>
      </c>
      <c r="C6" s="9" t="n">
        <v>84.01149521077141</v>
      </c>
      <c r="D6" s="9" t="n">
        <v>89.32569292537724</v>
      </c>
      <c r="E6" s="9" t="n">
        <v>96.03719178942801</v>
      </c>
      <c r="F6" s="9" t="n">
        <v>104.8286010601025</v>
      </c>
    </row>
    <row r="7">
      <c r="A7" s="6" t="inlineStr">
        <is>
          <t>14.1%</t>
        </is>
      </c>
      <c r="B7" s="9" t="n">
        <v>72.04339267486468</v>
      </c>
      <c r="C7" s="9" t="n">
        <v>75.27674949702067</v>
      </c>
      <c r="D7" s="9" t="n">
        <v>79.14809516564586</v>
      </c>
      <c r="E7" s="9" t="n">
        <v>83.8925318229104</v>
      </c>
      <c r="F7" s="9" t="n">
        <v>89.87685305037411</v>
      </c>
    </row>
    <row r="8">
      <c r="A8" s="6" t="inlineStr">
        <is>
          <t>15.1%</t>
        </is>
      </c>
      <c r="B8" s="9" t="n">
        <v>65.67571614885223</v>
      </c>
      <c r="C8" s="9" t="n">
        <v>68.12091433767503</v>
      </c>
      <c r="D8" s="9" t="n">
        <v>70.9872231444748</v>
      </c>
      <c r="E8" s="9" t="n">
        <v>74.41284756366471</v>
      </c>
      <c r="F8" s="9" t="n">
        <v>78.60389824960801</v>
      </c>
    </row>
    <row r="9">
      <c r="A9" s="6" t="inlineStr">
        <is>
          <t>16.1%</t>
        </is>
      </c>
      <c r="B9" s="9" t="n">
        <v>60.2877965249138</v>
      </c>
      <c r="C9" s="9" t="n">
        <v>62.15344207203882</v>
      </c>
      <c r="D9" s="9" t="n">
        <v>64.2996613922935</v>
      </c>
      <c r="E9" s="9" t="n">
        <v>66.80945629214551</v>
      </c>
      <c r="F9" s="9" t="n">
        <v>69.80214924602792</v>
      </c>
    </row>
    <row r="10">
      <c r="A10" s="6" t="inlineStr">
        <is>
          <t>17.1%</t>
        </is>
      </c>
      <c r="B10" s="9" t="n">
        <v>55.67138867590096</v>
      </c>
      <c r="C10" s="9" t="n">
        <v>57.10268104309385</v>
      </c>
      <c r="D10" s="9" t="n">
        <v>58.72104435657906</v>
      </c>
      <c r="E10" s="9" t="n">
        <v>60.57685226673597</v>
      </c>
      <c r="F10" s="9" t="n">
        <v>62.74034772692379</v>
      </c>
    </row>
    <row r="12">
      <c r="A12" s="20" t="inlineStr">
        <is>
          <t>Explicit-window cost of capital (columns) x terminal cost of capital (rows)</t>
        </is>
      </c>
    </row>
    <row r="13">
      <c r="A13" s="5" t="inlineStr"/>
      <c r="B13" s="5" t="inlineStr">
        <is>
          <t>23.9%</t>
        </is>
      </c>
      <c r="C13" s="5" t="inlineStr">
        <is>
          <t>25.4%</t>
        </is>
      </c>
      <c r="D13" s="5" t="inlineStr">
        <is>
          <t>26.9%</t>
        </is>
      </c>
      <c r="E13" s="5" t="inlineStr">
        <is>
          <t>28.4%</t>
        </is>
      </c>
      <c r="F13" s="5" t="inlineStr">
        <is>
          <t>29.9%</t>
        </is>
      </c>
    </row>
    <row r="14">
      <c r="A14" s="6" t="inlineStr">
        <is>
          <t>terminal 13.1%</t>
        </is>
      </c>
      <c r="B14" s="9" t="n">
        <v>94.4411516960047</v>
      </c>
      <c r="C14" s="9" t="n">
        <v>91.83793386263895</v>
      </c>
      <c r="D14" s="9" t="n">
        <v>89.32569292537724</v>
      </c>
      <c r="E14" s="9" t="n">
        <v>86.90043531192872</v>
      </c>
      <c r="F14" s="9" t="n">
        <v>84.55837936054179</v>
      </c>
    </row>
    <row r="15">
      <c r="A15" s="6" t="inlineStr">
        <is>
          <t>terminal 14.1%</t>
        </is>
      </c>
      <c r="B15" s="9" t="n">
        <v>83.6853102993899</v>
      </c>
      <c r="C15" s="9" t="n">
        <v>81.3764819233737</v>
      </c>
      <c r="D15" s="9" t="n">
        <v>79.14809516564586</v>
      </c>
      <c r="E15" s="9" t="n">
        <v>76.99662618872641</v>
      </c>
      <c r="F15" s="9" t="n">
        <v>74.91873786045032</v>
      </c>
    </row>
    <row r="16">
      <c r="A16" s="6" t="inlineStr">
        <is>
          <t>terminal 15.1%</t>
        </is>
      </c>
      <c r="B16" s="9" t="n">
        <v>75.06101753174484</v>
      </c>
      <c r="C16" s="9" t="n">
        <v>72.98811919556634</v>
      </c>
      <c r="D16" s="9" t="n">
        <v>70.9872231444748</v>
      </c>
      <c r="E16" s="9" t="n">
        <v>69.05518167214285</v>
      </c>
      <c r="F16" s="9" t="n">
        <v>67.18901360200252</v>
      </c>
    </row>
    <row r="17">
      <c r="A17" s="6" t="inlineStr">
        <is>
          <t>terminal 16.1%</t>
        </is>
      </c>
      <c r="B17" s="9" t="n">
        <v>67.99391096892251</v>
      </c>
      <c r="C17" s="9" t="n">
        <v>66.11423924782518</v>
      </c>
      <c r="D17" s="9" t="n">
        <v>64.2996613922935</v>
      </c>
      <c r="E17" s="9" t="n">
        <v>62.54733746305856</v>
      </c>
      <c r="F17" s="9" t="n">
        <v>60.85457754823204</v>
      </c>
    </row>
    <row r="18">
      <c r="A18" s="6" t="inlineStr">
        <is>
          <t>terminal 17.1%</t>
        </is>
      </c>
      <c r="B18" s="9" t="n">
        <v>62.09887513361004</v>
      </c>
      <c r="C18" s="9" t="n">
        <v>60.38029098876037</v>
      </c>
      <c r="D18" s="9" t="n">
        <v>58.72104435657906</v>
      </c>
      <c r="E18" s="9" t="n">
        <v>57.1185516233497</v>
      </c>
      <c r="F18" s="9" t="n">
        <v>55.57036546404807</v>
      </c>
    </row>
    <row r="20">
      <c r="A20" s="20" t="inlineStr">
        <is>
          <t>Single-driver sensitivities</t>
        </is>
      </c>
    </row>
    <row r="21">
      <c r="A21" s="5" t="inlineStr">
        <is>
          <t>Driver</t>
        </is>
      </c>
      <c r="B21" s="5" t="inlineStr">
        <is>
          <t>Low</t>
        </is>
      </c>
      <c r="C21" s="5" t="inlineStr"/>
      <c r="D21" s="5" t="inlineStr">
        <is>
          <t>Base</t>
        </is>
      </c>
      <c r="E21" s="5" t="inlineStr"/>
      <c r="F21" s="5" t="inlineStr">
        <is>
          <t>High</t>
        </is>
      </c>
      <c r="G21" s="5" t="inlineStr">
        <is>
          <t>Swing</t>
        </is>
      </c>
    </row>
    <row r="22">
      <c r="A22" s="6" t="inlineStr">
        <is>
          <t>Beta</t>
        </is>
      </c>
      <c r="B22" s="9" t="n">
        <v>97.22796869406002</v>
      </c>
      <c r="C22" s="9" t="n">
        <v>82.76416632907222</v>
      </c>
      <c r="D22" s="9" t="n">
        <v>71.43883974103514</v>
      </c>
      <c r="E22" s="9" t="n">
        <v>70.9872231444748</v>
      </c>
      <c r="F22" s="9" t="n">
        <v>64.45290812234732</v>
      </c>
      <c r="G22" s="9" t="n">
        <v>58.46543295327148</v>
      </c>
      <c r="H22" s="9" t="n">
        <v>38.76253574078854</v>
      </c>
    </row>
    <row r="23">
      <c r="A23" s="6" t="inlineStr">
        <is>
          <t>Exchange-rate path multiplier</t>
        </is>
      </c>
      <c r="B23" s="9" t="n">
        <v>65.21795282222483</v>
      </c>
      <c r="C23" s="9" t="n">
        <v>68.10258798334984</v>
      </c>
      <c r="D23" s="9" t="n">
        <v>70.9872231444748</v>
      </c>
      <c r="E23" s="9" t="n">
        <v>75.60263940227475</v>
      </c>
      <c r="F23" s="9" t="n">
        <v>82.52576378897464</v>
      </c>
      <c r="H23" s="9" t="n">
        <v>17.30781096674981</v>
      </c>
    </row>
    <row r="24">
      <c r="A24" s="6" t="inlineStr">
        <is>
          <t>EBITDA margin shift</t>
        </is>
      </c>
      <c r="B24" s="9" t="n">
        <v>50.76974883395968</v>
      </c>
      <c r="C24" s="9" t="n">
        <v>60.87848598921724</v>
      </c>
      <c r="D24" s="9" t="n">
        <v>70.9872231444748</v>
      </c>
      <c r="E24" s="9" t="n">
        <v>81.09596029973233</v>
      </c>
      <c r="F24" s="9" t="n">
        <v>91.20469745498988</v>
      </c>
      <c r="H24" s="9" t="n">
        <v>40.4349486210302</v>
      </c>
    </row>
    <row r="25">
      <c r="A25" s="6" t="inlineStr">
        <is>
          <t>Working capital / revenue</t>
        </is>
      </c>
      <c r="B25" s="9" t="n">
        <v>72.55623902138905</v>
      </c>
      <c r="C25" s="9" t="n">
        <v>71.77173108293192</v>
      </c>
      <c r="D25" s="9" t="n">
        <v>70.9872231444748</v>
      </c>
      <c r="E25" s="9" t="n">
        <v>70.20271520601769</v>
      </c>
      <c r="F25" s="9" t="n">
        <v>69.41820726756056</v>
      </c>
      <c r="H25" s="9" t="n">
        <v>3.138031753828486</v>
      </c>
    </row>
    <row r="26">
      <c r="A26" s="6" t="inlineStr">
        <is>
          <t>Terminal return on invested capital</t>
        </is>
      </c>
      <c r="B26" s="9" t="n">
        <v>62.17907809677004</v>
      </c>
      <c r="C26" s="9" t="n">
        <v>66.32151505438871</v>
      </c>
      <c r="D26" s="9" t="n">
        <v>70.9872231444748</v>
      </c>
      <c r="E26" s="9" t="n">
        <v>72.69449498918665</v>
      </c>
      <c r="F26" s="9" t="n">
        <v>74.60638896962602</v>
      </c>
      <c r="H26" s="9" t="n">
        <v>12.42731087285598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9" t="n">
        <v>4.725245021170053</v>
      </c>
      <c r="C5" s="9" t="n">
        <v>8.156567851227177</v>
      </c>
      <c r="D5" s="9" t="n">
        <v>8.095188293136117</v>
      </c>
      <c r="E5" s="9" t="n">
        <v>9.417005504916174</v>
      </c>
      <c r="F5" s="9" t="n">
        <v>11.31610880871092</v>
      </c>
      <c r="G5" s="9" t="n">
        <v>13.45717838940668</v>
      </c>
      <c r="H5" s="9" t="n">
        <v>15.66351672972319</v>
      </c>
      <c r="I5" s="9" t="n">
        <v>17.95844881073413</v>
      </c>
    </row>
    <row r="6">
      <c r="A6" s="6" t="inlineStr">
        <is>
          <t>Book value per share (EGP)</t>
        </is>
      </c>
      <c r="B6" s="9" t="n">
        <v>16.68762574599776</v>
      </c>
      <c r="C6" s="9" t="n">
        <v>25.82000711969241</v>
      </c>
      <c r="D6" s="9" t="n">
        <v>32.91519541282852</v>
      </c>
      <c r="E6" s="9" t="n">
        <v>39.97794954151566</v>
      </c>
      <c r="F6" s="9" t="n">
        <v>48.46503114804884</v>
      </c>
      <c r="G6" s="9" t="n">
        <v>58.55791494010386</v>
      </c>
      <c r="H6" s="9" t="n">
        <v>70.30555248739624</v>
      </c>
      <c r="I6" s="9" t="n">
        <v>83.77438909544684</v>
      </c>
    </row>
    <row r="7">
      <c r="A7" s="6" t="inlineStr">
        <is>
          <t>Free cash flow per share (EGP)</t>
        </is>
      </c>
      <c r="B7" s="9" t="inlineStr">
        <is>
          <t>-</t>
        </is>
      </c>
      <c r="C7" s="9" t="inlineStr">
        <is>
          <t>-</t>
        </is>
      </c>
      <c r="D7" s="9" t="inlineStr">
        <is>
          <t>-</t>
        </is>
      </c>
      <c r="E7" s="9" t="n">
        <v>4.382636506824589</v>
      </c>
      <c r="F7" s="9" t="n">
        <v>5.42613180139901</v>
      </c>
      <c r="G7" s="9" t="n">
        <v>7.072063362281535</v>
      </c>
      <c r="H7" s="9" t="n">
        <v>9.327929746795855</v>
      </c>
      <c r="I7" s="9" t="n">
        <v>11.51121577399771</v>
      </c>
    </row>
    <row r="8">
      <c r="A8" s="6" t="inlineStr">
        <is>
          <t>Gross margin</t>
        </is>
      </c>
      <c r="B8" s="10" t="n">
        <v>0.191063972948927</v>
      </c>
      <c r="C8" s="10" t="n">
        <v>0.1892325173785185</v>
      </c>
      <c r="D8" s="10" t="n">
        <v>0.1448857672505506</v>
      </c>
      <c r="E8" s="10" t="inlineStr">
        <is>
          <t>-</t>
        </is>
      </c>
      <c r="F8" s="10" t="inlineStr">
        <is>
          <t>-</t>
        </is>
      </c>
      <c r="G8" s="10" t="inlineStr">
        <is>
          <t>-</t>
        </is>
      </c>
      <c r="H8" s="10" t="inlineStr">
        <is>
          <t>-</t>
        </is>
      </c>
      <c r="I8" s="10" t="inlineStr">
        <is>
          <t>-</t>
        </is>
      </c>
    </row>
    <row r="9">
      <c r="A9" s="6" t="inlineStr">
        <is>
          <t>EBITDA margin</t>
        </is>
      </c>
      <c r="B9" s="10" t="n">
        <v>0.1316485988874155</v>
      </c>
      <c r="C9" s="10" t="n">
        <v>0.1362244796790093</v>
      </c>
      <c r="D9" s="10" t="n">
        <v>0.11</v>
      </c>
      <c r="E9" s="10" t="n">
        <v>0.11226</v>
      </c>
      <c r="F9" s="10" t="n">
        <v>0.114697</v>
      </c>
      <c r="G9" s="10" t="n">
        <v>0.117918</v>
      </c>
      <c r="H9" s="10" t="n">
        <v>0.1211</v>
      </c>
      <c r="I9" s="10" t="n">
        <v>0.1237</v>
      </c>
    </row>
    <row r="10">
      <c r="A10" s="6" t="inlineStr">
        <is>
          <t>EBIT margin</t>
        </is>
      </c>
      <c r="B10" s="10" t="n">
        <v>0.1165618170372872</v>
      </c>
      <c r="C10" s="10" t="n">
        <v>0.126482767182598</v>
      </c>
      <c r="D10" s="10" t="n">
        <v>0.09949999999999999</v>
      </c>
      <c r="E10" s="10" t="n">
        <v>0.10176</v>
      </c>
      <c r="F10" s="10" t="n">
        <v>0.104197</v>
      </c>
      <c r="G10" s="10" t="n">
        <v>0.107418</v>
      </c>
      <c r="H10" s="10" t="n">
        <v>0.1106</v>
      </c>
      <c r="I10" s="10" t="n">
        <v>0.1132</v>
      </c>
    </row>
    <row r="11">
      <c r="A11" s="6" t="inlineStr">
        <is>
          <t>Net margin (attributable)</t>
        </is>
      </c>
      <c r="B11" s="10" t="n">
        <v>0.06646923308420868</v>
      </c>
      <c r="C11" s="10" t="n">
        <v>0.07527056001807039</v>
      </c>
      <c r="D11" s="10" t="n">
        <v>0.06166184544332127</v>
      </c>
      <c r="E11" s="10" t="n">
        <v>0.06317990941407826</v>
      </c>
      <c r="F11" s="10" t="n">
        <v>0.06680610879291407</v>
      </c>
      <c r="G11" s="10" t="n">
        <v>0.07045167536328729</v>
      </c>
      <c r="H11" s="10" t="n">
        <v>0.0735761308232545</v>
      </c>
      <c r="I11" s="10" t="n">
        <v>0.07604726722528032</v>
      </c>
    </row>
    <row r="12">
      <c r="A12" s="6" t="inlineStr">
        <is>
          <t>Return on equity</t>
        </is>
      </c>
      <c r="B12" s="10" t="inlineStr">
        <is>
          <t>-</t>
        </is>
      </c>
      <c r="C12" s="10" t="n">
        <v>0.3837695633158021</v>
      </c>
      <c r="D12" s="10" t="n">
        <v>0.2756503065994848</v>
      </c>
      <c r="E12" s="10" t="n">
        <v>0.2355549900111049</v>
      </c>
      <c r="F12" s="10" t="n">
        <v>0.233490179221034</v>
      </c>
      <c r="G12" s="10" t="n">
        <v>0.2298097260322775</v>
      </c>
      <c r="H12" s="10" t="n">
        <v>0.2227920295844515</v>
      </c>
      <c r="I12" s="10" t="n">
        <v>0.214366813111266</v>
      </c>
    </row>
    <row r="13">
      <c r="A13" s="6" t="inlineStr">
        <is>
          <t>Return on invested capital</t>
        </is>
      </c>
      <c r="B13" s="10" t="n">
        <v>0.2229390349424942</v>
      </c>
      <c r="C13" s="10" t="n">
        <v>0.2486105500867294</v>
      </c>
      <c r="D13" s="10" t="n">
        <v>0.2091856009334676</v>
      </c>
      <c r="E13" s="10" t="n">
        <v>0.213440696055489</v>
      </c>
      <c r="F13" s="10" t="n">
        <v>0.2166234115740786</v>
      </c>
      <c r="G13" s="10" t="n">
        <v>0.2216628533393152</v>
      </c>
      <c r="H13" s="10" t="n">
        <v>0.2271123679936571</v>
      </c>
      <c r="I13" s="10" t="n">
        <v>0.2323371872854677</v>
      </c>
    </row>
    <row r="14">
      <c r="A14" s="6" t="inlineStr">
        <is>
          <t>Net debt / EBITDA</t>
        </is>
      </c>
      <c r="B14" s="32" t="n">
        <v>0.7371063783060728</v>
      </c>
      <c r="C14" s="32" t="n">
        <v>0.6337653789681534</v>
      </c>
      <c r="D14" s="32" t="n">
        <v>0.6401019039384591</v>
      </c>
      <c r="E14" s="32" t="n">
        <v>0.5176443449983907</v>
      </c>
      <c r="F14" s="32" t="n">
        <v>0.3762368573708816</v>
      </c>
      <c r="G14" s="32" t="n">
        <v>0.2074015917766928</v>
      </c>
      <c r="H14" s="32" t="n">
        <v>0.007898249016473107</v>
      </c>
      <c r="I14" s="32" t="n">
        <v>-0.2045131885754824</v>
      </c>
    </row>
    <row r="15">
      <c r="A15" s="6" t="inlineStr">
        <is>
          <t>Interest cover (EBIT / net interest)</t>
        </is>
      </c>
      <c r="B15" s="32" t="inlineStr">
        <is>
          <t>-</t>
        </is>
      </c>
      <c r="C15" s="32" t="n">
        <v>8.346617739090858</v>
      </c>
      <c r="D15" s="32" t="n">
        <v>8.224816323529412</v>
      </c>
      <c r="E15" s="32" t="inlineStr">
        <is>
          <t>-</t>
        </is>
      </c>
      <c r="F15" s="32" t="inlineStr">
        <is>
          <t>-</t>
        </is>
      </c>
      <c r="G15" s="32" t="inlineStr">
        <is>
          <t>-</t>
        </is>
      </c>
      <c r="H15" s="32" t="inlineStr">
        <is>
          <t>-</t>
        </is>
      </c>
      <c r="I15" s="32" t="inlineStr">
        <is>
          <t>-</t>
        </is>
      </c>
    </row>
    <row r="16">
      <c r="A16" s="6" t="inlineStr">
        <is>
          <t>Working capital / revenue</t>
        </is>
      </c>
      <c r="B16" s="10" t="n">
        <v>0.2408556097727652</v>
      </c>
      <c r="C16" s="10" t="n">
        <v>0.2305995556547972</v>
      </c>
      <c r="D16" s="10" t="n">
        <v>0.23</v>
      </c>
      <c r="E16" s="10" t="n">
        <v>0.23</v>
      </c>
      <c r="F16" s="10" t="n">
        <v>0.23</v>
      </c>
      <c r="G16" s="10" t="n">
        <v>0.23</v>
      </c>
      <c r="H16" s="10" t="n">
        <v>0.23</v>
      </c>
      <c r="I16" s="10" t="n">
        <v>0.23</v>
      </c>
    </row>
    <row r="17">
      <c r="A17" s="6" t="inlineStr">
        <is>
          <t>Capital expenditure / revenue</t>
        </is>
      </c>
      <c r="B17" s="10" t="n">
        <v>0.03173743742862362</v>
      </c>
      <c r="C17" s="10" t="n">
        <v>0.03778615391379841</v>
      </c>
      <c r="D17" s="10" t="inlineStr">
        <is>
          <t>-</t>
        </is>
      </c>
      <c r="E17" s="10" t="n">
        <v>0.03</v>
      </c>
      <c r="F17" s="10" t="n">
        <v>0.029</v>
      </c>
      <c r="G17" s="10" t="n">
        <v>0.028</v>
      </c>
      <c r="H17" s="10" t="n">
        <v>0.026</v>
      </c>
      <c r="I17" s="10" t="n">
        <v>0.024</v>
      </c>
    </row>
    <row r="18">
      <c r="A18" s="6" t="inlineStr">
        <is>
          <t>Reinvestment rate</t>
        </is>
      </c>
      <c r="B18" s="10" t="n">
        <v>0.2079305448304614</v>
      </c>
      <c r="C18" s="10" t="n">
        <v>0.3172037113507076</v>
      </c>
      <c r="D18" s="10" t="n">
        <v>0.2643034737032398</v>
      </c>
      <c r="E18" s="10" t="inlineStr">
        <is>
          <t>-</t>
        </is>
      </c>
      <c r="F18" s="10" t="inlineStr">
        <is>
          <t>-</t>
        </is>
      </c>
      <c r="G18" s="10" t="inlineStr">
        <is>
          <t>-</t>
        </is>
      </c>
      <c r="H18" s="10" t="inlineStr">
        <is>
          <t>-</t>
        </is>
      </c>
      <c r="I18" s="10" t="inlineStr">
        <is>
          <t>-</t>
        </is>
      </c>
    </row>
    <row r="19">
      <c r="A19" s="6" t="inlineStr">
        <is>
          <t>Implied growth (return on capital x reinvestment)</t>
        </is>
      </c>
      <c r="B19" s="10" t="n">
        <v>0.04635583499957009</v>
      </c>
      <c r="C19" s="10" t="n">
        <v>0.07886018916845154</v>
      </c>
      <c r="D19" s="10" t="n">
        <v>0.05528848097541516</v>
      </c>
      <c r="E19" s="10" t="inlineStr">
        <is>
          <t>-</t>
        </is>
      </c>
      <c r="F19" s="10" t="inlineStr">
        <is>
          <t>-</t>
        </is>
      </c>
      <c r="G19" s="10" t="inlineStr">
        <is>
          <t>-</t>
        </is>
      </c>
      <c r="H19" s="10" t="inlineStr">
        <is>
          <t>-</t>
        </is>
      </c>
      <c r="I19" s="10" t="inlineStr">
        <is>
          <t>-</t>
        </is>
      </c>
    </row>
    <row r="21">
      <c r="A21" s="4" t="inlineStr">
        <is>
          <t>Terminal growth reconciliation: actual NOPAT compound growth FY2023–FY2025 was 30.4%; the implied growth from stable years only (FY2024 excluded as a debt-funded capacity burst) is 5.1%; the adopted terminal growth is 5.0%, below the blended nominal ceiling of 9.6%.</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35" t="inlineStr">
        <is>
          <t>nearest listed regional cable manufacturer</t>
        </is>
      </c>
      <c r="D5" s="35" t="inlineStr">
        <is>
          <t>far smaller, no contracting arm, lighter balance sheet, pegged currency</t>
        </is>
      </c>
    </row>
    <row r="6" ht="30" customHeight="1">
      <c r="A6" s="6" t="inlineStr">
        <is>
          <t>Electro Cable Egypt</t>
        </is>
      </c>
      <c r="B6" s="6" t="inlineStr">
        <is>
          <t>Egypt</t>
        </is>
      </c>
      <c r="C6" s="35" t="inlineStr">
        <is>
          <t>the only other listed Egyptian cable manufacturer</t>
        </is>
      </c>
      <c r="D6" s="35" t="inlineStr">
        <is>
          <t>much smaller, domestic, heavily levered, currently loss-making</t>
        </is>
      </c>
    </row>
    <row r="7" ht="30" customHeight="1">
      <c r="A7" s="6" t="inlineStr">
        <is>
          <t>European cable majors</t>
        </is>
      </c>
      <c r="B7" s="6" t="inlineStr">
        <is>
          <t>Europe</t>
        </is>
      </c>
      <c r="C7" s="35" t="inlineStr">
        <is>
          <t>closest match on business model — cables plus projects</t>
        </is>
      </c>
      <c r="D7" s="35" t="inlineStr">
        <is>
          <t>developed-market cost of capital; no convertibility risk</t>
        </is>
      </c>
    </row>
    <row r="8" ht="30" customHeight="1">
      <c r="A8" s="6" t="inlineStr">
        <is>
          <t>Regional engineering and construction contractors</t>
        </is>
      </c>
      <c r="B8" s="6" t="inlineStr">
        <is>
          <t>Gulf and North Africa</t>
        </is>
      </c>
      <c r="C8" s="35" t="inlineStr">
        <is>
          <t>the right frame for the roughly 27% that is turnkey project work</t>
        </is>
      </c>
      <c r="D8" s="35" t="inlineStr">
        <is>
          <t>project accounting and backlog quality are not comparable</t>
        </is>
      </c>
    </row>
    <row r="10">
      <c r="A10" s="5" t="inlineStr">
        <is>
          <t>Own multiples</t>
        </is>
      </c>
      <c r="B10" s="5" t="inlineStr">
        <is>
          <t>Value</t>
        </is>
      </c>
    </row>
    <row r="11">
      <c r="A11" s="6" t="inlineStr">
        <is>
          <t>Trailing enterprise value / EBITDA</t>
        </is>
      </c>
      <c r="B11" s="32" t="n">
        <v>7.924817786713997</v>
      </c>
    </row>
    <row r="12">
      <c r="A12" s="6" t="inlineStr">
        <is>
          <t>Trailing price / earnings</t>
        </is>
      </c>
      <c r="B12" s="32" t="n">
        <v>12.9953740655049</v>
      </c>
    </row>
    <row r="13">
      <c r="A13" s="6" t="inlineStr">
        <is>
          <t>Trailing price / book</t>
        </is>
      </c>
      <c r="B13" s="32" t="n">
        <v>3.196092220646482</v>
      </c>
    </row>
    <row r="14">
      <c r="A14" s="6" t="inlineStr">
        <is>
          <t>Justified enterprise value / EBITDA applied</t>
        </is>
      </c>
      <c r="B14" s="32" t="n">
        <v>6.5</v>
      </c>
    </row>
    <row r="15">
      <c r="A15" s="6" t="inlineStr">
        <is>
          <t>Justified price / earnings applied</t>
        </is>
      </c>
      <c r="B15" s="32" t="n">
        <v>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2026-08-05T22:44:29Z</dcterms:created>
  <dcterms:modified xmlns:dcterms="http://purl.org/dc/terms/" xmlns:xsi="http://www.w3.org/2001/XMLSchema-instance" xsi:type="dcterms:W3CDTF">2026-08-05T22:44:29Z</dcterms:modified>
</cp:coreProperties>
</file>