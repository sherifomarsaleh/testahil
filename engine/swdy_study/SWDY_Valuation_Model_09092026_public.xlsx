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28.8% -&gt; 18.9%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15.72400503791313</v>
      </c>
      <c r="C5" s="8">
        <f>DCF!C62</f>
        <v/>
      </c>
      <c r="D5" s="7" t="n">
        <v>71.71181857114279</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15.72400503791313</v>
      </c>
    </row>
    <row r="7">
      <c r="A7" s="6" t="inlineStr">
        <is>
          <t xml:space="preserve">  bull</t>
        </is>
      </c>
      <c r="B7" s="6" t="inlineStr">
        <is>
          <t>margin +1.5pp, stronger currency path, −2pp cost of capital, g 6%</t>
        </is>
      </c>
      <c r="C7" s="7" t="n">
        <v>71.71181857114279</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0.5121665673676995</v>
      </c>
    </row>
    <row r="16">
      <c r="A16" s="6" t="inlineStr">
        <is>
          <t>Cost of capital applied in the primary model (explicit → terminal)</t>
        </is>
      </c>
      <c r="C16" s="22" t="inlineStr">
        <is>
          <t>28.8% → 18.9%</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57.0082753077468</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157.9819478660362</v>
      </c>
      <c r="D23" s="7" t="n">
        <v>115.9209089539214</v>
      </c>
      <c r="E23" s="7" t="n">
        <v>200.0429867781509</v>
      </c>
    </row>
    <row r="24">
      <c r="A24" s="6" t="inlineStr">
        <is>
          <t>Expert 2</t>
        </is>
      </c>
      <c r="B24" s="6" t="inlineStr">
        <is>
          <t>owner cash earnings</t>
        </is>
      </c>
      <c r="C24" s="7" t="n">
        <v>54.98853902732677</v>
      </c>
      <c r="D24" s="7" t="n">
        <v>31.99082144464806</v>
      </c>
      <c r="E24" s="7" t="n">
        <v>50.72202890203657</v>
      </c>
    </row>
    <row r="25">
      <c r="A25" s="6" t="inlineStr">
        <is>
          <t>Expert 3</t>
        </is>
      </c>
      <c r="B25" s="6" t="inlineStr">
        <is>
          <t>cash returns vs cost of capital</t>
        </is>
      </c>
      <c r="C25" s="7" t="n">
        <v>41.34067083109784</v>
      </c>
      <c r="D25" s="7" t="n">
        <v>40.07659417818311</v>
      </c>
      <c r="E25" s="7" t="n">
        <v>57.0082753077468</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14000</v>
      </c>
      <c r="D12" s="24" t="n">
        <v>14000</v>
      </c>
      <c r="E12" s="24" t="n">
        <v>14000</v>
      </c>
      <c r="F12" s="24" t="n">
        <v>14000</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0.18</v>
      </c>
      <c r="C15" s="21" t="n">
        <v>0.14</v>
      </c>
      <c r="D15" s="21" t="n">
        <v>0.11</v>
      </c>
      <c r="E15" s="21" t="n">
        <v>0.09</v>
      </c>
      <c r="F15" s="21" t="n">
        <v>0.08</v>
      </c>
    </row>
    <row r="16">
      <c r="A16" s="6" t="inlineStr">
        <is>
          <t>Electrical products and digital solutions — revenue growth</t>
        </is>
      </c>
      <c r="B16" s="21" t="n">
        <v>0.2</v>
      </c>
      <c r="C16" s="21" t="n">
        <v>0.16</v>
      </c>
      <c r="D16" s="21" t="n">
        <v>0.13</v>
      </c>
      <c r="E16" s="21" t="n">
        <v>0.11</v>
      </c>
      <c r="F16" s="21" t="n">
        <v>0.1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0.199</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0.0125</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0.125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0.07000000000000001</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110761.3616516914</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231776.5966461021</v>
      </c>
      <c r="G5" s="24" t="n">
        <v>254203.1284512111</v>
      </c>
      <c r="H5" s="24" t="n">
        <v>277766.6532276451</v>
      </c>
      <c r="I5" s="24" t="n">
        <v>302515.206675059</v>
      </c>
    </row>
    <row r="6">
      <c r="A6" s="6" t="inlineStr">
        <is>
          <t>Constructions and infrastructure</t>
        </is>
      </c>
      <c r="B6" s="24" t="n">
        <v>90958.55022799999</v>
      </c>
      <c r="C6" s="9">
        <f>B6/$B$8</f>
        <v/>
      </c>
      <c r="D6" s="21" t="n">
        <v>0.06452269254829619</v>
      </c>
      <c r="E6" s="24" t="n">
        <v>115920.4463847608</v>
      </c>
      <c r="F6" s="24" t="n">
        <v>132149.3088786273</v>
      </c>
      <c r="G6" s="24" t="n">
        <v>146685.7328552763</v>
      </c>
      <c r="H6" s="24" t="n">
        <v>159887.4488122512</v>
      </c>
      <c r="I6" s="24" t="n">
        <v>172678.4447172313</v>
      </c>
    </row>
    <row r="7">
      <c r="A7" s="6" t="inlineStr">
        <is>
          <t>Electrical products and digital solutions</t>
        </is>
      </c>
      <c r="B7" s="24" t="n">
        <v>34297.601753</v>
      </c>
      <c r="C7" s="9">
        <f>B7/$B$8</f>
        <v/>
      </c>
      <c r="D7" s="21" t="n">
        <v>0.2217300370961013</v>
      </c>
      <c r="E7" s="24" t="n">
        <v>50857.09276164287</v>
      </c>
      <c r="F7" s="24" t="n">
        <v>58994.22760350573</v>
      </c>
      <c r="G7" s="24" t="n">
        <v>66663.47719196147</v>
      </c>
      <c r="H7" s="24" t="n">
        <v>73996.45968307724</v>
      </c>
      <c r="I7" s="24" t="n">
        <v>81396.10565138496</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26501.56783711195</v>
      </c>
      <c r="D11" s="24" t="n">
        <v>29065.83991023992</v>
      </c>
      <c r="E11" s="24" t="n">
        <v>31760.11689670217</v>
      </c>
      <c r="F11" s="24" t="n">
        <v>34589.89124643293</v>
      </c>
    </row>
    <row r="12">
      <c r="A12" s="6" t="inlineStr">
        <is>
          <t>Constructions and infrastructure</t>
        </is>
      </c>
      <c r="B12" s="24" t="n">
        <v>10417.88643704483</v>
      </c>
      <c r="C12" s="24" t="n">
        <v>11876.39053823111</v>
      </c>
      <c r="D12" s="24" t="n">
        <v>13182.79349743654</v>
      </c>
      <c r="E12" s="24" t="n">
        <v>14369.24491220583</v>
      </c>
      <c r="F12" s="24" t="n">
        <v>15518.7845051823</v>
      </c>
    </row>
    <row r="13">
      <c r="A13" s="6" t="inlineStr">
        <is>
          <t>Electrical products and digital solutions</t>
        </is>
      </c>
      <c r="B13" s="24" t="n">
        <v>12013.51330924804</v>
      </c>
      <c r="C13" s="24" t="n">
        <v>13935.67543872773</v>
      </c>
      <c r="D13" s="24" t="n">
        <v>15747.31324576233</v>
      </c>
      <c r="E13" s="24" t="n">
        <v>17479.51770279619</v>
      </c>
      <c r="F13" s="24" t="n">
        <v>19227.46947307581</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16.9%</t>
        </is>
      </c>
      <c r="B6" s="7" t="n">
        <v>43.96333700522357</v>
      </c>
      <c r="C6" s="7" t="n">
        <v>45.0558316371308</v>
      </c>
      <c r="D6" s="7" t="n">
        <v>46.27985550690241</v>
      </c>
      <c r="E6" s="7" t="n">
        <v>47.67154681268777</v>
      </c>
      <c r="F6" s="7" t="n">
        <v>49.28161729015513</v>
      </c>
    </row>
    <row r="7">
      <c r="A7" s="6" t="inlineStr">
        <is>
          <t>17.9%</t>
        </is>
      </c>
      <c r="B7" s="7" t="n">
        <v>40.22564474122171</v>
      </c>
      <c r="C7" s="7" t="n">
        <v>41.02484689888828</v>
      </c>
      <c r="D7" s="7" t="n">
        <v>41.90108672825765</v>
      </c>
      <c r="E7" s="7" t="n">
        <v>42.87375476913063</v>
      </c>
      <c r="F7" s="7" t="n">
        <v>43.96934506854262</v>
      </c>
    </row>
    <row r="8">
      <c r="A8" s="6" t="inlineStr">
        <is>
          <t>18.9%</t>
        </is>
      </c>
      <c r="B8" s="7" t="n">
        <v>36.96711651706934</v>
      </c>
      <c r="C8" s="7" t="n">
        <v>37.54306015126826</v>
      </c>
      <c r="D8" s="7" t="n">
        <v>38.15941321679352</v>
      </c>
      <c r="E8" s="7" t="n">
        <v>38.82555954079371</v>
      </c>
      <c r="F8" s="7" t="n">
        <v>39.55403218844242</v>
      </c>
    </row>
    <row r="9">
      <c r="A9" s="6" t="inlineStr">
        <is>
          <t>19.9%</t>
        </is>
      </c>
      <c r="B9" s="7" t="n">
        <v>34.10243663491075</v>
      </c>
      <c r="C9" s="7" t="n">
        <v>34.50664404257189</v>
      </c>
      <c r="D9" s="7" t="n">
        <v>34.92642321660981</v>
      </c>
      <c r="E9" s="7" t="n">
        <v>35.36513041744239</v>
      </c>
      <c r="F9" s="7" t="n">
        <v>35.827161087566</v>
      </c>
    </row>
    <row r="10">
      <c r="A10" s="6" t="inlineStr">
        <is>
          <t>20.9%</t>
        </is>
      </c>
      <c r="B10" s="7" t="n">
        <v>31.56534888301272</v>
      </c>
      <c r="C10" s="7" t="n">
        <v>31.83633198870487</v>
      </c>
      <c r="D10" s="7" t="n">
        <v>32.10598407349156</v>
      </c>
      <c r="E10" s="7" t="n">
        <v>32.37403748526719</v>
      </c>
      <c r="F10" s="7" t="n">
        <v>32.64014765406989</v>
      </c>
    </row>
    <row r="12">
      <c r="A12" s="15" t="inlineStr">
        <is>
          <t>Explicit-window cost of capital (columns) x terminal cost of capital (rows)</t>
        </is>
      </c>
    </row>
    <row r="13">
      <c r="A13" s="5" t="inlineStr"/>
      <c r="B13" s="5" t="inlineStr">
        <is>
          <t>25.8%</t>
        </is>
      </c>
      <c r="C13" s="5" t="inlineStr">
        <is>
          <t>27.3%</t>
        </is>
      </c>
      <c r="D13" s="5" t="inlineStr">
        <is>
          <t>28.8%</t>
        </is>
      </c>
      <c r="E13" s="5" t="inlineStr">
        <is>
          <t>30.3%</t>
        </is>
      </c>
      <c r="F13" s="5" t="inlineStr">
        <is>
          <t>31.8%</t>
        </is>
      </c>
    </row>
    <row r="14">
      <c r="A14" s="6" t="inlineStr">
        <is>
          <t>terminal 16.9%</t>
        </is>
      </c>
      <c r="B14" s="7" t="n">
        <v>52.38644918803324</v>
      </c>
      <c r="C14" s="7" t="n">
        <v>50.80671789004094</v>
      </c>
      <c r="D14" s="7" t="n">
        <v>49.28161729015513</v>
      </c>
      <c r="E14" s="7" t="n">
        <v>47.80878039704058</v>
      </c>
      <c r="F14" s="7" t="n">
        <v>46.38596407928949</v>
      </c>
    </row>
    <row r="15">
      <c r="A15" s="6" t="inlineStr">
        <is>
          <t>terminal 17.9%</t>
        </is>
      </c>
      <c r="B15" s="7" t="n">
        <v>46.77570409711145</v>
      </c>
      <c r="C15" s="7" t="n">
        <v>45.34789609145733</v>
      </c>
      <c r="D15" s="7" t="n">
        <v>43.96934506854262</v>
      </c>
      <c r="E15" s="7" t="n">
        <v>42.63792066693704</v>
      </c>
      <c r="F15" s="7" t="n">
        <v>41.3516038526244</v>
      </c>
    </row>
    <row r="16">
      <c r="A16" s="6" t="inlineStr">
        <is>
          <t>terminal 18.9%</t>
        </is>
      </c>
      <c r="B16" s="7" t="n">
        <v>42.1124535799006</v>
      </c>
      <c r="C16" s="7" t="n">
        <v>40.81084521331</v>
      </c>
      <c r="D16" s="7" t="n">
        <v>39.55403218844242</v>
      </c>
      <c r="E16" s="7" t="n">
        <v>38.34008052530756</v>
      </c>
      <c r="F16" s="7" t="n">
        <v>37.16715717439558</v>
      </c>
    </row>
    <row r="17">
      <c r="A17" s="6" t="inlineStr">
        <is>
          <t>terminal 19.9%</t>
        </is>
      </c>
      <c r="B17" s="7" t="n">
        <v>38.17642784274512</v>
      </c>
      <c r="C17" s="7" t="n">
        <v>36.98127766893269</v>
      </c>
      <c r="D17" s="7" t="n">
        <v>35.827161087566</v>
      </c>
      <c r="E17" s="7" t="n">
        <v>34.7123096180295</v>
      </c>
      <c r="F17" s="7" t="n">
        <v>33.63504695170267</v>
      </c>
    </row>
    <row r="18">
      <c r="A18" s="6" t="inlineStr">
        <is>
          <t>terminal 20.9%</t>
        </is>
      </c>
      <c r="B18" s="7" t="n">
        <v>34.81066863025118</v>
      </c>
      <c r="C18" s="7" t="n">
        <v>33.70649786917543</v>
      </c>
      <c r="D18" s="7" t="n">
        <v>32.64014765406989</v>
      </c>
      <c r="E18" s="7" t="n">
        <v>31.60999079543156</v>
      </c>
      <c r="F18" s="7" t="n">
        <v>30.61448480150225</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68.58093069001347</v>
      </c>
      <c r="C22" s="7" t="n">
        <v>56.6637681487086</v>
      </c>
      <c r="D22" s="7" t="n">
        <v>41.99307509150762</v>
      </c>
      <c r="E22" s="7" t="n">
        <v>39.55111128728122</v>
      </c>
      <c r="F22" s="7" t="n">
        <v>37.29653671446263</v>
      </c>
      <c r="H22" s="16">
        <f>MAX(B22:F22)-MIN(B22:F22)</f>
        <v/>
      </c>
    </row>
    <row r="23">
      <c r="A23" s="6" t="inlineStr">
        <is>
          <t>Exchange-rate path multiplier  (0.90x / 1.00x / 1.20x / 1.45x / 1.70x)</t>
        </is>
      </c>
      <c r="B23" s="7" t="n">
        <v>39.55403218844242</v>
      </c>
      <c r="C23" s="7" t="n">
        <v>39.55403218844242</v>
      </c>
      <c r="D23" s="7" t="n">
        <v>39.55403218844242</v>
      </c>
      <c r="E23" s="7" t="n">
        <v>39.55403218844242</v>
      </c>
      <c r="F23" s="7" t="n">
        <v>39.55403218844242</v>
      </c>
      <c r="H23" s="16">
        <f>MAX(B23:F23)-MIN(B23:F23)</f>
        <v/>
      </c>
    </row>
    <row r="24">
      <c r="A24" s="6" t="inlineStr">
        <is>
          <t>Segment margins, multiplicative  (0.850x / 0.925x / 1.000x / 1.075x / 1.150x)</t>
        </is>
      </c>
      <c r="B24" s="7" t="n">
        <v>21.1572259310297</v>
      </c>
      <c r="C24" s="7" t="n">
        <v>30.35562905973608</v>
      </c>
      <c r="D24" s="7" t="n">
        <v>39.55403218844242</v>
      </c>
      <c r="E24" s="7" t="n">
        <v>48.75243531714879</v>
      </c>
      <c r="F24" s="7" t="n">
        <v>57.95083844585515</v>
      </c>
      <c r="H24" s="16">
        <f>MAX(B24:F24)-MIN(B24:F24)</f>
        <v/>
      </c>
    </row>
    <row r="25">
      <c r="A25" s="6" t="inlineStr">
        <is>
          <t>Copper price multiplier  (0.850x / 0.925x / 1.000x / 1.075x / 1.150x)</t>
        </is>
      </c>
      <c r="B25" s="7" t="n">
        <v>39.55403218844242</v>
      </c>
      <c r="C25" s="7" t="n">
        <v>39.55403218844242</v>
      </c>
      <c r="D25" s="7" t="n">
        <v>39.55403218844242</v>
      </c>
      <c r="E25" s="7" t="n">
        <v>39.55403218844242</v>
      </c>
      <c r="F25" s="7" t="n">
        <v>39.55403218844242</v>
      </c>
      <c r="H25" s="16">
        <f>MAX(B25:F25)-MIN(B25:F25)</f>
        <v/>
      </c>
    </row>
    <row r="26">
      <c r="A26" s="6" t="inlineStr">
        <is>
          <t>Working capital / revenue  (17.0% / 18.5% / 19.9% / 21.5% / 23.0%)</t>
        </is>
      </c>
      <c r="B26" s="7" t="n">
        <v>45.9728342669975</v>
      </c>
      <c r="C26" s="7" t="n">
        <v>42.65276422636556</v>
      </c>
      <c r="D26" s="7" t="n">
        <v>39.55403218844242</v>
      </c>
      <c r="E26" s="7" t="n">
        <v>36.0126241451017</v>
      </c>
      <c r="F26" s="7" t="n">
        <v>32.69255410446976</v>
      </c>
      <c r="H26" s="16">
        <f>MAX(B26:F26)-MIN(B26:F26)</f>
        <v/>
      </c>
    </row>
    <row r="27">
      <c r="A27" s="6" t="inlineStr">
        <is>
          <t>Terminal return on invested capital  (15.0% / 18.0% / 20.8% / 26.0% / 30.0%)</t>
        </is>
      </c>
      <c r="B27" s="7" t="n">
        <v>37.12797586843043</v>
      </c>
      <c r="C27" s="7" t="n">
        <v>42.01052838980433</v>
      </c>
      <c r="D27" s="7" t="n">
        <v>45.33107618169043</v>
      </c>
      <c r="E27" s="7" t="n">
        <v>49.52214765345646</v>
      </c>
      <c r="F27" s="7" t="n">
        <v>51.77563343255211</v>
      </c>
      <c r="H27" s="16">
        <f>MAX(B27:F27)-MIN(B27:F27)</f>
        <v/>
      </c>
    </row>
    <row r="28">
      <c r="A28" s="6" t="inlineStr">
        <is>
          <t>Terminal growth (at base cost of capital)  (3% / 4% / 5% / 6% / 7%)</t>
        </is>
      </c>
      <c r="B28" s="7" t="n">
        <v>36.96711651706934</v>
      </c>
      <c r="C28" s="7" t="n">
        <v>37.54306015126826</v>
      </c>
      <c r="D28" s="7" t="n">
        <v>38.15941321679352</v>
      </c>
      <c r="E28" s="7" t="n">
        <v>38.82555954079371</v>
      </c>
      <c r="F28" s="7" t="n">
        <v>39.55403218844242</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7.0%,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2026-09-09T22:28:42Z</dcterms:created>
  <dcterms:modified xmlns:dcterms="http://purl.org/dc/terms/" xmlns:xsi="http://www.w3.org/2001/XMLSchema-instance" xsi:type="dcterms:W3CDTF">2026-09-09T22:28:42Z</dcterms:modified>
</cp:coreProperties>
</file>