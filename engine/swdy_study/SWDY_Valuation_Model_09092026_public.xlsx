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17.2%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16.18162005664932</v>
      </c>
      <c r="C5" s="8">
        <f>DCF!C62</f>
        <v/>
      </c>
      <c r="D5" s="7" t="n">
        <v>83.79876343050132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16.18162005664932</v>
      </c>
    </row>
    <row r="7">
      <c r="A7" s="6" t="inlineStr">
        <is>
          <t xml:space="preserve">  bull</t>
        </is>
      </c>
      <c r="B7" s="6" t="inlineStr">
        <is>
          <t>margin +1.5pp, stronger currency path, −2pp cost of capital, g 6%</t>
        </is>
      </c>
      <c r="C7" s="7" t="n">
        <v>83.79876343050132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0.5254856747391311</v>
      </c>
    </row>
    <row r="16">
      <c r="A16" s="6" t="inlineStr">
        <is>
          <t>Cost of capital applied in the primary model (explicit → terminal)</t>
        </is>
      </c>
      <c r="C16" s="22" t="inlineStr">
        <is>
          <t>28.8% → 17.2%</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57.86095793273499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153.052652198775</v>
      </c>
      <c r="D23" s="7" t="n">
        <v>112.2887963569921</v>
      </c>
      <c r="E23" s="7" t="n">
        <v>193.8165080405579</v>
      </c>
    </row>
    <row r="24">
      <c r="A24" s="6" t="inlineStr">
        <is>
          <t>Expert 2</t>
        </is>
      </c>
      <c r="B24" s="6" t="inlineStr">
        <is>
          <t>owner cash earnings</t>
        </is>
      </c>
      <c r="C24" s="7" t="n">
        <v>65.48394099946414</v>
      </c>
      <c r="D24" s="7" t="n">
        <v>34.12367903228015</v>
      </c>
      <c r="E24" s="7" t="n">
        <v>59.75270243066323</v>
      </c>
    </row>
    <row r="25">
      <c r="A25" s="6" t="inlineStr">
        <is>
          <t>Expert 3</t>
        </is>
      </c>
      <c r="B25" s="6" t="inlineStr">
        <is>
          <t>cash returns vs cost of capital</t>
        </is>
      </c>
      <c r="C25" s="7" t="n">
        <v>45.28950840983638</v>
      </c>
      <c r="D25" s="7" t="n">
        <v>42.22747080432825</v>
      </c>
      <c r="E25" s="7" t="n">
        <v>57.86095793273499</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49.5</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0.044</v>
      </c>
      <c r="C26" s="21" t="n">
        <v>0.04</v>
      </c>
      <c r="D26" s="21" t="n">
        <v>0.036</v>
      </c>
      <c r="E26" s="21" t="n">
        <v>0.033</v>
      </c>
      <c r="F26" s="21" t="n">
        <v>0.031</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110489.8413121987</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221541.3228857327</v>
      </c>
      <c r="F5" s="24" t="n">
        <v>252428.7347156312</v>
      </c>
      <c r="G5" s="24" t="n">
        <v>276853.5521024677</v>
      </c>
      <c r="H5" s="24" t="n">
        <v>302516.6726712704</v>
      </c>
      <c r="I5" s="24" t="n">
        <v>329470.412277309</v>
      </c>
    </row>
    <row r="6">
      <c r="A6" s="6" t="inlineStr">
        <is>
          <t>Constructions and infrastructure</t>
        </is>
      </c>
      <c r="B6" s="24" t="n">
        <v>90958.55022799999</v>
      </c>
      <c r="C6" s="9">
        <f>B6/$B$8</f>
        <v/>
      </c>
      <c r="D6" s="21" t="n">
        <v>0.06452269254829619</v>
      </c>
      <c r="E6" s="24" t="n">
        <v>107331.08926904</v>
      </c>
      <c r="F6" s="24" t="n">
        <v>122357.4417667056</v>
      </c>
      <c r="G6" s="24" t="n">
        <v>135816.7603610432</v>
      </c>
      <c r="H6" s="24" t="n">
        <v>148040.2687935371</v>
      </c>
      <c r="I6" s="24" t="n">
        <v>159883.4902970201</v>
      </c>
    </row>
    <row r="7">
      <c r="A7" s="6" t="inlineStr">
        <is>
          <t>Electrical products and digital solutions</t>
        </is>
      </c>
      <c r="B7" s="24" t="n">
        <v>34297.601753</v>
      </c>
      <c r="C7" s="9">
        <f>B7/$B$8</f>
        <v/>
      </c>
      <c r="D7" s="21" t="n">
        <v>0.2217300370961013</v>
      </c>
      <c r="E7" s="24" t="n">
        <v>41157.1221036</v>
      </c>
      <c r="F7" s="24" t="n">
        <v>47742.261640176</v>
      </c>
      <c r="G7" s="24" t="n">
        <v>53948.75565339887</v>
      </c>
      <c r="H7" s="24" t="n">
        <v>59883.11877527275</v>
      </c>
      <c r="I7" s="24" t="n">
        <v>65871.43065280003</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25331.25640007756</v>
      </c>
      <c r="C11" s="24" t="n">
        <v>28862.95395611998</v>
      </c>
      <c r="D11" s="24" t="n">
        <v>31655.71200094826</v>
      </c>
      <c r="E11" s="24" t="n">
        <v>34590.05886990573</v>
      </c>
      <c r="F11" s="24" t="n">
        <v>37671.97641019979</v>
      </c>
    </row>
    <row r="12">
      <c r="A12" s="6" t="inlineStr">
        <is>
          <t>Constructions and infrastructure</t>
        </is>
      </c>
      <c r="B12" s="24" t="n">
        <v>9645.952323697893</v>
      </c>
      <c r="C12" s="24" t="n">
        <v>10996.3856490156</v>
      </c>
      <c r="D12" s="24" t="n">
        <v>12205.98807040732</v>
      </c>
      <c r="E12" s="24" t="n">
        <v>13304.52699674398</v>
      </c>
      <c r="F12" s="24" t="n">
        <v>14368.8891564835</v>
      </c>
    </row>
    <row r="13">
      <c r="A13" s="6" t="inlineStr">
        <is>
          <t>Electrical products and digital solutions</t>
        </is>
      </c>
      <c r="B13" s="24" t="n">
        <v>9722.176540434495</v>
      </c>
      <c r="C13" s="24" t="n">
        <v>11277.72478690401</v>
      </c>
      <c r="D13" s="24" t="n">
        <v>12743.82900920153</v>
      </c>
      <c r="E13" s="24" t="n">
        <v>14145.6502002137</v>
      </c>
      <c r="F13" s="24" t="n">
        <v>15560.21522023508</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15.2%</t>
        </is>
      </c>
      <c r="B6" s="7" t="n">
        <v>54.89390300698878</v>
      </c>
      <c r="C6" s="7" t="n">
        <v>56.76608049282878</v>
      </c>
      <c r="D6" s="7" t="n">
        <v>58.9328825766538</v>
      </c>
      <c r="E6" s="7" t="n">
        <v>61.49018601091854</v>
      </c>
      <c r="F6" s="7" t="n">
        <v>64.58052940682644</v>
      </c>
    </row>
    <row r="7">
      <c r="A7" s="6" t="inlineStr">
        <is>
          <t>16.2%</t>
        </is>
      </c>
      <c r="B7" s="7" t="n">
        <v>49.59394363429544</v>
      </c>
      <c r="C7" s="7" t="n">
        <v>50.95326657112403</v>
      </c>
      <c r="D7" s="7" t="n">
        <v>52.49104063008191</v>
      </c>
      <c r="E7" s="7" t="n">
        <v>54.25965459765457</v>
      </c>
      <c r="F7" s="7" t="n">
        <v>56.33422840926579</v>
      </c>
    </row>
    <row r="8">
      <c r="A8" s="6" t="inlineStr">
        <is>
          <t>17.2%</t>
        </is>
      </c>
      <c r="B8" s="7" t="n">
        <v>45.05103667309857</v>
      </c>
      <c r="C8" s="7" t="n">
        <v>46.03042217002906</v>
      </c>
      <c r="D8" s="7" t="n">
        <v>47.11281563256473</v>
      </c>
      <c r="E8" s="7" t="n">
        <v>48.32576211063959</v>
      </c>
      <c r="F8" s="7" t="n">
        <v>49.7075887045515</v>
      </c>
    </row>
    <row r="9">
      <c r="A9" s="6" t="inlineStr">
        <is>
          <t>18.2%</t>
        </is>
      </c>
      <c r="B9" s="7" t="n">
        <v>41.11553668357441</v>
      </c>
      <c r="C9" s="7" t="n">
        <v>41.8093978775642</v>
      </c>
      <c r="D9" s="7" t="n">
        <v>42.55648627630665</v>
      </c>
      <c r="E9" s="7" t="n">
        <v>43.36987034045674</v>
      </c>
      <c r="F9" s="7" t="n">
        <v>44.26727799429032</v>
      </c>
    </row>
    <row r="10">
      <c r="A10" s="6" t="inlineStr">
        <is>
          <t>19.2%</t>
        </is>
      </c>
      <c r="B10" s="7" t="n">
        <v>37.67472174247933</v>
      </c>
      <c r="C10" s="7" t="n">
        <v>38.15151148948571</v>
      </c>
      <c r="D10" s="7" t="n">
        <v>38.648345329237</v>
      </c>
      <c r="E10" s="7" t="n">
        <v>39.16977223986016</v>
      </c>
      <c r="F10" s="7" t="n">
        <v>39.72183036633324</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15.2%</t>
        </is>
      </c>
      <c r="B14" s="7" t="n">
        <v>68.64247049591957</v>
      </c>
      <c r="C14" s="7" t="n">
        <v>66.57546829677946</v>
      </c>
      <c r="D14" s="7" t="n">
        <v>64.58052940682644</v>
      </c>
      <c r="E14" s="7" t="n">
        <v>62.65451643723234</v>
      </c>
      <c r="F14" s="7" t="n">
        <v>60.79445670792633</v>
      </c>
    </row>
    <row r="15">
      <c r="A15" s="6" t="inlineStr">
        <is>
          <t>terminal 16.2%</t>
        </is>
      </c>
      <c r="B15" s="7" t="n">
        <v>59.93237666911776</v>
      </c>
      <c r="C15" s="7" t="n">
        <v>58.10144964510826</v>
      </c>
      <c r="D15" s="7" t="n">
        <v>56.33422840926579</v>
      </c>
      <c r="E15" s="7" t="n">
        <v>54.62794387184755</v>
      </c>
      <c r="F15" s="7" t="n">
        <v>52.9799721331991</v>
      </c>
    </row>
    <row r="16">
      <c r="A16" s="6" t="inlineStr">
        <is>
          <t>terminal 17.2%</t>
        </is>
      </c>
      <c r="B16" s="7" t="n">
        <v>52.93321441251824</v>
      </c>
      <c r="C16" s="7" t="n">
        <v>51.2919036374145</v>
      </c>
      <c r="D16" s="7" t="n">
        <v>49.7075887045515</v>
      </c>
      <c r="E16" s="7" t="n">
        <v>48.17779610598239</v>
      </c>
      <c r="F16" s="7" t="n">
        <v>46.70018186414503</v>
      </c>
    </row>
    <row r="17">
      <c r="A17" s="6" t="inlineStr">
        <is>
          <t>terminal 18.2%</t>
        </is>
      </c>
      <c r="B17" s="7" t="n">
        <v>47.18722756407969</v>
      </c>
      <c r="C17" s="7" t="n">
        <v>45.70150653374164</v>
      </c>
      <c r="D17" s="7" t="n">
        <v>44.26727799429032</v>
      </c>
      <c r="E17" s="7" t="n">
        <v>42.88231076920474</v>
      </c>
      <c r="F17" s="7" t="n">
        <v>41.54449037834811</v>
      </c>
    </row>
    <row r="18">
      <c r="A18" s="6" t="inlineStr">
        <is>
          <t>terminal 19.2%</t>
        </is>
      </c>
      <c r="B18" s="7" t="n">
        <v>42.38652255248041</v>
      </c>
      <c r="C18" s="7" t="n">
        <v>41.03072689368742</v>
      </c>
      <c r="D18" s="7" t="n">
        <v>39.72183036633324</v>
      </c>
      <c r="E18" s="7" t="n">
        <v>38.45780396819539</v>
      </c>
      <c r="F18" s="7" t="n">
        <v>37.23672469018629</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1.23 / 1.15 / 1.30)</t>
        </is>
      </c>
      <c r="B22" s="7" t="n">
        <v>94.46647146810956</v>
      </c>
      <c r="C22" s="7" t="n">
        <v>75.25828072607085</v>
      </c>
      <c r="D22" s="7" t="n">
        <v>49.70341773987482</v>
      </c>
      <c r="E22" s="7" t="n">
        <v>53.21252849781632</v>
      </c>
      <c r="F22" s="7" t="n">
        <v>46.50262521769896</v>
      </c>
      <c r="H22" s="16">
        <f>MAX(B22:F22)-MIN(B22:F22)</f>
        <v/>
      </c>
    </row>
    <row r="23">
      <c r="A23" s="6" t="inlineStr">
        <is>
          <t>Exchange-rate path multiplier  (0.90x / 1.00x / 1.20x / 1.45x / 1.70x)</t>
        </is>
      </c>
      <c r="B23" s="7" t="n">
        <v>42.07500523515485</v>
      </c>
      <c r="C23" s="7" t="n">
        <v>43.51076338157681</v>
      </c>
      <c r="D23" s="7" t="n">
        <v>46.38227967442072</v>
      </c>
      <c r="E23" s="7" t="n">
        <v>49.97167504047564</v>
      </c>
      <c r="F23" s="7" t="n">
        <v>53.56107040653055</v>
      </c>
      <c r="H23" s="16">
        <f>MAX(B23:F23)-MIN(B23:F23)</f>
        <v/>
      </c>
    </row>
    <row r="24">
      <c r="A24" s="6" t="inlineStr">
        <is>
          <t>Segment margins, multiplicative  (0.850x / 0.925x / 1.000x / 1.075x / 1.150x)</t>
        </is>
      </c>
      <c r="B24" s="7" t="n">
        <v>23.17689166022818</v>
      </c>
      <c r="C24" s="7" t="n">
        <v>33.3438275209025</v>
      </c>
      <c r="D24" s="7" t="n">
        <v>43.51076338157681</v>
      </c>
      <c r="E24" s="7" t="n">
        <v>53.67769924225113</v>
      </c>
      <c r="F24" s="7" t="n">
        <v>63.84463510292543</v>
      </c>
      <c r="H24" s="16">
        <f>MAX(B24:F24)-MIN(B24:F24)</f>
        <v/>
      </c>
    </row>
    <row r="25">
      <c r="A25" s="6" t="inlineStr">
        <is>
          <t>Copper price multiplier  (0.850x / 0.925x / 1.000x / 1.075x / 1.150x)</t>
        </is>
      </c>
      <c r="B25" s="7" t="n">
        <v>41.3571261619439</v>
      </c>
      <c r="C25" s="7" t="n">
        <v>42.43394477176034</v>
      </c>
      <c r="D25" s="7" t="n">
        <v>43.51076338157681</v>
      </c>
      <c r="E25" s="7" t="n">
        <v>44.58758199139326</v>
      </c>
      <c r="F25" s="7" t="n">
        <v>45.66440060120974</v>
      </c>
      <c r="H25" s="16">
        <f>MAX(B25:F25)-MIN(B25:F25)</f>
        <v/>
      </c>
    </row>
    <row r="26">
      <c r="A26" s="6" t="inlineStr">
        <is>
          <t>Working capital / revenue  (17.0% / 18.5% / 19.9% / 21.5% / 23.0%)</t>
        </is>
      </c>
      <c r="B26" s="7" t="n">
        <v>50.27171997464177</v>
      </c>
      <c r="C26" s="7" t="n">
        <v>46.77467346098749</v>
      </c>
      <c r="D26" s="7" t="n">
        <v>43.51076338157681</v>
      </c>
      <c r="E26" s="7" t="n">
        <v>39.7805804336789</v>
      </c>
      <c r="F26" s="7" t="n">
        <v>36.28353392002459</v>
      </c>
      <c r="H26" s="16">
        <f>MAX(B26:F26)-MIN(B26:F26)</f>
        <v/>
      </c>
    </row>
    <row r="27">
      <c r="A27" s="6" t="inlineStr">
        <is>
          <t>Terminal return on invested capital  (15.0% / 18.0% / 20.1% / 26.0% / 30.0%)</t>
        </is>
      </c>
      <c r="B27" s="7" t="n">
        <v>40.98127111072365</v>
      </c>
      <c r="C27" s="7" t="n">
        <v>46.71205527626227</v>
      </c>
      <c r="D27" s="7" t="n">
        <v>49.7075887045515</v>
      </c>
      <c r="E27" s="7" t="n">
        <v>55.52864630016783</v>
      </c>
      <c r="F27" s="7" t="n">
        <v>58.17362360733951</v>
      </c>
      <c r="H27" s="16">
        <f>MAX(B27:F27)-MIN(B27:F27)</f>
        <v/>
      </c>
    </row>
    <row r="28">
      <c r="A28" s="6" t="inlineStr">
        <is>
          <t>Terminal growth (at base cost of capital)  (3% / 4% / 5% / 6% / 7%)</t>
        </is>
      </c>
      <c r="B28" s="7" t="n">
        <v>45.05103667309857</v>
      </c>
      <c r="C28" s="7" t="n">
        <v>46.03042217002906</v>
      </c>
      <c r="D28" s="7" t="n">
        <v>47.11281563256473</v>
      </c>
      <c r="E28" s="7" t="n">
        <v>48.32576211063959</v>
      </c>
      <c r="F28" s="7" t="n">
        <v>49.7075887045515</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2026-09-09T12:58:57Z</dcterms:created>
  <dcterms:modified xmlns:dcterms="http://purl.org/dc/terms/" xmlns:xsi="http://www.w3.org/2001/XMLSchema-instance" xsi:type="dcterms:W3CDTF">2026-09-09T12:58:57Z</dcterms:modified>
</cp:coreProperties>
</file>