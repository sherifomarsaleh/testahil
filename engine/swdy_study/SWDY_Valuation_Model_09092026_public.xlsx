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7">
    <numFmt numFmtId="164" formatCode="0.00;(0.00);&quot;-&quot;"/>
    <numFmt numFmtId="165" formatCode="0.0%;(0.0%);&quot;-&quot;"/>
    <numFmt numFmtId="166" formatCode="#,##0;(#,##0);&quot;-&quot;"/>
    <numFmt numFmtId="167" formatCode="#,##0.0;(#,##0.0);&quot;-&quot;"/>
    <numFmt numFmtId="168" formatCode="0.000"/>
    <numFmt numFmtId="169" formatCode="0.0000"/>
    <numFmt numFmtId="170" formatCode="0.00x"/>
  </numFmts>
  <fonts count="11">
    <font>
      <name val="Calibri"/>
      <family val="2"/>
      <color theme="1"/>
      <sz val="11"/>
      <scheme val="minor"/>
    </font>
    <font>
      <b val="1"/>
      <color rgb="00F6F1E6"/>
      <sz val="13"/>
    </font>
    <font>
      <sz val="10"/>
    </font>
    <font>
      <color rgb="006E7B77"/>
      <sz val="9"/>
    </font>
    <font>
      <b val="1"/>
    </font>
    <font>
      <color rgb="00000000"/>
    </font>
    <font>
      <color rgb="000000FF"/>
    </font>
    <font>
      <color rgb="00008000"/>
    </font>
    <font>
      <b val="1"/>
      <color rgb="00000000"/>
    </font>
    <font>
      <b val="1"/>
      <color rgb="000000FF"/>
    </font>
    <font>
      <b val="1"/>
      <color rgb="00008000"/>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1">
    <border>
      <left/>
      <right/>
      <top/>
      <bottom/>
      <diagonal/>
    </border>
  </borders>
  <cellStyleXfs count="1">
    <xf numFmtId="0" fontId="0" fillId="0" borderId="0"/>
  </cellStyleXfs>
  <cellXfs count="43">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3" borderId="0" pivotButton="0" quotePrefix="0" xfId="0"/>
    <xf numFmtId="0" fontId="5" fillId="0" borderId="0" pivotButton="0" quotePrefix="0" xfId="0"/>
    <xf numFmtId="164" fontId="6" fillId="0" borderId="0" pivotButton="0" quotePrefix="0" xfId="0"/>
    <xf numFmtId="164" fontId="7" fillId="0" borderId="0" pivotButton="0" quotePrefix="0" xfId="0"/>
    <xf numFmtId="165" fontId="5" fillId="0" borderId="0" pivotButton="0" quotePrefix="0" xfId="0"/>
    <xf numFmtId="0" fontId="8" fillId="4" borderId="0" pivotButton="0" quotePrefix="0" xfId="0"/>
    <xf numFmtId="164" fontId="8" fillId="4" borderId="0" pivotButton="0" quotePrefix="0" xfId="0"/>
    <xf numFmtId="0" fontId="5" fillId="4" borderId="0" pivotButton="0" quotePrefix="0" xfId="0"/>
    <xf numFmtId="0" fontId="4" fillId="4" borderId="0" pivotButton="0" quotePrefix="0" xfId="0"/>
    <xf numFmtId="165" fontId="8" fillId="4" borderId="0" pivotButton="0" quotePrefix="0" xfId="0"/>
    <xf numFmtId="0" fontId="8" fillId="0" borderId="0" pivotButton="0" quotePrefix="0" xfId="0"/>
    <xf numFmtId="164" fontId="5" fillId="0" borderId="0" pivotButton="0" quotePrefix="0" xfId="0"/>
    <xf numFmtId="165" fontId="7" fillId="0" borderId="0" pivotButton="0" quotePrefix="0" xfId="0"/>
    <xf numFmtId="164" fontId="9" fillId="4" borderId="0" pivotButton="0" quotePrefix="0" xfId="0"/>
    <xf numFmtId="166" fontId="7" fillId="0" borderId="0" pivotButton="0" quotePrefix="0" xfId="0"/>
    <xf numFmtId="164" fontId="10" fillId="4" borderId="0" pivotButton="0" quotePrefix="0" xfId="0"/>
    <xf numFmtId="165" fontId="6" fillId="0" borderId="0" pivotButton="0" quotePrefix="0" xfId="0"/>
    <xf numFmtId="0" fontId="6" fillId="0" borderId="0" pivotButton="0" quotePrefix="0" xfId="0"/>
    <xf numFmtId="10" fontId="7" fillId="0" borderId="0" pivotButton="0" quotePrefix="0" xfId="0"/>
    <xf numFmtId="166" fontId="6" fillId="0" borderId="0" pivotButton="0" quotePrefix="0" xfId="0"/>
    <xf numFmtId="167" fontId="6" fillId="0" borderId="0" pivotButton="0" quotePrefix="0" xfId="0"/>
    <xf numFmtId="168" fontId="6" fillId="0" borderId="0" pivotButton="0" quotePrefix="0" xfId="0"/>
    <xf numFmtId="169" fontId="6" fillId="0" borderId="0" pivotButton="0" quotePrefix="0" xfId="0"/>
    <xf numFmtId="170" fontId="6" fillId="0" borderId="0" pivotButton="0" quotePrefix="0" xfId="0"/>
    <xf numFmtId="166" fontId="8" fillId="0" borderId="0" pivotButton="0" quotePrefix="0" xfId="0"/>
    <xf numFmtId="164" fontId="8" fillId="0" borderId="0" pivotButton="0" quotePrefix="0" xfId="0"/>
    <xf numFmtId="166" fontId="5" fillId="0" borderId="0" pivotButton="0" quotePrefix="0" xfId="0"/>
    <xf numFmtId="166" fontId="4" fillId="4" borderId="0" pivotButton="0" quotePrefix="0" xfId="0"/>
    <xf numFmtId="164" fontId="4" fillId="4" borderId="0" pivotButton="0" quotePrefix="0" xfId="0"/>
    <xf numFmtId="166" fontId="8" fillId="4" borderId="0" pivotButton="0" quotePrefix="0" xfId="0"/>
    <xf numFmtId="170" fontId="7" fillId="0" borderId="0" pivotButton="0" quotePrefix="0" xfId="0"/>
    <xf numFmtId="169" fontId="7" fillId="0" borderId="0" pivotButton="0" quotePrefix="0" xfId="0"/>
    <xf numFmtId="170" fontId="5" fillId="0" borderId="0" pivotButton="0" quotePrefix="0" xfId="0"/>
    <xf numFmtId="10" fontId="5" fillId="0" borderId="0" pivotButton="0" quotePrefix="0" xfId="0"/>
    <xf numFmtId="169" fontId="5" fillId="0" borderId="0" pivotButton="0" quotePrefix="0" xfId="0"/>
    <xf numFmtId="168" fontId="7" fillId="0" borderId="0" pivotButton="0" quotePrefix="0" xfId="0"/>
    <xf numFmtId="10" fontId="4" fillId="4"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11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Elsewedy Electric Company S.A.E. (EGX: SWDY)</t>
        </is>
      </c>
      <c r="B1" s="2" t="n"/>
      <c r="C1" s="2" t="n"/>
      <c r="D1" s="2" t="n"/>
      <c r="E1" s="2" t="n"/>
      <c r="F1" s="2" t="n"/>
      <c r="G1" s="2" t="n"/>
      <c r="H1" s="2" t="n"/>
      <c r="I1" s="2" t="n"/>
    </row>
    <row r="3">
      <c r="A3" s="3" t="inlineStr">
        <is>
          <t>Companion model · Independent Valuation Study · Educational analysis · Not investment advice</t>
        </is>
      </c>
    </row>
    <row r="4">
      <c r="A4" s="3" t="inlineStr"/>
    </row>
    <row r="5">
      <c r="A5" s="3" t="inlineStr">
        <is>
          <t>What this workbook is. A transparent companion to the SWDY valuation study. Every blue cell is an input;</t>
        </is>
      </c>
    </row>
    <row r="6">
      <c r="A6" s="3" t="inlineStr">
        <is>
          <t>every black cell is a formula; green cells link across sheets.</t>
        </is>
      </c>
    </row>
    <row r="7">
      <c r="A7" s="3" t="inlineStr"/>
    </row>
    <row r="8">
      <c r="A8" s="3" t="inlineStr">
        <is>
          <t>IT IS FORMULA-DRIVEN. Every figure that can be derived arithmetically from a driver is a live formula, so</t>
        </is>
      </c>
    </row>
    <row r="9">
      <c r="A9" s="3" t="inlineStr">
        <is>
          <t>you can change a blue cell on Assumptions and watch the model reprice: the cost of capital is built from</t>
        </is>
      </c>
    </row>
    <row r="10">
      <c r="A10" s="3" t="inlineStr">
        <is>
          <t>the risk-free rate, beta and the premium rather than pasted; the discount factors compound from the glide;</t>
        </is>
      </c>
    </row>
    <row r="11">
      <c r="A11" s="3" t="inlineStr">
        <is>
          <t>and the income statement, balance sheet, cash flow, ratios and all four lenses chain off the same cells.</t>
        </is>
      </c>
    </row>
    <row r="12">
      <c r="A12" s="3" t="inlineStr"/>
    </row>
    <row r="13">
      <c r="A13" s="3" t="inlineStr">
        <is>
          <t>THREE THINGS ARE PASTED VALUES, and it is worth knowing exactly which. First, audited and disclosed history</t>
        </is>
      </c>
    </row>
    <row r="14">
      <c r="A14" s="3" t="inlineStr">
        <is>
          <t>— the primary record, not a calculation. Second, the segment build: revenue and profit for the three</t>
        </is>
      </c>
    </row>
    <row r="15">
      <c r="A15" s="3" t="inlineStr">
        <is>
          <t>segments the company itself discloses (Cables and its accessories, Constructions and infrastructure,</t>
        </is>
      </c>
    </row>
    <row r="16">
      <c r="A16" s="3" t="inlineStr">
        <is>
          <t>Electrical products and digital solutions) are pasted for FY2025 and grown on their own drivers; only its</t>
        </is>
      </c>
    </row>
    <row r="17">
      <c r="A17" s="3" t="inlineStr">
        <is>
          <t>OUTPUT is carried here and everything downstream of it is formula. Third, whole-model engine outputs, where</t>
        </is>
      </c>
    </row>
    <row r="18">
      <c r="A18" s="3" t="inlineStr">
        <is>
          <t>each figure is a complete re-run of the entire valuation and so cannot be a single formula: the Monte Carlo</t>
        </is>
      </c>
    </row>
    <row r="19">
      <c r="A19" s="3" t="inlineStr">
        <is>
          <t>price map, the sensitivity grids, the DCF scenario bear/bull bounds, the multi-leg currency-of-discounting</t>
        </is>
      </c>
    </row>
    <row r="20">
      <c r="A20" s="3" t="inlineStr">
        <is>
          <t>alternative (its USD cost of capital IS a live formula; the leg-by-leg USD discounting is the engine's),</t>
        </is>
      </c>
    </row>
    <row r="21">
      <c r="A21" s="3" t="inlineStr">
        <is>
          <t>and the expert-panel legs. Everything else — including every lens base value, the relative/normalised/book</t>
        </is>
      </c>
    </row>
    <row r="22">
      <c r="A22" s="3" t="inlineStr">
        <is>
          <t>bear and bull bounds, and the anchor-date roll — is a live formula. Changing a driver reprices the model</t>
        </is>
      </c>
    </row>
    <row r="23">
      <c r="A23" s="3" t="inlineStr">
        <is>
          <t>but does NOT redraw the engine outputs.</t>
        </is>
      </c>
    </row>
    <row r="24">
      <c r="A24" s="3" t="inlineStr"/>
    </row>
    <row r="25">
      <c r="A25" s="3" t="inlineStr">
        <is>
          <t>How revenue is built. Not as one growth rate. Each of the three disclosed segments is grown on its own</t>
        </is>
      </c>
    </row>
    <row r="26">
      <c r="A26" s="3" t="inlineStr">
        <is>
          <t>driver — Cables on copper-price growth times FX-translation growth times a modest real-volume assumption,</t>
        </is>
      </c>
    </row>
    <row r="27">
      <c r="A27" s="3" t="inlineStr">
        <is>
          <t>Constructions and Electrical products on a taper of their own recent revenue CAGR — because none of the</t>
        </is>
      </c>
    </row>
    <row r="28">
      <c r="A28" s="3" t="inlineStr">
        <is>
          <t>audited filings discloses a tonnage, order-book or backlog figure to build a literal unit model from.</t>
        </is>
      </c>
    </row>
    <row r="29">
      <c r="A29" s="3" t="inlineStr">
        <is>
          <t>Margins come from the same segment build; group EBITDA margin is an OUTPUT of it, not an input.</t>
        </is>
      </c>
    </row>
    <row r="30">
      <c r="A30" s="3" t="inlineStr"/>
    </row>
    <row r="31">
      <c r="A31" s="3" t="inlineStr">
        <is>
          <t>What it is not. It is not investment advice, a recommendation, or a price target. Values are model outputs</t>
        </is>
      </c>
    </row>
    <row r="32">
      <c r="A32" s="3" t="inlineStr">
        <is>
          <t>shown as ranges.</t>
        </is>
      </c>
    </row>
    <row r="33">
      <c r="A33" s="3" t="inlineStr"/>
    </row>
    <row r="34">
      <c r="A34" s="3" t="inlineStr">
        <is>
          <t>Sourcing note, up front. FY2023, FY2024 and FY2025 all come from the company's own audited consolidated</t>
        </is>
      </c>
    </row>
    <row r="35">
      <c r="A35" s="3" t="inlineStr">
        <is>
          <t>financial statements — every income-statement, balance-sheet and segment line is the audited figure, not a</t>
        </is>
      </c>
    </row>
    <row r="36">
      <c r="A36" s="3" t="inlineStr">
        <is>
          <t>derivation or a triangulation. Segment revenue ties EXACTLY to consolidated revenue in every year (Note</t>
        </is>
      </c>
    </row>
    <row r="37">
      <c r="A37" s="3" t="inlineStr">
        <is>
          <t>5-3); segment profit reconciles to consolidated operating profit through an explicit, exactly-reconciling</t>
        </is>
      </c>
    </row>
    <row r="38">
      <c r="A38" s="3" t="inlineStr">
        <is>
          <t>corporate cost load (Note 16 less G&amp;A, net impairment, other expenses and other income). Every input is</t>
        </is>
      </c>
    </row>
    <row r="39">
      <c r="A39" s="3" t="inlineStr">
        <is>
          <t>annotated where it appears and listed with source and date in the companion bibliography document.</t>
        </is>
      </c>
    </row>
    <row r="40">
      <c r="A40" s="3" t="inlineStr"/>
    </row>
    <row r="41">
      <c r="A41" s="3" t="inlineStr">
        <is>
          <t>Discount convention. Each explicit year is discounted at its own forward cost of capital, gliding</t>
        </is>
      </c>
    </row>
    <row r="42">
      <c r="A42" s="3" t="inlineStr">
        <is>
          <t>28.8% -&gt; 17.2% on the same easing calendar as the interest forecast; the terminal value is</t>
        </is>
      </c>
    </row>
    <row r="43">
      <c r="A43" s="3" t="inlineStr">
        <is>
          <t>capitalised at the terminal rate and discounted at the year-5 cumulative factor. One date, one price of time.</t>
        </is>
      </c>
    </row>
    <row r="44">
      <c r="A44" s="3" t="inlineStr">
        <is>
          <t>The glide fractions are not a free parameter: they are the cost-of-debt path's own cumulative progress, and</t>
        </is>
      </c>
    </row>
    <row r="45">
      <c r="A45" s="3" t="inlineStr">
        <is>
          <t>the DCF sheet computes them in front of you.</t>
        </is>
      </c>
    </row>
    <row r="46">
      <c r="A46" s="3" t="inlineStr"/>
    </row>
    <row r="47">
      <c r="A47" s="3" t="inlineStr">
        <is>
          <t>The open question. This company earns just over half its revenue on a hard-currency-linked basis but</t>
        </is>
      </c>
    </row>
    <row r="48">
      <c r="A48" s="3" t="inlineStr">
        <is>
          <t>reports, lists and borrows in Egyptian pounds. The primary model charges the full Egyptian cost of capital.</t>
        </is>
      </c>
    </row>
    <row r="49">
      <c r="A49" s="3" t="inlineStr">
        <is>
          <t>The Fundamental Valuation sheet also shows what the same cash flows are worth if the hard-currency leg is</t>
        </is>
      </c>
    </row>
    <row r="50">
      <c r="A50" s="3" t="inlineStr">
        <is>
          <t>discounted at a hard-currency rate. Both are shown; they are not averaged.</t>
        </is>
      </c>
    </row>
    <row r="51">
      <c r="A51" s="3" t="inlineStr"/>
    </row>
    <row r="52">
      <c r="A52" s="3" t="inlineStr">
        <is>
          <t>Currency. EGP million unless stated. Spot EGP 130.00 (2026-09-03 close). Sheets: READ FIRST · Summary ·</t>
        </is>
      </c>
    </row>
    <row r="53">
      <c r="A53" s="3" t="inlineStr">
        <is>
          <t>Fundamental Valuation · Assumptions · SOTP Bridge · Segments · Relative &amp; Normalized · DCF · Income</t>
        </is>
      </c>
    </row>
    <row r="54">
      <c r="A54" s="3" t="inlineStr">
        <is>
          <t>Statement · Balance Sheet · Cash Flow · Summary Financials · Monte Carlo · Sensitivity · Per-Share &amp;</t>
        </is>
      </c>
    </row>
    <row r="55">
      <c r="A55" s="3" t="inlineStr">
        <is>
          <t>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Summary — valuation at a glance</t>
        </is>
      </c>
      <c r="B1" s="2" t="n"/>
      <c r="C1" s="2" t="n"/>
      <c r="D1" s="2" t="n"/>
      <c r="E1" s="2" t="n"/>
      <c r="F1" s="2" t="n"/>
      <c r="G1" s="2" t="n"/>
    </row>
    <row r="2">
      <c r="A2" s="4" t="inlineStr">
        <is>
          <t>All values link live to their source sheets</t>
        </is>
      </c>
    </row>
    <row r="4">
      <c r="A4" s="5" t="inlineStr">
        <is>
          <t>Lens</t>
        </is>
      </c>
      <c r="B4" s="5" t="inlineStr">
        <is>
          <t>Bear</t>
        </is>
      </c>
      <c r="C4" s="5" t="inlineStr">
        <is>
          <t>Base</t>
        </is>
      </c>
      <c r="D4" s="5" t="inlineStr">
        <is>
          <t>Bull</t>
        </is>
      </c>
      <c r="E4" s="5" t="inlineStr">
        <is>
          <t>Role</t>
        </is>
      </c>
      <c r="F4" s="5" t="inlineStr"/>
      <c r="G4" s="5" t="inlineStr">
        <is>
          <t>vs price</t>
        </is>
      </c>
    </row>
    <row r="5">
      <c r="A5" s="6" t="inlineStr">
        <is>
          <t>Discounted cash flow (the answer)</t>
        </is>
      </c>
      <c r="B5" s="7" t="n">
        <v>16.18162005664932</v>
      </c>
      <c r="C5" s="8">
        <f>DCF!C62</f>
        <v/>
      </c>
      <c r="D5" s="7" t="n">
        <v>83.79876343050132</v>
      </c>
      <c r="E5" s="6" t="inlineStr">
        <is>
          <t>THE CENTRAL — the class primary</t>
        </is>
      </c>
      <c r="G5" s="9">
        <f>C5/$C$16-1</f>
        <v/>
      </c>
    </row>
    <row r="6">
      <c r="A6" s="6" t="inlineStr">
        <is>
          <t>Relative multiples</t>
        </is>
      </c>
      <c r="B6" s="8">
        <f>'Relative &amp; Normalized'!C12</f>
        <v/>
      </c>
      <c r="C6" s="8">
        <f>'Relative &amp; Normalized'!C11</f>
        <v/>
      </c>
      <c r="D6" s="8">
        <f>'Relative &amp; Normalized'!D12</f>
        <v/>
      </c>
      <c r="E6" s="6" t="inlineStr">
        <is>
          <t>cross-check</t>
        </is>
      </c>
      <c r="G6" s="9">
        <f>C6/$C$16-1</f>
        <v/>
      </c>
    </row>
    <row r="7">
      <c r="A7" s="6" t="inlineStr">
        <is>
          <t>Normalised earnings power</t>
        </is>
      </c>
      <c r="B7" s="8">
        <f>'Relative &amp; Normalized'!E28</f>
        <v/>
      </c>
      <c r="C7" s="8">
        <f>'Relative &amp; Normalized'!C28</f>
        <v/>
      </c>
      <c r="D7" s="8">
        <f>'Relative &amp; Normalized'!F28</f>
        <v/>
      </c>
      <c r="E7" s="6" t="inlineStr">
        <is>
          <t>REMOVED — not a lens this class publishes</t>
        </is>
      </c>
      <c r="G7" s="9">
        <f>C7/$C$16-1</f>
        <v/>
      </c>
    </row>
    <row r="8">
      <c r="A8" s="6" t="inlineStr">
        <is>
          <t>Book value and sustainable return</t>
        </is>
      </c>
      <c r="B8" s="8">
        <f>'Relative &amp; Normalized'!E36</f>
        <v/>
      </c>
      <c r="C8" s="8">
        <f>'Relative &amp; Normalized'!C36</f>
        <v/>
      </c>
      <c r="D8" s="8">
        <f>'Relative &amp; Normalized'!F36</f>
        <v/>
      </c>
      <c r="E8" s="6" t="inlineStr">
        <is>
          <t>a disclosed floor, never weighted</t>
        </is>
      </c>
      <c r="G8" s="9">
        <f>C8/$C$16-1</f>
        <v/>
      </c>
    </row>
    <row r="9">
      <c r="A9" s="10" t="inlineStr">
        <is>
          <t>THE CENTRAL — the cash-flow lens, not an average</t>
        </is>
      </c>
      <c r="B9" s="11">
        <f>B5</f>
        <v/>
      </c>
      <c r="C9" s="11">
        <f>C5</f>
        <v/>
      </c>
      <c r="D9" s="11">
        <f>D5</f>
        <v/>
      </c>
      <c r="E9" s="12" t="inlineStr">
        <is>
          <t>the class primary</t>
        </is>
      </c>
      <c r="F9" s="13" t="n"/>
      <c r="G9" s="14">
        <f>C9/$C$16-1</f>
        <v/>
      </c>
    </row>
    <row r="10">
      <c r="A10" s="15" t="inlineStr">
        <is>
          <t>NOT AVERAGED — the retired 45/20/20/15 blend, published unused</t>
        </is>
      </c>
      <c r="C10" s="16">
        <f>C5*0.45+C6*0.2+C7*0.2+C8*0.15</f>
        <v/>
      </c>
      <c r="E10" s="6" t="inlineStr">
        <is>
          <t>retired 04-Sep-2026</t>
        </is>
      </c>
      <c r="G10" s="9">
        <f>C10/$C$16-1</f>
        <v/>
      </c>
    </row>
    <row r="11">
      <c r="A11" s="6" t="inlineStr">
        <is>
          <t>Span across the lenses (min/max) — a spread between METHODS, not a range around the answer</t>
        </is>
      </c>
      <c r="B11" s="16">
        <f>MIN(B5:B8)</f>
        <v/>
      </c>
      <c r="D11" s="16">
        <f>MAX(D5:D8)</f>
        <v/>
      </c>
    </row>
    <row r="13">
      <c r="A13" s="6" t="inlineStr">
        <is>
          <t>Alternative reading — currency of discounting</t>
        </is>
      </c>
      <c r="C13" s="8">
        <f>'Fundamental Valuation'!C18</f>
        <v/>
      </c>
      <c r="G13" s="9">
        <f>C13/$C$16-1</f>
        <v/>
      </c>
    </row>
    <row r="14">
      <c r="A14" s="6" t="inlineStr">
        <is>
          <t>Terminal value share of DCF enterprise value</t>
        </is>
      </c>
      <c r="C14" s="17">
        <f>DCF!C28</f>
        <v/>
      </c>
    </row>
    <row r="15">
      <c r="A15" s="6" t="inlineStr">
        <is>
          <t>Expert panel median</t>
        </is>
      </c>
      <c r="C15" s="8">
        <f>'Fundamental Valuation'!C26</f>
        <v/>
      </c>
      <c r="G15" s="9">
        <f>C15/$C$16-1</f>
        <v/>
      </c>
    </row>
    <row r="16">
      <c r="A16" s="10" t="inlineStr">
        <is>
          <t>Market price (anchor)</t>
        </is>
      </c>
      <c r="B16" s="13" t="n"/>
      <c r="C16" s="18" t="n">
        <v>130</v>
      </c>
      <c r="D16" s="13" t="n"/>
      <c r="E16" s="13" t="n"/>
      <c r="F16" s="13" t="n"/>
      <c r="G16" s="13" t="n"/>
    </row>
    <row r="18">
      <c r="A18" s="5" t="inlineStr">
        <is>
          <t>Key figure</t>
        </is>
      </c>
      <c r="B18" s="5" t="inlineStr">
        <is>
          <t>Value</t>
        </is>
      </c>
    </row>
    <row r="19">
      <c r="A19" s="6" t="inlineStr">
        <is>
          <t>Shares outstanding (mn)</t>
        </is>
      </c>
      <c r="C19" s="19">
        <f>Assumptions!$C$6</f>
        <v/>
      </c>
    </row>
    <row r="20">
      <c r="A20" s="6" t="inlineStr">
        <is>
          <t>Market capitalisation (EGP mn)</t>
        </is>
      </c>
      <c r="C20" s="19">
        <f>$C$16*C19</f>
        <v/>
      </c>
    </row>
    <row r="21">
      <c r="A21" s="6" t="inlineStr">
        <is>
          <t>Net bank debt, FY2025 (EGP mn)</t>
        </is>
      </c>
      <c r="C21" s="19">
        <f>'Balance Sheet'!D17</f>
        <v/>
      </c>
    </row>
    <row r="22">
      <c r="A22" s="6" t="inlineStr">
        <is>
          <t>FY2025 revenue (EGP mn)</t>
        </is>
      </c>
      <c r="C22" s="19">
        <f>'Income Statement'!D5</f>
        <v/>
      </c>
    </row>
    <row r="23">
      <c r="A23" s="6" t="inlineStr">
        <is>
          <t>FY2025 EBITDA (EGP mn)</t>
        </is>
      </c>
      <c r="C23" s="19">
        <f>'Income Statement'!D7</f>
        <v/>
      </c>
    </row>
    <row r="24">
      <c r="A24" s="6" t="inlineStr">
        <is>
          <t>FY2025 attributable profit (EGP mn)</t>
        </is>
      </c>
      <c r="C24" s="19">
        <f>'Income Statement'!D17</f>
        <v/>
      </c>
    </row>
    <row r="25">
      <c r="A25" s="6" t="inlineStr">
        <is>
          <t>Cost of capital — explicit window</t>
        </is>
      </c>
      <c r="C25" s="17">
        <f>DCF!C46</f>
        <v/>
      </c>
    </row>
    <row r="26">
      <c r="A26" s="6" t="inlineStr">
        <is>
          <t>Cost of capital — terminal</t>
        </is>
      </c>
      <c r="C26" s="17">
        <f>DCF!C53</f>
        <v/>
      </c>
    </row>
    <row r="27">
      <c r="A27" s="6" t="inlineStr">
        <is>
          <t>Terminal growth</t>
        </is>
      </c>
      <c r="C27" s="17">
        <f>DCF!C23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Fundamental valuation — the four lenses and the alternative reading</t>
        </is>
      </c>
      <c r="B1" s="2" t="n"/>
      <c r="C1" s="2" t="n"/>
      <c r="D1" s="2" t="n"/>
      <c r="E1" s="2" t="n"/>
      <c r="F1" s="2" t="n"/>
    </row>
    <row r="4">
      <c r="A4" s="5" t="inlineStr">
        <is>
          <t>Lens / step</t>
        </is>
      </c>
      <c r="B4" s="5" t="inlineStr">
        <is>
          <t>Basis</t>
        </is>
      </c>
      <c r="C4" s="5" t="inlineStr">
        <is>
          <t>EGP per share</t>
        </is>
      </c>
    </row>
    <row r="5">
      <c r="A5" s="6" t="inlineStr">
        <is>
          <t>Discounted cash flow</t>
        </is>
      </c>
      <c r="B5" s="6" t="inlineStr">
        <is>
          <t>links to the DCF sheet</t>
        </is>
      </c>
      <c r="C5" s="8">
        <f>DCF!C62</f>
        <v/>
      </c>
    </row>
    <row r="6">
      <c r="A6" s="6" t="inlineStr">
        <is>
          <t xml:space="preserve">  bear</t>
        </is>
      </c>
      <c r="B6" s="6" t="inlineStr">
        <is>
          <t>margin −1.5pp, weaker currency path, +2pp cost of capital, g 3%</t>
        </is>
      </c>
      <c r="C6" s="7" t="n">
        <v>16.18162005664932</v>
      </c>
    </row>
    <row r="7">
      <c r="A7" s="6" t="inlineStr">
        <is>
          <t xml:space="preserve">  bull</t>
        </is>
      </c>
      <c r="B7" s="6" t="inlineStr">
        <is>
          <t>margin +1.5pp, stronger currency path, −2pp cost of capital, g 6%</t>
        </is>
      </c>
      <c r="C7" s="7" t="n">
        <v>83.79876343050132</v>
      </c>
    </row>
    <row r="8">
      <c r="A8" s="6" t="inlineStr">
        <is>
          <t>Relative multiples</t>
        </is>
      </c>
      <c r="B8" s="6" t="inlineStr">
        <is>
          <t>6.5x mid-cycle EV/EBITDA</t>
        </is>
      </c>
      <c r="C8" s="8">
        <f>'Relative &amp; Normalized'!C11</f>
        <v/>
      </c>
    </row>
    <row r="9">
      <c r="A9" s="6" t="inlineStr">
        <is>
          <t>Normalised earnings power</t>
        </is>
      </c>
      <c r="B9" s="6" t="inlineStr">
        <is>
          <t>9.0x normalised earnings per share</t>
        </is>
      </c>
      <c r="C9" s="8">
        <f>'Relative &amp; Normalized'!C28</f>
        <v/>
      </c>
    </row>
    <row r="10">
      <c r="A10" s="6" t="inlineStr">
        <is>
          <t>Book value and sustainable return</t>
        </is>
      </c>
      <c r="B10" s="6" t="inlineStr">
        <is>
          <t>justified price-to-book on sustainable return on equity</t>
        </is>
      </c>
      <c r="C10" s="8">
        <f>'Relative &amp; Normalized'!C36</f>
        <v/>
      </c>
    </row>
    <row r="12">
      <c r="A12" s="10" t="inlineStr">
        <is>
          <t>THE CENTRAL — the cash-flow lens itself, not an average of the four</t>
        </is>
      </c>
      <c r="B12" s="13" t="n"/>
      <c r="C12" s="20">
        <f>Summary!C9</f>
        <v/>
      </c>
    </row>
    <row r="14">
      <c r="A14" s="15" t="inlineStr">
        <is>
          <t>THE CURRENCY-OF-DISCOUNTING QUESTION</t>
        </is>
      </c>
    </row>
    <row r="15">
      <c r="A15" s="6" t="inlineStr">
        <is>
          <t>Share of forecast revenue earned in hard currency</t>
        </is>
      </c>
      <c r="C15" s="21" t="n">
        <v>0.5254856747391311</v>
      </c>
    </row>
    <row r="16">
      <c r="A16" s="6" t="inlineStr">
        <is>
          <t>Cost of capital applied in the primary model (explicit → terminal)</t>
        </is>
      </c>
      <c r="C16" s="22" t="inlineStr">
        <is>
          <t>28.8% → 17.2%</t>
        </is>
      </c>
    </row>
    <row r="17">
      <c r="A17" s="6" t="inlineStr">
        <is>
          <t>Hard-currency cost of capital for the foreign leg</t>
        </is>
      </c>
      <c r="C17" s="23">
        <f>(1-Assumptions!$C$65)*(Assumptions!$C$62+Assumptions!$C$33*Assumptions!$C$63)+Assumptions!$C$65*Assumptions!$C$64*(1-Assumptions!$C$7)</f>
        <v/>
      </c>
    </row>
    <row r="18">
      <c r="A18" s="6" t="inlineStr">
        <is>
          <t>Fair value if the foreign leg is discounted at the hard-currency rate</t>
        </is>
      </c>
      <c r="C18" s="7" t="n">
        <v>57.86095793273499</v>
      </c>
    </row>
    <row r="19">
      <c r="A19" s="6" t="inlineStr">
        <is>
          <t>Market price</t>
        </is>
      </c>
      <c r="C19" s="8">
        <f>Summary!C16</f>
        <v/>
      </c>
    </row>
    <row r="21">
      <c r="A21" s="15" t="inlineStr">
        <is>
          <t>EXPERT PANEL</t>
        </is>
      </c>
    </row>
    <row r="22">
      <c r="A22" s="5" t="inlineStr">
        <is>
          <t>Expert</t>
        </is>
      </c>
      <c r="B22" s="5" t="inlineStr">
        <is>
          <t>Method</t>
        </is>
      </c>
      <c r="C22" s="5" t="inlineStr">
        <is>
          <t>Base (EGP/share)</t>
        </is>
      </c>
      <c r="D22" s="5" t="inlineStr">
        <is>
          <t>Low</t>
        </is>
      </c>
      <c r="E22" s="5" t="inlineStr">
        <is>
          <t>High</t>
        </is>
      </c>
    </row>
    <row r="23">
      <c r="A23" s="6" t="inlineStr">
        <is>
          <t>Expert 1</t>
        </is>
      </c>
      <c r="B23" s="6" t="inlineStr">
        <is>
          <t>earnings power</t>
        </is>
      </c>
      <c r="C23" s="7" t="n">
        <v>153.052652198775</v>
      </c>
      <c r="D23" s="7" t="n">
        <v>112.2887963569921</v>
      </c>
      <c r="E23" s="7" t="n">
        <v>193.8165080405579</v>
      </c>
    </row>
    <row r="24">
      <c r="A24" s="6" t="inlineStr">
        <is>
          <t>Expert 2</t>
        </is>
      </c>
      <c r="B24" s="6" t="inlineStr">
        <is>
          <t>owner cash earnings</t>
        </is>
      </c>
      <c r="C24" s="7" t="n">
        <v>65.48394099946414</v>
      </c>
      <c r="D24" s="7" t="n">
        <v>34.12367903228015</v>
      </c>
      <c r="E24" s="7" t="n">
        <v>59.75270243066323</v>
      </c>
    </row>
    <row r="25">
      <c r="A25" s="6" t="inlineStr">
        <is>
          <t>Expert 3</t>
        </is>
      </c>
      <c r="B25" s="6" t="inlineStr">
        <is>
          <t>cash returns vs cost of capital</t>
        </is>
      </c>
      <c r="C25" s="7" t="n">
        <v>45.28950840983638</v>
      </c>
      <c r="D25" s="7" t="n">
        <v>42.22747080432825</v>
      </c>
      <c r="E25" s="7" t="n">
        <v>57.86095793273499</v>
      </c>
    </row>
    <row r="26">
      <c r="A26" s="10" t="inlineStr">
        <is>
          <t>Panel median</t>
        </is>
      </c>
      <c r="B26" s="13" t="n"/>
      <c r="C26" s="11">
        <f>MEDIAN(C23:C25)</f>
        <v/>
      </c>
      <c r="D26" s="13" t="n"/>
      <c r="E26" s="1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Assumptions — every input in the model</t>
        </is>
      </c>
      <c r="B1" s="2" t="n"/>
      <c r="C1" s="2" t="n"/>
      <c r="D1" s="2" t="n"/>
      <c r="E1" s="2" t="n"/>
      <c r="F1" s="2" t="n"/>
      <c r="G1" s="2" t="n"/>
      <c r="H1" s="2" t="n"/>
    </row>
    <row r="2">
      <c r="A2" s="4" t="inlineStr">
        <is>
          <t>Blue cells are inputs. Change one and the model reprices: everything downstream is a formula.</t>
        </is>
      </c>
    </row>
    <row r="3">
      <c r="A3" s="5" t="inlineStr">
        <is>
          <t>Input</t>
        </is>
      </c>
      <c r="B3" s="5" t="inlineStr">
        <is>
          <t>FY26E</t>
        </is>
      </c>
      <c r="C3" s="5" t="inlineStr">
        <is>
          <t>FY27E</t>
        </is>
      </c>
      <c r="D3" s="5" t="inlineStr">
        <is>
          <t>FY28E</t>
        </is>
      </c>
      <c r="E3" s="5" t="inlineStr">
        <is>
          <t>FY29E</t>
        </is>
      </c>
      <c r="F3" s="5" t="inlineStr">
        <is>
          <t>FY30E</t>
        </is>
      </c>
    </row>
    <row r="4">
      <c r="A4" s="10" t="inlineStr">
        <is>
          <t>Anchors</t>
        </is>
      </c>
      <c r="B4" s="13" t="n"/>
      <c r="C4" s="13" t="n"/>
      <c r="D4" s="13" t="n"/>
      <c r="E4" s="13" t="n"/>
      <c r="F4" s="13" t="n"/>
      <c r="G4" s="13" t="n"/>
      <c r="H4" s="13" t="n"/>
    </row>
    <row r="5">
      <c r="A5" s="6" t="inlineStr">
        <is>
          <t>Spot price (EGP)</t>
        </is>
      </c>
      <c r="C5" s="7" t="n">
        <v>130</v>
      </c>
    </row>
    <row r="6">
      <c r="A6" s="6" t="inlineStr">
        <is>
          <t>Shares outstanding (mn)</t>
        </is>
      </c>
      <c r="C6" s="24" t="n">
        <v>2140.777876</v>
      </c>
    </row>
    <row r="7">
      <c r="A7" s="6" t="inlineStr">
        <is>
          <t>Effective tax rate</t>
        </is>
      </c>
      <c r="C7" s="21" t="n">
        <v>0.245</v>
      </c>
    </row>
    <row r="8">
      <c r="A8" s="6" t="inlineStr">
        <is>
          <t>Statutory corporate tax rate</t>
        </is>
      </c>
      <c r="C8" s="21" t="n">
        <v>0.225</v>
      </c>
    </row>
    <row r="9">
      <c r="A9" s="6" t="inlineStr">
        <is>
          <t>FY2025 average USD/EGP</t>
        </is>
      </c>
      <c r="C9" s="25" t="n">
        <v>49.5</v>
      </c>
    </row>
    <row r="11">
      <c r="A11" s="10" t="inlineStr">
        <is>
          <t>Revenue drivers — the three disclosed segments</t>
        </is>
      </c>
      <c r="B11" s="13" t="n"/>
      <c r="C11" s="13" t="n"/>
      <c r="D11" s="13" t="n"/>
      <c r="E11" s="13" t="n"/>
      <c r="F11" s="13" t="n"/>
      <c r="G11" s="13" t="n"/>
      <c r="H11" s="13" t="n"/>
    </row>
    <row r="12">
      <c r="A12" s="6" t="inlineStr">
        <is>
          <t>Copper (USD/tonne)</t>
        </is>
      </c>
      <c r="B12" s="24" t="n">
        <v>13400</v>
      </c>
      <c r="C12" s="24" t="n">
        <v>14000</v>
      </c>
      <c r="D12" s="24" t="n">
        <v>14000</v>
      </c>
      <c r="E12" s="24" t="n">
        <v>14000</v>
      </c>
      <c r="F12" s="24" t="n">
        <v>14000</v>
      </c>
    </row>
    <row r="13">
      <c r="A13" s="6" t="inlineStr">
        <is>
          <t>USD/EGP path</t>
        </is>
      </c>
      <c r="B13" s="25" t="n">
        <v>51</v>
      </c>
      <c r="C13" s="25" t="n">
        <v>54</v>
      </c>
      <c r="D13" s="25" t="n">
        <v>57.5</v>
      </c>
      <c r="E13" s="25" t="n">
        <v>61</v>
      </c>
      <c r="F13" s="25" t="n">
        <v>64.5</v>
      </c>
    </row>
    <row r="14">
      <c r="A14" s="6" t="inlineStr">
        <is>
          <t>Cables — real (volume) growth over copper x FX</t>
        </is>
      </c>
      <c r="B14" s="21" t="n">
        <v>0.03</v>
      </c>
      <c r="C14" s="21" t="n">
        <v>0.03</v>
      </c>
      <c r="D14" s="21" t="n">
        <v>0.03</v>
      </c>
      <c r="E14" s="21" t="n">
        <v>0.03</v>
      </c>
      <c r="F14" s="21" t="n">
        <v>0.03</v>
      </c>
    </row>
    <row r="15">
      <c r="A15" s="6" t="inlineStr">
        <is>
          <t>Constructions and infrastructure — revenue growth</t>
        </is>
      </c>
      <c r="B15" s="21" t="n">
        <v>0.18</v>
      </c>
      <c r="C15" s="21" t="n">
        <v>0.14</v>
      </c>
      <c r="D15" s="21" t="n">
        <v>0.11</v>
      </c>
      <c r="E15" s="21" t="n">
        <v>0.09</v>
      </c>
      <c r="F15" s="21" t="n">
        <v>0.08</v>
      </c>
    </row>
    <row r="16">
      <c r="A16" s="6" t="inlineStr">
        <is>
          <t>Electrical products and digital solutions — revenue growth</t>
        </is>
      </c>
      <c r="B16" s="21" t="n">
        <v>0.2</v>
      </c>
      <c r="C16" s="21" t="n">
        <v>0.16</v>
      </c>
      <c r="D16" s="21" t="n">
        <v>0.13</v>
      </c>
      <c r="E16" s="21" t="n">
        <v>0.11</v>
      </c>
      <c r="F16" s="21" t="n">
        <v>0.1</v>
      </c>
    </row>
    <row r="18">
      <c r="A18" s="10" t="inlineStr">
        <is>
          <t>Segment gross margins and corporate cost load</t>
        </is>
      </c>
      <c r="B18" s="13" t="n"/>
      <c r="C18" s="13" t="n"/>
      <c r="D18" s="13" t="n"/>
      <c r="E18" s="13" t="n"/>
      <c r="F18" s="13" t="n"/>
      <c r="G18" s="13" t="n"/>
      <c r="H18" s="13" t="n"/>
    </row>
    <row r="19">
      <c r="A19" s="6" t="inlineStr">
        <is>
          <t>Cables — gross/segment margin</t>
        </is>
      </c>
      <c r="B19" s="21" t="n">
        <v>0.114341</v>
      </c>
      <c r="C19" s="21" t="n">
        <v>0.114341</v>
      </c>
      <c r="D19" s="21" t="n">
        <v>0.114341</v>
      </c>
      <c r="E19" s="21" t="n">
        <v>0.114341</v>
      </c>
      <c r="F19" s="21" t="n">
        <v>0.114341</v>
      </c>
    </row>
    <row r="20">
      <c r="A20" s="6" t="inlineStr">
        <is>
          <t>Constructions and infrastructure — segment margin</t>
        </is>
      </c>
      <c r="B20" s="21" t="n">
        <v>0.08987100000000001</v>
      </c>
      <c r="C20" s="21" t="n">
        <v>0.08987100000000001</v>
      </c>
      <c r="D20" s="21" t="n">
        <v>0.08987100000000001</v>
      </c>
      <c r="E20" s="21" t="n">
        <v>0.08987100000000001</v>
      </c>
      <c r="F20" s="21" t="n">
        <v>0.08987100000000001</v>
      </c>
    </row>
    <row r="21">
      <c r="A21" s="6" t="inlineStr">
        <is>
          <t>Electrical products and digital solutions — segment margin</t>
        </is>
      </c>
      <c r="B21" s="21" t="n">
        <v>0.236221</v>
      </c>
      <c r="C21" s="21" t="n">
        <v>0.236221</v>
      </c>
      <c r="D21" s="21" t="n">
        <v>0.236221</v>
      </c>
      <c r="E21" s="21" t="n">
        <v>0.236221</v>
      </c>
      <c r="F21" s="21" t="n">
        <v>0.236221</v>
      </c>
    </row>
    <row r="22">
      <c r="A22" s="6" t="inlineStr">
        <is>
          <t>Corporate cost load (% of revenue) — the bridge from segment profit to EBIT</t>
        </is>
      </c>
      <c r="B22" s="21" t="n">
        <v>0.0307</v>
      </c>
      <c r="C22" s="21" t="n">
        <v>0.0307</v>
      </c>
      <c r="D22" s="21" t="n">
        <v>0.0307</v>
      </c>
      <c r="E22" s="21" t="n">
        <v>0.0307</v>
      </c>
      <c r="F22" s="21" t="n">
        <v>0.0307</v>
      </c>
    </row>
    <row r="24">
      <c r="A24" s="10" t="inlineStr">
        <is>
          <t>Capital intensity</t>
        </is>
      </c>
      <c r="B24" s="13" t="n"/>
      <c r="C24" s="13" t="n"/>
      <c r="D24" s="13" t="n"/>
      <c r="E24" s="13" t="n"/>
      <c r="F24" s="13" t="n"/>
      <c r="G24" s="13" t="n"/>
      <c r="H24" s="13" t="n"/>
    </row>
    <row r="25">
      <c r="A25" s="6" t="inlineStr">
        <is>
          <t>Working capital / revenue</t>
        </is>
      </c>
      <c r="C25" s="21" t="n">
        <v>0.199</v>
      </c>
    </row>
    <row r="26">
      <c r="A26" s="6" t="inlineStr">
        <is>
          <t>Capital expenditure / revenue</t>
        </is>
      </c>
      <c r="B26" s="21" t="n">
        <v>0.044</v>
      </c>
      <c r="C26" s="21" t="n">
        <v>0.04</v>
      </c>
      <c r="D26" s="21" t="n">
        <v>0.036</v>
      </c>
      <c r="E26" s="21" t="n">
        <v>0.033</v>
      </c>
      <c r="F26" s="21" t="n">
        <v>0.031</v>
      </c>
    </row>
    <row r="27">
      <c r="A27" s="6" t="inlineStr">
        <is>
          <t>Depreciation and amortisation / revenue</t>
        </is>
      </c>
      <c r="C27" s="21" t="n">
        <v>0.0125</v>
      </c>
    </row>
    <row r="29">
      <c r="A29" s="10" t="inlineStr">
        <is>
          <t>Cost of capital</t>
        </is>
      </c>
      <c r="B29" s="13" t="n"/>
      <c r="C29" s="13" t="n"/>
      <c r="D29" s="13" t="n"/>
      <c r="E29" s="13" t="n"/>
      <c r="F29" s="13" t="n"/>
      <c r="G29" s="13" t="n"/>
      <c r="H29" s="13" t="n"/>
    </row>
    <row r="30">
      <c r="A30" s="6" t="inlineStr">
        <is>
          <t>Risk-free rate (10-year local currency)</t>
        </is>
      </c>
      <c r="C30" s="21" t="n">
        <v>0.2231</v>
      </c>
    </row>
    <row r="31">
      <c r="A31" s="6" t="inlineStr">
        <is>
          <t>Sovereign default spread (netted out)</t>
        </is>
      </c>
      <c r="C31" s="21" t="n">
        <v>0.034</v>
      </c>
    </row>
    <row r="32">
      <c r="A32" s="6" t="inlineStr">
        <is>
          <t>Equity risk premium</t>
        </is>
      </c>
      <c r="C32" s="21" t="n">
        <v>0.0941</v>
      </c>
    </row>
    <row r="33">
      <c r="A33" s="6" t="inlineStr">
        <is>
          <t>Beta</t>
        </is>
      </c>
      <c r="C33" s="26" t="n">
        <v>1.224906574047969</v>
      </c>
    </row>
    <row r="34">
      <c r="A34" s="6" t="inlineStr">
        <is>
          <t>Cost of debt, blended</t>
        </is>
      </c>
      <c r="C34" s="21" t="n">
        <v>0.095</v>
      </c>
    </row>
    <row r="35">
      <c r="A35" s="6" t="inlineStr">
        <is>
          <t>Cost of debt path</t>
        </is>
      </c>
      <c r="B35" s="21" t="n">
        <v>0.095</v>
      </c>
      <c r="C35" s="21" t="n">
        <v>0.089</v>
      </c>
      <c r="D35" s="21" t="n">
        <v>0.08400000000000001</v>
      </c>
      <c r="E35" s="21" t="n">
        <v>0.08</v>
      </c>
      <c r="F35" s="21" t="n">
        <v>0.077</v>
      </c>
    </row>
    <row r="36">
      <c r="A36" s="6" t="inlineStr">
        <is>
          <t>Terminal risk-free rate</t>
        </is>
      </c>
      <c r="C36" s="21" t="n">
        <v>0.105</v>
      </c>
    </row>
    <row r="37">
      <c r="A37" s="6" t="inlineStr">
        <is>
          <t>Terminal equity risk premium</t>
        </is>
      </c>
      <c r="C37" s="21" t="n">
        <v>0.07000000000000001</v>
      </c>
    </row>
    <row r="38">
      <c r="A38" s="6" t="inlineStr">
        <is>
          <t>Terminal cost of debt</t>
        </is>
      </c>
      <c r="C38" s="21" t="n">
        <v>0.0888</v>
      </c>
    </row>
    <row r="39">
      <c r="A39" s="6" t="inlineStr">
        <is>
          <t>Terminal debt weight</t>
        </is>
      </c>
      <c r="C39" s="21" t="n">
        <v>0.15</v>
      </c>
    </row>
    <row r="40">
      <c r="A40" s="6" t="inlineStr">
        <is>
          <t>Terminal growth</t>
        </is>
      </c>
      <c r="C40" s="21" t="n">
        <v>0.07000000000000001</v>
      </c>
    </row>
    <row r="42">
      <c r="A42" s="10" t="inlineStr">
        <is>
          <t>Balance-sheet and bridge anchors</t>
        </is>
      </c>
      <c r="B42" s="13" t="n"/>
      <c r="C42" s="13" t="n"/>
      <c r="D42" s="13" t="n"/>
      <c r="E42" s="13" t="n"/>
      <c r="F42" s="13" t="n"/>
      <c r="G42" s="13" t="n"/>
      <c r="H42" s="13" t="n"/>
    </row>
    <row r="43">
      <c r="A43" s="6" t="inlineStr">
        <is>
          <t>Net bank debt at FY2025 (EGP mn, disclosed)</t>
        </is>
      </c>
      <c r="C43" s="24" t="n">
        <v>20560.003173</v>
      </c>
    </row>
    <row r="44">
      <c r="A44" s="6" t="inlineStr">
        <is>
          <t>Equity-accounted investees at carrying value (EGP mn)</t>
        </is>
      </c>
      <c r="C44" s="24" t="n">
        <v>6757.650507</v>
      </c>
    </row>
    <row r="45">
      <c r="A45" s="6" t="inlineStr">
        <is>
          <t>Intangible assets and goodwill (EGP mn)</t>
        </is>
      </c>
      <c r="C45" s="24" t="n">
        <v>1748.816945</v>
      </c>
    </row>
    <row r="46">
      <c r="A46" s="6" t="inlineStr">
        <is>
          <t>FY2025 profit after tax (EGP mn, disclosed)</t>
        </is>
      </c>
      <c r="C46" s="24" t="n">
        <v>19186.550057</v>
      </c>
    </row>
    <row r="47">
      <c r="A47" s="6" t="inlineStr">
        <is>
          <t>FY2025 profit after minority interests (EGP mn, disclosed)</t>
        </is>
      </c>
      <c r="C47" s="24" t="n">
        <v>17330.24499</v>
      </c>
    </row>
    <row r="48">
      <c r="A48" s="6" t="inlineStr">
        <is>
          <t>FY2024 dividend per share (EGP)</t>
        </is>
      </c>
      <c r="C48" s="7" t="n">
        <v>1</v>
      </c>
    </row>
    <row r="49">
      <c r="A49" s="6" t="inlineStr">
        <is>
          <t>FY2025 dividend per share (EGP, ratified 6 May 2026, paid 4 June 2026)</t>
        </is>
      </c>
      <c r="C49" s="7" t="n">
        <v>1.85</v>
      </c>
    </row>
    <row r="50">
      <c r="A50" s="6" t="inlineStr">
        <is>
          <t>Forecast dividend payout ratio (struck at the actual FY2025 rate)</t>
        </is>
      </c>
      <c r="C50" s="21" t="n">
        <v>0.25</v>
      </c>
    </row>
    <row r="51">
      <c r="A51" s="6" t="inlineStr">
        <is>
          <t>Growth in the share of equity-accounted investees</t>
        </is>
      </c>
      <c r="C51" s="21" t="n">
        <v>0.08</v>
      </c>
    </row>
    <row r="52">
      <c r="A52" s="6" t="inlineStr">
        <is>
          <t>Yield assumed on surplus cash (blend of EGP deposit and hard-currency rates)</t>
        </is>
      </c>
      <c r="C52" s="21" t="n">
        <v>0.1</v>
      </c>
    </row>
    <row r="53">
      <c r="A53" s="6" t="inlineStr">
        <is>
          <t>Days from the 31-Dec-2025 valuation date to the 3-Sep-2026 anchor</t>
        </is>
      </c>
      <c r="C53" s="24" t="n">
        <v>246</v>
      </c>
    </row>
    <row r="55">
      <c r="A55" s="10" t="inlineStr">
        <is>
          <t>Terminal construction — the sanctioned one, never g x IC</t>
        </is>
      </c>
      <c r="B55" s="13" t="n"/>
      <c r="C55" s="13" t="n"/>
      <c r="D55" s="13" t="n"/>
      <c r="E55" s="13" t="n"/>
      <c r="F55" s="13" t="n"/>
      <c r="G55" s="13" t="n"/>
      <c r="H55" s="13" t="n"/>
    </row>
    <row r="56">
      <c r="A56" s="6" t="inlineStr">
        <is>
          <t>Terminal inflation (house Egyptian macro path)</t>
        </is>
      </c>
      <c r="C56" s="21" t="n">
        <v>0.07000000000000001</v>
      </c>
    </row>
    <row r="57">
      <c r="A57" s="6" t="inlineStr">
        <is>
          <t>DISCLOSED useful life, derived by identity from note 17 (years)</t>
        </is>
      </c>
      <c r="C57" s="27" t="n">
        <v>17.2627</v>
      </c>
    </row>
    <row r="58">
      <c r="A58" s="6" t="inlineStr">
        <is>
          <t>Terminal working-capital base (EGP mn, last explicit year)</t>
        </is>
      </c>
      <c r="C58" s="24" t="n">
        <v>110489.8413121987</v>
      </c>
    </row>
    <row r="59">
      <c r="A59" s="6" t="inlineStr">
        <is>
          <t>Employees' statutory share of profit (mean of FY2024, FY2025, H1-2026)</t>
        </is>
      </c>
      <c r="C59" s="21" t="n">
        <v>0.1219271916645494</v>
      </c>
    </row>
    <row r="61">
      <c r="A61" s="10" t="inlineStr">
        <is>
          <t>Currency-of-discounting alternative</t>
        </is>
      </c>
      <c r="B61" s="13" t="n"/>
      <c r="C61" s="13" t="n"/>
      <c r="D61" s="13" t="n"/>
      <c r="E61" s="13" t="n"/>
      <c r="F61" s="13" t="n"/>
      <c r="G61" s="13" t="n"/>
      <c r="H61" s="13" t="n"/>
    </row>
    <row r="62">
      <c r="A62" s="6" t="inlineStr">
        <is>
          <t>US dollar risk-free rate</t>
        </is>
      </c>
      <c r="C62" s="21" t="n">
        <v>0.043</v>
      </c>
    </row>
    <row r="63">
      <c r="A63" s="6" t="inlineStr">
        <is>
          <t>Hard-currency-leg equity risk premium</t>
        </is>
      </c>
      <c r="C63" s="21" t="n">
        <v>0.075</v>
      </c>
    </row>
    <row r="64">
      <c r="A64" s="6" t="inlineStr">
        <is>
          <t>US dollar cost of debt</t>
        </is>
      </c>
      <c r="C64" s="21" t="n">
        <v>0.065</v>
      </c>
    </row>
    <row r="65">
      <c r="A65" s="6" t="inlineStr">
        <is>
          <t>Debt weight, USD leg</t>
        </is>
      </c>
      <c r="C65" s="21" t="n">
        <v>0.25</v>
      </c>
    </row>
    <row r="66">
      <c r="A66" s="6" t="inlineStr">
        <is>
          <t>Terminal growth of the USD leg</t>
        </is>
      </c>
      <c r="C66" s="21" t="n">
        <v>0.035</v>
      </c>
    </row>
    <row r="68">
      <c r="A68" s="10" t="inlineStr">
        <is>
          <t>Lens inputs</t>
        </is>
      </c>
      <c r="B68" s="13" t="n"/>
      <c r="C68" s="13" t="n"/>
      <c r="D68" s="13" t="n"/>
      <c r="E68" s="13" t="n"/>
      <c r="F68" s="13" t="n"/>
      <c r="G68" s="13" t="n"/>
      <c r="H68" s="13" t="n"/>
    </row>
    <row r="69">
      <c r="A69" s="6" t="inlineStr">
        <is>
          <t>Justified EV/EBITDA</t>
        </is>
      </c>
      <c r="C69" s="28" t="n">
        <v>6.5</v>
      </c>
    </row>
    <row r="70">
      <c r="A70" s="6" t="inlineStr">
        <is>
          <t>Justified price/earnings</t>
        </is>
      </c>
      <c r="C70" s="28" t="n">
        <v>9</v>
      </c>
    </row>
    <row r="71">
      <c r="A71" s="6" t="inlineStr">
        <is>
          <t>Sustainable return on equity</t>
        </is>
      </c>
      <c r="C71" s="21" t="n">
        <v>0.235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Enterprise value to equity — the bridge</t>
        </is>
      </c>
      <c r="B1" s="2" t="n"/>
      <c r="C1" s="2" t="n"/>
      <c r="D1" s="2" t="n"/>
      <c r="E1" s="2" t="n"/>
    </row>
    <row r="4">
      <c r="A4" s="5" t="inlineStr">
        <is>
          <t>Step</t>
        </is>
      </c>
      <c r="B4" s="5" t="inlineStr">
        <is>
          <t>EGP mn</t>
        </is>
      </c>
      <c r="C4" s="5" t="inlineStr">
        <is>
          <t>Per share (EGP)</t>
        </is>
      </c>
    </row>
    <row r="5">
      <c r="A5" s="6" t="inlineStr">
        <is>
          <t>Present value of the five forecast years</t>
        </is>
      </c>
      <c r="C5" s="19">
        <f>DCF!C26</f>
        <v/>
      </c>
      <c r="D5" s="16">
        <f>C5/Assumptions!$C$6</f>
        <v/>
      </c>
    </row>
    <row r="6">
      <c r="A6" s="6" t="inlineStr">
        <is>
          <t>Present value of the terminal value</t>
        </is>
      </c>
      <c r="C6" s="19">
        <f>DCF!C27</f>
        <v/>
      </c>
      <c r="D6" s="16">
        <f>C6/Assumptions!$C$6</f>
        <v/>
      </c>
    </row>
    <row r="7">
      <c r="A7" s="6" t="inlineStr">
        <is>
          <t>Enterprise value</t>
        </is>
      </c>
      <c r="C7" s="29">
        <f>C5+C6</f>
        <v/>
      </c>
      <c r="D7" s="30">
        <f>C7/Assumptions!$C$6</f>
        <v/>
      </c>
    </row>
    <row r="8">
      <c r="A8" s="6" t="inlineStr">
        <is>
          <t>Less net bank debt</t>
        </is>
      </c>
      <c r="C8" s="19">
        <f>-Assumptions!$C$43</f>
        <v/>
      </c>
      <c r="D8" s="16">
        <f>C8/Assumptions!$C$6</f>
        <v/>
      </c>
    </row>
    <row r="9">
      <c r="A9" s="6" t="inlineStr">
        <is>
          <t>Plus equity-accounted investees at carrying value</t>
        </is>
      </c>
      <c r="C9" s="19">
        <f>Assumptions!$C$44</f>
        <v/>
      </c>
      <c r="D9" s="16">
        <f>C9/Assumptions!$C$6</f>
        <v/>
      </c>
    </row>
    <row r="10">
      <c r="A10" s="6" t="inlineStr">
        <is>
          <t>Equity before minority interests</t>
        </is>
      </c>
      <c r="C10" s="31">
        <f>C7+C8+C9</f>
        <v/>
      </c>
      <c r="D10" s="16">
        <f>C10/Assumptions!$C$6</f>
        <v/>
      </c>
    </row>
    <row r="11">
      <c r="A11" s="6" t="inlineStr">
        <is>
          <t>Less minority interests at their share of group profit</t>
        </is>
      </c>
      <c r="C11" s="31">
        <f>-C10*$C$17</f>
        <v/>
      </c>
      <c r="D11" s="16">
        <f>C11/Assumptions!$C$6</f>
        <v/>
      </c>
    </row>
    <row r="12">
      <c r="A12" s="6" t="inlineStr">
        <is>
          <t>Less the employees' statutory share of profit</t>
        </is>
      </c>
      <c r="C12" s="29">
        <f>-(C10+C11)*$C$18</f>
        <v/>
      </c>
      <c r="D12" s="30">
        <f>C12/Assumptions!$C$6</f>
        <v/>
      </c>
    </row>
    <row r="13">
      <c r="A13" s="13" t="inlineStr">
        <is>
          <t>Equity attributable to ordinary shareholders</t>
        </is>
      </c>
      <c r="B13" s="13" t="n"/>
      <c r="C13" s="32">
        <f>C10+C11+C12</f>
        <v/>
      </c>
      <c r="D13" s="33">
        <f>C13/Assumptions!$C$6</f>
        <v/>
      </c>
    </row>
    <row r="15">
      <c r="A15" s="6" t="inlineStr">
        <is>
          <t>Terminal value as a share of enterprise value</t>
        </is>
      </c>
      <c r="C15" s="17">
        <f>DCF!C28</f>
        <v/>
      </c>
    </row>
    <row r="17">
      <c r="A17" s="6" t="inlineStr">
        <is>
          <t>Minority share of group profit</t>
        </is>
      </c>
      <c r="C17" s="9">
        <f>(Assumptions!$C$46-Assumptions!$C$47)/Assumptions!$C$46</f>
        <v/>
      </c>
    </row>
    <row r="18">
      <c r="A18" s="6" t="inlineStr">
        <is>
          <t>Employees' statutory share of profit — an appropriation disclosed only in the earnings-per-share note, below profit attributable to owners</t>
        </is>
      </c>
      <c r="C18" s="17">
        <f>Assumptions!$C$59</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Segments — the margin build</t>
        </is>
      </c>
      <c r="B1" s="2" t="n"/>
      <c r="C1" s="2" t="n"/>
      <c r="D1" s="2" t="n"/>
      <c r="E1" s="2" t="n"/>
      <c r="F1" s="2" t="n"/>
      <c r="G1" s="2" t="n"/>
      <c r="H1" s="2" t="n"/>
      <c r="I1" s="2" t="n"/>
    </row>
    <row r="2">
      <c r="A2" s="4" t="inlineStr">
        <is>
          <t>FY2025 disclosed shares and gross margins; forecast revenue and gross profit come from the unit build, and EBITDA is computed from them</t>
        </is>
      </c>
    </row>
    <row r="4">
      <c r="A4" s="5" t="inlineStr">
        <is>
          <t>Segment</t>
        </is>
      </c>
      <c r="B4" s="5" t="inlineStr">
        <is>
          <t>FY2025 revenue</t>
        </is>
      </c>
      <c r="C4" s="5" t="inlineStr">
        <is>
          <t>Share</t>
        </is>
      </c>
      <c r="D4" s="5" t="inlineStr">
        <is>
          <t>Segment margin</t>
        </is>
      </c>
      <c r="E4" s="5" t="inlineStr">
        <is>
          <t>FY26E</t>
        </is>
      </c>
      <c r="F4" s="5" t="inlineStr">
        <is>
          <t>FY27E</t>
        </is>
      </c>
      <c r="G4" s="5" t="inlineStr">
        <is>
          <t>FY28E</t>
        </is>
      </c>
      <c r="H4" s="5" t="inlineStr">
        <is>
          <t>FY29E</t>
        </is>
      </c>
      <c r="I4" s="5" t="inlineStr">
        <is>
          <t>FY30E</t>
        </is>
      </c>
    </row>
    <row r="5">
      <c r="A5" s="6" t="inlineStr">
        <is>
          <t>Cables and its accessories</t>
        </is>
      </c>
      <c r="B5" s="24" t="n">
        <v>155792.929738</v>
      </c>
      <c r="C5" s="9">
        <f>B5/$B$8</f>
        <v/>
      </c>
      <c r="D5" s="21" t="n">
        <v>0.134899552356732</v>
      </c>
      <c r="E5" s="24" t="n">
        <v>221541.3228857327</v>
      </c>
      <c r="F5" s="24" t="n">
        <v>252428.7347156312</v>
      </c>
      <c r="G5" s="24" t="n">
        <v>276853.5521024677</v>
      </c>
      <c r="H5" s="24" t="n">
        <v>302516.6726712704</v>
      </c>
      <c r="I5" s="24" t="n">
        <v>329470.412277309</v>
      </c>
    </row>
    <row r="6">
      <c r="A6" s="6" t="inlineStr">
        <is>
          <t>Constructions and infrastructure</t>
        </is>
      </c>
      <c r="B6" s="24" t="n">
        <v>90958.55022799999</v>
      </c>
      <c r="C6" s="9">
        <f>B6/$B$8</f>
        <v/>
      </c>
      <c r="D6" s="21" t="n">
        <v>0.06452269254829619</v>
      </c>
      <c r="E6" s="24" t="n">
        <v>107331.08926904</v>
      </c>
      <c r="F6" s="24" t="n">
        <v>122357.4417667056</v>
      </c>
      <c r="G6" s="24" t="n">
        <v>135816.7603610432</v>
      </c>
      <c r="H6" s="24" t="n">
        <v>148040.2687935371</v>
      </c>
      <c r="I6" s="24" t="n">
        <v>159883.4902970201</v>
      </c>
    </row>
    <row r="7">
      <c r="A7" s="6" t="inlineStr">
        <is>
          <t>Electrical products and digital solutions</t>
        </is>
      </c>
      <c r="B7" s="24" t="n">
        <v>34297.601753</v>
      </c>
      <c r="C7" s="9">
        <f>B7/$B$8</f>
        <v/>
      </c>
      <c r="D7" s="21" t="n">
        <v>0.2217300370961013</v>
      </c>
      <c r="E7" s="24" t="n">
        <v>41157.1221036</v>
      </c>
      <c r="F7" s="24" t="n">
        <v>47742.261640176</v>
      </c>
      <c r="G7" s="24" t="n">
        <v>53948.75565339887</v>
      </c>
      <c r="H7" s="24" t="n">
        <v>59883.11877527275</v>
      </c>
      <c r="I7" s="24" t="n">
        <v>65871.43065280003</v>
      </c>
    </row>
    <row r="8">
      <c r="A8" s="10" t="inlineStr">
        <is>
          <t>Total revenue</t>
        </is>
      </c>
      <c r="B8" s="34">
        <f>SUM(B5:B7)</f>
        <v/>
      </c>
      <c r="C8" s="14">
        <f>SUM(C5:C7)</f>
        <v/>
      </c>
      <c r="D8" s="13" t="n"/>
      <c r="E8" s="34">
        <f>SUM(E5:E7)</f>
        <v/>
      </c>
      <c r="F8" s="34">
        <f>SUM(F5:F7)</f>
        <v/>
      </c>
      <c r="G8" s="34">
        <f>SUM(G5:G7)</f>
        <v/>
      </c>
      <c r="H8" s="34">
        <f>SUM(H5:H7)</f>
        <v/>
      </c>
      <c r="I8" s="34">
        <f>SUM(I5:I7)</f>
        <v/>
      </c>
    </row>
    <row r="10">
      <c r="A10" s="5" t="inlineStr">
        <is>
          <t>Segment profit by segment (Note 16 basis)</t>
        </is>
      </c>
      <c r="B10" s="5" t="inlineStr">
        <is>
          <t>FY26E</t>
        </is>
      </c>
      <c r="C10" s="5" t="inlineStr">
        <is>
          <t>FY27E</t>
        </is>
      </c>
      <c r="D10" s="5" t="inlineStr">
        <is>
          <t>FY28E</t>
        </is>
      </c>
      <c r="E10" s="5" t="inlineStr">
        <is>
          <t>FY29E</t>
        </is>
      </c>
      <c r="F10" s="5" t="inlineStr">
        <is>
          <t>FY30E</t>
        </is>
      </c>
    </row>
    <row r="11">
      <c r="A11" s="6" t="inlineStr">
        <is>
          <t>Cables and its accessories</t>
        </is>
      </c>
      <c r="B11" s="24" t="n">
        <v>25331.25640007756</v>
      </c>
      <c r="C11" s="24" t="n">
        <v>28862.95395611998</v>
      </c>
      <c r="D11" s="24" t="n">
        <v>31655.71200094826</v>
      </c>
      <c r="E11" s="24" t="n">
        <v>34590.05886990573</v>
      </c>
      <c r="F11" s="24" t="n">
        <v>37671.97641019979</v>
      </c>
    </row>
    <row r="12">
      <c r="A12" s="6" t="inlineStr">
        <is>
          <t>Constructions and infrastructure</t>
        </is>
      </c>
      <c r="B12" s="24" t="n">
        <v>9645.952323697893</v>
      </c>
      <c r="C12" s="24" t="n">
        <v>10996.3856490156</v>
      </c>
      <c r="D12" s="24" t="n">
        <v>12205.98807040732</v>
      </c>
      <c r="E12" s="24" t="n">
        <v>13304.52699674398</v>
      </c>
      <c r="F12" s="24" t="n">
        <v>14368.8891564835</v>
      </c>
    </row>
    <row r="13">
      <c r="A13" s="6" t="inlineStr">
        <is>
          <t>Electrical products and digital solutions</t>
        </is>
      </c>
      <c r="B13" s="24" t="n">
        <v>9722.176540434495</v>
      </c>
      <c r="C13" s="24" t="n">
        <v>11277.72478690401</v>
      </c>
      <c r="D13" s="24" t="n">
        <v>12743.82900920153</v>
      </c>
      <c r="E13" s="24" t="n">
        <v>14145.6502002137</v>
      </c>
      <c r="F13" s="24" t="n">
        <v>15560.21522023508</v>
      </c>
    </row>
    <row r="14">
      <c r="A14" s="10" t="inlineStr">
        <is>
          <t>Group segment profit</t>
        </is>
      </c>
      <c r="B14" s="34">
        <f>SUM(B11:B13)</f>
        <v/>
      </c>
      <c r="C14" s="34">
        <f>SUM(C11:C13)</f>
        <v/>
      </c>
      <c r="D14" s="34">
        <f>SUM(D11:D13)</f>
        <v/>
      </c>
      <c r="E14" s="34">
        <f>SUM(E11:E13)</f>
        <v/>
      </c>
      <c r="F14" s="34">
        <f>SUM(F11:F13)</f>
        <v/>
      </c>
    </row>
    <row r="15">
      <c r="A15" s="6" t="inlineStr">
        <is>
          <t>Group segment-profit margin</t>
        </is>
      </c>
      <c r="B15" s="9">
        <f>B14/E$8</f>
        <v/>
      </c>
      <c r="C15" s="9">
        <f>C14/F$8</f>
        <v/>
      </c>
      <c r="D15" s="9">
        <f>D14/G$8</f>
        <v/>
      </c>
      <c r="E15" s="9">
        <f>E14/H$8</f>
        <v/>
      </c>
      <c r="F15" s="9">
        <f>F14/I$8</f>
        <v/>
      </c>
    </row>
    <row r="17">
      <c r="A17" s="5" t="inlineStr">
        <is>
          <t>Segment EBIT contribution — segment profit less the pro-rata corporate load</t>
        </is>
      </c>
      <c r="B17" s="5" t="inlineStr">
        <is>
          <t>FY26E</t>
        </is>
      </c>
      <c r="C17" s="5" t="inlineStr">
        <is>
          <t>FY27E</t>
        </is>
      </c>
      <c r="D17" s="5" t="inlineStr">
        <is>
          <t>FY28E</t>
        </is>
      </c>
      <c r="E17" s="5" t="inlineStr">
        <is>
          <t>FY29E</t>
        </is>
      </c>
      <c r="F17" s="5" t="inlineStr">
        <is>
          <t>FY30E</t>
        </is>
      </c>
    </row>
    <row r="18">
      <c r="A18" s="6" t="inlineStr">
        <is>
          <t>Cables and its accessories</t>
        </is>
      </c>
      <c r="B18" s="31">
        <f>B11-Assumptions!$B$22*E5</f>
        <v/>
      </c>
      <c r="C18" s="31">
        <f>C11-Assumptions!$C$22*F5</f>
        <v/>
      </c>
      <c r="D18" s="31">
        <f>D11-Assumptions!$D$22*G5</f>
        <v/>
      </c>
      <c r="E18" s="31">
        <f>E11-Assumptions!$E$22*H5</f>
        <v/>
      </c>
      <c r="F18" s="31">
        <f>F11-Assumptions!$F$22*I5</f>
        <v/>
      </c>
    </row>
    <row r="19">
      <c r="A19" s="6" t="inlineStr">
        <is>
          <t>Constructions and infrastructure</t>
        </is>
      </c>
      <c r="B19" s="31">
        <f>B12-Assumptions!$B$22*E6</f>
        <v/>
      </c>
      <c r="C19" s="31">
        <f>C12-Assumptions!$C$22*F6</f>
        <v/>
      </c>
      <c r="D19" s="31">
        <f>D12-Assumptions!$D$22*G6</f>
        <v/>
      </c>
      <c r="E19" s="31">
        <f>E12-Assumptions!$E$22*H6</f>
        <v/>
      </c>
      <c r="F19" s="31">
        <f>F12-Assumptions!$F$22*I6</f>
        <v/>
      </c>
    </row>
    <row r="20">
      <c r="A20" s="6" t="inlineStr">
        <is>
          <t>Electrical products and digital solutions</t>
        </is>
      </c>
      <c r="B20" s="31">
        <f>B13-Assumptions!$B$22*E7</f>
        <v/>
      </c>
      <c r="C20" s="31">
        <f>C13-Assumptions!$C$22*F7</f>
        <v/>
      </c>
      <c r="D20" s="31">
        <f>D13-Assumptions!$D$22*G7</f>
        <v/>
      </c>
      <c r="E20" s="31">
        <f>E13-Assumptions!$E$22*H7</f>
        <v/>
      </c>
      <c r="F20" s="31">
        <f>F13-Assumptions!$F$22*I7</f>
        <v/>
      </c>
    </row>
    <row r="21">
      <c r="A21" s="10" t="inlineStr">
        <is>
          <t>Group EBIT</t>
        </is>
      </c>
      <c r="B21" s="34">
        <f>SUM(B18:B20)</f>
        <v/>
      </c>
      <c r="C21" s="34">
        <f>SUM(C18:C20)</f>
        <v/>
      </c>
      <c r="D21" s="34">
        <f>SUM(D18:D20)</f>
        <v/>
      </c>
      <c r="E21" s="34">
        <f>SUM(E18:E20)</f>
        <v/>
      </c>
      <c r="F21" s="34">
        <f>SUM(F18:F20)</f>
        <v/>
      </c>
    </row>
    <row r="22">
      <c r="A22" s="6" t="inlineStr">
        <is>
          <t>Add back depreciation and amortisation</t>
        </is>
      </c>
      <c r="B22" s="31">
        <f>Assumptions!$C$27*E8</f>
        <v/>
      </c>
      <c r="C22" s="31">
        <f>Assumptions!$C$27*F8</f>
        <v/>
      </c>
      <c r="D22" s="31">
        <f>Assumptions!$C$27*G8</f>
        <v/>
      </c>
      <c r="E22" s="31">
        <f>Assumptions!$C$27*H8</f>
        <v/>
      </c>
      <c r="F22" s="31">
        <f>Assumptions!$C$27*I8</f>
        <v/>
      </c>
    </row>
    <row r="23">
      <c r="A23" s="10" t="inlineStr">
        <is>
          <t>Group EBITDA</t>
        </is>
      </c>
      <c r="B23" s="34">
        <f>B21+B22</f>
        <v/>
      </c>
      <c r="C23" s="34">
        <f>C21+C22</f>
        <v/>
      </c>
      <c r="D23" s="34">
        <f>D21+D22</f>
        <v/>
      </c>
      <c r="E23" s="34">
        <f>E21+E22</f>
        <v/>
      </c>
      <c r="F23" s="34">
        <f>F21+F22</f>
        <v/>
      </c>
    </row>
    <row r="24">
      <c r="A24" s="6" t="inlineStr">
        <is>
          <t>Group EBITDA margin</t>
        </is>
      </c>
      <c r="B24" s="9">
        <f>B23/E$8</f>
        <v/>
      </c>
      <c r="C24" s="9">
        <f>C23/F$8</f>
        <v/>
      </c>
      <c r="D24" s="9">
        <f>D23/G$8</f>
        <v/>
      </c>
      <c r="E24" s="9">
        <f>E23/H$8</f>
        <v/>
      </c>
      <c r="F24" s="9">
        <f>F23/I$8</f>
        <v/>
      </c>
    </row>
    <row r="25">
      <c r="A25" s="4" t="inlineStr">
        <is>
          <t>The corporate load is stated on the segment-profit-to-EBIT basis — the same basis as the audited historical bridge — so EBIT falls out first and EBITDA is EBIT plus D&amp;A, not the other way round.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Relative multiples and normalised earnings power</t>
        </is>
      </c>
      <c r="B1" s="2" t="n"/>
      <c r="C1" s="2" t="n"/>
      <c r="D1" s="2" t="n"/>
      <c r="E1" s="2" t="n"/>
    </row>
    <row r="4">
      <c r="A4" s="5" t="inlineStr">
        <is>
          <t>Relative lens</t>
        </is>
      </c>
      <c r="B4" s="5" t="inlineStr">
        <is>
          <t>Value</t>
        </is>
      </c>
    </row>
    <row r="5">
      <c r="A5" s="6" t="inlineStr">
        <is>
          <t>FY2027E EBITDA (EGP mn)</t>
        </is>
      </c>
      <c r="C5" s="19">
        <f>DCF!C6</f>
        <v/>
      </c>
    </row>
    <row r="6">
      <c r="A6" s="6" t="inlineStr">
        <is>
          <t>Justified enterprise value / EBITDA</t>
        </is>
      </c>
      <c r="C6" s="35">
        <f>Assumptions!$C$69</f>
        <v/>
      </c>
    </row>
    <row r="7">
      <c r="A7" s="6" t="inlineStr">
        <is>
          <t>Implied enterprise value AS AT end-FY2027 (EGP mn)</t>
        </is>
      </c>
      <c r="C7" s="31">
        <f>C5*C6</f>
        <v/>
      </c>
    </row>
    <row r="8">
      <c r="A8" s="6" t="inlineStr">
        <is>
          <t>Discount factor back to the valuation date (year-2)</t>
        </is>
      </c>
      <c r="C8" s="36">
        <f>DCF!C16</f>
        <v/>
      </c>
    </row>
    <row r="9">
      <c r="A9" s="6" t="inlineStr">
        <is>
          <t>Plus present value of the interim FY26-27 free cash flows (EGP mn)</t>
        </is>
      </c>
      <c r="C9" s="19">
        <f>DCF!B17+DCF!C17</f>
        <v/>
      </c>
    </row>
    <row r="10">
      <c r="A10" s="6" t="inlineStr">
        <is>
          <t>Implied enterprise value at 31-Dec-2025 (EGP mn)</t>
        </is>
      </c>
      <c r="C10" s="31">
        <f>C7*C8+C9</f>
        <v/>
      </c>
    </row>
    <row r="11">
      <c r="A11" s="13" t="inlineStr">
        <is>
          <t>Implied value per share, rolled to the anchor (EGP)</t>
        </is>
      </c>
      <c r="B11" s="13" t="n"/>
      <c r="C11" s="33">
        <f>((C10-Assumptions!$C$43+Assumptions!$C$44)*(1-'SOTP Bridge'!$C$17)*(1-'SOTP Bridge'!$C$18)/Assumptions!$C$6)*DCF!$C$61-Assumptions!$C$49</f>
        <v/>
      </c>
    </row>
    <row r="12">
      <c r="A12" s="6" t="inlineStr">
        <is>
          <t>Bear at 5.5× (C) / bull at 8.0× (D), same construction</t>
        </is>
      </c>
      <c r="C12" s="16">
        <f>((5.5*C5*C8+C9-Assumptions!$C$43+Assumptions!$C$44)*(1-'SOTP Bridge'!$C$17)*(1-'SOTP Bridge'!$C$18)/Assumptions!$C$6)*DCF!$C$61-Assumptions!$C$49</f>
        <v/>
      </c>
      <c r="D12" s="16">
        <f>((8.0*C5*C8+C9-Assumptions!$C$43+Assumptions!$C$44)*(1-'SOTP Bridge'!$C$17)*(1-'SOTP Bridge'!$C$18)/Assumptions!$C$6)*DCF!$C$61-Assumptions!$C$49</f>
        <v/>
      </c>
    </row>
    <row r="13">
      <c r="A13" s="6" t="inlineStr">
        <is>
          <t>Trailing enterprise value / EBITDA</t>
        </is>
      </c>
      <c r="C13" s="37">
        <f>((Assumptions!$C$5*Assumptions!$C$6)+Assumptions!$C$43)/'Income Statement'!D7</f>
        <v/>
      </c>
    </row>
    <row r="14">
      <c r="A14" s="6" t="inlineStr">
        <is>
          <t>Trailing price / earnings</t>
        </is>
      </c>
      <c r="C14" s="37">
        <f>Assumptions!$C$5/'Income Statement'!D18</f>
        <v/>
      </c>
    </row>
    <row r="15">
      <c r="A15" s="6" t="inlineStr">
        <is>
          <t>Trailing price / book</t>
        </is>
      </c>
      <c r="C15" s="37">
        <f>Assumptions!$C$5/C31</f>
        <v/>
      </c>
    </row>
    <row r="16">
      <c r="A16" s="6" t="inlineStr">
        <is>
          <t>Net bank debt / EBITDA</t>
        </is>
      </c>
      <c r="C16" s="37">
        <f>Assumptions!$C$43/'Income Statement'!D7</f>
        <v/>
      </c>
    </row>
    <row r="18">
      <c r="A18" s="5" t="inlineStr">
        <is>
          <t>Normalised earnings lens — mid-cycle margin (FY2028E) at current (FY2026E) scale</t>
        </is>
      </c>
      <c r="B18" s="5" t="inlineStr">
        <is>
          <t>Value</t>
        </is>
      </c>
    </row>
    <row r="19">
      <c r="A19" s="6" t="inlineStr">
        <is>
          <t>Current-scale revenue (FY2026E, EGP mn)</t>
        </is>
      </c>
      <c r="C19" s="19">
        <f>DCF!B5</f>
        <v/>
      </c>
    </row>
    <row r="20">
      <c r="A20" s="6" t="inlineStr">
        <is>
          <t>Mid-cycle EBITDA margin (FY2028E)</t>
        </is>
      </c>
      <c r="C20" s="17">
        <f>DCF!D7</f>
        <v/>
      </c>
    </row>
    <row r="21">
      <c r="A21" s="6" t="inlineStr">
        <is>
          <t>Normalised EBITDA (EGP mn)</t>
        </is>
      </c>
      <c r="C21" s="31">
        <f>C19*C20</f>
        <v/>
      </c>
    </row>
    <row r="22">
      <c r="A22" s="6" t="inlineStr">
        <is>
          <t>Normalised EBIT (EGP mn)</t>
        </is>
      </c>
      <c r="C22" s="31">
        <f>C21-C19*Assumptions!$C$27</f>
        <v/>
      </c>
    </row>
    <row r="23">
      <c r="A23" s="6" t="inlineStr">
        <is>
          <t>Net finance cost (FY2026E, EGP mn)</t>
        </is>
      </c>
      <c r="C23" s="19">
        <f>'Income Statement'!E11</f>
        <v/>
      </c>
    </row>
    <row r="24">
      <c r="A24" s="6" t="inlineStr">
        <is>
          <t>Share of equity-accounted investees (FY2026E, EGP mn)</t>
        </is>
      </c>
      <c r="C24" s="19">
        <f>'Income Statement'!E12</f>
        <v/>
      </c>
    </row>
    <row r="25">
      <c r="A25" s="6" t="inlineStr">
        <is>
          <t>Normalised attributable earnings (EGP mn)</t>
        </is>
      </c>
      <c r="C25" s="31">
        <f>(C22+C23+C24)*(1-Assumptions!$C$7)*(1-'SOTP Bridge'!$C$17)*(1-'SOTP Bridge'!$C$18)</f>
        <v/>
      </c>
    </row>
    <row r="26">
      <c r="A26" s="6" t="inlineStr">
        <is>
          <t>Normalised earnings per share (EGP)</t>
        </is>
      </c>
      <c r="C26" s="16">
        <f>C25/Assumptions!$C$6</f>
        <v/>
      </c>
    </row>
    <row r="27">
      <c r="A27" s="6" t="inlineStr">
        <is>
          <t>Justified price / earnings</t>
        </is>
      </c>
      <c r="C27" s="37">
        <f>Assumptions!$C$70</f>
        <v/>
      </c>
    </row>
    <row r="28">
      <c r="A28" s="13" t="inlineStr">
        <is>
          <t>Implied value per share, rolled to the anchor (EGP)</t>
        </is>
      </c>
      <c r="B28" s="13" t="n"/>
      <c r="C28" s="33">
        <f>C26*C27*DCF!$C$61-Assumptions!$C$49</f>
        <v/>
      </c>
      <c r="D28" s="6" t="inlineStr">
        <is>
          <t>bear 7.0× (E) / bull 11.5× (F):</t>
        </is>
      </c>
      <c r="E28" s="16">
        <f>C26*7*DCF!$C$61-Assumptions!$C$49</f>
        <v/>
      </c>
      <c r="F28" s="16">
        <f>C26*11.5*DCF!$C$61-Assumptions!$C$49</f>
        <v/>
      </c>
    </row>
    <row r="30">
      <c r="A30" s="5" t="inlineStr">
        <is>
          <t>Book lens</t>
        </is>
      </c>
      <c r="B30" s="5" t="inlineStr">
        <is>
          <t>Value</t>
        </is>
      </c>
    </row>
    <row r="31">
      <c r="A31" s="6" t="inlineStr">
        <is>
          <t>Book value per share (EGP)</t>
        </is>
      </c>
      <c r="C31" s="8">
        <f>'Balance Sheet'!D14/Assumptions!$C$6</f>
        <v/>
      </c>
    </row>
    <row r="32">
      <c r="A32" s="6" t="inlineStr">
        <is>
          <t>Sustainable return on equity</t>
        </is>
      </c>
      <c r="C32" s="9">
        <f>Assumptions!$C$71</f>
        <v/>
      </c>
    </row>
    <row r="33">
      <c r="A33" s="6" t="inlineStr">
        <is>
          <t>Trailing return on equity</t>
        </is>
      </c>
      <c r="C33" s="17">
        <f>'Income Statement'!D17/(('Balance Sheet'!C14+'Balance Sheet'!D14)/2)</f>
        <v/>
      </c>
    </row>
    <row r="34">
      <c r="A34" s="6" t="inlineStr">
        <is>
          <t>Perpetual (terminal) cost of equity — a steady-state multiple takes a steady-state rate</t>
        </is>
      </c>
      <c r="C34" s="17">
        <f>DCF!C49</f>
        <v/>
      </c>
    </row>
    <row r="35">
      <c r="A35" s="6" t="inlineStr">
        <is>
          <t>Justified price / book</t>
        </is>
      </c>
      <c r="C35" s="37">
        <f>(C32-Assumptions!$C$40)/(C34-Assumptions!$C$40)</f>
        <v/>
      </c>
    </row>
    <row r="36">
      <c r="A36" s="13" t="inlineStr">
        <is>
          <t>Implied value per share, rolled to the anchor (EGP)</t>
        </is>
      </c>
      <c r="B36" s="13" t="n"/>
      <c r="C36" s="33">
        <f>C31*C35*DCF!$C$61-Assumptions!$C$49</f>
        <v/>
      </c>
      <c r="D36" s="6" t="inlineStr">
        <is>
          <t>bear / bull constructions (E / F):</t>
        </is>
      </c>
      <c r="E36" s="16">
        <f>((Assumptions!$C$71-0.03)/((DCF!C39+DCF!C49)/2-0.03))*C31*DCF!$C$61-Assumptions!$C$49</f>
        <v/>
      </c>
      <c r="F36" s="16">
        <f>((Assumptions!$C$71+0.02-Assumptions!$C$40)/(DCF!C49-Assumptions!$C$40))*C31*DCF!$C$61-Assumptions!$C$49</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Discounted cash flow — the full waterfall</t>
        </is>
      </c>
      <c r="B1" s="2" t="n"/>
      <c r="C1" s="2" t="n"/>
      <c r="D1" s="2" t="n"/>
      <c r="E1" s="2" t="n"/>
      <c r="F1" s="2" t="n"/>
    </row>
    <row r="2">
      <c r="A2" s="4" t="inlineStr">
        <is>
          <t>Every line is a live formula: the cost of capital is built below, the glide is derived from the cost-of-debt path, and the terminal value is capitalised at the terminal rate and discounted at the year-5 factor</t>
        </is>
      </c>
    </row>
    <row r="4">
      <c r="A4" s="5" t="inlineStr">
        <is>
          <t>EGP mn</t>
        </is>
      </c>
      <c r="B4" s="5" t="inlineStr">
        <is>
          <t>FY26E</t>
        </is>
      </c>
      <c r="C4" s="5" t="inlineStr">
        <is>
          <t>FY27E</t>
        </is>
      </c>
      <c r="D4" s="5" t="inlineStr">
        <is>
          <t>FY28E</t>
        </is>
      </c>
      <c r="E4" s="5" t="inlineStr">
        <is>
          <t>FY29E</t>
        </is>
      </c>
      <c r="F4" s="5" t="inlineStr">
        <is>
          <t>FY30E</t>
        </is>
      </c>
    </row>
    <row r="5">
      <c r="A5" s="6" t="inlineStr">
        <is>
          <t>Revenue</t>
        </is>
      </c>
      <c r="B5" s="19">
        <f>Segments!E8</f>
        <v/>
      </c>
      <c r="C5" s="19">
        <f>Segments!F8</f>
        <v/>
      </c>
      <c r="D5" s="19">
        <f>Segments!G8</f>
        <v/>
      </c>
      <c r="E5" s="19">
        <f>Segments!H8</f>
        <v/>
      </c>
      <c r="F5" s="19">
        <f>Segments!I8</f>
        <v/>
      </c>
    </row>
    <row r="6">
      <c r="A6" s="6" t="inlineStr">
        <is>
          <t>EBITDA</t>
        </is>
      </c>
      <c r="B6" s="19">
        <f>Segments!B23</f>
        <v/>
      </c>
      <c r="C6" s="19">
        <f>Segments!C23</f>
        <v/>
      </c>
      <c r="D6" s="19">
        <f>Segments!D23</f>
        <v/>
      </c>
      <c r="E6" s="19">
        <f>Segments!E23</f>
        <v/>
      </c>
      <c r="F6" s="19">
        <f>Segments!F23</f>
        <v/>
      </c>
    </row>
    <row r="7">
      <c r="A7" s="6" t="inlineStr">
        <is>
          <t>EBITDA margin</t>
        </is>
      </c>
      <c r="B7" s="9">
        <f>B6/B5</f>
        <v/>
      </c>
      <c r="C7" s="9">
        <f>C6/C5</f>
        <v/>
      </c>
      <c r="D7" s="9">
        <f>D6/D5</f>
        <v/>
      </c>
      <c r="E7" s="9">
        <f>E6/E5</f>
        <v/>
      </c>
      <c r="F7" s="9">
        <f>F6/F5</f>
        <v/>
      </c>
    </row>
    <row r="8">
      <c r="A8" s="6" t="inlineStr">
        <is>
          <t>Less depreciation and amortisation</t>
        </is>
      </c>
      <c r="B8" s="31">
        <f>-B5*Assumptions!$C$27</f>
        <v/>
      </c>
      <c r="C8" s="31">
        <f>-C5*Assumptions!$C$27</f>
        <v/>
      </c>
      <c r="D8" s="31">
        <f>-D5*Assumptions!$C$27</f>
        <v/>
      </c>
      <c r="E8" s="31">
        <f>-E5*Assumptions!$C$27</f>
        <v/>
      </c>
      <c r="F8" s="31">
        <f>-F5*Assumptions!$C$27</f>
        <v/>
      </c>
    </row>
    <row r="9">
      <c r="A9" s="13" t="inlineStr">
        <is>
          <t>EBIT</t>
        </is>
      </c>
      <c r="B9" s="32">
        <f>B6+B8</f>
        <v/>
      </c>
      <c r="C9" s="32">
        <f>C6+C8</f>
        <v/>
      </c>
      <c r="D9" s="32">
        <f>D6+D8</f>
        <v/>
      </c>
      <c r="E9" s="32">
        <f>E6+E8</f>
        <v/>
      </c>
      <c r="F9" s="32">
        <f>F6+F8</f>
        <v/>
      </c>
    </row>
    <row r="10">
      <c r="A10" s="6" t="inlineStr">
        <is>
          <t>NOPAT — EBIT x (1 - 24%)</t>
        </is>
      </c>
      <c r="B10" s="31">
        <f>B9*(1-Assumptions!$C$7)</f>
        <v/>
      </c>
      <c r="C10" s="31">
        <f>C9*(1-Assumptions!$C$7)</f>
        <v/>
      </c>
      <c r="D10" s="31">
        <f>D9*(1-Assumptions!$C$7)</f>
        <v/>
      </c>
      <c r="E10" s="31">
        <f>E9*(1-Assumptions!$C$7)</f>
        <v/>
      </c>
      <c r="F10" s="31">
        <f>F9*(1-Assumptions!$C$7)</f>
        <v/>
      </c>
    </row>
    <row r="11">
      <c r="A11" s="6" t="inlineStr">
        <is>
          <t>Add back depreciation and amortisation</t>
        </is>
      </c>
      <c r="B11" s="31">
        <f>-B8</f>
        <v/>
      </c>
      <c r="C11" s="31">
        <f>-C8</f>
        <v/>
      </c>
      <c r="D11" s="31">
        <f>-D8</f>
        <v/>
      </c>
      <c r="E11" s="31">
        <f>-E8</f>
        <v/>
      </c>
      <c r="F11" s="31">
        <f>-F8</f>
        <v/>
      </c>
    </row>
    <row r="12">
      <c r="A12" s="6" t="inlineStr">
        <is>
          <t>Less capital expenditure</t>
        </is>
      </c>
      <c r="B12" s="31">
        <f>-B5*Assumptions!$B$26</f>
        <v/>
      </c>
      <c r="C12" s="31">
        <f>-C5*Assumptions!$C$26</f>
        <v/>
      </c>
      <c r="D12" s="31">
        <f>-D5*Assumptions!$D$26</f>
        <v/>
      </c>
      <c r="E12" s="31">
        <f>-E5*Assumptions!$E$26</f>
        <v/>
      </c>
      <c r="F12" s="31">
        <f>-F5*Assumptions!$F$26</f>
        <v/>
      </c>
    </row>
    <row r="13">
      <c r="A13" s="6" t="inlineStr">
        <is>
          <t>Less change in working capital</t>
        </is>
      </c>
      <c r="B13" s="31">
        <f>-(B5*Assumptions!$C$25-'Balance Sheet'!D16)</f>
        <v/>
      </c>
      <c r="C13" s="31">
        <f>-(C5-B5)*Assumptions!$C$25</f>
        <v/>
      </c>
      <c r="D13" s="31">
        <f>-(D5-C5)*Assumptions!$C$25</f>
        <v/>
      </c>
      <c r="E13" s="31">
        <f>-(E5-D5)*Assumptions!$C$25</f>
        <v/>
      </c>
      <c r="F13" s="31">
        <f>-(F5-E5)*Assumptions!$C$25</f>
        <v/>
      </c>
    </row>
    <row r="14">
      <c r="A14" s="13" t="inlineStr">
        <is>
          <t>Free cash flow to the firm</t>
        </is>
      </c>
      <c r="B14" s="32">
        <f>B10+B11+B12+B13</f>
        <v/>
      </c>
      <c r="C14" s="32">
        <f>C10+C11+C12+C13</f>
        <v/>
      </c>
      <c r="D14" s="32">
        <f>D10+D11+D12+D13</f>
        <v/>
      </c>
      <c r="E14" s="32">
        <f>E10+E11+E12+E13</f>
        <v/>
      </c>
      <c r="F14" s="32">
        <f>F10+F11+F12+F13</f>
        <v/>
      </c>
    </row>
    <row r="15">
      <c r="A15" s="6" t="inlineStr">
        <is>
          <t>Forward cost of capital</t>
        </is>
      </c>
      <c r="B15" s="38">
        <f>$C$46-($C$46-$C$53)*B57</f>
        <v/>
      </c>
      <c r="C15" s="38">
        <f>$C$46-($C$46-$C$53)*C57</f>
        <v/>
      </c>
      <c r="D15" s="38">
        <f>$C$46-($C$46-$C$53)*D57</f>
        <v/>
      </c>
      <c r="E15" s="38">
        <f>$C$46-($C$46-$C$53)*E57</f>
        <v/>
      </c>
      <c r="F15" s="38">
        <f>$C$46-($C$46-$C$53)*F57</f>
        <v/>
      </c>
    </row>
    <row r="16">
      <c r="A16" s="6" t="inlineStr">
        <is>
          <t>Discount factor</t>
        </is>
      </c>
      <c r="B16" s="39">
        <f>1/(1+B15)</f>
        <v/>
      </c>
      <c r="C16" s="39">
        <f>B16/(1+C15)</f>
        <v/>
      </c>
      <c r="D16" s="39">
        <f>C16/(1+D15)</f>
        <v/>
      </c>
      <c r="E16" s="39">
        <f>D16/(1+E15)</f>
        <v/>
      </c>
      <c r="F16" s="39">
        <f>E16/(1+F15)</f>
        <v/>
      </c>
    </row>
    <row r="17">
      <c r="A17" s="13" t="inlineStr">
        <is>
          <t>Present value of FCFF</t>
        </is>
      </c>
      <c r="B17" s="32">
        <f>B14*B16</f>
        <v/>
      </c>
      <c r="C17" s="32">
        <f>C14*C16</f>
        <v/>
      </c>
      <c r="D17" s="32">
        <f>D14*D16</f>
        <v/>
      </c>
      <c r="E17" s="32">
        <f>E14*E16</f>
        <v/>
      </c>
      <c r="F17" s="32">
        <f>F14*F16</f>
        <v/>
      </c>
    </row>
    <row r="19">
      <c r="A19" s="15" t="inlineStr">
        <is>
          <t>TERMINAL VALUE, BRIDGE AND THE ANCHOR ROLL</t>
        </is>
      </c>
    </row>
    <row r="20">
      <c r="A20" s="6" t="inlineStr">
        <is>
          <t>Terminal-year NOPAT — the LAST EXPLICIT year (FY2030), NOT grown (EGP mn)</t>
        </is>
      </c>
      <c r="C20" s="31">
        <f>F10</f>
        <v/>
      </c>
    </row>
    <row r="21">
      <c r="A21" s="6" t="inlineStr">
        <is>
          <t>Add back FY2030 book depreciation and amortisation (EGP mn)</t>
        </is>
      </c>
      <c r="C21" s="31">
        <f>-F8</f>
        <v/>
      </c>
    </row>
    <row r="22">
      <c r="A22" s="6" t="inlineStr">
        <is>
          <t>Terminal free cash flow to the firm — C20 + C21 less the capital charge on rows 65-67</t>
        </is>
      </c>
      <c r="C22" s="31">
        <f>C20+C21+C65+C66+C67</f>
        <v/>
      </c>
    </row>
    <row r="23">
      <c r="A23" s="6" t="inlineStr">
        <is>
          <t>Terminal growth (nominal, derived from zero real growth and terminal inflation)</t>
        </is>
      </c>
      <c r="C23" s="17">
        <f>Assumptions!$C$40</f>
        <v/>
      </c>
    </row>
    <row r="24">
      <c r="A24" s="6" t="inlineStr">
        <is>
          <t>Terminal cost of capital</t>
        </is>
      </c>
      <c r="C24" s="9">
        <f>C53</f>
        <v/>
      </c>
    </row>
    <row r="25">
      <c r="A25" s="6" t="inlineStr">
        <is>
          <t>Terminal value — C22 grown one year and capitalised at (C24 − C23) (EGP mn)</t>
        </is>
      </c>
      <c r="C25" s="31">
        <f>C22*(1+C23)/(C24-C23)</f>
        <v/>
      </c>
    </row>
    <row r="26">
      <c r="A26" s="6" t="inlineStr">
        <is>
          <t>Present value of the five forecast years (EGP mn)</t>
        </is>
      </c>
      <c r="C26" s="31">
        <f>SUM(B17:F17)</f>
        <v/>
      </c>
    </row>
    <row r="27">
      <c r="A27" s="6" t="inlineStr">
        <is>
          <t>Present value of the terminal value (EGP mn)</t>
        </is>
      </c>
      <c r="C27" s="31">
        <f>C25*F16</f>
        <v/>
      </c>
    </row>
    <row r="28">
      <c r="A28" s="6" t="inlineStr">
        <is>
          <t>Terminal value as a share of enterprise value</t>
        </is>
      </c>
      <c r="C28" s="9">
        <f>C27/(C26+C27)</f>
        <v/>
      </c>
    </row>
    <row r="29">
      <c r="A29" s="6" t="inlineStr">
        <is>
          <t>Enterprise value (EGP mn)</t>
        </is>
      </c>
      <c r="C29" s="31">
        <f>C26+C27</f>
        <v/>
      </c>
    </row>
    <row r="30">
      <c r="A30" s="6" t="inlineStr">
        <is>
          <t>Equity attributable to ordinary shareholders (EGP mn)</t>
        </is>
      </c>
      <c r="C30" s="19">
        <f>'SOTP Bridge'!C13</f>
        <v/>
      </c>
    </row>
    <row r="31">
      <c r="A31" s="13" t="inlineStr">
        <is>
          <t>Fair value per share at 31-Dec-2025 (EGP)</t>
        </is>
      </c>
      <c r="B31" s="13" t="n"/>
      <c r="C31" s="33">
        <f>C30/Assumptions!$C$6</f>
        <v/>
      </c>
      <c r="D31" s="13" t="n"/>
    </row>
    <row r="33">
      <c r="A33" s="15" t="inlineStr">
        <is>
          <t>COST OF CAPITAL — BUILT HERE, NOT ASSUMED</t>
        </is>
      </c>
    </row>
    <row r="34">
      <c r="A34" s="6" t="inlineStr">
        <is>
          <t>Risk-free rate, 10-year local currency</t>
        </is>
      </c>
      <c r="C34" s="23">
        <f>Assumptions!$C$30</f>
        <v/>
      </c>
    </row>
    <row r="35">
      <c r="A35" s="6" t="inlineStr">
        <is>
          <t>Less sovereign default spread (removed to avoid double-counting)</t>
        </is>
      </c>
      <c r="C35" s="23">
        <f>Assumptions!$C$31</f>
        <v/>
      </c>
    </row>
    <row r="36">
      <c r="A36" s="6" t="inlineStr">
        <is>
          <t>Risk-free rate net of the sovereign spread</t>
        </is>
      </c>
      <c r="C36" s="38">
        <f>C34-C35</f>
        <v/>
      </c>
    </row>
    <row r="37">
      <c r="A37" s="6" t="inlineStr">
        <is>
          <t>Beta</t>
        </is>
      </c>
      <c r="C37" s="40">
        <f>Assumptions!$C$33</f>
        <v/>
      </c>
    </row>
    <row r="38">
      <c r="A38" s="6" t="inlineStr">
        <is>
          <t>Equity risk premium</t>
        </is>
      </c>
      <c r="C38" s="23">
        <f>Assumptions!$C$32</f>
        <v/>
      </c>
    </row>
    <row r="39">
      <c r="A39" s="6" t="inlineStr">
        <is>
          <t>Cost of equity, explicit window</t>
        </is>
      </c>
      <c r="C39" s="38">
        <f>C36+C37*C38</f>
        <v/>
      </c>
    </row>
    <row r="40">
      <c r="A40" s="6" t="inlineStr">
        <is>
          <t>Cost of debt, blended</t>
        </is>
      </c>
      <c r="C40" s="23">
        <f>Assumptions!$C$34</f>
        <v/>
      </c>
    </row>
    <row r="41">
      <c r="A41" s="6" t="inlineStr">
        <is>
          <t>Cost of debt after tax</t>
        </is>
      </c>
      <c r="C41" s="38">
        <f>C40*(1-Assumptions!$C$7)</f>
        <v/>
      </c>
    </row>
    <row r="42">
      <c r="A42" s="6" t="inlineStr">
        <is>
          <t>Market capitalisation (EGP mn)</t>
        </is>
      </c>
      <c r="C42" s="19">
        <f>Assumptions!$C$5*Assumptions!$C$6</f>
        <v/>
      </c>
    </row>
    <row r="43">
      <c r="A43" s="6" t="inlineStr">
        <is>
          <t>Net bank debt (EGP mn)</t>
        </is>
      </c>
      <c r="C43" s="19">
        <f>Assumptions!$C$43</f>
        <v/>
      </c>
    </row>
    <row r="44">
      <c r="A44" s="6" t="inlineStr">
        <is>
          <t>Debt weight (net debt / (net debt + market capitalisation))</t>
        </is>
      </c>
      <c r="C44" s="38">
        <f>C43/(C43+C42)</f>
        <v/>
      </c>
    </row>
    <row r="45">
      <c r="A45" s="6" t="inlineStr">
        <is>
          <t>Equity weight</t>
        </is>
      </c>
      <c r="C45" s="38">
        <f>1-C44</f>
        <v/>
      </c>
    </row>
    <row r="46">
      <c r="A46" s="13" t="inlineStr">
        <is>
          <t>Cost of capital, explicit window</t>
        </is>
      </c>
      <c r="B46" s="13" t="n"/>
      <c r="C46" s="41">
        <f>C45*C39+C44*C41</f>
        <v/>
      </c>
      <c r="D46" s="13" t="n"/>
    </row>
    <row r="47">
      <c r="A47" s="6" t="inlineStr">
        <is>
          <t>Terminal risk-free rate</t>
        </is>
      </c>
      <c r="C47" s="23">
        <f>Assumptions!$C$36</f>
        <v/>
      </c>
    </row>
    <row r="48">
      <c r="A48" s="6" t="inlineStr">
        <is>
          <t>Terminal equity risk premium</t>
        </is>
      </c>
      <c r="C48" s="23">
        <f>Assumptions!$C$37</f>
        <v/>
      </c>
    </row>
    <row r="49">
      <c r="A49" s="6" t="inlineStr">
        <is>
          <t>Terminal cost of equity</t>
        </is>
      </c>
      <c r="C49" s="38">
        <f>C47+C37*C48</f>
        <v/>
      </c>
    </row>
    <row r="50">
      <c r="A50" s="6" t="inlineStr">
        <is>
          <t>Terminal cost of debt</t>
        </is>
      </c>
      <c r="C50" s="23">
        <f>Assumptions!$C$38</f>
        <v/>
      </c>
    </row>
    <row r="51">
      <c r="A51" s="6" t="inlineStr">
        <is>
          <t>Terminal cost of debt after tax</t>
        </is>
      </c>
      <c r="C51" s="38">
        <f>C50*(1-Assumptions!$C$7)</f>
        <v/>
      </c>
    </row>
    <row r="52">
      <c r="A52" s="6" t="inlineStr">
        <is>
          <t>Terminal debt weight</t>
        </is>
      </c>
      <c r="C52" s="23">
        <f>Assumptions!$C$39</f>
        <v/>
      </c>
    </row>
    <row r="53">
      <c r="A53" s="13" t="inlineStr">
        <is>
          <t>Terminal cost of capital</t>
        </is>
      </c>
      <c r="B53" s="13" t="n"/>
      <c r="C53" s="41">
        <f>(1-C52)*C49+C52*C51</f>
        <v/>
      </c>
      <c r="D53" s="13" t="n"/>
    </row>
    <row r="55">
      <c r="A55" s="5" t="inlineStr">
        <is>
          <t>The glide — inherited from the cost-of-debt path, not invented</t>
        </is>
      </c>
      <c r="B55" s="5" t="inlineStr">
        <is>
          <t>FY26E</t>
        </is>
      </c>
      <c r="C55" s="5" t="inlineStr">
        <is>
          <t>FY27E</t>
        </is>
      </c>
      <c r="D55" s="5" t="inlineStr">
        <is>
          <t>FY28E</t>
        </is>
      </c>
      <c r="E55" s="5" t="inlineStr">
        <is>
          <t>FY29E</t>
        </is>
      </c>
      <c r="F55" s="5" t="inlineStr">
        <is>
          <t>FY30E</t>
        </is>
      </c>
    </row>
    <row r="56">
      <c r="A56" s="6" t="inlineStr">
        <is>
          <t>Cost of debt path</t>
        </is>
      </c>
      <c r="B56" s="23">
        <f>Assumptions!$B$35</f>
        <v/>
      </c>
      <c r="C56" s="23">
        <f>Assumptions!$C$35</f>
        <v/>
      </c>
      <c r="D56" s="23">
        <f>Assumptions!$D$35</f>
        <v/>
      </c>
      <c r="E56" s="23">
        <f>Assumptions!$E$35</f>
        <v/>
      </c>
      <c r="F56" s="23">
        <f>Assumptions!$F$35</f>
        <v/>
      </c>
    </row>
    <row r="57">
      <c r="A57" s="6" t="inlineStr">
        <is>
          <t>Glide fraction — cumulative progress of the easing</t>
        </is>
      </c>
      <c r="B57" s="38">
        <f>($B$56-B56)/($B$56-$F$56)</f>
        <v/>
      </c>
      <c r="C57" s="38">
        <f>($B$56-C56)/($B$56-$F$56)</f>
        <v/>
      </c>
      <c r="D57" s="38">
        <f>($B$56-D56)/($B$56-$F$56)</f>
        <v/>
      </c>
      <c r="E57" s="38">
        <f>($B$56-E56)/($B$56-$F$56)</f>
        <v/>
      </c>
      <c r="F57" s="38">
        <f>($B$56-F56)/($B$56-$F$56)</f>
        <v/>
      </c>
    </row>
    <row r="58">
      <c r="A58" s="4" t="inlineStr">
        <is>
          <t>Note: row 15 above is the explicit-window cost of capital walked down to the terminal rate by the glide fraction on row 57, so the shape of the easing is inherited from the cost-of-debt path rather than being a second free parameter.</t>
        </is>
      </c>
    </row>
    <row r="60">
      <c r="A60" s="15" t="inlineStr">
        <is>
          <t>THE ANCHOR ROLL — one date, one price of time</t>
        </is>
      </c>
    </row>
    <row r="61">
      <c r="A61" s="6" t="inlineStr">
        <is>
          <t>Anchor accretion factor — (1 + cost of equity)^(days to anchor / 365)</t>
        </is>
      </c>
      <c r="C61" s="39">
        <f>(1+C39)^(Assumptions!$C$53/365)</f>
        <v/>
      </c>
    </row>
    <row r="62">
      <c r="A62" s="13" t="inlineStr">
        <is>
          <t>Fair value per share at the 3-Sep-2026 anchor (EGP)</t>
        </is>
      </c>
      <c r="B62" s="13" t="n"/>
      <c r="C62" s="33">
        <f>C31*C61-Assumptions!$C$49</f>
        <v/>
      </c>
      <c r="D62" s="13" t="n"/>
    </row>
    <row r="63">
      <c r="A63" s="4" t="inlineStr">
        <is>
          <t>The bridge on row 31 is dated 31-Dec-2025 (the audited balance-sheet date it subtracts net debt at). Row 62 rolls it to the anchor at the cost of equity, net of the EGP 1.85 FY2025 dividend paid in the window. Every lens on every sheet is rolled the same way.</t>
        </is>
      </c>
    </row>
    <row r="64">
      <c r="A64" s="15" t="inlineStr">
        <is>
          <t>THE TERMINAL'S CAPITAL CHARGE — MAINTENANCE AT CURRENT COST, NEVER g x IC</t>
        </is>
      </c>
    </row>
    <row r="65">
      <c r="A65" s="6" t="inlineStr">
        <is>
          <t>Less maintenance capital at current replacement cost — FY2030 book depreciation escalated over half the DISCLOSED useful life</t>
        </is>
      </c>
      <c r="C65" s="19">
        <f>F8*(1+Assumptions!$C$56)^(Assumptions!$C$57/2)</f>
        <v/>
      </c>
    </row>
    <row r="66">
      <c r="A66" s="6" t="inlineStr">
        <is>
          <t>Less capital for real growth — zero, because the stated real growth is zero</t>
        </is>
      </c>
      <c r="C66" s="31">
        <f>0</f>
        <v/>
      </c>
    </row>
    <row r="67">
      <c r="A67" s="6" t="inlineStr">
        <is>
          <t>Less inflation on the terminal working-capital base</t>
        </is>
      </c>
      <c r="C67" s="19">
        <f>-Assumptions!$C$58*Assumptions!$C$56</f>
        <v/>
      </c>
    </row>
    <row r="68">
      <c r="A68" s="4" t="inlineStr">
        <is>
          <t>Terminal return on invested capital (disclosure — it drives nothing here; the retired construction that used it charged g x IC every year for ever, which reads as replacing the whole asset base every 1/g years and is a fact about the inflation rate rather than about the asset)</t>
        </is>
      </c>
      <c r="C68" s="9">
        <f>F10*(1+C23)/'Summary Financials'!I13</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Income statement — three years historical, five years forecast</t>
        </is>
      </c>
      <c r="B1" s="2" t="n"/>
      <c r="C1" s="2" t="n"/>
      <c r="D1" s="2" t="n"/>
      <c r="E1" s="2" t="n"/>
      <c r="F1" s="2" t="n"/>
      <c r="G1" s="2" t="n"/>
      <c r="H1" s="2" t="n"/>
      <c r="I1" s="2" t="n"/>
    </row>
    <row r="2">
      <c r="A2" s="4" t="inlineStr">
        <is>
          <t>EGP mn, consolidated. History is the audited record; every forecast line is a formula</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13" t="inlineStr">
        <is>
          <t>Revenue</t>
        </is>
      </c>
      <c r="B5" s="32" t="n">
        <v>152186.247545</v>
      </c>
      <c r="C5" s="32" t="n">
        <v>231981.835577</v>
      </c>
      <c r="D5" s="32" t="n">
        <v>281049.081719</v>
      </c>
      <c r="E5" s="32">
        <f>DCF!B5</f>
        <v/>
      </c>
      <c r="F5" s="32">
        <f>DCF!C5</f>
        <v/>
      </c>
      <c r="G5" s="32">
        <f>DCF!D5</f>
        <v/>
      </c>
      <c r="H5" s="32">
        <f>DCF!E5</f>
        <v/>
      </c>
      <c r="I5" s="32">
        <f>DCF!F5</f>
        <v/>
      </c>
    </row>
    <row r="6">
      <c r="A6" s="6" t="inlineStr">
        <is>
          <t>Gross profit</t>
        </is>
      </c>
      <c r="B6" s="24" t="n">
        <v>29077.288803</v>
      </c>
      <c r="C6" s="24" t="n">
        <v>43898.520903</v>
      </c>
      <c r="D6" s="24" t="n">
        <v>40762.108187</v>
      </c>
      <c r="E6" s="19">
        <f>Segments!B14</f>
        <v/>
      </c>
      <c r="F6" s="19">
        <f>Segments!C14</f>
        <v/>
      </c>
      <c r="G6" s="19">
        <f>Segments!D14</f>
        <v/>
      </c>
      <c r="H6" s="19">
        <f>Segments!E14</f>
        <v/>
      </c>
      <c r="I6" s="19">
        <f>Segments!F14</f>
        <v/>
      </c>
    </row>
    <row r="7">
      <c r="A7" s="13" t="inlineStr">
        <is>
          <t>EBITDA</t>
        </is>
      </c>
      <c r="B7" s="32" t="n">
        <v>20035.105205</v>
      </c>
      <c r="C7" s="32" t="n">
        <v>31601.46495</v>
      </c>
      <c r="D7" s="32" t="n">
        <v>28363.203246</v>
      </c>
      <c r="E7" s="32">
        <f>DCF!B6</f>
        <v/>
      </c>
      <c r="F7" s="32">
        <f>DCF!C6</f>
        <v/>
      </c>
      <c r="G7" s="32">
        <f>DCF!D6</f>
        <v/>
      </c>
      <c r="H7" s="32">
        <f>DCF!E6</f>
        <v/>
      </c>
      <c r="I7" s="32">
        <f>DCF!F6</f>
        <v/>
      </c>
    </row>
    <row r="8">
      <c r="A8" s="6" t="inlineStr">
        <is>
          <t>EBITDA margin</t>
        </is>
      </c>
      <c r="B8" s="9">
        <f>B7/B5</f>
        <v/>
      </c>
      <c r="C8" s="9">
        <f>C7/C5</f>
        <v/>
      </c>
      <c r="D8" s="9">
        <f>D7/D5</f>
        <v/>
      </c>
      <c r="E8" s="9">
        <f>E7/E5</f>
        <v/>
      </c>
      <c r="F8" s="9">
        <f>F7/F5</f>
        <v/>
      </c>
      <c r="G8" s="9">
        <f>G7/G5</f>
        <v/>
      </c>
      <c r="H8" s="9">
        <f>H7/H5</f>
        <v/>
      </c>
      <c r="I8" s="9">
        <f>I7/I5</f>
        <v/>
      </c>
    </row>
    <row r="9">
      <c r="A9" s="6" t="inlineStr">
        <is>
          <t>Depreciation and amortisation</t>
        </is>
      </c>
      <c r="B9" s="24" t="n">
        <v>-2295.986956</v>
      </c>
      <c r="C9" s="24" t="n">
        <v>-2259.745806</v>
      </c>
      <c r="D9" s="24" t="n">
        <v>-3008.977627</v>
      </c>
      <c r="E9" s="19">
        <f>DCF!B8</f>
        <v/>
      </c>
      <c r="F9" s="19">
        <f>DCF!C8</f>
        <v/>
      </c>
      <c r="G9" s="19">
        <f>DCF!D8</f>
        <v/>
      </c>
      <c r="H9" s="19">
        <f>DCF!E8</f>
        <v/>
      </c>
      <c r="I9" s="19">
        <f>DCF!F8</f>
        <v/>
      </c>
    </row>
    <row r="10">
      <c r="A10" s="13" t="inlineStr">
        <is>
          <t>EBIT</t>
        </is>
      </c>
      <c r="B10" s="32">
        <f>B7+B9</f>
        <v/>
      </c>
      <c r="C10" s="32">
        <f>C7+C9</f>
        <v/>
      </c>
      <c r="D10" s="32">
        <f>D7+D9</f>
        <v/>
      </c>
      <c r="E10" s="32">
        <f>E7+E9</f>
        <v/>
      </c>
      <c r="F10" s="32">
        <f>F7+F9</f>
        <v/>
      </c>
      <c r="G10" s="32">
        <f>G7+G9</f>
        <v/>
      </c>
      <c r="H10" s="32">
        <f>H7+H9</f>
        <v/>
      </c>
      <c r="I10" s="32">
        <f>I7+I9</f>
        <v/>
      </c>
    </row>
    <row r="11">
      <c r="A11" s="6" t="inlineStr">
        <is>
          <t>Net finance costs</t>
        </is>
      </c>
      <c r="B11" s="24" t="n">
        <v>-2124.362277</v>
      </c>
      <c r="C11" s="24" t="n">
        <v>-3515.365946</v>
      </c>
      <c r="D11" s="24" t="n">
        <v>-2145.438755</v>
      </c>
      <c r="E11" s="31">
        <f>-(Assumptions!$B$35*'Balance Sheet'!$D$11-Assumptions!$C$52*MAX('Balance Sheet'!$D$11-'Balance Sheet'!D17,0))</f>
        <v/>
      </c>
      <c r="F11" s="31">
        <f>-(Assumptions!$C$35*'Balance Sheet'!$D$11-Assumptions!$C$52*MAX('Balance Sheet'!$D$11-'Balance Sheet'!E17,0))</f>
        <v/>
      </c>
      <c r="G11" s="31">
        <f>-(Assumptions!$D$35*'Balance Sheet'!$D$11-Assumptions!$C$52*MAX('Balance Sheet'!$D$11-'Balance Sheet'!F17,0))</f>
        <v/>
      </c>
      <c r="H11" s="31">
        <f>-(Assumptions!$E$35*'Balance Sheet'!$D$11-Assumptions!$C$52*MAX('Balance Sheet'!$D$11-'Balance Sheet'!G17,0))</f>
        <v/>
      </c>
      <c r="I11" s="31">
        <f>-(Assumptions!$F$35*'Balance Sheet'!$D$11-Assumptions!$C$52*MAX('Balance Sheet'!$D$11-'Balance Sheet'!H17,0))</f>
        <v/>
      </c>
    </row>
    <row r="12">
      <c r="A12" s="6" t="inlineStr">
        <is>
          <t>Share of equity-accounted investees</t>
        </is>
      </c>
      <c r="B12" s="24" t="n">
        <v>603.624972</v>
      </c>
      <c r="C12" s="24" t="n">
        <v>1132.366257</v>
      </c>
      <c r="D12" s="24" t="n">
        <v>1568.902975</v>
      </c>
      <c r="E12" s="31">
        <f>D12*(1+Assumptions!$C$51)</f>
        <v/>
      </c>
      <c r="F12" s="31">
        <f>E12*(1+Assumptions!$C$51)</f>
        <v/>
      </c>
      <c r="G12" s="31">
        <f>F12*(1+Assumptions!$C$51)</f>
        <v/>
      </c>
      <c r="H12" s="31">
        <f>G12*(1+Assumptions!$C$51)</f>
        <v/>
      </c>
      <c r="I12" s="31">
        <f>H12*(1+Assumptions!$C$51)</f>
        <v/>
      </c>
    </row>
    <row r="13">
      <c r="A13" s="6" t="inlineStr">
        <is>
          <t>Profit before tax</t>
        </is>
      </c>
      <c r="B13" s="31">
        <f>B10+B11+B12</f>
        <v/>
      </c>
      <c r="C13" s="31">
        <f>C10+C11+C12</f>
        <v/>
      </c>
      <c r="D13" s="31">
        <f>D10+D11+D12</f>
        <v/>
      </c>
      <c r="E13" s="31">
        <f>E10+E11+E12</f>
        <v/>
      </c>
      <c r="F13" s="31">
        <f>F10+F11+F12</f>
        <v/>
      </c>
      <c r="G13" s="31">
        <f>G10+G11+G12</f>
        <v/>
      </c>
      <c r="H13" s="31">
        <f>H10+H11+H12</f>
        <v/>
      </c>
      <c r="I13" s="31">
        <f>I10+I11+I12</f>
        <v/>
      </c>
    </row>
    <row r="14">
      <c r="A14" s="6" t="inlineStr">
        <is>
          <t>Income tax</t>
        </is>
      </c>
      <c r="B14" s="24" t="n">
        <v>-5080.406688</v>
      </c>
      <c r="C14" s="24" t="n">
        <v>-8121.510082</v>
      </c>
      <c r="D14" s="24" t="n">
        <v>-5591.139782</v>
      </c>
      <c r="E14" s="31">
        <f>-E13*Assumptions!$C$7</f>
        <v/>
      </c>
      <c r="F14" s="31">
        <f>-F13*Assumptions!$C$7</f>
        <v/>
      </c>
      <c r="G14" s="31">
        <f>-G13*Assumptions!$C$7</f>
        <v/>
      </c>
      <c r="H14" s="31">
        <f>-H13*Assumptions!$C$7</f>
        <v/>
      </c>
      <c r="I14" s="31">
        <f>-I13*Assumptions!$C$7</f>
        <v/>
      </c>
    </row>
    <row r="15">
      <c r="A15" s="6" t="inlineStr">
        <is>
          <t>Profit for the year</t>
        </is>
      </c>
      <c r="B15" s="24" t="n">
        <v>11137.974256</v>
      </c>
      <c r="C15" s="24" t="n">
        <v>18837.209373</v>
      </c>
      <c r="D15" s="24" t="n">
        <v>19186.550057</v>
      </c>
      <c r="E15" s="31">
        <f>E13+E14</f>
        <v/>
      </c>
      <c r="F15" s="31">
        <f>F13+F14</f>
        <v/>
      </c>
      <c r="G15" s="31">
        <f>G13+G14</f>
        <v/>
      </c>
      <c r="H15" s="31">
        <f>H13+H14</f>
        <v/>
      </c>
      <c r="I15" s="31">
        <f>I13+I14</f>
        <v/>
      </c>
    </row>
    <row r="16">
      <c r="A16" s="6" t="inlineStr">
        <is>
          <t>Non-controlling interests</t>
        </is>
      </c>
      <c r="B16" s="24" t="n">
        <v>-1022.272478999999</v>
      </c>
      <c r="C16" s="24" t="n">
        <v>-1375.850659</v>
      </c>
      <c r="D16" s="24" t="n">
        <v>-1856.305067000001</v>
      </c>
      <c r="E16" s="31">
        <f>-E15*'SOTP Bridge'!$C$17</f>
        <v/>
      </c>
      <c r="F16" s="31">
        <f>-F15*'SOTP Bridge'!$C$17</f>
        <v/>
      </c>
      <c r="G16" s="31">
        <f>-G15*'SOTP Bridge'!$C$17</f>
        <v/>
      </c>
      <c r="H16" s="31">
        <f>-H15*'SOTP Bridge'!$C$17</f>
        <v/>
      </c>
      <c r="I16" s="31">
        <f>-I15*'SOTP Bridge'!$C$17</f>
        <v/>
      </c>
    </row>
    <row r="17">
      <c r="A17" s="13" t="inlineStr">
        <is>
          <t>Profit attributable to shareholders</t>
        </is>
      </c>
      <c r="B17" s="32" t="n">
        <v>10115.701777</v>
      </c>
      <c r="C17" s="32" t="n">
        <v>17461.358714</v>
      </c>
      <c r="D17" s="32" t="n">
        <v>17330.24499</v>
      </c>
      <c r="E17" s="32">
        <f>E15+E16</f>
        <v/>
      </c>
      <c r="F17" s="32">
        <f>F15+F16</f>
        <v/>
      </c>
      <c r="G17" s="32">
        <f>G15+G16</f>
        <v/>
      </c>
      <c r="H17" s="32">
        <f>H15+H16</f>
        <v/>
      </c>
      <c r="I17" s="32">
        <f>I15+I16</f>
        <v/>
      </c>
    </row>
    <row r="18">
      <c r="A18" s="6" t="inlineStr">
        <is>
          <t>Earnings per share (EGP)</t>
        </is>
      </c>
      <c r="B18" s="16">
        <f>B17/Assumptions!$C$6</f>
        <v/>
      </c>
      <c r="C18" s="16">
        <f>C17/Assumptions!$C$6</f>
        <v/>
      </c>
      <c r="D18" s="16">
        <f>D17/Assumptions!$C$6</f>
        <v/>
      </c>
      <c r="E18" s="16">
        <f>E17/Assumptions!$C$6</f>
        <v/>
      </c>
      <c r="F18" s="16">
        <f>F17/Assumptions!$C$6</f>
        <v/>
      </c>
      <c r="G18" s="16">
        <f>G17/Assumptions!$C$6</f>
        <v/>
      </c>
      <c r="H18" s="16">
        <f>H17/Assumptions!$C$6</f>
        <v/>
      </c>
      <c r="I18" s="16">
        <f>I17/Assumptions!$C$6</f>
        <v/>
      </c>
    </row>
    <row r="20">
      <c r="A20" s="4" t="inlineStr">
        <is>
          <t>Note: every FY2023-25 statement line is the audited figure — no closure or derivation is used for any historical year (the EBITDA and EPS rows are labelled house derivations). In the forecast the finance charge is computed on the gross debt book less the cash the business is accumulating, so it moves with net debt rather than being frozen at the FY2025 balance; profit is therefore struck after interest and differs from the pre-financing DCF waterfall by construction.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Balance sheet — condensed</t>
        </is>
      </c>
      <c r="B1" s="2" t="n"/>
      <c r="C1" s="2" t="n"/>
      <c r="D1" s="2" t="n"/>
      <c r="E1" s="2" t="n"/>
      <c r="F1" s="2" t="n"/>
      <c r="G1" s="2" t="n"/>
      <c r="H1" s="2" t="n"/>
      <c r="I1" s="2" t="n"/>
    </row>
    <row r="2">
      <c r="A2" s="4" t="inlineStr">
        <is>
          <t>EGP mn, consolidated. Every FY2023-25 line is the audited closing figure — no triangulation is needed for any year, including FY2025, because the full filing is in hand</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Property, plant and equipment</t>
        </is>
      </c>
      <c r="B5" s="24" t="n">
        <v>18009.166367</v>
      </c>
      <c r="C5" s="24" t="n">
        <v>27543.762675</v>
      </c>
      <c r="D5" s="24" t="n">
        <v>35961.076614</v>
      </c>
      <c r="E5" s="31">
        <f>D5-DCF!B12+DCF!B8</f>
        <v/>
      </c>
      <c r="F5" s="31">
        <f>E5-DCF!C12+DCF!C8</f>
        <v/>
      </c>
      <c r="G5" s="31">
        <f>F5-DCF!D12+DCF!D8</f>
        <v/>
      </c>
      <c r="H5" s="31">
        <f>G5-DCF!E12+DCF!E8</f>
        <v/>
      </c>
      <c r="I5" s="31">
        <f>H5-DCF!F12+DCF!F8</f>
        <v/>
      </c>
    </row>
    <row r="6">
      <c r="A6" s="6" t="inlineStr">
        <is>
          <t>Inventories</t>
        </is>
      </c>
      <c r="B6" s="24" t="n">
        <v>30881.822082</v>
      </c>
      <c r="C6" s="24" t="n">
        <v>56795.884068</v>
      </c>
      <c r="D6" s="24" t="n">
        <v>59860.04457</v>
      </c>
    </row>
    <row r="7">
      <c r="A7" s="6" t="inlineStr">
        <is>
          <t>Contract assets</t>
        </is>
      </c>
      <c r="B7" s="24" t="n">
        <v>16179.633722</v>
      </c>
      <c r="C7" s="24" t="n">
        <v>18051.96657</v>
      </c>
      <c r="D7" s="24" t="n">
        <v>29894.579591</v>
      </c>
    </row>
    <row r="8">
      <c r="A8" s="6" t="inlineStr">
        <is>
          <t>Trade and other receivables</t>
        </is>
      </c>
      <c r="B8" s="24" t="n">
        <v>46591.885092</v>
      </c>
      <c r="C8" s="24" t="n">
        <v>86736.309423</v>
      </c>
      <c r="D8" s="24" t="n">
        <v>116259.797169</v>
      </c>
    </row>
    <row r="9">
      <c r="A9" s="6" t="inlineStr">
        <is>
          <t>Cash and cash equivalents</t>
        </is>
      </c>
      <c r="B9" s="24" t="n">
        <v>25552.0448</v>
      </c>
      <c r="C9" s="24" t="n">
        <v>38180.002322</v>
      </c>
      <c r="D9" s="31">
        <f>D11-D17</f>
        <v/>
      </c>
    </row>
    <row r="10">
      <c r="A10" s="13" t="inlineStr">
        <is>
          <t>Total assets</t>
        </is>
      </c>
      <c r="B10" s="32" t="n">
        <v>151448.654828</v>
      </c>
      <c r="C10" s="32" t="n">
        <v>249527.138687</v>
      </c>
      <c r="D10" s="32" t="n">
        <v>311099.090775</v>
      </c>
      <c r="E10" s="13" t="n"/>
      <c r="F10" s="13" t="n"/>
      <c r="G10" s="13" t="n"/>
      <c r="H10" s="13" t="n"/>
      <c r="I10" s="13" t="n"/>
    </row>
    <row r="11">
      <c r="A11" s="6" t="inlineStr">
        <is>
          <t>Loans and borrowings</t>
        </is>
      </c>
      <c r="B11" s="24" t="n">
        <v>41766.492071</v>
      </c>
      <c r="C11" s="24" t="n">
        <v>59082.941807</v>
      </c>
      <c r="D11" s="24" t="n">
        <v>62509.211797</v>
      </c>
    </row>
    <row r="12">
      <c r="A12" s="6" t="inlineStr">
        <is>
          <t>Trade and other payables</t>
        </is>
      </c>
      <c r="B12" s="24" t="n">
        <v>31938.12206</v>
      </c>
      <c r="C12" s="24" t="n">
        <v>54808.185042</v>
      </c>
      <c r="D12" s="24" t="n">
        <v>68895.662044</v>
      </c>
    </row>
    <row r="13">
      <c r="A13" s="6" t="inlineStr">
        <is>
          <t>Contract liabilities</t>
        </is>
      </c>
      <c r="B13" s="24" t="n">
        <v>25060.328092</v>
      </c>
      <c r="C13" s="24" t="n">
        <v>53281.056753</v>
      </c>
      <c r="D13" s="24" t="n">
        <v>81266.224686</v>
      </c>
    </row>
    <row r="14">
      <c r="A14" s="13" t="inlineStr">
        <is>
          <t>Equity attributable to shareholders</t>
        </is>
      </c>
      <c r="B14" s="32" t="n">
        <v>35724.466132</v>
      </c>
      <c r="C14" s="32" t="n">
        <v>55274.913356</v>
      </c>
      <c r="D14" s="32" t="n">
        <v>66870.86655000001</v>
      </c>
      <c r="E14" s="32">
        <f>D14+'Income Statement'!E17*(1-Assumptions!$C$50)</f>
        <v/>
      </c>
      <c r="F14" s="32">
        <f>E14+'Income Statement'!F17*(1-Assumptions!$C$50)</f>
        <v/>
      </c>
      <c r="G14" s="32">
        <f>F14+'Income Statement'!G17*(1-Assumptions!$C$50)</f>
        <v/>
      </c>
      <c r="H14" s="32">
        <f>G14+'Income Statement'!H17*(1-Assumptions!$C$50)</f>
        <v/>
      </c>
      <c r="I14" s="32">
        <f>H14+'Income Statement'!I17*(1-Assumptions!$C$50)</f>
        <v/>
      </c>
    </row>
    <row r="15">
      <c r="A15" s="6" t="inlineStr">
        <is>
          <t>Non-controlling interests</t>
        </is>
      </c>
      <c r="B15" s="24" t="n">
        <v>2384.013396</v>
      </c>
      <c r="C15" s="24" t="n">
        <v>4251.7719</v>
      </c>
      <c r="D15" s="24" t="n">
        <v>5118.978381</v>
      </c>
    </row>
    <row r="16">
      <c r="A16" s="6" t="inlineStr">
        <is>
          <t>Net working capital</t>
        </is>
      </c>
      <c r="B16" s="24" t="n">
        <v>36654.89074399999</v>
      </c>
      <c r="C16" s="24" t="n">
        <v>53494.91826600001</v>
      </c>
      <c r="D16" s="24" t="n">
        <v>55852.53459999998</v>
      </c>
      <c r="E16" s="31">
        <f>'Income Statement'!E5*Assumptions!$C$25</f>
        <v/>
      </c>
      <c r="F16" s="31">
        <f>'Income Statement'!F5*Assumptions!$C$25</f>
        <v/>
      </c>
      <c r="G16" s="31">
        <f>'Income Statement'!G5*Assumptions!$C$25</f>
        <v/>
      </c>
      <c r="H16" s="31">
        <f>'Income Statement'!H5*Assumptions!$C$25</f>
        <v/>
      </c>
      <c r="I16" s="31">
        <f>'Income Statement'!I5*Assumptions!$C$25</f>
        <v/>
      </c>
    </row>
    <row r="17">
      <c r="A17" s="13" t="inlineStr">
        <is>
          <t>Net bank debt</t>
        </is>
      </c>
      <c r="B17" s="32" t="n">
        <v>16214.447271</v>
      </c>
      <c r="C17" s="32" t="n">
        <v>20902.939485</v>
      </c>
      <c r="D17" s="32">
        <f>Assumptions!$C$43</f>
        <v/>
      </c>
      <c r="E17" s="32">
        <f>D17-DCF!B14-'Income Statement'!E11*(1-Assumptions!$C$7)+Assumptions!$C$50*'Income Statement'!E17</f>
        <v/>
      </c>
      <c r="F17" s="32">
        <f>E17-DCF!C14-'Income Statement'!F11*(1-Assumptions!$C$7)+Assumptions!$C$50*'Income Statement'!F17</f>
        <v/>
      </c>
      <c r="G17" s="32">
        <f>F17-DCF!D14-'Income Statement'!G11*(1-Assumptions!$C$7)+Assumptions!$C$50*'Income Statement'!G17</f>
        <v/>
      </c>
      <c r="H17" s="32">
        <f>G17-DCF!E14-'Income Statement'!H11*(1-Assumptions!$C$7)+Assumptions!$C$50*'Income Statement'!H17</f>
        <v/>
      </c>
      <c r="I17" s="32">
        <f>H17-DCF!F14-'Income Statement'!I11*(1-Assumptions!$C$7)+Assumptions!$C$50*'Income Statement'!I17</f>
        <v/>
      </c>
    </row>
    <row r="18">
      <c r="A18" s="6" t="inlineStr">
        <is>
          <t>Net debt / EBITDA</t>
        </is>
      </c>
      <c r="B18" s="37">
        <f>B17/'Income Statement'!B7</f>
        <v/>
      </c>
      <c r="C18" s="37">
        <f>C17/'Income Statement'!C7</f>
        <v/>
      </c>
      <c r="D18" s="37">
        <f>D17/'Income Statement'!D7</f>
        <v/>
      </c>
      <c r="E18" s="37">
        <f>E17/'Income Statement'!E7</f>
        <v/>
      </c>
      <c r="F18" s="37">
        <f>F17/'Income Statement'!F7</f>
        <v/>
      </c>
      <c r="G18" s="37">
        <f>G17/'Income Statement'!G7</f>
        <v/>
      </c>
      <c r="H18" s="37">
        <f>H17/'Income Statement'!H7</f>
        <v/>
      </c>
      <c r="I18" s="37">
        <f>I17/'Income Statement'!I7</f>
        <v/>
      </c>
    </row>
    <row r="19">
      <c r="A19" s="6" t="inlineStr">
        <is>
          <t>Residual: other liabilities, provisions and deferred tax not shown separately (total assets less the lines above)</t>
        </is>
      </c>
      <c r="B19" s="31">
        <f>B10-(B11+B12+B13+B14+B15)</f>
        <v/>
      </c>
      <c r="C19" s="31">
        <f>C10-(C11+C12+C13+C14+C15)</f>
        <v/>
      </c>
      <c r="D19" s="31">
        <f>D10-(D11+D12+D13+D14+D15)</f>
        <v/>
      </c>
    </row>
    <row r="21">
      <c r="A21" s="4" t="inlineStr">
        <is>
          <t>Note: this is a CONDENSED layout, so it does not foot to zero — the residual row above is the block of other liabilities, provisions, deferred tax and related-party balances that is not shown separately. For FY2024 that residual is 22,828, which reconciles to the audited statements (provisions 13,440 + 943, deferred tax 3,670, related parties 2,050 + 95, other liabilities 2,631 = 22,829). Every line, including FY2025, is now the audited closing figure — no triangulation or roll-forward is used for any historical year.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Cash flow — historical markers and the forecast waterfall</t>
        </is>
      </c>
      <c r="B1" s="2" t="n"/>
      <c r="C1" s="2" t="n"/>
      <c r="D1" s="2" t="n"/>
      <c r="E1" s="2" t="n"/>
      <c r="F1" s="2" t="n"/>
      <c r="G1" s="2" t="n"/>
      <c r="H1" s="2" t="n"/>
      <c r="I1" s="2" t="n"/>
    </row>
    <row r="2">
      <c r="A2" s="4" t="inlineStr">
        <is>
          <t>EGP mn</t>
        </is>
      </c>
    </row>
    <row r="4">
      <c r="A4" s="5" t="inlineStr">
        <is>
          <t>EGP mn</t>
        </is>
      </c>
      <c r="B4" s="5" t="inlineStr">
        <is>
          <t>FY2024</t>
        </is>
      </c>
      <c r="C4" s="5" t="inlineStr">
        <is>
          <t>FY2025</t>
        </is>
      </c>
      <c r="D4" s="5" t="inlineStr">
        <is>
          <t>FY26E</t>
        </is>
      </c>
      <c r="E4" s="5" t="inlineStr">
        <is>
          <t>FY27E</t>
        </is>
      </c>
      <c r="F4" s="5" t="inlineStr">
        <is>
          <t>FY28E</t>
        </is>
      </c>
      <c r="G4" s="5" t="inlineStr">
        <is>
          <t>FY29E</t>
        </is>
      </c>
      <c r="H4" s="5" t="inlineStr">
        <is>
          <t>FY30E</t>
        </is>
      </c>
    </row>
    <row r="5">
      <c r="A5" s="6" t="inlineStr">
        <is>
          <t>EBITDA</t>
        </is>
      </c>
      <c r="B5" s="19">
        <f>'Income Statement'!C7</f>
        <v/>
      </c>
      <c r="C5" s="19">
        <f>'Income Statement'!D7</f>
        <v/>
      </c>
      <c r="D5" s="19">
        <f>'Income Statement'!E7</f>
        <v/>
      </c>
      <c r="E5" s="19">
        <f>'Income Statement'!F7</f>
        <v/>
      </c>
      <c r="F5" s="19">
        <f>'Income Statement'!G7</f>
        <v/>
      </c>
      <c r="G5" s="19">
        <f>'Income Statement'!H7</f>
        <v/>
      </c>
      <c r="H5" s="19">
        <f>'Income Statement'!I7</f>
        <v/>
      </c>
    </row>
    <row r="6">
      <c r="A6" s="6" t="inlineStr">
        <is>
          <t>Interest paid</t>
        </is>
      </c>
      <c r="B6" s="31" t="inlineStr">
        <is>
          <t>-</t>
        </is>
      </c>
      <c r="C6" s="24" t="n">
        <v>-5740.31242</v>
      </c>
    </row>
    <row r="7">
      <c r="A7" s="6" t="inlineStr">
        <is>
          <t>Income tax paid</t>
        </is>
      </c>
      <c r="B7" s="31" t="inlineStr">
        <is>
          <t>-</t>
        </is>
      </c>
      <c r="C7" s="24" t="n">
        <v>-8298.752112</v>
      </c>
    </row>
    <row r="8">
      <c r="A8" s="6" t="inlineStr">
        <is>
          <t>Operating cash flow after interest and tax</t>
        </is>
      </c>
      <c r="B8" s="31" t="inlineStr">
        <is>
          <t>-</t>
        </is>
      </c>
      <c r="C8" s="24" t="n">
        <v>12765.922545</v>
      </c>
    </row>
    <row r="9">
      <c r="A9" s="6" t="inlineStr">
        <is>
          <t>NOPAT</t>
        </is>
      </c>
      <c r="B9" s="31" t="inlineStr">
        <is>
          <t>-</t>
        </is>
      </c>
      <c r="C9" s="31" t="inlineStr">
        <is>
          <t>-</t>
        </is>
      </c>
      <c r="D9" s="19">
        <f>DCF!B10</f>
        <v/>
      </c>
      <c r="E9" s="19">
        <f>DCF!C10</f>
        <v/>
      </c>
      <c r="F9" s="19">
        <f>DCF!D10</f>
        <v/>
      </c>
      <c r="G9" s="19">
        <f>DCF!E10</f>
        <v/>
      </c>
      <c r="H9" s="19">
        <f>DCF!F10</f>
        <v/>
      </c>
    </row>
    <row r="10">
      <c r="A10" s="6" t="inlineStr">
        <is>
          <t>Add back depreciation and amortisation</t>
        </is>
      </c>
      <c r="B10" s="31" t="inlineStr">
        <is>
          <t>-</t>
        </is>
      </c>
      <c r="C10" s="31" t="inlineStr">
        <is>
          <t>-</t>
        </is>
      </c>
      <c r="D10" s="19">
        <f>DCF!B11</f>
        <v/>
      </c>
      <c r="E10" s="19">
        <f>DCF!C11</f>
        <v/>
      </c>
      <c r="F10" s="19">
        <f>DCF!D11</f>
        <v/>
      </c>
      <c r="G10" s="19">
        <f>DCF!E11</f>
        <v/>
      </c>
      <c r="H10" s="19">
        <f>DCF!F11</f>
        <v/>
      </c>
    </row>
    <row r="11">
      <c r="A11" s="6" t="inlineStr">
        <is>
          <t>Capital expenditure</t>
        </is>
      </c>
      <c r="B11" s="24" t="n">
        <v>-8489.780912</v>
      </c>
      <c r="C11" s="24" t="n">
        <v>-13112.049791</v>
      </c>
      <c r="D11" s="19">
        <f>DCF!B12</f>
        <v/>
      </c>
      <c r="E11" s="19">
        <f>DCF!C12</f>
        <v/>
      </c>
      <c r="F11" s="19">
        <f>DCF!D12</f>
        <v/>
      </c>
      <c r="G11" s="19">
        <f>DCF!E12</f>
        <v/>
      </c>
      <c r="H11" s="19">
        <f>DCF!F12</f>
        <v/>
      </c>
    </row>
    <row r="12">
      <c r="A12" s="6" t="inlineStr">
        <is>
          <t>Change in working capital</t>
        </is>
      </c>
      <c r="B12" s="31" t="inlineStr">
        <is>
          <t>-</t>
        </is>
      </c>
      <c r="C12" s="31">
        <f>-('Balance Sheet'!D16-'Balance Sheet'!C16)</f>
        <v/>
      </c>
      <c r="D12" s="19">
        <f>DCF!B13</f>
        <v/>
      </c>
      <c r="E12" s="19">
        <f>DCF!C13</f>
        <v/>
      </c>
      <c r="F12" s="19">
        <f>DCF!D13</f>
        <v/>
      </c>
      <c r="G12" s="19">
        <f>DCF!E13</f>
        <v/>
      </c>
      <c r="H12" s="19">
        <f>DCF!F13</f>
        <v/>
      </c>
    </row>
    <row r="13">
      <c r="A13" s="13" t="inlineStr">
        <is>
          <t>Free cash flow to the firm</t>
        </is>
      </c>
      <c r="B13" s="32" t="inlineStr">
        <is>
          <t>-</t>
        </is>
      </c>
      <c r="C13" s="32" t="inlineStr">
        <is>
          <t>-</t>
        </is>
      </c>
      <c r="D13" s="32">
        <f>D9+D10+D11+D12</f>
        <v/>
      </c>
      <c r="E13" s="32">
        <f>E9+E10+E11+E12</f>
        <v/>
      </c>
      <c r="F13" s="32">
        <f>F9+F10+F11+F12</f>
        <v/>
      </c>
      <c r="G13" s="32">
        <f>G9+G10+G11+G12</f>
        <v/>
      </c>
      <c r="H13" s="32">
        <f>H9+H10+H11+H12</f>
        <v/>
      </c>
      <c r="I13" s="13" t="n"/>
    </row>
    <row r="15">
      <c r="A15" s="6" t="inlineStr">
        <is>
          <t>Cash conversion — operating cash flow as a share of EBITDA, FY2025</t>
        </is>
      </c>
      <c r="C15" s="9">
        <f>C8/C5</f>
        <v/>
      </c>
    </row>
    <row r="16">
      <c r="A16" s="4" t="inlineStr">
        <is>
          <t>This single ratio is the crux of the valuation: the company earned far more EBITDA than it converted to cash, because growth was funded through working capital.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Summary financials — the eight-year picture</t>
        </is>
      </c>
      <c r="B1" s="2" t="n"/>
      <c r="C1" s="2" t="n"/>
      <c r="D1" s="2" t="n"/>
      <c r="E1" s="2" t="n"/>
      <c r="F1" s="2" t="n"/>
      <c r="G1" s="2" t="n"/>
      <c r="H1" s="2" t="n"/>
      <c r="I1" s="2" t="n"/>
    </row>
    <row r="2">
      <c r="A2" s="4" t="inlineStr">
        <is>
          <t>EGP mn unless stated. Every cell on this sheet is a link or a ratio; nothing is typed twice</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Revenue</t>
        </is>
      </c>
      <c r="B5" s="19">
        <f>'Income Statement'!B5</f>
        <v/>
      </c>
      <c r="C5" s="19">
        <f>'Income Statement'!C5</f>
        <v/>
      </c>
      <c r="D5" s="19">
        <f>'Income Statement'!D5</f>
        <v/>
      </c>
      <c r="E5" s="19">
        <f>'Income Statement'!E5</f>
        <v/>
      </c>
      <c r="F5" s="19">
        <f>'Income Statement'!F5</f>
        <v/>
      </c>
      <c r="G5" s="19">
        <f>'Income Statement'!G5</f>
        <v/>
      </c>
      <c r="H5" s="19">
        <f>'Income Statement'!H5</f>
        <v/>
      </c>
      <c r="I5" s="19">
        <f>'Income Statement'!I5</f>
        <v/>
      </c>
    </row>
    <row r="6">
      <c r="A6" s="6" t="inlineStr">
        <is>
          <t>Revenue growth</t>
        </is>
      </c>
      <c r="B6" s="9" t="inlineStr">
        <is>
          <t>-</t>
        </is>
      </c>
      <c r="C6" s="9">
        <f>C5/B5-1</f>
        <v/>
      </c>
      <c r="D6" s="9">
        <f>D5/C5-1</f>
        <v/>
      </c>
      <c r="E6" s="9">
        <f>E5/D5-1</f>
        <v/>
      </c>
      <c r="F6" s="9">
        <f>F5/E5-1</f>
        <v/>
      </c>
      <c r="G6" s="9">
        <f>G5/F5-1</f>
        <v/>
      </c>
      <c r="H6" s="9">
        <f>H5/G5-1</f>
        <v/>
      </c>
      <c r="I6" s="9">
        <f>I5/H5-1</f>
        <v/>
      </c>
    </row>
    <row r="7">
      <c r="A7" s="6" t="inlineStr">
        <is>
          <t>EBITDA</t>
        </is>
      </c>
      <c r="B7" s="19">
        <f>'Income Statement'!B7</f>
        <v/>
      </c>
      <c r="C7" s="19">
        <f>'Income Statement'!C7</f>
        <v/>
      </c>
      <c r="D7" s="19">
        <f>'Income Statement'!D7</f>
        <v/>
      </c>
      <c r="E7" s="19">
        <f>'Income Statement'!E7</f>
        <v/>
      </c>
      <c r="F7" s="19">
        <f>'Income Statement'!F7</f>
        <v/>
      </c>
      <c r="G7" s="19">
        <f>'Income Statement'!G7</f>
        <v/>
      </c>
      <c r="H7" s="19">
        <f>'Income Statement'!H7</f>
        <v/>
      </c>
      <c r="I7" s="19">
        <f>'Income Statement'!I7</f>
        <v/>
      </c>
    </row>
    <row r="8">
      <c r="A8" s="6" t="inlineStr">
        <is>
          <t>EBITDA margin</t>
        </is>
      </c>
      <c r="B8" s="9">
        <f>B7/B5</f>
        <v/>
      </c>
      <c r="C8" s="9">
        <f>C7/C5</f>
        <v/>
      </c>
      <c r="D8" s="9">
        <f>D7/D5</f>
        <v/>
      </c>
      <c r="E8" s="9">
        <f>E7/E5</f>
        <v/>
      </c>
      <c r="F8" s="9">
        <f>F7/F5</f>
        <v/>
      </c>
      <c r="G8" s="9">
        <f>G7/G5</f>
        <v/>
      </c>
      <c r="H8" s="9">
        <f>H7/H5</f>
        <v/>
      </c>
      <c r="I8" s="9">
        <f>I7/I5</f>
        <v/>
      </c>
    </row>
    <row r="9">
      <c r="A9" s="6" t="inlineStr">
        <is>
          <t>EBIT</t>
        </is>
      </c>
      <c r="B9" s="19">
        <f>'Income Statement'!B10</f>
        <v/>
      </c>
      <c r="C9" s="19">
        <f>'Income Statement'!C10</f>
        <v/>
      </c>
      <c r="D9" s="19">
        <f>'Income Statement'!D10</f>
        <v/>
      </c>
      <c r="E9" s="19">
        <f>'Income Statement'!E10</f>
        <v/>
      </c>
      <c r="F9" s="19">
        <f>'Income Statement'!F10</f>
        <v/>
      </c>
      <c r="G9" s="19">
        <f>'Income Statement'!G10</f>
        <v/>
      </c>
      <c r="H9" s="19">
        <f>'Income Statement'!H10</f>
        <v/>
      </c>
      <c r="I9" s="19">
        <f>'Income Statement'!I10</f>
        <v/>
      </c>
    </row>
    <row r="10">
      <c r="A10" s="6" t="inlineStr">
        <is>
          <t>Attributable profit</t>
        </is>
      </c>
      <c r="B10" s="19">
        <f>'Income Statement'!B17</f>
        <v/>
      </c>
      <c r="C10" s="19">
        <f>'Income Statement'!C17</f>
        <v/>
      </c>
      <c r="D10" s="19">
        <f>'Income Statement'!D17</f>
        <v/>
      </c>
      <c r="E10" s="19">
        <f>'Income Statement'!E17</f>
        <v/>
      </c>
      <c r="F10" s="19">
        <f>'Income Statement'!F17</f>
        <v/>
      </c>
      <c r="G10" s="19">
        <f>'Income Statement'!G17</f>
        <v/>
      </c>
      <c r="H10" s="19">
        <f>'Income Statement'!H17</f>
        <v/>
      </c>
      <c r="I10" s="19">
        <f>'Income Statement'!I17</f>
        <v/>
      </c>
    </row>
    <row r="11">
      <c r="A11" s="6" t="inlineStr">
        <is>
          <t>Free cash flow to the firm</t>
        </is>
      </c>
      <c r="B11" s="31" t="inlineStr">
        <is>
          <t>-</t>
        </is>
      </c>
      <c r="C11" s="31" t="inlineStr">
        <is>
          <t>-</t>
        </is>
      </c>
      <c r="D11" s="31" t="inlineStr">
        <is>
          <t>-</t>
        </is>
      </c>
      <c r="E11" s="19">
        <f>'Cash Flow'!D13</f>
        <v/>
      </c>
      <c r="F11" s="19">
        <f>'Cash Flow'!E13</f>
        <v/>
      </c>
      <c r="G11" s="19">
        <f>'Cash Flow'!F13</f>
        <v/>
      </c>
      <c r="H11" s="19">
        <f>'Cash Flow'!G13</f>
        <v/>
      </c>
      <c r="I11" s="19">
        <f>'Cash Flow'!H13</f>
        <v/>
      </c>
    </row>
    <row r="12">
      <c r="A12" s="6" t="inlineStr">
        <is>
          <t>Net bank debt</t>
        </is>
      </c>
      <c r="B12" s="19">
        <f>'Balance Sheet'!B17</f>
        <v/>
      </c>
      <c r="C12" s="19">
        <f>'Balance Sheet'!C17</f>
        <v/>
      </c>
      <c r="D12" s="19">
        <f>'Balance Sheet'!D17</f>
        <v/>
      </c>
      <c r="E12" s="19">
        <f>'Balance Sheet'!E17</f>
        <v/>
      </c>
      <c r="F12" s="19">
        <f>'Balance Sheet'!F17</f>
        <v/>
      </c>
      <c r="G12" s="19">
        <f>'Balance Sheet'!G17</f>
        <v/>
      </c>
      <c r="H12" s="19">
        <f>'Balance Sheet'!H17</f>
        <v/>
      </c>
      <c r="I12" s="19">
        <f>'Balance Sheet'!I17</f>
        <v/>
      </c>
    </row>
    <row r="13">
      <c r="A13" s="6" t="inlineStr">
        <is>
          <t>Invested capital</t>
        </is>
      </c>
      <c r="B13" s="31" t="inlineStr">
        <is>
          <t>-</t>
        </is>
      </c>
      <c r="C13" s="31" t="inlineStr">
        <is>
          <t>-</t>
        </is>
      </c>
      <c r="D13" s="19">
        <f>'Balance Sheet'!D16+'Balance Sheet'!D5+Assumptions!$C$45</f>
        <v/>
      </c>
      <c r="E13" s="19">
        <f>'Balance Sheet'!E16+'Balance Sheet'!E5+Assumptions!$C$45</f>
        <v/>
      </c>
      <c r="F13" s="19">
        <f>'Balance Sheet'!F16+'Balance Sheet'!F5+Assumptions!$C$45</f>
        <v/>
      </c>
      <c r="G13" s="19">
        <f>'Balance Sheet'!G16+'Balance Sheet'!G5+Assumptions!$C$45</f>
        <v/>
      </c>
      <c r="H13" s="19">
        <f>'Balance Sheet'!H16+'Balance Sheet'!H5+Assumptions!$C$45</f>
        <v/>
      </c>
      <c r="I13" s="19">
        <f>'Balance Sheet'!I16+'Balance Sheet'!I5+Assumptions!$C$45</f>
        <v/>
      </c>
    </row>
    <row r="14">
      <c r="A14" s="6" t="inlineStr">
        <is>
          <t>Return on invested capital</t>
        </is>
      </c>
      <c r="B14" s="9" t="inlineStr">
        <is>
          <t>-</t>
        </is>
      </c>
      <c r="C14" s="9" t="inlineStr">
        <is>
          <t>-</t>
        </is>
      </c>
      <c r="D14" s="9" t="inlineStr">
        <is>
          <t>-</t>
        </is>
      </c>
      <c r="E14" s="17">
        <f>DCF!B10/E13</f>
        <v/>
      </c>
      <c r="F14" s="17">
        <f>DCF!C10/F13</f>
        <v/>
      </c>
      <c r="G14" s="17">
        <f>DCF!D10/G13</f>
        <v/>
      </c>
      <c r="H14" s="17">
        <f>DCF!E10/H13</f>
        <v/>
      </c>
      <c r="I14" s="17">
        <f>DCF!F10/I13</f>
        <v/>
      </c>
    </row>
    <row r="16">
      <c r="A16" s="4" t="inlineStr">
        <is>
          <t>Return on invested capital is the DCF's NOPAT over the same year's invested capital, which is why the FY2025 column carries capital but no return: FY2025 NOPAT is struck on a different, post-financing basis and is reported in the terminal-growth reconciliation on the Per-Share &amp; Ratios sheet.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Probabilistic price map</t>
        </is>
      </c>
      <c r="B1" s="2" t="n"/>
      <c r="C1" s="2" t="n"/>
      <c r="D1" s="2" t="n"/>
      <c r="E1" s="2" t="n"/>
      <c r="F1" s="2" t="n"/>
      <c r="G1" s="2" t="n"/>
      <c r="H1" s="2" t="n"/>
    </row>
    <row r="2">
      <c r="A2" s="4" t="inlineStr">
        <is>
          <t>A map of price dispersion. It carries no view on value and is never blended with the valuation. Each figure is an engine output, not a formula.</t>
        </is>
      </c>
    </row>
    <row r="4">
      <c r="A4" s="5" t="inlineStr">
        <is>
          <t>Horizon</t>
        </is>
      </c>
      <c r="B4" s="5" t="inlineStr">
        <is>
          <t>5th</t>
        </is>
      </c>
      <c r="C4" s="5" t="inlineStr">
        <is>
          <t>25th</t>
        </is>
      </c>
      <c r="D4" s="5" t="inlineStr">
        <is>
          <t>Median</t>
        </is>
      </c>
      <c r="E4" s="5" t="inlineStr">
        <is>
          <t>75th</t>
        </is>
      </c>
      <c r="F4" s="5" t="inlineStr">
        <is>
          <t>95th</t>
        </is>
      </c>
      <c r="G4" s="5" t="inlineStr">
        <is>
          <t>P(above spot)</t>
        </is>
      </c>
    </row>
    <row r="5">
      <c r="A5" s="6" t="inlineStr">
        <is>
          <t>One month — to 2026-09-06</t>
        </is>
      </c>
      <c r="B5" s="7" t="n">
        <v>87.47283768142248</v>
      </c>
      <c r="C5" s="7" t="n">
        <v>99.10709529417855</v>
      </c>
      <c r="D5" s="7" t="n">
        <v>106.6824907823649</v>
      </c>
      <c r="E5" s="7" t="n">
        <v>114.8982326066757</v>
      </c>
      <c r="F5" s="7" t="n">
        <v>130.1682181904347</v>
      </c>
      <c r="G5" s="21" t="n">
        <v>0.55144</v>
      </c>
    </row>
    <row r="6">
      <c r="A6" s="6" t="inlineStr">
        <is>
          <t>Three months — to 2026-11-05</t>
        </is>
      </c>
      <c r="B6" s="7" t="n">
        <v>78.29508034182929</v>
      </c>
      <c r="C6" s="7" t="n">
        <v>96.93670208976819</v>
      </c>
      <c r="D6" s="7" t="n">
        <v>109.9075824742194</v>
      </c>
      <c r="E6" s="7" t="n">
        <v>124.4581193266816</v>
      </c>
      <c r="F6" s="7" t="n">
        <v>154.1934203763022</v>
      </c>
      <c r="G6" s="21" t="n">
        <v>0.59456</v>
      </c>
    </row>
    <row r="8">
      <c r="A8" s="5" t="inlineStr">
        <is>
          <t>Level event</t>
        </is>
      </c>
      <c r="B8" s="5" t="inlineStr">
        <is>
          <t>One month</t>
        </is>
      </c>
      <c r="C8" s="5" t="inlineStr">
        <is>
          <t>Three months</t>
        </is>
      </c>
    </row>
    <row r="9">
      <c r="A9" s="6" t="inlineStr">
        <is>
          <t>Finishes 10% or more above spot</t>
        </is>
      </c>
      <c r="B9" s="21" t="n">
        <v>0.23044</v>
      </c>
      <c r="C9" s="21" t="n">
        <v>0.3878</v>
      </c>
    </row>
    <row r="10">
      <c r="A10" s="6" t="inlineStr">
        <is>
          <t>Finishes 10% or more below spot</t>
        </is>
      </c>
      <c r="B10" s="21" t="n">
        <v>0.14414</v>
      </c>
      <c r="C10" s="21" t="n">
        <v>0.21232</v>
      </c>
    </row>
    <row r="11">
      <c r="A11" s="6" t="inlineStr">
        <is>
          <t>Touches 10% above spot at any point</t>
        </is>
      </c>
      <c r="B11" s="21" t="n">
        <v>0.36882</v>
      </c>
      <c r="C11" s="21" t="n">
        <v>0.6306</v>
      </c>
    </row>
    <row r="12">
      <c r="A12" s="6" t="inlineStr">
        <is>
          <t>Touches 10% below spot at any point</t>
        </is>
      </c>
      <c r="B12" s="21" t="n">
        <v>0.2549</v>
      </c>
      <c r="C12" s="21" t="n">
        <v>0.446</v>
      </c>
    </row>
    <row r="14">
      <c r="A14" s="5" t="inlineStr">
        <is>
          <t>Engine setting</t>
        </is>
      </c>
      <c r="B14" s="5" t="inlineStr">
        <is>
          <t>Value</t>
        </is>
      </c>
    </row>
    <row r="15">
      <c r="A15" s="6" t="inlineStr">
        <is>
          <t>Simulated paths</t>
        </is>
      </c>
      <c r="C15" s="24" t="n">
        <v>50000</v>
      </c>
    </row>
    <row r="16">
      <c r="A16" s="6" t="inlineStr">
        <is>
          <t>Annualised volatility (3-month anchor)</t>
        </is>
      </c>
      <c r="C16" s="21" t="n">
        <v>0.4838094309558744</v>
      </c>
    </row>
    <row r="17">
      <c r="A17" s="6" t="inlineStr">
        <is>
          <t>Spot price (EGP)</t>
        </is>
      </c>
      <c r="C17" s="8">
        <f>Summary!C16</f>
        <v/>
      </c>
    </row>
    <row r="18">
      <c r="A18" s="6" t="inlineStr">
        <is>
          <t>Anchor date</t>
        </is>
      </c>
      <c r="C18" s="22" t="inlineStr">
        <is>
          <t>2026-08-05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Sensitivity — what the valuation needs the world to do</t>
        </is>
      </c>
      <c r="B1" s="2" t="n"/>
      <c r="C1" s="2" t="n"/>
      <c r="D1" s="2" t="n"/>
      <c r="E1" s="2" t="n"/>
      <c r="F1" s="2" t="n"/>
      <c r="G1" s="2" t="n"/>
      <c r="H1" s="2" t="n"/>
    </row>
    <row r="2">
      <c r="A2" s="4" t="inlineStr">
        <is>
          <t>EGP per share. Each cell is a complete re-run of the model, including the unit build, so these grids are engine outputs rather than formulas and do NOT redraw when a driver is changed.</t>
        </is>
      </c>
    </row>
    <row r="4">
      <c r="A4" s="15" t="inlineStr">
        <is>
          <t>Terminal cost of capital (rows) x terminal growth (columns)</t>
        </is>
      </c>
    </row>
    <row r="5">
      <c r="A5" s="5" t="inlineStr"/>
      <c r="B5" s="5" t="inlineStr">
        <is>
          <t>3%</t>
        </is>
      </c>
      <c r="C5" s="5" t="inlineStr">
        <is>
          <t>4%</t>
        </is>
      </c>
      <c r="D5" s="5" t="inlineStr">
        <is>
          <t>5%</t>
        </is>
      </c>
      <c r="E5" s="5" t="inlineStr">
        <is>
          <t>6%</t>
        </is>
      </c>
      <c r="F5" s="5" t="inlineStr">
        <is>
          <t>7%</t>
        </is>
      </c>
    </row>
    <row r="6">
      <c r="A6" s="6" t="inlineStr">
        <is>
          <t>15.2%</t>
        </is>
      </c>
      <c r="B6" s="7" t="n">
        <v>54.89390300698878</v>
      </c>
      <c r="C6" s="7" t="n">
        <v>56.76608049282878</v>
      </c>
      <c r="D6" s="7" t="n">
        <v>58.9328825766538</v>
      </c>
      <c r="E6" s="7" t="n">
        <v>61.49018601091854</v>
      </c>
      <c r="F6" s="7" t="n">
        <v>64.58052940682644</v>
      </c>
    </row>
    <row r="7">
      <c r="A7" s="6" t="inlineStr">
        <is>
          <t>16.2%</t>
        </is>
      </c>
      <c r="B7" s="7" t="n">
        <v>49.59394363429544</v>
      </c>
      <c r="C7" s="7" t="n">
        <v>50.95326657112403</v>
      </c>
      <c r="D7" s="7" t="n">
        <v>52.49104063008191</v>
      </c>
      <c r="E7" s="7" t="n">
        <v>54.25965459765457</v>
      </c>
      <c r="F7" s="7" t="n">
        <v>56.33422840926579</v>
      </c>
    </row>
    <row r="8">
      <c r="A8" s="6" t="inlineStr">
        <is>
          <t>17.2%</t>
        </is>
      </c>
      <c r="B8" s="7" t="n">
        <v>45.05103667309857</v>
      </c>
      <c r="C8" s="7" t="n">
        <v>46.03042217002906</v>
      </c>
      <c r="D8" s="7" t="n">
        <v>47.11281563256473</v>
      </c>
      <c r="E8" s="7" t="n">
        <v>48.32576211063959</v>
      </c>
      <c r="F8" s="7" t="n">
        <v>49.7075887045515</v>
      </c>
    </row>
    <row r="9">
      <c r="A9" s="6" t="inlineStr">
        <is>
          <t>18.2%</t>
        </is>
      </c>
      <c r="B9" s="7" t="n">
        <v>41.11553668357441</v>
      </c>
      <c r="C9" s="7" t="n">
        <v>41.8093978775642</v>
      </c>
      <c r="D9" s="7" t="n">
        <v>42.55648627630665</v>
      </c>
      <c r="E9" s="7" t="n">
        <v>43.36987034045674</v>
      </c>
      <c r="F9" s="7" t="n">
        <v>44.26727799429032</v>
      </c>
    </row>
    <row r="10">
      <c r="A10" s="6" t="inlineStr">
        <is>
          <t>19.2%</t>
        </is>
      </c>
      <c r="B10" s="7" t="n">
        <v>37.67472174247933</v>
      </c>
      <c r="C10" s="7" t="n">
        <v>38.15151148948571</v>
      </c>
      <c r="D10" s="7" t="n">
        <v>38.648345329237</v>
      </c>
      <c r="E10" s="7" t="n">
        <v>39.16977223986016</v>
      </c>
      <c r="F10" s="7" t="n">
        <v>39.72183036633324</v>
      </c>
    </row>
    <row r="12">
      <c r="A12" s="15" t="inlineStr">
        <is>
          <t>Explicit-window cost of capital (columns) x terminal cost of capital (rows)</t>
        </is>
      </c>
    </row>
    <row r="13">
      <c r="A13" s="5" t="inlineStr"/>
      <c r="B13" s="5" t="inlineStr">
        <is>
          <t>25.8%</t>
        </is>
      </c>
      <c r="C13" s="5" t="inlineStr">
        <is>
          <t>27.3%</t>
        </is>
      </c>
      <c r="D13" s="5" t="inlineStr">
        <is>
          <t>28.8%</t>
        </is>
      </c>
      <c r="E13" s="5" t="inlineStr">
        <is>
          <t>30.3%</t>
        </is>
      </c>
      <c r="F13" s="5" t="inlineStr">
        <is>
          <t>31.8%</t>
        </is>
      </c>
    </row>
    <row r="14">
      <c r="A14" s="6" t="inlineStr">
        <is>
          <t>terminal 15.2%</t>
        </is>
      </c>
      <c r="B14" s="7" t="n">
        <v>68.64247049591957</v>
      </c>
      <c r="C14" s="7" t="n">
        <v>66.57546829677946</v>
      </c>
      <c r="D14" s="7" t="n">
        <v>64.58052940682644</v>
      </c>
      <c r="E14" s="7" t="n">
        <v>62.65451643723234</v>
      </c>
      <c r="F14" s="7" t="n">
        <v>60.79445670792633</v>
      </c>
    </row>
    <row r="15">
      <c r="A15" s="6" t="inlineStr">
        <is>
          <t>terminal 16.2%</t>
        </is>
      </c>
      <c r="B15" s="7" t="n">
        <v>59.93237666911776</v>
      </c>
      <c r="C15" s="7" t="n">
        <v>58.10144964510826</v>
      </c>
      <c r="D15" s="7" t="n">
        <v>56.33422840926579</v>
      </c>
      <c r="E15" s="7" t="n">
        <v>54.62794387184755</v>
      </c>
      <c r="F15" s="7" t="n">
        <v>52.9799721331991</v>
      </c>
    </row>
    <row r="16">
      <c r="A16" s="6" t="inlineStr">
        <is>
          <t>terminal 17.2%</t>
        </is>
      </c>
      <c r="B16" s="7" t="n">
        <v>52.93321441251824</v>
      </c>
      <c r="C16" s="7" t="n">
        <v>51.2919036374145</v>
      </c>
      <c r="D16" s="7" t="n">
        <v>49.7075887045515</v>
      </c>
      <c r="E16" s="7" t="n">
        <v>48.17779610598239</v>
      </c>
      <c r="F16" s="7" t="n">
        <v>46.70018186414503</v>
      </c>
    </row>
    <row r="17">
      <c r="A17" s="6" t="inlineStr">
        <is>
          <t>terminal 18.2%</t>
        </is>
      </c>
      <c r="B17" s="7" t="n">
        <v>47.18722756407969</v>
      </c>
      <c r="C17" s="7" t="n">
        <v>45.70150653374164</v>
      </c>
      <c r="D17" s="7" t="n">
        <v>44.26727799429032</v>
      </c>
      <c r="E17" s="7" t="n">
        <v>42.88231076920474</v>
      </c>
      <c r="F17" s="7" t="n">
        <v>41.54449037834811</v>
      </c>
    </row>
    <row r="18">
      <c r="A18" s="6" t="inlineStr">
        <is>
          <t>terminal 19.2%</t>
        </is>
      </c>
      <c r="B18" s="7" t="n">
        <v>42.38652255248041</v>
      </c>
      <c r="C18" s="7" t="n">
        <v>41.03072689368742</v>
      </c>
      <c r="D18" s="7" t="n">
        <v>39.72183036633324</v>
      </c>
      <c r="E18" s="7" t="n">
        <v>38.45780396819539</v>
      </c>
      <c r="F18" s="7" t="n">
        <v>37.23672469018629</v>
      </c>
    </row>
    <row r="20">
      <c r="A20" s="15" t="inlineStr">
        <is>
          <t>Single-driver sensitivities — five engine re-runs per row; the parameter grid for each row is shown beside its name</t>
        </is>
      </c>
    </row>
    <row r="21">
      <c r="A21" s="5" t="inlineStr">
        <is>
          <t>Driver (parameter grid)</t>
        </is>
      </c>
      <c r="B21" s="5" t="inlineStr"/>
      <c r="C21" s="5" t="inlineStr"/>
      <c r="D21" s="5" t="inlineStr"/>
      <c r="E21" s="5" t="inlineStr"/>
      <c r="F21" s="5" t="inlineStr"/>
      <c r="G21" s="5" t="inlineStr"/>
      <c r="H21" s="5" t="inlineStr">
        <is>
          <t>Swing</t>
        </is>
      </c>
    </row>
    <row r="22">
      <c r="A22" s="6" t="inlineStr">
        <is>
          <t>Beta  (0.60 / 0.80 / 1.23 / 1.15 / 1.30)</t>
        </is>
      </c>
      <c r="B22" s="7" t="n">
        <v>94.46647146810956</v>
      </c>
      <c r="C22" s="7" t="n">
        <v>75.25828072607085</v>
      </c>
      <c r="D22" s="7" t="n">
        <v>49.70341773987482</v>
      </c>
      <c r="E22" s="7" t="n">
        <v>53.21252849781632</v>
      </c>
      <c r="F22" s="7" t="n">
        <v>46.50262521769896</v>
      </c>
      <c r="H22" s="16">
        <f>MAX(B22:F22)-MIN(B22:F22)</f>
        <v/>
      </c>
    </row>
    <row r="23">
      <c r="A23" s="6" t="inlineStr">
        <is>
          <t>Exchange-rate path multiplier  (0.90x / 1.00x / 1.20x / 1.45x / 1.70x)</t>
        </is>
      </c>
      <c r="B23" s="7" t="n">
        <v>42.07500523515485</v>
      </c>
      <c r="C23" s="7" t="n">
        <v>43.51076338157681</v>
      </c>
      <c r="D23" s="7" t="n">
        <v>46.38227967442072</v>
      </c>
      <c r="E23" s="7" t="n">
        <v>49.97167504047564</v>
      </c>
      <c r="F23" s="7" t="n">
        <v>53.56107040653055</v>
      </c>
      <c r="H23" s="16">
        <f>MAX(B23:F23)-MIN(B23:F23)</f>
        <v/>
      </c>
    </row>
    <row r="24">
      <c r="A24" s="6" t="inlineStr">
        <is>
          <t>Segment margins, multiplicative  (0.850x / 0.925x / 1.000x / 1.075x / 1.150x)</t>
        </is>
      </c>
      <c r="B24" s="7" t="n">
        <v>23.17689166022818</v>
      </c>
      <c r="C24" s="7" t="n">
        <v>33.3438275209025</v>
      </c>
      <c r="D24" s="7" t="n">
        <v>43.51076338157681</v>
      </c>
      <c r="E24" s="7" t="n">
        <v>53.67769924225113</v>
      </c>
      <c r="F24" s="7" t="n">
        <v>63.84463510292543</v>
      </c>
      <c r="H24" s="16">
        <f>MAX(B24:F24)-MIN(B24:F24)</f>
        <v/>
      </c>
    </row>
    <row r="25">
      <c r="A25" s="6" t="inlineStr">
        <is>
          <t>Copper price multiplier  (0.850x / 0.925x / 1.000x / 1.075x / 1.150x)</t>
        </is>
      </c>
      <c r="B25" s="7" t="n">
        <v>41.3571261619439</v>
      </c>
      <c r="C25" s="7" t="n">
        <v>42.43394477176034</v>
      </c>
      <c r="D25" s="7" t="n">
        <v>43.51076338157681</v>
      </c>
      <c r="E25" s="7" t="n">
        <v>44.58758199139326</v>
      </c>
      <c r="F25" s="7" t="n">
        <v>45.66440060120974</v>
      </c>
      <c r="H25" s="16">
        <f>MAX(B25:F25)-MIN(B25:F25)</f>
        <v/>
      </c>
    </row>
    <row r="26">
      <c r="A26" s="6" t="inlineStr">
        <is>
          <t>Working capital / revenue  (17.0% / 18.5% / 19.9% / 21.5% / 23.0%)</t>
        </is>
      </c>
      <c r="B26" s="7" t="n">
        <v>50.27171997464177</v>
      </c>
      <c r="C26" s="7" t="n">
        <v>46.77467346098749</v>
      </c>
      <c r="D26" s="7" t="n">
        <v>43.51076338157681</v>
      </c>
      <c r="E26" s="7" t="n">
        <v>39.7805804336789</v>
      </c>
      <c r="F26" s="7" t="n">
        <v>36.28353392002459</v>
      </c>
      <c r="H26" s="16">
        <f>MAX(B26:F26)-MIN(B26:F26)</f>
        <v/>
      </c>
    </row>
    <row r="27">
      <c r="A27" s="6" t="inlineStr">
        <is>
          <t>Terminal return on invested capital  (15.0% / 18.0% / 20.1% / 26.0% / 30.0%)</t>
        </is>
      </c>
      <c r="B27" s="7" t="n">
        <v>40.98127111072365</v>
      </c>
      <c r="C27" s="7" t="n">
        <v>46.71205527626227</v>
      </c>
      <c r="D27" s="7" t="n">
        <v>49.7075887045515</v>
      </c>
      <c r="E27" s="7" t="n">
        <v>55.52864630016783</v>
      </c>
      <c r="F27" s="7" t="n">
        <v>58.17362360733951</v>
      </c>
      <c r="H27" s="16">
        <f>MAX(B27:F27)-MIN(B27:F27)</f>
        <v/>
      </c>
    </row>
    <row r="28">
      <c r="A28" s="6" t="inlineStr">
        <is>
          <t>Terminal growth (at base cost of capital)  (3% / 4% / 5% / 6% / 7%)</t>
        </is>
      </c>
      <c r="B28" s="7" t="n">
        <v>45.05103667309857</v>
      </c>
      <c r="C28" s="7" t="n">
        <v>46.03042217002906</v>
      </c>
      <c r="D28" s="7" t="n">
        <v>47.11281563256473</v>
      </c>
      <c r="E28" s="7" t="n">
        <v>48.32576211063959</v>
      </c>
      <c r="F28" s="7" t="n">
        <v>49.7075887045515</v>
      </c>
      <c r="H28" s="16">
        <f>MAX(B28:F28)-MIN(B28:F28)</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Per-share and ratio analysis</t>
        </is>
      </c>
      <c r="B1" s="2" t="n"/>
      <c r="C1" s="2" t="n"/>
      <c r="D1" s="2" t="n"/>
      <c r="E1" s="2" t="n"/>
      <c r="F1" s="2" t="n"/>
      <c r="G1" s="2" t="n"/>
      <c r="H1" s="2" t="n"/>
      <c r="I1" s="2" t="n"/>
    </row>
    <row r="2">
      <c r="A2" s="4" t="inlineStr">
        <is>
          <t>The indicator set for a diversified industrial with a contracting arm. Every ratio is a formula off the statements.</t>
        </is>
      </c>
    </row>
    <row r="4">
      <c r="A4" s="5" t="inlineStr">
        <is>
          <t>Measure</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Earnings per share (EGP)</t>
        </is>
      </c>
      <c r="B5" s="16">
        <f>'Income Statement'!B18</f>
        <v/>
      </c>
      <c r="C5" s="16">
        <f>'Income Statement'!C18</f>
        <v/>
      </c>
      <c r="D5" s="16">
        <f>'Income Statement'!D18</f>
        <v/>
      </c>
      <c r="E5" s="16">
        <f>'Income Statement'!E18</f>
        <v/>
      </c>
      <c r="F5" s="16">
        <f>'Income Statement'!F18</f>
        <v/>
      </c>
      <c r="G5" s="16">
        <f>'Income Statement'!G18</f>
        <v/>
      </c>
      <c r="H5" s="16">
        <f>'Income Statement'!H18</f>
        <v/>
      </c>
      <c r="I5" s="16">
        <f>'Income Statement'!I18</f>
        <v/>
      </c>
    </row>
    <row r="6">
      <c r="A6" s="6" t="inlineStr">
        <is>
          <t>Book value per share (EGP)</t>
        </is>
      </c>
      <c r="B6" s="16">
        <f>'Balance Sheet'!B14/Assumptions!$C$6</f>
        <v/>
      </c>
      <c r="C6" s="16">
        <f>'Balance Sheet'!C14/Assumptions!$C$6</f>
        <v/>
      </c>
      <c r="D6" s="16">
        <f>'Balance Sheet'!D14/Assumptions!$C$6</f>
        <v/>
      </c>
      <c r="E6" s="16">
        <f>'Balance Sheet'!E14/Assumptions!$C$6</f>
        <v/>
      </c>
      <c r="F6" s="16">
        <f>'Balance Sheet'!F14/Assumptions!$C$6</f>
        <v/>
      </c>
      <c r="G6" s="16">
        <f>'Balance Sheet'!G14/Assumptions!$C$6</f>
        <v/>
      </c>
      <c r="H6" s="16">
        <f>'Balance Sheet'!H14/Assumptions!$C$6</f>
        <v/>
      </c>
      <c r="I6" s="16">
        <f>'Balance Sheet'!I14/Assumptions!$C$6</f>
        <v/>
      </c>
    </row>
    <row r="7">
      <c r="A7" s="6" t="inlineStr">
        <is>
          <t>Free cash flow per share (EGP)</t>
        </is>
      </c>
      <c r="B7" s="16" t="inlineStr">
        <is>
          <t>-</t>
        </is>
      </c>
      <c r="C7" s="16" t="inlineStr">
        <is>
          <t>-</t>
        </is>
      </c>
      <c r="D7" s="16" t="inlineStr">
        <is>
          <t>-</t>
        </is>
      </c>
      <c r="E7" s="16">
        <f>'Summary Financials'!E11/Assumptions!$C$6</f>
        <v/>
      </c>
      <c r="F7" s="16">
        <f>'Summary Financials'!F11/Assumptions!$C$6</f>
        <v/>
      </c>
      <c r="G7" s="16">
        <f>'Summary Financials'!G11/Assumptions!$C$6</f>
        <v/>
      </c>
      <c r="H7" s="16">
        <f>'Summary Financials'!H11/Assumptions!$C$6</f>
        <v/>
      </c>
      <c r="I7" s="16">
        <f>'Summary Financials'!I11/Assumptions!$C$6</f>
        <v/>
      </c>
    </row>
    <row r="8">
      <c r="A8" s="6" t="inlineStr">
        <is>
          <t>Gross margin</t>
        </is>
      </c>
      <c r="B8" s="9">
        <f>'Income Statement'!B6/'Income Statement'!B5</f>
        <v/>
      </c>
      <c r="C8" s="9">
        <f>'Income Statement'!C6/'Income Statement'!C5</f>
        <v/>
      </c>
      <c r="D8" s="9">
        <f>'Income Statement'!D6/'Income Statement'!D5</f>
        <v/>
      </c>
      <c r="E8" s="9">
        <f>'Income Statement'!E6/'Income Statement'!E5</f>
        <v/>
      </c>
      <c r="F8" s="9">
        <f>'Income Statement'!F6/'Income Statement'!F5</f>
        <v/>
      </c>
      <c r="G8" s="9">
        <f>'Income Statement'!G6/'Income Statement'!G5</f>
        <v/>
      </c>
      <c r="H8" s="9">
        <f>'Income Statement'!H6/'Income Statement'!H5</f>
        <v/>
      </c>
      <c r="I8" s="9">
        <f>'Income Statement'!I6/'Income Statement'!I5</f>
        <v/>
      </c>
    </row>
    <row r="9">
      <c r="A9" s="6" t="inlineStr">
        <is>
          <t>EBITDA margin</t>
        </is>
      </c>
      <c r="B9" s="9">
        <f>'Income Statement'!B8</f>
        <v/>
      </c>
      <c r="C9" s="9">
        <f>'Income Statement'!C8</f>
        <v/>
      </c>
      <c r="D9" s="9">
        <f>'Income Statement'!D8</f>
        <v/>
      </c>
      <c r="E9" s="9">
        <f>'Income Statement'!E8</f>
        <v/>
      </c>
      <c r="F9" s="9">
        <f>'Income Statement'!F8</f>
        <v/>
      </c>
      <c r="G9" s="9">
        <f>'Income Statement'!G8</f>
        <v/>
      </c>
      <c r="H9" s="9">
        <f>'Income Statement'!H8</f>
        <v/>
      </c>
      <c r="I9" s="9">
        <f>'Income Statement'!I8</f>
        <v/>
      </c>
    </row>
    <row r="10">
      <c r="A10" s="6" t="inlineStr">
        <is>
          <t>EBIT margin</t>
        </is>
      </c>
      <c r="B10" s="9">
        <f>'Income Statement'!B10/'Income Statement'!B5</f>
        <v/>
      </c>
      <c r="C10" s="9">
        <f>'Income Statement'!C10/'Income Statement'!C5</f>
        <v/>
      </c>
      <c r="D10" s="9">
        <f>'Income Statement'!D10/'Income Statement'!D5</f>
        <v/>
      </c>
      <c r="E10" s="9">
        <f>'Income Statement'!E10/'Income Statement'!E5</f>
        <v/>
      </c>
      <c r="F10" s="9">
        <f>'Income Statement'!F10/'Income Statement'!F5</f>
        <v/>
      </c>
      <c r="G10" s="9">
        <f>'Income Statement'!G10/'Income Statement'!G5</f>
        <v/>
      </c>
      <c r="H10" s="9">
        <f>'Income Statement'!H10/'Income Statement'!H5</f>
        <v/>
      </c>
      <c r="I10" s="9">
        <f>'Income Statement'!I10/'Income Statement'!I5</f>
        <v/>
      </c>
    </row>
    <row r="11">
      <c r="A11" s="6" t="inlineStr">
        <is>
          <t>Net margin (attributable)</t>
        </is>
      </c>
      <c r="B11" s="9">
        <f>'Income Statement'!B17/'Income Statement'!B5</f>
        <v/>
      </c>
      <c r="C11" s="9">
        <f>'Income Statement'!C17/'Income Statement'!C5</f>
        <v/>
      </c>
      <c r="D11" s="9">
        <f>'Income Statement'!D17/'Income Statement'!D5</f>
        <v/>
      </c>
      <c r="E11" s="9">
        <f>'Income Statement'!E17/'Income Statement'!E5</f>
        <v/>
      </c>
      <c r="F11" s="9">
        <f>'Income Statement'!F17/'Income Statement'!F5</f>
        <v/>
      </c>
      <c r="G11" s="9">
        <f>'Income Statement'!G17/'Income Statement'!G5</f>
        <v/>
      </c>
      <c r="H11" s="9">
        <f>'Income Statement'!H17/'Income Statement'!H5</f>
        <v/>
      </c>
      <c r="I11" s="9">
        <f>'Income Statement'!I17/'Income Statement'!I5</f>
        <v/>
      </c>
    </row>
    <row r="12">
      <c r="A12" s="6" t="inlineStr">
        <is>
          <t>Return on equity</t>
        </is>
      </c>
      <c r="B12" s="9" t="inlineStr">
        <is>
          <t>-</t>
        </is>
      </c>
      <c r="C12" s="9">
        <f>'Income Statement'!C17/(('Balance Sheet'!B14+'Balance Sheet'!C14)/2)</f>
        <v/>
      </c>
      <c r="D12" s="9">
        <f>'Income Statement'!D17/(('Balance Sheet'!C14+'Balance Sheet'!D14)/2)</f>
        <v/>
      </c>
      <c r="E12" s="9">
        <f>'Income Statement'!E17/(('Balance Sheet'!D14+'Balance Sheet'!E14)/2)</f>
        <v/>
      </c>
      <c r="F12" s="9">
        <f>'Income Statement'!F17/(('Balance Sheet'!E14+'Balance Sheet'!F14)/2)</f>
        <v/>
      </c>
      <c r="G12" s="9">
        <f>'Income Statement'!G17/(('Balance Sheet'!F14+'Balance Sheet'!G14)/2)</f>
        <v/>
      </c>
      <c r="H12" s="9">
        <f>'Income Statement'!H17/(('Balance Sheet'!G14+'Balance Sheet'!H14)/2)</f>
        <v/>
      </c>
      <c r="I12" s="9">
        <f>'Income Statement'!I17/(('Balance Sheet'!H14+'Balance Sheet'!I14)/2)</f>
        <v/>
      </c>
    </row>
    <row r="13">
      <c r="A13" s="6" t="inlineStr">
        <is>
          <t>Return on invested capital</t>
        </is>
      </c>
      <c r="B13" s="9" t="inlineStr">
        <is>
          <t>-</t>
        </is>
      </c>
      <c r="C13" s="9" t="inlineStr">
        <is>
          <t>-</t>
        </is>
      </c>
      <c r="D13" s="9" t="inlineStr">
        <is>
          <t>-</t>
        </is>
      </c>
      <c r="E13" s="9">
        <f>'Summary Financials'!E14</f>
        <v/>
      </c>
      <c r="F13" s="9">
        <f>'Summary Financials'!F14</f>
        <v/>
      </c>
      <c r="G13" s="9">
        <f>'Summary Financials'!G14</f>
        <v/>
      </c>
      <c r="H13" s="9">
        <f>'Summary Financials'!H14</f>
        <v/>
      </c>
      <c r="I13" s="9">
        <f>'Summary Financials'!I14</f>
        <v/>
      </c>
    </row>
    <row r="14">
      <c r="A14" s="6" t="inlineStr">
        <is>
          <t>Net debt / EBITDA</t>
        </is>
      </c>
      <c r="B14" s="37">
        <f>'Balance Sheet'!B18</f>
        <v/>
      </c>
      <c r="C14" s="37">
        <f>'Balance Sheet'!C18</f>
        <v/>
      </c>
      <c r="D14" s="37">
        <f>'Balance Sheet'!D18</f>
        <v/>
      </c>
      <c r="E14" s="37">
        <f>'Balance Sheet'!E18</f>
        <v/>
      </c>
      <c r="F14" s="37">
        <f>'Balance Sheet'!F18</f>
        <v/>
      </c>
      <c r="G14" s="37">
        <f>'Balance Sheet'!G18</f>
        <v/>
      </c>
      <c r="H14" s="37">
        <f>'Balance Sheet'!H18</f>
        <v/>
      </c>
      <c r="I14" s="37">
        <f>'Balance Sheet'!I18</f>
        <v/>
      </c>
    </row>
    <row r="15">
      <c r="A15" s="6" t="inlineStr">
        <is>
          <t>Interest cover (EBIT / net interest)</t>
        </is>
      </c>
      <c r="B15" s="37" t="inlineStr">
        <is>
          <t>-</t>
        </is>
      </c>
      <c r="C15" s="37">
        <f>-'Income Statement'!C10/'Income Statement'!C11</f>
        <v/>
      </c>
      <c r="D15" s="37">
        <f>-'Income Statement'!D10/'Income Statement'!D11</f>
        <v/>
      </c>
      <c r="E15" s="37">
        <f>-'Income Statement'!E10/'Income Statement'!E11</f>
        <v/>
      </c>
      <c r="F15" s="37">
        <f>-'Income Statement'!F10/'Income Statement'!F11</f>
        <v/>
      </c>
      <c r="G15" s="37">
        <f>-'Income Statement'!G10/'Income Statement'!G11</f>
        <v/>
      </c>
      <c r="H15" s="37">
        <f>-'Income Statement'!H10/'Income Statement'!H11</f>
        <v/>
      </c>
      <c r="I15" s="37">
        <f>-'Income Statement'!I10/'Income Statement'!I11</f>
        <v/>
      </c>
    </row>
    <row r="16">
      <c r="A16" s="6" t="inlineStr">
        <is>
          <t>Working capital / revenue</t>
        </is>
      </c>
      <c r="B16" s="9">
        <f>'Balance Sheet'!B16/'Income Statement'!B5</f>
        <v/>
      </c>
      <c r="C16" s="9">
        <f>'Balance Sheet'!C16/'Income Statement'!C5</f>
        <v/>
      </c>
      <c r="D16" s="9">
        <f>'Balance Sheet'!D16/'Income Statement'!D5</f>
        <v/>
      </c>
      <c r="E16" s="9">
        <f>'Balance Sheet'!E16/'Income Statement'!E5</f>
        <v/>
      </c>
      <c r="F16" s="9">
        <f>'Balance Sheet'!F16/'Income Statement'!F5</f>
        <v/>
      </c>
      <c r="G16" s="9">
        <f>'Balance Sheet'!G16/'Income Statement'!G5</f>
        <v/>
      </c>
      <c r="H16" s="9">
        <f>'Balance Sheet'!H16/'Income Statement'!H5</f>
        <v/>
      </c>
      <c r="I16" s="9">
        <f>'Balance Sheet'!I16/'Income Statement'!I5</f>
        <v/>
      </c>
    </row>
    <row r="17">
      <c r="A17" s="6" t="inlineStr">
        <is>
          <t>Capital expenditure / revenue</t>
        </is>
      </c>
      <c r="B17" s="9" t="inlineStr">
        <is>
          <t>-</t>
        </is>
      </c>
      <c r="C17" s="9">
        <f>-'Cash Flow'!B11/'Income Statement'!C5</f>
        <v/>
      </c>
      <c r="D17" s="9">
        <f>-'Cash Flow'!C11/'Income Statement'!D5</f>
        <v/>
      </c>
      <c r="E17" s="9">
        <f>-'Cash Flow'!D11/'Income Statement'!E5</f>
        <v/>
      </c>
      <c r="F17" s="9">
        <f>-'Cash Flow'!E11/'Income Statement'!F5</f>
        <v/>
      </c>
      <c r="G17" s="9">
        <f>-'Cash Flow'!F11/'Income Statement'!G5</f>
        <v/>
      </c>
      <c r="H17" s="9">
        <f>-'Cash Flow'!G11/'Income Statement'!H5</f>
        <v/>
      </c>
      <c r="I17" s="9">
        <f>-'Cash Flow'!H11/'Income Statement'!I5</f>
        <v/>
      </c>
    </row>
    <row r="18">
      <c r="A18" s="6" t="inlineStr">
        <is>
          <t>Reinvestment rate</t>
        </is>
      </c>
      <c r="B18" s="21" t="n">
        <v>0.2012516504606288</v>
      </c>
      <c r="C18" s="21" t="n">
        <v>0.3037580263923543</v>
      </c>
      <c r="D18" s="21" t="n">
        <v>0.5146285136141233</v>
      </c>
      <c r="E18" s="9" t="inlineStr">
        <is>
          <t>-</t>
        </is>
      </c>
      <c r="F18" s="9" t="inlineStr">
        <is>
          <t>-</t>
        </is>
      </c>
      <c r="G18" s="9" t="inlineStr">
        <is>
          <t>-</t>
        </is>
      </c>
      <c r="H18" s="9" t="inlineStr">
        <is>
          <t>-</t>
        </is>
      </c>
      <c r="I18" s="9" t="inlineStr">
        <is>
          <t>-</t>
        </is>
      </c>
    </row>
    <row r="19">
      <c r="A19" s="6" t="inlineStr">
        <is>
          <t>Implied growth (return on capital x reinvestment)</t>
        </is>
      </c>
      <c r="B19" s="21" t="n">
        <v>0.04486693009301836</v>
      </c>
      <c r="C19" s="21" t="n">
        <v>0.07551752174309861</v>
      </c>
      <c r="D19" s="21" t="n">
        <v>0.1079821501300804</v>
      </c>
      <c r="E19" s="9" t="inlineStr">
        <is>
          <t>-</t>
        </is>
      </c>
      <c r="F19" s="9" t="inlineStr">
        <is>
          <t>-</t>
        </is>
      </c>
      <c r="G19" s="9" t="inlineStr">
        <is>
          <t>-</t>
        </is>
      </c>
      <c r="H19" s="9" t="inlineStr">
        <is>
          <t>-</t>
        </is>
      </c>
      <c r="I19" s="9" t="inlineStr">
        <is>
          <t>-</t>
        </is>
      </c>
    </row>
    <row r="21">
      <c r="A21" s="4" t="inlineStr">
        <is>
          <t>Terminal growth reconciliation: actual NOPAT compound growth FY2023–FY2025 was 26.9%; the implied growth from stable years only (FY2024 excluded as a debt-funded capacity burst) is 7.6%; the adopted terminal growth is 7.0%, below the blended nominal ceiling of 11.1%.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22" customWidth="1" min="2" max="2"/>
    <col width="40" customWidth="1" min="3" max="3"/>
    <col width="44" customWidth="1" min="4" max="4"/>
    <col width="22" customWidth="1" min="5" max="5"/>
    <col width="22" customWidth="1" min="6" max="6"/>
  </cols>
  <sheetData>
    <row r="1">
      <c r="A1" s="1" t="inlineStr">
        <is>
          <t>Peer frame and sector context</t>
        </is>
      </c>
      <c r="B1" s="2" t="n"/>
      <c r="C1" s="2" t="n"/>
      <c r="D1" s="2" t="n"/>
      <c r="E1" s="2" t="n"/>
      <c r="F1" s="2" t="n"/>
    </row>
    <row r="2">
      <c r="A2" s="4" t="inlineStr">
        <is>
          <t>No clean comparable exists; this is a sanity check, not an independent valuation</t>
        </is>
      </c>
    </row>
    <row r="4">
      <c r="A4" s="5" t="inlineStr">
        <is>
          <t>Company / frame</t>
        </is>
      </c>
      <c r="B4" s="5" t="inlineStr">
        <is>
          <t>Market</t>
        </is>
      </c>
      <c r="C4" s="5" t="inlineStr">
        <is>
          <t>Relevance</t>
        </is>
      </c>
      <c r="D4" s="5" t="inlineStr">
        <is>
          <t>Caution</t>
        </is>
      </c>
    </row>
    <row r="5" ht="30" customHeight="1">
      <c r="A5" s="6" t="inlineStr">
        <is>
          <t>Riyadh Cables</t>
        </is>
      </c>
      <c r="B5" s="6" t="inlineStr">
        <is>
          <t>Saudi Arabia</t>
        </is>
      </c>
      <c r="C5" s="42" t="inlineStr">
        <is>
          <t>nearest listed regional cable manufacturer</t>
        </is>
      </c>
      <c r="D5" s="42" t="inlineStr">
        <is>
          <t>far smaller, no contracting arm, lighter balance sheet, pegged currency</t>
        </is>
      </c>
    </row>
    <row r="6" ht="30" customHeight="1">
      <c r="A6" s="6" t="inlineStr">
        <is>
          <t>Electro Cable Egypt</t>
        </is>
      </c>
      <c r="B6" s="6" t="inlineStr">
        <is>
          <t>Egypt</t>
        </is>
      </c>
      <c r="C6" s="42" t="inlineStr">
        <is>
          <t>the only other listed Egyptian cable manufacturer</t>
        </is>
      </c>
      <c r="D6" s="42" t="inlineStr">
        <is>
          <t>much smaller, domestic, heavily levered, currently loss-making</t>
        </is>
      </c>
    </row>
    <row r="7" ht="30" customHeight="1">
      <c r="A7" s="6" t="inlineStr">
        <is>
          <t>European cable majors</t>
        </is>
      </c>
      <c r="B7" s="6" t="inlineStr">
        <is>
          <t>Europe</t>
        </is>
      </c>
      <c r="C7" s="42" t="inlineStr">
        <is>
          <t>closest match on business model — cables plus projects</t>
        </is>
      </c>
      <c r="D7" s="42" t="inlineStr">
        <is>
          <t>developed-market cost of capital; no convertibility risk</t>
        </is>
      </c>
    </row>
    <row r="8" ht="30" customHeight="1">
      <c r="A8" s="6" t="inlineStr">
        <is>
          <t>Regional engineering and construction contractors</t>
        </is>
      </c>
      <c r="B8" s="6" t="inlineStr">
        <is>
          <t>Gulf and North Africa</t>
        </is>
      </c>
      <c r="C8" s="42" t="inlineStr">
        <is>
          <t>the right frame for the roughly 32% that is the Constructions and infrastructure segment</t>
        </is>
      </c>
      <c r="D8" s="42" t="inlineStr">
        <is>
          <t>project accounting and backlog quality are not comparable</t>
        </is>
      </c>
    </row>
    <row r="10">
      <c r="A10" s="5" t="inlineStr">
        <is>
          <t>Own multiples</t>
        </is>
      </c>
      <c r="B10" s="5" t="inlineStr">
        <is>
          <t>Value</t>
        </is>
      </c>
    </row>
    <row r="11">
      <c r="A11" s="6" t="inlineStr">
        <is>
          <t>Trailing enterprise value / EBITDA</t>
        </is>
      </c>
      <c r="B11" s="35">
        <f>'Relative &amp; Normalized'!C13</f>
        <v/>
      </c>
    </row>
    <row r="12">
      <c r="A12" s="6" t="inlineStr">
        <is>
          <t>Trailing price / earnings</t>
        </is>
      </c>
      <c r="B12" s="35">
        <f>'Relative &amp; Normalized'!C14</f>
        <v/>
      </c>
    </row>
    <row r="13">
      <c r="A13" s="6" t="inlineStr">
        <is>
          <t>Trailing price / book</t>
        </is>
      </c>
      <c r="B13" s="35">
        <f>'Relative &amp; Normalized'!C15</f>
        <v/>
      </c>
    </row>
    <row r="14">
      <c r="A14" s="6" t="inlineStr">
        <is>
          <t>Justified enterprise value / EBITDA applied</t>
        </is>
      </c>
      <c r="B14" s="35">
        <f>'Relative &amp; Normalized'!C6</f>
        <v/>
      </c>
    </row>
    <row r="15">
      <c r="A15" s="6" t="inlineStr">
        <is>
          <t>Justified price / earnings applied</t>
        </is>
      </c>
      <c r="B15" s="35">
        <f>'Relative &amp; Normalized'!C27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2026-09-09T11:34:57Z</dcterms:created>
  <dcterms:modified xmlns:dcterms="http://purl.org/dc/terms/" xmlns:xsi="http://www.w3.org/2001/XMLSchema-instance" xsi:type="dcterms:W3CDTF">2026-09-09T11:34:57Z</dcterms:modified>
</cp:coreProperties>
</file>